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Enforcements!$A$6:$AC$63</definedName>
    <definedName name="_xlnm._FilterDatabase" localSheetId="2" hidden="1">'Missing Trips'!$A$2:$J$81</definedName>
    <definedName name="_xlnm._FilterDatabase" localSheetId="0" hidden="1">'Train Runs'!$A$12:$AG$265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6" i="1" l="1"/>
  <c r="P116" i="1" s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I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S30" i="3" s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R21" i="3" s="1"/>
  <c r="AF32" i="1"/>
  <c r="AH32" i="1"/>
  <c r="AM32" i="1"/>
  <c r="AN32" i="1"/>
  <c r="K33" i="1"/>
  <c r="L33" i="1"/>
  <c r="M33" i="1"/>
  <c r="N33" i="1" s="1"/>
  <c r="V33" i="1"/>
  <c r="S23" i="3" s="1"/>
  <c r="Y33" i="1"/>
  <c r="Z33" i="1"/>
  <c r="AB33" i="1"/>
  <c r="AC33" i="1"/>
  <c r="AD33" i="1"/>
  <c r="T33" i="1" s="1"/>
  <c r="AE33" i="1"/>
  <c r="R23" i="3" s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S7" i="3" s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R31" i="3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S12" i="3" s="1"/>
  <c r="Y45" i="1"/>
  <c r="Z45" i="1"/>
  <c r="AB45" i="1"/>
  <c r="AC45" i="1"/>
  <c r="AD45" i="1"/>
  <c r="AE45" i="1"/>
  <c r="R12" i="3" s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I51" i="1" s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S14" i="3" s="1"/>
  <c r="Y53" i="1"/>
  <c r="Z53" i="1"/>
  <c r="AB53" i="1"/>
  <c r="AC53" i="1"/>
  <c r="AD53" i="1"/>
  <c r="AE53" i="1"/>
  <c r="R14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S24" i="3" s="1"/>
  <c r="Y59" i="1"/>
  <c r="Z59" i="1"/>
  <c r="AB59" i="1"/>
  <c r="AC59" i="1"/>
  <c r="AD59" i="1"/>
  <c r="T59" i="1" s="1"/>
  <c r="AE59" i="1"/>
  <c r="R11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S25" i="3" s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S17" i="3" s="1"/>
  <c r="Y72" i="1"/>
  <c r="Z72" i="1"/>
  <c r="AA72" i="1" s="1"/>
  <c r="AB72" i="1"/>
  <c r="AC72" i="1"/>
  <c r="AD72" i="1"/>
  <c r="T72" i="1" s="1"/>
  <c r="AE72" i="1"/>
  <c r="R17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35" i="3" s="1"/>
  <c r="Y77" i="1"/>
  <c r="Z77" i="1"/>
  <c r="AB77" i="1"/>
  <c r="AC77" i="1"/>
  <c r="AD77" i="1"/>
  <c r="AE77" i="1"/>
  <c r="R35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S32" i="3" s="1"/>
  <c r="Y84" i="1"/>
  <c r="Z84" i="1"/>
  <c r="AB84" i="1"/>
  <c r="AC84" i="1"/>
  <c r="AD84" i="1"/>
  <c r="AE84" i="1"/>
  <c r="R32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S36" i="3" s="1"/>
  <c r="Y95" i="1"/>
  <c r="Z95" i="1"/>
  <c r="AB95" i="1"/>
  <c r="AC95" i="1"/>
  <c r="AD95" i="1"/>
  <c r="AG95" i="1" s="1"/>
  <c r="AE95" i="1"/>
  <c r="R36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V99" i="1"/>
  <c r="S28" i="3" s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V101" i="1"/>
  <c r="Y101" i="1"/>
  <c r="Z101" i="1"/>
  <c r="AB101" i="1"/>
  <c r="AC101" i="1"/>
  <c r="AD101" i="1"/>
  <c r="AE101" i="1"/>
  <c r="R26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S37" i="3" s="1"/>
  <c r="Y103" i="1"/>
  <c r="Z103" i="1"/>
  <c r="AB103" i="1"/>
  <c r="AC103" i="1"/>
  <c r="AD103" i="1"/>
  <c r="AG103" i="1" s="1"/>
  <c r="AE103" i="1"/>
  <c r="R37" i="3" s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S20" i="3" s="1"/>
  <c r="Y113" i="1"/>
  <c r="Z113" i="1"/>
  <c r="AB113" i="1"/>
  <c r="AC113" i="1"/>
  <c r="AD113" i="1"/>
  <c r="T113" i="1" s="1"/>
  <c r="AE113" i="1"/>
  <c r="R20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R33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V116" i="1"/>
  <c r="S19" i="3" s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S15" i="3" s="1"/>
  <c r="Y118" i="1"/>
  <c r="Z118" i="1"/>
  <c r="AB118" i="1"/>
  <c r="AC118" i="1"/>
  <c r="AD118" i="1"/>
  <c r="AG118" i="1" s="1"/>
  <c r="AE118" i="1"/>
  <c r="R15" i="3" s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X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S13" i="3" s="1"/>
  <c r="Y127" i="1"/>
  <c r="Z127" i="1"/>
  <c r="AB127" i="1"/>
  <c r="AC127" i="1"/>
  <c r="AD127" i="1"/>
  <c r="AG127" i="1" s="1"/>
  <c r="AE127" i="1"/>
  <c r="R8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S38" i="3" s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P136" i="1" s="1"/>
  <c r="V136" i="1"/>
  <c r="S27" i="3" s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V137" i="1"/>
  <c r="Y137" i="1"/>
  <c r="Z137" i="1"/>
  <c r="AB137" i="1"/>
  <c r="AC137" i="1"/>
  <c r="AD137" i="1"/>
  <c r="T137" i="1" s="1"/>
  <c r="AE137" i="1"/>
  <c r="R27" i="3" s="1"/>
  <c r="AF137" i="1"/>
  <c r="AH137" i="1"/>
  <c r="AM137" i="1"/>
  <c r="AN137" i="1"/>
  <c r="K138" i="1"/>
  <c r="L138" i="1"/>
  <c r="M138" i="1"/>
  <c r="N138" i="1" s="1"/>
  <c r="V138" i="1"/>
  <c r="S9" i="3" s="1"/>
  <c r="Y138" i="1"/>
  <c r="Z138" i="1"/>
  <c r="AI138" i="1" s="1"/>
  <c r="AB138" i="1"/>
  <c r="AC138" i="1"/>
  <c r="AD138" i="1"/>
  <c r="AG138" i="1" s="1"/>
  <c r="AE138" i="1"/>
  <c r="R9" i="3" s="1"/>
  <c r="AF138" i="1"/>
  <c r="AH138" i="1"/>
  <c r="AM138" i="1"/>
  <c r="AN138" i="1"/>
  <c r="K139" i="1"/>
  <c r="L139" i="1"/>
  <c r="M139" i="1"/>
  <c r="N139" i="1" s="1"/>
  <c r="V139" i="1"/>
  <c r="S10" i="3" s="1"/>
  <c r="Y139" i="1"/>
  <c r="Z139" i="1"/>
  <c r="AA139" i="1" s="1"/>
  <c r="AB139" i="1"/>
  <c r="AC139" i="1"/>
  <c r="AD139" i="1"/>
  <c r="AE139" i="1"/>
  <c r="R16" i="3" s="1"/>
  <c r="AF139" i="1"/>
  <c r="AH139" i="1"/>
  <c r="AM139" i="1"/>
  <c r="AN139" i="1"/>
  <c r="K140" i="1"/>
  <c r="L140" i="1"/>
  <c r="M140" i="1"/>
  <c r="N140" i="1" s="1"/>
  <c r="V140" i="1"/>
  <c r="S39" i="3" s="1"/>
  <c r="Y140" i="1"/>
  <c r="AA140" i="1" s="1"/>
  <c r="AB140" i="1"/>
  <c r="AC140" i="1"/>
  <c r="AD140" i="1"/>
  <c r="X140" i="1" s="1"/>
  <c r="AE140" i="1"/>
  <c r="R39" i="3" s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S18" i="3" s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S22" i="3" s="1"/>
  <c r="Y154" i="1"/>
  <c r="Z154" i="1"/>
  <c r="AB154" i="1"/>
  <c r="AC154" i="1"/>
  <c r="AD154" i="1"/>
  <c r="AE154" i="1"/>
  <c r="R22" i="3" s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160" i="1"/>
  <c r="L160" i="1"/>
  <c r="M160" i="1"/>
  <c r="P160" i="1" s="1"/>
  <c r="V160" i="1"/>
  <c r="S29" i="3" s="1"/>
  <c r="Y160" i="1"/>
  <c r="Z160" i="1"/>
  <c r="AB160" i="1"/>
  <c r="AC160" i="1"/>
  <c r="AD160" i="1"/>
  <c r="T160" i="1" s="1"/>
  <c r="AE160" i="1"/>
  <c r="R29" i="3" s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AN186" i="1"/>
  <c r="K241" i="1"/>
  <c r="L241" i="1"/>
  <c r="M241" i="1"/>
  <c r="N241" i="1" s="1"/>
  <c r="T241" i="1"/>
  <c r="V241" i="1"/>
  <c r="X241" i="1"/>
  <c r="Y241" i="1"/>
  <c r="Z241" i="1"/>
  <c r="AA241" i="1" s="1"/>
  <c r="AB241" i="1"/>
  <c r="AC241" i="1"/>
  <c r="AD241" i="1"/>
  <c r="AE241" i="1"/>
  <c r="AF241" i="1"/>
  <c r="AG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AG242" i="1" s="1"/>
  <c r="AI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90" i="1"/>
  <c r="AM190" i="1"/>
  <c r="AN190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91" i="1"/>
  <c r="AM191" i="1"/>
  <c r="AN191" i="1"/>
  <c r="K246" i="1"/>
  <c r="L246" i="1"/>
  <c r="M246" i="1"/>
  <c r="N246" i="1" s="1"/>
  <c r="V246" i="1"/>
  <c r="Y246" i="1"/>
  <c r="Z246" i="1"/>
  <c r="AB246" i="1"/>
  <c r="AC246" i="1"/>
  <c r="AD246" i="1"/>
  <c r="AG246" i="1" s="1"/>
  <c r="AI246" i="1" s="1"/>
  <c r="AE246" i="1"/>
  <c r="AF246" i="1"/>
  <c r="AH192" i="1"/>
  <c r="AM192" i="1"/>
  <c r="AN192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3" i="1"/>
  <c r="AM193" i="1"/>
  <c r="AN193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4" i="1"/>
  <c r="AM194" i="1"/>
  <c r="AN194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5" i="1"/>
  <c r="AM195" i="1"/>
  <c r="AN195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196" i="1"/>
  <c r="AM196" i="1"/>
  <c r="AN196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7" i="1"/>
  <c r="AM197" i="1"/>
  <c r="AN197" i="1"/>
  <c r="K252" i="1"/>
  <c r="L252" i="1"/>
  <c r="M252" i="1"/>
  <c r="N252" i="1" s="1"/>
  <c r="V252" i="1"/>
  <c r="Y252" i="1"/>
  <c r="Z252" i="1"/>
  <c r="AB252" i="1"/>
  <c r="AC252" i="1"/>
  <c r="AD252" i="1"/>
  <c r="AG252" i="1" s="1"/>
  <c r="AE252" i="1"/>
  <c r="AF252" i="1"/>
  <c r="AH198" i="1"/>
  <c r="AM198" i="1"/>
  <c r="AN198" i="1"/>
  <c r="K253" i="1"/>
  <c r="L253" i="1"/>
  <c r="M253" i="1"/>
  <c r="N253" i="1" s="1"/>
  <c r="V253" i="1"/>
  <c r="Y253" i="1"/>
  <c r="Z253" i="1"/>
  <c r="AB253" i="1"/>
  <c r="AC253" i="1"/>
  <c r="AD253" i="1"/>
  <c r="T253" i="1" s="1"/>
  <c r="AE253" i="1"/>
  <c r="AF253" i="1"/>
  <c r="AH199" i="1"/>
  <c r="AM199" i="1"/>
  <c r="AN199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AH200" i="1"/>
  <c r="AM200" i="1"/>
  <c r="AN200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01" i="1"/>
  <c r="AM201" i="1"/>
  <c r="AN201" i="1"/>
  <c r="K256" i="1"/>
  <c r="L256" i="1"/>
  <c r="M256" i="1"/>
  <c r="N256" i="1" s="1"/>
  <c r="V256" i="1"/>
  <c r="Y256" i="1"/>
  <c r="Z256" i="1"/>
  <c r="AB256" i="1"/>
  <c r="AC256" i="1"/>
  <c r="AD256" i="1"/>
  <c r="AE256" i="1"/>
  <c r="AF256" i="1"/>
  <c r="AH202" i="1"/>
  <c r="AM202" i="1"/>
  <c r="AN202" i="1"/>
  <c r="K257" i="1"/>
  <c r="L257" i="1"/>
  <c r="M257" i="1"/>
  <c r="N257" i="1" s="1"/>
  <c r="V257" i="1"/>
  <c r="Y257" i="1"/>
  <c r="Z257" i="1"/>
  <c r="AB257" i="1"/>
  <c r="AC257" i="1"/>
  <c r="AD257" i="1"/>
  <c r="AE257" i="1"/>
  <c r="AF257" i="1"/>
  <c r="AH203" i="1"/>
  <c r="AM203" i="1"/>
  <c r="AN203" i="1"/>
  <c r="K258" i="1"/>
  <c r="L258" i="1"/>
  <c r="M258" i="1"/>
  <c r="N258" i="1" s="1"/>
  <c r="V258" i="1"/>
  <c r="Y258" i="1"/>
  <c r="Z258" i="1"/>
  <c r="AB258" i="1"/>
  <c r="AC258" i="1"/>
  <c r="AD258" i="1"/>
  <c r="AE258" i="1"/>
  <c r="AF258" i="1"/>
  <c r="AH204" i="1"/>
  <c r="AM204" i="1"/>
  <c r="AN204" i="1"/>
  <c r="K259" i="1"/>
  <c r="L259" i="1"/>
  <c r="M259" i="1"/>
  <c r="N259" i="1" s="1"/>
  <c r="V259" i="1"/>
  <c r="Y259" i="1"/>
  <c r="Z259" i="1"/>
  <c r="AB259" i="1"/>
  <c r="AC259" i="1"/>
  <c r="AD259" i="1"/>
  <c r="T259" i="1" s="1"/>
  <c r="AE259" i="1"/>
  <c r="AF259" i="1"/>
  <c r="AH205" i="1"/>
  <c r="AM205" i="1"/>
  <c r="AN205" i="1"/>
  <c r="K260" i="1"/>
  <c r="L260" i="1"/>
  <c r="M260" i="1"/>
  <c r="N260" i="1" s="1"/>
  <c r="V260" i="1"/>
  <c r="S44" i="3" s="1"/>
  <c r="Y260" i="1"/>
  <c r="Z260" i="1"/>
  <c r="AB260" i="1"/>
  <c r="AC260" i="1"/>
  <c r="AD260" i="1"/>
  <c r="AG260" i="1" s="1"/>
  <c r="AE260" i="1"/>
  <c r="AF260" i="1"/>
  <c r="AH206" i="1"/>
  <c r="AM206" i="1"/>
  <c r="AN206" i="1"/>
  <c r="K261" i="1"/>
  <c r="L261" i="1"/>
  <c r="M261" i="1"/>
  <c r="N261" i="1" s="1"/>
  <c r="V261" i="1"/>
  <c r="Y261" i="1"/>
  <c r="Z261" i="1"/>
  <c r="AB261" i="1"/>
  <c r="AC261" i="1"/>
  <c r="AD261" i="1"/>
  <c r="AE261" i="1"/>
  <c r="AF261" i="1"/>
  <c r="AH207" i="1"/>
  <c r="AM207" i="1"/>
  <c r="AN207" i="1"/>
  <c r="K262" i="1"/>
  <c r="L262" i="1"/>
  <c r="M262" i="1"/>
  <c r="N262" i="1" s="1"/>
  <c r="V262" i="1"/>
  <c r="Y262" i="1"/>
  <c r="Z262" i="1"/>
  <c r="AB262" i="1"/>
  <c r="AC262" i="1"/>
  <c r="AD262" i="1"/>
  <c r="AE262" i="1"/>
  <c r="AF262" i="1"/>
  <c r="AH208" i="1"/>
  <c r="AM208" i="1"/>
  <c r="AN208" i="1"/>
  <c r="K263" i="1"/>
  <c r="L263" i="1"/>
  <c r="M263" i="1"/>
  <c r="N263" i="1" s="1"/>
  <c r="V263" i="1"/>
  <c r="Y263" i="1"/>
  <c r="Z263" i="1"/>
  <c r="AB263" i="1"/>
  <c r="AC263" i="1"/>
  <c r="AD263" i="1"/>
  <c r="T263" i="1" s="1"/>
  <c r="AE263" i="1"/>
  <c r="AF263" i="1"/>
  <c r="AH209" i="1"/>
  <c r="AM209" i="1"/>
  <c r="AN209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210" i="1"/>
  <c r="AM210" i="1"/>
  <c r="AN21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11" i="1"/>
  <c r="AM211" i="1"/>
  <c r="AN21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12" i="1"/>
  <c r="AM212" i="1"/>
  <c r="AN21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13" i="1"/>
  <c r="AM213" i="1"/>
  <c r="AN21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14" i="1"/>
  <c r="AM214" i="1"/>
  <c r="AN21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15" i="1"/>
  <c r="AM215" i="1"/>
  <c r="AN21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16" i="1"/>
  <c r="AM216" i="1"/>
  <c r="AN21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17" i="1"/>
  <c r="AM217" i="1"/>
  <c r="AN217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18" i="1"/>
  <c r="AM218" i="1"/>
  <c r="AN21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219" i="1"/>
  <c r="AM219" i="1"/>
  <c r="AN21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20" i="1"/>
  <c r="AM220" i="1"/>
  <c r="AN22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21" i="1"/>
  <c r="AM221" i="1"/>
  <c r="AN221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22" i="1"/>
  <c r="AM222" i="1"/>
  <c r="AN222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23" i="1"/>
  <c r="AM223" i="1"/>
  <c r="AN22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24" i="1"/>
  <c r="AM224" i="1"/>
  <c r="AN22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25" i="1"/>
  <c r="AM225" i="1"/>
  <c r="AN225" i="1"/>
  <c r="K178" i="1"/>
  <c r="L178" i="1"/>
  <c r="M178" i="1"/>
  <c r="P178" i="1" s="1"/>
  <c r="V178" i="1"/>
  <c r="Y178" i="1"/>
  <c r="Z178" i="1"/>
  <c r="AB178" i="1"/>
  <c r="AC178" i="1"/>
  <c r="AD178" i="1"/>
  <c r="AG178" i="1" s="1"/>
  <c r="AE178" i="1"/>
  <c r="AF178" i="1"/>
  <c r="AH226" i="1"/>
  <c r="AM226" i="1"/>
  <c r="AN22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27" i="1"/>
  <c r="AM227" i="1"/>
  <c r="AN227" i="1"/>
  <c r="K180" i="1"/>
  <c r="L180" i="1"/>
  <c r="M180" i="1"/>
  <c r="N180" i="1" s="1"/>
  <c r="V180" i="1"/>
  <c r="S40" i="3" s="1"/>
  <c r="Y180" i="1"/>
  <c r="Z180" i="1"/>
  <c r="AB180" i="1"/>
  <c r="AC180" i="1"/>
  <c r="AD180" i="1"/>
  <c r="AE180" i="1"/>
  <c r="AF180" i="1"/>
  <c r="AH228" i="1"/>
  <c r="AM228" i="1"/>
  <c r="AN228" i="1"/>
  <c r="AH229" i="1"/>
  <c r="AM229" i="1"/>
  <c r="AN22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30" i="1"/>
  <c r="AM230" i="1"/>
  <c r="AN230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31" i="1"/>
  <c r="AM231" i="1"/>
  <c r="AN23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32" i="1"/>
  <c r="AM232" i="1"/>
  <c r="AN232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33" i="1"/>
  <c r="AM233" i="1"/>
  <c r="AN233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34" i="1"/>
  <c r="AM234" i="1"/>
  <c r="AN234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35" i="1"/>
  <c r="AM235" i="1"/>
  <c r="AN23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36" i="1"/>
  <c r="AM236" i="1"/>
  <c r="AN236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37" i="1"/>
  <c r="AM237" i="1"/>
  <c r="AN23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38" i="1"/>
  <c r="AM238" i="1"/>
  <c r="AN238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39" i="1"/>
  <c r="AM239" i="1"/>
  <c r="AN239" i="1"/>
  <c r="K191" i="1"/>
  <c r="L191" i="1"/>
  <c r="M191" i="1"/>
  <c r="N191" i="1" s="1"/>
  <c r="V191" i="1"/>
  <c r="S42" i="3" s="1"/>
  <c r="Y191" i="1"/>
  <c r="Z191" i="1"/>
  <c r="AB191" i="1"/>
  <c r="AC191" i="1"/>
  <c r="AD191" i="1"/>
  <c r="AE191" i="1"/>
  <c r="AF191" i="1"/>
  <c r="AH240" i="1"/>
  <c r="AM240" i="1"/>
  <c r="AN240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41" i="1"/>
  <c r="AM241" i="1"/>
  <c r="AN241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42" i="1"/>
  <c r="AM242" i="1"/>
  <c r="AN242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43" i="1"/>
  <c r="AM243" i="1"/>
  <c r="AN24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44" i="1"/>
  <c r="AM244" i="1"/>
  <c r="AN244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45" i="1"/>
  <c r="AM245" i="1"/>
  <c r="AN245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46" i="1"/>
  <c r="AM246" i="1"/>
  <c r="AN24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47" i="1"/>
  <c r="AM247" i="1"/>
  <c r="AN24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8" i="1"/>
  <c r="AM248" i="1"/>
  <c r="AN248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49" i="1"/>
  <c r="AM249" i="1"/>
  <c r="AN24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50" i="1"/>
  <c r="AM250" i="1"/>
  <c r="AN25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51" i="1"/>
  <c r="AM251" i="1"/>
  <c r="AN25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52" i="1"/>
  <c r="AM252" i="1"/>
  <c r="AN25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53" i="1"/>
  <c r="AM253" i="1"/>
  <c r="AN253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54" i="1"/>
  <c r="AM254" i="1"/>
  <c r="AN254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55" i="1"/>
  <c r="AM255" i="1"/>
  <c r="AN255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56" i="1"/>
  <c r="AM256" i="1"/>
  <c r="AN256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57" i="1"/>
  <c r="AM257" i="1"/>
  <c r="AN25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58" i="1"/>
  <c r="AM258" i="1"/>
  <c r="AN25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59" i="1"/>
  <c r="AM259" i="1"/>
  <c r="AN25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60" i="1"/>
  <c r="AM260" i="1"/>
  <c r="AN260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61" i="1"/>
  <c r="AM261" i="1"/>
  <c r="AN26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62" i="1"/>
  <c r="AM262" i="1"/>
  <c r="AN26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63" i="1"/>
  <c r="AM263" i="1"/>
  <c r="AN263" i="1"/>
  <c r="M23" i="3"/>
  <c r="U23" i="3"/>
  <c r="T23" i="3" s="1"/>
  <c r="V23" i="3"/>
  <c r="W23" i="3"/>
  <c r="X23" i="3"/>
  <c r="AC23" i="3"/>
  <c r="M7" i="3"/>
  <c r="R7" i="3"/>
  <c r="U7" i="3"/>
  <c r="V7" i="3"/>
  <c r="W7" i="3"/>
  <c r="X7" i="3"/>
  <c r="M21" i="3"/>
  <c r="S21" i="3"/>
  <c r="U21" i="3"/>
  <c r="AC21" i="3" s="1"/>
  <c r="V21" i="3"/>
  <c r="W21" i="3"/>
  <c r="Y21" i="3" s="1"/>
  <c r="X21" i="3"/>
  <c r="M30" i="3"/>
  <c r="R30" i="3"/>
  <c r="U30" i="3"/>
  <c r="V30" i="3"/>
  <c r="W30" i="3"/>
  <c r="X30" i="3"/>
  <c r="M12" i="3"/>
  <c r="U12" i="3"/>
  <c r="T12" i="3" s="1"/>
  <c r="V12" i="3"/>
  <c r="W12" i="3"/>
  <c r="X12" i="3"/>
  <c r="AC12" i="3"/>
  <c r="M31" i="3"/>
  <c r="S31" i="3"/>
  <c r="U31" i="3"/>
  <c r="V31" i="3"/>
  <c r="W31" i="3"/>
  <c r="X31" i="3"/>
  <c r="M41" i="3"/>
  <c r="R41" i="3"/>
  <c r="S41" i="3"/>
  <c r="U41" i="3"/>
  <c r="AC41" i="3" s="1"/>
  <c r="V41" i="3"/>
  <c r="W41" i="3"/>
  <c r="X41" i="3"/>
  <c r="M14" i="3"/>
  <c r="U14" i="3"/>
  <c r="AC14" i="3" s="1"/>
  <c r="V14" i="3"/>
  <c r="W14" i="3"/>
  <c r="X14" i="3"/>
  <c r="M24" i="3"/>
  <c r="R24" i="3"/>
  <c r="U24" i="3"/>
  <c r="V24" i="3"/>
  <c r="W24" i="3"/>
  <c r="X24" i="3"/>
  <c r="AC24" i="3"/>
  <c r="M11" i="3"/>
  <c r="U11" i="3"/>
  <c r="V11" i="3"/>
  <c r="W11" i="3"/>
  <c r="X11" i="3"/>
  <c r="M25" i="3"/>
  <c r="R25" i="3"/>
  <c r="U25" i="3"/>
  <c r="AC25" i="3" s="1"/>
  <c r="V25" i="3"/>
  <c r="W25" i="3"/>
  <c r="Y25" i="3" s="1"/>
  <c r="X25" i="3"/>
  <c r="M40" i="3"/>
  <c r="R40" i="3"/>
  <c r="U40" i="3"/>
  <c r="AC40" i="3" s="1"/>
  <c r="V40" i="3"/>
  <c r="W40" i="3"/>
  <c r="X40" i="3"/>
  <c r="M17" i="3"/>
  <c r="U17" i="3"/>
  <c r="T17" i="3" s="1"/>
  <c r="V17" i="3"/>
  <c r="W17" i="3"/>
  <c r="X17" i="3"/>
  <c r="AC17" i="3"/>
  <c r="M35" i="3"/>
  <c r="U35" i="3"/>
  <c r="AD21" i="3" s="1"/>
  <c r="V35" i="3"/>
  <c r="W35" i="3"/>
  <c r="X35" i="3"/>
  <c r="M32" i="3"/>
  <c r="U32" i="3"/>
  <c r="AC32" i="3" s="1"/>
  <c r="V32" i="3"/>
  <c r="W32" i="3"/>
  <c r="X32" i="3"/>
  <c r="M36" i="3"/>
  <c r="U36" i="3"/>
  <c r="AC36" i="3" s="1"/>
  <c r="V36" i="3"/>
  <c r="AE36" i="3" s="1"/>
  <c r="W36" i="3"/>
  <c r="X36" i="3"/>
  <c r="AE23" i="3"/>
  <c r="M26" i="3"/>
  <c r="U26" i="3"/>
  <c r="V26" i="3"/>
  <c r="W26" i="3"/>
  <c r="X26" i="3"/>
  <c r="AC26" i="3"/>
  <c r="M28" i="3"/>
  <c r="U28" i="3"/>
  <c r="AC28" i="3" s="1"/>
  <c r="V28" i="3"/>
  <c r="W28" i="3"/>
  <c r="X28" i="3"/>
  <c r="M37" i="3"/>
  <c r="U37" i="3"/>
  <c r="AC37" i="3" s="1"/>
  <c r="V37" i="3"/>
  <c r="W37" i="3"/>
  <c r="X37" i="3"/>
  <c r="M20" i="3"/>
  <c r="U20" i="3"/>
  <c r="T20" i="3" s="1"/>
  <c r="V20" i="3"/>
  <c r="W20" i="3"/>
  <c r="X20" i="3"/>
  <c r="AC20" i="3"/>
  <c r="M42" i="3"/>
  <c r="R42" i="3"/>
  <c r="U42" i="3"/>
  <c r="AD42" i="3" s="1"/>
  <c r="V42" i="3"/>
  <c r="W42" i="3"/>
  <c r="X42" i="3"/>
  <c r="M19" i="3"/>
  <c r="R19" i="3"/>
  <c r="U19" i="3"/>
  <c r="AC19" i="3" s="1"/>
  <c r="V19" i="3"/>
  <c r="W19" i="3"/>
  <c r="X19" i="3"/>
  <c r="M33" i="3"/>
  <c r="S33" i="3"/>
  <c r="U33" i="3"/>
  <c r="AC33" i="3" s="1"/>
  <c r="V33" i="3"/>
  <c r="W33" i="3"/>
  <c r="X33" i="3"/>
  <c r="M15" i="3"/>
  <c r="U15" i="3"/>
  <c r="AD30" i="3" s="1"/>
  <c r="V15" i="3"/>
  <c r="W15" i="3"/>
  <c r="X15" i="3"/>
  <c r="AC15" i="3"/>
  <c r="M8" i="3"/>
  <c r="U8" i="3"/>
  <c r="V8" i="3"/>
  <c r="W8" i="3"/>
  <c r="X8" i="3"/>
  <c r="M13" i="3"/>
  <c r="U13" i="3"/>
  <c r="AC13" i="3" s="1"/>
  <c r="V13" i="3"/>
  <c r="W13" i="3"/>
  <c r="X13" i="3"/>
  <c r="Y13" i="3"/>
  <c r="M38" i="3"/>
  <c r="R38" i="3"/>
  <c r="U38" i="3"/>
  <c r="AC38" i="3" s="1"/>
  <c r="V38" i="3"/>
  <c r="W38" i="3"/>
  <c r="X38" i="3"/>
  <c r="AD33" i="3"/>
  <c r="M9" i="3"/>
  <c r="U9" i="3"/>
  <c r="T9" i="3" s="1"/>
  <c r="V9" i="3"/>
  <c r="W9" i="3"/>
  <c r="X9" i="3"/>
  <c r="AC9" i="3"/>
  <c r="M27" i="3"/>
  <c r="U27" i="3"/>
  <c r="V27" i="3"/>
  <c r="W27" i="3"/>
  <c r="X27" i="3"/>
  <c r="M39" i="3"/>
  <c r="U39" i="3"/>
  <c r="AC39" i="3" s="1"/>
  <c r="V39" i="3"/>
  <c r="W39" i="3"/>
  <c r="X39" i="3"/>
  <c r="M16" i="3"/>
  <c r="U16" i="3"/>
  <c r="AC16" i="3" s="1"/>
  <c r="V16" i="3"/>
  <c r="W16" i="3"/>
  <c r="X16" i="3"/>
  <c r="M10" i="3"/>
  <c r="U10" i="3"/>
  <c r="T10" i="3" s="1"/>
  <c r="V10" i="3"/>
  <c r="W10" i="3"/>
  <c r="X10" i="3"/>
  <c r="AC10" i="3"/>
  <c r="M34" i="3"/>
  <c r="U34" i="3"/>
  <c r="V34" i="3"/>
  <c r="W34" i="3"/>
  <c r="X34" i="3"/>
  <c r="Y34" i="3"/>
  <c r="M18" i="3"/>
  <c r="R18" i="3"/>
  <c r="U18" i="3"/>
  <c r="AC18" i="3" s="1"/>
  <c r="V18" i="3"/>
  <c r="W18" i="3"/>
  <c r="X18" i="3"/>
  <c r="M44" i="3"/>
  <c r="R44" i="3"/>
  <c r="U44" i="3"/>
  <c r="AC44" i="3" s="1"/>
  <c r="V44" i="3"/>
  <c r="W44" i="3"/>
  <c r="X44" i="3"/>
  <c r="M43" i="3"/>
  <c r="R43" i="3"/>
  <c r="S43" i="3"/>
  <c r="U43" i="3"/>
  <c r="T43" i="3" s="1"/>
  <c r="V43" i="3"/>
  <c r="W43" i="3"/>
  <c r="X43" i="3"/>
  <c r="AC43" i="3"/>
  <c r="M22" i="3"/>
  <c r="U22" i="3"/>
  <c r="V22" i="3"/>
  <c r="W22" i="3"/>
  <c r="X22" i="3"/>
  <c r="AC22" i="3"/>
  <c r="M29" i="3"/>
  <c r="U29" i="3"/>
  <c r="AC29" i="3" s="1"/>
  <c r="V29" i="3"/>
  <c r="W29" i="3"/>
  <c r="X29" i="3"/>
  <c r="Y29" i="3"/>
  <c r="AA16" i="1" l="1"/>
  <c r="S34" i="3"/>
  <c r="AA234" i="1"/>
  <c r="W234" i="1" s="1"/>
  <c r="S16" i="3"/>
  <c r="R13" i="3"/>
  <c r="AG157" i="1"/>
  <c r="AI142" i="1"/>
  <c r="X180" i="1"/>
  <c r="AA39" i="1"/>
  <c r="AA169" i="1"/>
  <c r="AI234" i="1"/>
  <c r="X72" i="1"/>
  <c r="X57" i="1"/>
  <c r="AG183" i="1"/>
  <c r="R28" i="3"/>
  <c r="AG211" i="1"/>
  <c r="AA138" i="1"/>
  <c r="AG56" i="1"/>
  <c r="Y22" i="3"/>
  <c r="Y32" i="3"/>
  <c r="X211" i="1"/>
  <c r="AA135" i="1"/>
  <c r="W135" i="1" s="1"/>
  <c r="AA127" i="1"/>
  <c r="W127" i="1" s="1"/>
  <c r="AA123" i="1"/>
  <c r="AA118" i="1"/>
  <c r="W118" i="1" s="1"/>
  <c r="AA106" i="1"/>
  <c r="AA100" i="1"/>
  <c r="AA92" i="1"/>
  <c r="T57" i="1"/>
  <c r="AA23" i="1"/>
  <c r="W23" i="1" s="1"/>
  <c r="AA256" i="1"/>
  <c r="AG249" i="1"/>
  <c r="X249" i="1"/>
  <c r="X143" i="1"/>
  <c r="Y28" i="3"/>
  <c r="T36" i="3"/>
  <c r="AD37" i="3"/>
  <c r="Y39" i="3"/>
  <c r="Y36" i="3"/>
  <c r="AE40" i="3"/>
  <c r="AA203" i="1"/>
  <c r="AG187" i="1"/>
  <c r="U187" i="1" s="1"/>
  <c r="S187" i="1" s="1"/>
  <c r="X261" i="1"/>
  <c r="AA249" i="1"/>
  <c r="AA240" i="1"/>
  <c r="AI238" i="1"/>
  <c r="AI143" i="1"/>
  <c r="AI75" i="1"/>
  <c r="AA59" i="1"/>
  <c r="AA57" i="1"/>
  <c r="AA56" i="1"/>
  <c r="W56" i="1" s="1"/>
  <c r="AA52" i="1"/>
  <c r="AA36" i="1"/>
  <c r="AA32" i="1"/>
  <c r="AA28" i="1"/>
  <c r="Y20" i="3"/>
  <c r="S11" i="3"/>
  <c r="Y23" i="3"/>
  <c r="U183" i="1"/>
  <c r="S183" i="1" s="1"/>
  <c r="X81" i="1"/>
  <c r="X183" i="1"/>
  <c r="S8" i="3"/>
  <c r="Y42" i="3"/>
  <c r="S26" i="3"/>
  <c r="Y35" i="3"/>
  <c r="Y41" i="3"/>
  <c r="Y7" i="3"/>
  <c r="AD41" i="3"/>
  <c r="AD39" i="3"/>
  <c r="T33" i="3"/>
  <c r="AG199" i="1"/>
  <c r="AI199" i="1" s="1"/>
  <c r="AA196" i="1"/>
  <c r="T196" i="1"/>
  <c r="U196" i="1" s="1"/>
  <c r="S196" i="1" s="1"/>
  <c r="AA195" i="1"/>
  <c r="X194" i="1"/>
  <c r="AA193" i="1"/>
  <c r="W193" i="1" s="1"/>
  <c r="AI182" i="1"/>
  <c r="AA175" i="1"/>
  <c r="W175" i="1" s="1"/>
  <c r="T175" i="1"/>
  <c r="U175" i="1" s="1"/>
  <c r="S175" i="1" s="1"/>
  <c r="AA165" i="1"/>
  <c r="AA263" i="1"/>
  <c r="AA259" i="1"/>
  <c r="AA255" i="1"/>
  <c r="AG248" i="1"/>
  <c r="AI248" i="1" s="1"/>
  <c r="AA247" i="1"/>
  <c r="AA243" i="1"/>
  <c r="AG240" i="1"/>
  <c r="AI240" i="1" s="1"/>
  <c r="AA239" i="1"/>
  <c r="AG220" i="1"/>
  <c r="AI220" i="1" s="1"/>
  <c r="AA219" i="1"/>
  <c r="AA159" i="1"/>
  <c r="AA154" i="1"/>
  <c r="AI103" i="1"/>
  <c r="AA101" i="1"/>
  <c r="AA87" i="1"/>
  <c r="W87" i="1" s="1"/>
  <c r="AA80" i="1"/>
  <c r="AA40" i="1"/>
  <c r="X32" i="1"/>
  <c r="AA20" i="1"/>
  <c r="W20" i="1" s="1"/>
  <c r="X182" i="1"/>
  <c r="X181" i="1"/>
  <c r="R34" i="3"/>
  <c r="R10" i="3"/>
  <c r="AD35" i="3"/>
  <c r="AD31" i="3"/>
  <c r="AD23" i="3"/>
  <c r="Y40" i="3"/>
  <c r="AD15" i="3"/>
  <c r="Y31" i="3"/>
  <c r="X226" i="1"/>
  <c r="X196" i="1"/>
  <c r="AA194" i="1"/>
  <c r="T194" i="1"/>
  <c r="U194" i="1" s="1"/>
  <c r="S194" i="1" s="1"/>
  <c r="T193" i="1"/>
  <c r="AA180" i="1"/>
  <c r="X175" i="1"/>
  <c r="X170" i="1"/>
  <c r="AA164" i="1"/>
  <c r="AA220" i="1"/>
  <c r="X144" i="1"/>
  <c r="X124" i="1"/>
  <c r="AA122" i="1"/>
  <c r="W122" i="1" s="1"/>
  <c r="AA111" i="1"/>
  <c r="P99" i="1"/>
  <c r="AG68" i="1"/>
  <c r="AI68" i="1" s="1"/>
  <c r="T23" i="1"/>
  <c r="U23" i="1" s="1"/>
  <c r="S23" i="1" s="1"/>
  <c r="X184" i="1"/>
  <c r="AC30" i="3"/>
  <c r="T30" i="3"/>
  <c r="Y38" i="3"/>
  <c r="AE11" i="3"/>
  <c r="Y30" i="3"/>
  <c r="AA205" i="1"/>
  <c r="AG181" i="1"/>
  <c r="T181" i="1"/>
  <c r="U181" i="1" s="1"/>
  <c r="S181" i="1" s="1"/>
  <c r="AG111" i="1"/>
  <c r="X111" i="1"/>
  <c r="T78" i="1"/>
  <c r="X78" i="1"/>
  <c r="AG78" i="1"/>
  <c r="X233" i="1"/>
  <c r="T233" i="1"/>
  <c r="X229" i="1"/>
  <c r="AG229" i="1"/>
  <c r="T218" i="1"/>
  <c r="AG218" i="1"/>
  <c r="AI218" i="1" s="1"/>
  <c r="T212" i="1"/>
  <c r="U212" i="1" s="1"/>
  <c r="S212" i="1" s="1"/>
  <c r="AG212" i="1"/>
  <c r="W138" i="1"/>
  <c r="T189" i="1"/>
  <c r="AG189" i="1"/>
  <c r="U189" i="1" s="1"/>
  <c r="S189" i="1" s="1"/>
  <c r="AA170" i="1"/>
  <c r="AG167" i="1"/>
  <c r="U167" i="1" s="1"/>
  <c r="S167" i="1" s="1"/>
  <c r="AA261" i="1"/>
  <c r="T257" i="1"/>
  <c r="U257" i="1" s="1"/>
  <c r="S257" i="1" s="1"/>
  <c r="AG257" i="1"/>
  <c r="AA251" i="1"/>
  <c r="AA151" i="1"/>
  <c r="AA144" i="1"/>
  <c r="AG139" i="1"/>
  <c r="W139" i="1" s="1"/>
  <c r="X139" i="1"/>
  <c r="T112" i="1"/>
  <c r="X112" i="1"/>
  <c r="AG112" i="1"/>
  <c r="AG101" i="1"/>
  <c r="AI101" i="1" s="1"/>
  <c r="X101" i="1"/>
  <c r="AG205" i="1"/>
  <c r="T205" i="1"/>
  <c r="AG221" i="1"/>
  <c r="AI221" i="1" s="1"/>
  <c r="Y44" i="3"/>
  <c r="Y18" i="3"/>
  <c r="Y10" i="3"/>
  <c r="AA197" i="1"/>
  <c r="W197" i="1" s="1"/>
  <c r="AI190" i="1"/>
  <c r="T185" i="1"/>
  <c r="T178" i="1"/>
  <c r="AI171" i="1"/>
  <c r="AG232" i="1"/>
  <c r="AI232" i="1" s="1"/>
  <c r="T232" i="1"/>
  <c r="T229" i="1"/>
  <c r="X219" i="1"/>
  <c r="T219" i="1"/>
  <c r="T215" i="1"/>
  <c r="X215" i="1"/>
  <c r="AG215" i="1"/>
  <c r="T210" i="1"/>
  <c r="AG210" i="1"/>
  <c r="AI210" i="1" s="1"/>
  <c r="AA161" i="1"/>
  <c r="AG160" i="1"/>
  <c r="U160" i="1" s="1"/>
  <c r="S160" i="1" s="1"/>
  <c r="X160" i="1"/>
  <c r="X64" i="1"/>
  <c r="AA62" i="1"/>
  <c r="AA61" i="1"/>
  <c r="AA128" i="1"/>
  <c r="AA124" i="1"/>
  <c r="X25" i="1"/>
  <c r="AG21" i="1"/>
  <c r="U21" i="1" s="1"/>
  <c r="S21" i="1" s="1"/>
  <c r="X21" i="1"/>
  <c r="X20" i="1"/>
  <c r="AG94" i="1"/>
  <c r="U94" i="1" s="1"/>
  <c r="X94" i="1"/>
  <c r="AA85" i="1"/>
  <c r="AA63" i="1"/>
  <c r="AG61" i="1"/>
  <c r="U61" i="1" s="1"/>
  <c r="S61" i="1" s="1"/>
  <c r="AG40" i="1"/>
  <c r="AI40" i="1" s="1"/>
  <c r="X245" i="1"/>
  <c r="X136" i="1"/>
  <c r="AD24" i="3"/>
  <c r="Y11" i="3"/>
  <c r="AA224" i="1"/>
  <c r="W224" i="1" s="1"/>
  <c r="AA204" i="1"/>
  <c r="AA187" i="1"/>
  <c r="AA172" i="1"/>
  <c r="AA244" i="1"/>
  <c r="AA235" i="1"/>
  <c r="AG230" i="1"/>
  <c r="AG228" i="1"/>
  <c r="AI228" i="1" s="1"/>
  <c r="AA217" i="1"/>
  <c r="AA214" i="1"/>
  <c r="AA211" i="1"/>
  <c r="W211" i="1" s="1"/>
  <c r="AA137" i="1"/>
  <c r="AA131" i="1"/>
  <c r="X116" i="1"/>
  <c r="AA116" i="1"/>
  <c r="AA115" i="1"/>
  <c r="W115" i="1" s="1"/>
  <c r="AA108" i="1"/>
  <c r="AA88" i="1"/>
  <c r="AA84" i="1"/>
  <c r="AA77" i="1"/>
  <c r="AA68" i="1"/>
  <c r="AA64" i="1"/>
  <c r="AA60" i="1"/>
  <c r="AA50" i="1"/>
  <c r="W50" i="1" s="1"/>
  <c r="AA44" i="1"/>
  <c r="AG33" i="1"/>
  <c r="U33" i="1" s="1"/>
  <c r="S33" i="1" s="1"/>
  <c r="X33" i="1"/>
  <c r="T25" i="1"/>
  <c r="AA24" i="1"/>
  <c r="AA22" i="1"/>
  <c r="AA21" i="1"/>
  <c r="AG166" i="1"/>
  <c r="X166" i="1"/>
  <c r="AG204" i="1"/>
  <c r="U204" i="1" s="1"/>
  <c r="S204" i="1" s="1"/>
  <c r="X204" i="1"/>
  <c r="AA226" i="1"/>
  <c r="W226" i="1" s="1"/>
  <c r="T226" i="1"/>
  <c r="U226" i="1" s="1"/>
  <c r="S226" i="1" s="1"/>
  <c r="AA225" i="1"/>
  <c r="T223" i="1"/>
  <c r="U223" i="1" s="1"/>
  <c r="S223" i="1" s="1"/>
  <c r="AA221" i="1"/>
  <c r="AG201" i="1"/>
  <c r="U201" i="1" s="1"/>
  <c r="S201" i="1" s="1"/>
  <c r="T197" i="1"/>
  <c r="U197" i="1" s="1"/>
  <c r="S197" i="1" s="1"/>
  <c r="AG177" i="1"/>
  <c r="T177" i="1"/>
  <c r="X177" i="1"/>
  <c r="X171" i="1"/>
  <c r="AA252" i="1"/>
  <c r="W252" i="1" s="1"/>
  <c r="AI252" i="1"/>
  <c r="AA248" i="1"/>
  <c r="T214" i="1"/>
  <c r="AG214" i="1"/>
  <c r="AI214" i="1" s="1"/>
  <c r="AG131" i="1"/>
  <c r="X131" i="1"/>
  <c r="X86" i="1"/>
  <c r="T86" i="1"/>
  <c r="T48" i="1"/>
  <c r="AG48" i="1"/>
  <c r="T17" i="1"/>
  <c r="X17" i="1"/>
  <c r="AG17" i="1"/>
  <c r="X223" i="1"/>
  <c r="AG206" i="1"/>
  <c r="AI206" i="1" s="1"/>
  <c r="X206" i="1"/>
  <c r="T191" i="1"/>
  <c r="AG191" i="1"/>
  <c r="T256" i="1"/>
  <c r="AG256" i="1"/>
  <c r="AI256" i="1" s="1"/>
  <c r="AA228" i="1"/>
  <c r="T161" i="1"/>
  <c r="AG161" i="1"/>
  <c r="AG151" i="1"/>
  <c r="X151" i="1"/>
  <c r="AG97" i="1"/>
  <c r="AI97" i="1" s="1"/>
  <c r="X97" i="1"/>
  <c r="AG236" i="1"/>
  <c r="AI236" i="1" s="1"/>
  <c r="X236" i="1"/>
  <c r="T216" i="1"/>
  <c r="AG216" i="1"/>
  <c r="T132" i="1"/>
  <c r="X132" i="1"/>
  <c r="AG132" i="1"/>
  <c r="AI132" i="1" s="1"/>
  <c r="T85" i="1"/>
  <c r="AG85" i="1"/>
  <c r="X49" i="1"/>
  <c r="T49" i="1"/>
  <c r="AG36" i="1"/>
  <c r="AI36" i="1" s="1"/>
  <c r="X36" i="1"/>
  <c r="AG16" i="1"/>
  <c r="W16" i="1" s="1"/>
  <c r="X16" i="1"/>
  <c r="AG173" i="1"/>
  <c r="T173" i="1"/>
  <c r="X173" i="1"/>
  <c r="AA207" i="1"/>
  <c r="X167" i="1"/>
  <c r="X257" i="1"/>
  <c r="T159" i="1"/>
  <c r="AG159" i="1"/>
  <c r="AI159" i="1" s="1"/>
  <c r="T152" i="1"/>
  <c r="X152" i="1"/>
  <c r="AG152" i="1"/>
  <c r="AI152" i="1" s="1"/>
  <c r="T90" i="1"/>
  <c r="AG90" i="1"/>
  <c r="T52" i="1"/>
  <c r="AG52" i="1"/>
  <c r="AI52" i="1" s="1"/>
  <c r="AA31" i="1"/>
  <c r="W31" i="1" s="1"/>
  <c r="AI31" i="1"/>
  <c r="AI198" i="1"/>
  <c r="AI186" i="1"/>
  <c r="AA178" i="1"/>
  <c r="W178" i="1" s="1"/>
  <c r="AA260" i="1"/>
  <c r="X244" i="1"/>
  <c r="W241" i="1"/>
  <c r="AA232" i="1"/>
  <c r="W232" i="1" s="1"/>
  <c r="AA156" i="1"/>
  <c r="AA148" i="1"/>
  <c r="AA134" i="1"/>
  <c r="W134" i="1" s="1"/>
  <c r="AA105" i="1"/>
  <c r="X93" i="1"/>
  <c r="X68" i="1"/>
  <c r="AA183" i="1"/>
  <c r="W183" i="1" s="1"/>
  <c r="AI175" i="1"/>
  <c r="AA174" i="1"/>
  <c r="W174" i="1" s="1"/>
  <c r="AA171" i="1"/>
  <c r="W171" i="1" s="1"/>
  <c r="T171" i="1"/>
  <c r="U171" i="1" s="1"/>
  <c r="S171" i="1" s="1"/>
  <c r="AG163" i="1"/>
  <c r="AI163" i="1" s="1"/>
  <c r="X163" i="1"/>
  <c r="X252" i="1"/>
  <c r="AA250" i="1"/>
  <c r="AA242" i="1"/>
  <c r="W242" i="1" s="1"/>
  <c r="AG233" i="1"/>
  <c r="AA230" i="1"/>
  <c r="AA227" i="1"/>
  <c r="AG219" i="1"/>
  <c r="W219" i="1" s="1"/>
  <c r="AA218" i="1"/>
  <c r="AA215" i="1"/>
  <c r="AA212" i="1"/>
  <c r="AA210" i="1"/>
  <c r="AA157" i="1"/>
  <c r="AA155" i="1"/>
  <c r="W155" i="1" s="1"/>
  <c r="AA147" i="1"/>
  <c r="W147" i="1" s="1"/>
  <c r="AA143" i="1"/>
  <c r="W143" i="1" s="1"/>
  <c r="AA142" i="1"/>
  <c r="W142" i="1" s="1"/>
  <c r="AG136" i="1"/>
  <c r="AA130" i="1"/>
  <c r="W130" i="1" s="1"/>
  <c r="AA126" i="1"/>
  <c r="W126" i="1" s="1"/>
  <c r="AA120" i="1"/>
  <c r="X115" i="1"/>
  <c r="AA110" i="1"/>
  <c r="W110" i="1" s="1"/>
  <c r="AG105" i="1"/>
  <c r="AI105" i="1" s="1"/>
  <c r="X105" i="1"/>
  <c r="AA89" i="1"/>
  <c r="X77" i="1"/>
  <c r="AG72" i="1"/>
  <c r="W72" i="1" s="1"/>
  <c r="AA71" i="1"/>
  <c r="AA67" i="1"/>
  <c r="AG65" i="1"/>
  <c r="U65" i="1" s="1"/>
  <c r="S65" i="1" s="1"/>
  <c r="X65" i="1"/>
  <c r="AG44" i="1"/>
  <c r="AI44" i="1" s="1"/>
  <c r="AA43" i="1"/>
  <c r="AG28" i="1"/>
  <c r="AI28" i="1" s="1"/>
  <c r="AA26" i="1"/>
  <c r="AG24" i="1"/>
  <c r="X24" i="1"/>
  <c r="AA199" i="1"/>
  <c r="AA191" i="1"/>
  <c r="AA177" i="1"/>
  <c r="AA176" i="1"/>
  <c r="AA173" i="1"/>
  <c r="W173" i="1" s="1"/>
  <c r="AA166" i="1"/>
  <c r="AA162" i="1"/>
  <c r="W162" i="1" s="1"/>
  <c r="AA258" i="1"/>
  <c r="AA236" i="1"/>
  <c r="AA231" i="1"/>
  <c r="AA216" i="1"/>
  <c r="AA213" i="1"/>
  <c r="AA158" i="1"/>
  <c r="AA153" i="1"/>
  <c r="AA133" i="1"/>
  <c r="AA119" i="1"/>
  <c r="W119" i="1" s="1"/>
  <c r="AA114" i="1"/>
  <c r="W114" i="1" s="1"/>
  <c r="AA104" i="1"/>
  <c r="AA96" i="1"/>
  <c r="AA91" i="1"/>
  <c r="AA90" i="1"/>
  <c r="W90" i="1" s="1"/>
  <c r="AA86" i="1"/>
  <c r="AA74" i="1"/>
  <c r="AA58" i="1"/>
  <c r="AA55" i="1"/>
  <c r="AA48" i="1"/>
  <c r="AA35" i="1"/>
  <c r="AA27" i="1"/>
  <c r="AA18" i="1"/>
  <c r="AA208" i="1"/>
  <c r="W208" i="1" s="1"/>
  <c r="AA202" i="1"/>
  <c r="AA200" i="1"/>
  <c r="W200" i="1" s="1"/>
  <c r="T200" i="1"/>
  <c r="U200" i="1" s="1"/>
  <c r="S200" i="1" s="1"/>
  <c r="X198" i="1"/>
  <c r="AI194" i="1"/>
  <c r="AI226" i="1"/>
  <c r="AG225" i="1"/>
  <c r="AI225" i="1" s="1"/>
  <c r="AA222" i="1"/>
  <c r="T222" i="1"/>
  <c r="AA192" i="1"/>
  <c r="W192" i="1" s="1"/>
  <c r="T192" i="1"/>
  <c r="U192" i="1" s="1"/>
  <c r="S192" i="1" s="1"/>
  <c r="X190" i="1"/>
  <c r="AA188" i="1"/>
  <c r="W188" i="1" s="1"/>
  <c r="T188" i="1"/>
  <c r="U188" i="1" s="1"/>
  <c r="S188" i="1" s="1"/>
  <c r="X186" i="1"/>
  <c r="AA184" i="1"/>
  <c r="W184" i="1" s="1"/>
  <c r="T184" i="1"/>
  <c r="U184" i="1" s="1"/>
  <c r="S184" i="1" s="1"/>
  <c r="AA179" i="1"/>
  <c r="W179" i="1" s="1"/>
  <c r="T179" i="1"/>
  <c r="U179" i="1" s="1"/>
  <c r="S179" i="1" s="1"/>
  <c r="T172" i="1"/>
  <c r="AG172" i="1"/>
  <c r="AA201" i="1"/>
  <c r="X200" i="1"/>
  <c r="AA198" i="1"/>
  <c r="W198" i="1" s="1"/>
  <c r="T198" i="1"/>
  <c r="U198" i="1" s="1"/>
  <c r="S198" i="1" s="1"/>
  <c r="AG195" i="1"/>
  <c r="U195" i="1" s="1"/>
  <c r="S195" i="1" s="1"/>
  <c r="AI224" i="1"/>
  <c r="AA223" i="1"/>
  <c r="W223" i="1" s="1"/>
  <c r="X222" i="1"/>
  <c r="AG207" i="1"/>
  <c r="U207" i="1" s="1"/>
  <c r="S207" i="1" s="1"/>
  <c r="AA206" i="1"/>
  <c r="T206" i="1"/>
  <c r="U206" i="1" s="1"/>
  <c r="S206" i="1" s="1"/>
  <c r="AG203" i="1"/>
  <c r="X192" i="1"/>
  <c r="AA190" i="1"/>
  <c r="W190" i="1" s="1"/>
  <c r="T190" i="1"/>
  <c r="U190" i="1" s="1"/>
  <c r="S190" i="1" s="1"/>
  <c r="AA189" i="1"/>
  <c r="X188" i="1"/>
  <c r="AA186" i="1"/>
  <c r="W186" i="1" s="1"/>
  <c r="T186" i="1"/>
  <c r="U186" i="1" s="1"/>
  <c r="S186" i="1" s="1"/>
  <c r="AA185" i="1"/>
  <c r="W185" i="1" s="1"/>
  <c r="AA182" i="1"/>
  <c r="W182" i="1" s="1"/>
  <c r="T182" i="1"/>
  <c r="U182" i="1" s="1"/>
  <c r="S182" i="1" s="1"/>
  <c r="AA181" i="1"/>
  <c r="W181" i="1" s="1"/>
  <c r="T180" i="1"/>
  <c r="AG180" i="1"/>
  <c r="AI180" i="1" s="1"/>
  <c r="X179" i="1"/>
  <c r="T176" i="1"/>
  <c r="AG176" i="1"/>
  <c r="T174" i="1"/>
  <c r="U174" i="1" s="1"/>
  <c r="S174" i="1" s="1"/>
  <c r="T162" i="1"/>
  <c r="U162" i="1" s="1"/>
  <c r="S162" i="1" s="1"/>
  <c r="T244" i="1"/>
  <c r="AG149" i="1"/>
  <c r="U149" i="1" s="1"/>
  <c r="S149" i="1" s="1"/>
  <c r="AG148" i="1"/>
  <c r="X148" i="1"/>
  <c r="AA146" i="1"/>
  <c r="AA145" i="1"/>
  <c r="T144" i="1"/>
  <c r="AA141" i="1"/>
  <c r="T140" i="1"/>
  <c r="AA136" i="1"/>
  <c r="W136" i="1" s="1"/>
  <c r="T135" i="1"/>
  <c r="U135" i="1" s="1"/>
  <c r="S135" i="1" s="1"/>
  <c r="T127" i="1"/>
  <c r="U127" i="1" s="1"/>
  <c r="S127" i="1" s="1"/>
  <c r="T119" i="1"/>
  <c r="T102" i="1"/>
  <c r="X102" i="1"/>
  <c r="AG102" i="1"/>
  <c r="AI102" i="1" s="1"/>
  <c r="T84" i="1"/>
  <c r="X85" i="1"/>
  <c r="U56" i="1"/>
  <c r="S56" i="1" s="1"/>
  <c r="AI56" i="1"/>
  <c r="X41" i="1"/>
  <c r="AG41" i="1"/>
  <c r="AI41" i="1" s="1"/>
  <c r="AG27" i="1"/>
  <c r="T27" i="1"/>
  <c r="T170" i="1"/>
  <c r="AA167" i="1"/>
  <c r="AA262" i="1"/>
  <c r="X260" i="1"/>
  <c r="X256" i="1"/>
  <c r="AG253" i="1"/>
  <c r="AI253" i="1" s="1"/>
  <c r="X253" i="1"/>
  <c r="AA246" i="1"/>
  <c r="W246" i="1" s="1"/>
  <c r="AA245" i="1"/>
  <c r="T245" i="1"/>
  <c r="AG244" i="1"/>
  <c r="X240" i="1"/>
  <c r="AG237" i="1"/>
  <c r="U237" i="1" s="1"/>
  <c r="S237" i="1" s="1"/>
  <c r="X237" i="1"/>
  <c r="X228" i="1"/>
  <c r="X214" i="1"/>
  <c r="X159" i="1"/>
  <c r="AG156" i="1"/>
  <c r="U156" i="1" s="1"/>
  <c r="S156" i="1" s="1"/>
  <c r="X156" i="1"/>
  <c r="X155" i="1"/>
  <c r="AA152" i="1"/>
  <c r="T151" i="1"/>
  <c r="X147" i="1"/>
  <c r="T139" i="1"/>
  <c r="U139" i="1" s="1"/>
  <c r="S139" i="1" s="1"/>
  <c r="AG128" i="1"/>
  <c r="X128" i="1"/>
  <c r="AA125" i="1"/>
  <c r="T124" i="1"/>
  <c r="AG120" i="1"/>
  <c r="U120" i="1" s="1"/>
  <c r="S120" i="1" s="1"/>
  <c r="X120" i="1"/>
  <c r="AA117" i="1"/>
  <c r="T116" i="1"/>
  <c r="AG107" i="1"/>
  <c r="U107" i="1" s="1"/>
  <c r="S107" i="1" s="1"/>
  <c r="X107" i="1"/>
  <c r="AG104" i="1"/>
  <c r="AI104" i="1" s="1"/>
  <c r="X104" i="1"/>
  <c r="X90" i="1"/>
  <c r="X89" i="1"/>
  <c r="AG89" i="1"/>
  <c r="T82" i="1"/>
  <c r="X82" i="1"/>
  <c r="AG82" i="1"/>
  <c r="AI82" i="1" s="1"/>
  <c r="T55" i="1"/>
  <c r="X56" i="1"/>
  <c r="T53" i="1"/>
  <c r="X53" i="1"/>
  <c r="AG53" i="1"/>
  <c r="AI53" i="1" s="1"/>
  <c r="AI50" i="1"/>
  <c r="T47" i="1"/>
  <c r="X48" i="1"/>
  <c r="X45" i="1"/>
  <c r="AG45" i="1"/>
  <c r="X28" i="1"/>
  <c r="AA19" i="1"/>
  <c r="T166" i="1"/>
  <c r="X162" i="1"/>
  <c r="T261" i="1"/>
  <c r="T252" i="1"/>
  <c r="U252" i="1" s="1"/>
  <c r="S252" i="1" s="1"/>
  <c r="U241" i="1"/>
  <c r="S241" i="1" s="1"/>
  <c r="T236" i="1"/>
  <c r="U211" i="1"/>
  <c r="S211" i="1" s="1"/>
  <c r="AA209" i="1"/>
  <c r="AA160" i="1"/>
  <c r="U157" i="1"/>
  <c r="S157" i="1" s="1"/>
  <c r="AG153" i="1"/>
  <c r="U153" i="1" s="1"/>
  <c r="S153" i="1" s="1"/>
  <c r="AA150" i="1"/>
  <c r="AA149" i="1"/>
  <c r="AG145" i="1"/>
  <c r="U145" i="1" s="1"/>
  <c r="S145" i="1" s="1"/>
  <c r="AG144" i="1"/>
  <c r="T143" i="1"/>
  <c r="U143" i="1" s="1"/>
  <c r="S143" i="1" s="1"/>
  <c r="AG140" i="1"/>
  <c r="W140" i="1" s="1"/>
  <c r="X135" i="1"/>
  <c r="AA132" i="1"/>
  <c r="T131" i="1"/>
  <c r="X127" i="1"/>
  <c r="T123" i="1"/>
  <c r="U123" i="1" s="1"/>
  <c r="S123" i="1" s="1"/>
  <c r="X119" i="1"/>
  <c r="T115" i="1"/>
  <c r="U115" i="1" s="1"/>
  <c r="S115" i="1" s="1"/>
  <c r="X75" i="1"/>
  <c r="X61" i="1"/>
  <c r="X60" i="1"/>
  <c r="AG60" i="1"/>
  <c r="T41" i="1"/>
  <c r="T39" i="1"/>
  <c r="X40" i="1"/>
  <c r="AG170" i="1"/>
  <c r="W170" i="1" s="1"/>
  <c r="AA163" i="1"/>
  <c r="AG261" i="1"/>
  <c r="T260" i="1"/>
  <c r="U260" i="1" s="1"/>
  <c r="S260" i="1" s="1"/>
  <c r="AA254" i="1"/>
  <c r="X248" i="1"/>
  <c r="AG245" i="1"/>
  <c r="AI245" i="1" s="1"/>
  <c r="AA238" i="1"/>
  <c r="AA237" i="1"/>
  <c r="AA233" i="1"/>
  <c r="W233" i="1" s="1"/>
  <c r="X232" i="1"/>
  <c r="AA229" i="1"/>
  <c r="X218" i="1"/>
  <c r="X210" i="1"/>
  <c r="T155" i="1"/>
  <c r="T147" i="1"/>
  <c r="U147" i="1" s="1"/>
  <c r="S147" i="1" s="1"/>
  <c r="AA129" i="1"/>
  <c r="AG124" i="1"/>
  <c r="AI124" i="1" s="1"/>
  <c r="AA121" i="1"/>
  <c r="AG116" i="1"/>
  <c r="AA113" i="1"/>
  <c r="AG108" i="1"/>
  <c r="AI108" i="1" s="1"/>
  <c r="X108" i="1"/>
  <c r="T98" i="1"/>
  <c r="X98" i="1"/>
  <c r="AG98" i="1"/>
  <c r="AI98" i="1" s="1"/>
  <c r="AI81" i="1"/>
  <c r="T69" i="1"/>
  <c r="X69" i="1"/>
  <c r="AG69" i="1"/>
  <c r="AI69" i="1" s="1"/>
  <c r="X52" i="1"/>
  <c r="T45" i="1"/>
  <c r="T43" i="1"/>
  <c r="X44" i="1"/>
  <c r="T37" i="1"/>
  <c r="X37" i="1"/>
  <c r="AG37" i="1"/>
  <c r="AI37" i="1" s="1"/>
  <c r="T29" i="1"/>
  <c r="X29" i="1"/>
  <c r="AG29" i="1"/>
  <c r="AA15" i="1"/>
  <c r="T93" i="1"/>
  <c r="W81" i="1"/>
  <c r="T77" i="1"/>
  <c r="T64" i="1"/>
  <c r="T32" i="1"/>
  <c r="AA14" i="1"/>
  <c r="AA112" i="1"/>
  <c r="W112" i="1" s="1"/>
  <c r="T111" i="1"/>
  <c r="T101" i="1"/>
  <c r="T97" i="1"/>
  <c r="AA95" i="1"/>
  <c r="W95" i="1" s="1"/>
  <c r="AA94" i="1"/>
  <c r="W94" i="1" s="1"/>
  <c r="AG93" i="1"/>
  <c r="AG86" i="1"/>
  <c r="T81" i="1"/>
  <c r="U81" i="1" s="1"/>
  <c r="S81" i="1" s="1"/>
  <c r="AA79" i="1"/>
  <c r="W79" i="1" s="1"/>
  <c r="AA78" i="1"/>
  <c r="AG77" i="1"/>
  <c r="AA75" i="1"/>
  <c r="W75" i="1" s="1"/>
  <c r="T75" i="1"/>
  <c r="AA73" i="1"/>
  <c r="AA66" i="1"/>
  <c r="AG64" i="1"/>
  <c r="AG57" i="1"/>
  <c r="AG49" i="1"/>
  <c r="AI49" i="1" s="1"/>
  <c r="T36" i="1"/>
  <c r="AA34" i="1"/>
  <c r="AG32" i="1"/>
  <c r="T31" i="1"/>
  <c r="U31" i="1" s="1"/>
  <c r="S31" i="1" s="1"/>
  <c r="AG25" i="1"/>
  <c r="AI25" i="1" s="1"/>
  <c r="T20" i="1"/>
  <c r="U20" i="1" s="1"/>
  <c r="S20" i="1" s="1"/>
  <c r="AA17" i="1"/>
  <c r="T16" i="1"/>
  <c r="AA109" i="1"/>
  <c r="AA103" i="1"/>
  <c r="W103" i="1" s="1"/>
  <c r="AA102" i="1"/>
  <c r="AA99" i="1"/>
  <c r="AA98" i="1"/>
  <c r="AA83" i="1"/>
  <c r="W83" i="1" s="1"/>
  <c r="AA82" i="1"/>
  <c r="AA70" i="1"/>
  <c r="W70" i="1" s="1"/>
  <c r="AA69" i="1"/>
  <c r="AA54" i="1"/>
  <c r="AA53" i="1"/>
  <c r="AA51" i="1"/>
  <c r="W51" i="1" s="1"/>
  <c r="AA46" i="1"/>
  <c r="AA45" i="1"/>
  <c r="AA42" i="1"/>
  <c r="AA41" i="1"/>
  <c r="AA38" i="1"/>
  <c r="AA30" i="1"/>
  <c r="W194" i="1"/>
  <c r="AI223" i="1"/>
  <c r="AI257" i="1"/>
  <c r="AI249" i="1"/>
  <c r="W196" i="1"/>
  <c r="AI241" i="1"/>
  <c r="AI229" i="1"/>
  <c r="X208" i="1"/>
  <c r="T208" i="1"/>
  <c r="U208" i="1" s="1"/>
  <c r="S208" i="1" s="1"/>
  <c r="U193" i="1"/>
  <c r="S193" i="1" s="1"/>
  <c r="U185" i="1"/>
  <c r="S185" i="1" s="1"/>
  <c r="U178" i="1"/>
  <c r="S178" i="1" s="1"/>
  <c r="T168" i="1"/>
  <c r="X168" i="1"/>
  <c r="AA257" i="1"/>
  <c r="AG254" i="1"/>
  <c r="AI254" i="1" s="1"/>
  <c r="T254" i="1"/>
  <c r="X254" i="1"/>
  <c r="AI192" i="1"/>
  <c r="X224" i="1"/>
  <c r="T224" i="1"/>
  <c r="U224" i="1" s="1"/>
  <c r="S224" i="1" s="1"/>
  <c r="AI260" i="1"/>
  <c r="X225" i="1"/>
  <c r="AG222" i="1"/>
  <c r="X221" i="1"/>
  <c r="X205" i="1"/>
  <c r="AG202" i="1"/>
  <c r="AI202" i="1" s="1"/>
  <c r="X201" i="1"/>
  <c r="X197" i="1"/>
  <c r="X193" i="1"/>
  <c r="X189" i="1"/>
  <c r="X185" i="1"/>
  <c r="X178" i="1"/>
  <c r="X174" i="1"/>
  <c r="T169" i="1"/>
  <c r="X169" i="1"/>
  <c r="AG169" i="1"/>
  <c r="AI169" i="1" s="1"/>
  <c r="AG168" i="1"/>
  <c r="AI168" i="1" s="1"/>
  <c r="AG164" i="1"/>
  <c r="T164" i="1"/>
  <c r="X164" i="1"/>
  <c r="AG258" i="1"/>
  <c r="AI258" i="1" s="1"/>
  <c r="T258" i="1"/>
  <c r="X258" i="1"/>
  <c r="W238" i="1"/>
  <c r="AI179" i="1"/>
  <c r="U232" i="1"/>
  <c r="S232" i="1" s="1"/>
  <c r="AI147" i="1"/>
  <c r="X202" i="1"/>
  <c r="AI211" i="1"/>
  <c r="W249" i="1"/>
  <c r="U249" i="1"/>
  <c r="S249" i="1" s="1"/>
  <c r="AI184" i="1"/>
  <c r="AI155" i="1"/>
  <c r="U155" i="1"/>
  <c r="S155" i="1" s="1"/>
  <c r="X207" i="1"/>
  <c r="X203" i="1"/>
  <c r="X199" i="1"/>
  <c r="X195" i="1"/>
  <c r="X191" i="1"/>
  <c r="X187" i="1"/>
  <c r="X176" i="1"/>
  <c r="X172" i="1"/>
  <c r="AA168" i="1"/>
  <c r="AG262" i="1"/>
  <c r="T262" i="1"/>
  <c r="X262" i="1"/>
  <c r="W260" i="1"/>
  <c r="AA253" i="1"/>
  <c r="AG250" i="1"/>
  <c r="T250" i="1"/>
  <c r="X250" i="1"/>
  <c r="U248" i="1"/>
  <c r="S248" i="1" s="1"/>
  <c r="AI188" i="1"/>
  <c r="AI151" i="1"/>
  <c r="AG165" i="1"/>
  <c r="W165" i="1" s="1"/>
  <c r="AG263" i="1"/>
  <c r="AG259" i="1"/>
  <c r="AG255" i="1"/>
  <c r="AI255" i="1" s="1"/>
  <c r="AG251" i="1"/>
  <c r="AG247" i="1"/>
  <c r="AI247" i="1" s="1"/>
  <c r="X246" i="1"/>
  <c r="T246" i="1"/>
  <c r="U246" i="1" s="1"/>
  <c r="S246" i="1" s="1"/>
  <c r="AG243" i="1"/>
  <c r="AI243" i="1" s="1"/>
  <c r="X242" i="1"/>
  <c r="T242" i="1"/>
  <c r="U242" i="1" s="1"/>
  <c r="S242" i="1" s="1"/>
  <c r="AG239" i="1"/>
  <c r="AI239" i="1" s="1"/>
  <c r="X238" i="1"/>
  <c r="T238" i="1"/>
  <c r="U238" i="1" s="1"/>
  <c r="S238" i="1" s="1"/>
  <c r="AI183" i="1"/>
  <c r="AG235" i="1"/>
  <c r="W235" i="1" s="1"/>
  <c r="X234" i="1"/>
  <c r="T234" i="1"/>
  <c r="U234" i="1" s="1"/>
  <c r="S234" i="1" s="1"/>
  <c r="AG231" i="1"/>
  <c r="AI231" i="1" s="1"/>
  <c r="X230" i="1"/>
  <c r="AG227" i="1"/>
  <c r="AI227" i="1" s="1"/>
  <c r="X220" i="1"/>
  <c r="AG217" i="1"/>
  <c r="W217" i="1" s="1"/>
  <c r="X216" i="1"/>
  <c r="AG213" i="1"/>
  <c r="X212" i="1"/>
  <c r="AG209" i="1"/>
  <c r="X161" i="1"/>
  <c r="AG158" i="1"/>
  <c r="X157" i="1"/>
  <c r="AI156" i="1"/>
  <c r="AG154" i="1"/>
  <c r="W154" i="1" s="1"/>
  <c r="X153" i="1"/>
  <c r="AG150" i="1"/>
  <c r="X149" i="1"/>
  <c r="AG146" i="1"/>
  <c r="X145" i="1"/>
  <c r="AI134" i="1"/>
  <c r="AI126" i="1"/>
  <c r="AI123" i="1"/>
  <c r="AI118" i="1"/>
  <c r="AI115" i="1"/>
  <c r="AI110" i="1"/>
  <c r="X165" i="1"/>
  <c r="X263" i="1"/>
  <c r="X259" i="1"/>
  <c r="X255" i="1"/>
  <c r="X251" i="1"/>
  <c r="X247" i="1"/>
  <c r="X243" i="1"/>
  <c r="X239" i="1"/>
  <c r="X235" i="1"/>
  <c r="X231" i="1"/>
  <c r="T231" i="1"/>
  <c r="AI177" i="1"/>
  <c r="X227" i="1"/>
  <c r="T227" i="1"/>
  <c r="AI173" i="1"/>
  <c r="X217" i="1"/>
  <c r="T217" i="1"/>
  <c r="X213" i="1"/>
  <c r="T213" i="1"/>
  <c r="X209" i="1"/>
  <c r="T209" i="1"/>
  <c r="AI161" i="1"/>
  <c r="X158" i="1"/>
  <c r="T158" i="1"/>
  <c r="AI157" i="1"/>
  <c r="X154" i="1"/>
  <c r="T154" i="1"/>
  <c r="X150" i="1"/>
  <c r="AI149" i="1"/>
  <c r="X146" i="1"/>
  <c r="T141" i="1"/>
  <c r="X141" i="1"/>
  <c r="AG141" i="1"/>
  <c r="AI135" i="1"/>
  <c r="AI130" i="1"/>
  <c r="AI127" i="1"/>
  <c r="AI122" i="1"/>
  <c r="AI119" i="1"/>
  <c r="U119" i="1"/>
  <c r="S119" i="1" s="1"/>
  <c r="AI114" i="1"/>
  <c r="AI139" i="1"/>
  <c r="W123" i="1"/>
  <c r="W107" i="1"/>
  <c r="X142" i="1"/>
  <c r="T142" i="1"/>
  <c r="U142" i="1" s="1"/>
  <c r="S142" i="1" s="1"/>
  <c r="X138" i="1"/>
  <c r="T138" i="1"/>
  <c r="U138" i="1" s="1"/>
  <c r="S138" i="1" s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X114" i="1"/>
  <c r="T114" i="1"/>
  <c r="U114" i="1" s="1"/>
  <c r="S114" i="1" s="1"/>
  <c r="X110" i="1"/>
  <c r="T110" i="1"/>
  <c r="U110" i="1" s="1"/>
  <c r="S110" i="1" s="1"/>
  <c r="X106" i="1"/>
  <c r="AG99" i="1"/>
  <c r="T99" i="1"/>
  <c r="X99" i="1"/>
  <c r="AI83" i="1"/>
  <c r="AI74" i="1"/>
  <c r="AI70" i="1"/>
  <c r="U136" i="1"/>
  <c r="S136" i="1" s="1"/>
  <c r="W91" i="1"/>
  <c r="AI87" i="1"/>
  <c r="AG137" i="1"/>
  <c r="AG133" i="1"/>
  <c r="W133" i="1" s="1"/>
  <c r="AG129" i="1"/>
  <c r="AG125" i="1"/>
  <c r="AG121" i="1"/>
  <c r="AG117" i="1"/>
  <c r="AG113" i="1"/>
  <c r="AG109" i="1"/>
  <c r="T103" i="1"/>
  <c r="U103" i="1" s="1"/>
  <c r="S103" i="1" s="1"/>
  <c r="X103" i="1"/>
  <c r="AI91" i="1"/>
  <c r="X137" i="1"/>
  <c r="AI136" i="1"/>
  <c r="X133" i="1"/>
  <c r="X129" i="1"/>
  <c r="AI128" i="1"/>
  <c r="X125" i="1"/>
  <c r="X121" i="1"/>
  <c r="AI120" i="1"/>
  <c r="X117" i="1"/>
  <c r="X113" i="1"/>
  <c r="AI112" i="1"/>
  <c r="X109" i="1"/>
  <c r="AG106" i="1"/>
  <c r="W106" i="1" s="1"/>
  <c r="AI95" i="1"/>
  <c r="AI79" i="1"/>
  <c r="W74" i="1"/>
  <c r="AG100" i="1"/>
  <c r="W100" i="1" s="1"/>
  <c r="AG96" i="1"/>
  <c r="X95" i="1"/>
  <c r="T95" i="1"/>
  <c r="U95" i="1" s="1"/>
  <c r="S95" i="1" s="1"/>
  <c r="AI94" i="1"/>
  <c r="S94" i="1"/>
  <c r="AG92" i="1"/>
  <c r="X91" i="1"/>
  <c r="T91" i="1"/>
  <c r="U91" i="1" s="1"/>
  <c r="S91" i="1" s="1"/>
  <c r="AI90" i="1"/>
  <c r="AG88" i="1"/>
  <c r="X87" i="1"/>
  <c r="T87" i="1"/>
  <c r="U87" i="1" s="1"/>
  <c r="S87" i="1" s="1"/>
  <c r="AG84" i="1"/>
  <c r="X83" i="1"/>
  <c r="T83" i="1"/>
  <c r="U83" i="1" s="1"/>
  <c r="S83" i="1" s="1"/>
  <c r="AG80" i="1"/>
  <c r="X79" i="1"/>
  <c r="T79" i="1"/>
  <c r="U79" i="1" s="1"/>
  <c r="S79" i="1" s="1"/>
  <c r="AI78" i="1"/>
  <c r="AG76" i="1"/>
  <c r="W76" i="1" s="1"/>
  <c r="AG73" i="1"/>
  <c r="X73" i="1"/>
  <c r="T71" i="1"/>
  <c r="X71" i="1"/>
  <c r="AG71" i="1"/>
  <c r="AA65" i="1"/>
  <c r="X100" i="1"/>
  <c r="X96" i="1"/>
  <c r="X92" i="1"/>
  <c r="X88" i="1"/>
  <c r="X84" i="1"/>
  <c r="X80" i="1"/>
  <c r="X76" i="1"/>
  <c r="U75" i="1"/>
  <c r="S75" i="1" s="1"/>
  <c r="T66" i="1"/>
  <c r="X66" i="1"/>
  <c r="AG66" i="1"/>
  <c r="T74" i="1"/>
  <c r="U74" i="1" s="1"/>
  <c r="S74" i="1" s="1"/>
  <c r="X74" i="1"/>
  <c r="T70" i="1"/>
  <c r="U70" i="1" s="1"/>
  <c r="S70" i="1" s="1"/>
  <c r="X70" i="1"/>
  <c r="AG62" i="1"/>
  <c r="W62" i="1" s="1"/>
  <c r="AG58" i="1"/>
  <c r="AG54" i="1"/>
  <c r="T51" i="1"/>
  <c r="U51" i="1" s="1"/>
  <c r="S51" i="1" s="1"/>
  <c r="T42" i="1"/>
  <c r="X42" i="1"/>
  <c r="AG42" i="1"/>
  <c r="AG67" i="1"/>
  <c r="W67" i="1" s="1"/>
  <c r="AG63" i="1"/>
  <c r="X62" i="1"/>
  <c r="AI61" i="1"/>
  <c r="AG59" i="1"/>
  <c r="X58" i="1"/>
  <c r="AI57" i="1"/>
  <c r="AG55" i="1"/>
  <c r="X54" i="1"/>
  <c r="X51" i="1"/>
  <c r="T50" i="1"/>
  <c r="U50" i="1" s="1"/>
  <c r="S50" i="1" s="1"/>
  <c r="X50" i="1"/>
  <c r="AA49" i="1"/>
  <c r="T46" i="1"/>
  <c r="X46" i="1"/>
  <c r="AG46" i="1"/>
  <c r="AA33" i="1"/>
  <c r="W33" i="1" s="1"/>
  <c r="AA29" i="1"/>
  <c r="W29" i="1" s="1"/>
  <c r="AA25" i="1"/>
  <c r="X67" i="1"/>
  <c r="X63" i="1"/>
  <c r="X59" i="1"/>
  <c r="X55" i="1"/>
  <c r="AI45" i="1"/>
  <c r="AA37" i="1"/>
  <c r="T34" i="1"/>
  <c r="X34" i="1"/>
  <c r="AG34" i="1"/>
  <c r="X31" i="1"/>
  <c r="T30" i="1"/>
  <c r="X30" i="1"/>
  <c r="AG30" i="1"/>
  <c r="X27" i="1"/>
  <c r="T26" i="1"/>
  <c r="X26" i="1"/>
  <c r="AG26" i="1"/>
  <c r="X23" i="1"/>
  <c r="T22" i="1"/>
  <c r="X22" i="1"/>
  <c r="AG22" i="1"/>
  <c r="T18" i="1"/>
  <c r="X18" i="1"/>
  <c r="AG18" i="1"/>
  <c r="T14" i="1"/>
  <c r="AG14" i="1"/>
  <c r="T38" i="1"/>
  <c r="X38" i="1"/>
  <c r="AG38" i="1"/>
  <c r="AI29" i="1"/>
  <c r="AI20" i="1"/>
  <c r="AG47" i="1"/>
  <c r="W47" i="1" s="1"/>
  <c r="AG43" i="1"/>
  <c r="AG39" i="1"/>
  <c r="AG35" i="1"/>
  <c r="AG19" i="1"/>
  <c r="AG15" i="1"/>
  <c r="X47" i="1"/>
  <c r="X43" i="1"/>
  <c r="X39" i="1"/>
  <c r="X35" i="1"/>
  <c r="X19" i="1"/>
  <c r="X15" i="1"/>
  <c r="T18" i="3"/>
  <c r="T39" i="3"/>
  <c r="T38" i="3"/>
  <c r="AD29" i="3"/>
  <c r="T40" i="3"/>
  <c r="AE15" i="3"/>
  <c r="AD9" i="3"/>
  <c r="AD43" i="3"/>
  <c r="AD38" i="3"/>
  <c r="AE38" i="3"/>
  <c r="AE33" i="3"/>
  <c r="Y33" i="3"/>
  <c r="T37" i="3"/>
  <c r="AE19" i="3"/>
  <c r="AD17" i="3"/>
  <c r="T14" i="3"/>
  <c r="Y12" i="3"/>
  <c r="AD11" i="3"/>
  <c r="AD8" i="3"/>
  <c r="AE42" i="3"/>
  <c r="Y9" i="3"/>
  <c r="Y8" i="3"/>
  <c r="AE29" i="3"/>
  <c r="Y19" i="3"/>
  <c r="Y37" i="3"/>
  <c r="AD25" i="3"/>
  <c r="Y17" i="3"/>
  <c r="AD19" i="3"/>
  <c r="AD16" i="3"/>
  <c r="Y14" i="3"/>
  <c r="AD13" i="3"/>
  <c r="Y43" i="3"/>
  <c r="AE41" i="3"/>
  <c r="T16" i="3"/>
  <c r="AD34" i="3"/>
  <c r="AE34" i="3"/>
  <c r="T13" i="3"/>
  <c r="T15" i="3"/>
  <c r="AE28" i="3"/>
  <c r="AD27" i="3"/>
  <c r="AE27" i="3"/>
  <c r="T28" i="3"/>
  <c r="T26" i="3"/>
  <c r="AE22" i="3"/>
  <c r="AD20" i="3"/>
  <c r="AE20" i="3"/>
  <c r="T25" i="3"/>
  <c r="T24" i="3"/>
  <c r="AE14" i="3"/>
  <c r="AD12" i="3"/>
  <c r="AE12" i="3"/>
  <c r="T21" i="3"/>
  <c r="Y15" i="3"/>
  <c r="Y26" i="3"/>
  <c r="Y24" i="3"/>
  <c r="Y16" i="3"/>
  <c r="T44" i="3"/>
  <c r="AE37" i="3"/>
  <c r="AE32" i="3"/>
  <c r="AE30" i="3"/>
  <c r="T19" i="3"/>
  <c r="AE26" i="3"/>
  <c r="AE24" i="3"/>
  <c r="T32" i="3"/>
  <c r="AE18" i="3"/>
  <c r="AE16" i="3"/>
  <c r="T41" i="3"/>
  <c r="AE10" i="3"/>
  <c r="AC34" i="3"/>
  <c r="AC27" i="3"/>
  <c r="AC8" i="3"/>
  <c r="AC42" i="3"/>
  <c r="AC35" i="3"/>
  <c r="AC11" i="3"/>
  <c r="AC31" i="3"/>
  <c r="AC7" i="3"/>
  <c r="AE44" i="3"/>
  <c r="T29" i="3"/>
  <c r="Y27" i="3"/>
  <c r="AD44" i="3"/>
  <c r="AE43" i="3"/>
  <c r="T22" i="3"/>
  <c r="AD40" i="3"/>
  <c r="AE39" i="3"/>
  <c r="T34" i="3"/>
  <c r="AD36" i="3"/>
  <c r="AE35" i="3"/>
  <c r="T27" i="3"/>
  <c r="AD32" i="3"/>
  <c r="AE31" i="3"/>
  <c r="T8" i="3"/>
  <c r="AD28" i="3"/>
  <c r="T42" i="3"/>
  <c r="AD26" i="3"/>
  <c r="AE25" i="3"/>
  <c r="AD22" i="3"/>
  <c r="AE21" i="3"/>
  <c r="T35" i="3"/>
  <c r="AD18" i="3"/>
  <c r="AE17" i="3"/>
  <c r="T11" i="3"/>
  <c r="AD14" i="3"/>
  <c r="AE13" i="3"/>
  <c r="T31" i="3"/>
  <c r="AD10" i="3"/>
  <c r="AE9" i="3"/>
  <c r="T7" i="3"/>
  <c r="AE8" i="3"/>
  <c r="W14" i="1" l="1"/>
  <c r="W66" i="1"/>
  <c r="W102" i="1"/>
  <c r="AI207" i="1"/>
  <c r="U28" i="1"/>
  <c r="S28" i="1" s="1"/>
  <c r="W203" i="1"/>
  <c r="U221" i="1"/>
  <c r="S221" i="1" s="1"/>
  <c r="AI65" i="1"/>
  <c r="W144" i="1"/>
  <c r="AI16" i="1"/>
  <c r="U40" i="1"/>
  <c r="S40" i="1" s="1"/>
  <c r="W65" i="1"/>
  <c r="U173" i="1"/>
  <c r="S173" i="1" s="1"/>
  <c r="W21" i="1"/>
  <c r="W150" i="1"/>
  <c r="U240" i="1"/>
  <c r="S240" i="1" s="1"/>
  <c r="W176" i="1"/>
  <c r="W166" i="1"/>
  <c r="W210" i="1"/>
  <c r="U90" i="1"/>
  <c r="S90" i="1" s="1"/>
  <c r="W248" i="1"/>
  <c r="U112" i="1"/>
  <c r="S112" i="1" s="1"/>
  <c r="W261" i="1"/>
  <c r="U225" i="1"/>
  <c r="S225" i="1" s="1"/>
  <c r="AI72" i="1"/>
  <c r="W30" i="1"/>
  <c r="W69" i="1"/>
  <c r="U228" i="1"/>
  <c r="S228" i="1" s="1"/>
  <c r="W128" i="1"/>
  <c r="W152" i="1"/>
  <c r="U52" i="1"/>
  <c r="S52" i="1" s="1"/>
  <c r="W85" i="1"/>
  <c r="W151" i="1"/>
  <c r="W230" i="1"/>
  <c r="W36" i="1"/>
  <c r="W240" i="1"/>
  <c r="W117" i="1"/>
  <c r="U108" i="1"/>
  <c r="S108" i="1" s="1"/>
  <c r="W199" i="1"/>
  <c r="W49" i="1"/>
  <c r="W73" i="1"/>
  <c r="W99" i="1"/>
  <c r="AI187" i="1"/>
  <c r="AI195" i="1"/>
  <c r="U199" i="1"/>
  <c r="S199" i="1" s="1"/>
  <c r="W38" i="1"/>
  <c r="W55" i="1"/>
  <c r="U69" i="1"/>
  <c r="S69" i="1" s="1"/>
  <c r="AI140" i="1"/>
  <c r="AI165" i="1"/>
  <c r="AI107" i="1"/>
  <c r="U210" i="1"/>
  <c r="S210" i="1" s="1"/>
  <c r="W177" i="1"/>
  <c r="W24" i="1"/>
  <c r="W157" i="1"/>
  <c r="W218" i="1"/>
  <c r="U233" i="1"/>
  <c r="S233" i="1" s="1"/>
  <c r="W187" i="1"/>
  <c r="W263" i="1"/>
  <c r="U86" i="1"/>
  <c r="S86" i="1" s="1"/>
  <c r="W120" i="1"/>
  <c r="W167" i="1"/>
  <c r="AI167" i="1"/>
  <c r="W236" i="1"/>
  <c r="W105" i="1"/>
  <c r="W161" i="1"/>
  <c r="U111" i="1"/>
  <c r="S111" i="1" s="1"/>
  <c r="AI21" i="1"/>
  <c r="U253" i="1"/>
  <c r="S253" i="1" s="1"/>
  <c r="W82" i="1"/>
  <c r="U37" i="1"/>
  <c r="S37" i="1" s="1"/>
  <c r="W116" i="1"/>
  <c r="U236" i="1"/>
  <c r="S236" i="1" s="1"/>
  <c r="U124" i="1"/>
  <c r="S124" i="1" s="1"/>
  <c r="W206" i="1"/>
  <c r="W27" i="1"/>
  <c r="W204" i="1"/>
  <c r="U205" i="1"/>
  <c r="S205" i="1" s="1"/>
  <c r="W37" i="1"/>
  <c r="W25" i="1"/>
  <c r="AI86" i="1"/>
  <c r="AI153" i="1"/>
  <c r="U151" i="1"/>
  <c r="S151" i="1" s="1"/>
  <c r="W253" i="1"/>
  <c r="U57" i="1"/>
  <c r="S57" i="1" s="1"/>
  <c r="AI85" i="1"/>
  <c r="U245" i="1"/>
  <c r="S245" i="1" s="1"/>
  <c r="U105" i="1"/>
  <c r="S105" i="1" s="1"/>
  <c r="W149" i="1"/>
  <c r="W160" i="1"/>
  <c r="U214" i="1"/>
  <c r="S214" i="1" s="1"/>
  <c r="W225" i="1"/>
  <c r="W216" i="1"/>
  <c r="U16" i="1"/>
  <c r="S16" i="1" s="1"/>
  <c r="W17" i="1"/>
  <c r="U131" i="1"/>
  <c r="S131" i="1" s="1"/>
  <c r="U177" i="1"/>
  <c r="S177" i="1" s="1"/>
  <c r="U166" i="1"/>
  <c r="S166" i="1" s="1"/>
  <c r="AI17" i="1"/>
  <c r="W26" i="1"/>
  <c r="AI111" i="1"/>
  <c r="AI145" i="1"/>
  <c r="AI131" i="1"/>
  <c r="W257" i="1"/>
  <c r="U49" i="1"/>
  <c r="S49" i="1" s="1"/>
  <c r="W78" i="1"/>
  <c r="W108" i="1"/>
  <c r="W124" i="1"/>
  <c r="U261" i="1"/>
  <c r="S261" i="1" s="1"/>
  <c r="W132" i="1"/>
  <c r="U152" i="1"/>
  <c r="S152" i="1" s="1"/>
  <c r="U219" i="1"/>
  <c r="S219" i="1" s="1"/>
  <c r="W48" i="1"/>
  <c r="W148" i="1"/>
  <c r="W61" i="1"/>
  <c r="U215" i="1"/>
  <c r="S215" i="1" s="1"/>
  <c r="W111" i="1"/>
  <c r="W131" i="1"/>
  <c r="U140" i="1"/>
  <c r="S140" i="1" s="1"/>
  <c r="AI219" i="1"/>
  <c r="U17" i="1"/>
  <c r="S17" i="1" s="1"/>
  <c r="U68" i="1"/>
  <c r="S68" i="1" s="1"/>
  <c r="W163" i="1"/>
  <c r="U220" i="1"/>
  <c r="S220" i="1" s="1"/>
  <c r="U163" i="1"/>
  <c r="S163" i="1" s="1"/>
  <c r="U191" i="1"/>
  <c r="S191" i="1" s="1"/>
  <c r="U48" i="1"/>
  <c r="S48" i="1" s="1"/>
  <c r="W68" i="1"/>
  <c r="U229" i="1"/>
  <c r="S229" i="1" s="1"/>
  <c r="U104" i="1"/>
  <c r="S104" i="1" s="1"/>
  <c r="U170" i="1"/>
  <c r="S170" i="1" s="1"/>
  <c r="W45" i="1"/>
  <c r="U25" i="1"/>
  <c r="S25" i="1" s="1"/>
  <c r="W77" i="1"/>
  <c r="W229" i="1"/>
  <c r="U72" i="1"/>
  <c r="S72" i="1" s="1"/>
  <c r="W244" i="1"/>
  <c r="W189" i="1"/>
  <c r="W212" i="1"/>
  <c r="W220" i="1"/>
  <c r="U132" i="1"/>
  <c r="S132" i="1" s="1"/>
  <c r="W35" i="1"/>
  <c r="W34" i="1"/>
  <c r="AI215" i="1"/>
  <c r="AI237" i="1"/>
  <c r="U203" i="1"/>
  <c r="S203" i="1" s="1"/>
  <c r="W53" i="1"/>
  <c r="U36" i="1"/>
  <c r="S36" i="1" s="1"/>
  <c r="U97" i="1"/>
  <c r="S97" i="1" s="1"/>
  <c r="U85" i="1"/>
  <c r="S85" i="1" s="1"/>
  <c r="W237" i="1"/>
  <c r="AI160" i="1"/>
  <c r="W40" i="1"/>
  <c r="W191" i="1"/>
  <c r="W159" i="1"/>
  <c r="W228" i="1"/>
  <c r="W221" i="1"/>
  <c r="AI33" i="1"/>
  <c r="U44" i="1"/>
  <c r="S44" i="1" s="1"/>
  <c r="W58" i="1"/>
  <c r="AI116" i="1"/>
  <c r="U128" i="1"/>
  <c r="S128" i="1" s="1"/>
  <c r="W158" i="1"/>
  <c r="AI191" i="1"/>
  <c r="AI233" i="1"/>
  <c r="U101" i="1"/>
  <c r="W97" i="1"/>
  <c r="U29" i="1"/>
  <c r="S29" i="1" s="1"/>
  <c r="U98" i="1"/>
  <c r="S98" i="1" s="1"/>
  <c r="AI24" i="1"/>
  <c r="W215" i="1"/>
  <c r="AI48" i="1"/>
  <c r="U78" i="1"/>
  <c r="S78" i="1" s="1"/>
  <c r="W205" i="1"/>
  <c r="U102" i="1"/>
  <c r="S102" i="1" s="1"/>
  <c r="U116" i="1"/>
  <c r="S116" i="1" s="1"/>
  <c r="AI203" i="1"/>
  <c r="W41" i="1"/>
  <c r="W101" i="1"/>
  <c r="U24" i="1"/>
  <c r="S24" i="1" s="1"/>
  <c r="U159" i="1"/>
  <c r="S159" i="1" s="1"/>
  <c r="U256" i="1"/>
  <c r="S256" i="1" s="1"/>
  <c r="W207" i="1"/>
  <c r="W201" i="1"/>
  <c r="U218" i="1"/>
  <c r="S218" i="1" s="1"/>
  <c r="U161" i="1"/>
  <c r="S161" i="1" s="1"/>
  <c r="U230" i="1"/>
  <c r="S230" i="1" s="1"/>
  <c r="AI230" i="1"/>
  <c r="W168" i="1"/>
  <c r="W239" i="1"/>
  <c r="W214" i="1"/>
  <c r="U216" i="1"/>
  <c r="S216" i="1" s="1"/>
  <c r="W256" i="1"/>
  <c r="W254" i="1"/>
  <c r="AI261" i="1"/>
  <c r="U53" i="1"/>
  <c r="S53" i="1" s="1"/>
  <c r="U180" i="1"/>
  <c r="S180" i="1" s="1"/>
  <c r="W44" i="1"/>
  <c r="W28" i="1"/>
  <c r="W52" i="1"/>
  <c r="W247" i="1"/>
  <c r="W250" i="1"/>
  <c r="AI250" i="1"/>
  <c r="W262" i="1"/>
  <c r="AI262" i="1"/>
  <c r="W243" i="1"/>
  <c r="W258" i="1"/>
  <c r="AI263" i="1"/>
  <c r="U93" i="1"/>
  <c r="S93" i="1" s="1"/>
  <c r="AI93" i="1"/>
  <c r="W93" i="1"/>
  <c r="U45" i="1"/>
  <c r="S45" i="1" s="1"/>
  <c r="U27" i="1"/>
  <c r="S27" i="1" s="1"/>
  <c r="AI27" i="1"/>
  <c r="U148" i="1"/>
  <c r="S148" i="1" s="1"/>
  <c r="AI148" i="1"/>
  <c r="AI235" i="1"/>
  <c r="U32" i="1"/>
  <c r="S32" i="1" s="1"/>
  <c r="AI32" i="1"/>
  <c r="W57" i="1"/>
  <c r="W245" i="1"/>
  <c r="U41" i="1"/>
  <c r="S41" i="1" s="1"/>
  <c r="W145" i="1"/>
  <c r="W164" i="1"/>
  <c r="AI164" i="1"/>
  <c r="W202" i="1"/>
  <c r="U64" i="1"/>
  <c r="S64" i="1" s="1"/>
  <c r="AI64" i="1"/>
  <c r="U60" i="1"/>
  <c r="S60" i="1" s="1"/>
  <c r="AI60" i="1"/>
  <c r="W60" i="1"/>
  <c r="W86" i="1"/>
  <c r="W153" i="1"/>
  <c r="W180" i="1"/>
  <c r="W195" i="1"/>
  <c r="W222" i="1"/>
  <c r="AI222" i="1"/>
  <c r="W98" i="1"/>
  <c r="U77" i="1"/>
  <c r="S77" i="1" s="1"/>
  <c r="AI77" i="1"/>
  <c r="W32" i="1"/>
  <c r="U144" i="1"/>
  <c r="S144" i="1" s="1"/>
  <c r="AI144" i="1"/>
  <c r="U82" i="1"/>
  <c r="S82" i="1" s="1"/>
  <c r="U89" i="1"/>
  <c r="S89" i="1" s="1"/>
  <c r="AI89" i="1"/>
  <c r="U244" i="1"/>
  <c r="S244" i="1" s="1"/>
  <c r="AI244" i="1"/>
  <c r="W64" i="1"/>
  <c r="W89" i="1"/>
  <c r="W104" i="1"/>
  <c r="W156" i="1"/>
  <c r="U176" i="1"/>
  <c r="S176" i="1" s="1"/>
  <c r="AI176" i="1"/>
  <c r="U172" i="1"/>
  <c r="S172" i="1" s="1"/>
  <c r="AI172" i="1"/>
  <c r="W172" i="1"/>
  <c r="AI59" i="1"/>
  <c r="U59" i="1"/>
  <c r="S59" i="1" s="1"/>
  <c r="AI42" i="1"/>
  <c r="U42" i="1"/>
  <c r="S42" i="1" s="1"/>
  <c r="U19" i="1"/>
  <c r="S19" i="1" s="1"/>
  <c r="AI19" i="1"/>
  <c r="U47" i="1"/>
  <c r="S47" i="1" s="1"/>
  <c r="AI47" i="1"/>
  <c r="W42" i="1"/>
  <c r="AI14" i="1"/>
  <c r="U14" i="1"/>
  <c r="S14" i="1" s="1"/>
  <c r="AI46" i="1"/>
  <c r="U46" i="1"/>
  <c r="S46" i="1" s="1"/>
  <c r="AI58" i="1"/>
  <c r="U58" i="1"/>
  <c r="S58" i="1" s="1"/>
  <c r="W19" i="1"/>
  <c r="AI66" i="1"/>
  <c r="U66" i="1"/>
  <c r="S66" i="1" s="1"/>
  <c r="AI80" i="1"/>
  <c r="U80" i="1"/>
  <c r="S80" i="1" s="1"/>
  <c r="AI96" i="1"/>
  <c r="U96" i="1"/>
  <c r="S96" i="1" s="1"/>
  <c r="U117" i="1"/>
  <c r="S117" i="1" s="1"/>
  <c r="AI117" i="1"/>
  <c r="U133" i="1"/>
  <c r="S133" i="1" s="1"/>
  <c r="AI133" i="1"/>
  <c r="AI146" i="1"/>
  <c r="U146" i="1"/>
  <c r="S146" i="1" s="1"/>
  <c r="AI166" i="1"/>
  <c r="U213" i="1"/>
  <c r="S213" i="1" s="1"/>
  <c r="AI189" i="1"/>
  <c r="U243" i="1"/>
  <c r="S243" i="1" s="1"/>
  <c r="U259" i="1"/>
  <c r="S259" i="1" s="1"/>
  <c r="AI205" i="1"/>
  <c r="W259" i="1"/>
  <c r="AI216" i="1"/>
  <c r="U168" i="1"/>
  <c r="S168" i="1" s="1"/>
  <c r="AI251" i="1"/>
  <c r="U202" i="1"/>
  <c r="S202" i="1" s="1"/>
  <c r="U254" i="1"/>
  <c r="S254" i="1" s="1"/>
  <c r="AI200" i="1"/>
  <c r="AI38" i="1"/>
  <c r="U38" i="1"/>
  <c r="S38" i="1" s="1"/>
  <c r="AI18" i="1"/>
  <c r="U18" i="1"/>
  <c r="S18" i="1" s="1"/>
  <c r="AI22" i="1"/>
  <c r="U22" i="1"/>
  <c r="S22" i="1" s="1"/>
  <c r="AI26" i="1"/>
  <c r="U26" i="1"/>
  <c r="S26" i="1" s="1"/>
  <c r="AI30" i="1"/>
  <c r="U30" i="1"/>
  <c r="S30" i="1" s="1"/>
  <c r="AI34" i="1"/>
  <c r="U34" i="1"/>
  <c r="S34" i="1" s="1"/>
  <c r="W22" i="1"/>
  <c r="W46" i="1"/>
  <c r="AI62" i="1"/>
  <c r="U62" i="1"/>
  <c r="S62" i="1" s="1"/>
  <c r="AI84" i="1"/>
  <c r="U84" i="1"/>
  <c r="S84" i="1" s="1"/>
  <c r="W84" i="1"/>
  <c r="W80" i="1"/>
  <c r="W96" i="1"/>
  <c r="U121" i="1"/>
  <c r="S121" i="1" s="1"/>
  <c r="AI121" i="1"/>
  <c r="U137" i="1"/>
  <c r="AI137" i="1"/>
  <c r="U99" i="1"/>
  <c r="AI99" i="1"/>
  <c r="U141" i="1"/>
  <c r="S141" i="1" s="1"/>
  <c r="AI141" i="1"/>
  <c r="W121" i="1"/>
  <c r="W137" i="1"/>
  <c r="AI162" i="1"/>
  <c r="U209" i="1"/>
  <c r="S209" i="1" s="1"/>
  <c r="AI178" i="1"/>
  <c r="U231" i="1"/>
  <c r="S231" i="1" s="1"/>
  <c r="U247" i="1"/>
  <c r="S247" i="1" s="1"/>
  <c r="AI193" i="1"/>
  <c r="U263" i="1"/>
  <c r="S263" i="1" s="1"/>
  <c r="AI209" i="1"/>
  <c r="W213" i="1"/>
  <c r="U258" i="1"/>
  <c r="S258" i="1" s="1"/>
  <c r="AI204" i="1"/>
  <c r="U169" i="1"/>
  <c r="S169" i="1" s="1"/>
  <c r="AI217" i="1"/>
  <c r="W209" i="1"/>
  <c r="W169" i="1"/>
  <c r="U35" i="1"/>
  <c r="S35" i="1" s="1"/>
  <c r="AI35" i="1"/>
  <c r="U39" i="1"/>
  <c r="S39" i="1" s="1"/>
  <c r="W39" i="1"/>
  <c r="AI39" i="1"/>
  <c r="AI55" i="1"/>
  <c r="U55" i="1"/>
  <c r="S55" i="1" s="1"/>
  <c r="U63" i="1"/>
  <c r="S63" i="1" s="1"/>
  <c r="AI63" i="1"/>
  <c r="AI88" i="1"/>
  <c r="U88" i="1"/>
  <c r="S88" i="1" s="1"/>
  <c r="U109" i="1"/>
  <c r="S109" i="1" s="1"/>
  <c r="AI109" i="1"/>
  <c r="U125" i="1"/>
  <c r="S125" i="1" s="1"/>
  <c r="AI125" i="1"/>
  <c r="W109" i="1"/>
  <c r="W125" i="1"/>
  <c r="AI154" i="1"/>
  <c r="U154" i="1"/>
  <c r="S154" i="1" s="1"/>
  <c r="AI158" i="1"/>
  <c r="U158" i="1"/>
  <c r="S158" i="1" s="1"/>
  <c r="AI174" i="1"/>
  <c r="U227" i="1"/>
  <c r="S227" i="1" s="1"/>
  <c r="AI181" i="1"/>
  <c r="U235" i="1"/>
  <c r="S235" i="1" s="1"/>
  <c r="U251" i="1"/>
  <c r="S251" i="1" s="1"/>
  <c r="AI197" i="1"/>
  <c r="U165" i="1"/>
  <c r="S165" i="1" s="1"/>
  <c r="AI213" i="1"/>
  <c r="U250" i="1"/>
  <c r="S250" i="1" s="1"/>
  <c r="AI196" i="1"/>
  <c r="U262" i="1"/>
  <c r="S262" i="1" s="1"/>
  <c r="AI208" i="1"/>
  <c r="W227" i="1"/>
  <c r="U164" i="1"/>
  <c r="S164" i="1" s="1"/>
  <c r="AI212" i="1"/>
  <c r="U71" i="1"/>
  <c r="S71" i="1" s="1"/>
  <c r="W71" i="1"/>
  <c r="AI71" i="1"/>
  <c r="AI73" i="1"/>
  <c r="U73" i="1"/>
  <c r="S73" i="1" s="1"/>
  <c r="W88" i="1"/>
  <c r="U15" i="1"/>
  <c r="S15" i="1" s="1"/>
  <c r="AI15" i="1"/>
  <c r="U43" i="1"/>
  <c r="S43" i="1" s="1"/>
  <c r="AI43" i="1"/>
  <c r="W43" i="1"/>
  <c r="W18" i="1"/>
  <c r="U67" i="1"/>
  <c r="S67" i="1" s="1"/>
  <c r="AI67" i="1"/>
  <c r="AI54" i="1"/>
  <c r="U54" i="1"/>
  <c r="S54" i="1" s="1"/>
  <c r="W54" i="1"/>
  <c r="W15" i="1"/>
  <c r="W63" i="1"/>
  <c r="W59" i="1"/>
  <c r="AI76" i="1"/>
  <c r="U76" i="1"/>
  <c r="S76" i="1" s="1"/>
  <c r="AI92" i="1"/>
  <c r="U92" i="1"/>
  <c r="S92" i="1" s="1"/>
  <c r="U100" i="1"/>
  <c r="AI100" i="1"/>
  <c r="U106" i="1"/>
  <c r="S106" i="1" s="1"/>
  <c r="AI106" i="1"/>
  <c r="U113" i="1"/>
  <c r="S113" i="1" s="1"/>
  <c r="AI113" i="1"/>
  <c r="U129" i="1"/>
  <c r="S129" i="1" s="1"/>
  <c r="AI129" i="1"/>
  <c r="W92" i="1"/>
  <c r="W113" i="1"/>
  <c r="W129" i="1"/>
  <c r="W141" i="1"/>
  <c r="AI150" i="1"/>
  <c r="U150" i="1"/>
  <c r="S150" i="1" s="1"/>
  <c r="AI170" i="1"/>
  <c r="U217" i="1"/>
  <c r="S217" i="1" s="1"/>
  <c r="AI185" i="1"/>
  <c r="U239" i="1"/>
  <c r="S239" i="1" s="1"/>
  <c r="U255" i="1"/>
  <c r="S255" i="1" s="1"/>
  <c r="AI201" i="1"/>
  <c r="W255" i="1"/>
  <c r="W146" i="1"/>
  <c r="AI259" i="1"/>
  <c r="U222" i="1"/>
  <c r="S222" i="1" s="1"/>
  <c r="W231" i="1"/>
  <c r="W251" i="1"/>
  <c r="S45" i="3"/>
  <c r="M45" i="3"/>
  <c r="R45" i="3"/>
  <c r="U45" i="3"/>
  <c r="V45" i="3"/>
  <c r="W45" i="3"/>
  <c r="X45" i="3"/>
  <c r="S99" i="1" l="1"/>
  <c r="AD45" i="3"/>
  <c r="AE45" i="3"/>
  <c r="AC45" i="3"/>
  <c r="Y45" i="3"/>
  <c r="T45" i="3"/>
  <c r="O2" i="3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23" i="3" s="1"/>
  <c r="G48" i="4"/>
  <c r="G49" i="4"/>
  <c r="G50" i="4"/>
  <c r="N7" i="3" s="1"/>
  <c r="G51" i="4"/>
  <c r="G52" i="4"/>
  <c r="N30" i="3" s="1"/>
  <c r="G53" i="4"/>
  <c r="G54" i="4"/>
  <c r="G55" i="4"/>
  <c r="N21" i="3" s="1"/>
  <c r="G56" i="4"/>
  <c r="G57" i="4"/>
  <c r="G58" i="4"/>
  <c r="G59" i="4"/>
  <c r="G60" i="4"/>
  <c r="G61" i="4"/>
  <c r="G62" i="4"/>
  <c r="G63" i="4"/>
  <c r="G64" i="4"/>
  <c r="G65" i="4"/>
  <c r="G66" i="4"/>
  <c r="G67" i="4"/>
  <c r="N12" i="3" s="1"/>
  <c r="G68" i="4"/>
  <c r="G69" i="4"/>
  <c r="N31" i="3" s="1"/>
  <c r="G70" i="4"/>
  <c r="G71" i="4"/>
  <c r="G72" i="4"/>
  <c r="G73" i="4"/>
  <c r="G74" i="4"/>
  <c r="G75" i="4"/>
  <c r="G76" i="4"/>
  <c r="G77" i="4"/>
  <c r="G78" i="4"/>
  <c r="G79" i="4"/>
  <c r="N41" i="3" s="1"/>
  <c r="G80" i="4"/>
  <c r="N14" i="3" s="1"/>
  <c r="G81" i="4"/>
  <c r="G82" i="4"/>
  <c r="G83" i="4"/>
  <c r="G84" i="4"/>
  <c r="G85" i="4"/>
  <c r="G86" i="4"/>
  <c r="G87" i="4"/>
  <c r="G88" i="4"/>
  <c r="G89" i="4"/>
  <c r="G90" i="4"/>
  <c r="N25" i="3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40" i="3" s="1"/>
  <c r="G115" i="4"/>
  <c r="G116" i="4"/>
  <c r="N35" i="3" s="1"/>
  <c r="G117" i="4"/>
  <c r="G118" i="4"/>
  <c r="N17" i="3" s="1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32" i="3" s="1"/>
  <c r="G134" i="4"/>
  <c r="G135" i="4"/>
  <c r="G136" i="4"/>
  <c r="G137" i="4"/>
  <c r="G138" i="4"/>
  <c r="G139" i="4"/>
  <c r="G140" i="4"/>
  <c r="G141" i="4"/>
  <c r="G142" i="4"/>
  <c r="G143" i="4"/>
  <c r="N36" i="3" s="1"/>
  <c r="G144" i="4"/>
  <c r="G145" i="4"/>
  <c r="G146" i="4"/>
  <c r="G147" i="4"/>
  <c r="G148" i="4"/>
  <c r="G149" i="4"/>
  <c r="G150" i="4"/>
  <c r="G151" i="4"/>
  <c r="N37" i="3" s="1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20" i="3" s="1"/>
  <c r="G170" i="4"/>
  <c r="G171" i="4"/>
  <c r="N42" i="3" s="1"/>
  <c r="G172" i="4"/>
  <c r="G173" i="4"/>
  <c r="G174" i="4"/>
  <c r="G175" i="4"/>
  <c r="G176" i="4"/>
  <c r="G177" i="4"/>
  <c r="G178" i="4"/>
  <c r="G179" i="4"/>
  <c r="G180" i="4"/>
  <c r="G181" i="4"/>
  <c r="G182" i="4"/>
  <c r="N33" i="3" s="1"/>
  <c r="G183" i="4"/>
  <c r="G184" i="4"/>
  <c r="N19" i="3" s="1"/>
  <c r="G185" i="4"/>
  <c r="N15" i="3" s="1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38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9" i="3" s="1"/>
  <c r="G220" i="4"/>
  <c r="G221" i="4"/>
  <c r="G222" i="4"/>
  <c r="N39" i="3" s="1"/>
  <c r="G223" i="4"/>
  <c r="N27" i="3" s="1"/>
  <c r="G224" i="4"/>
  <c r="G225" i="4"/>
  <c r="G226" i="4"/>
  <c r="G227" i="4"/>
  <c r="G228" i="4"/>
  <c r="G229" i="4"/>
  <c r="G230" i="4"/>
  <c r="G231" i="4"/>
  <c r="N43" i="3" s="1"/>
  <c r="G232" i="4"/>
  <c r="G233" i="4"/>
  <c r="N44" i="3" s="1"/>
  <c r="G234" i="4"/>
  <c r="G235" i="4"/>
  <c r="G236" i="4"/>
  <c r="G237" i="4"/>
  <c r="G238" i="4"/>
  <c r="G239" i="4"/>
  <c r="G240" i="4"/>
  <c r="G241" i="4"/>
  <c r="G242" i="4"/>
  <c r="G243" i="4"/>
  <c r="N18" i="3" s="1"/>
  <c r="G244" i="4"/>
  <c r="G245" i="4"/>
  <c r="G246" i="4"/>
  <c r="G247" i="4"/>
  <c r="G248" i="4"/>
  <c r="G249" i="4"/>
  <c r="G250" i="4"/>
  <c r="G251" i="4"/>
  <c r="G252" i="4"/>
  <c r="G253" i="4"/>
  <c r="G254" i="4"/>
  <c r="N22" i="3" s="1"/>
  <c r="G255" i="4"/>
  <c r="G256" i="4"/>
  <c r="G257" i="4"/>
  <c r="G258" i="4"/>
  <c r="G2" i="4"/>
  <c r="N8" i="3" l="1"/>
  <c r="N13" i="3"/>
  <c r="N26" i="3"/>
  <c r="N28" i="3"/>
  <c r="N34" i="3"/>
  <c r="N16" i="3"/>
  <c r="N10" i="3"/>
  <c r="N45" i="3"/>
  <c r="N11" i="3"/>
  <c r="N2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N29" i="3" l="1"/>
  <c r="G259" i="4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G3" i="6"/>
  <c r="J3" i="6"/>
  <c r="H3" i="6"/>
  <c r="I4" i="6" l="1"/>
  <c r="F4" i="6"/>
  <c r="G4" i="6"/>
  <c r="H4" i="6"/>
  <c r="J4" i="6"/>
  <c r="B5" i="6"/>
  <c r="I5" i="6" l="1"/>
  <c r="F5" i="6"/>
  <c r="J5" i="6"/>
  <c r="G5" i="6"/>
  <c r="H5" i="6"/>
  <c r="B6" i="6"/>
  <c r="I6" i="6" l="1"/>
  <c r="F6" i="6"/>
  <c r="G6" i="6"/>
  <c r="H6" i="6"/>
  <c r="J6" i="6"/>
  <c r="B7" i="6"/>
  <c r="I7" i="6" l="1"/>
  <c r="F7" i="6"/>
  <c r="B8" i="6"/>
  <c r="J7" i="6"/>
  <c r="H7" i="6"/>
  <c r="G7" i="6"/>
  <c r="I8" i="6" l="1"/>
  <c r="F8" i="6"/>
  <c r="J8" i="6"/>
  <c r="G8" i="6"/>
  <c r="H8" i="6"/>
  <c r="B9" i="6"/>
  <c r="I9" i="6" l="1"/>
  <c r="F9" i="6"/>
  <c r="B10" i="6"/>
  <c r="G9" i="6"/>
  <c r="J9" i="6"/>
  <c r="H9" i="6"/>
  <c r="I10" i="6" l="1"/>
  <c r="F10" i="6"/>
  <c r="G10" i="6"/>
  <c r="J10" i="6"/>
  <c r="H10" i="6"/>
  <c r="B72" i="6" l="1"/>
  <c r="I72" i="6" l="1"/>
  <c r="F72" i="6"/>
  <c r="B73" i="6"/>
  <c r="H72" i="6"/>
  <c r="G72" i="6"/>
  <c r="J72" i="6"/>
  <c r="I73" i="6" l="1"/>
  <c r="F73" i="6"/>
  <c r="B74" i="6"/>
  <c r="J73" i="6"/>
  <c r="G73" i="6"/>
  <c r="H73" i="6"/>
  <c r="I74" i="6" l="1"/>
  <c r="F74" i="6"/>
  <c r="H74" i="6"/>
  <c r="G74" i="6"/>
  <c r="J74" i="6"/>
  <c r="B75" i="6"/>
  <c r="I75" i="6" l="1"/>
  <c r="F75" i="6"/>
  <c r="H75" i="6"/>
  <c r="J75" i="6"/>
  <c r="G75" i="6"/>
  <c r="B76" i="6"/>
  <c r="I76" i="6" l="1"/>
  <c r="F76" i="6"/>
  <c r="G76" i="6"/>
  <c r="J76" i="6"/>
  <c r="H76" i="6"/>
  <c r="B77" i="6"/>
  <c r="I77" i="6" l="1"/>
  <c r="F77" i="6"/>
  <c r="B78" i="6"/>
  <c r="H77" i="6"/>
  <c r="J77" i="6"/>
  <c r="G77" i="6"/>
  <c r="I78" i="6" l="1"/>
  <c r="F78" i="6"/>
  <c r="B79" i="6"/>
  <c r="J78" i="6"/>
  <c r="H78" i="6"/>
  <c r="G78" i="6"/>
  <c r="I79" i="6" l="1"/>
  <c r="F79" i="6"/>
  <c r="B81" i="6"/>
  <c r="B80" i="6"/>
  <c r="G79" i="6"/>
  <c r="H79" i="6"/>
  <c r="J79" i="6"/>
  <c r="I80" i="6" l="1"/>
  <c r="F80" i="6"/>
  <c r="I81" i="6"/>
  <c r="F81" i="6"/>
  <c r="G80" i="6"/>
  <c r="H80" i="6"/>
  <c r="J80" i="6"/>
  <c r="J81" i="6"/>
  <c r="G81" i="6"/>
  <c r="H8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<sst xmlns="http://schemas.openxmlformats.org/spreadsheetml/2006/main" count="2932" uniqueCount="1060">
  <si>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</si>
  <si>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</si>
  <si>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</si>
  <si>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</si>
  <si>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</si>
  <si>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</si>
  <si>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</si>
  <si>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</si>
  <si>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</si>
  <si>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</si>
  <si>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</si>
  <si>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</si>
  <si>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</si>
  <si>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</si>
  <si>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</si>
  <si>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</si>
  <si>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</si>
  <si>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</si>
  <si>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</si>
  <si>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</si>
  <si>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</si>
  <si>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</si>
  <si>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</si>
  <si>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</si>
  <si>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</si>
  <si>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</si>
  <si>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</si>
  <si>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</si>
  <si>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</si>
  <si>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</si>
  <si>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</si>
  <si>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</si>
  <si>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</si>
  <si>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</si>
  <si>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</si>
  <si>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</si>
  <si>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</si>
  <si>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</si>
  <si>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</si>
  <si>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</si>
  <si>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</si>
  <si>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</si>
  <si>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</si>
  <si>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</si>
  <si>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</si>
  <si>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</si>
  <si>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</si>
  <si>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</si>
  <si>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</si>
  <si>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</si>
  <si>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</si>
  <si>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</si>
  <si>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</si>
  <si>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</si>
  <si>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</si>
  <si>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</si>
  <si>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</si>
  <si>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</si>
  <si>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</si>
  <si>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</si>
  <si>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</si>
  <si>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</si>
  <si>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</si>
  <si>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</si>
  <si>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</si>
  <si>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</si>
  <si>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</si>
  <si>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</si>
  <si>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</si>
  <si>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</si>
  <si>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</si>
  <si>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</si>
  <si>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</si>
  <si>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</si>
  <si>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</si>
  <si>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</si>
  <si>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</si>
  <si>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</si>
  <si>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</si>
  <si>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</si>
  <si>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</si>
  <si>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</si>
  <si>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</si>
  <si>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</si>
  <si>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</si>
  <si>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</si>
  <si>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</si>
  <si>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</si>
  <si>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</si>
  <si>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</si>
  <si>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</si>
  <si>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</si>
  <si>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</si>
  <si>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</si>
  <si>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</si>
  <si>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</si>
  <si>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</si>
  <si>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</si>
  <si>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</si>
  <si>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</si>
  <si>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</si>
  <si>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</si>
  <si>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</si>
  <si>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</si>
  <si>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</si>
  <si>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</si>
  <si>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</si>
  <si>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</si>
  <si>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</si>
  <si>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</si>
  <si>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</si>
  <si>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</si>
  <si>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</si>
  <si>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</si>
  <si>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</si>
  <si>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</si>
  <si>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</si>
  <si>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</si>
  <si>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</si>
  <si>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</si>
  <si>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</si>
  <si>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</si>
  <si>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</si>
  <si>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</si>
  <si>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</si>
  <si>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</si>
  <si>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</si>
  <si>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</si>
  <si>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</si>
  <si>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</si>
  <si>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</si>
  <si>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</si>
  <si>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</si>
  <si>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</si>
  <si>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</si>
  <si>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</si>
  <si>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</si>
  <si>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</si>
  <si>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</si>
  <si>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</si>
  <si>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</si>
  <si>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</si>
  <si>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</si>
  <si>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</si>
  <si>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</si>
  <si>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</si>
  <si>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</si>
  <si>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</si>
  <si>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</si>
  <si>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</si>
  <si>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</si>
  <si>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</si>
  <si>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</si>
  <si>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</si>
  <si>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</si>
  <si>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</si>
  <si>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</si>
  <si>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</si>
  <si>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</si>
  <si>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</si>
  <si>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</si>
  <si>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</si>
  <si>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</si>
  <si>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</si>
  <si>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</si>
  <si>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</si>
  <si>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</si>
  <si>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</si>
  <si>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</si>
  <si>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</si>
  <si>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</si>
  <si>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</si>
  <si>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</si>
  <si>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</si>
  <si>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</si>
  <si>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</si>
  <si>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</si>
  <si>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</si>
  <si>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</si>
  <si>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</si>
  <si>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</si>
  <si>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</si>
  <si>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</si>
  <si>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</si>
  <si>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</si>
  <si>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</si>
  <si>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</si>
  <si>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</si>
  <si>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</si>
  <si>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</si>
  <si>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</si>
  <si>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</si>
  <si>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</si>
  <si>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</si>
  <si>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</si>
  <si>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</si>
  <si>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</si>
  <si>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</si>
  <si>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</si>
  <si>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</si>
  <si>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</si>
  <si>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</si>
  <si>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</si>
  <si>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</si>
  <si>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</si>
  <si>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</si>
  <si>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</si>
  <si>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</si>
  <si>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</si>
  <si>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</si>
  <si>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</si>
  <si>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</si>
  <si>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</si>
  <si>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</si>
  <si>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</si>
  <si>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</si>
  <si>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</si>
  <si>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</si>
  <si>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</si>
  <si>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</si>
  <si>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</si>
  <si>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</si>
  <si>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</si>
  <si>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</si>
  <si>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</si>
  <si>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</si>
  <si>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</si>
  <si>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</si>
  <si>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</si>
  <si>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</si>
  <si>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</si>
  <si>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</si>
  <si>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</si>
  <si>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</si>
  <si>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</si>
  <si>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</si>
  <si>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</si>
  <si>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</si>
  <si>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</si>
  <si>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</si>
  <si>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</si>
  <si>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</si>
  <si>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</si>
  <si>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</si>
  <si>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</si>
  <si>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</si>
  <si>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</si>
  <si>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</si>
  <si>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</si>
  <si>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</si>
  <si>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</si>
  <si>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</si>
  <si>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</si>
  <si>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</si>
  <si>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</si>
  <si>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</si>
  <si>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</si>
  <si>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</si>
  <si>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</si>
  <si>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</si>
  <si>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</si>
  <si>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</si>
  <si>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</si>
  <si>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</si>
  <si>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</si>
  <si>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</si>
  <si>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</si>
  <si>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</si>
  <si>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</si>
  <si>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</si>
  <si>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</si>
  <si>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</si>
  <si>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</si>
  <si>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</si>
  <si>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</si>
  <si>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</si>
  <si>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</si>
  <si>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</si>
  <si>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</si>
  <si>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</si>
  <si>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</si>
  <si>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</si>
  <si>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</si>
  <si>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</si>
  <si>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</si>
  <si>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</si>
  <si>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</si>
  <si>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</si>
  <si>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</si>
  <si>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</si>
  <si>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</si>
  <si>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</si>
  <si>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</si>
  <si>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</si>
  <si>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</si>
  <si>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</si>
  <si>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</si>
  <si>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</si>
  <si>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</si>
  <si>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</si>
  <si>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</si>
  <si>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</si>
  <si>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</si>
  <si>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</si>
  <si>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</si>
  <si>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</si>
  <si>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</si>
  <si>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</si>
  <si>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</si>
  <si>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</si>
  <si>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</si>
  <si>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</si>
  <si>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</si>
  <si>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</si>
  <si>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</si>
  <si>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</si>
  <si>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</si>
  <si>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</si>
  <si>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</si>
  <si>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</si>
  <si>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</si>
  <si>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</si>
  <si>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</si>
  <si>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</si>
  <si>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</si>
  <si>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</si>
  <si>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</si>
  <si>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</si>
  <si>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</si>
  <si>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</si>
  <si>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</si>
  <si>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</si>
  <si>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</si>
  <si>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</si>
  <si>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</si>
  <si>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</si>
  <si>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</si>
  <si>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</si>
  <si>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</si>
  <si>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</si>
  <si>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</si>
  <si>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</si>
  <si>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</si>
  <si>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</si>
  <si>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</si>
  <si>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</si>
  <si>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</si>
  <si>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</si>
  <si>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</si>
  <si>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</si>
  <si>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</si>
  <si>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</si>
  <si>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</si>
  <si>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</si>
  <si>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</si>
  <si>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</si>
  <si>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</si>
  <si>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</si>
  <si>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</si>
  <si>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</si>
  <si>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</si>
  <si>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</si>
  <si>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</si>
  <si>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</si>
  <si>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</si>
  <si>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</si>
  <si>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</si>
  <si>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</si>
  <si>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</si>
  <si>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</si>
  <si>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</si>
  <si>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</si>
  <si>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</si>
  <si>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</si>
  <si>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</si>
  <si>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</si>
  <si>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</si>
  <si>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</si>
  <si>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</si>
  <si>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</si>
  <si>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</si>
  <si>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</si>
  <si>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</si>
  <si>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</si>
  <si>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</si>
  <si>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</si>
  <si>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</si>
  <si>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</si>
  <si>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</si>
  <si>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</si>
  <si>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</si>
  <si>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</si>
  <si>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</si>
  <si>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</si>
  <si>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</si>
  <si>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315-04</t>
  </si>
  <si>
    <t>242-04</t>
  </si>
  <si>
    <t>244-04</t>
  </si>
  <si>
    <t>309-04</t>
  </si>
  <si>
    <t>311-04</t>
  </si>
  <si>
    <t>313-04</t>
  </si>
  <si>
    <t>rtdc.l.rtdc.4054:itc</t>
  </si>
  <si>
    <t>204:150</t>
  </si>
  <si>
    <t>204:149</t>
  </si>
  <si>
    <t>204:143</t>
  </si>
  <si>
    <t>204:466</t>
  </si>
  <si>
    <t>204:469</t>
  </si>
  <si>
    <t>rtdc.l.rtdc.4040:itc</t>
  </si>
  <si>
    <t>204:451</t>
  </si>
  <si>
    <t>300:23346</t>
  </si>
  <si>
    <t>rtdc.l.rtdc.4018:itc</t>
  </si>
  <si>
    <t>THOMAS</t>
  </si>
  <si>
    <t>204:233314</t>
  </si>
  <si>
    <t>204:464</t>
  </si>
  <si>
    <t>rtdc.l.rtdc.4053:itc</t>
  </si>
  <si>
    <t>204:156</t>
  </si>
  <si>
    <t>204:233310</t>
  </si>
  <si>
    <t>rtdc.l.rtdc.4017:itc</t>
  </si>
  <si>
    <t>204:233304</t>
  </si>
  <si>
    <t>204:453</t>
  </si>
  <si>
    <t>204:232978</t>
  </si>
  <si>
    <t>204:232973</t>
  </si>
  <si>
    <t>204:440</t>
  </si>
  <si>
    <t>204:232982</t>
  </si>
  <si>
    <t>204:232993</t>
  </si>
  <si>
    <t>204:232984</t>
  </si>
  <si>
    <t>300:23304</t>
  </si>
  <si>
    <t>rtdc.l.rtdc.4061:itc</t>
  </si>
  <si>
    <t>204:233293</t>
  </si>
  <si>
    <t>204:444</t>
  </si>
  <si>
    <t>204:161</t>
  </si>
  <si>
    <t>204:447</t>
  </si>
  <si>
    <t>204:139</t>
  </si>
  <si>
    <t>rtdc.l.rtdc.4042:itc</t>
  </si>
  <si>
    <t>rtdc.l.rtdc.4060:itc</t>
  </si>
  <si>
    <t>204:165</t>
  </si>
  <si>
    <t>204:232986</t>
  </si>
  <si>
    <t>204:163</t>
  </si>
  <si>
    <t>300:58943</t>
  </si>
  <si>
    <t>300:58628</t>
  </si>
  <si>
    <t>204:233282</t>
  </si>
  <si>
    <t>204:233308</t>
  </si>
  <si>
    <t>STARKS</t>
  </si>
  <si>
    <t>ANGELINA</t>
  </si>
  <si>
    <t>THOMPSON</t>
  </si>
  <si>
    <t>LESTER</t>
  </si>
  <si>
    <t>LAMAR</t>
  </si>
  <si>
    <t>NEKESHA</t>
  </si>
  <si>
    <t>SPECTOR</t>
  </si>
  <si>
    <t>CLARK</t>
  </si>
  <si>
    <t>KATHLEEN</t>
  </si>
  <si>
    <t>BIRENBAUM</t>
  </si>
  <si>
    <t>ZEWDU</t>
  </si>
  <si>
    <t>DEREJE</t>
  </si>
  <si>
    <t>204:147</t>
  </si>
  <si>
    <t>204:232981</t>
  </si>
  <si>
    <t>204:233291</t>
  </si>
  <si>
    <t>204:233332</t>
  </si>
  <si>
    <t>204:233302</t>
  </si>
  <si>
    <t>300:58950</t>
  </si>
  <si>
    <t>300:58619</t>
  </si>
  <si>
    <t>Early arrival</t>
  </si>
  <si>
    <t>:.+((SYSTEM_STATE.+slice.+state.+changed )|(ment ac)|(multiple cpu faults)|(system.+state.+changed )|(\[timeout)|(PRM\|1\|D)|(kpr)|(kdp)|(train st.+moving)|(\|lc)|(penalty))</t>
  </si>
  <si>
    <t>rtdc.l.rtdc.4015:itc</t>
  </si>
  <si>
    <t>LOZA</t>
  </si>
  <si>
    <t>FIDEL</t>
  </si>
  <si>
    <t>FRANK</t>
  </si>
  <si>
    <t>DE LA ROSA</t>
  </si>
  <si>
    <t>ALEX</t>
  </si>
  <si>
    <t>rtdc.l.rtdc.4016:itc</t>
  </si>
  <si>
    <t>204:233289</t>
  </si>
  <si>
    <t>204:233319</t>
  </si>
  <si>
    <t>204:471</t>
  </si>
  <si>
    <t>204:437</t>
  </si>
  <si>
    <t>204:232989</t>
  </si>
  <si>
    <t>204:232980</t>
  </si>
  <si>
    <t>204:473</t>
  </si>
  <si>
    <t>204:232975</t>
  </si>
  <si>
    <t>204:687</t>
  </si>
  <si>
    <t>300:58944</t>
  </si>
  <si>
    <t>300:58939</t>
  </si>
  <si>
    <t>SIGNAL</t>
  </si>
  <si>
    <t>Signal based authority (5)</t>
  </si>
  <si>
    <t>rtdc.l.rtdc.4051:itc</t>
  </si>
  <si>
    <t>rtdc.l.rtdc.4024:itc</t>
  </si>
  <si>
    <t>Y</t>
  </si>
  <si>
    <t>BADERTSCHER</t>
  </si>
  <si>
    <t>DIANE</t>
  </si>
  <si>
    <t>GEBRETEKLE</t>
  </si>
  <si>
    <t>DAGNEW</t>
  </si>
  <si>
    <t>rtdc.l.rtdc.4052:itc</t>
  </si>
  <si>
    <t>MOSES</t>
  </si>
  <si>
    <t>BRADLEY</t>
  </si>
  <si>
    <t>BRUDER</t>
  </si>
  <si>
    <t>RICHARD</t>
  </si>
  <si>
    <t>FORTUNATO</t>
  </si>
  <si>
    <t>clear-day</t>
  </si>
  <si>
    <t>Clear</t>
  </si>
  <si>
    <t>clear-night</t>
  </si>
  <si>
    <t>204:233306</t>
  </si>
  <si>
    <t>204:233010</t>
  </si>
  <si>
    <t>204:233297</t>
  </si>
  <si>
    <t>204:170</t>
  </si>
  <si>
    <t>204:1162</t>
  </si>
  <si>
    <t>204:233276</t>
  </si>
  <si>
    <t>204:233366</t>
  </si>
  <si>
    <t>204:172</t>
  </si>
  <si>
    <t>204:233311</t>
  </si>
  <si>
    <t>204:232987</t>
  </si>
  <si>
    <t>204:233298</t>
  </si>
  <si>
    <t>204:232991</t>
  </si>
  <si>
    <t>300:23308</t>
  </si>
  <si>
    <t>300:58946</t>
  </si>
  <si>
    <t>300:58634</t>
  </si>
  <si>
    <t>204:976</t>
  </si>
  <si>
    <t>204:1007</t>
  </si>
  <si>
    <t>204:971</t>
  </si>
  <si>
    <t>300:58937</t>
  </si>
  <si>
    <t>300:58640</t>
  </si>
  <si>
    <t>204:979</t>
  </si>
  <si>
    <t>204:974</t>
  </si>
  <si>
    <t>204:692</t>
  </si>
  <si>
    <t>204:677</t>
  </si>
  <si>
    <t>204:691</t>
  </si>
  <si>
    <t>204:972</t>
  </si>
  <si>
    <t>Wi-MAX data drop</t>
  </si>
  <si>
    <t>rtdc.l.rtdc.4041:itc</t>
  </si>
  <si>
    <t>rtdc.l.rtdc.4043:itc</t>
  </si>
  <si>
    <t>ROBINSON</t>
  </si>
  <si>
    <t>KADDIBA</t>
  </si>
  <si>
    <t>ARVIDSON</t>
  </si>
  <si>
    <t>DANIEL</t>
  </si>
  <si>
    <t>rtdc.l.rtdc.4044:itc</t>
  </si>
  <si>
    <t>BRANDNER</t>
  </si>
  <si>
    <t>MELINDA</t>
  </si>
  <si>
    <t>WHITED</t>
  </si>
  <si>
    <t>DUSTIN</t>
  </si>
  <si>
    <t>243-04</t>
  </si>
  <si>
    <t>51-05</t>
  </si>
  <si>
    <t>52-05</t>
  </si>
  <si>
    <t>54-05</t>
  </si>
  <si>
    <t>56-05</t>
  </si>
  <si>
    <t>55-05</t>
  </si>
  <si>
    <t>204:232968</t>
  </si>
  <si>
    <t>204:232957</t>
  </si>
  <si>
    <t>204:233006</t>
  </si>
  <si>
    <t>204:232971</t>
  </si>
  <si>
    <t>204:233301</t>
  </si>
  <si>
    <t>204:233281</t>
  </si>
  <si>
    <t>204:233295</t>
  </si>
  <si>
    <t>204:232988</t>
  </si>
  <si>
    <t>204:134</t>
  </si>
  <si>
    <t>204:233299</t>
  </si>
  <si>
    <t>204:232967</t>
  </si>
  <si>
    <t>204:233315</t>
  </si>
  <si>
    <t>204:233324</t>
  </si>
  <si>
    <t>204:477</t>
  </si>
  <si>
    <t>204:438</t>
  </si>
  <si>
    <t>204:999</t>
  </si>
  <si>
    <t>204:185</t>
  </si>
  <si>
    <t>204:455</t>
  </si>
  <si>
    <t>204:233021</t>
  </si>
  <si>
    <t>204:233004</t>
  </si>
  <si>
    <t>204:232970</t>
  </si>
  <si>
    <t>204:233303</t>
  </si>
  <si>
    <t>204:233309</t>
  </si>
  <si>
    <t>204:233046</t>
  </si>
  <si>
    <t>204:233000</t>
  </si>
  <si>
    <t>204:233305</t>
  </si>
  <si>
    <t>204:3540</t>
  </si>
  <si>
    <t>204:64488</t>
  </si>
  <si>
    <t>204:128265</t>
  </si>
  <si>
    <t>204:128006</t>
  </si>
  <si>
    <t>204:151</t>
  </si>
  <si>
    <t>204:17207</t>
  </si>
  <si>
    <t>204:129</t>
  </si>
  <si>
    <t>204:1147</t>
  </si>
  <si>
    <t>204:988</t>
  </si>
  <si>
    <t>300:58624</t>
  </si>
  <si>
    <t>204:671</t>
  </si>
  <si>
    <t>204:997</t>
  </si>
  <si>
    <t>300:58626</t>
  </si>
  <si>
    <t>300:58630</t>
  </si>
  <si>
    <t>204:965</t>
  </si>
  <si>
    <t>300:58956</t>
  </si>
  <si>
    <t>204:986</t>
  </si>
  <si>
    <t>204:1006</t>
  </si>
  <si>
    <t>204:684</t>
  </si>
  <si>
    <t>300:58653</t>
  </si>
  <si>
    <t>204:748</t>
  </si>
  <si>
    <t>Brief Wi-MAX data drop, no enforcement</t>
  </si>
  <si>
    <t>58-05</t>
  </si>
  <si>
    <t>rtdc.l.rtdc.4008:itc</t>
  </si>
  <si>
    <t>121-05</t>
  </si>
  <si>
    <t>123-05</t>
  </si>
  <si>
    <t>120-05</t>
  </si>
  <si>
    <t>118-05</t>
  </si>
  <si>
    <t>133-05</t>
  </si>
  <si>
    <t>130-05</t>
  </si>
  <si>
    <t>rtdc.l.rtdc.4011:itc</t>
  </si>
  <si>
    <t>812-05</t>
  </si>
  <si>
    <t>141-05</t>
  </si>
  <si>
    <t>147-05</t>
  </si>
  <si>
    <t>149-05</t>
  </si>
  <si>
    <t>818-05</t>
  </si>
  <si>
    <t>160-05</t>
  </si>
  <si>
    <t>165-05</t>
  </si>
  <si>
    <t>172-05</t>
  </si>
  <si>
    <t>183-05</t>
  </si>
  <si>
    <t>187-05</t>
  </si>
  <si>
    <t>SWITCH UNKNOWN</t>
  </si>
  <si>
    <t>Track device (7)</t>
  </si>
  <si>
    <t>189-05</t>
  </si>
  <si>
    <t>199-05</t>
  </si>
  <si>
    <t>829-05</t>
  </si>
  <si>
    <t>202-05</t>
  </si>
  <si>
    <t>200-05</t>
  </si>
  <si>
    <t>204-05</t>
  </si>
  <si>
    <t>213-05</t>
  </si>
  <si>
    <t>217-05</t>
  </si>
  <si>
    <t>223-05</t>
  </si>
  <si>
    <t>222-05</t>
  </si>
  <si>
    <t>225-05</t>
  </si>
  <si>
    <t>224-05</t>
  </si>
  <si>
    <t>230-05</t>
  </si>
  <si>
    <t>79-05</t>
  </si>
  <si>
    <t>rtdc.l.rtdc.4034:itc</t>
  </si>
  <si>
    <t>77-05</t>
  </si>
  <si>
    <t>239-05</t>
  </si>
  <si>
    <t>245-05</t>
  </si>
  <si>
    <t>rtdc.l.rtdc.4039:itc</t>
  </si>
  <si>
    <t>302-05</t>
  </si>
  <si>
    <t>59-05</t>
  </si>
  <si>
    <t>MENGES</t>
  </si>
  <si>
    <t>BRAD</t>
  </si>
  <si>
    <t>61-05</t>
  </si>
  <si>
    <t>101-05</t>
  </si>
  <si>
    <t>304-05</t>
  </si>
  <si>
    <t>DAVIS</t>
  </si>
  <si>
    <t>WENDY</t>
  </si>
  <si>
    <t>63-05</t>
  </si>
  <si>
    <t>103-05</t>
  </si>
  <si>
    <t>306-05</t>
  </si>
  <si>
    <t>102-05</t>
  </si>
  <si>
    <t>rtdc.l.rtdc.4007:itc</t>
  </si>
  <si>
    <t>308-05</t>
  </si>
  <si>
    <t>105-05</t>
  </si>
  <si>
    <t>310-05</t>
  </si>
  <si>
    <t>107-05</t>
  </si>
  <si>
    <t>104-05</t>
  </si>
  <si>
    <t>109-05</t>
  </si>
  <si>
    <t>rtdc.l.rtdc.4002:itc</t>
  </si>
  <si>
    <t>901-05</t>
  </si>
  <si>
    <t>111-05</t>
  </si>
  <si>
    <t>113-05</t>
  </si>
  <si>
    <t>rtdc.l.rtdc.4001:itc</t>
  </si>
  <si>
    <t>800-05</t>
  </si>
  <si>
    <t>106-05</t>
  </si>
  <si>
    <t>108-05</t>
  </si>
  <si>
    <t>115-05</t>
  </si>
  <si>
    <t>801-05</t>
  </si>
  <si>
    <t>110-05</t>
  </si>
  <si>
    <t>117-05</t>
  </si>
  <si>
    <t>112-05</t>
  </si>
  <si>
    <t>902-05</t>
  </si>
  <si>
    <t>119-05</t>
  </si>
  <si>
    <t>YOUNG</t>
  </si>
  <si>
    <t>ELIZABETH</t>
  </si>
  <si>
    <t>114-05</t>
  </si>
  <si>
    <t>802-05</t>
  </si>
  <si>
    <t>803-05</t>
  </si>
  <si>
    <t>116-05</t>
  </si>
  <si>
    <t>805-05</t>
  </si>
  <si>
    <t>804-05</t>
  </si>
  <si>
    <t>125-05</t>
  </si>
  <si>
    <t>127-05</t>
  </si>
  <si>
    <t>122-05</t>
  </si>
  <si>
    <t>806-05</t>
  </si>
  <si>
    <t>129-05</t>
  </si>
  <si>
    <t>807-05</t>
  </si>
  <si>
    <t>124-05</t>
  </si>
  <si>
    <t>131-05</t>
  </si>
  <si>
    <t>809-05</t>
  </si>
  <si>
    <t>126-05</t>
  </si>
  <si>
    <t>808-05</t>
  </si>
  <si>
    <t>128-05</t>
  </si>
  <si>
    <t>135-05</t>
  </si>
  <si>
    <t>810-05</t>
  </si>
  <si>
    <t>137-05</t>
  </si>
  <si>
    <t>811-05</t>
  </si>
  <si>
    <t>132-05</t>
  </si>
  <si>
    <t>139-05</t>
  </si>
  <si>
    <t>903-05</t>
  </si>
  <si>
    <t>134-05</t>
  </si>
  <si>
    <t>136-05</t>
  </si>
  <si>
    <t>143-05</t>
  </si>
  <si>
    <t>138-05</t>
  </si>
  <si>
    <t>145-05</t>
  </si>
  <si>
    <t>813-05</t>
  </si>
  <si>
    <t>140-05</t>
  </si>
  <si>
    <t>142-05</t>
  </si>
  <si>
    <t>814-05</t>
  </si>
  <si>
    <t>144-05</t>
  </si>
  <si>
    <t>151-05</t>
  </si>
  <si>
    <t>146-05</t>
  </si>
  <si>
    <t>153-05</t>
  </si>
  <si>
    <t>815-05</t>
  </si>
  <si>
    <t>148-05</t>
  </si>
  <si>
    <t>150-05</t>
  </si>
  <si>
    <t>155-05</t>
  </si>
  <si>
    <t>50-05</t>
  </si>
  <si>
    <t>816-05</t>
  </si>
  <si>
    <t>157-05</t>
  </si>
  <si>
    <t>152-05</t>
  </si>
  <si>
    <t>159-05</t>
  </si>
  <si>
    <t>LOPES</t>
  </si>
  <si>
    <t>KIMBERLY</t>
  </si>
  <si>
    <t>154-05</t>
  </si>
  <si>
    <t>161-05</t>
  </si>
  <si>
    <t>ROMERO</t>
  </si>
  <si>
    <t>CHAD</t>
  </si>
  <si>
    <t>53-05</t>
  </si>
  <si>
    <t>817-05</t>
  </si>
  <si>
    <t>156-05</t>
  </si>
  <si>
    <t>163-05</t>
  </si>
  <si>
    <t>158-05</t>
  </si>
  <si>
    <t>162-05</t>
  </si>
  <si>
    <t>167-05</t>
  </si>
  <si>
    <t>169-05</t>
  </si>
  <si>
    <t>819-05</t>
  </si>
  <si>
    <t>164-05</t>
  </si>
  <si>
    <t>171-05</t>
  </si>
  <si>
    <t>166-05</t>
  </si>
  <si>
    <t>820-05</t>
  </si>
  <si>
    <t>173-05</t>
  </si>
  <si>
    <t>MCREYNOLDS</t>
  </si>
  <si>
    <t>KYLE</t>
  </si>
  <si>
    <t>168-05</t>
  </si>
  <si>
    <t>175-05</t>
  </si>
  <si>
    <t>DELGADO</t>
  </si>
  <si>
    <t>DIANAH</t>
  </si>
  <si>
    <t>170-05</t>
  </si>
  <si>
    <t>177-05</t>
  </si>
  <si>
    <t>821-05</t>
  </si>
  <si>
    <t>179-05</t>
  </si>
  <si>
    <t>174-05</t>
  </si>
  <si>
    <t>822-05</t>
  </si>
  <si>
    <t>181-05</t>
  </si>
  <si>
    <t>176-05</t>
  </si>
  <si>
    <t>60-05</t>
  </si>
  <si>
    <t>823-05</t>
  </si>
  <si>
    <t>178-05</t>
  </si>
  <si>
    <t>185-05</t>
  </si>
  <si>
    <t>180-05</t>
  </si>
  <si>
    <t>182-05</t>
  </si>
  <si>
    <t>824-05</t>
  </si>
  <si>
    <t>184-05</t>
  </si>
  <si>
    <t>191-05</t>
  </si>
  <si>
    <t>825-05</t>
  </si>
  <si>
    <t>186-05</t>
  </si>
  <si>
    <t>193-05</t>
  </si>
  <si>
    <t>904-05</t>
  </si>
  <si>
    <t>188-05</t>
  </si>
  <si>
    <t>195-05</t>
  </si>
  <si>
    <t>62-05</t>
  </si>
  <si>
    <t>190-05</t>
  </si>
  <si>
    <t>826-05</t>
  </si>
  <si>
    <t>827-05</t>
  </si>
  <si>
    <t>197-05</t>
  </si>
  <si>
    <t>192-05</t>
  </si>
  <si>
    <t>194-05</t>
  </si>
  <si>
    <t>828-05</t>
  </si>
  <si>
    <t>201-05</t>
  </si>
  <si>
    <t>196-05</t>
  </si>
  <si>
    <t>203-05</t>
  </si>
  <si>
    <t>198-05</t>
  </si>
  <si>
    <t>830-05</t>
  </si>
  <si>
    <t>205-05</t>
  </si>
  <si>
    <t>831-05</t>
  </si>
  <si>
    <t>207-05</t>
  </si>
  <si>
    <t>832-05</t>
  </si>
  <si>
    <t>66-05</t>
  </si>
  <si>
    <t>833-05</t>
  </si>
  <si>
    <t>209-05</t>
  </si>
  <si>
    <t>211-05</t>
  </si>
  <si>
    <t>206-05</t>
  </si>
  <si>
    <t>834-05</t>
  </si>
  <si>
    <t>835-05</t>
  </si>
  <si>
    <t>208-05</t>
  </si>
  <si>
    <t>215-05</t>
  </si>
  <si>
    <t>70-05</t>
  </si>
  <si>
    <t>67-05</t>
  </si>
  <si>
    <t>72-05</t>
  </si>
  <si>
    <t>71-05</t>
  </si>
  <si>
    <t>MACDONALD</t>
  </si>
  <si>
    <t>837-05</t>
  </si>
  <si>
    <t>210-05</t>
  </si>
  <si>
    <t>836-05</t>
  </si>
  <si>
    <t>212-05</t>
  </si>
  <si>
    <t>219-05</t>
  </si>
  <si>
    <t>73-05</t>
  </si>
  <si>
    <t>214-05</t>
  </si>
  <si>
    <t>838-05</t>
  </si>
  <si>
    <t>303-05</t>
  </si>
  <si>
    <t>839-05</t>
  </si>
  <si>
    <t>216-05</t>
  </si>
  <si>
    <t>221-05</t>
  </si>
  <si>
    <t>218-05</t>
  </si>
  <si>
    <t>841-05</t>
  </si>
  <si>
    <t>305-05</t>
  </si>
  <si>
    <t>220-05</t>
  </si>
  <si>
    <t>906-05</t>
  </si>
  <si>
    <t>840-05</t>
  </si>
  <si>
    <t>307-05</t>
  </si>
  <si>
    <t>842-05</t>
  </si>
  <si>
    <t>843-05</t>
  </si>
  <si>
    <t>rtdc.l.rtdc.4033:itc</t>
  </si>
  <si>
    <t>76-05</t>
  </si>
  <si>
    <t>78-05</t>
  </si>
  <si>
    <t>SULLIVAN</t>
  </si>
  <si>
    <t>BRANDON</t>
  </si>
  <si>
    <t>227-05</t>
  </si>
  <si>
    <t>226-05</t>
  </si>
  <si>
    <t>229-05</t>
  </si>
  <si>
    <t>845-05</t>
  </si>
  <si>
    <t>231-05</t>
  </si>
  <si>
    <t>228-05</t>
  </si>
  <si>
    <t>844-05</t>
  </si>
  <si>
    <t>233-05</t>
  </si>
  <si>
    <t>847-05</t>
  </si>
  <si>
    <t>235-05</t>
  </si>
  <si>
    <t>232-05</t>
  </si>
  <si>
    <t>908-05</t>
  </si>
  <si>
    <t>234-05</t>
  </si>
  <si>
    <t>237-05</t>
  </si>
  <si>
    <t>236-05</t>
  </si>
  <si>
    <t>238-05</t>
  </si>
  <si>
    <t>241-05</t>
  </si>
  <si>
    <t>243-05</t>
  </si>
  <si>
    <t>240-05</t>
  </si>
  <si>
    <t>242-05</t>
  </si>
  <si>
    <t>309-05</t>
  </si>
  <si>
    <t>244-05</t>
  </si>
  <si>
    <t>311-05</t>
  </si>
  <si>
    <t>246-05</t>
  </si>
  <si>
    <t>313-05</t>
  </si>
  <si>
    <t>315-05</t>
  </si>
  <si>
    <t>fog</t>
  </si>
  <si>
    <t>Foggy</t>
  </si>
  <si>
    <t>partly-cloudy-day</t>
  </si>
  <si>
    <t>Partly Cloudy</t>
  </si>
  <si>
    <t>204:772</t>
  </si>
  <si>
    <t>204:233284</t>
  </si>
  <si>
    <t>204:232652</t>
  </si>
  <si>
    <t>204:726</t>
  </si>
  <si>
    <t>204:232690</t>
  </si>
  <si>
    <t>204:754</t>
  </si>
  <si>
    <t>204:232658</t>
  </si>
  <si>
    <t>204:130</t>
  </si>
  <si>
    <t>204:777</t>
  </si>
  <si>
    <t>204:233312</t>
  </si>
  <si>
    <t>204:232990</t>
  </si>
  <si>
    <t>204:797</t>
  </si>
  <si>
    <t>204:232994</t>
  </si>
  <si>
    <t>204:232998</t>
  </si>
  <si>
    <t>204:433</t>
  </si>
  <si>
    <t>204:132</t>
  </si>
  <si>
    <t>204:233359</t>
  </si>
  <si>
    <t>204:431</t>
  </si>
  <si>
    <t>204:233300</t>
  </si>
  <si>
    <t>204:232996</t>
  </si>
  <si>
    <t>204:413</t>
  </si>
  <si>
    <t>204:232992</t>
  </si>
  <si>
    <t>204:478</t>
  </si>
  <si>
    <t>204:233327</t>
  </si>
  <si>
    <t>204:233034</t>
  </si>
  <si>
    <t>204:488</t>
  </si>
  <si>
    <t>204:178</t>
  </si>
  <si>
    <t>204:233426</t>
  </si>
  <si>
    <t>204:251</t>
  </si>
  <si>
    <t>204:233128</t>
  </si>
  <si>
    <t>204:1479</t>
  </si>
  <si>
    <t>204:233011</t>
  </si>
  <si>
    <t>204:233136</t>
  </si>
  <si>
    <t>204:232813</t>
  </si>
  <si>
    <t>204:1171</t>
  </si>
  <si>
    <t>204:549</t>
  </si>
  <si>
    <t>204:128357</t>
  </si>
  <si>
    <t>204:233317</t>
  </si>
  <si>
    <t>204:64198</t>
  </si>
  <si>
    <t>204:86375</t>
  </si>
  <si>
    <t>204:124367</t>
  </si>
  <si>
    <t>204:220</t>
  </si>
  <si>
    <t>204:233196</t>
  </si>
  <si>
    <t>204:109</t>
  </si>
  <si>
    <t>204:107593</t>
  </si>
  <si>
    <t>204:517</t>
  </si>
  <si>
    <t>204:233338</t>
  </si>
  <si>
    <t>204:233032</t>
  </si>
  <si>
    <t>204:136</t>
  </si>
  <si>
    <t>204:232953</t>
  </si>
  <si>
    <t>204:233274</t>
  </si>
  <si>
    <t>204:420</t>
  </si>
  <si>
    <t>204:233364</t>
  </si>
  <si>
    <t>204:233077</t>
  </si>
  <si>
    <t>204:1483</t>
  </si>
  <si>
    <t>204:198</t>
  </si>
  <si>
    <t>204:233389</t>
  </si>
  <si>
    <t>204:233084</t>
  </si>
  <si>
    <t>204:233415</t>
  </si>
  <si>
    <t>204:233106</t>
  </si>
  <si>
    <t>204:83816</t>
  </si>
  <si>
    <t>204:233376</t>
  </si>
  <si>
    <t>204:233066</t>
  </si>
  <si>
    <t>204:424</t>
  </si>
  <si>
    <t>204:233111</t>
  </si>
  <si>
    <t>204:233229</t>
  </si>
  <si>
    <t>204:233108</t>
  </si>
  <si>
    <t>204:233357</t>
  </si>
  <si>
    <t>204:233412</t>
  </si>
  <si>
    <t>204:233082</t>
  </si>
  <si>
    <t>204:233405</t>
  </si>
  <si>
    <t>204:233078</t>
  </si>
  <si>
    <t>204:233320</t>
  </si>
  <si>
    <t>204:233007</t>
  </si>
  <si>
    <t>204:233399</t>
  </si>
  <si>
    <t>204:233096</t>
  </si>
  <si>
    <t>204:233005</t>
  </si>
  <si>
    <t>204:217688</t>
  </si>
  <si>
    <t>300:22913</t>
  </si>
  <si>
    <t>300:23302</t>
  </si>
  <si>
    <t>300:23644</t>
  </si>
  <si>
    <t>300:23011</t>
  </si>
  <si>
    <t>300:23906</t>
  </si>
  <si>
    <t>204:529</t>
  </si>
  <si>
    <t>300:23125</t>
  </si>
  <si>
    <t>300:23542</t>
  </si>
  <si>
    <t>300:22274</t>
  </si>
  <si>
    <t>204:97</t>
  </si>
  <si>
    <t>204:3210</t>
  </si>
  <si>
    <t>204:1165</t>
  </si>
  <si>
    <t>204:410</t>
  </si>
  <si>
    <t>300:24265</t>
  </si>
  <si>
    <t>204:17371</t>
  </si>
  <si>
    <t>204:126</t>
  </si>
  <si>
    <t>300:23312</t>
  </si>
  <si>
    <t>204:3322</t>
  </si>
  <si>
    <t>204:336</t>
  </si>
  <si>
    <t>204:3612</t>
  </si>
  <si>
    <t>204:1273</t>
  </si>
  <si>
    <t>204:3331</t>
  </si>
  <si>
    <t>204:1486</t>
  </si>
  <si>
    <t>204:3642</t>
  </si>
  <si>
    <t>204:1477</t>
  </si>
  <si>
    <t>204:1481</t>
  </si>
  <si>
    <t>300:23106</t>
  </si>
  <si>
    <t>300:22098</t>
  </si>
  <si>
    <t>204:144</t>
  </si>
  <si>
    <t>204:419</t>
  </si>
  <si>
    <t>204:191881</t>
  </si>
  <si>
    <t>204:154009</t>
  </si>
  <si>
    <t>204:193408</t>
  </si>
  <si>
    <t>204:1214</t>
  </si>
  <si>
    <t>204:1222</t>
  </si>
  <si>
    <t>204:1305</t>
  </si>
  <si>
    <t>204:154269</t>
  </si>
  <si>
    <t>204:192206</t>
  </si>
  <si>
    <t>204:197806</t>
  </si>
  <si>
    <t>204:193745</t>
  </si>
  <si>
    <t>204:232641</t>
  </si>
  <si>
    <t>204:719</t>
  </si>
  <si>
    <t>204:232672</t>
  </si>
  <si>
    <t>300:23211</t>
  </si>
  <si>
    <t>204:1286</t>
  </si>
  <si>
    <t>204:64783</t>
  </si>
  <si>
    <t>204:730</t>
  </si>
  <si>
    <t>204:755</t>
  </si>
  <si>
    <t>204:10827</t>
  </si>
  <si>
    <t>300:58670</t>
  </si>
  <si>
    <t>204:701</t>
  </si>
  <si>
    <t>300:58988</t>
  </si>
  <si>
    <t>204:698</t>
  </si>
  <si>
    <t>204:946</t>
  </si>
  <si>
    <t>300:58929</t>
  </si>
  <si>
    <t>204:680</t>
  </si>
  <si>
    <t>204:983</t>
  </si>
  <si>
    <t>300:58992</t>
  </si>
  <si>
    <t>300:58675</t>
  </si>
  <si>
    <t>204:715</t>
  </si>
  <si>
    <t>300:58984</t>
  </si>
  <si>
    <t>300:58662</t>
  </si>
  <si>
    <t>204:713</t>
  </si>
  <si>
    <t>300:58935</t>
  </si>
  <si>
    <t>300:58615</t>
  </si>
  <si>
    <t>204:1018</t>
  </si>
  <si>
    <t>204:741</t>
  </si>
  <si>
    <t>204:1030</t>
  </si>
  <si>
    <t>300:58320</t>
  </si>
  <si>
    <t>204:962</t>
  </si>
  <si>
    <t>300:58927</t>
  </si>
  <si>
    <t>300:57329</t>
  </si>
  <si>
    <t>204:733</t>
  </si>
  <si>
    <t>300:58997</t>
  </si>
  <si>
    <t>300:58674</t>
  </si>
  <si>
    <t>300:58948</t>
  </si>
  <si>
    <t>300:58641</t>
  </si>
  <si>
    <t>204:682</t>
  </si>
  <si>
    <t>300:58928</t>
  </si>
  <si>
    <t>204:981</t>
  </si>
  <si>
    <t>300:58967</t>
  </si>
  <si>
    <t>204:670</t>
  </si>
  <si>
    <t>300:58632</t>
  </si>
  <si>
    <t>300:58892</t>
  </si>
  <si>
    <t>300:58572</t>
  </si>
  <si>
    <t>204:958</t>
  </si>
  <si>
    <t>300:58636</t>
  </si>
  <si>
    <t>204:659</t>
  </si>
  <si>
    <t>204:964</t>
  </si>
  <si>
    <t>300:58655</t>
  </si>
  <si>
    <t>204:992</t>
  </si>
  <si>
    <t>300:58969</t>
  </si>
  <si>
    <t>300:58617</t>
  </si>
  <si>
    <t>204:689</t>
  </si>
  <si>
    <t>300:58643</t>
  </si>
  <si>
    <t>204:995</t>
  </si>
  <si>
    <t>300:29806</t>
  </si>
  <si>
    <t>300:58986</t>
  </si>
  <si>
    <t>300:23071</t>
  </si>
  <si>
    <t>204:645</t>
  </si>
  <si>
    <t>300:24212</t>
  </si>
  <si>
    <t>300:23410</t>
  </si>
  <si>
    <t>204:673</t>
  </si>
  <si>
    <t>300:28788</t>
  </si>
  <si>
    <t>300:21725</t>
  </si>
  <si>
    <t>start /low /b %USERPROFILE%\Documents\GitHub\eaglep3\Utilities\DownloadLogsFromS3.py --loco 4042 --day 2017-05-05</t>
  </si>
  <si>
    <t>start /low /b %USERPROFILE%\Documents\GitHub\eaglep3\Utilities\DownloadLogsFromS3.py --loco 4041 --day 2017-05-05</t>
  </si>
  <si>
    <t>start /low /b %USERPROFILE%\Documents\GitHub\eaglep3\Utilities\DownloadLogsFromS3.py --loco 4027 --day 2017-05-05</t>
  </si>
  <si>
    <t>start /low /b %USERPROFILE%\Documents\GitHub\eaglep3\Utilities\DownloadLogsFromS3.py --loco 4030 --day 2017-05-05</t>
  </si>
  <si>
    <t>start /low /b %USERPROFILE%\Documents\GitHub\eaglep3\Utilities\DownloadLogsFromS3.py --loco 4028 --day 2017-05-06</t>
  </si>
  <si>
    <t>start /low /b %USERPROFILE%\Documents\GitHub\eaglep3\Utilities\DownloadLogsFromS3.py --loco 4011 --day 2017-05-05</t>
  </si>
  <si>
    <t>start /low /b %USERPROFILE%\Documents\GitHub\eaglep3\Utilities\DownloadLogsFromS3.py --loco 4044 --day 2017-05-05</t>
  </si>
  <si>
    <t>start /low /b %USERPROFILE%\Documents\GitHub\eaglep3\Utilities\DownloadLogsFromS3.py --loco 4022 --day 2017-05-05</t>
  </si>
  <si>
    <t>start /low /b %USERPROFILE%\Documents\GitHub\eaglep3\Utilities\DownloadLogsFromS3.py --loco 4022 --day 2017-05-06</t>
  </si>
  <si>
    <t>start /low /b %USERPROFILE%\Documents\GitHub\eaglep3\Utilities\DownloadLogsFromS3.py --loco 4021 --day 2017-05-06</t>
  </si>
  <si>
    <t>start /low /b %USERPROFILE%\Documents\GitHub\eaglep3\Utilities\DownloadLogsFromS3.py --loco 4040 --day 2017-05-05</t>
  </si>
  <si>
    <t>start /low /b %USERPROFILE%\Documents\GitHub\eaglep3\Utilities\DownloadLogsFromS3.py --loco 4029 --day 2017-05-05</t>
  </si>
  <si>
    <t>start /low /b %USERPROFILE%\Documents\GitHub\eaglep3\Utilities\DownloadLogsFromS3.py --loco 4027 --day 2017-05-06</t>
  </si>
  <si>
    <t>start /low /b %USERPROFILE%\Documents\GitHub\eaglep3\Utilities\DownloadLogsFromS3.py --loco 4008 --day 2017-05-05</t>
  </si>
  <si>
    <t>start /low /b %USERPROFILE%\Documents\GitHub\eaglep3\Utilities\DownloadLogsFromS3.py --loco 4021 --day 2017-05-05</t>
  </si>
  <si>
    <t>start /low /b %USERPROFILE%\Documents\GitHub\eaglep3\Utilities\DownloadLogsFromS3.py --loco 4030 --day 2017-05-06</t>
  </si>
  <si>
    <t>start /low /b %USERPROFILE%\Documents\GitHub\eaglep3\Utilities\DownloadLogsFromS3.py --loco 4012 --day 2017-05-05</t>
  </si>
  <si>
    <t>Onboard in-route failure</t>
  </si>
  <si>
    <t>Selected wrong track</t>
  </si>
  <si>
    <t>DUS 4N STOP</t>
  </si>
  <si>
    <t>Overspeed</t>
  </si>
  <si>
    <t>Went active too close to signal</t>
  </si>
  <si>
    <t>No departure test keys - VM resolved in timely fashion</t>
  </si>
  <si>
    <t>Went active too close to signal, ran without issue after re-initializing on other side of Westminster 2S</t>
  </si>
  <si>
    <t>Delayed departure due to selecting wrong trip (selected 170-05 twice before correctly selecting 183-05)</t>
  </si>
  <si>
    <t>Delayed due to passenger medical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</si>
</sst>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topLeftCell="A187" zoomScaleNormal="100" workbookViewId="0">
      <selection activeCell="R201" sqref="R20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42860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42860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COUNTIFS($N$13:$N$9330,"&gt;0",$AG$13:$AG$9330,I1)</f>
        <v>142</v>
      </c>
      <c r="K5" s="39"/>
      <c r="L5" s="39"/>
      <c r="M5" s="40">
        <f>AVERAGEIFS($N$13:$N$9330,$AG$13:$AG$9330,I1)</f>
        <v>38.353403755750598</v>
      </c>
      <c r="N5" s="38">
        <f t="array" ref="N5">MIN(IF($AG$13:$AG$9330=I1,IF(ISNUMBER($N$13:$N$9330),IF($N$13:$N$9330&gt;0,$N$13:$N$9330))))</f>
        <v>34.449999995995313</v>
      </c>
      <c r="O5" s="3">
        <f t="array" ref="O5">MAX(IF($AG$13:$AG$9330=I1,IF(ISNUMBER($N$13:$N$9330),IF($N$13:$N$9330&gt;0,$N$13:$N$9330))))</f>
        <v>52.100000004284084</v>
      </c>
      <c r="P5" s="2"/>
      <c r="R5" s="177" t="s">
        <v>17</v>
      </c>
      <c r="S5" s="199">
        <f>COUNTIFS($N$13:$N$9330,"&gt;0",$AG$13:$AG$9330,R1)</f>
        <v>46</v>
      </c>
      <c r="T5" s="179"/>
      <c r="U5" s="179"/>
      <c r="V5" s="176">
        <f>AVERAGEIFS($N$13:$N$9330,$AG$13:$AG$9330,R1)</f>
        <v>15.392391303523809</v>
      </c>
      <c r="W5" s="177">
        <f t="array" ref="W5">MIN(IF($AG$13:$AG$9330=R1,IF(ISNUMBER($N$13:$N$9330),IF($N$13:$N$9330&gt;0,$N$13:$N$9330))))</f>
        <v>12.749999994412065</v>
      </c>
      <c r="X5" s="178">
        <f t="array" ref="X5">MAX(IF($AG$13:$AG$9330=R1,IF(ISNUMBER($N$13:$N$9330),IF($N$13:$N$9330&gt;0,$N$13:$N$9330))))</f>
        <v>20.449999992270023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COUNT($O$13:$O$117)</f>
        <v>0</v>
      </c>
      <c r="K6" s="39"/>
      <c r="L6" s="39"/>
      <c r="M6" s="40">
        <f>IFERROR(AVERAGE($O$13:$O$117),0)</f>
        <v>0</v>
      </c>
      <c r="N6" s="38">
        <f>MIN($O$13:$O$117)</f>
        <v>0</v>
      </c>
      <c r="O6" s="3">
        <f>MAX($O$13:$O$117)</f>
        <v>0</v>
      </c>
      <c r="P6" s="2"/>
      <c r="R6" s="180" t="s">
        <v>43</v>
      </c>
      <c r="S6" s="199">
        <f>COUNT($O$13:$O$117)</f>
        <v>0</v>
      </c>
      <c r="T6" s="179"/>
      <c r="U6" s="179"/>
      <c r="V6" s="176">
        <f>IFERROR(AVERAGE($O$13:$O$117),0)</f>
        <v>0</v>
      </c>
      <c r="W6" s="177">
        <f>MIN($O$13:$O$117)</f>
        <v>0</v>
      </c>
      <c r="X6" s="178">
        <f>MAX($O$13:$O$117)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COUNTIFS($P$13:$P$9330,"&gt;0",$AG$13:$AG$9330,I1)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COUNTIFS($P$13:$P$9330,"&gt;0",$AG$13:$AG$9330,R1)</f>
        <v>1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142</v>
      </c>
      <c r="K8" s="39"/>
      <c r="L8" s="39"/>
      <c r="M8" s="40">
        <f>M5</f>
        <v>38.353403755750598</v>
      </c>
      <c r="N8" s="38">
        <f>N5</f>
        <v>34.449999995995313</v>
      </c>
      <c r="O8" s="3">
        <f>O5</f>
        <v>52.100000004284084</v>
      </c>
      <c r="P8" s="2"/>
      <c r="R8" s="177" t="s">
        <v>16</v>
      </c>
      <c r="S8" s="199">
        <f>S5</f>
        <v>46</v>
      </c>
      <c r="T8" s="179"/>
      <c r="U8" s="179"/>
      <c r="V8" s="176">
        <f>V5</f>
        <v>15.392391303523809</v>
      </c>
      <c r="W8" s="177">
        <f>W5</f>
        <v>12.749999994412065</v>
      </c>
      <c r="X8" s="178">
        <f>X5</f>
        <v>20.449999992270023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0.9726027397260274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0.97872340425531912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- 2017-05-05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AVERAGE(S13:S89)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376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636</v>
      </c>
      <c r="B13" s="7">
        <v>4016</v>
      </c>
      <c r="C13" s="21" t="s">
        <v>210</v>
      </c>
      <c r="D13" s="21" t="s">
        <v>851</v>
      </c>
      <c r="E13" s="13">
        <v>42860.132418981484</v>
      </c>
      <c r="F13" s="13">
        <v>42860.13721064815</v>
      </c>
      <c r="G13" s="7">
        <v>2</v>
      </c>
      <c r="H13" s="21" t="s">
        <v>852</v>
      </c>
      <c r="I13" s="13">
        <v>42860.164131944446</v>
      </c>
      <c r="J13" s="7">
        <v>0</v>
      </c>
      <c r="K13" s="92" t="str">
        <f t="shared" ref="K13:K76" si="0">IF(ISEVEN(B13),(B13-1)&amp;"/"&amp;B13,B13&amp;"/"&amp;(B13+1))</f>
        <v>4015/4016</v>
      </c>
      <c r="L13" s="21" t="str">
        <f>VLOOKUP(A13,'Trips&amp;Operators'!$C$1:$G$99999,5,FALSE)</f>
        <v>BADERTSCHER DIANE</v>
      </c>
      <c r="M13" s="6">
        <f t="shared" ref="M13:M76" si="1">I13-F13</f>
        <v>2.6921296295768116E-2</v>
      </c>
      <c r="N13" s="7">
        <f t="shared" ref="N13:N44" si="2">24*60*SUM($M13:$M13)</f>
        <v>38.766666665906087</v>
      </c>
      <c r="O13" s="7"/>
      <c r="P13" s="7"/>
      <c r="Q13" s="22"/>
      <c r="R13" s="190"/>
      <c r="S13" s="196">
        <f t="shared" ref="S13:S44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-05T02:10:41-0600',mode:absolute,to:'2017-05-05T04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192" t="str">
        <f t="shared" ref="W13:W76" si="6">IF(AA13&lt;IF(AG13="EC",23,5.65),"Y","N")</f>
        <v>N</v>
      </c>
      <c r="X13" s="192" t="e">
        <f t="shared" ref="X13:X44" si="7">VALUE(LEFT(AD13,4))-VALUE(LEFT(AD12,4))</f>
        <v>#VALUE!</v>
      </c>
      <c r="Y13" s="192">
        <f t="shared" ref="Y13:Y76" si="8">RIGHT(D13,LEN(D13)-4)/10000</f>
        <v>7.7200000000000005E-2</v>
      </c>
      <c r="Z13" s="192">
        <f t="shared" ref="Z13:Z44" si="9">RIGHT(H13,LEN(H13)-4)/10000</f>
        <v>23.328399999999998</v>
      </c>
      <c r="AA13" s="192">
        <f t="shared" ref="AA13:AA76" si="10">ABS(Z13-Y13)</f>
        <v>23.251199999999997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0101-05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/stypes="app*4016*20170505*"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4016 --swversion DE.1.0.9.0 --startMP 204:772 --initTime 2017-05-05T03:10:41 --startdatetime 2017-05-05T03:17:35 --delay 2 --endMP 204:233284 --enddatetime 2017-05-05T03:56:21 --enforcementcount 0 &gt;&gt;C:\Users\stu\Documents\GitHub\eaglep3-reporting\EC\2017-05-05-refined-times.txt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{"issue":{"subject":"","project_id":79,"tracker_id":40,"status_id":1,"priority_id":2,"assigned_to_id":23,"start_date":"2017-05-05","description":"","custom_fields":[{"id":1,"name":"Subdivision","value":"EC"},{"id":4,"name":"Milepost","value":"23.3284"},{"id":17,"name":"Train ID","value":"101-05"},{"id":16,"name":"Locomotive ID","value":"4016"},{"id":130,"name":"Impact","value":""},{"id":150,"name":"Time of Event (Mountain Time)","value":"03:56:21"},{"id":151,"name":"Denver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4016 --day 2017-05-05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643</v>
      </c>
      <c r="B14" s="7">
        <v>4039</v>
      </c>
      <c r="C14" s="21" t="s">
        <v>210</v>
      </c>
      <c r="D14" s="21" t="s">
        <v>853</v>
      </c>
      <c r="E14" s="13">
        <v>42860.170405092591</v>
      </c>
      <c r="F14" s="13">
        <v>42860.174513888887</v>
      </c>
      <c r="G14" s="7">
        <v>1</v>
      </c>
      <c r="H14" s="21" t="s">
        <v>454</v>
      </c>
      <c r="I14" s="13">
        <v>42860.203425925924</v>
      </c>
      <c r="J14" s="7">
        <v>0</v>
      </c>
      <c r="K14" s="92" t="str">
        <f t="shared" si="0"/>
        <v>4039/4040</v>
      </c>
      <c r="L14" s="21" t="str">
        <f>VLOOKUP(A14,'Trips&amp;Operators'!$C$1:$G$99999,5,FALSE)</f>
        <v>BADERTSCHER DIANE</v>
      </c>
      <c r="M14" s="6">
        <f t="shared" si="1"/>
        <v>2.8912037036207039E-2</v>
      </c>
      <c r="N14" s="7">
        <f t="shared" si="2"/>
        <v>41.633333332138136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-05T03:05:23-0600',mode:absolute,to:'2017-05-05T05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23.2652</v>
      </c>
      <c r="Z14" s="192">
        <f t="shared" si="9"/>
        <v>1.47E-2</v>
      </c>
      <c r="AA14" s="192">
        <f t="shared" si="10"/>
        <v>23.250499999999999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0102-05</v>
      </c>
      <c r="AE14" s="80" t="str">
        <f t="shared" si="12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14" s="77" t="str">
        <f t="shared" si="13"/>
        <v>"C:\Program Files (x86)\AstroGrep\AstroGrep.exe" /e /r /s /spath="%USERPROFILE%\AppData\Local\Temp\OnboardLogs" /stypes="app*4039*20170505*"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4039 --swversion DE.1.0.9.0 --startMP 204:232652 --initTime 2017-05-05T04:05:23 --startdatetime 2017-05-05T04:11:18 --delay 1 --endMP 204:147 --enddatetime 2017-05-05T04:52:56 --enforcementcount 0 &gt;&gt;C:\Users\stu\Documents\GitHub\eaglep3-reporting\EC\2017-05-05-refined-times.txt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{"issue":{"subject":"","project_id":79,"tracker_id":40,"status_id":1,"priority_id":2,"assigned_to_id":23,"start_date":"2017-05-05","description":"","custom_fields":[{"id":1,"name":"Subdivision","value":"EC"},{"id":4,"name":"Milepost","value":"0.0147"},{"id":17,"name":"Train ID","value":"102-05"},{"id":16,"name":"Locomotive ID","value":"4039"},{"id":130,"name":"Impact","value":""},{"id":150,"name":"Time of Event (Mountain Time)","value":"04:52:56"},{"id":151,"name":"Denver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4039 --day 2017-05-05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641</v>
      </c>
      <c r="B15" s="7">
        <v>4022</v>
      </c>
      <c r="C15" s="21" t="s">
        <v>210</v>
      </c>
      <c r="D15" s="21" t="s">
        <v>854</v>
      </c>
      <c r="E15" s="13">
        <v>42860.150127314817</v>
      </c>
      <c r="F15" s="13">
        <v>42860.156608796293</v>
      </c>
      <c r="G15" s="7">
        <v>1</v>
      </c>
      <c r="H15" s="21" t="s">
        <v>471</v>
      </c>
      <c r="I15" s="13">
        <v>42860.183506944442</v>
      </c>
      <c r="J15" s="7">
        <v>0</v>
      </c>
      <c r="K15" s="92" t="str">
        <f t="shared" si="0"/>
        <v>4021/4022</v>
      </c>
      <c r="L15" s="21" t="str">
        <f>VLOOKUP(A15,'Trips&amp;Operators'!$C$1:$G$99999,5,FALSE)</f>
        <v>DAVIS WENDY</v>
      </c>
      <c r="M15" s="6">
        <f t="shared" si="1"/>
        <v>2.6898148149484769E-2</v>
      </c>
      <c r="N15" s="7">
        <f t="shared" si="2"/>
        <v>38.733333335258067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-05T02:36:11-0600',mode:absolute,to:'2017-05-05T05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7.2599999999999998E-2</v>
      </c>
      <c r="Z15" s="192">
        <f t="shared" si="9"/>
        <v>23.331900000000001</v>
      </c>
      <c r="AA15" s="192">
        <f t="shared" si="10"/>
        <v>23.2593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0103-05</v>
      </c>
      <c r="AE15" s="80" t="str">
        <f t="shared" si="12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5" s="77" t="str">
        <f t="shared" si="13"/>
        <v>"C:\Program Files (x86)\AstroGrep\AstroGrep.exe" /e /r /s /spath="%USERPROFILE%\AppData\Local\Temp\OnboardLogs" /stypes="app*4022*20170505*"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103-05 --locoid 4022 --swversion DE.1.0.9.0 --startMP 204:726 --initTime 2017-05-05T03:36:11 --startdatetime 2017-05-05T03:45:31 --delay 1 --endMP 204:233319 --enddatetime 2017-05-05T04:24:15 --enforcementcount 0 &gt;&gt;C:\Users\stu\Documents\GitHub\eaglep3-reporting\EC\2017-05-05-refined-times.txt</v>
      </c>
      <c r="AI1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{"issue":{"subject":"","project_id":79,"tracker_id":40,"status_id":1,"priority_id":2,"assigned_to_id":23,"start_date":"2017-05-05","description":"","custom_fields":[{"id":1,"name":"Subdivision","value":"EC"},{"id":4,"name":"Milepost","value":"23.3319"},{"id":17,"name":"Train ID","value":"103-05"},{"id":16,"name":"Locomotive ID","value":"4022"},{"id":130,"name":"Impact","value":""},{"id":150,"name":"Time of Event (Mountain Time)","value":"04:24:15"},{"id":151,"name":"Denver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4022 --day 2017-05-05</v>
      </c>
      <c r="AN1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649</v>
      </c>
      <c r="B16" s="7">
        <v>4041</v>
      </c>
      <c r="C16" s="21" t="s">
        <v>210</v>
      </c>
      <c r="D16" s="21" t="s">
        <v>855</v>
      </c>
      <c r="E16" s="13">
        <v>42860.192465277774</v>
      </c>
      <c r="F16" s="13">
        <v>42860.195289351854</v>
      </c>
      <c r="G16" s="7">
        <v>1</v>
      </c>
      <c r="H16" s="21" t="s">
        <v>385</v>
      </c>
      <c r="I16" s="13">
        <v>42860.222962962966</v>
      </c>
      <c r="J16" s="7">
        <v>0</v>
      </c>
      <c r="K16" s="92" t="str">
        <f t="shared" si="0"/>
        <v>4041/4042</v>
      </c>
      <c r="L16" s="21" t="str">
        <f>VLOOKUP(A16,'Trips&amp;Operators'!$C$1:$G$99999,5,FALSE)</f>
        <v>DAVIS WENDY</v>
      </c>
      <c r="M16" s="6">
        <f t="shared" si="1"/>
        <v>2.7673611111822538E-2</v>
      </c>
      <c r="N16" s="7">
        <f t="shared" si="2"/>
        <v>39.850000001024455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-05T03:37:09-0600',mode:absolute,to:'2017-05-05T06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23.268999999999998</v>
      </c>
      <c r="Z16" s="192">
        <f t="shared" si="9"/>
        <v>1.6E-2</v>
      </c>
      <c r="AA16" s="192">
        <f t="shared" si="10"/>
        <v>23.253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0104-05</v>
      </c>
      <c r="AE16" s="80" t="str">
        <f t="shared" si="12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16" s="77" t="str">
        <f t="shared" si="13"/>
        <v>"C:\Program Files (x86)\AstroGrep\AstroGrep.exe" /e /r /s /spath="%USERPROFILE%\AppData\Local\Temp\OnboardLogs" /stypes="app*4041*20170505*"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104-05 --locoid 4041 --swversion DE.1.0.9.0 --startMP 204:232690 --initTime 2017-05-05T04:37:09 --startdatetime 2017-05-05T04:41:13 --delay 1 --endMP 204:160 --enddatetime 2017-05-05T05:21:04 --enforcementcount 0 &gt;&gt;C:\Users\stu\Documents\GitHub\eaglep3-reporting\EC\2017-05-05-refined-times.txt</v>
      </c>
      <c r="AI1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{"issue":{"subject":"","project_id":79,"tracker_id":40,"status_id":1,"priority_id":2,"assigned_to_id":23,"start_date":"2017-05-05","description":"","custom_fields":[{"id":1,"name":"Subdivision","value":"EC"},{"id":4,"name":"Milepost","value":"0.016"},{"id":17,"name":"Train ID","value":"104-05"},{"id":16,"name":"Locomotive ID","value":"4041"},{"id":130,"name":"Impact","value":""},{"id":150,"name":"Time of Event (Mountain Time)","value":"05:21:04"},{"id":151,"name":"Denver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4041 --day 2017-05-05</v>
      </c>
      <c r="AN1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646</v>
      </c>
      <c r="B17" s="7">
        <v>4030</v>
      </c>
      <c r="C17" s="21" t="s">
        <v>210</v>
      </c>
      <c r="D17" s="21" t="s">
        <v>856</v>
      </c>
      <c r="E17" s="13">
        <v>42860.17869212963</v>
      </c>
      <c r="F17" s="13">
        <v>42860.180844907409</v>
      </c>
      <c r="G17" s="7">
        <v>2</v>
      </c>
      <c r="H17" s="21" t="s">
        <v>501</v>
      </c>
      <c r="I17" s="13">
        <v>42860.209062499998</v>
      </c>
      <c r="J17" s="7">
        <v>0</v>
      </c>
      <c r="K17" s="92" t="str">
        <f t="shared" si="0"/>
        <v>4029/4030</v>
      </c>
      <c r="L17" s="21" t="str">
        <f>VLOOKUP(A17,'Trips&amp;Operators'!$C$1:$G$99999,5,FALSE)</f>
        <v>SPECTOR MICHAEL</v>
      </c>
      <c r="M17" s="6">
        <f t="shared" si="1"/>
        <v>2.8217592589498963E-2</v>
      </c>
      <c r="N17" s="7">
        <f t="shared" si="2"/>
        <v>40.633333328878507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-05T03:17:19-0600',mode:absolute,to:'2017-05-05T06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7.5399999999999995E-2</v>
      </c>
      <c r="Z17" s="192">
        <f t="shared" si="9"/>
        <v>23.329699999999999</v>
      </c>
      <c r="AA17" s="192">
        <f t="shared" si="10"/>
        <v>23.254300000000001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0105-05</v>
      </c>
      <c r="AE17" s="80" t="str">
        <f t="shared" si="12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7" s="77" t="str">
        <f t="shared" si="13"/>
        <v>"C:\Program Files (x86)\AstroGrep\AstroGrep.exe" /e /r /s /spath="%USERPROFILE%\AppData\Local\Temp\OnboardLogs" /stypes="app*4030*20170505*" /stext=" 11:.+((SYSTEM_STATE.+slice.+state.+changed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105-05 --locoid 4030 --swversion DE.1.0.9.0 --startMP 204:754 --initTime 2017-05-05T04:17:19 --startdatetime 2017-05-05T04:20:25 --delay 2 --endMP 204:233297 --enddatetime 2017-05-05T05:01:03 --enforcementcount 0 &gt;&gt;C:\Users\stu\Documents\GitHub\eaglep3-reporting\EC\2017-05-05-refined-times.txt</v>
      </c>
      <c r="AI1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{"issue":{"subject":"","project_id":79,"tracker_id":40,"status_id":1,"priority_id":2,"assigned_to_id":23,"start_date":"2017-05-05","description":"","custom_fields":[{"id":1,"name":"Subdivision","value":"EC"},{"id":4,"name":"Milepost","value":"23.3297"},{"id":17,"name":"Train ID","value":"105-05"},{"id":16,"name":"Locomotive ID","value":"4030"},{"id":130,"name":"Impact","value":""},{"id":150,"name":"Time of Event (Mountain Time)","value":"05:01:03"},{"id":151,"name":"Denver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4030 --day 2017-05-05</v>
      </c>
      <c r="AN1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11:01:03"},{"id":29,"name":"Sharepoint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657</v>
      </c>
      <c r="B18" s="7">
        <v>4027</v>
      </c>
      <c r="C18" s="21" t="s">
        <v>210</v>
      </c>
      <c r="D18" s="21" t="s">
        <v>857</v>
      </c>
      <c r="E18" s="13">
        <v>42860.214247685188</v>
      </c>
      <c r="F18" s="13">
        <v>42860.216331018521</v>
      </c>
      <c r="G18" s="7">
        <v>1</v>
      </c>
      <c r="H18" s="21" t="s">
        <v>203</v>
      </c>
      <c r="I18" s="13">
        <v>42860.244074074071</v>
      </c>
      <c r="J18" s="7">
        <v>0</v>
      </c>
      <c r="K18" s="92" t="str">
        <f t="shared" si="0"/>
        <v>4027/4028</v>
      </c>
      <c r="L18" s="21" t="str">
        <f>VLOOKUP(A18,'Trips&amp;Operators'!$C$1:$G$99999,5,FALSE)</f>
        <v>SPECTOR MICHAEL</v>
      </c>
      <c r="M18" s="6">
        <f t="shared" si="1"/>
        <v>2.774305555067258E-2</v>
      </c>
      <c r="N18" s="7">
        <f t="shared" si="2"/>
        <v>39.949999992968515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-05T04:08:31-0600',mode:absolute,to:'2017-05-05T06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23.265799999999999</v>
      </c>
      <c r="Z18" s="192">
        <f t="shared" si="9"/>
        <v>1.54E-2</v>
      </c>
      <c r="AA18" s="192">
        <f t="shared" si="10"/>
        <v>23.250399999999999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0106-05</v>
      </c>
      <c r="AE18" s="80" t="str">
        <f t="shared" si="12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8" s="77" t="str">
        <f t="shared" si="13"/>
        <v>"C:\Program Files (x86)\AstroGrep\AstroGrep.exe" /e /r /s /spath="%USERPROFILE%\AppData\Local\Temp\OnboardLogs" /stypes="app*4027*20170505*"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106-05 --locoid 4027 --swversion DE.1.0.9.0 --startMP 204:232658 --initTime 2017-05-05T05:08:31 --startdatetime 2017-05-05T05:11:31 --delay 1 --endMP 204:154 --enddatetime 2017-05-05T05:51:28 --enforcementcount 0 &gt;&gt;C:\Users\stu\Documents\GitHub\eaglep3-reporting\EC\2017-05-05-refined-times.txt</v>
      </c>
      <c r="AI1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{"issue":{"subject":"","project_id":79,"tracker_id":40,"status_id":1,"priority_id":2,"assigned_to_id":23,"start_date":"2017-05-05","description":"","custom_fields":[{"id":1,"name":"Subdivision","value":"EC"},{"id":4,"name":"Milepost","value":"0.0154"},{"id":17,"name":"Train ID","value":"106-05"},{"id":16,"name":"Locomotive ID","value":"4027"},{"id":130,"name":"Impact","value":""},{"id":150,"name":"Time of Event (Mountain Time)","value":"05:51:28"},{"id":151,"name":"Denver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4027 --day 2017-05-05</v>
      </c>
      <c r="AN1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648</v>
      </c>
      <c r="B19" s="7">
        <v>4008</v>
      </c>
      <c r="C19" s="21" t="s">
        <v>210</v>
      </c>
      <c r="D19" s="21" t="s">
        <v>205</v>
      </c>
      <c r="E19" s="13">
        <v>42860.185798611114</v>
      </c>
      <c r="F19" s="13">
        <v>42860.187986111108</v>
      </c>
      <c r="G19" s="7">
        <v>1</v>
      </c>
      <c r="H19" s="21" t="s">
        <v>501</v>
      </c>
      <c r="I19" s="13">
        <v>42860.213101851848</v>
      </c>
      <c r="J19" s="7">
        <v>0</v>
      </c>
      <c r="K19" s="92" t="str">
        <f t="shared" si="0"/>
        <v>4007/4008</v>
      </c>
      <c r="L19" s="21" t="str">
        <f>VLOOKUP(A19,'Trips&amp;Operators'!$C$1:$G$99999,5,FALSE)</f>
        <v>STARKS ANGELINA</v>
      </c>
      <c r="M19" s="6">
        <f t="shared" si="1"/>
        <v>2.5115740740147885E-2</v>
      </c>
      <c r="N19" s="7">
        <f t="shared" si="2"/>
        <v>36.166666665812954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-05T03:27:33-0600',mode:absolute,to:'2017-05-05T06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4.5999999999999999E-2</v>
      </c>
      <c r="Z19" s="192">
        <f t="shared" si="9"/>
        <v>23.329699999999999</v>
      </c>
      <c r="AA19" s="192">
        <f t="shared" si="10"/>
        <v>23.2837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0107-05</v>
      </c>
      <c r="AE19" s="80" t="str">
        <f t="shared" si="12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9" s="77" t="str">
        <f t="shared" si="13"/>
        <v>"C:\Program Files (x86)\AstroGrep\AstroGrep.exe" /e /r /s /spath="%USERPROFILE%\AppData\Local\Temp\OnboardLogs" /stypes="app*4008*20170505*"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107-05 --locoid 4008 --swversion DE.1.0.9.0 --startMP 204:460 --initTime 2017-05-05T04:27:33 --startdatetime 2017-05-05T04:30:42 --delay 1 --endMP 204:233297 --enddatetime 2017-05-05T05:06:52 --enforcementcount 0 &gt;&gt;C:\Users\stu\Documents\GitHub\eaglep3-reporting\EC\2017-05-05-refined-times.txt</v>
      </c>
      <c r="AI1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{"issue":{"subject":"","project_id":79,"tracker_id":40,"status_id":1,"priority_id":2,"assigned_to_id":23,"start_date":"2017-05-05","description":"","custom_fields":[{"id":1,"name":"Subdivision","value":"EC"},{"id":4,"name":"Milepost","value":"23.3297"},{"id":17,"name":"Train ID","value":"107-05"},{"id":16,"name":"Locomotive ID","value":"4008"},{"id":130,"name":"Impact","value":""},{"id":150,"name":"Time of Event (Mountain Time)","value":"05:06:52"},{"id":151,"name":"Denver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4008 --day 2017-05-05</v>
      </c>
      <c r="AN1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658</v>
      </c>
      <c r="B20" s="7">
        <v>4007</v>
      </c>
      <c r="C20" s="21" t="s">
        <v>210</v>
      </c>
      <c r="D20" s="21" t="s">
        <v>372</v>
      </c>
      <c r="E20" s="13">
        <v>42860.22247685185</v>
      </c>
      <c r="F20" s="13">
        <v>42860.226631944446</v>
      </c>
      <c r="G20" s="7">
        <v>1</v>
      </c>
      <c r="H20" s="21" t="s">
        <v>454</v>
      </c>
      <c r="I20" s="13">
        <v>42860.254259259258</v>
      </c>
      <c r="J20" s="7">
        <v>0</v>
      </c>
      <c r="K20" s="92" t="str">
        <f t="shared" si="0"/>
        <v>4007/4008</v>
      </c>
      <c r="L20" s="21" t="str">
        <f>VLOOKUP(A20,'Trips&amp;Operators'!$C$1:$G$99999,5,FALSE)</f>
        <v>STARKS ANGELINA</v>
      </c>
      <c r="M20" s="6">
        <f t="shared" si="1"/>
        <v>2.7627314811979886E-2</v>
      </c>
      <c r="N20" s="7">
        <f t="shared" si="2"/>
        <v>39.783333329251036</v>
      </c>
      <c r="O20" s="7"/>
      <c r="P20" s="7"/>
      <c r="Q20" s="22"/>
      <c r="R20" s="190" t="s">
        <v>1056</v>
      </c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-05T04:20:22-0600',mode:absolute,to:'2017-05-05T07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23.297699999999999</v>
      </c>
      <c r="Z20" s="192">
        <f t="shared" si="9"/>
        <v>1.47E-2</v>
      </c>
      <c r="AA20" s="192">
        <f t="shared" si="10"/>
        <v>23.282999999999998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0108-05</v>
      </c>
      <c r="AE20" s="80" t="str">
        <f t="shared" si="12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20" s="77" t="str">
        <f t="shared" si="13"/>
        <v>"C:\Program Files (x86)\AstroGrep\AstroGrep.exe" /e /r /s /spath="%USERPROFILE%\AppData\Local\Temp\OnboardLogs" /stypes="app*4007*20170505*"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108-05 --locoid 4007 --swversion DE.1.0.9.0 --startMP 204:232977 --initTime 2017-05-05T05:20:22 --startdatetime 2017-05-05T05:26:21 --delay 1 --endMP 204:147 --enddatetime 2017-05-05T06:06:08 --enforcementcount 0 &gt;&gt;C:\Users\stu\Documents\GitHub\eaglep3-reporting\EC\2017-05-05-refined-times.txt</v>
      </c>
      <c r="AI20" s="99" t="str">
        <f t="shared" si="20"/>
        <v>echo {"issue":{"subject":"No departure test keys - VM resolved in timely fashion","project_id":79,"tracker_id":40,"status_id":1,"priority_id":2,"assigned_to_id":23,"start_date":"2017-05-05","description":"","custom_fields":[{"id":1,"name":"Subdivision","value":"EC"},{"id":4,"name":"Milepost","value":"0.0147"},{"id":17,"name":"Train ID","value":"108-05"},{"id":16,"name":"Locomotive ID","value":"4007"},{"id":130,"name":"Impact","value":""},{"id":150,"name":"Time of Event (Mountain Time)","value":"06:06:08"},{"id":151,"name":"Denver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4007 --day 2017-05-05</v>
      </c>
      <c r="AN20" s="154" t="str">
        <f t="shared" si="22"/>
        <v>echo {"issue":{"subject":"No departure test keys - VM resolved in timely fashion","project_id":30,"tracker_id":4,"status_id":1,"priority_id":1,"assigned_to_id":10,"start_date":"2017-05-05","description":"","custom_fields":[{"id":30,"name":"Category","value":"Issue"},{"id":3,"name":"Functional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650</v>
      </c>
      <c r="B21" s="7">
        <v>4044</v>
      </c>
      <c r="C21" s="21" t="s">
        <v>210</v>
      </c>
      <c r="D21" s="21" t="s">
        <v>413</v>
      </c>
      <c r="E21" s="13">
        <v>42860.195567129631</v>
      </c>
      <c r="F21" s="13">
        <v>42860.198113425926</v>
      </c>
      <c r="G21" s="7">
        <v>1</v>
      </c>
      <c r="H21" s="21" t="s">
        <v>501</v>
      </c>
      <c r="I21" s="13">
        <v>42860.222384259258</v>
      </c>
      <c r="J21" s="7">
        <v>0</v>
      </c>
      <c r="K21" s="92" t="str">
        <f t="shared" si="0"/>
        <v>4043/4044</v>
      </c>
      <c r="L21" s="21" t="str">
        <f>VLOOKUP(A21,'Trips&amp;Operators'!$C$1:$G$99999,5,FALSE)</f>
        <v>LOZA FIDEL</v>
      </c>
      <c r="M21" s="6">
        <f t="shared" si="1"/>
        <v>2.4270833331684116E-2</v>
      </c>
      <c r="N21" s="7">
        <f t="shared" si="2"/>
        <v>34.949999997625127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-05T03:41:37-0600',mode:absolute,to:'2017-05-05T06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4.6399999999999997E-2</v>
      </c>
      <c r="Z21" s="192">
        <f t="shared" si="9"/>
        <v>23.329699999999999</v>
      </c>
      <c r="AA21" s="192">
        <f t="shared" si="10"/>
        <v>23.283300000000001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0109-05</v>
      </c>
      <c r="AE21" s="80" t="str">
        <f t="shared" si="12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21" s="77" t="str">
        <f t="shared" si="13"/>
        <v>"C:\Program Files (x86)\AstroGrep\AstroGrep.exe" /e /r /s /spath="%USERPROFILE%\AppData\Local\Temp\OnboardLogs" /stypes="app*4044*20170505*"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109-05 --locoid 4044 --swversion DE.1.0.9.0 --startMP 204:464 --initTime 2017-05-05T04:41:37 --startdatetime 2017-05-05T04:45:17 --delay 1 --endMP 204:233297 --enddatetime 2017-05-05T05:20:14 --enforcementcount 0 &gt;&gt;C:\Users\stu\Documents\GitHub\eaglep3-reporting\EC\2017-05-05-refined-times.txt</v>
      </c>
      <c r="AI2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{"issue":{"subject":"","project_id":79,"tracker_id":40,"status_id":1,"priority_id":2,"assigned_to_id":23,"start_date":"2017-05-05","description":"","custom_fields":[{"id":1,"name":"Subdivision","value":"EC"},{"id":4,"name":"Milepost","value":"23.3297"},{"id":17,"name":"Train ID","value":"109-05"},{"id":16,"name":"Locomotive ID","value":"4044"},{"id":130,"name":"Impact","value":""},{"id":150,"name":"Time of Event (Mountain Time)","value":"05:20:14"},{"id":151,"name":"Denver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4044 --day 2017-05-05</v>
      </c>
      <c r="AN2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661</v>
      </c>
      <c r="B22" s="7">
        <v>4043</v>
      </c>
      <c r="C22" s="21" t="s">
        <v>210</v>
      </c>
      <c r="D22" s="21" t="s">
        <v>477</v>
      </c>
      <c r="E22" s="13">
        <v>42860.234016203707</v>
      </c>
      <c r="F22" s="13">
        <v>42860.237060185187</v>
      </c>
      <c r="G22" s="7">
        <v>1</v>
      </c>
      <c r="H22" s="21" t="s">
        <v>197</v>
      </c>
      <c r="I22" s="13">
        <v>42860.263796296298</v>
      </c>
      <c r="J22" s="7">
        <v>0</v>
      </c>
      <c r="K22" s="92" t="str">
        <f t="shared" si="0"/>
        <v>4043/4044</v>
      </c>
      <c r="L22" s="21" t="str">
        <f>VLOOKUP(A22,'Trips&amp;Operators'!$C$1:$G$99999,5,FALSE)</f>
        <v>LOZA FIDEL</v>
      </c>
      <c r="M22" s="6">
        <f t="shared" si="1"/>
        <v>2.6736111110949423E-2</v>
      </c>
      <c r="N22" s="7">
        <f t="shared" si="2"/>
        <v>38.499999999767169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-05T04:36:59-0600',mode:absolute,to:'2017-05-05T07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23.297499999999999</v>
      </c>
      <c r="Z22" s="192">
        <f t="shared" si="9"/>
        <v>1.52E-2</v>
      </c>
      <c r="AA22" s="192">
        <f t="shared" si="10"/>
        <v>23.282299999999999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0110-05</v>
      </c>
      <c r="AE22" s="80" t="str">
        <f t="shared" si="12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22" s="77" t="str">
        <f t="shared" si="13"/>
        <v>"C:\Program Files (x86)\AstroGrep\AstroGrep.exe" /e /r /s /spath="%USERPROFILE%\AppData\Local\Temp\OnboardLogs" /stypes="app*4043*20170505*"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110-05 --locoid 4043 --swversion DE.1.0.9.0 --startMP 204:232975 --initTime 2017-05-05T05:36:59 --startdatetime 2017-05-05T05:41:22 --delay 1 --endMP 204:152 --enddatetime 2017-05-05T06:19:52 --enforcementcount 0 &gt;&gt;C:\Users\stu\Documents\GitHub\eaglep3-reporting\EC\2017-05-05-refined-times.txt</v>
      </c>
      <c r="AI2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{"issue":{"subject":"","project_id":79,"tracker_id":40,"status_id":1,"priority_id":2,"assigned_to_id":23,"start_date":"2017-05-05","description":"","custom_fields":[{"id":1,"name":"Subdivision","value":"EC"},{"id":4,"name":"Milepost","value":"0.0152"},{"id":17,"name":"Train ID","value":"110-05"},{"id":16,"name":"Locomotive ID","value":"4043"},{"id":130,"name":"Impact","value":""},{"id":150,"name":"Time of Event (Mountain Time)","value":"06:19:52"},{"id":151,"name":"Denver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4043 --day 2017-05-05</v>
      </c>
      <c r="AN2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653</v>
      </c>
      <c r="B23" s="7">
        <v>4016</v>
      </c>
      <c r="C23" s="21" t="s">
        <v>210</v>
      </c>
      <c r="D23" s="21" t="s">
        <v>589</v>
      </c>
      <c r="E23" s="13">
        <v>42860.204988425925</v>
      </c>
      <c r="F23" s="13">
        <v>42860.208553240744</v>
      </c>
      <c r="G23" s="7">
        <v>1</v>
      </c>
      <c r="H23" s="21" t="s">
        <v>509</v>
      </c>
      <c r="I23" s="13">
        <v>42860.234791666669</v>
      </c>
      <c r="J23" s="7">
        <v>0</v>
      </c>
      <c r="K23" s="92" t="str">
        <f t="shared" si="0"/>
        <v>4015/4016</v>
      </c>
      <c r="L23" s="21" t="str">
        <f>VLOOKUP(A23,'Trips&amp;Operators'!$C$1:$G$99999,5,FALSE)</f>
        <v>THOMPSON LESTER</v>
      </c>
      <c r="M23" s="6">
        <f t="shared" si="1"/>
        <v>2.6238425925839692E-2</v>
      </c>
      <c r="N23" s="7">
        <f t="shared" si="2"/>
        <v>37.783333333209157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-05T03:55:11-0600',mode:absolute,to:'2017-05-05T06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7.4800000000000005E-2</v>
      </c>
      <c r="Z23" s="192">
        <f t="shared" si="9"/>
        <v>23.329799999999999</v>
      </c>
      <c r="AA23" s="192">
        <f t="shared" si="10"/>
        <v>23.254999999999999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0111-05</v>
      </c>
      <c r="AE23" s="80" t="str">
        <f t="shared" si="12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23" s="77" t="str">
        <f t="shared" si="13"/>
        <v>"C:\Program Files (x86)\AstroGrep\AstroGrep.exe" /e /r /s /spath="%USERPROFILE%\AppData\Local\Temp\OnboardLogs" /stypes="app*4016*20170505*"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111-05 --locoid 4016 --swversion DE.1.0.9.0 --startMP 204:748 --initTime 2017-05-05T04:55:11 --startdatetime 2017-05-05T05:00:19 --delay 1 --endMP 204:233298 --enddatetime 2017-05-05T05:38:06 --enforcementcount 0 &gt;&gt;C:\Users\stu\Documents\GitHub\eaglep3-reporting\EC\2017-05-05-refined-times.txt</v>
      </c>
      <c r="AI2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{"issue":{"subject":"","project_id":79,"tracker_id":40,"status_id":1,"priority_id":2,"assigned_to_id":23,"start_date":"2017-05-05","description":"","custom_fields":[{"id":1,"name":"Subdivision","value":"EC"},{"id":4,"name":"Milepost","value":"23.3298"},{"id":17,"name":"Train ID","value":"111-05"},{"id":16,"name":"Locomotive ID","value":"4016"},{"id":130,"name":"Impact","value":""},{"id":150,"name":"Time of Event (Mountain Time)","value":"05:38:06"},{"id":151,"name":"Denver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4016 --day 2017-05-05</v>
      </c>
      <c r="AN2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663</v>
      </c>
      <c r="B24" s="7">
        <v>4015</v>
      </c>
      <c r="C24" s="21" t="s">
        <v>210</v>
      </c>
      <c r="D24" s="21" t="s">
        <v>455</v>
      </c>
      <c r="E24" s="13">
        <v>42860.243321759262</v>
      </c>
      <c r="F24" s="13">
        <v>42860.247523148151</v>
      </c>
      <c r="G24" s="7">
        <v>2</v>
      </c>
      <c r="H24" s="21" t="s">
        <v>197</v>
      </c>
      <c r="I24" s="13">
        <v>42860.274780092594</v>
      </c>
      <c r="J24" s="7">
        <v>0</v>
      </c>
      <c r="K24" s="92" t="str">
        <f t="shared" si="0"/>
        <v>4015/4016</v>
      </c>
      <c r="L24" s="21" t="str">
        <f>VLOOKUP(A24,'Trips&amp;Operators'!$C$1:$G$99999,5,FALSE)</f>
        <v>THOMPSON LESTER</v>
      </c>
      <c r="M24" s="6">
        <f t="shared" si="1"/>
        <v>2.7256944442342501E-2</v>
      </c>
      <c r="N24" s="7">
        <f t="shared" si="2"/>
        <v>39.249999996973202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-05T04:50:23-0600',mode:absolute,to:'2017-05-05T07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23.298100000000002</v>
      </c>
      <c r="Z24" s="192">
        <f t="shared" si="9"/>
        <v>1.52E-2</v>
      </c>
      <c r="AA24" s="192">
        <f t="shared" si="10"/>
        <v>23.282900000000001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0112-05</v>
      </c>
      <c r="AE24" s="80" t="str">
        <f t="shared" si="12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24" s="77" t="str">
        <f t="shared" si="13"/>
        <v>"C:\Program Files (x86)\AstroGrep\AstroGrep.exe" /e /r /s /spath="%USERPROFILE%\AppData\Local\Temp\OnboardLogs" /stypes="app*4015*20170505*"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112-05 --locoid 4015 --swversion DE.1.0.9.0 --startMP 204:232981 --initTime 2017-05-05T05:50:23 --startdatetime 2017-05-05T05:56:26 --delay 2 --endMP 204:152 --enddatetime 2017-05-05T06:35:41 --enforcementcount 0 &gt;&gt;C:\Users\stu\Documents\GitHub\eaglep3-reporting\EC\2017-05-05-refined-times.txt</v>
      </c>
      <c r="AI2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{"issue":{"subject":"","project_id":79,"tracker_id":40,"status_id":1,"priority_id":2,"assigned_to_id":23,"start_date":"2017-05-05","description":"","custom_fields":[{"id":1,"name":"Subdivision","value":"EC"},{"id":4,"name":"Milepost","value":"0.0152"},{"id":17,"name":"Train ID","value":"112-05"},{"id":16,"name":"Locomotive ID","value":"4015"},{"id":130,"name":"Impact","value":""},{"id":150,"name":"Time of Event (Mountain Time)","value":"06:35:41"},{"id":151,"name":"Denver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4015 --day 2017-05-05</v>
      </c>
      <c r="AN2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654</v>
      </c>
      <c r="B25" s="7">
        <v>4040</v>
      </c>
      <c r="C25" s="21" t="s">
        <v>210</v>
      </c>
      <c r="D25" s="21" t="s">
        <v>380</v>
      </c>
      <c r="E25" s="13">
        <v>42860.211782407408</v>
      </c>
      <c r="F25" s="13">
        <v>42860.218935185185</v>
      </c>
      <c r="G25" s="7">
        <v>1</v>
      </c>
      <c r="H25" s="21" t="s">
        <v>428</v>
      </c>
      <c r="I25" s="13">
        <v>42860.244664351849</v>
      </c>
      <c r="J25" s="7">
        <v>0</v>
      </c>
      <c r="K25" s="92" t="str">
        <f t="shared" si="0"/>
        <v>4039/4040</v>
      </c>
      <c r="L25" s="21" t="str">
        <f>VLOOKUP(A25,'Trips&amp;Operators'!$C$1:$G$99999,5,FALSE)</f>
        <v>BADERTSCHER DIANE</v>
      </c>
      <c r="M25" s="6">
        <f t="shared" si="1"/>
        <v>2.5729166663950309E-2</v>
      </c>
      <c r="N25" s="7">
        <f t="shared" si="2"/>
        <v>37.049999996088445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-05T04:04:58-0600',mode:absolute,to:'2017-05-05T06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4.6199999999999998E-2</v>
      </c>
      <c r="Z25" s="192">
        <f t="shared" si="9"/>
        <v>23.3293</v>
      </c>
      <c r="AA25" s="192">
        <f t="shared" si="10"/>
        <v>23.283100000000001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0113-05</v>
      </c>
      <c r="AE25" s="80" t="str">
        <f t="shared" si="12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25" s="77" t="str">
        <f t="shared" si="13"/>
        <v>"C:\Program Files (x86)\AstroGrep\AstroGrep.exe" /e /r /s /spath="%USERPROFILE%\AppData\Local\Temp\OnboardLogs" /stypes="app*4040*20170505*"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113-05 --locoid 4040 --swversion DE.1.0.9.0 --startMP 204:462 --initTime 2017-05-05T05:04:58 --startdatetime 2017-05-05T05:15:16 --delay 1 --endMP 204:233293 --enddatetime 2017-05-05T05:52:19 --enforcementcount 0 &gt;&gt;C:\Users\stu\Documents\GitHub\eaglep3-reporting\EC\2017-05-05-refined-times.txt</v>
      </c>
      <c r="AI2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{"issue":{"subject":"","project_id":79,"tracker_id":40,"status_id":1,"priority_id":2,"assigned_to_id":23,"start_date":"2017-05-05","description":"","custom_fields":[{"id":1,"name":"Subdivision","value":"EC"},{"id":4,"name":"Milepost","value":"23.3293"},{"id":17,"name":"Train ID","value":"113-05"},{"id":16,"name":"Locomotive ID","value":"4040"},{"id":130,"name":"Impact","value":""},{"id":150,"name":"Time of Event (Mountain Time)","value":"05:52:19"},{"id":151,"name":"Denver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4040 --day 2017-05-05</v>
      </c>
      <c r="AN2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668</v>
      </c>
      <c r="B26" s="7">
        <v>4039</v>
      </c>
      <c r="C26" s="21" t="s">
        <v>210</v>
      </c>
      <c r="D26" s="21" t="s">
        <v>423</v>
      </c>
      <c r="E26" s="13">
        <v>42860.247939814813</v>
      </c>
      <c r="F26" s="13">
        <v>42860.257800925923</v>
      </c>
      <c r="G26" s="7">
        <v>1</v>
      </c>
      <c r="H26" s="21" t="s">
        <v>858</v>
      </c>
      <c r="I26" s="13">
        <v>42860.28533564815</v>
      </c>
      <c r="J26" s="7">
        <v>0</v>
      </c>
      <c r="K26" s="92" t="str">
        <f t="shared" si="0"/>
        <v>4039/4040</v>
      </c>
      <c r="L26" s="21" t="str">
        <f>VLOOKUP(A26,'Trips&amp;Operators'!$C$1:$G$99999,5,FALSE)</f>
        <v>BADERTSCHER DIANE</v>
      </c>
      <c r="M26" s="6">
        <f t="shared" si="1"/>
        <v>2.7534722226846498E-2</v>
      </c>
      <c r="N26" s="7">
        <f t="shared" si="2"/>
        <v>39.650000006658956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-05T04:57:02-0600',mode:absolute,to:'2017-05-05T07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23.298200000000001</v>
      </c>
      <c r="Z26" s="192">
        <f t="shared" si="9"/>
        <v>1.2999999999999999E-2</v>
      </c>
      <c r="AA26" s="192">
        <f t="shared" si="10"/>
        <v>23.2852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0114-05</v>
      </c>
      <c r="AE26" s="80" t="str">
        <f t="shared" si="12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26" s="77" t="str">
        <f t="shared" si="13"/>
        <v>"C:\Program Files (x86)\AstroGrep\AstroGrep.exe" /e /r /s /spath="%USERPROFILE%\AppData\Local\Temp\OnboardLogs" /stypes="app*4039*20170505*"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114-05 --locoid 4039 --swversion DE.1.0.9.0 --startMP 204:232982 --initTime 2017-05-05T05:57:02 --startdatetime 2017-05-05T06:11:14 --delay 1 --endMP 204:130 --enddatetime 2017-05-05T06:50:53 --enforcementcount 0 &gt;&gt;C:\Users\stu\Documents\GitHub\eaglep3-reporting\EC\2017-05-05-refined-times.txt</v>
      </c>
      <c r="AI2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{"issue":{"subject":"","project_id":79,"tracker_id":40,"status_id":1,"priority_id":2,"assigned_to_id":23,"start_date":"2017-05-05","description":"","custom_fields":[{"id":1,"name":"Subdivision","value":"EC"},{"id":4,"name":"Milepost","value":"0.013"},{"id":17,"name":"Train ID","value":"114-05"},{"id":16,"name":"Locomotive ID","value":"4039"},{"id":130,"name":"Impact","value":""},{"id":150,"name":"Time of Event (Mountain Time)","value":"06:50:53"},{"id":151,"name":"Denver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4039 --day 2017-05-05</v>
      </c>
      <c r="AN2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659</v>
      </c>
      <c r="B27" s="7">
        <v>4022</v>
      </c>
      <c r="C27" s="21" t="s">
        <v>210</v>
      </c>
      <c r="D27" s="21" t="s">
        <v>859</v>
      </c>
      <c r="E27" s="13">
        <v>42860.225208333337</v>
      </c>
      <c r="F27" s="13">
        <v>42860.229467592595</v>
      </c>
      <c r="G27" s="7">
        <v>3</v>
      </c>
      <c r="H27" s="21" t="s">
        <v>428</v>
      </c>
      <c r="I27" s="13">
        <v>42860.254965277774</v>
      </c>
      <c r="J27" s="7">
        <v>0</v>
      </c>
      <c r="K27" s="92" t="str">
        <f t="shared" si="0"/>
        <v>4021/4022</v>
      </c>
      <c r="L27" s="21" t="str">
        <f>VLOOKUP(A27,'Trips&amp;Operators'!$C$1:$G$99999,5,FALSE)</f>
        <v>LAMAR NEKESHA</v>
      </c>
      <c r="M27" s="6">
        <f t="shared" si="1"/>
        <v>2.5497685179288965E-2</v>
      </c>
      <c r="N27" s="7">
        <f t="shared" si="2"/>
        <v>36.716666658176109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-05T04:24:18-0600',mode:absolute,to:'2017-05-05T07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7.7700000000000005E-2</v>
      </c>
      <c r="Z27" s="192">
        <f t="shared" si="9"/>
        <v>23.3293</v>
      </c>
      <c r="AA27" s="192">
        <f t="shared" si="10"/>
        <v>23.2516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0115-05</v>
      </c>
      <c r="AE27" s="80" t="str">
        <f t="shared" si="12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27" s="77" t="str">
        <f t="shared" si="13"/>
        <v>"C:\Program Files (x86)\AstroGrep\AstroGrep.exe" /e /r /s /spath="%USERPROFILE%\AppData\Local\Temp\OnboardLogs" /stypes="app*4022*20170505*"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115-05 --locoid 4022 --swversion DE.1.0.9.0 --startMP 204:777 --initTime 2017-05-05T05:24:18 --startdatetime 2017-05-05T05:30:26 --delay 3 --endMP 204:233293 --enddatetime 2017-05-05T06:07:09 --enforcementcount 0 &gt;&gt;C:\Users\stu\Documents\GitHub\eaglep3-reporting\EC\2017-05-05-refined-times.txt</v>
      </c>
      <c r="AI2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{"issue":{"subject":"","project_id":79,"tracker_id":40,"status_id":1,"priority_id":2,"assigned_to_id":23,"start_date":"2017-05-05","description":"","custom_fields":[{"id":1,"name":"Subdivision","value":"EC"},{"id":4,"name":"Milepost","value":"23.3293"},{"id":17,"name":"Train ID","value":"115-05"},{"id":16,"name":"Locomotive ID","value":"4022"},{"id":130,"name":"Impact","value":""},{"id":150,"name":"Time of Event (Mountain Time)","value":"06:07:09"},{"id":151,"name":"Denver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4022 --day 2017-05-05</v>
      </c>
      <c r="AN2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671</v>
      </c>
      <c r="B28" s="7">
        <v>4021</v>
      </c>
      <c r="C28" s="21" t="s">
        <v>210</v>
      </c>
      <c r="D28" s="21" t="s">
        <v>543</v>
      </c>
      <c r="E28" s="13">
        <v>42860.264039351852</v>
      </c>
      <c r="F28" s="13">
        <v>42860.268229166664</v>
      </c>
      <c r="G28" s="7">
        <v>2</v>
      </c>
      <c r="H28" s="21" t="s">
        <v>385</v>
      </c>
      <c r="I28" s="13">
        <v>42860.295231481483</v>
      </c>
      <c r="J28" s="7">
        <v>0</v>
      </c>
      <c r="K28" s="92" t="str">
        <f t="shared" si="0"/>
        <v>4021/4022</v>
      </c>
      <c r="L28" s="21" t="str">
        <f>VLOOKUP(A28,'Trips&amp;Operators'!$C$1:$G$99999,5,FALSE)</f>
        <v>LAMAR NEKESHA</v>
      </c>
      <c r="M28" s="6">
        <f t="shared" si="1"/>
        <v>2.7002314818673767E-2</v>
      </c>
      <c r="N28" s="7">
        <f t="shared" si="2"/>
        <v>38.883333338890225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-05T05:20:13-0600',mode:absolute,to:'2017-05-05T08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23.296800000000001</v>
      </c>
      <c r="Z28" s="192">
        <f t="shared" si="9"/>
        <v>1.6E-2</v>
      </c>
      <c r="AA28" s="192">
        <f t="shared" si="10"/>
        <v>23.280800000000003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0116-05</v>
      </c>
      <c r="AE28" s="80" t="str">
        <f t="shared" si="12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28" s="77" t="str">
        <f t="shared" si="13"/>
        <v>"C:\Program Files (x86)\AstroGrep\AstroGrep.exe" /e /r /s /spath="%USERPROFILE%\AppData\Local\Temp\OnboardLogs" /stypes="app*4021*20170505*"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116-05 --locoid 4021 --swversion DE.1.0.9.0 --startMP 204:232968 --initTime 2017-05-05T06:20:13 --startdatetime 2017-05-05T06:26:15 --delay 2 --endMP 204:160 --enddatetime 2017-05-05T07:05:08 --enforcementcount 0 &gt;&gt;C:\Users\stu\Documents\GitHub\eaglep3-reporting\EC\2017-05-05-refined-times.txt</v>
      </c>
      <c r="AI2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{"issue":{"subject":"","project_id":79,"tracker_id":40,"status_id":1,"priority_id":2,"assigned_to_id":23,"start_date":"2017-05-05","description":"","custom_fields":[{"id":1,"name":"Subdivision","value":"EC"},{"id":4,"name":"Milepost","value":"0.016"},{"id":17,"name":"Train ID","value":"116-05"},{"id":16,"name":"Locomotive ID","value":"4021"},{"id":130,"name":"Impact","value":""},{"id":150,"name":"Time of Event (Mountain Time)","value":"07:05:08"},{"id":151,"name":"Denver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4021 --day 2017-05-05</v>
      </c>
      <c r="AN2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662</v>
      </c>
      <c r="B29" s="7">
        <v>4042</v>
      </c>
      <c r="C29" s="21" t="s">
        <v>210</v>
      </c>
      <c r="D29" s="21" t="s">
        <v>472</v>
      </c>
      <c r="E29" s="13">
        <v>42860.236562500002</v>
      </c>
      <c r="F29" s="13">
        <v>42860.239756944444</v>
      </c>
      <c r="G29" s="7">
        <v>1</v>
      </c>
      <c r="H29" s="21" t="s">
        <v>860</v>
      </c>
      <c r="I29" s="13">
        <v>42860.264768518522</v>
      </c>
      <c r="J29" s="7">
        <v>0</v>
      </c>
      <c r="K29" s="92" t="str">
        <f t="shared" si="0"/>
        <v>4041/4042</v>
      </c>
      <c r="L29" s="21" t="str">
        <f>VLOOKUP(A29,'Trips&amp;Operators'!$C$1:$G$99999,5,FALSE)</f>
        <v>DAVIS WENDY</v>
      </c>
      <c r="M29" s="6">
        <f t="shared" si="1"/>
        <v>2.5011574078234844E-2</v>
      </c>
      <c r="N29" s="7">
        <f t="shared" si="2"/>
        <v>36.016666672658175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-05T04:40:39-0600',mode:absolute,to:'2017-05-05T07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4.7100000000000003E-2</v>
      </c>
      <c r="Z29" s="192">
        <f t="shared" si="9"/>
        <v>23.331199999999999</v>
      </c>
      <c r="AA29" s="192">
        <f t="shared" si="10"/>
        <v>23.284099999999999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0117-05</v>
      </c>
      <c r="AE29" s="80" t="str">
        <f t="shared" si="12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29" s="77" t="str">
        <f t="shared" si="13"/>
        <v>"C:\Program Files (x86)\AstroGrep\AstroGrep.exe" /e /r /s /spath="%USERPROFILE%\AppData\Local\Temp\OnboardLogs" /stypes="app*4042*20170505*"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117-05 --locoid 4042 --swversion DE.1.0.9.0 --startMP 204:471 --initTime 2017-05-05T05:40:39 --startdatetime 2017-05-05T05:45:15 --delay 1 --endMP 204:233312 --enddatetime 2017-05-05T06:21:16 --enforcementcount 0 &gt;&gt;C:\Users\stu\Documents\GitHub\eaglep3-reporting\EC\2017-05-05-refined-times.txt</v>
      </c>
      <c r="AI2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{"issue":{"subject":"","project_id":79,"tracker_id":40,"status_id":1,"priority_id":2,"assigned_to_id":23,"start_date":"2017-05-05","description":"","custom_fields":[{"id":1,"name":"Subdivision","value":"EC"},{"id":4,"name":"Milepost","value":"23.3312"},{"id":17,"name":"Train ID","value":"117-05"},{"id":16,"name":"Locomotive ID","value":"4042"},{"id":130,"name":"Impact","value":""},{"id":150,"name":"Time of Event (Mountain Time)","value":"06:21:16"},{"id":151,"name":"Denver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4042 --day 2017-05-05</v>
      </c>
      <c r="AN2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596</v>
      </c>
      <c r="B30" s="7">
        <v>4041</v>
      </c>
      <c r="C30" s="21" t="s">
        <v>210</v>
      </c>
      <c r="D30" s="21" t="s">
        <v>861</v>
      </c>
      <c r="E30" s="13">
        <v>42860.274618055555</v>
      </c>
      <c r="F30" s="13">
        <v>42860.278668981482</v>
      </c>
      <c r="G30" s="7">
        <v>1</v>
      </c>
      <c r="H30" s="21" t="s">
        <v>502</v>
      </c>
      <c r="I30" s="13">
        <v>42860.306122685186</v>
      </c>
      <c r="J30" s="7">
        <v>0</v>
      </c>
      <c r="K30" s="92" t="str">
        <f t="shared" si="0"/>
        <v>4041/4042</v>
      </c>
      <c r="L30" s="21" t="str">
        <f>VLOOKUP(A30,'Trips&amp;Operators'!$C$1:$G$99999,5,FALSE)</f>
        <v>DAVIS WENDY</v>
      </c>
      <c r="M30" s="6">
        <f t="shared" si="1"/>
        <v>2.7453703703940846E-2</v>
      </c>
      <c r="N30" s="7">
        <f t="shared" si="2"/>
        <v>39.533333333674818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-05T05:35:27-0600',mode:absolute,to:'2017-05-05T08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23.298999999999999</v>
      </c>
      <c r="Z30" s="192">
        <f t="shared" si="9"/>
        <v>1.7000000000000001E-2</v>
      </c>
      <c r="AA30" s="192">
        <f t="shared" si="10"/>
        <v>23.282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0118-05</v>
      </c>
      <c r="AE30" s="80" t="str">
        <f t="shared" si="12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30" s="77" t="str">
        <f t="shared" si="13"/>
        <v>"C:\Program Files (x86)\AstroGrep\AstroGrep.exe" /e /r /s /spath="%USERPROFILE%\AppData\Local\Temp\OnboardLogs" /stypes="app*4041*20170505*"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118-05 --locoid 4041 --swversion DE.1.0.9.0 --startMP 204:232990 --initTime 2017-05-05T06:35:27 --startdatetime 2017-05-05T06:41:17 --delay 1 --endMP 204:170 --enddatetime 2017-05-05T07:20:49 --enforcementcount 0 &gt;&gt;C:\Users\stu\Documents\GitHub\eaglep3-reporting\EC\2017-05-05-refined-times.txt</v>
      </c>
      <c r="AI30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{"issue":{"subject":"","project_id":79,"tracker_id":40,"status_id":1,"priority_id":2,"assigned_to_id":23,"start_date":"2017-05-05","description":"","custom_fields":[{"id":1,"name":"Subdivision","value":"EC"},{"id":4,"name":"Milepost","value":"0.017"},{"id":17,"name":"Train ID","value":"118-05"},{"id":16,"name":"Locomotive ID","value":"4041"},{"id":130,"name":"Impact","value":""},{"id":150,"name":"Time of Event (Mountain Time)","value":"07:20:49"},{"id":151,"name":"Denver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4041 --day 2017-05-05</v>
      </c>
      <c r="AN30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665</v>
      </c>
      <c r="B31" s="7">
        <v>4030</v>
      </c>
      <c r="C31" s="21" t="s">
        <v>210</v>
      </c>
      <c r="D31" s="21" t="s">
        <v>862</v>
      </c>
      <c r="E31" s="13">
        <v>42860.247152777774</v>
      </c>
      <c r="F31" s="13">
        <v>42860.250173611108</v>
      </c>
      <c r="G31" s="7">
        <v>1</v>
      </c>
      <c r="H31" s="21" t="s">
        <v>458</v>
      </c>
      <c r="I31" s="13">
        <v>42860.275567129633</v>
      </c>
      <c r="J31" s="7">
        <v>0</v>
      </c>
      <c r="K31" s="92" t="str">
        <f t="shared" si="0"/>
        <v>4029/4030</v>
      </c>
      <c r="L31" s="21" t="str">
        <f>VLOOKUP(A31,'Trips&amp;Operators'!$C$1:$G$99999,5,FALSE)</f>
        <v>ROBINSON KADDIBA</v>
      </c>
      <c r="M31" s="6">
        <f t="shared" si="1"/>
        <v>2.5393518524651881E-2</v>
      </c>
      <c r="N31" s="7">
        <f t="shared" si="2"/>
        <v>36.566666675498709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-05T04:55:54-0600',mode:absolute,to:'2017-05-05T07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7.9699999999999993E-2</v>
      </c>
      <c r="Z31" s="192">
        <f t="shared" si="9"/>
        <v>23.330200000000001</v>
      </c>
      <c r="AA31" s="192">
        <f t="shared" si="10"/>
        <v>23.250500000000002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0119-05</v>
      </c>
      <c r="AE31" s="80" t="str">
        <f t="shared" si="12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31" s="77" t="str">
        <f t="shared" si="13"/>
        <v>"C:\Program Files (x86)\AstroGrep\AstroGrep.exe" /e /r /s /spath="%USERPROFILE%\AppData\Local\Temp\OnboardLogs" /stypes="app*4030*20170505*"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119-05 --locoid 4030 --swversion DE.1.0.9.0 --startMP 204:797 --initTime 2017-05-05T05:55:54 --startdatetime 2017-05-05T06:00:15 --delay 1 --endMP 204:233302 --enddatetime 2017-05-05T06:36:49 --enforcementcount 0 &gt;&gt;C:\Users\stu\Documents\GitHub\eaglep3-reporting\EC\2017-05-05-refined-times.txt</v>
      </c>
      <c r="AI3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{"issue":{"subject":"","project_id":79,"tracker_id":40,"status_id":1,"priority_id":2,"assigned_to_id":23,"start_date":"2017-05-05","description":"","custom_fields":[{"id":1,"name":"Subdivision","value":"EC"},{"id":4,"name":"Milepost","value":"23.3302"},{"id":17,"name":"Train ID","value":"119-05"},{"id":16,"name":"Locomotive ID","value":"4030"},{"id":130,"name":"Impact","value":""},{"id":150,"name":"Time of Event (Mountain Time)","value":"06:36:49"},{"id":151,"name":"Denver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4030 --day 2017-05-05</v>
      </c>
      <c r="AN3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595</v>
      </c>
      <c r="B32" s="7">
        <v>4029</v>
      </c>
      <c r="C32" s="21" t="s">
        <v>210</v>
      </c>
      <c r="D32" s="21" t="s">
        <v>863</v>
      </c>
      <c r="E32" s="13">
        <v>42860.287465277775</v>
      </c>
      <c r="F32" s="13">
        <v>42860.2890625</v>
      </c>
      <c r="G32" s="7">
        <v>1</v>
      </c>
      <c r="H32" s="21" t="s">
        <v>197</v>
      </c>
      <c r="I32" s="13">
        <v>42860.315949074073</v>
      </c>
      <c r="J32" s="7">
        <v>0</v>
      </c>
      <c r="K32" s="92" t="str">
        <f t="shared" si="0"/>
        <v>4029/4030</v>
      </c>
      <c r="L32" s="21" t="str">
        <f>VLOOKUP(A32,'Trips&amp;Operators'!$C$1:$G$99999,5,FALSE)</f>
        <v>ROBINSON KADDIBA</v>
      </c>
      <c r="M32" s="6">
        <f t="shared" si="1"/>
        <v>2.6886574072705116E-2</v>
      </c>
      <c r="N32" s="7">
        <f t="shared" si="2"/>
        <v>38.716666664695367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-05T05:53:57-0600',mode:absolute,to:'2017-05-05T08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23.299399999999999</v>
      </c>
      <c r="Z32" s="192">
        <f t="shared" si="9"/>
        <v>1.52E-2</v>
      </c>
      <c r="AA32" s="192">
        <f t="shared" si="10"/>
        <v>23.284199999999998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0120-05</v>
      </c>
      <c r="AE32" s="80" t="str">
        <f t="shared" si="12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32" s="77" t="str">
        <f t="shared" si="13"/>
        <v>"C:\Program Files (x86)\AstroGrep\AstroGrep.exe" /e /r /s /spath="%USERPROFILE%\AppData\Local\Temp\OnboardLogs" /stypes="app*4029*20170505*"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120-05 --locoid 4029 --swversion DE.1.0.9.0 --startMP 204:232994 --initTime 2017-05-05T06:53:57 --startdatetime 2017-05-05T06:56:15 --delay 1 --endMP 204:152 --enddatetime 2017-05-05T07:34:58 --enforcementcount 0 &gt;&gt;C:\Users\stu\Documents\GitHub\eaglep3-reporting\EC\2017-05-05-refined-times.txt</v>
      </c>
      <c r="AI3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{"issue":{"subject":"","project_id":79,"tracker_id":40,"status_id":1,"priority_id":2,"assigned_to_id":23,"start_date":"2017-05-05","description":"","custom_fields":[{"id":1,"name":"Subdivision","value":"EC"},{"id":4,"name":"Milepost","value":"0.0152"},{"id":17,"name":"Train ID","value":"120-05"},{"id":16,"name":"Locomotive ID","value":"4029"},{"id":130,"name":"Impact","value":""},{"id":150,"name":"Time of Event (Mountain Time)","value":"07:34:58"},{"id":151,"name":"Denver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4029 --day 2017-05-05</v>
      </c>
      <c r="AN3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593</v>
      </c>
      <c r="B33" s="7">
        <v>4008</v>
      </c>
      <c r="C33" s="21" t="s">
        <v>210</v>
      </c>
      <c r="D33" s="21" t="s">
        <v>429</v>
      </c>
      <c r="E33" s="13">
        <v>42860.2578125</v>
      </c>
      <c r="F33" s="13">
        <v>42860.260717592595</v>
      </c>
      <c r="G33" s="7">
        <v>1</v>
      </c>
      <c r="H33" s="21" t="s">
        <v>552</v>
      </c>
      <c r="I33" s="13">
        <v>42860.285162037035</v>
      </c>
      <c r="J33" s="7">
        <v>0</v>
      </c>
      <c r="K33" s="92" t="str">
        <f t="shared" si="0"/>
        <v>4007/4008</v>
      </c>
      <c r="L33" s="21" t="str">
        <f>VLOOKUP(A33,'Trips&amp;Operators'!$C$1:$G$99999,5,FALSE)</f>
        <v>STARKS ANGELINA</v>
      </c>
      <c r="M33" s="6">
        <f t="shared" si="1"/>
        <v>2.4444444439723156E-2</v>
      </c>
      <c r="N33" s="7">
        <f t="shared" si="2"/>
        <v>35.199999993201345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-05T05:11:15-0600',mode:absolute,to:'2017-05-05T07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4.4400000000000002E-2</v>
      </c>
      <c r="Z33" s="192">
        <f t="shared" si="9"/>
        <v>23.329899999999999</v>
      </c>
      <c r="AA33" s="192">
        <f t="shared" si="10"/>
        <v>23.285499999999999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0121-05</v>
      </c>
      <c r="AE33" s="80" t="str">
        <f t="shared" si="12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33" s="77" t="str">
        <f t="shared" si="13"/>
        <v>"C:\Program Files (x86)\AstroGrep\AstroGrep.exe" /e /r /s /spath="%USERPROFILE%\AppData\Local\Temp\OnboardLogs" /stypes="app*4008*20170505*"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121-05 --locoid 4008 --swversion DE.1.0.9.0 --startMP 204:444 --initTime 2017-05-05T06:11:15 --startdatetime 2017-05-05T06:15:26 --delay 1 --endMP 204:233299 --enddatetime 2017-05-05T06:50:38 --enforcementcount 0 &gt;&gt;C:\Users\stu\Documents\GitHub\eaglep3-reporting\EC\2017-05-05-refined-times.txt</v>
      </c>
      <c r="AI3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{"issue":{"subject":"","project_id":79,"tracker_id":40,"status_id":1,"priority_id":2,"assigned_to_id":23,"start_date":"2017-05-05","description":"","custom_fields":[{"id":1,"name":"Subdivision","value":"EC"},{"id":4,"name":"Milepost","value":"23.3299"},{"id":17,"name":"Train ID","value":"121-05"},{"id":16,"name":"Locomotive ID","value":"4008"},{"id":130,"name":"Impact","value":""},{"id":150,"name":"Time of Event (Mountain Time)","value":"06:50:38"},{"id":151,"name":"Denver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4008 --day 2017-05-05</v>
      </c>
      <c r="AN3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676</v>
      </c>
      <c r="B34" s="7">
        <v>4007</v>
      </c>
      <c r="C34" s="21" t="s">
        <v>210</v>
      </c>
      <c r="D34" s="21" t="s">
        <v>546</v>
      </c>
      <c r="E34" s="13">
        <v>42860.292488425926</v>
      </c>
      <c r="F34" s="13">
        <v>42860.299479166664</v>
      </c>
      <c r="G34" s="7">
        <v>1</v>
      </c>
      <c r="H34" s="21" t="s">
        <v>197</v>
      </c>
      <c r="I34" s="13">
        <v>42860.327210648145</v>
      </c>
      <c r="J34" s="7">
        <v>0</v>
      </c>
      <c r="K34" s="92" t="str">
        <f t="shared" si="0"/>
        <v>4007/4008</v>
      </c>
      <c r="L34" s="21" t="str">
        <f>VLOOKUP(A34,'Trips&amp;Operators'!$C$1:$G$99999,5,FALSE)</f>
        <v>STARKS ANGELINA</v>
      </c>
      <c r="M34" s="6">
        <f t="shared" si="1"/>
        <v>2.7731481481168885E-2</v>
      </c>
      <c r="N34" s="7">
        <f t="shared" si="2"/>
        <v>39.933333332883194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-05T06:01:11-0600',mode:absolute,to:'2017-05-05T08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23.2971</v>
      </c>
      <c r="Z34" s="192">
        <f t="shared" si="9"/>
        <v>1.52E-2</v>
      </c>
      <c r="AA34" s="192">
        <f t="shared" si="10"/>
        <v>23.2819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0122-05</v>
      </c>
      <c r="AE34" s="80" t="str">
        <f t="shared" si="12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34" s="77" t="str">
        <f t="shared" si="13"/>
        <v>"C:\Program Files (x86)\AstroGrep\AstroGrep.exe" /e /r /s /spath="%USERPROFILE%\AppData\Local\Temp\OnboardLogs" /stypes="app*4007*20170505*"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122-05 --locoid 4007 --swversion DE.1.0.9.0 --startMP 204:232971 --initTime 2017-05-05T07:01:11 --startdatetime 2017-05-05T07:11:15 --delay 1 --endMP 204:152 --enddatetime 2017-05-05T07:51:11 --enforcementcount 0 &gt;&gt;C:\Users\stu\Documents\GitHub\eaglep3-reporting\EC\2017-05-05-refined-times.txt</v>
      </c>
      <c r="AI3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{"issue":{"subject":"","project_id":79,"tracker_id":40,"status_id":1,"priority_id":2,"assigned_to_id":23,"start_date":"2017-05-05","description":"","custom_fields":[{"id":1,"name":"Subdivision","value":"EC"},{"id":4,"name":"Milepost","value":"0.0152"},{"id":17,"name":"Train ID","value":"122-05"},{"id":16,"name":"Locomotive ID","value":"4007"},{"id":130,"name":"Impact","value":""},{"id":150,"name":"Time of Event (Mountain Time)","value":"07:51:11"},{"id":151,"name":"Denver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4007 --day 2017-05-05</v>
      </c>
      <c r="AN3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594</v>
      </c>
      <c r="B35" s="7">
        <v>4044</v>
      </c>
      <c r="C35" s="21" t="s">
        <v>210</v>
      </c>
      <c r="D35" s="21" t="s">
        <v>413</v>
      </c>
      <c r="E35" s="13">
        <v>42860.267708333333</v>
      </c>
      <c r="F35" s="13">
        <v>42860.27107638889</v>
      </c>
      <c r="G35" s="7">
        <v>1</v>
      </c>
      <c r="H35" s="21" t="s">
        <v>509</v>
      </c>
      <c r="I35" s="13">
        <v>42860.296030092592</v>
      </c>
      <c r="J35" s="7">
        <v>0</v>
      </c>
      <c r="K35" s="92" t="str">
        <f t="shared" si="0"/>
        <v>4043/4044</v>
      </c>
      <c r="L35" s="21" t="str">
        <f>VLOOKUP(A35,'Trips&amp;Operators'!$C$1:$G$99999,5,FALSE)</f>
        <v>LOZA FIDEL</v>
      </c>
      <c r="M35" s="6">
        <f t="shared" si="1"/>
        <v>2.495370370161254E-2</v>
      </c>
      <c r="N35" s="7">
        <f t="shared" si="2"/>
        <v>35.933333330322057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-05T05:25:30-0600',mode:absolute,to:'2017-05-05T08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4.6399999999999997E-2</v>
      </c>
      <c r="Z35" s="192">
        <f t="shared" si="9"/>
        <v>23.329799999999999</v>
      </c>
      <c r="AA35" s="192">
        <f t="shared" si="10"/>
        <v>23.2834</v>
      </c>
      <c r="AB35" s="57" t="str">
        <f>VLOOKUP(A35,Enforcements!$C$7:$K$13,8,0)</f>
        <v>Bulletin (2)</v>
      </c>
      <c r="AC35" s="53" t="str">
        <f>VLOOKUP(A35,Enforcements!$C$7:$E$13,3,0)</f>
        <v>GRADE CROSSING</v>
      </c>
      <c r="AD35" s="54" t="str">
        <f t="shared" si="11"/>
        <v>0123-05</v>
      </c>
      <c r="AE35" s="80" t="str">
        <f t="shared" si="12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35" s="77" t="str">
        <f t="shared" si="13"/>
        <v>"C:\Program Files (x86)\AstroGrep\AstroGrep.exe" /e /r /s /spath="%USERPROFILE%\AppData\Local\Temp\OnboardLogs" /stypes="app*4044*20170505*"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123-05 --locoid 4044 --swversion DE.1.0.9.0 --startMP 204:464 --initTime 2017-05-05T06:25:30 --startdatetime 2017-05-05T06:30:21 --delay 1 --endMP 204:233298 --enddatetime 2017-05-05T07:06:17 --enforcementcount 0 &gt;&gt;C:\Users\stu\Documents\GitHub\eaglep3-reporting\EC\2017-05-05-refined-times.txt</v>
      </c>
      <c r="AI3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{"issue":{"subject":"","project_id":79,"tracker_id":40,"status_id":1,"priority_id":2,"assigned_to_id":23,"start_date":"2017-05-05","description":"","custom_fields":[{"id":1,"name":"Subdivision","value":"EC"},{"id":4,"name":"Milepost","value":"23.3298"},{"id":17,"name":"Train ID","value":"123-05"},{"id":16,"name":"Locomotive ID","value":"4044"},{"id":130,"name":"Impact","value":""},{"id":150,"name":"Time of Event (Mountain Time)","value":"07:06:17"},{"id":151,"name":"Denver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4044 --day 2017-05-05</v>
      </c>
      <c r="AN3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680</v>
      </c>
      <c r="B36" s="7">
        <v>4043</v>
      </c>
      <c r="C36" s="21" t="s">
        <v>210</v>
      </c>
      <c r="D36" s="21" t="s">
        <v>510</v>
      </c>
      <c r="E36" s="13">
        <v>42860.307384259257</v>
      </c>
      <c r="F36" s="13">
        <v>42860.309988425928</v>
      </c>
      <c r="G36" s="7">
        <v>1</v>
      </c>
      <c r="H36" s="21" t="s">
        <v>415</v>
      </c>
      <c r="I36" s="13">
        <v>42860.336562500001</v>
      </c>
      <c r="J36" s="7">
        <v>0</v>
      </c>
      <c r="K36" s="92" t="str">
        <f t="shared" si="0"/>
        <v>4043/4044</v>
      </c>
      <c r="L36" s="21" t="str">
        <f>VLOOKUP(A36,'Trips&amp;Operators'!$C$1:$G$99999,5,FALSE)</f>
        <v>LOZA FIDEL</v>
      </c>
      <c r="M36" s="6">
        <f t="shared" si="1"/>
        <v>2.6574074072414078E-2</v>
      </c>
      <c r="N36" s="7">
        <f t="shared" si="2"/>
        <v>38.266666664276272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-05T06:22:38-0600',mode:absolute,to:'2017-05-05T09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23.299099999999999</v>
      </c>
      <c r="Z36" s="192">
        <f t="shared" si="9"/>
        <v>1.5599999999999999E-2</v>
      </c>
      <c r="AA36" s="192">
        <f t="shared" si="10"/>
        <v>23.2835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0124-05</v>
      </c>
      <c r="AE36" s="80" t="str">
        <f t="shared" si="12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36" s="77" t="str">
        <f t="shared" si="13"/>
        <v>"C:\Program Files (x86)\AstroGrep\AstroGrep.exe" /e /r /s /spath="%USERPROFILE%\AppData\Local\Temp\OnboardLogs" /stypes="app*4043*20170505*"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124-05 --locoid 4043 --swversion DE.1.0.9.0 --startMP 204:232991 --initTime 2017-05-05T07:22:38 --startdatetime 2017-05-05T07:26:23 --delay 1 --endMP 204:156 --enddatetime 2017-05-05T08:04:39 --enforcementcount 0 &gt;&gt;C:\Users\stu\Documents\GitHub\eaglep3-reporting\EC\2017-05-05-refined-times.txt</v>
      </c>
      <c r="AI3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{"issue":{"subject":"","project_id":79,"tracker_id":40,"status_id":1,"priority_id":2,"assigned_to_id":23,"start_date":"2017-05-05","description":"","custom_fields":[{"id":1,"name":"Subdivision","value":"EC"},{"id":4,"name":"Milepost","value":"0.0156"},{"id":17,"name":"Train ID","value":"124-05"},{"id":16,"name":"Locomotive ID","value":"4043"},{"id":130,"name":"Impact","value":""},{"id":150,"name":"Time of Event (Mountain Time)","value":"08:04:39"},{"id":151,"name":"Denver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4043 --day 2017-05-05</v>
      </c>
      <c r="AN3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674</v>
      </c>
      <c r="B37" s="7">
        <v>4016</v>
      </c>
      <c r="C37" s="21" t="s">
        <v>210</v>
      </c>
      <c r="D37" s="21" t="s">
        <v>476</v>
      </c>
      <c r="E37" s="13">
        <v>42860.276226851849</v>
      </c>
      <c r="F37" s="13">
        <v>42860.281423611108</v>
      </c>
      <c r="G37" s="7">
        <v>2</v>
      </c>
      <c r="H37" s="21" t="s">
        <v>564</v>
      </c>
      <c r="I37" s="13">
        <v>42860.306805555556</v>
      </c>
      <c r="J37" s="7">
        <v>0</v>
      </c>
      <c r="K37" s="92" t="str">
        <f t="shared" si="0"/>
        <v>4015/4016</v>
      </c>
      <c r="L37" s="21" t="str">
        <f>VLOOKUP(A37,'Trips&amp;Operators'!$C$1:$G$99999,5,FALSE)</f>
        <v>THOMPSON LESTER</v>
      </c>
      <c r="M37" s="6">
        <f t="shared" si="1"/>
        <v>2.5381944447872229E-2</v>
      </c>
      <c r="N37" s="7">
        <f t="shared" si="2"/>
        <v>36.55000000493601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-05T05:37:46-0600',mode:absolute,to:'2017-05-05T08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4.7300000000000002E-2</v>
      </c>
      <c r="Z37" s="192">
        <f t="shared" si="9"/>
        <v>23.330300000000001</v>
      </c>
      <c r="AA37" s="192">
        <f t="shared" si="10"/>
        <v>23.283000000000001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0125-05</v>
      </c>
      <c r="AE37" s="80" t="str">
        <f t="shared" si="12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37" s="77" t="str">
        <f t="shared" si="13"/>
        <v>"C:\Program Files (x86)\AstroGrep\AstroGrep.exe" /e /r /s /spath="%USERPROFILE%\AppData\Local\Temp\OnboardLogs" /stypes="app*4016*20170505*"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125-05 --locoid 4016 --swversion DE.1.0.9.0 --startMP 204:473 --initTime 2017-05-05T06:37:46 --startdatetime 2017-05-05T06:45:15 --delay 2 --endMP 204:233303 --enddatetime 2017-05-05T07:21:48 --enforcementcount 0 &gt;&gt;C:\Users\stu\Documents\GitHub\eaglep3-reporting\EC\2017-05-05-refined-times.txt</v>
      </c>
      <c r="AI3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{"issue":{"subject":"","project_id":79,"tracker_id":40,"status_id":1,"priority_id":2,"assigned_to_id":23,"start_date":"2017-05-05","description":"","custom_fields":[{"id":1,"name":"Subdivision","value":"EC"},{"id":4,"name":"Milepost","value":"23.3303"},{"id":17,"name":"Train ID","value":"125-05"},{"id":16,"name":"Locomotive ID","value":"4016"},{"id":130,"name":"Impact","value":""},{"id":150,"name":"Time of Event (Mountain Time)","value":"07:21:48"},{"id":151,"name":"Denver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4016 --day 2017-05-05</v>
      </c>
      <c r="AN3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683</v>
      </c>
      <c r="B38" s="7">
        <v>4015</v>
      </c>
      <c r="C38" s="21" t="s">
        <v>210</v>
      </c>
      <c r="D38" s="21" t="s">
        <v>477</v>
      </c>
      <c r="E38" s="13">
        <v>42860.31690972222</v>
      </c>
      <c r="F38" s="13">
        <v>42860.3203587963</v>
      </c>
      <c r="G38" s="7">
        <v>1</v>
      </c>
      <c r="H38" s="21" t="s">
        <v>402</v>
      </c>
      <c r="I38" s="13">
        <v>42860.348067129627</v>
      </c>
      <c r="J38" s="7">
        <v>0</v>
      </c>
      <c r="K38" s="92" t="str">
        <f t="shared" si="0"/>
        <v>4015/4016</v>
      </c>
      <c r="L38" s="21" t="str">
        <f>VLOOKUP(A38,'Trips&amp;Operators'!$C$1:$G$99999,5,FALSE)</f>
        <v>THOMPSON LESTER</v>
      </c>
      <c r="M38" s="6">
        <f t="shared" si="1"/>
        <v>2.770833332760958E-2</v>
      </c>
      <c r="N38" s="7">
        <f t="shared" si="2"/>
        <v>39.899999991757795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-05T06:36:21-0600',mode:absolute,to:'2017-05-05T09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23.297499999999999</v>
      </c>
      <c r="Z38" s="192">
        <f t="shared" si="9"/>
        <v>1.4999999999999999E-2</v>
      </c>
      <c r="AA38" s="192">
        <f t="shared" si="10"/>
        <v>23.282499999999999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0126-05</v>
      </c>
      <c r="AE38" s="80" t="str">
        <f t="shared" si="12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38" s="77" t="str">
        <f t="shared" si="13"/>
        <v>"C:\Program Files (x86)\AstroGrep\AstroGrep.exe" /e /r /s /spath="%USERPROFILE%\AppData\Local\Temp\OnboardLogs" /stypes="app*4015*20170505*"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126-05 --locoid 4015 --swversion DE.1.0.9.0 --startMP 204:232975 --initTime 2017-05-05T07:36:21 --startdatetime 2017-05-05T07:41:19 --delay 1 --endMP 204:150 --enddatetime 2017-05-05T08:21:13 --enforcementcount 0 &gt;&gt;C:\Users\stu\Documents\GitHub\eaglep3-reporting\EC\2017-05-05-refined-times.txt</v>
      </c>
      <c r="AI3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ID","value":"126-05"},{"id":16,"name":"Locomotive ID","value":"4015"},{"id":130,"name":"Impact","value":""},{"id":150,"name":"Time of Event (Mountain Time)","value":"08:21:13"},{"id":151,"name":"Denver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4015 --day 2017-05-05</v>
      </c>
      <c r="AN3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675</v>
      </c>
      <c r="B39" s="7">
        <v>4040</v>
      </c>
      <c r="C39" s="21" t="s">
        <v>210</v>
      </c>
      <c r="D39" s="21" t="s">
        <v>431</v>
      </c>
      <c r="E39" s="13">
        <v>42860.287881944445</v>
      </c>
      <c r="F39" s="13">
        <v>42860.29184027778</v>
      </c>
      <c r="G39" s="7">
        <v>1</v>
      </c>
      <c r="H39" s="21" t="s">
        <v>412</v>
      </c>
      <c r="I39" s="13">
        <v>42860.317326388889</v>
      </c>
      <c r="J39" s="7">
        <v>0</v>
      </c>
      <c r="K39" s="92" t="str">
        <f t="shared" si="0"/>
        <v>4039/4040</v>
      </c>
      <c r="L39" s="21" t="str">
        <f>VLOOKUP(A39,'Trips&amp;Operators'!$C$1:$G$99999,5,FALSE)</f>
        <v>BADERTSCHER DIANE</v>
      </c>
      <c r="M39" s="6">
        <f t="shared" si="1"/>
        <v>2.548611110978527E-2</v>
      </c>
      <c r="N39" s="7">
        <f t="shared" si="2"/>
        <v>36.699999998090789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-05T05:54:33-0600',mode:absolute,to:'2017-05-05T08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4.4699999999999997E-2</v>
      </c>
      <c r="Z39" s="192">
        <f t="shared" si="9"/>
        <v>23.331399999999999</v>
      </c>
      <c r="AA39" s="192">
        <f t="shared" si="10"/>
        <v>23.2867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0127-05</v>
      </c>
      <c r="AE39" s="80" t="str">
        <f t="shared" si="12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39" s="77" t="str">
        <f t="shared" si="13"/>
        <v>"C:\Program Files (x86)\AstroGrep\AstroGrep.exe" /e /r /s /spath="%USERPROFILE%\AppData\Local\Temp\OnboardLogs" /stypes="app*4040*20170505*"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127-05 --locoid 4040 --swversion DE.1.0.9.0 --startMP 204:447 --initTime 2017-05-05T06:54:33 --startdatetime 2017-05-05T07:00:15 --delay 1 --endMP 204:233314 --enddatetime 2017-05-05T07:36:57 --enforcementcount 0 &gt;&gt;C:\Users\stu\Documents\GitHub\eaglep3-reporting\EC\2017-05-05-refined-times.txt</v>
      </c>
      <c r="AI3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{"issue":{"subject":"","project_id":79,"tracker_id":40,"status_id":1,"priority_id":2,"assigned_to_id":23,"start_date":"2017-05-05","description":"","custom_fields":[{"id":1,"name":"Subdivision","value":"EC"},{"id":4,"name":"Milepost","value":"23.3314"},{"id":17,"name":"Train ID","value":"127-05"},{"id":16,"name":"Locomotive ID","value":"4040"},{"id":130,"name":"Impact","value":""},{"id":150,"name":"Time of Event (Mountain Time)","value":"07:36:57"},{"id":151,"name":"Denver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4040 --day 2017-05-05</v>
      </c>
      <c r="AN3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685</v>
      </c>
      <c r="B40" s="7">
        <v>4039</v>
      </c>
      <c r="C40" s="21" t="s">
        <v>210</v>
      </c>
      <c r="D40" s="21" t="s">
        <v>508</v>
      </c>
      <c r="E40" s="13">
        <v>42860.324456018519</v>
      </c>
      <c r="F40" s="13">
        <v>42860.330717592595</v>
      </c>
      <c r="G40" s="7">
        <v>1</v>
      </c>
      <c r="H40" s="21" t="s">
        <v>551</v>
      </c>
      <c r="I40" s="13">
        <v>42860.358020833337</v>
      </c>
      <c r="J40" s="7">
        <v>0</v>
      </c>
      <c r="K40" s="92" t="str">
        <f t="shared" si="0"/>
        <v>4039/4040</v>
      </c>
      <c r="L40" s="21" t="str">
        <f>VLOOKUP(A40,'Trips&amp;Operators'!$C$1:$G$99999,5,FALSE)</f>
        <v>BADERTSCHER DIANE</v>
      </c>
      <c r="M40" s="6">
        <f t="shared" si="1"/>
        <v>2.7303240742185153E-2</v>
      </c>
      <c r="N40" s="7">
        <f t="shared" si="2"/>
        <v>39.31666666874662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-05T06:47:13-0600',mode:absolute,to:'2017-05-05T09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23.2987</v>
      </c>
      <c r="Z40" s="192">
        <f t="shared" si="9"/>
        <v>1.34E-2</v>
      </c>
      <c r="AA40" s="192">
        <f t="shared" si="10"/>
        <v>23.285299999999999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0128-05</v>
      </c>
      <c r="AE40" s="80" t="str">
        <f t="shared" si="12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40" s="77" t="str">
        <f t="shared" si="13"/>
        <v>"C:\Program Files (x86)\AstroGrep\AstroGrep.exe" /e /r /s /spath="%USERPROFILE%\AppData\Local\Temp\OnboardLogs" /stypes="app*4039*20170505*"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128-05 --locoid 4039 --swversion DE.1.0.9.0 --startMP 204:232987 --initTime 2017-05-05T07:47:13 --startdatetime 2017-05-05T07:56:14 --delay 1 --endMP 204:134 --enddatetime 2017-05-05T08:35:33 --enforcementcount 0 &gt;&gt;C:\Users\stu\Documents\GitHub\eaglep3-reporting\EC\2017-05-05-refined-times.txt</v>
      </c>
      <c r="AI40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{"issue":{"subject":"","project_id":79,"tracker_id":40,"status_id":1,"priority_id":2,"assigned_to_id":23,"start_date":"2017-05-05","description":"","custom_fields":[{"id":1,"name":"Subdivision","value":"EC"},{"id":4,"name":"Milepost","value":"0.0134"},{"id":17,"name":"Train ID","value":"128-05"},{"id":16,"name":"Locomotive ID","value":"4039"},{"id":130,"name":"Impact","value":""},{"id":150,"name":"Time of Event (Mountain Time)","value":"08:35:33"},{"id":151,"name":"Denver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4039 --day 2017-05-05</v>
      </c>
      <c r="AN40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678</v>
      </c>
      <c r="B41" s="7">
        <v>4022</v>
      </c>
      <c r="C41" s="21" t="s">
        <v>210</v>
      </c>
      <c r="D41" s="21" t="s">
        <v>556</v>
      </c>
      <c r="E41" s="13">
        <v>42860.2969212963</v>
      </c>
      <c r="F41" s="13">
        <v>42860.30232638889</v>
      </c>
      <c r="G41" s="7">
        <v>1</v>
      </c>
      <c r="H41" s="21" t="s">
        <v>440</v>
      </c>
      <c r="I41" s="13">
        <v>42860.327361111114</v>
      </c>
      <c r="J41" s="7">
        <v>0</v>
      </c>
      <c r="K41" s="92" t="str">
        <f t="shared" si="0"/>
        <v>4021/4022</v>
      </c>
      <c r="L41" s="21" t="str">
        <f>VLOOKUP(A41,'Trips&amp;Operators'!$C$1:$G$99999,5,FALSE)</f>
        <v>LAMAR NEKESHA</v>
      </c>
      <c r="M41" s="6">
        <f t="shared" si="1"/>
        <v>2.5034722224518191E-2</v>
      </c>
      <c r="N41" s="7">
        <f t="shared" si="2"/>
        <v>36.050000003306195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-05T06:07:34-0600',mode:absolute,to:'2017-05-05T08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4.7699999999999999E-2</v>
      </c>
      <c r="Z41" s="192">
        <f t="shared" si="9"/>
        <v>23.328199999999999</v>
      </c>
      <c r="AA41" s="192">
        <f t="shared" si="10"/>
        <v>23.2805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0129-05</v>
      </c>
      <c r="AE41" s="80" t="str">
        <f t="shared" si="12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41" s="77" t="str">
        <f t="shared" si="13"/>
        <v>"C:\Program Files (x86)\AstroGrep\AstroGrep.exe" /e /r /s /spath="%USERPROFILE%\AppData\Local\Temp\OnboardLogs" /stypes="app*4022*20170505*"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129-05 --locoid 4022 --swversion DE.1.0.9.0 --startMP 204:477 --initTime 2017-05-05T07:07:34 --startdatetime 2017-05-05T07:15:21 --delay 1 --endMP 204:233282 --enddatetime 2017-05-05T07:51:24 --enforcementcount 0 &gt;&gt;C:\Users\stu\Documents\GitHub\eaglep3-reporting\EC\2017-05-05-refined-times.txt</v>
      </c>
      <c r="AI4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{"issue":{"subject":"","project_id":79,"tracker_id":40,"status_id":1,"priority_id":2,"assigned_to_id":23,"start_date":"2017-05-05","description":"","custom_fields":[{"id":1,"name":"Subdivision","value":"EC"},{"id":4,"name":"Milepost","value":"23.3282"},{"id":17,"name":"Train ID","value":"129-05"},{"id":16,"name":"Locomotive ID","value":"4022"},{"id":130,"name":"Impact","value":""},{"id":150,"name":"Time of Event (Mountain Time)","value":"07:51:24"},{"id":151,"name":"Denver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4022 --day 2017-05-05</v>
      </c>
      <c r="AN4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598</v>
      </c>
      <c r="B42" s="7">
        <v>4021</v>
      </c>
      <c r="C42" s="21" t="s">
        <v>210</v>
      </c>
      <c r="D42" s="21" t="s">
        <v>553</v>
      </c>
      <c r="E42" s="13">
        <v>42860.328981481478</v>
      </c>
      <c r="F42" s="13">
        <v>42860.341238425928</v>
      </c>
      <c r="G42" s="7">
        <v>1</v>
      </c>
      <c r="H42" s="21" t="s">
        <v>415</v>
      </c>
      <c r="I42" s="13">
        <v>42860.369074074071</v>
      </c>
      <c r="J42" s="7">
        <v>0</v>
      </c>
      <c r="K42" s="92" t="str">
        <f t="shared" si="0"/>
        <v>4021/4022</v>
      </c>
      <c r="L42" s="21" t="str">
        <f>VLOOKUP(A42,'Trips&amp;Operators'!$C$1:$G$99999,5,FALSE)</f>
        <v>LAMAR NEKESHA</v>
      </c>
      <c r="M42" s="6">
        <f t="shared" si="1"/>
        <v>2.7835648143081926E-2</v>
      </c>
      <c r="N42" s="7">
        <f t="shared" si="2"/>
        <v>40.083333326037973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-05T06:53:44-0600',mode:absolute,to:'2017-05-05T09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23.296700000000001</v>
      </c>
      <c r="Z42" s="192">
        <f t="shared" si="9"/>
        <v>1.5599999999999999E-2</v>
      </c>
      <c r="AA42" s="192">
        <f t="shared" si="10"/>
        <v>23.281100000000002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0130-05</v>
      </c>
      <c r="AE42" s="80" t="str">
        <f t="shared" si="12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42" s="77" t="str">
        <f t="shared" si="13"/>
        <v>"C:\Program Files (x86)\AstroGrep\AstroGrep.exe" /e /r /s /spath="%USERPROFILE%\AppData\Local\Temp\OnboardLogs" /stypes="app*4021*20170505*"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130-05 --locoid 4021 --swversion DE.1.0.9.0 --startMP 204:232967 --initTime 2017-05-05T07:53:44 --startdatetime 2017-05-05T08:11:23 --delay 1 --endMP 204:156 --enddatetime 2017-05-05T08:51:28 --enforcementcount 0 &gt;&gt;C:\Users\stu\Documents\GitHub\eaglep3-reporting\EC\2017-05-05-refined-times.txt</v>
      </c>
      <c r="AI4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{"issue":{"subject":"","project_id":79,"tracker_id":40,"status_id":1,"priority_id":2,"assigned_to_id":23,"start_date":"2017-05-05","description":"","custom_fields":[{"id":1,"name":"Subdivision","value":"EC"},{"id":4,"name":"Milepost","value":"0.0156"},{"id":17,"name":"Train ID","value":"130-05"},{"id":16,"name":"Locomotive ID","value":"4021"},{"id":130,"name":"Impact","value":""},{"id":150,"name":"Time of Event (Mountain Time)","value":"08:51:28"},{"id":151,"name":"Denver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4021 --day 2017-05-05</v>
      </c>
      <c r="AN4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681</v>
      </c>
      <c r="B43" s="7">
        <v>4042</v>
      </c>
      <c r="C43" s="21" t="s">
        <v>210</v>
      </c>
      <c r="D43" s="21" t="s">
        <v>413</v>
      </c>
      <c r="E43" s="13">
        <v>42860.307511574072</v>
      </c>
      <c r="F43" s="13">
        <v>42860.312673611108</v>
      </c>
      <c r="G43" s="7">
        <v>1</v>
      </c>
      <c r="H43" s="21" t="s">
        <v>412</v>
      </c>
      <c r="I43" s="13">
        <v>42860.338240740741</v>
      </c>
      <c r="J43" s="7">
        <v>0</v>
      </c>
      <c r="K43" s="92" t="str">
        <f t="shared" si="0"/>
        <v>4041/4042</v>
      </c>
      <c r="L43" s="21" t="str">
        <f>VLOOKUP(A43,'Trips&amp;Operators'!$C$1:$G$99999,5,FALSE)</f>
        <v>DAVIS WENDY</v>
      </c>
      <c r="M43" s="6">
        <f t="shared" si="1"/>
        <v>2.5567129632690921E-2</v>
      </c>
      <c r="N43" s="7">
        <f t="shared" si="2"/>
        <v>36.816666671074927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-05T06:22:49-0600',mode:absolute,to:'2017-05-05T09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4.6399999999999997E-2</v>
      </c>
      <c r="Z43" s="192">
        <f t="shared" si="9"/>
        <v>23.331399999999999</v>
      </c>
      <c r="AA43" s="192">
        <f t="shared" si="10"/>
        <v>23.285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0131-05</v>
      </c>
      <c r="AE43" s="80" t="str">
        <f t="shared" si="12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43" s="77" t="str">
        <f t="shared" si="13"/>
        <v>"C:\Program Files (x86)\AstroGrep\AstroGrep.exe" /e /r /s /spath="%USERPROFILE%\AppData\Local\Temp\OnboardLogs" /stypes="app*4042*20170505*"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131-05 --locoid 4042 --swversion DE.1.0.9.0 --startMP 204:464 --initTime 2017-05-05T07:22:49 --startdatetime 2017-05-05T07:30:15 --delay 1 --endMP 204:233314 --enddatetime 2017-05-05T08:07:04 --enforcementcount 0 &gt;&gt;C:\Users\stu\Documents\GitHub\eaglep3-reporting\EC\2017-05-05-refined-times.txt</v>
      </c>
      <c r="AI4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{"issue":{"subject":"","project_id":79,"tracker_id":40,"status_id":1,"priority_id":2,"assigned_to_id":23,"start_date":"2017-05-05","description":"","custom_fields":[{"id":1,"name":"Subdivision","value":"EC"},{"id":4,"name":"Milepost","value":"23.3314"},{"id":17,"name":"Train ID","value":"131-05"},{"id":16,"name":"Locomotive ID","value":"4042"},{"id":130,"name":"Impact","value":""},{"id":150,"name":"Time of Event (Mountain Time)","value":"08:07:04"},{"id":151,"name":"Denver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4042 --day 2017-05-05</v>
      </c>
      <c r="AN4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690</v>
      </c>
      <c r="B44" s="7">
        <v>4041</v>
      </c>
      <c r="C44" s="21" t="s">
        <v>210</v>
      </c>
      <c r="D44" s="21" t="s">
        <v>508</v>
      </c>
      <c r="E44" s="13">
        <v>42860.350081018521</v>
      </c>
      <c r="F44" s="13">
        <v>42860.351574074077</v>
      </c>
      <c r="G44" s="7">
        <v>1</v>
      </c>
      <c r="H44" s="21" t="s">
        <v>384</v>
      </c>
      <c r="I44" s="13">
        <v>42860.379618055558</v>
      </c>
      <c r="J44" s="7">
        <v>0</v>
      </c>
      <c r="K44" s="92" t="str">
        <f t="shared" si="0"/>
        <v>4041/4042</v>
      </c>
      <c r="L44" s="21" t="str">
        <f>VLOOKUP(A44,'Trips&amp;Operators'!$C$1:$G$99999,5,FALSE)</f>
        <v>DAVIS WENDY</v>
      </c>
      <c r="M44" s="6">
        <f t="shared" si="1"/>
        <v>2.8043981481459923E-2</v>
      </c>
      <c r="N44" s="7">
        <f t="shared" si="2"/>
        <v>40.383333333302289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-05T07:24:07-0600',mode:absolute,to:'2017-05-05T10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23.2987</v>
      </c>
      <c r="Z44" s="192">
        <f t="shared" si="9"/>
        <v>1.4500000000000001E-2</v>
      </c>
      <c r="AA44" s="192">
        <f t="shared" si="10"/>
        <v>23.284199999999998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0132-05</v>
      </c>
      <c r="AE44" s="80" t="str">
        <f t="shared" si="12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44" s="77" t="str">
        <f t="shared" si="13"/>
        <v>"C:\Program Files (x86)\AstroGrep\AstroGrep.exe" /e /r /s /spath="%USERPROFILE%\AppData\Local\Temp\OnboardLogs" /stypes="app*4041*20170505*"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132-05 --locoid 4041 --swversion DE.1.0.9.0 --startMP 204:232987 --initTime 2017-05-05T08:24:07 --startdatetime 2017-05-05T08:26:16 --delay 1 --endMP 204:145 --enddatetime 2017-05-05T09:06:39 --enforcementcount 0 &gt;&gt;C:\Users\stu\Documents\GitHub\eaglep3-reporting\EC\2017-05-05-refined-times.txt</v>
      </c>
      <c r="AI4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{"issue":{"subject":"","project_id":79,"tracker_id":40,"status_id":1,"priority_id":2,"assigned_to_id":23,"start_date":"2017-05-05","description":"","custom_fields":[{"id":1,"name":"Subdivision","value":"EC"},{"id":4,"name":"Milepost","value":"0.0145"},{"id":17,"name":"Train ID","value":"132-05"},{"id":16,"name":"Locomotive ID","value":"4041"},{"id":130,"name":"Impact","value":""},{"id":150,"name":"Time of Event (Mountain Time)","value":"09:06:39"},{"id":151,"name":"Denver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4041 --day 2017-05-05</v>
      </c>
      <c r="AN4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597</v>
      </c>
      <c r="B45" s="7">
        <v>4030</v>
      </c>
      <c r="C45" s="21" t="s">
        <v>210</v>
      </c>
      <c r="D45" s="21" t="s">
        <v>388</v>
      </c>
      <c r="E45" s="13">
        <v>42860.317650462966</v>
      </c>
      <c r="F45" s="13">
        <v>42860.323159722226</v>
      </c>
      <c r="G45" s="7">
        <v>1</v>
      </c>
      <c r="H45" s="21" t="s">
        <v>412</v>
      </c>
      <c r="I45" s="13">
        <v>42860.347928240742</v>
      </c>
      <c r="J45" s="7">
        <v>0</v>
      </c>
      <c r="K45" s="92" t="str">
        <f t="shared" si="0"/>
        <v>4029/4030</v>
      </c>
      <c r="L45" s="21" t="str">
        <f>VLOOKUP(A45,'Trips&amp;Operators'!$C$1:$G$99999,5,FALSE)</f>
        <v>ROBINSON KADDIBA</v>
      </c>
      <c r="M45" s="6">
        <f t="shared" si="1"/>
        <v>2.4768518516793847E-2</v>
      </c>
      <c r="N45" s="7">
        <f t="shared" ref="N45:N76" si="23">24*60*SUM($M45:$M45)</f>
        <v>35.66666666418314</v>
      </c>
      <c r="O45" s="7"/>
      <c r="P45" s="7"/>
      <c r="Q45" s="22"/>
      <c r="R45" s="190"/>
      <c r="S45" s="196">
        <f t="shared" ref="S45:S76" si="24">SUM(U45:U45)/IF(AG45="EC",12,1)</f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-05T06:37:25-0600',mode:absolute,to:'2017-05-05T09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5" s="192" t="str">
        <f t="shared" si="6"/>
        <v>N</v>
      </c>
      <c r="X45" s="192">
        <f t="shared" ref="X45:X76" si="25">VALUE(LEFT(AD45,4))-VALUE(LEFT(AD44,4))</f>
        <v>1</v>
      </c>
      <c r="Y45" s="192">
        <f t="shared" si="8"/>
        <v>4.58E-2</v>
      </c>
      <c r="Z45" s="192">
        <f t="shared" ref="Z45:Z76" si="26">RIGHT(H45,LEN(H45)-4)/10000</f>
        <v>23.331399999999999</v>
      </c>
      <c r="AA45" s="192">
        <f t="shared" si="10"/>
        <v>23.285599999999999</v>
      </c>
      <c r="AB45" s="57" t="str">
        <f>VLOOKUP(A45,Enforcements!$C$7:$K$13,8,0)</f>
        <v>Bulletin (2)</v>
      </c>
      <c r="AC45" s="53" t="str">
        <f>VLOOKUP(A45,Enforcements!$C$7:$E$13,3,0)</f>
        <v>GRADE CROSSING</v>
      </c>
      <c r="AD45" s="54" t="str">
        <f t="shared" si="11"/>
        <v>0133-05</v>
      </c>
      <c r="AE45" s="80" t="str">
        <f t="shared" si="12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45" s="77" t="str">
        <f t="shared" si="13"/>
        <v>"C:\Program Files (x86)\AstroGrep\AstroGrep.exe" /e /r /s /spath="%USERPROFILE%\AppData\Local\Temp\OnboardLogs" /stypes="app*4030*20170505*"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133-05 --locoid 4030 --swversion DE.1.0.9.0 --startMP 204:458 --initTime 2017-05-05T07:37:25 --startdatetime 2017-05-05T07:45:21 --delay 1 --endMP 204:233314 --enddatetime 2017-05-05T08:21:01 --enforcementcount 0 &gt;&gt;C:\Users\stu\Documents\GitHub\eaglep3-reporting\EC\2017-05-05-refined-times.txt</v>
      </c>
      <c r="AI4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{"issue":{"subject":"","project_id":79,"tracker_id":40,"status_id":1,"priority_id":2,"assigned_to_id":23,"start_date":"2017-05-05","description":"","custom_fields":[{"id":1,"name":"Subdivision","value":"EC"},{"id":4,"name":"Milepost","value":"23.3314"},{"id":17,"name":"Train ID","value":"133-05"},{"id":16,"name":"Locomotive ID","value":"4030"},{"id":130,"name":"Impact","value":""},{"id":150,"name":"Time of Event (Mountain Time)","value":"08:21:01"},{"id":151,"name":"Denver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4030 --day 2017-05-05</v>
      </c>
      <c r="AN4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693</v>
      </c>
      <c r="B46" s="7">
        <v>4029</v>
      </c>
      <c r="C46" s="21" t="s">
        <v>210</v>
      </c>
      <c r="D46" s="21" t="s">
        <v>475</v>
      </c>
      <c r="E46" s="13">
        <v>42860.354791666665</v>
      </c>
      <c r="F46" s="13">
        <v>42860.361967592595</v>
      </c>
      <c r="G46" s="7">
        <v>2</v>
      </c>
      <c r="H46" s="21" t="s">
        <v>384</v>
      </c>
      <c r="I46" s="13">
        <v>42860.389293981483</v>
      </c>
      <c r="J46" s="7">
        <v>0</v>
      </c>
      <c r="K46" s="92" t="str">
        <f t="shared" si="0"/>
        <v>4029/4030</v>
      </c>
      <c r="L46" s="21" t="str">
        <f>VLOOKUP(A46,'Trips&amp;Operators'!$C$1:$G$99999,5,FALSE)</f>
        <v>ROBINSON KADDIBA</v>
      </c>
      <c r="M46" s="6">
        <f t="shared" si="1"/>
        <v>2.73263888884685E-2</v>
      </c>
      <c r="N46" s="7">
        <f t="shared" si="23"/>
        <v>39.34999999939464</v>
      </c>
      <c r="O46" s="7"/>
      <c r="P46" s="7"/>
      <c r="Q46" s="22"/>
      <c r="R46" s="190"/>
      <c r="S46" s="196">
        <f t="shared" si="24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-05T07:30:54-0600',mode:absolute,to:'2017-05-05T10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6" s="192" t="str">
        <f t="shared" si="6"/>
        <v>N</v>
      </c>
      <c r="X46" s="192">
        <f t="shared" si="25"/>
        <v>1</v>
      </c>
      <c r="Y46" s="192">
        <f t="shared" si="8"/>
        <v>23.297999999999998</v>
      </c>
      <c r="Z46" s="192">
        <f t="shared" si="26"/>
        <v>1.4500000000000001E-2</v>
      </c>
      <c r="AA46" s="192">
        <f t="shared" si="10"/>
        <v>23.283499999999997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0134-05</v>
      </c>
      <c r="AE46" s="80" t="str">
        <f t="shared" si="12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46" s="77" t="str">
        <f t="shared" si="13"/>
        <v>"C:\Program Files (x86)\AstroGrep\AstroGrep.exe" /e /r /s /spath="%USERPROFILE%\AppData\Local\Temp\OnboardLogs" /stypes="app*4029*20170505*"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134-05 --locoid 4029 --swversion DE.1.0.9.0 --startMP 204:232980 --initTime 2017-05-05T08:30:54 --startdatetime 2017-05-05T08:41:14 --delay 2 --endMP 204:145 --enddatetime 2017-05-05T09:20:35 --enforcementcount 0 &gt;&gt;C:\Users\stu\Documents\GitHub\eaglep3-reporting\EC\2017-05-05-refined-times.txt</v>
      </c>
      <c r="AI4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{"issue":{"subject":"","project_id":79,"tracker_id":40,"status_id":1,"priority_id":2,"assigned_to_id":23,"start_date":"2017-05-05","description":"","custom_fields":[{"id":1,"name":"Subdivision","value":"EC"},{"id":4,"name":"Milepost","value":"0.0145"},{"id":17,"name":"Train ID","value":"134-05"},{"id":16,"name":"Locomotive ID","value":"4029"},{"id":130,"name":"Impact","value":""},{"id":150,"name":"Time of Event (Mountain Time)","value":"09:20:35"},{"id":151,"name":"Denver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4029 --day 2017-05-05</v>
      </c>
      <c r="AN4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686</v>
      </c>
      <c r="B47" s="7">
        <v>4008</v>
      </c>
      <c r="C47" s="21" t="s">
        <v>210</v>
      </c>
      <c r="D47" s="21" t="s">
        <v>366</v>
      </c>
      <c r="E47" s="13">
        <v>42860.329965277779</v>
      </c>
      <c r="F47" s="13">
        <v>42860.333657407406</v>
      </c>
      <c r="G47" s="7">
        <v>4</v>
      </c>
      <c r="H47" s="21" t="s">
        <v>554</v>
      </c>
      <c r="I47" s="13">
        <v>42860.359756944446</v>
      </c>
      <c r="J47" s="7">
        <v>0</v>
      </c>
      <c r="K47" s="92" t="str">
        <f t="shared" si="0"/>
        <v>4007/4008</v>
      </c>
      <c r="L47" s="21" t="str">
        <f>VLOOKUP(A47,'Trips&amp;Operators'!$C$1:$G$99999,5,FALSE)</f>
        <v>STARKS ANGELINA</v>
      </c>
      <c r="M47" s="6">
        <f t="shared" si="1"/>
        <v>2.6099537040863652E-2</v>
      </c>
      <c r="N47" s="7">
        <f t="shared" si="23"/>
        <v>37.583333338843659</v>
      </c>
      <c r="O47" s="7"/>
      <c r="P47" s="7"/>
      <c r="Q47" s="22"/>
      <c r="R47" s="190"/>
      <c r="S47" s="196">
        <f t="shared" si="24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-05T06:55:09-0600',mode:absolute,to:'2017-05-05T09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192" t="str">
        <f t="shared" si="6"/>
        <v>N</v>
      </c>
      <c r="X47" s="192">
        <f t="shared" si="25"/>
        <v>1</v>
      </c>
      <c r="Y47" s="192">
        <f t="shared" si="8"/>
        <v>4.4900000000000002E-2</v>
      </c>
      <c r="Z47" s="192">
        <f t="shared" si="26"/>
        <v>23.331499999999998</v>
      </c>
      <c r="AA47" s="192">
        <f t="shared" si="10"/>
        <v>23.2866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0135-05</v>
      </c>
      <c r="AE47" s="80" t="str">
        <f t="shared" si="12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47" s="77" t="str">
        <f t="shared" si="13"/>
        <v>"C:\Program Files (x86)\AstroGrep\AstroGrep.exe" /e /r /s /spath="%USERPROFILE%\AppData\Local\Temp\OnboardLogs" /stypes="app*4008*20170505*"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135-05 --locoid 4008 --swversion DE.1.0.9.0 --startMP 204:449 --initTime 2017-05-05T07:55:09 --startdatetime 2017-05-05T08:00:28 --delay 4 --endMP 204:233315 --enddatetime 2017-05-05T08:38:03 --enforcementcount 0 &gt;&gt;C:\Users\stu\Documents\GitHub\eaglep3-reporting\EC\2017-05-05-refined-times.txt</v>
      </c>
      <c r="AI4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{"issue":{"subject":"","project_id":79,"tracker_id":40,"status_id":1,"priority_id":2,"assigned_to_id":23,"start_date":"2017-05-05","description":"","custom_fields":[{"id":1,"name":"Subdivision","value":"EC"},{"id":4,"name":"Milepost","value":"23.3315"},{"id":17,"name":"Train ID","value":"135-05"},{"id":16,"name":"Locomotive ID","value":"4008"},{"id":130,"name":"Impact","value":""},{"id":150,"name":"Time of Event (Mountain Time)","value":"08:38:03"},{"id":151,"name":"Denver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4008 --day 2017-05-05</v>
      </c>
      <c r="AN4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694</v>
      </c>
      <c r="B48" s="7">
        <v>4007</v>
      </c>
      <c r="C48" s="21" t="s">
        <v>210</v>
      </c>
      <c r="D48" s="21" t="s">
        <v>864</v>
      </c>
      <c r="E48" s="13">
        <v>42860.365937499999</v>
      </c>
      <c r="F48" s="13">
        <v>42860.372384259259</v>
      </c>
      <c r="G48" s="7">
        <v>3</v>
      </c>
      <c r="H48" s="21" t="s">
        <v>454</v>
      </c>
      <c r="I48" s="13">
        <v>42860.399317129632</v>
      </c>
      <c r="J48" s="7">
        <v>0</v>
      </c>
      <c r="K48" s="92" t="str">
        <f t="shared" si="0"/>
        <v>4007/4008</v>
      </c>
      <c r="L48" s="21" t="str">
        <f>VLOOKUP(A48,'Trips&amp;Operators'!$C$1:$G$99999,5,FALSE)</f>
        <v>STARKS ANGELINA</v>
      </c>
      <c r="M48" s="6">
        <f t="shared" si="1"/>
        <v>2.6932870372547768E-2</v>
      </c>
      <c r="N48" s="7">
        <f t="shared" si="23"/>
        <v>38.783333336468786</v>
      </c>
      <c r="O48" s="7"/>
      <c r="P48" s="7"/>
      <c r="Q48" s="22"/>
      <c r="R48" s="190"/>
      <c r="S48" s="196">
        <f t="shared" si="24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-05T07:46:57-0600',mode:absolute,to:'2017-05-05T10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8" s="192" t="str">
        <f t="shared" si="6"/>
        <v>N</v>
      </c>
      <c r="X48" s="192">
        <f t="shared" si="25"/>
        <v>1</v>
      </c>
      <c r="Y48" s="192">
        <f t="shared" si="8"/>
        <v>23.299800000000001</v>
      </c>
      <c r="Z48" s="192">
        <f t="shared" si="26"/>
        <v>1.47E-2</v>
      </c>
      <c r="AA48" s="192">
        <f t="shared" si="10"/>
        <v>23.2851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0136-05</v>
      </c>
      <c r="AE48" s="80" t="str">
        <f t="shared" si="12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48" s="77" t="str">
        <f t="shared" si="13"/>
        <v>"C:\Program Files (x86)\AstroGrep\AstroGrep.exe" /e /r /s /spath="%USERPROFILE%\AppData\Local\Temp\OnboardLogs" /stypes="app*4007*20170505*"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136-05 --locoid 4007 --swversion DE.1.0.9.0 --startMP 204:232998 --initTime 2017-05-05T08:46:57 --startdatetime 2017-05-05T08:56:14 --delay 3 --endMP 204:147 --enddatetime 2017-05-05T09:35:01 --enforcementcount 0 &gt;&gt;C:\Users\stu\Documents\GitHub\eaglep3-reporting\EC\2017-05-05-refined-times.txt</v>
      </c>
      <c r="AI4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{"issue":{"subject":"","project_id":79,"tracker_id":40,"status_id":1,"priority_id":2,"assigned_to_id":23,"start_date":"2017-05-05","description":"","custom_fields":[{"id":1,"name":"Subdivision","value":"EC"},{"id":4,"name":"Milepost","value":"0.0147"},{"id":17,"name":"Train ID","value":"136-05"},{"id":16,"name":"Locomotive ID","value":"4007"},{"id":130,"name":"Impact","value":""},{"id":150,"name":"Time of Event (Mountain Time)","value":"09:35:01"},{"id":151,"name":"Denver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4007 --day 2017-05-05</v>
      </c>
      <c r="AN4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688</v>
      </c>
      <c r="B49" s="7">
        <v>4044</v>
      </c>
      <c r="C49" s="21" t="s">
        <v>210</v>
      </c>
      <c r="D49" s="21" t="s">
        <v>865</v>
      </c>
      <c r="E49" s="13">
        <v>42860.34039351852</v>
      </c>
      <c r="F49" s="13">
        <v>42860.344108796293</v>
      </c>
      <c r="G49" s="7">
        <v>1</v>
      </c>
      <c r="H49" s="21" t="s">
        <v>552</v>
      </c>
      <c r="I49" s="13">
        <v>42860.368298611109</v>
      </c>
      <c r="J49" s="7">
        <v>0</v>
      </c>
      <c r="K49" s="92" t="str">
        <f t="shared" si="0"/>
        <v>4043/4044</v>
      </c>
      <c r="L49" s="21" t="str">
        <f>VLOOKUP(A49,'Trips&amp;Operators'!$C$1:$G$99999,5,FALSE)</f>
        <v>LOZA FIDEL</v>
      </c>
      <c r="M49" s="6">
        <f t="shared" si="1"/>
        <v>2.4189814816054422E-2</v>
      </c>
      <c r="N49" s="7">
        <f t="shared" si="23"/>
        <v>34.833333335118368</v>
      </c>
      <c r="O49" s="7"/>
      <c r="P49" s="7"/>
      <c r="Q49" s="22"/>
      <c r="R49" s="190"/>
      <c r="S49" s="196">
        <f t="shared" si="24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-05T07:10:10-0600',mode:absolute,to:'2017-05-05T09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9" s="192" t="str">
        <f t="shared" si="6"/>
        <v>N</v>
      </c>
      <c r="X49" s="192">
        <f t="shared" si="25"/>
        <v>1</v>
      </c>
      <c r="Y49" s="192">
        <f t="shared" si="8"/>
        <v>4.3299999999999998E-2</v>
      </c>
      <c r="Z49" s="192">
        <f t="shared" si="26"/>
        <v>23.329899999999999</v>
      </c>
      <c r="AA49" s="192">
        <f t="shared" si="10"/>
        <v>23.2866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0137-05</v>
      </c>
      <c r="AE49" s="80" t="str">
        <f t="shared" si="12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49" s="77" t="str">
        <f t="shared" si="13"/>
        <v>"C:\Program Files (x86)\AstroGrep\AstroGrep.exe" /e /r /s /spath="%USERPROFILE%\AppData\Local\Temp\OnboardLogs" /stypes="app*4044*20170505*"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137-05 --locoid 4044 --swversion DE.1.0.9.0 --startMP 204:433 --initTime 2017-05-05T08:10:10 --startdatetime 2017-05-05T08:15:31 --delay 1 --endMP 204:233299 --enddatetime 2017-05-05T08:50:21 --enforcementcount 0 &gt;&gt;C:\Users\stu\Documents\GitHub\eaglep3-reporting\EC\2017-05-05-refined-times.txt</v>
      </c>
      <c r="AI4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{"issue":{"subject":"","project_id":79,"tracker_id":40,"status_id":1,"priority_id":2,"assigned_to_id":23,"start_date":"2017-05-05","description":"","custom_fields":[{"id":1,"name":"Subdivision","value":"EC"},{"id":4,"name":"Milepost","value":"23.3299"},{"id":17,"name":"Train ID","value":"137-05"},{"id":16,"name":"Locomotive ID","value":"4044"},{"id":130,"name":"Impact","value":""},{"id":150,"name":"Time of Event (Mountain Time)","value":"08:50:21"},{"id":151,"name":"Denver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4044 --day 2017-05-05</v>
      </c>
      <c r="AN4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696</v>
      </c>
      <c r="B50" s="7">
        <v>4043</v>
      </c>
      <c r="C50" s="21" t="s">
        <v>210</v>
      </c>
      <c r="D50" s="21" t="s">
        <v>861</v>
      </c>
      <c r="E50" s="13">
        <v>42860.379756944443</v>
      </c>
      <c r="F50" s="13">
        <v>42860.382847222223</v>
      </c>
      <c r="G50" s="7">
        <v>1</v>
      </c>
      <c r="H50" s="21" t="s">
        <v>866</v>
      </c>
      <c r="I50" s="13">
        <v>42860.409641203703</v>
      </c>
      <c r="J50" s="7">
        <v>0</v>
      </c>
      <c r="K50" s="92" t="str">
        <f t="shared" si="0"/>
        <v>4043/4044</v>
      </c>
      <c r="L50" s="21" t="str">
        <f>VLOOKUP(A50,'Trips&amp;Operators'!$C$1:$G$99999,5,FALSE)</f>
        <v>LOZA FIDEL</v>
      </c>
      <c r="M50" s="6">
        <f t="shared" si="1"/>
        <v>2.679398148029577E-2</v>
      </c>
      <c r="N50" s="7">
        <f t="shared" si="23"/>
        <v>38.583333331625909</v>
      </c>
      <c r="O50" s="7"/>
      <c r="P50" s="7"/>
      <c r="Q50" s="22"/>
      <c r="R50" s="190"/>
      <c r="S50" s="196">
        <f t="shared" si="24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-05T08:06:51-0600',mode:absolute,to:'2017-05-05T10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0" s="192" t="str">
        <f t="shared" si="6"/>
        <v>N</v>
      </c>
      <c r="X50" s="192">
        <f t="shared" si="25"/>
        <v>1</v>
      </c>
      <c r="Y50" s="192">
        <f t="shared" si="8"/>
        <v>23.298999999999999</v>
      </c>
      <c r="Z50" s="192">
        <f t="shared" si="26"/>
        <v>1.32E-2</v>
      </c>
      <c r="AA50" s="192">
        <f t="shared" si="10"/>
        <v>23.285799999999998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0138-05</v>
      </c>
      <c r="AE50" s="80" t="str">
        <f t="shared" si="12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50" s="77" t="str">
        <f t="shared" si="13"/>
        <v>"C:\Program Files (x86)\AstroGrep\AstroGrep.exe" /e /r /s /spath="%USERPROFILE%\AppData\Local\Temp\OnboardLogs" /stypes="app*4043*20170505*"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138-05 --locoid 4043 --swversion DE.1.0.9.0 --startMP 204:232990 --initTime 2017-05-05T09:06:51 --startdatetime 2017-05-05T09:11:18 --delay 1 --endMP 204:132 --enddatetime 2017-05-05T09:49:53 --enforcementcount 0 &gt;&gt;C:\Users\stu\Documents\GitHub\eaglep3-reporting\EC\2017-05-05-refined-times.txt</v>
      </c>
      <c r="AI50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{"issue":{"subject":"","project_id":79,"tracker_id":40,"status_id":1,"priority_id":2,"assigned_to_id":23,"start_date":"2017-05-05","description":"","custom_fields":[{"id":1,"name":"Subdivision","value":"EC"},{"id":4,"name":"Milepost","value":"0.0132"},{"id":17,"name":"Train ID","value":"138-05"},{"id":16,"name":"Locomotive ID","value":"4043"},{"id":130,"name":"Impact","value":""},{"id":150,"name":"Time of Event (Mountain Time)","value":"09:49:53"},{"id":151,"name":"Denver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4043 --day 2017-05-05</v>
      </c>
      <c r="AN50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691</v>
      </c>
      <c r="B51" s="7">
        <v>4016</v>
      </c>
      <c r="C51" s="21" t="s">
        <v>210</v>
      </c>
      <c r="D51" s="21" t="s">
        <v>380</v>
      </c>
      <c r="E51" s="13">
        <v>42860.350960648146</v>
      </c>
      <c r="F51" s="13">
        <v>42860.354699074072</v>
      </c>
      <c r="G51" s="7">
        <v>1</v>
      </c>
      <c r="H51" s="21" t="s">
        <v>867</v>
      </c>
      <c r="I51" s="13">
        <v>42860.380439814813</v>
      </c>
      <c r="J51" s="7">
        <v>0</v>
      </c>
      <c r="K51" s="92" t="str">
        <f t="shared" si="0"/>
        <v>4015/4016</v>
      </c>
      <c r="L51" s="21" t="str">
        <f>VLOOKUP(A51,'Trips&amp;Operators'!$C$1:$G$99999,5,FALSE)</f>
        <v>THOMPSON LESTER</v>
      </c>
      <c r="M51" s="6">
        <f t="shared" si="1"/>
        <v>2.5740740740729962E-2</v>
      </c>
      <c r="N51" s="7">
        <f t="shared" si="23"/>
        <v>37.066666666651145</v>
      </c>
      <c r="O51" s="7"/>
      <c r="P51" s="7"/>
      <c r="Q51" s="22"/>
      <c r="R51" s="190"/>
      <c r="S51" s="196">
        <f t="shared" si="24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-05T07:25:23-0600',mode:absolute,to:'2017-05-05T10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192" t="str">
        <f t="shared" si="6"/>
        <v>N</v>
      </c>
      <c r="X51" s="192">
        <f t="shared" si="25"/>
        <v>1</v>
      </c>
      <c r="Y51" s="192">
        <f t="shared" si="8"/>
        <v>4.6199999999999998E-2</v>
      </c>
      <c r="Z51" s="192">
        <f t="shared" si="26"/>
        <v>23.335899999999999</v>
      </c>
      <c r="AA51" s="192">
        <f t="shared" si="10"/>
        <v>23.2897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0139-05</v>
      </c>
      <c r="AE51" s="80" t="str">
        <f t="shared" si="12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51" s="77" t="str">
        <f t="shared" si="13"/>
        <v>"C:\Program Files (x86)\AstroGrep\AstroGrep.exe" /e /r /s /spath="%USERPROFILE%\AppData\Local\Temp\OnboardLogs" /stypes="app*4016*20170505*"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139-05 --locoid 4016 --swversion DE.1.0.9.0 --startMP 204:462 --initTime 2017-05-05T08:25:23 --startdatetime 2017-05-05T08:30:46 --delay 1 --endMP 204:233359 --enddatetime 2017-05-05T09:07:50 --enforcementcount 0 &gt;&gt;C:\Users\stu\Documents\GitHub\eaglep3-reporting\EC\2017-05-05-refined-times.txt</v>
      </c>
      <c r="AI5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{"issue":{"subject":"","project_id":79,"tracker_id":40,"status_id":1,"priority_id":2,"assigned_to_id":23,"start_date":"2017-05-05","description":"","custom_fields":[{"id":1,"name":"Subdivision","value":"EC"},{"id":4,"name":"Milepost","value":"23.3359"},{"id":17,"name":"Train ID","value":"139-05"},{"id":16,"name":"Locomotive ID","value":"4016"},{"id":130,"name":"Impact","value":""},{"id":150,"name":"Time of Event (Mountain Time)","value":"09:07:50"},{"id":151,"name":"Denver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4016 --day 2017-05-05</v>
      </c>
      <c r="AN5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699</v>
      </c>
      <c r="B52" s="7">
        <v>4015</v>
      </c>
      <c r="C52" s="21" t="s">
        <v>210</v>
      </c>
      <c r="D52" s="21" t="s">
        <v>863</v>
      </c>
      <c r="E52" s="13">
        <v>42860.389062499999</v>
      </c>
      <c r="F52" s="13">
        <v>42860.39329861111</v>
      </c>
      <c r="G52" s="7">
        <v>1</v>
      </c>
      <c r="H52" s="21" t="s">
        <v>432</v>
      </c>
      <c r="I52" s="13">
        <v>42860.420914351853</v>
      </c>
      <c r="J52" s="7">
        <v>0</v>
      </c>
      <c r="K52" s="92" t="str">
        <f t="shared" si="0"/>
        <v>4015/4016</v>
      </c>
      <c r="L52" s="21" t="str">
        <f>VLOOKUP(A52,'Trips&amp;Operators'!$C$1:$G$99999,5,FALSE)</f>
        <v>THOMPSON LESTER</v>
      </c>
      <c r="M52" s="6">
        <f t="shared" si="1"/>
        <v>2.7615740742476191E-2</v>
      </c>
      <c r="N52" s="7">
        <f t="shared" si="23"/>
        <v>39.766666669165716</v>
      </c>
      <c r="O52" s="7"/>
      <c r="P52" s="7"/>
      <c r="Q52" s="22"/>
      <c r="R52" s="190"/>
      <c r="S52" s="196">
        <f t="shared" si="24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-05T08:20:15-0600',mode:absolute,to:'2017-05-05T11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192" t="str">
        <f t="shared" si="6"/>
        <v>N</v>
      </c>
      <c r="X52" s="192">
        <f t="shared" si="25"/>
        <v>1</v>
      </c>
      <c r="Y52" s="192">
        <f t="shared" si="8"/>
        <v>23.299399999999999</v>
      </c>
      <c r="Z52" s="192">
        <f t="shared" si="26"/>
        <v>1.3899999999999999E-2</v>
      </c>
      <c r="AA52" s="192">
        <f t="shared" si="10"/>
        <v>23.285499999999999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0140-05</v>
      </c>
      <c r="AE52" s="80" t="str">
        <f t="shared" si="12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52" s="77" t="str">
        <f t="shared" si="13"/>
        <v>"C:\Program Files (x86)\AstroGrep\AstroGrep.exe" /e /r /s /spath="%USERPROFILE%\AppData\Local\Temp\OnboardLogs" /stypes="app*4015*20170505*"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140-05 --locoid 4015 --swversion DE.1.0.9.0 --startMP 204:232994 --initTime 2017-05-05T09:20:15 --startdatetime 2017-05-05T09:26:21 --delay 1 --endMP 204:139 --enddatetime 2017-05-05T10:06:07 --enforcementcount 0 &gt;&gt;C:\Users\stu\Documents\GitHub\eaglep3-reporting\EC\2017-05-05-refined-times.txt</v>
      </c>
      <c r="AI5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{"issue":{"subject":"","project_id":79,"tracker_id":40,"status_id":1,"priority_id":2,"assigned_to_id":23,"start_date":"2017-05-05","description":"","custom_fields":[{"id":1,"name":"Subdivision","value":"EC"},{"id":4,"name":"Milepost","value":"0.0139"},{"id":17,"name":"Train ID","value":"140-05"},{"id":16,"name":"Locomotive ID","value":"4015"},{"id":130,"name":"Impact","value":""},{"id":150,"name":"Time of Event (Mountain Time)","value":"10:06:07"},{"id":151,"name":"Denver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4015 --day 2017-05-05</v>
      </c>
      <c r="AN5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601</v>
      </c>
      <c r="B53" s="7">
        <v>4040</v>
      </c>
      <c r="C53" s="21" t="s">
        <v>210</v>
      </c>
      <c r="D53" s="21" t="s">
        <v>868</v>
      </c>
      <c r="E53" s="13">
        <v>42860.360555555555</v>
      </c>
      <c r="F53" s="13">
        <v>42860.364745370367</v>
      </c>
      <c r="G53" s="7">
        <v>1</v>
      </c>
      <c r="H53" s="21" t="s">
        <v>565</v>
      </c>
      <c r="I53" s="13">
        <v>42860.390162037038</v>
      </c>
      <c r="J53" s="7">
        <v>0</v>
      </c>
      <c r="K53" s="92" t="str">
        <f t="shared" si="0"/>
        <v>4039/4040</v>
      </c>
      <c r="L53" s="21" t="str">
        <f>VLOOKUP(A53,'Trips&amp;Operators'!$C$1:$G$99999,5,FALSE)</f>
        <v>BADERTSCHER DIANE</v>
      </c>
      <c r="M53" s="6">
        <f t="shared" si="1"/>
        <v>2.5416666670935228E-2</v>
      </c>
      <c r="N53" s="7">
        <f t="shared" si="23"/>
        <v>36.600000006146729</v>
      </c>
      <c r="O53" s="7"/>
      <c r="P53" s="7"/>
      <c r="Q53" s="22"/>
      <c r="R53" s="190"/>
      <c r="S53" s="196">
        <f t="shared" si="24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-05T07:39:12-0600',mode:absolute,to:'2017-05-05T10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92" t="str">
        <f t="shared" si="6"/>
        <v>N</v>
      </c>
      <c r="X53" s="192">
        <f t="shared" si="25"/>
        <v>1</v>
      </c>
      <c r="Y53" s="192">
        <f t="shared" si="8"/>
        <v>4.3099999999999999E-2</v>
      </c>
      <c r="Z53" s="192">
        <f t="shared" si="26"/>
        <v>23.3309</v>
      </c>
      <c r="AA53" s="192">
        <f t="shared" si="10"/>
        <v>23.287800000000001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0141-05</v>
      </c>
      <c r="AE53" s="80" t="str">
        <f t="shared" si="12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53" s="77" t="str">
        <f t="shared" si="13"/>
        <v>"C:\Program Files (x86)\AstroGrep\AstroGrep.exe" /e /r /s /spath="%USERPROFILE%\AppData\Local\Temp\OnboardLogs" /stypes="app*4040*20170505*"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141-05 --locoid 4040 --swversion DE.1.0.9.0 --startMP 204:431 --initTime 2017-05-05T08:39:12 --startdatetime 2017-05-05T08:45:14 --delay 1 --endMP 204:233309 --enddatetime 2017-05-05T09:21:50 --enforcementcount 0 &gt;&gt;C:\Users\stu\Documents\GitHub\eaglep3-reporting\EC\2017-05-05-refined-times.txt</v>
      </c>
      <c r="AI5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{"issue":{"subject":"","project_id":79,"tracker_id":40,"status_id":1,"priority_id":2,"assigned_to_id":23,"start_date":"2017-05-05","description":"","custom_fields":[{"id":1,"name":"Subdivision","value":"EC"},{"id":4,"name":"Milepost","value":"23.3309"},{"id":17,"name":"Train ID","value":"141-05"},{"id":16,"name":"Locomotive ID","value":"4040"},{"id":130,"name":"Impact","value":""},{"id":150,"name":"Time of Event (Mountain Time)","value":"09:21:50"},{"id":151,"name":"Denver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4040 --day 2017-05-05</v>
      </c>
      <c r="AN5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700</v>
      </c>
      <c r="B54" s="7">
        <v>4039</v>
      </c>
      <c r="C54" s="21" t="s">
        <v>210</v>
      </c>
      <c r="D54" s="21" t="s">
        <v>436</v>
      </c>
      <c r="E54" s="13">
        <v>42860.398761574077</v>
      </c>
      <c r="F54" s="13">
        <v>42860.403784722221</v>
      </c>
      <c r="G54" s="7">
        <v>1</v>
      </c>
      <c r="H54" s="21" t="s">
        <v>575</v>
      </c>
      <c r="I54" s="13">
        <v>42860.431238425925</v>
      </c>
      <c r="J54" s="7">
        <v>0</v>
      </c>
      <c r="K54" s="92" t="str">
        <f t="shared" si="0"/>
        <v>4039/4040</v>
      </c>
      <c r="L54" s="21" t="str">
        <f>VLOOKUP(A54,'Trips&amp;Operators'!$C$1:$G$99999,5,FALSE)</f>
        <v>BADERTSCHER DIANE</v>
      </c>
      <c r="M54" s="6">
        <f t="shared" si="1"/>
        <v>2.7453703703940846E-2</v>
      </c>
      <c r="N54" s="7">
        <f t="shared" si="23"/>
        <v>39.533333333674818</v>
      </c>
      <c r="O54" s="7"/>
      <c r="P54" s="7"/>
      <c r="Q54" s="22"/>
      <c r="R54" s="190"/>
      <c r="S54" s="196">
        <f t="shared" si="24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-05T08:34:13-0600',mode:absolute,to:'2017-05-05T11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92" t="str">
        <f t="shared" si="6"/>
        <v>N</v>
      </c>
      <c r="X54" s="192">
        <f t="shared" si="25"/>
        <v>1</v>
      </c>
      <c r="Y54" s="192">
        <f t="shared" si="8"/>
        <v>23.2986</v>
      </c>
      <c r="Z54" s="192">
        <f t="shared" si="26"/>
        <v>1.29E-2</v>
      </c>
      <c r="AA54" s="192">
        <f t="shared" si="10"/>
        <v>23.285700000000002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0142-05</v>
      </c>
      <c r="AE54" s="80" t="str">
        <f t="shared" si="12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54" s="77" t="str">
        <f t="shared" si="13"/>
        <v>"C:\Program Files (x86)\AstroGrep\AstroGrep.exe" /e /r /s /spath="%USERPROFILE%\AppData\Local\Temp\OnboardLogs" /stypes="app*4039*20170505*"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142-05 --locoid 4039 --swversion DE.1.0.9.0 --startMP 204:232986 --initTime 2017-05-05T09:34:13 --startdatetime 2017-05-05T09:41:27 --delay 1 --endMP 204:129 --enddatetime 2017-05-05T10:20:59 --enforcementcount 0 &gt;&gt;C:\Users\stu\Documents\GitHub\eaglep3-reporting\EC\2017-05-05-refined-times.txt</v>
      </c>
      <c r="AI5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{"issue":{"subject":"","project_id":79,"tracker_id":40,"status_id":1,"priority_id":2,"assigned_to_id":23,"start_date":"2017-05-05","description":"","custom_fields":[{"id":1,"name":"Subdivision","value":"EC"},{"id":4,"name":"Milepost","value":"0.0129"},{"id":17,"name":"Train ID","value":"142-05"},{"id":16,"name":"Locomotive ID","value":"4039"},{"id":130,"name":"Impact","value":""},{"id":150,"name":"Time of Event (Mountain Time)","value":"10:20:59"},{"id":151,"name":"Denver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4039 --day 2017-05-05</v>
      </c>
      <c r="AN5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695</v>
      </c>
      <c r="B55" s="7">
        <v>4022</v>
      </c>
      <c r="C55" s="21" t="s">
        <v>210</v>
      </c>
      <c r="D55" s="21" t="s">
        <v>476</v>
      </c>
      <c r="E55" s="13">
        <v>42860.370648148149</v>
      </c>
      <c r="F55" s="13">
        <v>42860.375208333331</v>
      </c>
      <c r="G55" s="7">
        <v>1</v>
      </c>
      <c r="H55" s="21" t="s">
        <v>869</v>
      </c>
      <c r="I55" s="13">
        <v>42860.399826388886</v>
      </c>
      <c r="J55" s="7">
        <v>0</v>
      </c>
      <c r="K55" s="92" t="str">
        <f t="shared" si="0"/>
        <v>4021/4022</v>
      </c>
      <c r="L55" s="21" t="str">
        <f>VLOOKUP(A55,'Trips&amp;Operators'!$C$1:$G$99999,5,FALSE)</f>
        <v>LAMAR NEKESHA</v>
      </c>
      <c r="M55" s="6">
        <f t="shared" si="1"/>
        <v>2.4618055555038154E-2</v>
      </c>
      <c r="N55" s="7">
        <f t="shared" si="23"/>
        <v>35.449999999254942</v>
      </c>
      <c r="O55" s="7"/>
      <c r="P55" s="7"/>
      <c r="Q55" s="22"/>
      <c r="R55" s="190"/>
      <c r="S55" s="196">
        <f t="shared" si="24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-05T07:53:44-0600',mode:absolute,to:'2017-05-05T10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5" s="192" t="str">
        <f t="shared" si="6"/>
        <v>N</v>
      </c>
      <c r="X55" s="192">
        <f t="shared" si="25"/>
        <v>1</v>
      </c>
      <c r="Y55" s="192">
        <f t="shared" si="8"/>
        <v>4.7300000000000002E-2</v>
      </c>
      <c r="Z55" s="192">
        <f t="shared" si="26"/>
        <v>23.33</v>
      </c>
      <c r="AA55" s="192">
        <f t="shared" si="10"/>
        <v>23.282699999999998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0143-05</v>
      </c>
      <c r="AE55" s="80" t="str">
        <f t="shared" si="12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55" s="77" t="str">
        <f t="shared" si="13"/>
        <v>"C:\Program Files (x86)\AstroGrep\AstroGrep.exe" /e /r /s /spath="%USERPROFILE%\AppData\Local\Temp\OnboardLogs" /stypes="app*4022*20170505*"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143-05 --locoid 4022 --swversion DE.1.0.9.0 --startMP 204:473 --initTime 2017-05-05T08:53:44 --startdatetime 2017-05-05T09:00:18 --delay 1 --endMP 204:233300 --enddatetime 2017-05-05T09:35:45 --enforcementcount 0 &gt;&gt;C:\Users\stu\Documents\GitHub\eaglep3-reporting\EC\2017-05-05-refined-times.txt</v>
      </c>
      <c r="AI5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{"issue":{"subject":"","project_id":79,"tracker_id":40,"status_id":1,"priority_id":2,"assigned_to_id":23,"start_date":"2017-05-05","description":"","custom_fields":[{"id":1,"name":"Subdivision","value":"EC"},{"id":4,"name":"Milepost","value":"23.33"},{"id":17,"name":"Train ID","value":"143-05"},{"id":16,"name":"Locomotive ID","value":"4022"},{"id":130,"name":"Impact","value":""},{"id":150,"name":"Time of Event (Mountain Time)","value":"09:35:45"},{"id":151,"name":"Denver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4022 --day 2017-05-05</v>
      </c>
      <c r="AN5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702</v>
      </c>
      <c r="B56" s="7">
        <v>4021</v>
      </c>
      <c r="C56" s="21" t="s">
        <v>210</v>
      </c>
      <c r="D56" s="21" t="s">
        <v>870</v>
      </c>
      <c r="E56" s="13">
        <v>42860.4062037037</v>
      </c>
      <c r="F56" s="13">
        <v>42860.414074074077</v>
      </c>
      <c r="G56" s="7">
        <v>0</v>
      </c>
      <c r="H56" s="21" t="s">
        <v>454</v>
      </c>
      <c r="I56" s="13">
        <v>42860.440393518518</v>
      </c>
      <c r="J56" s="7">
        <v>0</v>
      </c>
      <c r="K56" s="92" t="str">
        <f t="shared" si="0"/>
        <v>4021/4022</v>
      </c>
      <c r="L56" s="21" t="str">
        <f>VLOOKUP(A56,'Trips&amp;Operators'!$C$1:$G$99999,5,FALSE)</f>
        <v>LAMAR NEKESHA</v>
      </c>
      <c r="M56" s="6">
        <f t="shared" si="1"/>
        <v>2.6319444441469386E-2</v>
      </c>
      <c r="N56" s="7">
        <f t="shared" si="23"/>
        <v>37.899999995715916</v>
      </c>
      <c r="O56" s="7"/>
      <c r="P56" s="7"/>
      <c r="Q56" s="22"/>
      <c r="R56" s="190"/>
      <c r="S56" s="196">
        <f t="shared" si="24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-05T08:44:56-0600',mode:absolute,to:'2017-05-05T11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6" s="192" t="str">
        <f t="shared" si="6"/>
        <v>N</v>
      </c>
      <c r="X56" s="192">
        <f t="shared" si="25"/>
        <v>1</v>
      </c>
      <c r="Y56" s="192">
        <f t="shared" si="8"/>
        <v>23.299600000000002</v>
      </c>
      <c r="Z56" s="192">
        <f t="shared" si="26"/>
        <v>1.47E-2</v>
      </c>
      <c r="AA56" s="192">
        <f t="shared" si="10"/>
        <v>23.2849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0144-05</v>
      </c>
      <c r="AE56" s="80" t="str">
        <f t="shared" si="12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56" s="77" t="str">
        <f t="shared" si="13"/>
        <v>"C:\Program Files (x86)\AstroGrep\AstroGrep.exe" /e /r /s /spath="%USERPROFILE%\AppData\Local\Temp\OnboardLogs" /stypes="app*4021*20170505*"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144-05 --locoid 4021 --swversion DE.1.0.9.0 --startMP 204:232996 --initTime 2017-05-05T09:44:56 --startdatetime 2017-05-05T09:56:16 --delay 0 --endMP 204:147 --enddatetime 2017-05-05T10:34:10 --enforcementcount 0 &gt;&gt;C:\Users\stu\Documents\GitHub\eaglep3-reporting\EC\2017-05-05-refined-times.txt</v>
      </c>
      <c r="AI5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{"issue":{"subject":"","project_id":79,"tracker_id":40,"status_id":1,"priority_id":2,"assigned_to_id":23,"start_date":"2017-05-05","description":"","custom_fields":[{"id":1,"name":"Subdivision","value":"EC"},{"id":4,"name":"Milepost","value":"0.0147"},{"id":17,"name":"Train ID","value":"144-05"},{"id":16,"name":"Locomotive ID","value":"4021"},{"id":130,"name":"Impact","value":""},{"id":150,"name":"Time of Event (Mountain Time)","value":"10:34:10"},{"id":151,"name":"Denver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4021 --day 2017-05-05</v>
      </c>
      <c r="AN5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697</v>
      </c>
      <c r="B57" s="7">
        <v>4042</v>
      </c>
      <c r="C57" s="21" t="s">
        <v>210</v>
      </c>
      <c r="D57" s="21" t="s">
        <v>557</v>
      </c>
      <c r="E57" s="13">
        <v>42860.381689814814</v>
      </c>
      <c r="F57" s="13">
        <v>42860.385578703703</v>
      </c>
      <c r="G57" s="7">
        <v>1</v>
      </c>
      <c r="H57" s="21" t="s">
        <v>565</v>
      </c>
      <c r="I57" s="13">
        <v>42860.411134259259</v>
      </c>
      <c r="J57" s="7">
        <v>0</v>
      </c>
      <c r="K57" s="92" t="str">
        <f t="shared" si="0"/>
        <v>4041/4042</v>
      </c>
      <c r="L57" s="21" t="str">
        <f>VLOOKUP(A57,'Trips&amp;Operators'!$C$1:$G$99999,5,FALSE)</f>
        <v>DAVIS WENDY</v>
      </c>
      <c r="M57" s="6">
        <f t="shared" si="1"/>
        <v>2.5555555555911269E-2</v>
      </c>
      <c r="N57" s="7">
        <f t="shared" si="23"/>
        <v>36.800000000512227</v>
      </c>
      <c r="O57" s="7"/>
      <c r="P57" s="7"/>
      <c r="Q57" s="22"/>
      <c r="R57" s="190"/>
      <c r="S57" s="196">
        <f t="shared" si="24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-05T08:09:38-0600',mode:absolute,to:'2017-05-05T10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192" t="str">
        <f t="shared" si="6"/>
        <v>N</v>
      </c>
      <c r="X57" s="192">
        <f t="shared" si="25"/>
        <v>1</v>
      </c>
      <c r="Y57" s="192">
        <f t="shared" si="8"/>
        <v>4.3799999999999999E-2</v>
      </c>
      <c r="Z57" s="192">
        <f t="shared" si="26"/>
        <v>23.3309</v>
      </c>
      <c r="AA57" s="192">
        <f t="shared" si="10"/>
        <v>23.287099999999999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0145-05</v>
      </c>
      <c r="AE57" s="80" t="str">
        <f t="shared" si="12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57" s="77" t="str">
        <f t="shared" si="13"/>
        <v>"C:\Program Files (x86)\AstroGrep\AstroGrep.exe" /e /r /s /spath="%USERPROFILE%\AppData\Local\Temp\OnboardLogs" /stypes="app*4042*20170505*"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145-05 --locoid 4042 --swversion DE.1.0.9.0 --startMP 204:438 --initTime 2017-05-05T09:09:38 --startdatetime 2017-05-05T09:15:14 --delay 1 --endMP 204:233309 --enddatetime 2017-05-05T09:52:02 --enforcementcount 0 &gt;&gt;C:\Users\stu\Documents\GitHub\eaglep3-reporting\EC\2017-05-05-refined-times.txt</v>
      </c>
      <c r="AI5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{"issue":{"subject":"","project_id":79,"tracker_id":40,"status_id":1,"priority_id":2,"assigned_to_id":23,"start_date":"2017-05-05","description":"","custom_fields":[{"id":1,"name":"Subdivision","value":"EC"},{"id":4,"name":"Milepost","value":"23.3309"},{"id":17,"name":"Train ID","value":"145-05"},{"id":16,"name":"Locomotive ID","value":"4042"},{"id":130,"name":"Impact","value":""},{"id":150,"name":"Time of Event (Mountain Time)","value":"09:52:02"},{"id":151,"name":"Denver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4042 --day 2017-05-05</v>
      </c>
      <c r="AN5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704</v>
      </c>
      <c r="B58" s="7">
        <v>4041</v>
      </c>
      <c r="C58" s="21" t="s">
        <v>210</v>
      </c>
      <c r="D58" s="21" t="s">
        <v>550</v>
      </c>
      <c r="E58" s="13">
        <v>42860.421331018515</v>
      </c>
      <c r="F58" s="13">
        <v>42860.424479166664</v>
      </c>
      <c r="G58" s="7">
        <v>1</v>
      </c>
      <c r="H58" s="21" t="s">
        <v>402</v>
      </c>
      <c r="I58" s="13">
        <v>42860.452384259261</v>
      </c>
      <c r="J58" s="7">
        <v>0</v>
      </c>
      <c r="K58" s="92" t="str">
        <f t="shared" si="0"/>
        <v>4041/4042</v>
      </c>
      <c r="L58" s="21" t="str">
        <f>VLOOKUP(A58,'Trips&amp;Operators'!$C$1:$G$99999,5,FALSE)</f>
        <v>DAVIS WENDY</v>
      </c>
      <c r="M58" s="6">
        <f t="shared" si="1"/>
        <v>2.7905092596483883E-2</v>
      </c>
      <c r="N58" s="7">
        <f t="shared" si="23"/>
        <v>40.183333338936791</v>
      </c>
      <c r="O58" s="7"/>
      <c r="P58" s="7"/>
      <c r="Q58" s="22"/>
      <c r="R58" s="190"/>
      <c r="S58" s="196">
        <f t="shared" si="24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-05T09:06:43-0600',mode:absolute,to:'2017-05-05T11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192" t="str">
        <f t="shared" si="6"/>
        <v>N</v>
      </c>
      <c r="X58" s="192">
        <f t="shared" si="25"/>
        <v>1</v>
      </c>
      <c r="Y58" s="192">
        <f t="shared" si="8"/>
        <v>23.2988</v>
      </c>
      <c r="Z58" s="192">
        <f t="shared" si="26"/>
        <v>1.4999999999999999E-2</v>
      </c>
      <c r="AA58" s="192">
        <f t="shared" si="10"/>
        <v>23.283799999999999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0146-05</v>
      </c>
      <c r="AE58" s="80" t="str">
        <f t="shared" si="12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58" s="77" t="str">
        <f t="shared" si="13"/>
        <v>"C:\Program Files (x86)\AstroGrep\AstroGrep.exe" /e /r /s /spath="%USERPROFILE%\AppData\Local\Temp\OnboardLogs" /stypes="app*4041*20170505*"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146-05 --locoid 4041 --swversion DE.1.0.9.0 --startMP 204:232988 --initTime 2017-05-05T10:06:43 --startdatetime 2017-05-05T10:11:15 --delay 1 --endMP 204:150 --enddatetime 2017-05-05T10:51:26 --enforcementcount 0 &gt;&gt;C:\Users\stu\Documents\GitHub\eaglep3-reporting\EC\2017-05-05-refined-times.txt</v>
      </c>
      <c r="AI5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ID","value":"146-05"},{"id":16,"name":"Locomotive ID","value":"4041"},{"id":130,"name":"Impact","value":""},{"id":150,"name":"Time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4041 --day 2017-05-05</v>
      </c>
      <c r="AN5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602</v>
      </c>
      <c r="B59" s="7">
        <v>4030</v>
      </c>
      <c r="C59" s="21" t="s">
        <v>210</v>
      </c>
      <c r="D59" s="21" t="s">
        <v>422</v>
      </c>
      <c r="E59" s="13">
        <v>42860.391145833331</v>
      </c>
      <c r="F59" s="13">
        <v>42860.396041666667</v>
      </c>
      <c r="G59" s="7">
        <v>1</v>
      </c>
      <c r="H59" s="21" t="s">
        <v>416</v>
      </c>
      <c r="I59" s="13">
        <v>42860.422094907408</v>
      </c>
      <c r="J59" s="7">
        <v>0</v>
      </c>
      <c r="K59" s="92" t="str">
        <f t="shared" si="0"/>
        <v>4029/4030</v>
      </c>
      <c r="L59" s="21" t="str">
        <f>VLOOKUP(A59,'Trips&amp;Operators'!$C$1:$G$99999,5,FALSE)</f>
        <v>ROBINSON KADDIBA</v>
      </c>
      <c r="M59" s="6">
        <f t="shared" si="1"/>
        <v>2.6053240741021E-2</v>
      </c>
      <c r="N59" s="7">
        <f t="shared" si="23"/>
        <v>37.51666666707024</v>
      </c>
      <c r="O59" s="7"/>
      <c r="P59" s="7"/>
      <c r="Q59" s="22"/>
      <c r="R59" s="190"/>
      <c r="S59" s="196">
        <f t="shared" si="24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-05T08:23:15-0600',mode:absolute,to:'2017-05-05T11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9" s="192" t="str">
        <f t="shared" si="6"/>
        <v>N</v>
      </c>
      <c r="X59" s="192">
        <f t="shared" si="25"/>
        <v>1</v>
      </c>
      <c r="Y59" s="192">
        <f t="shared" si="8"/>
        <v>4.3999999999999997E-2</v>
      </c>
      <c r="Z59" s="192">
        <f t="shared" si="26"/>
        <v>23.331</v>
      </c>
      <c r="AA59" s="192">
        <f t="shared" si="10"/>
        <v>23.286999999999999</v>
      </c>
      <c r="AB59" s="57" t="str">
        <f>VLOOKUP(A59,Enforcements!$C$7:$K$13,8,0)</f>
        <v>Bulletin (2)</v>
      </c>
      <c r="AC59" s="53" t="str">
        <f>VLOOKUP(A59,Enforcements!$C$7:$E$13,3,0)</f>
        <v>GRADE CROSSING</v>
      </c>
      <c r="AD59" s="54" t="str">
        <f t="shared" si="11"/>
        <v>0147-05</v>
      </c>
      <c r="AE59" s="80" t="str">
        <f t="shared" si="12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59" s="77" t="str">
        <f t="shared" si="13"/>
        <v>"C:\Program Files (x86)\AstroGrep\AstroGrep.exe" /e /r /s /spath="%USERPROFILE%\AppData\Local\Temp\OnboardLogs" /stypes="app*4030*20170505*"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147-05 --locoid 4030 --swversion DE.1.0.9.0 --startMP 204:440 --initTime 2017-05-05T09:23:15 --startdatetime 2017-05-05T09:30:18 --delay 1 --endMP 204:233310 --enddatetime 2017-05-05T10:07:49 --enforcementcount 0 &gt;&gt;C:\Users\stu\Documents\GitHub\eaglep3-reporting\EC\2017-05-05-refined-times.txt</v>
      </c>
      <c r="AI5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{"issue":{"subject":"","project_id":79,"tracker_id":40,"status_id":1,"priority_id":2,"assigned_to_id":23,"start_date":"2017-05-05","description":"","custom_fields":[{"id":1,"name":"Subdivision","value":"EC"},{"id":4,"name":"Milepost","value":"23.331"},{"id":17,"name":"Train ID","value":"147-05"},{"id":16,"name":"Locomotive ID","value":"4030"},{"id":130,"name":"Impact","value":""},{"id":150,"name":"Time of Event (Mountain Time)","value":"10:07:49"},{"id":151,"name":"Denver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4030 --day 2017-05-05</v>
      </c>
      <c r="AN5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707</v>
      </c>
      <c r="B60" s="7">
        <v>4029</v>
      </c>
      <c r="C60" s="21" t="s">
        <v>210</v>
      </c>
      <c r="D60" s="21" t="s">
        <v>474</v>
      </c>
      <c r="E60" s="13">
        <v>42860.431435185186</v>
      </c>
      <c r="F60" s="13">
        <v>42860.434895833336</v>
      </c>
      <c r="G60" s="7">
        <v>2</v>
      </c>
      <c r="H60" s="21" t="s">
        <v>402</v>
      </c>
      <c r="I60" s="13">
        <v>42860.461168981485</v>
      </c>
      <c r="J60" s="7">
        <v>0</v>
      </c>
      <c r="K60" s="92" t="str">
        <f t="shared" si="0"/>
        <v>4029/4030</v>
      </c>
      <c r="L60" s="21" t="str">
        <f>VLOOKUP(A60,'Trips&amp;Operators'!$C$1:$G$99999,5,FALSE)</f>
        <v>ROBINSON KADDIBA</v>
      </c>
      <c r="M60" s="6">
        <f t="shared" si="1"/>
        <v>2.6273148148902692E-2</v>
      </c>
      <c r="N60" s="7">
        <f t="shared" si="23"/>
        <v>37.833333334419876</v>
      </c>
      <c r="O60" s="7"/>
      <c r="P60" s="7"/>
      <c r="Q60" s="22"/>
      <c r="R60" s="190"/>
      <c r="S60" s="196">
        <f t="shared" si="24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-05T09:21:16-0600',mode:absolute,to:'2017-05-05T12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192" t="str">
        <f t="shared" si="6"/>
        <v>N</v>
      </c>
      <c r="X60" s="192">
        <f t="shared" si="25"/>
        <v>1</v>
      </c>
      <c r="Y60" s="192">
        <f t="shared" si="8"/>
        <v>23.2989</v>
      </c>
      <c r="Z60" s="192">
        <f t="shared" si="26"/>
        <v>1.4999999999999999E-2</v>
      </c>
      <c r="AA60" s="192">
        <f t="shared" si="10"/>
        <v>23.283899999999999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0148-05</v>
      </c>
      <c r="AE60" s="80" t="str">
        <f t="shared" si="12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60" s="77" t="str">
        <f t="shared" si="13"/>
        <v>"C:\Program Files (x86)\AstroGrep\AstroGrep.exe" /e /r /s /spath="%USERPROFILE%\AppData\Local\Temp\OnboardLogs" /stypes="app*4029*20170505*"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148-05 --locoid 4029 --swversion DE.1.0.9.0 --startMP 204:232989 --initTime 2017-05-05T10:21:16 --startdatetime 2017-05-05T10:26:15 --delay 2 --endMP 204:150 --enddatetime 2017-05-05T11:04:05 --enforcementcount 0 &gt;&gt;C:\Users\stu\Documents\GitHub\eaglep3-reporting\EC\2017-05-05-refined-times.txt</v>
      </c>
      <c r="AI60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ID","value":"148-05"},{"id":16,"name":"Locomotive ID","value":"4029"},{"id":130,"name":"Impact","value":""},{"id":150,"name":"Time of Event (Mountain Time)","value":"11:04:05"},{"id":151,"name":"Denver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4029 --day 2017-05-05</v>
      </c>
      <c r="AN60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603</v>
      </c>
      <c r="B61" s="7">
        <v>4008</v>
      </c>
      <c r="C61" s="21" t="s">
        <v>210</v>
      </c>
      <c r="D61" s="21" t="s">
        <v>429</v>
      </c>
      <c r="E61" s="13">
        <v>42860.403645833336</v>
      </c>
      <c r="F61" s="13">
        <v>42860.406574074077</v>
      </c>
      <c r="G61" s="7">
        <v>2</v>
      </c>
      <c r="H61" s="21" t="s">
        <v>547</v>
      </c>
      <c r="I61" s="13">
        <v>42860.431909722225</v>
      </c>
      <c r="J61" s="7">
        <v>0</v>
      </c>
      <c r="K61" s="92" t="str">
        <f t="shared" si="0"/>
        <v>4007/4008</v>
      </c>
      <c r="L61" s="21" t="str">
        <f>VLOOKUP(A61,'Trips&amp;Operators'!$C$1:$G$99999,5,FALSE)</f>
        <v>STARKS ANGELINA</v>
      </c>
      <c r="M61" s="6">
        <f t="shared" si="1"/>
        <v>2.5335648148029577E-2</v>
      </c>
      <c r="N61" s="7">
        <f t="shared" si="23"/>
        <v>36.483333333162591</v>
      </c>
      <c r="O61" s="7"/>
      <c r="P61" s="7"/>
      <c r="Q61" s="22"/>
      <c r="R61" s="190"/>
      <c r="S61" s="196">
        <f t="shared" si="24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-05T08:41:15-0600',mode:absolute,to:'2017-05-05T11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192" t="str">
        <f t="shared" si="6"/>
        <v>N</v>
      </c>
      <c r="X61" s="192">
        <f t="shared" si="25"/>
        <v>1</v>
      </c>
      <c r="Y61" s="192">
        <f t="shared" si="8"/>
        <v>4.4400000000000002E-2</v>
      </c>
      <c r="Z61" s="192">
        <f t="shared" si="26"/>
        <v>23.330100000000002</v>
      </c>
      <c r="AA61" s="192">
        <f t="shared" si="10"/>
        <v>23.285700000000002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0149-05</v>
      </c>
      <c r="AE61" s="80" t="str">
        <f t="shared" si="12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61" s="77" t="str">
        <f t="shared" si="13"/>
        <v>"C:\Program Files (x86)\AstroGrep\AstroGrep.exe" /e /r /s /spath="%USERPROFILE%\AppData\Local\Temp\OnboardLogs" /stypes="app*4008*20170505*"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149-05 --locoid 4008 --swversion DE.1.0.9.0 --startMP 204:444 --initTime 2017-05-05T09:41:15 --startdatetime 2017-05-05T09:45:28 --delay 2 --endMP 204:233301 --enddatetime 2017-05-05T10:21:57 --enforcementcount 0 &gt;&gt;C:\Users\stu\Documents\GitHub\eaglep3-reporting\EC\2017-05-05-refined-times.txt</v>
      </c>
      <c r="AI6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{"issue":{"subject":"","project_id":79,"tracker_id":40,"status_id":1,"priority_id":2,"assigned_to_id":23,"start_date":"2017-05-05","description":"","custom_fields":[{"id":1,"name":"Subdivision","value":"EC"},{"id":4,"name":"Milepost","value":"23.3301"},{"id":17,"name":"Train ID","value":"149-05"},{"id":16,"name":"Locomotive ID","value":"4008"},{"id":130,"name":"Impact","value":""},{"id":150,"name":"Time of Event (Mountain Time)","value":"10:21:57"},{"id":151,"name":"Denver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4008 --day 2017-05-05</v>
      </c>
      <c r="AN6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708</v>
      </c>
      <c r="B62" s="7">
        <v>4007</v>
      </c>
      <c r="C62" s="21" t="s">
        <v>210</v>
      </c>
      <c r="D62" s="21" t="s">
        <v>421</v>
      </c>
      <c r="E62" s="13">
        <v>42860.433553240742</v>
      </c>
      <c r="F62" s="13">
        <v>42860.445543981485</v>
      </c>
      <c r="G62" s="7">
        <v>1</v>
      </c>
      <c r="H62" s="21" t="s">
        <v>454</v>
      </c>
      <c r="I62" s="13">
        <v>42860.472673611112</v>
      </c>
      <c r="J62" s="7">
        <v>0</v>
      </c>
      <c r="K62" s="92" t="str">
        <f t="shared" si="0"/>
        <v>4007/4008</v>
      </c>
      <c r="L62" s="21" t="str">
        <f>VLOOKUP(A62,'Trips&amp;Operators'!$C$1:$G$99999,5,FALSE)</f>
        <v>STARKS ANGELINA</v>
      </c>
      <c r="M62" s="6">
        <f t="shared" si="1"/>
        <v>2.7129629626870155E-2</v>
      </c>
      <c r="N62" s="7">
        <f t="shared" si="23"/>
        <v>39.066666662693024</v>
      </c>
      <c r="O62" s="7"/>
      <c r="P62" s="7"/>
      <c r="Q62" s="22"/>
      <c r="R62" s="190"/>
      <c r="S62" s="196">
        <f t="shared" si="24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-05T09:24:19-0600',mode:absolute,to:'2017-05-05T12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192" t="str">
        <f t="shared" si="6"/>
        <v>N</v>
      </c>
      <c r="X62" s="192">
        <f t="shared" si="25"/>
        <v>1</v>
      </c>
      <c r="Y62" s="192">
        <f t="shared" si="8"/>
        <v>23.2973</v>
      </c>
      <c r="Z62" s="192">
        <f t="shared" si="26"/>
        <v>1.47E-2</v>
      </c>
      <c r="AA62" s="192">
        <f t="shared" si="10"/>
        <v>23.282599999999999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0150-05</v>
      </c>
      <c r="AE62" s="80" t="str">
        <f t="shared" si="12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62" s="77" t="str">
        <f t="shared" si="13"/>
        <v>"C:\Program Files (x86)\AstroGrep\AstroGrep.exe" /e /r /s /spath="%USERPROFILE%\AppData\Local\Temp\OnboardLogs" /stypes="app*4007*20170505*"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150-05 --locoid 4007 --swversion DE.1.0.9.0 --startMP 204:232973 --initTime 2017-05-05T10:24:19 --startdatetime 2017-05-05T10:41:35 --delay 1 --endMP 204:147 --enddatetime 2017-05-05T11:20:39 --enforcementcount 0 &gt;&gt;C:\Users\stu\Documents\GitHub\eaglep3-reporting\EC\2017-05-05-refined-times.txt</v>
      </c>
      <c r="AI6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{"issue":{"subject":"","project_id":79,"tracker_id":40,"status_id":1,"priority_id":2,"assigned_to_id":23,"start_date":"2017-05-05","description":"","custom_fields":[{"id":1,"name":"Subdivision","value":"EC"},{"id":4,"name":"Milepost","value":"0.0147"},{"id":17,"name":"Train ID","value":"150-05"},{"id":16,"name":"Locomotive ID","value":"4007"},{"id":130,"name":"Impact","value":""},{"id":150,"name":"Time of Event (Mountain Time)","value":"11:20:39"},{"id":151,"name":"Denver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4007 --day 2017-05-05</v>
      </c>
      <c r="AN6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703</v>
      </c>
      <c r="B63" s="7">
        <v>4044</v>
      </c>
      <c r="C63" s="21" t="s">
        <v>210</v>
      </c>
      <c r="D63" s="21" t="s">
        <v>419</v>
      </c>
      <c r="E63" s="13">
        <v>42860.412488425929</v>
      </c>
      <c r="F63" s="13">
        <v>42860.416921296295</v>
      </c>
      <c r="G63" s="7">
        <v>2</v>
      </c>
      <c r="H63" s="21" t="s">
        <v>441</v>
      </c>
      <c r="I63" s="13">
        <v>42860.441655092596</v>
      </c>
      <c r="J63" s="7">
        <v>0</v>
      </c>
      <c r="K63" s="92" t="str">
        <f t="shared" si="0"/>
        <v>4043/4044</v>
      </c>
      <c r="L63" s="21" t="str">
        <f>VLOOKUP(A63,'Trips&amp;Operators'!$C$1:$G$99999,5,FALSE)</f>
        <v>LOZA FIDEL</v>
      </c>
      <c r="M63" s="6">
        <f t="shared" si="1"/>
        <v>2.4733796301006805E-2</v>
      </c>
      <c r="N63" s="7">
        <f t="shared" si="23"/>
        <v>35.616666673449799</v>
      </c>
      <c r="O63" s="7"/>
      <c r="P63" s="7"/>
      <c r="Q63" s="22"/>
      <c r="R63" s="190"/>
      <c r="S63" s="196">
        <f t="shared" si="24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-05T08:53:59-0600',mode:absolute,to:'2017-05-05T11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3" s="192" t="str">
        <f t="shared" si="6"/>
        <v>N</v>
      </c>
      <c r="X63" s="192">
        <f t="shared" si="25"/>
        <v>1</v>
      </c>
      <c r="Y63" s="192">
        <f t="shared" si="8"/>
        <v>4.53E-2</v>
      </c>
      <c r="Z63" s="192">
        <f t="shared" si="26"/>
        <v>23.3308</v>
      </c>
      <c r="AA63" s="192">
        <f t="shared" si="10"/>
        <v>23.285499999999999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0151-05</v>
      </c>
      <c r="AE63" s="80" t="str">
        <f t="shared" si="12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63" s="77" t="str">
        <f t="shared" si="13"/>
        <v>"C:\Program Files (x86)\AstroGrep\AstroGrep.exe" /e /r /s /spath="%USERPROFILE%\AppData\Local\Temp\OnboardLogs" /stypes="app*4044*20170505*"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151-05 --locoid 4044 --swversion DE.1.0.9.0 --startMP 204:453 --initTime 2017-05-05T09:53:59 --startdatetime 2017-05-05T10:00:22 --delay 2 --endMP 204:233308 --enddatetime 2017-05-05T10:35:59 --enforcementcount 0 &gt;&gt;C:\Users\stu\Documents\GitHub\eaglep3-reporting\EC\2017-05-05-refined-times.txt</v>
      </c>
      <c r="AI6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{"issue":{"subject":"","project_id":79,"tracker_id":40,"status_id":1,"priority_id":2,"assigned_to_id":23,"start_date":"2017-05-05","description":"","custom_fields":[{"id":1,"name":"Subdivision","value":"EC"},{"id":4,"name":"Milepost","value":"23.3308"},{"id":17,"name":"Train ID","value":"151-05"},{"id":16,"name":"Locomotive ID","value":"4044"},{"id":130,"name":"Impact","value":""},{"id":150,"name":"Time of Event (Mountain Time)","value":"10:35:59"},{"id":151,"name":"Denver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4044 --day 2017-05-05</v>
      </c>
      <c r="AN6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713</v>
      </c>
      <c r="B64" s="7">
        <v>4043</v>
      </c>
      <c r="C64" s="21" t="s">
        <v>210</v>
      </c>
      <c r="D64" s="21" t="s">
        <v>474</v>
      </c>
      <c r="E64" s="13">
        <v>42860.452256944445</v>
      </c>
      <c r="F64" s="13">
        <v>42860.455810185187</v>
      </c>
      <c r="G64" s="7">
        <v>1</v>
      </c>
      <c r="H64" s="21" t="s">
        <v>203</v>
      </c>
      <c r="I64" s="13">
        <v>42860.481990740744</v>
      </c>
      <c r="J64" s="7">
        <v>0</v>
      </c>
      <c r="K64" s="92" t="str">
        <f t="shared" si="0"/>
        <v>4043/4044</v>
      </c>
      <c r="L64" s="21" t="str">
        <f>VLOOKUP(A64,'Trips&amp;Operators'!$C$1:$G$99999,5,FALSE)</f>
        <v>LOZA FIDEL</v>
      </c>
      <c r="M64" s="6">
        <f t="shared" si="1"/>
        <v>2.6180555556493346E-2</v>
      </c>
      <c r="N64" s="7">
        <f t="shared" si="23"/>
        <v>37.700000001350418</v>
      </c>
      <c r="O64" s="7"/>
      <c r="P64" s="7"/>
      <c r="Q64" s="22"/>
      <c r="R64" s="190"/>
      <c r="S64" s="196">
        <f t="shared" si="24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-05T09:51:15-0600',mode:absolute,to:'2017-05-05T12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4" s="192" t="str">
        <f t="shared" si="6"/>
        <v>N</v>
      </c>
      <c r="X64" s="192">
        <f t="shared" si="25"/>
        <v>1</v>
      </c>
      <c r="Y64" s="192">
        <f t="shared" si="8"/>
        <v>23.2989</v>
      </c>
      <c r="Z64" s="192">
        <f t="shared" si="26"/>
        <v>1.54E-2</v>
      </c>
      <c r="AA64" s="192">
        <f t="shared" si="10"/>
        <v>23.2835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0152-05</v>
      </c>
      <c r="AE64" s="80" t="str">
        <f t="shared" si="12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64" s="77" t="str">
        <f t="shared" si="13"/>
        <v>"C:\Program Files (x86)\AstroGrep\AstroGrep.exe" /e /r /s /spath="%USERPROFILE%\AppData\Local\Temp\OnboardLogs" /stypes="app*4043*20170505*"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152-05 --locoid 4043 --swversion DE.1.0.9.0 --startMP 204:232989 --initTime 2017-05-05T10:51:15 --startdatetime 2017-05-05T10:56:22 --delay 1 --endMP 204:154 --enddatetime 2017-05-05T11:34:04 --enforcementcount 0 &gt;&gt;C:\Users\stu\Documents\GitHub\eaglep3-reporting\EC\2017-05-05-refined-times.txt</v>
      </c>
      <c r="AI6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{"issue":{"subject":"","project_id":79,"tracker_id":40,"status_id":1,"priority_id":2,"assigned_to_id":23,"start_date":"2017-05-05","description":"","custom_fields":[{"id":1,"name":"Subdivision","value":"EC"},{"id":4,"name":"Milepost","value":"0.0154"},{"id":17,"name":"Train ID","value":"152-05"},{"id":16,"name":"Locomotive ID","value":"4043"},{"id":130,"name":"Impact","value":""},{"id":150,"name":"Time of Event (Mountain Time)","value":"11:34:04"},{"id":151,"name":"Denver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4043 --day 2017-05-05</v>
      </c>
      <c r="AN6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705</v>
      </c>
      <c r="B65" s="7">
        <v>4016</v>
      </c>
      <c r="C65" s="21" t="s">
        <v>210</v>
      </c>
      <c r="D65" s="21" t="s">
        <v>413</v>
      </c>
      <c r="E65" s="13">
        <v>42860.422592592593</v>
      </c>
      <c r="F65" s="13">
        <v>42860.427361111113</v>
      </c>
      <c r="G65" s="7">
        <v>1</v>
      </c>
      <c r="H65" s="21" t="s">
        <v>552</v>
      </c>
      <c r="I65" s="13">
        <v>42860.452511574076</v>
      </c>
      <c r="J65" s="7">
        <v>0</v>
      </c>
      <c r="K65" s="92" t="str">
        <f t="shared" si="0"/>
        <v>4015/4016</v>
      </c>
      <c r="L65" s="21" t="str">
        <f>VLOOKUP(A65,'Trips&amp;Operators'!$C$1:$G$99999,5,FALSE)</f>
        <v>THOMPSON LESTER</v>
      </c>
      <c r="M65" s="6">
        <f t="shared" si="1"/>
        <v>2.5150462963210884E-2</v>
      </c>
      <c r="N65" s="7">
        <f t="shared" si="23"/>
        <v>36.216666667023674</v>
      </c>
      <c r="O65" s="7"/>
      <c r="P65" s="7"/>
      <c r="Q65" s="22"/>
      <c r="R65" s="190"/>
      <c r="S65" s="196">
        <f t="shared" si="24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-05T09:08:32-0600',mode:absolute,to:'2017-05-05T11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192" t="str">
        <f t="shared" si="6"/>
        <v>N</v>
      </c>
      <c r="X65" s="192">
        <f t="shared" si="25"/>
        <v>1</v>
      </c>
      <c r="Y65" s="192">
        <f t="shared" si="8"/>
        <v>4.6399999999999997E-2</v>
      </c>
      <c r="Z65" s="192">
        <f t="shared" si="26"/>
        <v>23.329899999999999</v>
      </c>
      <c r="AA65" s="192">
        <f t="shared" si="10"/>
        <v>23.2835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0153-05</v>
      </c>
      <c r="AE65" s="80" t="str">
        <f t="shared" si="12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65" s="77" t="str">
        <f t="shared" si="13"/>
        <v>"C:\Program Files (x86)\AstroGrep\AstroGrep.exe" /e /r /s /spath="%USERPROFILE%\AppData\Local\Temp\OnboardLogs" /stypes="app*4016*20170505*"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153-05 --locoid 4016 --swversion DE.1.0.9.0 --startMP 204:464 --initTime 2017-05-05T10:08:32 --startdatetime 2017-05-05T10:15:24 --delay 1 --endMP 204:233299 --enddatetime 2017-05-05T10:51:37 --enforcementcount 0 &gt;&gt;C:\Users\stu\Documents\GitHub\eaglep3-reporting\EC\2017-05-05-refined-times.txt</v>
      </c>
      <c r="AI6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{"issue":{"subject":"","project_id":79,"tracker_id":40,"status_id":1,"priority_id":2,"assigned_to_id":23,"start_date":"2017-05-05","description":"","custom_fields":[{"id":1,"name":"Subdivision","value":"EC"},{"id":4,"name":"Milepost","value":"23.3299"},{"id":17,"name":"Train ID","value":"153-05"},{"id":16,"name":"Locomotive ID","value":"4016"},{"id":130,"name":"Impact","value":""},{"id":150,"name":"Time of Event (Mountain Time)","value":"10:51:37"},{"id":151,"name":"Denver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4016 --day 2017-05-05</v>
      </c>
      <c r="AN6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717</v>
      </c>
      <c r="B66" s="7">
        <v>4015</v>
      </c>
      <c r="C66" s="21" t="s">
        <v>210</v>
      </c>
      <c r="D66" s="21" t="s">
        <v>436</v>
      </c>
      <c r="E66" s="13">
        <v>42860.46266203704</v>
      </c>
      <c r="F66" s="13">
        <v>42860.466493055559</v>
      </c>
      <c r="G66" s="7">
        <v>1</v>
      </c>
      <c r="H66" s="21" t="s">
        <v>198</v>
      </c>
      <c r="I66" s="13">
        <v>42860.494363425925</v>
      </c>
      <c r="J66" s="7">
        <v>0</v>
      </c>
      <c r="K66" s="92" t="str">
        <f t="shared" si="0"/>
        <v>4015/4016</v>
      </c>
      <c r="L66" s="21" t="str">
        <f>VLOOKUP(A66,'Trips&amp;Operators'!$C$1:$G$99999,5,FALSE)</f>
        <v>THOMPSON LESTER</v>
      </c>
      <c r="M66" s="6">
        <f t="shared" si="1"/>
        <v>2.7870370366144925E-2</v>
      </c>
      <c r="N66" s="7">
        <f t="shared" si="23"/>
        <v>40.133333327248693</v>
      </c>
      <c r="O66" s="7"/>
      <c r="P66" s="7"/>
      <c r="Q66" s="22"/>
      <c r="R66" s="190"/>
      <c r="S66" s="196">
        <f t="shared" si="24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-05T10:06:14-0600',mode:absolute,to:'2017-05-05T12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192" t="str">
        <f t="shared" si="6"/>
        <v>N</v>
      </c>
      <c r="X66" s="192">
        <f t="shared" si="25"/>
        <v>1</v>
      </c>
      <c r="Y66" s="192">
        <f t="shared" si="8"/>
        <v>23.2986</v>
      </c>
      <c r="Z66" s="192">
        <f t="shared" si="26"/>
        <v>1.5800000000000002E-2</v>
      </c>
      <c r="AA66" s="192">
        <f t="shared" si="10"/>
        <v>23.282800000000002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0154-05</v>
      </c>
      <c r="AE66" s="80" t="str">
        <f t="shared" si="12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66" s="77" t="str">
        <f t="shared" si="13"/>
        <v>"C:\Program Files (x86)\AstroGrep\AstroGrep.exe" /e /r /s /spath="%USERPROFILE%\AppData\Local\Temp\OnboardLogs" /stypes="app*4015*20170505*"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154-05 --locoid 4015 --swversion DE.1.0.9.0 --startMP 204:232986 --initTime 2017-05-05T11:06:14 --startdatetime 2017-05-05T11:11:45 --delay 1 --endMP 204:158 --enddatetime 2017-05-05T11:51:53 --enforcementcount 0 &gt;&gt;C:\Users\stu\Documents\GitHub\eaglep3-reporting\EC\2017-05-05-refined-times.txt</v>
      </c>
      <c r="AI6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{"issue":{"subject":"","project_id":79,"tracker_id":40,"status_id":1,"priority_id":2,"assigned_to_id":23,"start_date":"2017-05-05","description":"","custom_fields":[{"id":1,"name":"Subdivision","value":"EC"},{"id":4,"name":"Milepost","value":"0.0158"},{"id":17,"name":"Train ID","value":"154-05"},{"id":16,"name":"Locomotive ID","value":"4015"},{"id":130,"name":"Impact","value":""},{"id":150,"name":"Time of Event (Mountain Time)","value":"11:51:53"},{"id":151,"name":"Denver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4015 --day 2017-05-05</v>
      </c>
      <c r="AN6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709</v>
      </c>
      <c r="B67" s="7">
        <v>4040</v>
      </c>
      <c r="C67" s="21" t="s">
        <v>210</v>
      </c>
      <c r="D67" s="21" t="s">
        <v>431</v>
      </c>
      <c r="E67" s="13">
        <v>42860.433321759258</v>
      </c>
      <c r="F67" s="13">
        <v>42860.437673611108</v>
      </c>
      <c r="G67" s="7">
        <v>2</v>
      </c>
      <c r="H67" s="21" t="s">
        <v>418</v>
      </c>
      <c r="I67" s="13">
        <v>42860.462453703702</v>
      </c>
      <c r="J67" s="7">
        <v>0</v>
      </c>
      <c r="K67" s="92" t="str">
        <f t="shared" si="0"/>
        <v>4039/4040</v>
      </c>
      <c r="L67" s="21" t="str">
        <f>VLOOKUP(A67,'Trips&amp;Operators'!$C$1:$G$99999,5,FALSE)</f>
        <v>GEBRETEKLE DAGNEW</v>
      </c>
      <c r="M67" s="6">
        <f t="shared" si="1"/>
        <v>2.4780092593573499E-2</v>
      </c>
      <c r="N67" s="7">
        <f t="shared" si="23"/>
        <v>35.683333334745839</v>
      </c>
      <c r="O67" s="7"/>
      <c r="P67" s="7"/>
      <c r="Q67" s="22"/>
      <c r="R67" s="190"/>
      <c r="S67" s="196">
        <f t="shared" si="24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-05T09:23:59-0600',mode:absolute,to:'2017-05-05T12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192" t="str">
        <f t="shared" si="6"/>
        <v>N</v>
      </c>
      <c r="X67" s="192">
        <f t="shared" si="25"/>
        <v>1</v>
      </c>
      <c r="Y67" s="192">
        <f t="shared" si="8"/>
        <v>4.4699999999999997E-2</v>
      </c>
      <c r="Z67" s="192">
        <f t="shared" si="26"/>
        <v>23.330400000000001</v>
      </c>
      <c r="AA67" s="192">
        <f t="shared" si="10"/>
        <v>23.285700000000002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0155-05</v>
      </c>
      <c r="AE67" s="80" t="str">
        <f t="shared" si="12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67" s="77" t="str">
        <f t="shared" si="13"/>
        <v>"C:\Program Files (x86)\AstroGrep\AstroGrep.exe" /e /r /s /spath="%USERPROFILE%\AppData\Local\Temp\OnboardLogs" /stypes="app*4040*20170505*"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155-05 --locoid 4040 --swversion DE.1.0.9.0 --startMP 204:447 --initTime 2017-05-05T10:23:59 --startdatetime 2017-05-05T10:30:15 --delay 2 --endMP 204:233304 --enddatetime 2017-05-05T11:05:56 --enforcementcount 0 &gt;&gt;C:\Users\stu\Documents\GitHub\eaglep3-reporting\EC\2017-05-05-refined-times.txt</v>
      </c>
      <c r="AI6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{"issue":{"subject":"","project_id":79,"tracker_id":40,"status_id":1,"priority_id":2,"assigned_to_id":23,"start_date":"2017-05-05","description":"","custom_fields":[{"id":1,"name":"Subdivision","value":"EC"},{"id":4,"name":"Milepost","value":"23.3304"},{"id":17,"name":"Train ID","value":"155-05"},{"id":16,"name":"Locomotive ID","value":"4040"},{"id":130,"name":"Impact","value":""},{"id":150,"name":"Time of Event (Mountain Time)","value":"11:05:56"},{"id":151,"name":"Denver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4040 --day 2017-05-05</v>
      </c>
      <c r="AN6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723</v>
      </c>
      <c r="B68" s="7">
        <v>4039</v>
      </c>
      <c r="C68" s="21" t="s">
        <v>210</v>
      </c>
      <c r="D68" s="21" t="s">
        <v>864</v>
      </c>
      <c r="E68" s="13">
        <v>42860.472511574073</v>
      </c>
      <c r="F68" s="13">
        <v>42860.476550925923</v>
      </c>
      <c r="G68" s="7">
        <v>1</v>
      </c>
      <c r="H68" s="21" t="s">
        <v>385</v>
      </c>
      <c r="I68" s="13">
        <v>42860.502685185187</v>
      </c>
      <c r="J68" s="7">
        <v>0</v>
      </c>
      <c r="K68" s="92" t="str">
        <f t="shared" si="0"/>
        <v>4039/4040</v>
      </c>
      <c r="L68" s="21" t="str">
        <f>VLOOKUP(A68,'Trips&amp;Operators'!$C$1:$G$99999,5,FALSE)</f>
        <v>GEBRETEKLE DAGNEW</v>
      </c>
      <c r="M68" s="6">
        <f t="shared" si="1"/>
        <v>2.6134259263926651E-2</v>
      </c>
      <c r="N68" s="7">
        <f t="shared" si="23"/>
        <v>37.633333340054378</v>
      </c>
      <c r="O68" s="7"/>
      <c r="P68" s="7"/>
      <c r="Q68" s="22"/>
      <c r="R68" s="190"/>
      <c r="S68" s="196">
        <f t="shared" si="24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-05T10:20:25-0600',mode:absolute,to:'2017-05-05T13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192" t="str">
        <f t="shared" si="6"/>
        <v>N</v>
      </c>
      <c r="X68" s="192">
        <f t="shared" si="25"/>
        <v>1</v>
      </c>
      <c r="Y68" s="192">
        <f t="shared" si="8"/>
        <v>23.299800000000001</v>
      </c>
      <c r="Z68" s="192">
        <f t="shared" si="26"/>
        <v>1.6E-2</v>
      </c>
      <c r="AA68" s="192">
        <f t="shared" si="10"/>
        <v>23.283800000000003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0156-05</v>
      </c>
      <c r="AE68" s="80" t="str">
        <f t="shared" si="12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68" s="77" t="str">
        <f t="shared" si="13"/>
        <v>"C:\Program Files (x86)\AstroGrep\AstroGrep.exe" /e /r /s /spath="%USERPROFILE%\AppData\Local\Temp\OnboardLogs" /stypes="app*4039*20170505*"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156-05 --locoid 4039 --swversion DE.1.0.9.0 --startMP 204:232998 --initTime 2017-05-05T11:20:25 --startdatetime 2017-05-05T11:26:14 --delay 1 --endMP 204:160 --enddatetime 2017-05-05T12:03:52 --enforcementcount 0 &gt;&gt;C:\Users\stu\Documents\GitHub\eaglep3-reporting\EC\2017-05-05-refined-times.txt</v>
      </c>
      <c r="AI6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{"issue":{"subject":"","project_id":79,"tracker_id":40,"status_id":1,"priority_id":2,"assigned_to_id":23,"start_date":"2017-05-05","description":"","custom_fields":[{"id":1,"name":"Subdivision","value":"EC"},{"id":4,"name":"Milepost","value":"0.016"},{"id":17,"name":"Train ID","value":"156-05"},{"id":16,"name":"Locomotive ID","value":"4039"},{"id":130,"name":"Impact","value":""},{"id":150,"name":"Time of Event (Mountain Time)","value":"12:03:52"},{"id":151,"name":"Denver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4039 --day 2017-05-05</v>
      </c>
      <c r="AN6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712</v>
      </c>
      <c r="B69" s="7">
        <v>4022</v>
      </c>
      <c r="C69" s="21" t="s">
        <v>210</v>
      </c>
      <c r="D69" s="21" t="s">
        <v>871</v>
      </c>
      <c r="E69" s="13">
        <v>42860.443657407406</v>
      </c>
      <c r="F69" s="13">
        <v>42860.448113425926</v>
      </c>
      <c r="G69" s="7">
        <v>1</v>
      </c>
      <c r="H69" s="21" t="s">
        <v>568</v>
      </c>
      <c r="I69" s="13">
        <v>42860.47320601852</v>
      </c>
      <c r="J69" s="7">
        <v>0</v>
      </c>
      <c r="K69" s="92" t="str">
        <f t="shared" si="0"/>
        <v>4021/4022</v>
      </c>
      <c r="L69" s="21" t="str">
        <f>VLOOKUP(A69,'Trips&amp;Operators'!$C$1:$G$99999,5,FALSE)</f>
        <v>LAMAR NEKESHA</v>
      </c>
      <c r="M69" s="6">
        <f t="shared" si="1"/>
        <v>2.5092592593864538E-2</v>
      </c>
      <c r="N69" s="7">
        <f t="shared" si="23"/>
        <v>36.133333335164934</v>
      </c>
      <c r="O69" s="7"/>
      <c r="P69" s="7"/>
      <c r="Q69" s="22"/>
      <c r="R69" s="190"/>
      <c r="S69" s="196">
        <f t="shared" si="24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-05T09:38:52-0600',mode:absolute,to:'2017-05-05T12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9" s="192" t="str">
        <f t="shared" si="6"/>
        <v>N</v>
      </c>
      <c r="X69" s="192">
        <f t="shared" si="25"/>
        <v>1</v>
      </c>
      <c r="Y69" s="192">
        <f t="shared" si="8"/>
        <v>4.1300000000000003E-2</v>
      </c>
      <c r="Z69" s="192">
        <f t="shared" si="26"/>
        <v>23.330500000000001</v>
      </c>
      <c r="AA69" s="192">
        <f t="shared" si="10"/>
        <v>23.289200000000001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0157-05</v>
      </c>
      <c r="AE69" s="80" t="str">
        <f t="shared" si="12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69" s="77" t="str">
        <f t="shared" si="13"/>
        <v>"C:\Program Files (x86)\AstroGrep\AstroGrep.exe" /e /r /s /spath="%USERPROFILE%\AppData\Local\Temp\OnboardLogs" /stypes="app*4022*20170505*"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157-05 --locoid 4022 --swversion DE.1.0.9.0 --startMP 204:413 --initTime 2017-05-05T10:38:52 --startdatetime 2017-05-05T10:45:17 --delay 1 --endMP 204:233305 --enddatetime 2017-05-05T11:21:25 --enforcementcount 0 &gt;&gt;C:\Users\stu\Documents\GitHub\eaglep3-reporting\EC\2017-05-05-refined-times.txt</v>
      </c>
      <c r="AI69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{"issue":{"subject":"","project_id":79,"tracker_id":40,"status_id":1,"priority_id":2,"assigned_to_id":23,"start_date":"2017-05-05","description":"","custom_fields":[{"id":1,"name":"Subdivision","value":"EC"},{"id":4,"name":"Milepost","value":"23.3305"},{"id":17,"name":"Train ID","value":"157-05"},{"id":16,"name":"Locomotive ID","value":"4022"},{"id":130,"name":"Impact","value":""},{"id":150,"name":"Time of Event (Mountain Time)","value":"11:21:25"},{"id":151,"name":"Denver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4022 --day 2017-05-05</v>
      </c>
      <c r="AN6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725</v>
      </c>
      <c r="B70" s="7">
        <v>4021</v>
      </c>
      <c r="C70" s="21" t="s">
        <v>210</v>
      </c>
      <c r="D70" s="21" t="s">
        <v>872</v>
      </c>
      <c r="E70" s="13">
        <v>42860.484479166669</v>
      </c>
      <c r="F70" s="13">
        <v>42860.486990740741</v>
      </c>
      <c r="G70" s="7">
        <v>2</v>
      </c>
      <c r="H70" s="21" t="s">
        <v>404</v>
      </c>
      <c r="I70" s="13">
        <v>42860.514826388891</v>
      </c>
      <c r="J70" s="7">
        <v>0</v>
      </c>
      <c r="K70" s="92" t="str">
        <f t="shared" si="0"/>
        <v>4021/4022</v>
      </c>
      <c r="L70" s="21" t="str">
        <f>VLOOKUP(A70,'Trips&amp;Operators'!$C$1:$G$99999,5,FALSE)</f>
        <v>LAMAR NEKESHA</v>
      </c>
      <c r="M70" s="6">
        <f t="shared" si="1"/>
        <v>2.7835648150357883E-2</v>
      </c>
      <c r="N70" s="7">
        <f t="shared" si="23"/>
        <v>40.083333336515352</v>
      </c>
      <c r="O70" s="7"/>
      <c r="P70" s="7"/>
      <c r="Q70" s="22"/>
      <c r="R70" s="190"/>
      <c r="S70" s="196">
        <f t="shared" si="24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-05T10:37:39-0600',mode:absolute,to:'2017-05-05T13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0" s="192" t="str">
        <f t="shared" si="6"/>
        <v>N</v>
      </c>
      <c r="X70" s="192">
        <f t="shared" si="25"/>
        <v>1</v>
      </c>
      <c r="Y70" s="192">
        <f t="shared" si="8"/>
        <v>23.299199999999999</v>
      </c>
      <c r="Z70" s="192">
        <f t="shared" si="26"/>
        <v>1.43E-2</v>
      </c>
      <c r="AA70" s="192">
        <f t="shared" si="10"/>
        <v>23.2849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0158-05</v>
      </c>
      <c r="AE70" s="80" t="str">
        <f t="shared" si="12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70" s="77" t="str">
        <f t="shared" si="13"/>
        <v>"C:\Program Files (x86)\AstroGrep\AstroGrep.exe" /e /r /s /spath="%USERPROFILE%\AppData\Local\Temp\OnboardLogs" /stypes="app*4021*20170505*"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158-05 --locoid 4021 --swversion DE.1.0.9.0 --startMP 204:232992 --initTime 2017-05-05T11:37:39 --startdatetime 2017-05-05T11:41:16 --delay 2 --endMP 204:143 --enddatetime 2017-05-05T12:21:21 --enforcementcount 0 &gt;&gt;C:\Users\stu\Documents\GitHub\eaglep3-reporting\EC\2017-05-05-refined-times.txt</v>
      </c>
      <c r="AI70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{"issue":{"subject":"","project_id":79,"tracker_id":40,"status_id":1,"priority_id":2,"assigned_to_id":23,"start_date":"2017-05-05","description":"","custom_fields":[{"id":1,"name":"Subdivision","value":"EC"},{"id":4,"name":"Milepost","value":"0.0143"},{"id":17,"name":"Train ID","value":"158-05"},{"id":16,"name":"Locomotive ID","value":"4021"},{"id":130,"name":"Impact","value":""},{"id":150,"name":"Time of Event (Mountain Time)","value":"12:21:21"},{"id":151,"name":"Denver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4021 --day 2017-05-05</v>
      </c>
      <c r="AN70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714</v>
      </c>
      <c r="B71" s="7">
        <v>4042</v>
      </c>
      <c r="C71" s="21" t="s">
        <v>210</v>
      </c>
      <c r="D71" s="21" t="s">
        <v>873</v>
      </c>
      <c r="E71" s="13">
        <v>42860.454270833332</v>
      </c>
      <c r="F71" s="13">
        <v>42860.458495370367</v>
      </c>
      <c r="G71" s="7">
        <v>1</v>
      </c>
      <c r="H71" s="21" t="s">
        <v>874</v>
      </c>
      <c r="I71" s="13">
        <v>42860.483194444445</v>
      </c>
      <c r="J71" s="7">
        <v>0</v>
      </c>
      <c r="K71" s="92" t="str">
        <f t="shared" si="0"/>
        <v>4041/4042</v>
      </c>
      <c r="L71" s="21" t="str">
        <f>VLOOKUP(A71,'Trips&amp;Operators'!$C$1:$G$99999,5,FALSE)</f>
        <v>LOPES KIMBERLY</v>
      </c>
      <c r="M71" s="6">
        <f t="shared" si="1"/>
        <v>2.4699074077943806E-2</v>
      </c>
      <c r="N71" s="7">
        <f t="shared" si="23"/>
        <v>35.56666667223908</v>
      </c>
      <c r="O71" s="7"/>
      <c r="P71" s="7"/>
      <c r="Q71" s="22"/>
      <c r="R71" s="190"/>
      <c r="S71" s="196">
        <f t="shared" si="24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-05T09:54:09-0600',mode:absolute,to:'2017-05-05T12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192" t="str">
        <f t="shared" si="6"/>
        <v>N</v>
      </c>
      <c r="X71" s="192">
        <f t="shared" si="25"/>
        <v>1</v>
      </c>
      <c r="Y71" s="192">
        <f t="shared" si="8"/>
        <v>4.7800000000000002E-2</v>
      </c>
      <c r="Z71" s="192">
        <f t="shared" si="26"/>
        <v>23.332699999999999</v>
      </c>
      <c r="AA71" s="192">
        <f t="shared" si="10"/>
        <v>23.2849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0159-05</v>
      </c>
      <c r="AE71" s="80" t="str">
        <f t="shared" si="12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71" s="77" t="str">
        <f t="shared" si="13"/>
        <v>"C:\Program Files (x86)\AstroGrep\AstroGrep.exe" /e /r /s /spath="%USERPROFILE%\AppData\Local\Temp\OnboardLogs" /stypes="app*4042*20170505*"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159-05 --locoid 4042 --swversion DE.1.0.9.0 --startMP 204:478 --initTime 2017-05-05T10:54:09 --startdatetime 2017-05-05T11:00:14 --delay 1 --endMP 204:233327 --enddatetime 2017-05-05T11:35:48 --enforcementcount 0 &gt;&gt;C:\Users\stu\Documents\GitHub\eaglep3-reporting\EC\2017-05-05-refined-times.txt</v>
      </c>
      <c r="AI7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{"issue":{"subject":"","project_id":79,"tracker_id":40,"status_id":1,"priority_id":2,"assigned_to_id":23,"start_date":"2017-05-05","description":"","custom_fields":[{"id":1,"name":"Subdivision","value":"EC"},{"id":4,"name":"Milepost","value":"23.3327"},{"id":17,"name":"Train ID","value":"159-05"},{"id":16,"name":"Locomotive ID","value":"4042"},{"id":130,"name":"Impact","value":""},{"id":150,"name":"Time of Event (Mountain Time)","value":"11:35:48"},{"id":151,"name":"Denver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4042 --day 2017-05-05</v>
      </c>
      <c r="AN7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605</v>
      </c>
      <c r="B72" s="7">
        <v>4041</v>
      </c>
      <c r="C72" s="21" t="s">
        <v>210</v>
      </c>
      <c r="D72" s="21" t="s">
        <v>870</v>
      </c>
      <c r="E72" s="13">
        <v>42860.494050925925</v>
      </c>
      <c r="F72" s="13">
        <v>42860.497442129628</v>
      </c>
      <c r="G72" s="7">
        <v>1</v>
      </c>
      <c r="H72" s="21" t="s">
        <v>384</v>
      </c>
      <c r="I72" s="13">
        <v>42860.524675925924</v>
      </c>
      <c r="J72" s="7">
        <v>0</v>
      </c>
      <c r="K72" s="92" t="str">
        <f t="shared" si="0"/>
        <v>4041/4042</v>
      </c>
      <c r="L72" s="21" t="str">
        <f>VLOOKUP(A72,'Trips&amp;Operators'!$C$1:$G$99999,5,FALSE)</f>
        <v>LOPES KIMBERLY</v>
      </c>
      <c r="M72" s="6">
        <f t="shared" si="1"/>
        <v>2.7233796296059154E-2</v>
      </c>
      <c r="N72" s="7">
        <f t="shared" si="23"/>
        <v>39.216666666325182</v>
      </c>
      <c r="O72" s="7"/>
      <c r="P72" s="7"/>
      <c r="Q72" s="22"/>
      <c r="R72" s="190"/>
      <c r="S72" s="196">
        <f t="shared" si="24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-05T10:51:26-0600',mode:absolute,to:'2017-05-05T13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192" t="str">
        <f t="shared" si="6"/>
        <v>N</v>
      </c>
      <c r="X72" s="192">
        <f t="shared" si="25"/>
        <v>1</v>
      </c>
      <c r="Y72" s="192">
        <f t="shared" si="8"/>
        <v>23.299600000000002</v>
      </c>
      <c r="Z72" s="192">
        <f t="shared" si="26"/>
        <v>1.4500000000000001E-2</v>
      </c>
      <c r="AA72" s="192">
        <f t="shared" si="10"/>
        <v>23.2851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0160-05</v>
      </c>
      <c r="AE72" s="80" t="str">
        <f t="shared" si="12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72" s="77" t="str">
        <f t="shared" si="13"/>
        <v>"C:\Program Files (x86)\AstroGrep\AstroGrep.exe" /e /r /s /spath="%USERPROFILE%\AppData\Local\Temp\OnboardLogs" /stypes="app*4041*20170505*"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160-05 --locoid 4041 --swversion DE.1.0.9.0 --startMP 204:232996 --initTime 2017-05-05T11:51:26 --startdatetime 2017-05-05T11:56:19 --delay 1 --endMP 204:145 --enddatetime 2017-05-05T12:35:32 --enforcementcount 0 &gt;&gt;C:\Users\stu\Documents\GitHub\eaglep3-reporting\EC\2017-05-05-refined-times.txt</v>
      </c>
      <c r="AI72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{"issue":{"subject":"","project_id":79,"tracker_id":40,"status_id":1,"priority_id":2,"assigned_to_id":23,"start_date":"2017-05-05","description":"","custom_fields":[{"id":1,"name":"Subdivision","value":"EC"},{"id":4,"name":"Milepost","value":"0.0145"},{"id":17,"name":"Train ID","value":"160-05"},{"id":16,"name":"Locomotive ID","value":"4041"},{"id":130,"name":"Impact","value":""},{"id":150,"name":"Time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4041 --day 2017-05-05</v>
      </c>
      <c r="AN7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718</v>
      </c>
      <c r="B73" s="7">
        <v>4030</v>
      </c>
      <c r="C73" s="21" t="s">
        <v>210</v>
      </c>
      <c r="D73" s="21" t="s">
        <v>413</v>
      </c>
      <c r="E73" s="13">
        <v>42860.463043981479</v>
      </c>
      <c r="F73" s="13">
        <v>42860.468900462962</v>
      </c>
      <c r="G73" s="7">
        <v>2</v>
      </c>
      <c r="H73" s="21" t="s">
        <v>505</v>
      </c>
      <c r="I73" s="13">
        <v>42860.492997685185</v>
      </c>
      <c r="J73" s="7">
        <v>0</v>
      </c>
      <c r="K73" s="92" t="str">
        <f t="shared" si="0"/>
        <v>4029/4030</v>
      </c>
      <c r="L73" s="21" t="str">
        <f>VLOOKUP(A73,'Trips&amp;Operators'!$C$1:$G$99999,5,FALSE)</f>
        <v>ROMERO CHAD</v>
      </c>
      <c r="M73" s="6">
        <f t="shared" si="1"/>
        <v>2.4097222223645076E-2</v>
      </c>
      <c r="N73" s="7">
        <f t="shared" si="23"/>
        <v>34.70000000204891</v>
      </c>
      <c r="O73" s="7"/>
      <c r="P73" s="7"/>
      <c r="Q73" s="22"/>
      <c r="R73" s="190"/>
      <c r="S73" s="196">
        <f t="shared" si="24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-05T10:06:47-0600',mode:absolute,to:'2017-05-05T12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192" t="str">
        <f t="shared" si="6"/>
        <v>N</v>
      </c>
      <c r="X73" s="192">
        <f t="shared" si="25"/>
        <v>1</v>
      </c>
      <c r="Y73" s="192">
        <f t="shared" si="8"/>
        <v>4.6399999999999997E-2</v>
      </c>
      <c r="Z73" s="192">
        <f t="shared" si="26"/>
        <v>23.336600000000001</v>
      </c>
      <c r="AA73" s="192">
        <f t="shared" si="10"/>
        <v>23.290200000000002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0161-05</v>
      </c>
      <c r="AE73" s="80" t="str">
        <f t="shared" si="12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73" s="77" t="str">
        <f t="shared" si="13"/>
        <v>"C:\Program Files (x86)\AstroGrep\AstroGrep.exe" /e /r /s /spath="%USERPROFILE%\AppData\Local\Temp\OnboardLogs" /stypes="app*4030*20170505*"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161-05 --locoid 4030 --swversion DE.1.0.9.0 --startMP 204:464 --initTime 2017-05-05T11:06:47 --startdatetime 2017-05-05T11:15:13 --delay 2 --endMP 204:233366 --enddatetime 2017-05-05T11:49:55 --enforcementcount 0 &gt;&gt;C:\Users\stu\Documents\GitHub\eaglep3-reporting\EC\2017-05-05-refined-times.txt</v>
      </c>
      <c r="AI7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{"issue":{"subject":"","project_id":79,"tracker_id":40,"status_id":1,"priority_id":2,"assigned_to_id":23,"start_date":"2017-05-05","description":"","custom_fields":[{"id":1,"name":"Subdivision","value":"EC"},{"id":4,"name":"Milepost","value":"23.3366"},{"id":17,"name":"Train ID","value":"161-05"},{"id":16,"name":"Locomotive ID","value":"4030"},{"id":130,"name":"Impact","value":""},{"id":150,"name":"Time of Event (Mountain Time)","value":"11:49:55"},{"id":151,"name":"Denver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4030 --day 2017-05-05</v>
      </c>
      <c r="AN7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726</v>
      </c>
      <c r="B74" s="7">
        <v>4029</v>
      </c>
      <c r="C74" s="21" t="s">
        <v>210</v>
      </c>
      <c r="D74" s="21" t="s">
        <v>875</v>
      </c>
      <c r="E74" s="13">
        <v>42860.494699074072</v>
      </c>
      <c r="F74" s="13">
        <v>42860.507881944446</v>
      </c>
      <c r="G74" s="7">
        <v>1</v>
      </c>
      <c r="H74" s="21" t="s">
        <v>454</v>
      </c>
      <c r="I74" s="13">
        <v>42860.533055555556</v>
      </c>
      <c r="J74" s="7">
        <v>0</v>
      </c>
      <c r="K74" s="92" t="str">
        <f t="shared" si="0"/>
        <v>4029/4030</v>
      </c>
      <c r="L74" s="21" t="str">
        <f>VLOOKUP(A74,'Trips&amp;Operators'!$C$1:$G$99999,5,FALSE)</f>
        <v>ROMERO CHAD</v>
      </c>
      <c r="M74" s="6">
        <f t="shared" si="1"/>
        <v>2.5173611109494232E-2</v>
      </c>
      <c r="N74" s="7">
        <f t="shared" si="23"/>
        <v>36.249999997671694</v>
      </c>
      <c r="O74" s="7"/>
      <c r="P74" s="7"/>
      <c r="Q74" s="22"/>
      <c r="R74" s="190"/>
      <c r="S74" s="196">
        <f t="shared" si="24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-05T10:52:22-0600',mode:absolute,to:'2017-05-05T13:47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192" t="str">
        <f t="shared" si="6"/>
        <v>N</v>
      </c>
      <c r="X74" s="192">
        <f t="shared" si="25"/>
        <v>1</v>
      </c>
      <c r="Y74" s="192">
        <f t="shared" si="8"/>
        <v>23.3034</v>
      </c>
      <c r="Z74" s="192">
        <f t="shared" si="26"/>
        <v>1.47E-2</v>
      </c>
      <c r="AA74" s="192">
        <f t="shared" si="10"/>
        <v>23.288699999999999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0162-05</v>
      </c>
      <c r="AE74" s="80" t="str">
        <f t="shared" si="12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74" s="77" t="str">
        <f t="shared" si="13"/>
        <v>"C:\Program Files (x86)\AstroGrep\AstroGrep.exe" /e /r /s /spath="%USERPROFILE%\AppData\Local\Temp\OnboardLogs" /stypes="app*4029*20170505*"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162-05 --locoid 4029 --swversion DE.1.0.9.0 --startMP 204:233034 --initTime 2017-05-05T11:52:22 --startdatetime 2017-05-05T12:11:21 --delay 1 --endMP 204:147 --enddatetime 2017-05-05T12:47:36 --enforcementcount 0 &gt;&gt;C:\Users\stu\Documents\GitHub\eaglep3-reporting\EC\2017-05-05-refined-times.txt</v>
      </c>
      <c r="AI74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{"issue":{"subject":"","project_id":79,"tracker_id":40,"status_id":1,"priority_id":2,"assigned_to_id":23,"start_date":"2017-05-05","description":"","custom_fields":[{"id":1,"name":"Subdivision","value":"EC"},{"id":4,"name":"Milepost","value":"0.0147"},{"id":17,"name":"Train ID","value":"162-05"},{"id":16,"name":"Locomotive ID","value":"4029"},{"id":130,"name":"Impact","value":""},{"id":150,"name":"Time of Event (Mountain Time)","value":"12:47:36"},{"id":151,"name":"Denver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4029 --day 2017-05-05</v>
      </c>
      <c r="AN7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18:47:36"},{"id":29,"name":"Sharepoint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724</v>
      </c>
      <c r="B75" s="7">
        <v>4008</v>
      </c>
      <c r="C75" s="21" t="s">
        <v>210</v>
      </c>
      <c r="D75" s="21" t="s">
        <v>876</v>
      </c>
      <c r="E75" s="13">
        <v>42860.476215277777</v>
      </c>
      <c r="F75" s="13">
        <v>42860.479317129626</v>
      </c>
      <c r="G75" s="7">
        <v>2</v>
      </c>
      <c r="H75" s="21" t="s">
        <v>458</v>
      </c>
      <c r="I75" s="13">
        <v>42860.505983796298</v>
      </c>
      <c r="J75" s="7">
        <v>0</v>
      </c>
      <c r="K75" s="92" t="str">
        <f t="shared" si="0"/>
        <v>4007/4008</v>
      </c>
      <c r="L75" s="21" t="str">
        <f>VLOOKUP(A75,'Trips&amp;Operators'!$C$1:$G$99999,5,FALSE)</f>
        <v>CLARK KATHLEEN</v>
      </c>
      <c r="M75" s="6">
        <f t="shared" si="1"/>
        <v>2.6666666672099382E-2</v>
      </c>
      <c r="N75" s="7">
        <f t="shared" si="23"/>
        <v>38.40000000782311</v>
      </c>
      <c r="O75" s="7"/>
      <c r="P75" s="7"/>
      <c r="Q75" s="22"/>
      <c r="R75" s="190"/>
      <c r="S75" s="196">
        <f t="shared" si="24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-05T10:25:45-0600',mode:absolute,to:'2017-05-05T13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5" s="192" t="str">
        <f t="shared" si="6"/>
        <v>N</v>
      </c>
      <c r="X75" s="192">
        <f t="shared" si="25"/>
        <v>1</v>
      </c>
      <c r="Y75" s="192">
        <f t="shared" si="8"/>
        <v>4.8800000000000003E-2</v>
      </c>
      <c r="Z75" s="192">
        <f t="shared" si="26"/>
        <v>23.330200000000001</v>
      </c>
      <c r="AA75" s="192">
        <f t="shared" si="10"/>
        <v>23.281400000000001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0163-05</v>
      </c>
      <c r="AE75" s="80" t="str">
        <f t="shared" si="12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75" s="77" t="str">
        <f t="shared" si="13"/>
        <v>"C:\Program Files (x86)\AstroGrep\AstroGrep.exe" /e /r /s /spath="%USERPROFILE%\AppData\Local\Temp\OnboardLogs" /stypes="app*4008*20170505*"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163-05 --locoid 4008 --swversion DE.1.0.9.0 --startMP 204:488 --initTime 2017-05-05T11:25:45 --startdatetime 2017-05-05T11:30:13 --delay 2 --endMP 204:233302 --enddatetime 2017-05-05T12:08:37 --enforcementcount 0 &gt;&gt;C:\Users\stu\Documents\GitHub\eaglep3-reporting\EC\2017-05-05-refined-times.txt</v>
      </c>
      <c r="AI7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{"issue":{"subject":"","project_id":79,"tracker_id":40,"status_id":1,"priority_id":2,"assigned_to_id":23,"start_date":"2017-05-05","description":"","custom_fields":[{"id":1,"name":"Subdivision","value":"EC"},{"id":4,"name":"Milepost","value":"23.3302"},{"id":17,"name":"Train ID","value":"163-05"},{"id":16,"name":"Locomotive ID","value":"4008"},{"id":130,"name":"Impact","value":""},{"id":150,"name":"Time of Event (Mountain Time)","value":"12:08:37"},{"id":151,"name":"Denver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4008 --day 2017-05-05</v>
      </c>
      <c r="AN7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730</v>
      </c>
      <c r="B76" s="7">
        <v>4007</v>
      </c>
      <c r="C76" s="21" t="s">
        <v>210</v>
      </c>
      <c r="D76" s="21" t="s">
        <v>455</v>
      </c>
      <c r="E76" s="13">
        <v>42860.513368055559</v>
      </c>
      <c r="F76" s="13">
        <v>42860.518217592595</v>
      </c>
      <c r="G76" s="7">
        <v>1</v>
      </c>
      <c r="H76" s="21" t="s">
        <v>877</v>
      </c>
      <c r="I76" s="13">
        <v>42860.546087962961</v>
      </c>
      <c r="J76" s="7">
        <v>0</v>
      </c>
      <c r="K76" s="92" t="str">
        <f t="shared" si="0"/>
        <v>4007/4008</v>
      </c>
      <c r="L76" s="21" t="str">
        <f>VLOOKUP(A76,'Trips&amp;Operators'!$C$1:$G$99999,5,FALSE)</f>
        <v>CLARK KATHLEEN</v>
      </c>
      <c r="M76" s="6">
        <f t="shared" si="1"/>
        <v>2.7870370366144925E-2</v>
      </c>
      <c r="N76" s="7">
        <f t="shared" si="23"/>
        <v>40.133333327248693</v>
      </c>
      <c r="O76" s="7"/>
      <c r="P76" s="7"/>
      <c r="Q76" s="22"/>
      <c r="R76" s="190"/>
      <c r="S76" s="196">
        <f t="shared" si="24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-05T11:19:15-0600',mode:absolute,to:'2017-05-05T14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192" t="str">
        <f t="shared" si="6"/>
        <v>N</v>
      </c>
      <c r="X76" s="192">
        <f t="shared" si="25"/>
        <v>1</v>
      </c>
      <c r="Y76" s="192">
        <f t="shared" si="8"/>
        <v>23.298100000000002</v>
      </c>
      <c r="Z76" s="192">
        <f t="shared" si="26"/>
        <v>1.78E-2</v>
      </c>
      <c r="AA76" s="192">
        <f t="shared" si="10"/>
        <v>23.2803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0164-05</v>
      </c>
      <c r="AE76" s="80" t="str">
        <f t="shared" si="12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76" s="77" t="str">
        <f t="shared" si="13"/>
        <v>"C:\Program Files (x86)\AstroGrep\AstroGrep.exe" /e /r /s /spath="%USERPROFILE%\AppData\Local\Temp\OnboardLogs" /stypes="app*4007*20170505*"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164-05 --locoid 4007 --swversion DE.1.0.9.0 --startMP 204:232981 --initTime 2017-05-05T12:19:15 --startdatetime 2017-05-05T12:26:14 --delay 1 --endMP 204:178 --enddatetime 2017-05-05T13:06:22 --enforcementcount 0 &gt;&gt;C:\Users\stu\Documents\GitHub\eaglep3-reporting\EC\2017-05-05-refined-times.txt</v>
      </c>
      <c r="AI76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{"issue":{"subject":"","project_id":79,"tracker_id":40,"status_id":1,"priority_id":2,"assigned_to_id":23,"start_date":"2017-05-05","description":"","custom_fields":[{"id":1,"name":"Subdivision","value":"EC"},{"id":4,"name":"Milepost","value":"0.0178"},{"id":17,"name":"Train ID","value":"164-05"},{"id":16,"name":"Locomotive ID","value":"4007"},{"id":130,"name":"Impact","value":""},{"id":150,"name":"Time of Event (Mountain Time)","value":"13:06:22"},{"id":151,"name":"Denver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4007 --day 2017-05-05</v>
      </c>
      <c r="AN7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606</v>
      </c>
      <c r="B77" s="7">
        <v>4044</v>
      </c>
      <c r="C77" s="21" t="s">
        <v>210</v>
      </c>
      <c r="D77" s="21" t="s">
        <v>366</v>
      </c>
      <c r="E77" s="13">
        <v>42860.486134259256</v>
      </c>
      <c r="F77" s="13">
        <v>42860.489803240744</v>
      </c>
      <c r="G77" s="7">
        <v>1</v>
      </c>
      <c r="H77" s="21" t="s">
        <v>428</v>
      </c>
      <c r="I77" s="13">
        <v>42860.513726851852</v>
      </c>
      <c r="J77" s="7">
        <v>0</v>
      </c>
      <c r="K77" s="92" t="str">
        <f t="shared" ref="K77:K140" si="27">IF(ISEVEN(B77),(B77-1)&amp;"/"&amp;B77,B77&amp;"/"&amp;(B77+1))</f>
        <v>4043/4044</v>
      </c>
      <c r="L77" s="21" t="str">
        <f>VLOOKUP(A77,'Trips&amp;Operators'!$C$1:$G$99999,5,FALSE)</f>
        <v>BRUDER RICHARD</v>
      </c>
      <c r="M77" s="6">
        <f t="shared" ref="M77:M140" si="28">I77-F77</f>
        <v>2.3923611108330078E-2</v>
      </c>
      <c r="N77" s="7">
        <f t="shared" ref="N77:N98" si="29">24*60*SUM($M77:$M77)</f>
        <v>34.449999995995313</v>
      </c>
      <c r="O77" s="7"/>
      <c r="P77" s="7"/>
      <c r="Q77" s="22"/>
      <c r="R77" s="190"/>
      <c r="S77" s="196">
        <f t="shared" ref="S77:S98" si="30">SUM(U77:U77)/IF(AG77="EC",12,1)</f>
        <v>1</v>
      </c>
      <c r="T77" s="190" t="str">
        <f t="shared" ref="T77:T140" si="31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-05T10:40:02-0600',mode:absolute,to:'2017-05-05T13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7" s="192" t="str">
        <f t="shared" ref="W77:W140" si="33">IF(AA77&lt;IF(AG77="EC",23,5.65),"Y","N")</f>
        <v>N</v>
      </c>
      <c r="X77" s="192">
        <f t="shared" ref="X77:X108" si="34">VALUE(LEFT(AD77,4))-VALUE(LEFT(AD76,4))</f>
        <v>1</v>
      </c>
      <c r="Y77" s="192">
        <f t="shared" ref="Y77:Y140" si="35">RIGHT(D77,LEN(D77)-4)/10000</f>
        <v>4.4900000000000002E-2</v>
      </c>
      <c r="Z77" s="192">
        <f t="shared" ref="Z77:Z108" si="36">RIGHT(H77,LEN(H77)-4)/10000</f>
        <v>23.3293</v>
      </c>
      <c r="AA77" s="192">
        <f t="shared" ref="AA77:AA140" si="37">ABS(Z77-Y77)</f>
        <v>23.284400000000002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8">IF(LEN(A77)=6,"0"&amp;A77,A77)</f>
        <v>0165-05</v>
      </c>
      <c r="AE77" s="80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77" s="77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/stypes="app*4044*20170505*"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165-05 --locoid 4044 --swversion DE.1.0.9.0 --startMP 204:449 --initTime 2017-05-05T11:40:02 --startdatetime 2017-05-05T11:45:19 --delay 1 --endMP 204:233293 --enddatetime 2017-05-05T12:19:46 --enforcementcount 0 &gt;&gt;C:\Users\stu\Documents\GitHub\eaglep3-reporting\EC\2017-05-05-refined-times.txt</v>
      </c>
      <c r="AI77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{"issue":{"subject":"","project_id":79,"tracker_id":40,"status_id":1,"priority_id":2,"assigned_to_id":23,"start_date":"2017-05-05","description":"","custom_fields":[{"id":1,"name":"Subdivision","value":"EC"},{"id":4,"name":"Milepost","value":"23.3293"},{"id":17,"name":"Train ID","value":"165-05"},{"id":16,"name":"Locomotive ID","value":"4044"},{"id":130,"name":"Impact","value":""},{"id":150,"name":"Time of Event (Mountain Time)","value":"12:19:46"},{"id":151,"name":"Denver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4044 --day 2017-05-05</v>
      </c>
      <c r="AN7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732</v>
      </c>
      <c r="B78" s="7">
        <v>4043</v>
      </c>
      <c r="C78" s="21" t="s">
        <v>210</v>
      </c>
      <c r="D78" s="21" t="s">
        <v>861</v>
      </c>
      <c r="E78" s="13">
        <v>42860.522581018522</v>
      </c>
      <c r="F78" s="13">
        <v>42860.528645833336</v>
      </c>
      <c r="G78" s="7">
        <v>3</v>
      </c>
      <c r="H78" s="21" t="s">
        <v>197</v>
      </c>
      <c r="I78" s="13">
        <v>42860.556145833332</v>
      </c>
      <c r="J78" s="7">
        <v>0</v>
      </c>
      <c r="K78" s="92" t="str">
        <f t="shared" si="27"/>
        <v>4043/4044</v>
      </c>
      <c r="L78" s="21" t="str">
        <f>VLOOKUP(A78,'Trips&amp;Operators'!$C$1:$G$99999,5,FALSE)</f>
        <v>BRUDER RICHARD</v>
      </c>
      <c r="M78" s="6">
        <f t="shared" si="28"/>
        <v>2.749999999650754E-2</v>
      </c>
      <c r="N78" s="7">
        <f t="shared" si="29"/>
        <v>39.599999994970858</v>
      </c>
      <c r="O78" s="7"/>
      <c r="P78" s="7"/>
      <c r="Q78" s="22"/>
      <c r="R78" s="190"/>
      <c r="S78" s="196">
        <f t="shared" si="30"/>
        <v>1</v>
      </c>
      <c r="T78" s="190" t="str">
        <f t="shared" si="31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2"/>
        <v>https://d0f6bd738d7f1b3e5a7ca70fe4ff75f0.us-east-1.aws.found.io/app/kibana#/discover/Steve-Slow-Train-Analysis-(2080s-and-2083s)?_g=(refreshInterval:(display:Off,pause:!f,section:0,value:0),time:(from:'2017-05-05T11:32:31-0600',mode:absolute,to:'2017-05-05T14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8" s="192" t="str">
        <f t="shared" si="33"/>
        <v>N</v>
      </c>
      <c r="X78" s="192">
        <f t="shared" si="34"/>
        <v>1</v>
      </c>
      <c r="Y78" s="192">
        <f t="shared" si="35"/>
        <v>23.298999999999999</v>
      </c>
      <c r="Z78" s="192">
        <f t="shared" si="36"/>
        <v>1.52E-2</v>
      </c>
      <c r="AA78" s="192">
        <f t="shared" si="37"/>
        <v>23.283799999999999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8"/>
        <v>0166-05</v>
      </c>
      <c r="AE78" s="80" t="str">
        <f t="shared" si="39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78" s="77" t="str">
        <f t="shared" si="40"/>
        <v>"C:\Program Files (x86)\AstroGrep\AstroGrep.exe" /e /r /s /spath="%USERPROFILE%\AppData\Local\Temp\OnboardLogs" /stypes="app*4043*20170505*" /stext=" 19:.+((SYSTEM_STATE.+slice.+state.+changed )|(ment ac)|(multiple cpu faults)|(system.+state.+changed )|(\[timeout)|(PRM\|1\|D)|(kpr)|(kdp)|(train st.+moving)|(\|lc)|(penalty))"</v>
      </c>
      <c r="AG78" s="1" t="str">
        <f t="shared" si="41"/>
        <v>EC</v>
      </c>
      <c r="AH78" s="81" t="str">
        <f t="shared" ref="AH78:AH141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166-05 --locoid 4043 --swversion DE.1.0.9.0 --startMP 204:232990 --initTime 2017-05-05T12:32:31 --startdatetime 2017-05-05T12:41:15 --delay 3 --endMP 204:152 --enddatetime 2017-05-05T13:20:51 --enforcementcount 0 &gt;&gt;C:\Users\stu\Documents\GitHub\eaglep3-reporting\EC\2017-05-05-refined-times.txt</v>
      </c>
      <c r="AI78" s="99" t="str">
        <f t="shared" ref="AI78:AI141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{"issue":{"subject":"","project_id":79,"tracker_id":40,"status_id":1,"priority_id":2,"assigned_to_id":23,"start_date":"2017-05-05","description":"","custom_fields":[{"id":1,"name":"Subdivision","value":"EC"},{"id":4,"name":"Milepost","value":"0.0152"},{"id":17,"name":"Train ID","value":"166-05"},{"id":16,"name":"Locomotive ID","value":"4043"},{"id":130,"name":"Impact","value":""},{"id":150,"name":"Time of Event (Mountain Time)","value":"13:20:51"},{"id":151,"name":"Denver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44">"start /low /b "&amp;dls3logs&amp;" --loco "&amp;B78&amp;" --day "&amp;TEXT(F78,"YYYY-MM-DD")</f>
        <v>start /low /b %USERPROFILE%\Documents\GitHub\eaglep3\Utilities\DownloadLogsFromS3.py --loco 4043 --day 2017-05-05</v>
      </c>
      <c r="AN78" s="154" t="str">
        <f t="shared" ref="AN78:AN141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727</v>
      </c>
      <c r="B79" s="7">
        <v>4016</v>
      </c>
      <c r="C79" s="21" t="s">
        <v>210</v>
      </c>
      <c r="D79" s="21" t="s">
        <v>380</v>
      </c>
      <c r="E79" s="13">
        <v>42860.497847222221</v>
      </c>
      <c r="F79" s="13">
        <v>42860.500150462962</v>
      </c>
      <c r="G79" s="7">
        <v>1</v>
      </c>
      <c r="H79" s="21" t="s">
        <v>554</v>
      </c>
      <c r="I79" s="13">
        <v>42860.525104166663</v>
      </c>
      <c r="J79" s="7">
        <v>0</v>
      </c>
      <c r="K79" s="92" t="str">
        <f t="shared" si="27"/>
        <v>4015/4016</v>
      </c>
      <c r="L79" s="21" t="str">
        <f>VLOOKUP(A79,'Trips&amp;Operators'!$C$1:$G$99999,5,FALSE)</f>
        <v>BIRENBAUM THOMAS</v>
      </c>
      <c r="M79" s="6">
        <f t="shared" si="28"/>
        <v>2.495370370161254E-2</v>
      </c>
      <c r="N79" s="7">
        <f t="shared" si="29"/>
        <v>35.933333330322057</v>
      </c>
      <c r="O79" s="7"/>
      <c r="P79" s="7"/>
      <c r="Q79" s="22"/>
      <c r="R79" s="190"/>
      <c r="S79" s="196">
        <f t="shared" si="30"/>
        <v>1</v>
      </c>
      <c r="T79" s="190" t="str">
        <f t="shared" si="31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2"/>
        <v>https://d0f6bd738d7f1b3e5a7ca70fe4ff75f0.us-east-1.aws.found.io/app/kibana#/discover/Steve-Slow-Train-Analysis-(2080s-and-2083s)?_g=(refreshInterval:(display:Off,pause:!f,section:0,value:0),time:(from:'2017-05-05T10:56:54-0600',mode:absolute,to:'2017-05-05T13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192" t="str">
        <f t="shared" si="33"/>
        <v>N</v>
      </c>
      <c r="X79" s="192">
        <f t="shared" si="34"/>
        <v>1</v>
      </c>
      <c r="Y79" s="192">
        <f t="shared" si="35"/>
        <v>4.6199999999999998E-2</v>
      </c>
      <c r="Z79" s="192">
        <f t="shared" si="36"/>
        <v>23.331499999999998</v>
      </c>
      <c r="AA79" s="192">
        <f t="shared" si="37"/>
        <v>23.285299999999999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8"/>
        <v>0167-05</v>
      </c>
      <c r="AE79" s="80" t="str">
        <f t="shared" si="39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79" s="77" t="str">
        <f t="shared" si="40"/>
        <v>"C:\Program Files (x86)\AstroGrep\AstroGrep.exe" /e /r /s /spath="%USERPROFILE%\AppData\Local\Temp\OnboardLogs" /stypes="app*4016*20170505*" /stext=" 18:.+((SYSTEM_STATE.+slice.+state.+changed )|(ment ac)|(multiple cpu faults)|(system.+state.+changed )|(\[timeout)|(PRM\|1\|D)|(kpr)|(kdp)|(train st.+moving)|(\|lc)|(penalty))"</v>
      </c>
      <c r="AG79" s="1" t="str">
        <f t="shared" si="41"/>
        <v>EC</v>
      </c>
      <c r="AH79" s="81" t="str">
        <f t="shared" si="42"/>
        <v>"%USERPROFILE%\Documents\GitHub\eaglep3\Utilities\RefineRTDCRunTimes.py" --tripid 167-05 --locoid 4016 --swversion DE.1.0.9.0 --startMP 204:462 --initTime 2017-05-05T11:56:54 --startdatetime 2017-05-05T12:00:13 --delay 1 --endMP 204:233315 --enddatetime 2017-05-05T12:36:09 --enforcementcount 0 &gt;&gt;C:\Users\stu\Documents\GitHub\eaglep3-reporting\EC\2017-05-05-refined-times.txt</v>
      </c>
      <c r="AI7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{"issue":{"subject":"","project_id":79,"tracker_id":40,"status_id":1,"priority_id":2,"assigned_to_id":23,"start_date":"2017-05-05","description":"","custom_fields":[{"id":1,"name":"Subdivision","value":"EC"},{"id":4,"name":"Milepost","value":"23.3315"},{"id":17,"name":"Train ID","value":"167-05"},{"id":16,"name":"Locomotive ID","value":"4016"},{"id":130,"name":"Impact","value":""},{"id":150,"name":"Time of Event (Mountain Time)","value":"12:36:09"},{"id":151,"name":"Denver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4"/>
        <v>start /low /b %USERPROFILE%\Documents\GitHub\eaglep3\Utilities\DownloadLogsFromS3.py --loco 4016 --day 2017-05-05</v>
      </c>
      <c r="AN79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737</v>
      </c>
      <c r="B80" s="7">
        <v>4015</v>
      </c>
      <c r="C80" s="21" t="s">
        <v>210</v>
      </c>
      <c r="D80" s="21" t="s">
        <v>500</v>
      </c>
      <c r="E80" s="13">
        <v>42860.534513888888</v>
      </c>
      <c r="F80" s="13">
        <v>42860.5390625</v>
      </c>
      <c r="G80" s="7">
        <v>1</v>
      </c>
      <c r="H80" s="21" t="s">
        <v>403</v>
      </c>
      <c r="I80" s="13">
        <v>42860.566817129627</v>
      </c>
      <c r="J80" s="7">
        <v>0</v>
      </c>
      <c r="K80" s="92" t="str">
        <f t="shared" si="27"/>
        <v>4015/4016</v>
      </c>
      <c r="L80" s="21" t="str">
        <f>VLOOKUP(A80,'Trips&amp;Operators'!$C$1:$G$99999,5,FALSE)</f>
        <v>BIRENBAUM THOMAS</v>
      </c>
      <c r="M80" s="6">
        <f t="shared" si="28"/>
        <v>2.7754629627452232E-2</v>
      </c>
      <c r="N80" s="7">
        <f t="shared" si="29"/>
        <v>39.966666663531214</v>
      </c>
      <c r="O80" s="7"/>
      <c r="P80" s="7"/>
      <c r="Q80" s="22"/>
      <c r="R80" s="190"/>
      <c r="S80" s="196">
        <f t="shared" si="30"/>
        <v>1</v>
      </c>
      <c r="T80" s="190" t="str">
        <f t="shared" si="31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2"/>
        <v>https://d0f6bd738d7f1b3e5a7ca70fe4ff75f0.us-east-1.aws.found.io/app/kibana#/discover/Steve-Slow-Train-Analysis-(2080s-and-2083s)?_g=(refreshInterval:(display:Off,pause:!f,section:0,value:0),time:(from:'2017-05-05T11:49:42-0600',mode:absolute,to:'2017-05-05T14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192" t="str">
        <f t="shared" si="33"/>
        <v>N</v>
      </c>
      <c r="X80" s="192">
        <f t="shared" si="34"/>
        <v>1</v>
      </c>
      <c r="Y80" s="192">
        <f t="shared" si="35"/>
        <v>23.300999999999998</v>
      </c>
      <c r="Z80" s="192">
        <f t="shared" si="36"/>
        <v>1.49E-2</v>
      </c>
      <c r="AA80" s="192">
        <f t="shared" si="37"/>
        <v>23.286099999999998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8"/>
        <v>0168-05</v>
      </c>
      <c r="AE80" s="80" t="str">
        <f t="shared" si="39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80" s="77" t="str">
        <f t="shared" si="40"/>
        <v>"C:\Program Files (x86)\AstroGrep\AstroGrep.exe" /e /r /s /spath="%USERPROFILE%\AppData\Local\Temp\OnboardLogs" /stypes="app*4015*20170505*" /stext=" 19:.+((SYSTEM_STATE.+slice.+state.+changed )|(ment ac)|(multiple cpu faults)|(system.+state.+changed )|(\[timeout)|(PRM\|1\|D)|(kpr)|(kdp)|(train st.+moving)|(\|lc)|(penalty))"</v>
      </c>
      <c r="AG80" s="1" t="str">
        <f t="shared" si="41"/>
        <v>EC</v>
      </c>
      <c r="AH80" s="81" t="str">
        <f t="shared" si="42"/>
        <v>"%USERPROFILE%\Documents\GitHub\eaglep3\Utilities\RefineRTDCRunTimes.py" --tripid 168-05 --locoid 4015 --swversion DE.1.0.9.0 --startMP 204:233010 --initTime 2017-05-05T12:49:42 --startdatetime 2017-05-05T12:56:15 --delay 1 --endMP 204:149 --enddatetime 2017-05-05T13:36:13 --enforcementcount 0 &gt;&gt;C:\Users\stu\Documents\GitHub\eaglep3-reporting\EC\2017-05-05-refined-times.txt</v>
      </c>
      <c r="AI8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{"issue":{"subject":"","project_id":79,"tracker_id":40,"status_id":1,"priority_id":2,"assigned_to_id":23,"start_date":"2017-05-05","description":"","custom_fields":[{"id":1,"name":"Subdivision","value":"EC"},{"id":4,"name":"Milepost","value":"0.0149"},{"id":17,"name":"Train ID","value":"168-05"},{"id":16,"name":"Locomotive ID","value":"4015"},{"id":130,"name":"Impact","value":""},{"id":150,"name":"Time of Event (Mountain Time)","value":"13:36:13"},{"id":151,"name":"Denver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4"/>
        <v>start /low /b %USERPROFILE%\Documents\GitHub\eaglep3\Utilities\DownloadLogsFromS3.py --loco 4015 --day 2017-05-05</v>
      </c>
      <c r="AN80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728</v>
      </c>
      <c r="B81" s="7">
        <v>4040</v>
      </c>
      <c r="C81" s="21" t="s">
        <v>210</v>
      </c>
      <c r="D81" s="21" t="s">
        <v>560</v>
      </c>
      <c r="E81" s="13">
        <v>42860.505185185182</v>
      </c>
      <c r="F81" s="13">
        <v>42860.510706018518</v>
      </c>
      <c r="G81" s="7">
        <v>2</v>
      </c>
      <c r="H81" s="21" t="s">
        <v>878</v>
      </c>
      <c r="I81" s="13">
        <v>42860.536747685182</v>
      </c>
      <c r="J81" s="7">
        <v>0</v>
      </c>
      <c r="K81" s="92" t="str">
        <f t="shared" si="27"/>
        <v>4039/4040</v>
      </c>
      <c r="L81" s="21" t="str">
        <f>VLOOKUP(A81,'Trips&amp;Operators'!$C$1:$G$99999,5,FALSE)</f>
        <v>BRANDNER MELINDA</v>
      </c>
      <c r="M81" s="6">
        <f t="shared" si="28"/>
        <v>2.6041666664241347E-2</v>
      </c>
      <c r="N81" s="7">
        <f t="shared" si="29"/>
        <v>37.49999999650754</v>
      </c>
      <c r="O81" s="7"/>
      <c r="P81" s="7"/>
      <c r="Q81" s="22"/>
      <c r="R81" s="190"/>
      <c r="S81" s="196">
        <f t="shared" si="30"/>
        <v>1</v>
      </c>
      <c r="T81" s="190" t="str">
        <f t="shared" si="31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2"/>
        <v>https://d0f6bd738d7f1b3e5a7ca70fe4ff75f0.us-east-1.aws.found.io/app/kibana#/discover/Steve-Slow-Train-Analysis-(2080s-and-2083s)?_g=(refreshInterval:(display:Off,pause:!f,section:0,value:0),time:(from:'2017-05-05T11:07:28-0600',mode:absolute,to:'2017-05-05T13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1" s="192" t="str">
        <f t="shared" si="33"/>
        <v>N</v>
      </c>
      <c r="X81" s="192">
        <f t="shared" si="34"/>
        <v>1</v>
      </c>
      <c r="Y81" s="192">
        <f t="shared" si="35"/>
        <v>4.5499999999999999E-2</v>
      </c>
      <c r="Z81" s="192">
        <f t="shared" si="36"/>
        <v>23.342600000000001</v>
      </c>
      <c r="AA81" s="192">
        <f t="shared" si="37"/>
        <v>23.2971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8"/>
        <v>0169-05</v>
      </c>
      <c r="AE81" s="80" t="str">
        <f t="shared" si="39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81" s="77" t="str">
        <f t="shared" si="40"/>
        <v>"C:\Program Files (x86)\AstroGrep\AstroGrep.exe" /e /r /s /spath="%USERPROFILE%\AppData\Local\Temp\OnboardLogs" /stypes="app*4040*20170505*" /stext=" 18:.+((SYSTEM_STATE.+slice.+state.+changed )|(ment ac)|(multiple cpu faults)|(system.+state.+changed )|(\[timeout)|(PRM\|1\|D)|(kpr)|(kdp)|(train st.+moving)|(\|lc)|(penalty))"</v>
      </c>
      <c r="AG81" s="1" t="str">
        <f t="shared" si="41"/>
        <v>EC</v>
      </c>
      <c r="AH81" s="81" t="str">
        <f t="shared" si="42"/>
        <v>"%USERPROFILE%\Documents\GitHub\eaglep3\Utilities\RefineRTDCRunTimes.py" --tripid 169-05 --locoid 4040 --swversion DE.1.0.9.0 --startMP 204:455 --initTime 2017-05-05T12:07:28 --startdatetime 2017-05-05T12:15:25 --delay 2 --endMP 204:233426 --enddatetime 2017-05-05T12:52:55 --enforcementcount 0 &gt;&gt;C:\Users\stu\Documents\GitHub\eaglep3-reporting\EC\2017-05-05-refined-times.txt</v>
      </c>
      <c r="AI8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{"issue":{"subject":"","project_id":79,"tracker_id":40,"status_id":1,"priority_id":2,"assigned_to_id":23,"start_date":"2017-05-05","description":"","custom_fields":[{"id":1,"name":"Subdivision","value":"EC"},{"id":4,"name":"Milepost","value":"23.3426"},{"id":17,"name":"Train ID","value":"169-05"},{"id":16,"name":"Locomotive ID","value":"4040"},{"id":130,"name":"Impact","value":""},{"id":150,"name":"Time of Event (Mountain Time)","value":"12:52:55"},{"id":151,"name":"Denver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4"/>
        <v>start /low /b %USERPROFILE%\Documents\GitHub\eaglep3\Utilities\DownloadLogsFromS3.py --loco 4040 --day 2017-05-05</v>
      </c>
      <c r="AN81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741</v>
      </c>
      <c r="B82" s="7">
        <v>4039</v>
      </c>
      <c r="C82" s="21" t="s">
        <v>210</v>
      </c>
      <c r="D82" s="21" t="s">
        <v>566</v>
      </c>
      <c r="E82" s="13">
        <v>42860.543090277781</v>
      </c>
      <c r="F82" s="13">
        <v>42860.584722222222</v>
      </c>
      <c r="G82" s="7">
        <v>1</v>
      </c>
      <c r="H82" s="21" t="s">
        <v>404</v>
      </c>
      <c r="I82" s="13">
        <v>42860.610810185186</v>
      </c>
      <c r="J82" s="7">
        <v>0</v>
      </c>
      <c r="K82" s="92" t="str">
        <f t="shared" si="27"/>
        <v>4039/4040</v>
      </c>
      <c r="L82" s="21" t="str">
        <f>VLOOKUP(A82,'Trips&amp;Operators'!$C$1:$G$99999,5,FALSE)</f>
        <v>BRANDNER MELINDA</v>
      </c>
      <c r="M82" s="6">
        <f t="shared" si="28"/>
        <v>2.6087962964083999E-2</v>
      </c>
      <c r="N82" s="7">
        <f t="shared" si="29"/>
        <v>37.566666668280959</v>
      </c>
      <c r="O82" s="7"/>
      <c r="P82" s="7"/>
      <c r="Q82" s="22"/>
      <c r="R82" s="190"/>
      <c r="S82" s="196">
        <f t="shared" si="30"/>
        <v>1</v>
      </c>
      <c r="T82" s="190" t="str">
        <f t="shared" si="31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2"/>
        <v>https://d0f6bd738d7f1b3e5a7ca70fe4ff75f0.us-east-1.aws.found.io/app/kibana#/discover/Steve-Slow-Train-Analysis-(2080s-and-2083s)?_g=(refreshInterval:(display:Off,pause:!f,section:0,value:0),time:(from:'2017-05-05T12:02:03-0600',mode:absolute,to:'2017-05-05T15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2" s="192" t="str">
        <f t="shared" si="33"/>
        <v>N</v>
      </c>
      <c r="X82" s="192">
        <f t="shared" si="34"/>
        <v>1</v>
      </c>
      <c r="Y82" s="192">
        <f t="shared" si="35"/>
        <v>23.304600000000001</v>
      </c>
      <c r="Z82" s="192">
        <f t="shared" si="36"/>
        <v>1.43E-2</v>
      </c>
      <c r="AA82" s="192">
        <f t="shared" si="37"/>
        <v>23.290300000000002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8"/>
        <v>0170-05</v>
      </c>
      <c r="AE82" s="80" t="str">
        <f t="shared" si="39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82" s="77" t="str">
        <f t="shared" si="40"/>
        <v>"C:\Program Files (x86)\AstroGrep\AstroGrep.exe" /e /r /s /spath="%USERPROFILE%\AppData\Local\Temp\OnboardLogs" /stypes="app*4039*20170505*" /stext=" 20:.+((SYSTEM_STATE.+slice.+state.+changed )|(ment ac)|(multiple cpu faults)|(system.+state.+changed )|(\[timeout)|(PRM\|1\|D)|(kpr)|(kdp)|(train st.+moving)|(\|lc)|(penalty))"</v>
      </c>
      <c r="AG82" s="1" t="str">
        <f t="shared" si="41"/>
        <v>EC</v>
      </c>
      <c r="AH82" s="81" t="str">
        <f t="shared" si="42"/>
        <v>"%USERPROFILE%\Documents\GitHub\eaglep3\Utilities\RefineRTDCRunTimes.py" --tripid 170-05 --locoid 4039 --swversion DE.1.0.9.0 --startMP 204:233046 --initTime 2017-05-05T13:02:03 --startdatetime 2017-05-05T14:02:00 --delay 1 --endMP 204:143 --enddatetime 2017-05-05T14:39:34 --enforcementcount 0 &gt;&gt;C:\Users\stu\Documents\GitHub\eaglep3-reporting\EC\2017-05-05-refined-times.txt</v>
      </c>
      <c r="AI8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{"issue":{"subject":"","project_id":79,"tracker_id":40,"status_id":1,"priority_id":2,"assigned_to_id":23,"start_date":"2017-05-05","description":"","custom_fields":[{"id":1,"name":"Subdivision","value":"EC"},{"id":4,"name":"Milepost","value":"0.0143"},{"id":17,"name":"Train ID","value":"170-05"},{"id":16,"name":"Locomotive ID","value":"4039"},{"id":130,"name":"Impact","value":""},{"id":150,"name":"Time of Event (Mountain Time)","value":"14:39:34"},{"id":151,"name":"Denver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4"/>
        <v>start /low /b %USERPROFILE%\Documents\GitHub\eaglep3\Utilities\DownloadLogsFromS3.py --loco 4039 --day 2017-05-05</v>
      </c>
      <c r="AN82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731</v>
      </c>
      <c r="B83" s="7">
        <v>4022</v>
      </c>
      <c r="C83" s="21" t="s">
        <v>210</v>
      </c>
      <c r="D83" s="21" t="s">
        <v>408</v>
      </c>
      <c r="E83" s="13">
        <v>42860.518692129626</v>
      </c>
      <c r="F83" s="13">
        <v>42860.521064814813</v>
      </c>
      <c r="G83" s="7">
        <v>1</v>
      </c>
      <c r="H83" s="21" t="s">
        <v>860</v>
      </c>
      <c r="I83" s="13">
        <v>42860.546030092592</v>
      </c>
      <c r="J83" s="7">
        <v>0</v>
      </c>
      <c r="K83" s="92" t="str">
        <f t="shared" si="27"/>
        <v>4021/4022</v>
      </c>
      <c r="L83" s="21" t="str">
        <f>VLOOKUP(A83,'Trips&amp;Operators'!$C$1:$G$99999,5,FALSE)</f>
        <v>MOSES BRADLEY</v>
      </c>
      <c r="M83" s="6">
        <f t="shared" si="28"/>
        <v>2.4965277778392192E-2</v>
      </c>
      <c r="N83" s="7">
        <f t="shared" si="29"/>
        <v>35.950000000884756</v>
      </c>
      <c r="O83" s="7"/>
      <c r="P83" s="7"/>
      <c r="Q83" s="22"/>
      <c r="R83" s="190"/>
      <c r="S83" s="196">
        <f t="shared" si="30"/>
        <v>1</v>
      </c>
      <c r="T83" s="190" t="str">
        <f t="shared" si="31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2"/>
        <v>https://d0f6bd738d7f1b3e5a7ca70fe4ff75f0.us-east-1.aws.found.io/app/kibana#/discover/Steve-Slow-Train-Analysis-(2080s-and-2083s)?_g=(refreshInterval:(display:Off,pause:!f,section:0,value:0),time:(from:'2017-05-05T11:26:55-0600',mode:absolute,to:'2017-05-05T14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3" s="192" t="str">
        <f t="shared" si="33"/>
        <v>N</v>
      </c>
      <c r="X83" s="192">
        <f t="shared" si="34"/>
        <v>1</v>
      </c>
      <c r="Y83" s="192">
        <f t="shared" si="35"/>
        <v>4.5100000000000001E-2</v>
      </c>
      <c r="Z83" s="192">
        <f t="shared" si="36"/>
        <v>23.331199999999999</v>
      </c>
      <c r="AA83" s="192">
        <f t="shared" si="37"/>
        <v>23.286099999999998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8"/>
        <v>0171-05</v>
      </c>
      <c r="AE83" s="80" t="str">
        <f t="shared" si="39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83" s="77" t="str">
        <f t="shared" si="40"/>
        <v>"C:\Program Files (x86)\AstroGrep\AstroGrep.exe" /e /r /s /spath="%USERPROFILE%\AppData\Local\Temp\OnboardLogs" /stypes="app*4022*20170505*" /stext=" 19:.+((SYSTEM_STATE.+slice.+state.+changed )|(ment ac)|(multiple cpu faults)|(system.+state.+changed )|(\[timeout)|(PRM\|1\|D)|(kpr)|(kdp)|(train st.+moving)|(\|lc)|(penalty))"</v>
      </c>
      <c r="AG83" s="1" t="str">
        <f t="shared" si="41"/>
        <v>EC</v>
      </c>
      <c r="AH83" s="81" t="str">
        <f t="shared" si="42"/>
        <v>"%USERPROFILE%\Documents\GitHub\eaglep3\Utilities\RefineRTDCRunTimes.py" --tripid 171-05 --locoid 4022 --swversion DE.1.0.9.0 --startMP 204:451 --initTime 2017-05-05T12:26:55 --startdatetime 2017-05-05T12:30:20 --delay 1 --endMP 204:233312 --enddatetime 2017-05-05T13:06:17 --enforcementcount 0 &gt;&gt;C:\Users\stu\Documents\GitHub\eaglep3-reporting\EC\2017-05-05-refined-times.txt</v>
      </c>
      <c r="AI8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{"issue":{"subject":"","project_id":79,"tracker_id":40,"status_id":1,"priority_id":2,"assigned_to_id":23,"start_date":"2017-05-05","description":"","custom_fields":[{"id":1,"name":"Subdivision","value":"EC"},{"id":4,"name":"Milepost","value":"23.3312"},{"id":17,"name":"Train ID","value":"171-05"},{"id":16,"name":"Locomotive ID","value":"4022"},{"id":130,"name":"Impact","value":""},{"id":150,"name":"Time of Event (Mountain Time)","value":"13:06:17"},{"id":151,"name":"Denver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4"/>
        <v>start /low /b %USERPROFILE%\Documents\GitHub\eaglep3\Utilities\DownloadLogsFromS3.py --loco 4022 --day 2017-05-05</v>
      </c>
      <c r="AN83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2" t="s">
        <v>607</v>
      </c>
      <c r="B84" s="7">
        <v>4021</v>
      </c>
      <c r="C84" s="21" t="s">
        <v>210</v>
      </c>
      <c r="D84" s="21" t="s">
        <v>545</v>
      </c>
      <c r="E84" s="13">
        <v>42860.554803240739</v>
      </c>
      <c r="F84" s="13">
        <v>42860.559942129628</v>
      </c>
      <c r="G84" s="7">
        <v>1</v>
      </c>
      <c r="H84" s="21" t="s">
        <v>879</v>
      </c>
      <c r="I84" s="13">
        <v>42860.589687500003</v>
      </c>
      <c r="J84" s="7">
        <v>0</v>
      </c>
      <c r="K84" s="92" t="str">
        <f t="shared" si="27"/>
        <v>4021/4022</v>
      </c>
      <c r="L84" s="21" t="str">
        <f>VLOOKUP(A84,'Trips&amp;Operators'!$C$1:$G$99999,5,FALSE)</f>
        <v>MOSES BRADLEY</v>
      </c>
      <c r="M84" s="6">
        <f t="shared" si="28"/>
        <v>2.9745370375167113E-2</v>
      </c>
      <c r="N84" s="7">
        <f t="shared" si="29"/>
        <v>42.833333340240642</v>
      </c>
      <c r="O84" s="7"/>
      <c r="P84" s="7"/>
      <c r="Q84" s="22"/>
      <c r="R84" s="190"/>
      <c r="S84" s="196">
        <f t="shared" si="30"/>
        <v>1</v>
      </c>
      <c r="T84" s="190" t="str">
        <f t="shared" si="31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2"/>
        <v>https://d0f6bd738d7f1b3e5a7ca70fe4ff75f0.us-east-1.aws.found.io/app/kibana#/discover/Steve-Slow-Train-Analysis-(2080s-and-2083s)?_g=(refreshInterval:(display:Off,pause:!f,section:0,value:0),time:(from:'2017-05-05T12:18:55-0600',mode:absolute,to:'2017-05-05T15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4" s="192" t="str">
        <f t="shared" si="33"/>
        <v>N</v>
      </c>
      <c r="X84" s="192">
        <f t="shared" si="34"/>
        <v>1</v>
      </c>
      <c r="Y84" s="192">
        <f t="shared" si="35"/>
        <v>23.300599999999999</v>
      </c>
      <c r="Z84" s="192">
        <f t="shared" si="36"/>
        <v>2.5100000000000001E-2</v>
      </c>
      <c r="AA84" s="192">
        <f t="shared" si="37"/>
        <v>23.275500000000001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8"/>
        <v>0172-05</v>
      </c>
      <c r="AE84" s="80" t="str">
        <f t="shared" si="39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84" s="77" t="str">
        <f t="shared" si="40"/>
        <v>"C:\Program Files (x86)\AstroGrep\AstroGrep.exe" /e /r /s /spath="%USERPROFILE%\AppData\Local\Temp\OnboardLogs" /stypes="app*4021*20170505*" /stext=" 20:.+((SYSTEM_STATE.+slice.+state.+changed )|(ment ac)|(multiple cpu faults)|(system.+state.+changed )|(\[timeout)|(PRM\|1\|D)|(kpr)|(kdp)|(train st.+moving)|(\|lc)|(penalty))"</v>
      </c>
      <c r="AG84" s="1" t="str">
        <f t="shared" si="41"/>
        <v>EC</v>
      </c>
      <c r="AH84" s="81" t="str">
        <f t="shared" si="42"/>
        <v>"%USERPROFILE%\Documents\GitHub\eaglep3\Utilities\RefineRTDCRunTimes.py" --tripid 172-05 --locoid 4021 --swversion DE.1.0.9.0 --startMP 204:233006 --initTime 2017-05-05T13:18:55 --startdatetime 2017-05-05T13:26:19 --delay 1 --endMP 204:251 --enddatetime 2017-05-05T14:09:09 --enforcementcount 0 &gt;&gt;C:\Users\stu\Documents\GitHub\eaglep3-reporting\EC\2017-05-05-refined-times.txt</v>
      </c>
      <c r="AI8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{"issue":{"subject":"","project_id":79,"tracker_id":40,"status_id":1,"priority_id":2,"assigned_to_id":23,"start_date":"2017-05-05","description":"","custom_fields":[{"id":1,"name":"Subdivision","value":"EC"},{"id":4,"name":"Milepost","value":"0.0251"},{"id":17,"name":"Train ID","value":"172-05"},{"id":16,"name":"Locomotive ID","value":"4021"},{"id":130,"name":"Impact","value":""},{"id":150,"name":"Time of Event (Mountain Time)","value":"14:09:09"},{"id":151,"name":"Denver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7"/>
      <c r="AL84" s="47"/>
      <c r="AM84" s="145" t="str">
        <f t="shared" si="44"/>
        <v>start /low /b %USERPROFILE%\Documents\GitHub\eaglep3\Utilities\DownloadLogsFromS3.py --loco 4021 --day 2017-05-05</v>
      </c>
      <c r="AN84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734</v>
      </c>
      <c r="B85" s="7">
        <v>4042</v>
      </c>
      <c r="C85" s="21" t="s">
        <v>210</v>
      </c>
      <c r="D85" s="21" t="s">
        <v>472</v>
      </c>
      <c r="E85" s="13">
        <v>42860.526759259257</v>
      </c>
      <c r="F85" s="13">
        <v>42860.531527777777</v>
      </c>
      <c r="G85" s="7">
        <v>1</v>
      </c>
      <c r="H85" s="21" t="s">
        <v>507</v>
      </c>
      <c r="I85" s="13">
        <v>42860.555694444447</v>
      </c>
      <c r="J85" s="7">
        <v>0</v>
      </c>
      <c r="K85" s="92" t="str">
        <f t="shared" si="27"/>
        <v>4041/4042</v>
      </c>
      <c r="L85" s="21" t="str">
        <f>VLOOKUP(A85,'Trips&amp;Operators'!$C$1:$G$99999,5,FALSE)</f>
        <v>MCREYNOLDS KYLE</v>
      </c>
      <c r="M85" s="6">
        <f t="shared" si="28"/>
        <v>2.4166666669771075E-2</v>
      </c>
      <c r="N85" s="7">
        <f t="shared" si="29"/>
        <v>34.800000004470348</v>
      </c>
      <c r="O85" s="7"/>
      <c r="P85" s="7"/>
      <c r="Q85" s="22"/>
      <c r="R85" s="190"/>
      <c r="S85" s="196">
        <f t="shared" si="30"/>
        <v>1</v>
      </c>
      <c r="T85" s="190" t="str">
        <f t="shared" si="31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2"/>
        <v>https://d0f6bd738d7f1b3e5a7ca70fe4ff75f0.us-east-1.aws.found.io/app/kibana#/discover/Steve-Slow-Train-Analysis-(2080s-and-2083s)?_g=(refreshInterval:(display:Off,pause:!f,section:0,value:0),time:(from:'2017-05-05T11:38:32-0600',mode:absolute,to:'2017-05-05T14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5" s="192" t="str">
        <f t="shared" si="33"/>
        <v>N</v>
      </c>
      <c r="X85" s="192">
        <f t="shared" si="34"/>
        <v>1</v>
      </c>
      <c r="Y85" s="192">
        <f t="shared" si="35"/>
        <v>4.7100000000000003E-2</v>
      </c>
      <c r="Z85" s="192">
        <f t="shared" si="36"/>
        <v>23.331099999999999</v>
      </c>
      <c r="AA85" s="192">
        <f t="shared" si="37"/>
        <v>23.283999999999999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8"/>
        <v>0173-05</v>
      </c>
      <c r="AE85" s="80" t="str">
        <f t="shared" si="39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85" s="77" t="str">
        <f t="shared" si="40"/>
        <v>"C:\Program Files (x86)\AstroGrep\AstroGrep.exe" /e /r /s /spath="%USERPROFILE%\AppData\Local\Temp\OnboardLogs" /stypes="app*4042*20170505*" /stext=" 19:.+((SYSTEM_STATE.+slice.+state.+changed )|(ment ac)|(multiple cpu faults)|(system.+state.+changed )|(\[timeout)|(PRM\|1\|D)|(kpr)|(kdp)|(train st.+moving)|(\|lc)|(penalty))"</v>
      </c>
      <c r="AG85" s="1" t="str">
        <f t="shared" si="41"/>
        <v>EC</v>
      </c>
      <c r="AH85" s="81" t="str">
        <f t="shared" si="42"/>
        <v>"%USERPROFILE%\Documents\GitHub\eaglep3\Utilities\RefineRTDCRunTimes.py" --tripid 173-05 --locoid 4042 --swversion DE.1.0.9.0 --startMP 204:471 --initTime 2017-05-05T12:38:32 --startdatetime 2017-05-05T12:45:24 --delay 1 --endMP 204:233311 --enddatetime 2017-05-05T13:20:12 --enforcementcount 0 &gt;&gt;C:\Users\stu\Documents\GitHub\eaglep3-reporting\EC\2017-05-05-refined-times.txt</v>
      </c>
      <c r="AI85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{"issue":{"subject":"","project_id":79,"tracker_id":40,"status_id":1,"priority_id":2,"assigned_to_id":23,"start_date":"2017-05-05","description":"","custom_fields":[{"id":1,"name":"Subdivision","value":"EC"},{"id":4,"name":"Milepost","value":"23.3311"},{"id":17,"name":"Train ID","value":"173-05"},{"id":16,"name":"Locomotive ID","value":"4042"},{"id":130,"name":"Impact","value":""},{"id":150,"name":"Time of Event (Mountain Time)","value":"13:20:12"},{"id":151,"name":"Denver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4"/>
        <v>start /low /b %USERPROFILE%\Documents\GitHub\eaglep3\Utilities\DownloadLogsFromS3.py --loco 4042 --day 2017-05-05</v>
      </c>
      <c r="AN85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2" t="s">
        <v>745</v>
      </c>
      <c r="B86" s="7">
        <v>4041</v>
      </c>
      <c r="C86" s="21" t="s">
        <v>210</v>
      </c>
      <c r="D86" s="21" t="s">
        <v>872</v>
      </c>
      <c r="E86" s="13">
        <v>42860.560555555552</v>
      </c>
      <c r="F86" s="13">
        <v>42860.5703125</v>
      </c>
      <c r="G86" s="7">
        <v>2</v>
      </c>
      <c r="H86" s="21" t="s">
        <v>402</v>
      </c>
      <c r="I86" s="13">
        <v>42860.598055555558</v>
      </c>
      <c r="J86" s="7">
        <v>0</v>
      </c>
      <c r="K86" s="92" t="str">
        <f t="shared" si="27"/>
        <v>4041/4042</v>
      </c>
      <c r="L86" s="21" t="str">
        <f>VLOOKUP(A86,'Trips&amp;Operators'!$C$1:$G$99999,5,FALSE)</f>
        <v>MCREYNOLDS KYLE</v>
      </c>
      <c r="M86" s="6">
        <f t="shared" si="28"/>
        <v>2.7743055557948537E-2</v>
      </c>
      <c r="N86" s="7">
        <f t="shared" si="29"/>
        <v>39.950000003445894</v>
      </c>
      <c r="O86" s="7"/>
      <c r="P86" s="7"/>
      <c r="Q86" s="22"/>
      <c r="R86" s="190"/>
      <c r="S86" s="196">
        <f t="shared" si="30"/>
        <v>1</v>
      </c>
      <c r="T86" s="190" t="str">
        <f t="shared" si="31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2"/>
        <v>https://d0f6bd738d7f1b3e5a7ca70fe4ff75f0.us-east-1.aws.found.io/app/kibana#/discover/Steve-Slow-Train-Analysis-(2080s-and-2083s)?_g=(refreshInterval:(display:Off,pause:!f,section:0,value:0),time:(from:'2017-05-05T12:27:12-0600',mode:absolute,to:'2017-05-05T15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6" s="192" t="str">
        <f t="shared" si="33"/>
        <v>N</v>
      </c>
      <c r="X86" s="192">
        <f t="shared" si="34"/>
        <v>1</v>
      </c>
      <c r="Y86" s="192">
        <f t="shared" si="35"/>
        <v>23.299199999999999</v>
      </c>
      <c r="Z86" s="192">
        <f t="shared" si="36"/>
        <v>1.4999999999999999E-2</v>
      </c>
      <c r="AA86" s="192">
        <f t="shared" si="37"/>
        <v>23.284199999999998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8"/>
        <v>0174-05</v>
      </c>
      <c r="AE86" s="80" t="str">
        <f t="shared" si="39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86" s="77" t="str">
        <f t="shared" si="40"/>
        <v>"C:\Program Files (x86)\AstroGrep\AstroGrep.exe" /e /r /s /spath="%USERPROFILE%\AppData\Local\Temp\OnboardLogs" /stypes="app*4041*20170505*" /stext=" 20:.+((SYSTEM_STATE.+slice.+state.+changed )|(ment ac)|(multiple cpu faults)|(system.+state.+changed )|(\[timeout)|(PRM\|1\|D)|(kpr)|(kdp)|(train st.+moving)|(\|lc)|(penalty))"</v>
      </c>
      <c r="AG86" s="1" t="str">
        <f t="shared" si="41"/>
        <v>EC</v>
      </c>
      <c r="AH86" s="81" t="str">
        <f t="shared" si="42"/>
        <v>"%USERPROFILE%\Documents\GitHub\eaglep3\Utilities\RefineRTDCRunTimes.py" --tripid 174-05 --locoid 4041 --swversion DE.1.0.9.0 --startMP 204:232992 --initTime 2017-05-05T13:27:12 --startdatetime 2017-05-05T13:41:15 --delay 2 --endMP 204:150 --enddatetime 2017-05-05T14:21:12 --enforcementcount 0 &gt;&gt;C:\Users\stu\Documents\GitHub\eaglep3-reporting\EC\2017-05-05-refined-times.txt</v>
      </c>
      <c r="AI86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ID","value":"174-05"},{"id":16,"name":"Locomotive ID","value":"4041"},{"id":130,"name":"Impact","value":""},{"id":150,"name":"Time of Event (Mountain Time)","value":"14:21:12"},{"id":151,"name":"Denver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4"/>
        <v>start /low /b %USERPROFILE%\Documents\GitHub\eaglep3\Utilities\DownloadLogsFromS3.py --loco 4041 --day 2017-05-05</v>
      </c>
      <c r="AN86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2" t="s">
        <v>738</v>
      </c>
      <c r="B87" s="7">
        <v>4030</v>
      </c>
      <c r="C87" s="21" t="s">
        <v>210</v>
      </c>
      <c r="D87" s="21" t="s">
        <v>419</v>
      </c>
      <c r="E87" s="13">
        <v>42860.534791666665</v>
      </c>
      <c r="F87" s="13">
        <v>42860.542025462964</v>
      </c>
      <c r="G87" s="7">
        <v>1</v>
      </c>
      <c r="H87" s="21" t="s">
        <v>505</v>
      </c>
      <c r="I87" s="13">
        <v>42860.567453703705</v>
      </c>
      <c r="J87" s="7">
        <v>0</v>
      </c>
      <c r="K87" s="92" t="str">
        <f t="shared" si="27"/>
        <v>4029/4030</v>
      </c>
      <c r="L87" s="21" t="str">
        <f>VLOOKUP(A87,'Trips&amp;Operators'!$C$1:$G$99999,5,FALSE)</f>
        <v>DELGADO DIANAH</v>
      </c>
      <c r="M87" s="6">
        <f t="shared" si="28"/>
        <v>2.5428240740438923E-2</v>
      </c>
      <c r="N87" s="7">
        <f t="shared" si="29"/>
        <v>36.616666666232049</v>
      </c>
      <c r="O87" s="7"/>
      <c r="P87" s="7"/>
      <c r="Q87" s="22"/>
      <c r="R87" s="190"/>
      <c r="S87" s="196">
        <f t="shared" si="30"/>
        <v>1</v>
      </c>
      <c r="T87" s="190" t="str">
        <f t="shared" si="31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2"/>
        <v>https://d0f6bd738d7f1b3e5a7ca70fe4ff75f0.us-east-1.aws.found.io/app/kibana#/discover/Steve-Slow-Train-Analysis-(2080s-and-2083s)?_g=(refreshInterval:(display:Off,pause:!f,section:0,value:0),time:(from:'2017-05-05T11:50:06-0600',mode:absolute,to:'2017-05-05T14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7" s="192" t="str">
        <f t="shared" si="33"/>
        <v>N</v>
      </c>
      <c r="X87" s="192">
        <f t="shared" si="34"/>
        <v>1</v>
      </c>
      <c r="Y87" s="192">
        <f t="shared" si="35"/>
        <v>4.53E-2</v>
      </c>
      <c r="Z87" s="192">
        <f t="shared" si="36"/>
        <v>23.336600000000001</v>
      </c>
      <c r="AA87" s="192">
        <f t="shared" si="37"/>
        <v>23.2913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8"/>
        <v>0175-05</v>
      </c>
      <c r="AE87" s="80" t="str">
        <f t="shared" si="39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87" s="77" t="str">
        <f t="shared" si="40"/>
        <v>"C:\Program Files (x86)\AstroGrep\AstroGrep.exe" /e /r /s /spath="%USERPROFILE%\AppData\Local\Temp\OnboardLogs" /stypes="app*4030*20170505*" /stext=" 19:.+((SYSTEM_STATE.+slice.+state.+changed )|(ment ac)|(multiple cpu faults)|(system.+state.+changed )|(\[timeout)|(PRM\|1\|D)|(kpr)|(kdp)|(train st.+moving)|(\|lc)|(penalty))"</v>
      </c>
      <c r="AG87" s="1" t="str">
        <f t="shared" si="41"/>
        <v>EC</v>
      </c>
      <c r="AH87" s="81" t="str">
        <f t="shared" si="42"/>
        <v>"%USERPROFILE%\Documents\GitHub\eaglep3\Utilities\RefineRTDCRunTimes.py" --tripid 175-05 --locoid 4030 --swversion DE.1.0.9.0 --startMP 204:453 --initTime 2017-05-05T12:50:06 --startdatetime 2017-05-05T13:00:31 --delay 1 --endMP 204:233366 --enddatetime 2017-05-05T13:37:08 --enforcementcount 0 &gt;&gt;C:\Users\stu\Documents\GitHub\eaglep3-reporting\EC\2017-05-05-refined-times.txt</v>
      </c>
      <c r="AI8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{"issue":{"subject":"","project_id":79,"tracker_id":40,"status_id":1,"priority_id":2,"assigned_to_id":23,"start_date":"2017-05-05","description":"","custom_fields":[{"id":1,"name":"Subdivision","value":"EC"},{"id":4,"name":"Milepost","value":"23.3366"},{"id":17,"name":"Train ID","value":"175-05"},{"id":16,"name":"Locomotive ID","value":"4030"},{"id":130,"name":"Impact","value":""},{"id":150,"name":"Time of Event (Mountain Time)","value":"13:37:08"},{"id":151,"name":"Denver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4"/>
        <v>start /low /b %USERPROFILE%\Documents\GitHub\eaglep3\Utilities\DownloadLogsFromS3.py --loco 4030 --day 2017-05-05</v>
      </c>
      <c r="AN87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748</v>
      </c>
      <c r="B88" s="7">
        <v>4029</v>
      </c>
      <c r="C88" s="21" t="s">
        <v>210</v>
      </c>
      <c r="D88" s="21" t="s">
        <v>880</v>
      </c>
      <c r="E88" s="13">
        <v>42860.573541666665</v>
      </c>
      <c r="F88" s="13">
        <v>42860.580717592595</v>
      </c>
      <c r="G88" s="7">
        <v>2</v>
      </c>
      <c r="H88" s="21" t="s">
        <v>432</v>
      </c>
      <c r="I88" s="13">
        <v>42860.607222222221</v>
      </c>
      <c r="J88" s="7">
        <v>0</v>
      </c>
      <c r="K88" s="92" t="str">
        <f t="shared" si="27"/>
        <v>4029/4030</v>
      </c>
      <c r="L88" s="21" t="str">
        <f>VLOOKUP(A88,'Trips&amp;Operators'!$C$1:$G$99999,5,FALSE)</f>
        <v>DELGADO DIANAH</v>
      </c>
      <c r="M88" s="6">
        <f t="shared" si="28"/>
        <v>2.6504629626288079E-2</v>
      </c>
      <c r="N88" s="7">
        <f t="shared" si="29"/>
        <v>38.166666661854833</v>
      </c>
      <c r="O88" s="7"/>
      <c r="P88" s="7"/>
      <c r="Q88" s="22"/>
      <c r="R88" s="190"/>
      <c r="S88" s="196">
        <f t="shared" si="30"/>
        <v>1</v>
      </c>
      <c r="T88" s="190" t="str">
        <f t="shared" si="31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2"/>
        <v>https://d0f6bd738d7f1b3e5a7ca70fe4ff75f0.us-east-1.aws.found.io/app/kibana#/discover/Steve-Slow-Train-Analysis-(2080s-and-2083s)?_g=(refreshInterval:(display:Off,pause:!f,section:0,value:0),time:(from:'2017-05-05T12:45:54-0600',mode:absolute,to:'2017-05-05T15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192" t="str">
        <f t="shared" si="33"/>
        <v>N</v>
      </c>
      <c r="X88" s="192">
        <f t="shared" si="34"/>
        <v>1</v>
      </c>
      <c r="Y88" s="192">
        <f t="shared" si="35"/>
        <v>23.312799999999999</v>
      </c>
      <c r="Z88" s="192">
        <f t="shared" si="36"/>
        <v>1.3899999999999999E-2</v>
      </c>
      <c r="AA88" s="192">
        <f t="shared" si="37"/>
        <v>23.2989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8"/>
        <v>0176-05</v>
      </c>
      <c r="AE88" s="80" t="str">
        <f t="shared" si="39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88" s="77" t="str">
        <f t="shared" si="40"/>
        <v>"C:\Program Files (x86)\AstroGrep\AstroGrep.exe" /e /r /s /spath="%USERPROFILE%\AppData\Local\Temp\OnboardLogs" /stypes="app*4029*20170505*" /stext=" 20:.+((SYSTEM_STATE.+slice.+state.+changed )|(ment ac)|(multiple cpu faults)|(system.+state.+changed )|(\[timeout)|(PRM\|1\|D)|(kpr)|(kdp)|(train st.+moving)|(\|lc)|(penalty))"</v>
      </c>
      <c r="AG88" s="1" t="str">
        <f t="shared" si="41"/>
        <v>EC</v>
      </c>
      <c r="AH88" s="81" t="str">
        <f t="shared" si="42"/>
        <v>"%USERPROFILE%\Documents\GitHub\eaglep3\Utilities\RefineRTDCRunTimes.py" --tripid 176-05 --locoid 4029 --swversion DE.1.0.9.0 --startMP 204:233128 --initTime 2017-05-05T13:45:54 --startdatetime 2017-05-05T13:56:14 --delay 2 --endMP 204:139 --enddatetime 2017-05-05T14:34:24 --enforcementcount 0 &gt;&gt;C:\Users\stu\Documents\GitHub\eaglep3-reporting\EC\2017-05-05-refined-times.txt</v>
      </c>
      <c r="AI8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{"issue":{"subject":"","project_id":79,"tracker_id":40,"status_id":1,"priority_id":2,"assigned_to_id":23,"start_date":"2017-05-05","description":"","custom_fields":[{"id":1,"name":"Subdivision","value":"EC"},{"id":4,"name":"Milepost","value":"0.0139"},{"id":17,"name":"Train ID","value":"176-05"},{"id":16,"name":"Locomotive ID","value":"4029"},{"id":130,"name":"Impact","value":""},{"id":150,"name":"Time of Event (Mountain Time)","value":"14:34:24"},{"id":151,"name":"Denver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4"/>
        <v>start /low /b %USERPROFILE%\Documents\GitHub\eaglep3\Utilities\DownloadLogsFromS3.py --loco 4029 --day 2017-05-05</v>
      </c>
      <c r="AN88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742</v>
      </c>
      <c r="B89" s="7">
        <v>4008</v>
      </c>
      <c r="C89" s="21" t="s">
        <v>210</v>
      </c>
      <c r="D89" s="21" t="s">
        <v>476</v>
      </c>
      <c r="E89" s="13">
        <v>42860.548171296294</v>
      </c>
      <c r="F89" s="13">
        <v>42860.552245370367</v>
      </c>
      <c r="G89" s="7">
        <v>1</v>
      </c>
      <c r="H89" s="21" t="s">
        <v>504</v>
      </c>
      <c r="I89" s="13">
        <v>42860.578564814816</v>
      </c>
      <c r="J89" s="7">
        <v>0</v>
      </c>
      <c r="K89" s="92" t="str">
        <f t="shared" si="27"/>
        <v>4007/4008</v>
      </c>
      <c r="L89" s="21" t="str">
        <f>VLOOKUP(A89,'Trips&amp;Operators'!$C$1:$G$99999,5,FALSE)</f>
        <v>CLARK KATHLEEN</v>
      </c>
      <c r="M89" s="6">
        <f t="shared" si="28"/>
        <v>2.6319444448745344E-2</v>
      </c>
      <c r="N89" s="7">
        <f t="shared" si="29"/>
        <v>37.900000006193295</v>
      </c>
      <c r="O89" s="7"/>
      <c r="P89" s="7"/>
      <c r="Q89" s="22"/>
      <c r="R89" s="190"/>
      <c r="S89" s="196">
        <f t="shared" si="30"/>
        <v>1</v>
      </c>
      <c r="T89" s="190" t="str">
        <f t="shared" si="31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2"/>
        <v>https://d0f6bd738d7f1b3e5a7ca70fe4ff75f0.us-east-1.aws.found.io/app/kibana#/discover/Steve-Slow-Train-Analysis-(2080s-and-2083s)?_g=(refreshInterval:(display:Off,pause:!f,section:0,value:0),time:(from:'2017-05-05T12:09:22-0600',mode:absolute,to:'2017-05-05T14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192" t="str">
        <f t="shared" si="33"/>
        <v>N</v>
      </c>
      <c r="X89" s="192">
        <f t="shared" si="34"/>
        <v>1</v>
      </c>
      <c r="Y89" s="192">
        <f t="shared" si="35"/>
        <v>4.7300000000000002E-2</v>
      </c>
      <c r="Z89" s="192">
        <f t="shared" si="36"/>
        <v>23.3276</v>
      </c>
      <c r="AA89" s="192">
        <f t="shared" si="37"/>
        <v>23.2803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8"/>
        <v>0177-05</v>
      </c>
      <c r="AE89" s="80" t="str">
        <f t="shared" si="39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89" s="77" t="str">
        <f t="shared" si="40"/>
        <v>"C:\Program Files (x86)\AstroGrep\AstroGrep.exe" /e /r /s /spath="%USERPROFILE%\AppData\Local\Temp\OnboardLogs" /stypes="app*4008*20170505*" /stext=" 19:.+((SYSTEM_STATE.+slice.+state.+changed )|(ment ac)|(multiple cpu faults)|(system.+state.+changed )|(\[timeout)|(PRM\|1\|D)|(kpr)|(kdp)|(train st.+moving)|(\|lc)|(penalty))"</v>
      </c>
      <c r="AG89" s="1" t="str">
        <f t="shared" si="41"/>
        <v>EC</v>
      </c>
      <c r="AH89" s="81" t="str">
        <f t="shared" si="42"/>
        <v>"%USERPROFILE%\Documents\GitHub\eaglep3\Utilities\RefineRTDCRunTimes.py" --tripid 177-05 --locoid 4008 --swversion DE.1.0.9.0 --startMP 204:473 --initTime 2017-05-05T13:09:22 --startdatetime 2017-05-05T13:15:14 --delay 1 --endMP 204:233276 --enddatetime 2017-05-05T13:53:08 --enforcementcount 0 &gt;&gt;C:\Users\stu\Documents\GitHub\eaglep3-reporting\EC\2017-05-05-refined-times.txt</v>
      </c>
      <c r="AI8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{"issue":{"subject":"","project_id":79,"tracker_id":40,"status_id":1,"priority_id":2,"assigned_to_id":23,"start_date":"2017-05-05","description":"","custom_fields":[{"id":1,"name":"Subdivision","value":"EC"},{"id":4,"name":"Milepost","value":"23.3276"},{"id":17,"name":"Train ID","value":"177-05"},{"id":16,"name":"Locomotive ID","value":"4008"},{"id":130,"name":"Impact","value":""},{"id":150,"name":"Time of Event (Mountain Time)","value":"13:53:08"},{"id":151,"name":"Denver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4"/>
        <v>start /low /b %USERPROFILE%\Documents\GitHub\eaglep3\Utilities\DownloadLogsFromS3.py --loco 4008 --day 2017-05-05</v>
      </c>
      <c r="AN89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751</v>
      </c>
      <c r="B90" s="7">
        <v>4007</v>
      </c>
      <c r="C90" s="21" t="s">
        <v>210</v>
      </c>
      <c r="D90" s="21" t="s">
        <v>544</v>
      </c>
      <c r="E90" s="13">
        <v>42860.586597222224</v>
      </c>
      <c r="F90" s="13">
        <v>42860.591145833336</v>
      </c>
      <c r="G90" s="7">
        <v>0</v>
      </c>
      <c r="H90" s="21" t="s">
        <v>559</v>
      </c>
      <c r="I90" s="13">
        <v>42860.619583333333</v>
      </c>
      <c r="J90" s="7">
        <v>0</v>
      </c>
      <c r="K90" s="92" t="str">
        <f t="shared" si="27"/>
        <v>4007/4008</v>
      </c>
      <c r="L90" s="21" t="str">
        <f>VLOOKUP(A90,'Trips&amp;Operators'!$C$1:$G$99999,5,FALSE)</f>
        <v>CLARK KATHLEEN</v>
      </c>
      <c r="M90" s="6">
        <f t="shared" si="28"/>
        <v>2.8437499997380655E-2</v>
      </c>
      <c r="N90" s="7">
        <f t="shared" si="29"/>
        <v>40.949999996228144</v>
      </c>
      <c r="O90" s="7"/>
      <c r="P90" s="7"/>
      <c r="Q90" s="22"/>
      <c r="R90" s="190"/>
      <c r="S90" s="196">
        <f t="shared" si="30"/>
        <v>1</v>
      </c>
      <c r="T90" s="190" t="str">
        <f t="shared" si="31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2"/>
        <v>https://d0f6bd738d7f1b3e5a7ca70fe4ff75f0.us-east-1.aws.found.io/app/kibana#/discover/Steve-Slow-Train-Analysis-(2080s-and-2083s)?_g=(refreshInterval:(display:Off,pause:!f,section:0,value:0),time:(from:'2017-05-05T13:04:42-0600',mode:absolute,to:'2017-05-05T15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192" t="str">
        <f t="shared" si="33"/>
        <v>N</v>
      </c>
      <c r="X90" s="192">
        <f t="shared" si="34"/>
        <v>1</v>
      </c>
      <c r="Y90" s="192">
        <f t="shared" si="35"/>
        <v>23.2957</v>
      </c>
      <c r="Z90" s="192">
        <f t="shared" si="36"/>
        <v>1.8499999999999999E-2</v>
      </c>
      <c r="AA90" s="192">
        <f t="shared" si="37"/>
        <v>23.277200000000001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8"/>
        <v>0178-05</v>
      </c>
      <c r="AE90" s="80" t="str">
        <f t="shared" si="39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90" s="77" t="str">
        <f t="shared" si="40"/>
        <v>"C:\Program Files (x86)\AstroGrep\AstroGrep.exe" /e /r /s /spath="%USERPROFILE%\AppData\Local\Temp\OnboardLogs" /stypes="app*4007*20170505*" /stext=" 20:.+((SYSTEM_STATE.+slice.+state.+changed )|(ment ac)|(multiple cpu faults)|(system.+state.+changed )|(\[timeout)|(PRM\|1\|D)|(kpr)|(kdp)|(train st.+moving)|(\|lc)|(penalty))"</v>
      </c>
      <c r="AG90" s="1" t="str">
        <f t="shared" si="41"/>
        <v>EC</v>
      </c>
      <c r="AH90" s="81" t="str">
        <f t="shared" si="42"/>
        <v>"%USERPROFILE%\Documents\GitHub\eaglep3\Utilities\RefineRTDCRunTimes.py" --tripid 178-05 --locoid 4007 --swversion DE.1.0.9.0 --startMP 204:232957 --initTime 2017-05-05T14:04:42 --startdatetime 2017-05-05T14:11:15 --delay 0 --endMP 204:185 --enddatetime 2017-05-05T14:52:12 --enforcementcount 0 &gt;&gt;C:\Users\stu\Documents\GitHub\eaglep3-reporting\EC\2017-05-05-refined-times.txt</v>
      </c>
      <c r="AI9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{"issue":{"subject":"","project_id":79,"tracker_id":40,"status_id":1,"priority_id":2,"assigned_to_id":23,"start_date":"2017-05-05","description":"","custom_fields":[{"id":1,"name":"Subdivision","value":"EC"},{"id":4,"name":"Milepost","value":"0.0185"},{"id":17,"name":"Train ID","value":"178-05"},{"id":16,"name":"Locomotive ID","value":"4007"},{"id":130,"name":"Impact","value":""},{"id":150,"name":"Time of Event (Mountain Time)","value":"14:52:12"},{"id":151,"name":"Denver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4"/>
        <v>start /low /b %USERPROFILE%\Documents\GitHub\eaglep3\Utilities\DownloadLogsFromS3.py --loco 4007 --day 2017-05-05</v>
      </c>
      <c r="AN90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744</v>
      </c>
      <c r="B91" s="7">
        <v>4044</v>
      </c>
      <c r="C91" s="21" t="s">
        <v>210</v>
      </c>
      <c r="D91" s="21" t="s">
        <v>388</v>
      </c>
      <c r="E91" s="13">
        <v>42860.558391203704</v>
      </c>
      <c r="F91" s="13">
        <v>42860.562662037039</v>
      </c>
      <c r="G91" s="7">
        <v>1</v>
      </c>
      <c r="H91" s="21" t="s">
        <v>501</v>
      </c>
      <c r="I91" s="13">
        <v>42860.58730324074</v>
      </c>
      <c r="J91" s="7">
        <v>0</v>
      </c>
      <c r="K91" s="92" t="str">
        <f t="shared" si="27"/>
        <v>4043/4044</v>
      </c>
      <c r="L91" s="21" t="str">
        <f>VLOOKUP(A91,'Trips&amp;Operators'!$C$1:$G$99999,5,FALSE)</f>
        <v>BRUDER RICHARD</v>
      </c>
      <c r="M91" s="6">
        <f t="shared" si="28"/>
        <v>2.4641203701321501E-2</v>
      </c>
      <c r="N91" s="7">
        <f t="shared" si="29"/>
        <v>35.483333329902962</v>
      </c>
      <c r="O91" s="7"/>
      <c r="P91" s="7"/>
      <c r="Q91" s="22"/>
      <c r="R91" s="190"/>
      <c r="S91" s="196">
        <f t="shared" si="30"/>
        <v>1</v>
      </c>
      <c r="T91" s="190" t="str">
        <f t="shared" si="31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2"/>
        <v>https://d0f6bd738d7f1b3e5a7ca70fe4ff75f0.us-east-1.aws.found.io/app/kibana#/discover/Steve-Slow-Train-Analysis-(2080s-and-2083s)?_g=(refreshInterval:(display:Off,pause:!f,section:0,value:0),time:(from:'2017-05-05T12:24:05-0600',mode:absolute,to:'2017-05-05T15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1" s="192" t="str">
        <f t="shared" si="33"/>
        <v>N</v>
      </c>
      <c r="X91" s="192">
        <f t="shared" si="34"/>
        <v>1</v>
      </c>
      <c r="Y91" s="192">
        <f t="shared" si="35"/>
        <v>4.58E-2</v>
      </c>
      <c r="Z91" s="192">
        <f t="shared" si="36"/>
        <v>23.329699999999999</v>
      </c>
      <c r="AA91" s="192">
        <f t="shared" si="37"/>
        <v>23.283899999999999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8"/>
        <v>0179-05</v>
      </c>
      <c r="AE91" s="80" t="str">
        <f t="shared" si="39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91" s="77" t="str">
        <f t="shared" si="40"/>
        <v>"C:\Program Files (x86)\AstroGrep\AstroGrep.exe" /e /r /s /spath="%USERPROFILE%\AppData\Local\Temp\OnboardLogs" /stypes="app*4044*20170505*" /stext=" 20:.+((SYSTEM_STATE.+slice.+state.+changed )|(ment ac)|(multiple cpu faults)|(system.+state.+changed )|(\[timeout)|(PRM\|1\|D)|(kpr)|(kdp)|(train st.+moving)|(\|lc)|(penalty))"</v>
      </c>
      <c r="AG91" s="1" t="str">
        <f t="shared" si="41"/>
        <v>EC</v>
      </c>
      <c r="AH91" s="81" t="str">
        <f t="shared" si="42"/>
        <v>"%USERPROFILE%\Documents\GitHub\eaglep3\Utilities\RefineRTDCRunTimes.py" --tripid 179-05 --locoid 4044 --swversion DE.1.0.9.0 --startMP 204:458 --initTime 2017-05-05T13:24:05 --startdatetime 2017-05-05T13:30:14 --delay 1 --endMP 204:233297 --enddatetime 2017-05-05T14:05:43 --enforcementcount 0 &gt;&gt;C:\Users\stu\Documents\GitHub\eaglep3-reporting\EC\2017-05-05-refined-times.txt</v>
      </c>
      <c r="AI9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{"issue":{"subject":"","project_id":79,"tracker_id":40,"status_id":1,"priority_id":2,"assigned_to_id":23,"start_date":"2017-05-05","description":"","custom_fields":[{"id":1,"name":"Subdivision","value":"EC"},{"id":4,"name":"Milepost","value":"23.3297"},{"id":17,"name":"Train ID","value":"179-05"},{"id":16,"name":"Locomotive ID","value":"4044"},{"id":130,"name":"Impact","value":""},{"id":150,"name":"Time of Event (Mountain Time)","value":"14:05:43"},{"id":151,"name":"Denver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4"/>
        <v>start /low /b %USERPROFILE%\Documents\GitHub\eaglep3\Utilities\DownloadLogsFromS3.py --loco 4044 --day 2017-05-05</v>
      </c>
      <c r="AN91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2" spans="1:91" s="1" customFormat="1" x14ac:dyDescent="0.25">
      <c r="A92" s="32" t="s">
        <v>753</v>
      </c>
      <c r="B92" s="7">
        <v>4043</v>
      </c>
      <c r="C92" s="21" t="s">
        <v>210</v>
      </c>
      <c r="D92" s="21" t="s">
        <v>424</v>
      </c>
      <c r="E92" s="13">
        <v>42860.593761574077</v>
      </c>
      <c r="F92" s="13">
        <v>42860.601736111108</v>
      </c>
      <c r="G92" s="7">
        <v>1</v>
      </c>
      <c r="H92" s="21" t="s">
        <v>430</v>
      </c>
      <c r="I92" s="13">
        <v>42860.629537037035</v>
      </c>
      <c r="J92" s="7">
        <v>0</v>
      </c>
      <c r="K92" s="92" t="str">
        <f t="shared" si="27"/>
        <v>4043/4044</v>
      </c>
      <c r="L92" s="21" t="str">
        <f>VLOOKUP(A92,'Trips&amp;Operators'!$C$1:$G$99999,5,FALSE)</f>
        <v>BRUDER RICHARD</v>
      </c>
      <c r="M92" s="6">
        <f t="shared" si="28"/>
        <v>2.7800925927294884E-2</v>
      </c>
      <c r="N92" s="7">
        <f t="shared" si="29"/>
        <v>40.033333335304633</v>
      </c>
      <c r="O92" s="7"/>
      <c r="P92" s="7"/>
      <c r="Q92" s="22"/>
      <c r="R92" s="190"/>
      <c r="S92" s="196">
        <f t="shared" si="30"/>
        <v>1</v>
      </c>
      <c r="T92" s="190" t="str">
        <f t="shared" si="31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2"/>
        <v>https://d0f6bd738d7f1b3e5a7ca70fe4ff75f0.us-east-1.aws.found.io/app/kibana#/discover/Steve-Slow-Train-Analysis-(2080s-and-2083s)?_g=(refreshInterval:(display:Off,pause:!f,section:0,value:0),time:(from:'2017-05-05T13:15:01-0600',mode:absolute,to:'2017-05-05T16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2" s="192" t="str">
        <f t="shared" si="33"/>
        <v>N</v>
      </c>
      <c r="X92" s="192">
        <f t="shared" si="34"/>
        <v>1</v>
      </c>
      <c r="Y92" s="192">
        <f t="shared" si="35"/>
        <v>23.299299999999999</v>
      </c>
      <c r="Z92" s="192">
        <f t="shared" si="36"/>
        <v>1.61E-2</v>
      </c>
      <c r="AA92" s="192">
        <f t="shared" si="37"/>
        <v>23.283199999999997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8"/>
        <v>0180-05</v>
      </c>
      <c r="AE92" s="80" t="str">
        <f t="shared" si="39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92" s="77" t="str">
        <f t="shared" si="40"/>
        <v>"C:\Program Files (x86)\AstroGrep\AstroGrep.exe" /e /r /s /spath="%USERPROFILE%\AppData\Local\Temp\OnboardLogs" /stypes="app*4043*20170505*" /stext=" 21:.+((SYSTEM_STATE.+slice.+state.+changed )|(ment ac)|(multiple cpu faults)|(system.+state.+changed )|(\[timeout)|(PRM\|1\|D)|(kpr)|(kdp)|(train st.+moving)|(\|lc)|(penalty))"</v>
      </c>
      <c r="AG92" s="1" t="str">
        <f t="shared" si="41"/>
        <v>EC</v>
      </c>
      <c r="AH92" s="81" t="str">
        <f t="shared" si="42"/>
        <v>"%USERPROFILE%\Documents\GitHub\eaglep3\Utilities\RefineRTDCRunTimes.py" --tripid 180-05 --locoid 4043 --swversion DE.1.0.9.0 --startMP 204:232993 --initTime 2017-05-05T14:15:01 --startdatetime 2017-05-05T14:26:30 --delay 1 --endMP 204:161 --enddatetime 2017-05-05T15:06:32 --enforcementcount 0 &gt;&gt;C:\Users\stu\Documents\GitHub\eaglep3-reporting\EC\2017-05-05-refined-times.txt</v>
      </c>
      <c r="AI9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{"issue":{"subject":"","project_id":79,"tracker_id":40,"status_id":1,"priority_id":2,"assigned_to_id":23,"start_date":"2017-05-05","description":"","custom_fields":[{"id":1,"name":"Subdivision","value":"EC"},{"id":4,"name":"Milepost","value":"0.0161"},{"id":17,"name":"Train ID","value":"180-05"},{"id":16,"name":"Locomotive ID","value":"4043"},{"id":130,"name":"Impact","value":""},{"id":150,"name":"Time of Event (Mountain Time)","value":"15:06:32"},{"id":151,"name":"Denver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4"/>
        <v>start /low /b %USERPROFILE%\Documents\GitHub\eaglep3\Utilities\DownloadLogsFromS3.py --loco 4043 --day 2017-05-05</v>
      </c>
      <c r="AN92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747</v>
      </c>
      <c r="B93" s="7">
        <v>4028</v>
      </c>
      <c r="C93" s="21" t="s">
        <v>210</v>
      </c>
      <c r="D93" s="21" t="s">
        <v>881</v>
      </c>
      <c r="E93" s="13">
        <v>42860.571875000001</v>
      </c>
      <c r="F93" s="13">
        <v>42860.573703703703</v>
      </c>
      <c r="G93" s="7">
        <v>1</v>
      </c>
      <c r="H93" s="21" t="s">
        <v>507</v>
      </c>
      <c r="I93" s="13">
        <v>42860.597870370373</v>
      </c>
      <c r="J93" s="7">
        <v>0</v>
      </c>
      <c r="K93" s="92" t="str">
        <f t="shared" si="27"/>
        <v>4027/4028</v>
      </c>
      <c r="L93" s="21" t="str">
        <f>VLOOKUP(A93,'Trips&amp;Operators'!$C$1:$G$99999,5,FALSE)</f>
        <v>BIRENBAUM THOMAS</v>
      </c>
      <c r="M93" s="6">
        <f t="shared" si="28"/>
        <v>2.4166666669771075E-2</v>
      </c>
      <c r="N93" s="7">
        <f t="shared" si="29"/>
        <v>34.800000004470348</v>
      </c>
      <c r="O93" s="7"/>
      <c r="P93" s="7"/>
      <c r="Q93" s="22"/>
      <c r="R93" s="190"/>
      <c r="S93" s="196">
        <f t="shared" si="30"/>
        <v>1</v>
      </c>
      <c r="T93" s="190" t="str">
        <f t="shared" si="31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2"/>
        <v>https://d0f6bd738d7f1b3e5a7ca70fe4ff75f0.us-east-1.aws.found.io/app/kibana#/discover/Steve-Slow-Train-Analysis-(2080s-and-2083s)?_g=(refreshInterval:(display:Off,pause:!f,section:0,value:0),time:(from:'2017-05-05T12:43:30-0600',mode:absolute,to:'2017-05-05T15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3" s="192" t="str">
        <f t="shared" si="33"/>
        <v>N</v>
      </c>
      <c r="X93" s="192">
        <f t="shared" si="34"/>
        <v>1</v>
      </c>
      <c r="Y93" s="192">
        <f t="shared" si="35"/>
        <v>0.1479</v>
      </c>
      <c r="Z93" s="192">
        <f t="shared" si="36"/>
        <v>23.331099999999999</v>
      </c>
      <c r="AA93" s="192">
        <f t="shared" si="37"/>
        <v>23.183199999999999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8"/>
        <v>0181-05</v>
      </c>
      <c r="AE93" s="80" t="str">
        <f t="shared" si="39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93" s="77" t="str">
        <f t="shared" si="40"/>
        <v>"C:\Program Files (x86)\AstroGrep\AstroGrep.exe" /e /r /s /spath="%USERPROFILE%\AppData\Local\Temp\OnboardLogs" /stypes="app*4028*20170505*" /stext=" 20:.+((SYSTEM_STATE.+slice.+state.+changed )|(ment ac)|(multiple cpu faults)|(system.+state.+changed )|(\[timeout)|(PRM\|1\|D)|(kpr)|(kdp)|(train st.+moving)|(\|lc)|(penalty))"</v>
      </c>
      <c r="AG93" s="1" t="str">
        <f t="shared" si="41"/>
        <v>EC</v>
      </c>
      <c r="AH93" s="81" t="str">
        <f t="shared" si="42"/>
        <v>"%USERPROFILE%\Documents\GitHub\eaglep3\Utilities\RefineRTDCRunTimes.py" --tripid 181-05 --locoid 4028 --swversion DE.1.0.9.0 --startMP 204:1479 --initTime 2017-05-05T13:43:30 --startdatetime 2017-05-05T13:46:08 --delay 1 --endMP 204:233311 --enddatetime 2017-05-05T14:20:56 --enforcementcount 0 &gt;&gt;C:\Users\stu\Documents\GitHub\eaglep3-reporting\EC\2017-05-05-refined-times.txt</v>
      </c>
      <c r="AI9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{"issue":{"subject":"","project_id":79,"tracker_id":40,"status_id":1,"priority_id":2,"assigned_to_id":23,"start_date":"2017-05-05","description":"","custom_fields":[{"id":1,"name":"Subdivision","value":"EC"},{"id":4,"name":"Milepost","value":"23.3311"},{"id":17,"name":"Train ID","value":"181-05"},{"id":16,"name":"Locomotive ID","value":"4028"},{"id":130,"name":"Impact","value":""},{"id":150,"name":"Time of Event (Mountain Time)","value":"14:20:56"},{"id":151,"name":"Denver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4"/>
        <v>start /low /b %USERPROFILE%\Documents\GitHub\eaglep3\Utilities\DownloadLogsFromS3.py --loco 4028 --day 2017-05-05</v>
      </c>
      <c r="AN93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754</v>
      </c>
      <c r="B94" s="7">
        <v>4027</v>
      </c>
      <c r="C94" s="21" t="s">
        <v>210</v>
      </c>
      <c r="D94" s="21" t="s">
        <v>882</v>
      </c>
      <c r="E94" s="13">
        <v>42860.604780092595</v>
      </c>
      <c r="F94" s="13">
        <v>42860.612013888887</v>
      </c>
      <c r="G94" s="7">
        <v>1</v>
      </c>
      <c r="H94" s="21" t="s">
        <v>402</v>
      </c>
      <c r="I94" s="13">
        <v>42860.639803240738</v>
      </c>
      <c r="J94" s="7">
        <v>0</v>
      </c>
      <c r="K94" s="92" t="str">
        <f t="shared" si="27"/>
        <v>4027/4028</v>
      </c>
      <c r="L94" s="21" t="str">
        <f>VLOOKUP(A94,'Trips&amp;Operators'!$C$1:$G$99999,5,FALSE)</f>
        <v>BIRENBAUM THOMAS</v>
      </c>
      <c r="M94" s="6">
        <f t="shared" si="28"/>
        <v>2.7789351850515231E-2</v>
      </c>
      <c r="N94" s="7">
        <f t="shared" si="29"/>
        <v>40.016666664741933</v>
      </c>
      <c r="O94" s="7"/>
      <c r="P94" s="7"/>
      <c r="Q94" s="22"/>
      <c r="R94" s="190"/>
      <c r="S94" s="196">
        <f t="shared" si="30"/>
        <v>1</v>
      </c>
      <c r="T94" s="190" t="str">
        <f t="shared" si="31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2"/>
        <v>https://d0f6bd738d7f1b3e5a7ca70fe4ff75f0.us-east-1.aws.found.io/app/kibana#/discover/Steve-Slow-Train-Analysis-(2080s-and-2083s)?_g=(refreshInterval:(display:Off,pause:!f,section:0,value:0),time:(from:'2017-05-05T13:30:53-0600',mode:absolute,to:'2017-05-05T16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4" s="192" t="str">
        <f t="shared" si="33"/>
        <v>N</v>
      </c>
      <c r="X94" s="192">
        <f t="shared" si="34"/>
        <v>1</v>
      </c>
      <c r="Y94" s="192">
        <f t="shared" si="35"/>
        <v>23.301100000000002</v>
      </c>
      <c r="Z94" s="192">
        <f t="shared" si="36"/>
        <v>1.4999999999999999E-2</v>
      </c>
      <c r="AA94" s="192">
        <f t="shared" si="37"/>
        <v>23.286100000000001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8"/>
        <v>0182-05</v>
      </c>
      <c r="AE94" s="80" t="str">
        <f t="shared" si="39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94" s="77" t="str">
        <f t="shared" si="40"/>
        <v>"C:\Program Files (x86)\AstroGrep\AstroGrep.exe" /e /r /s /spath="%USERPROFILE%\AppData\Local\Temp\OnboardLogs" /stypes="app*4027*20170505*" /stext=" 21:.+((SYSTEM_STATE.+slice.+state.+changed )|(ment ac)|(multiple cpu faults)|(system.+state.+changed )|(\[timeout)|(PRM\|1\|D)|(kpr)|(kdp)|(train st.+moving)|(\|lc)|(penalty))"</v>
      </c>
      <c r="AG94" s="1" t="str">
        <f t="shared" si="41"/>
        <v>EC</v>
      </c>
      <c r="AH94" s="81" t="str">
        <f t="shared" si="42"/>
        <v>"%USERPROFILE%\Documents\GitHub\eaglep3\Utilities\RefineRTDCRunTimes.py" --tripid 182-05 --locoid 4027 --swversion DE.1.0.9.0 --startMP 204:233011 --initTime 2017-05-05T14:30:53 --startdatetime 2017-05-05T14:41:18 --delay 1 --endMP 204:150 --enddatetime 2017-05-05T15:21:19 --enforcementcount 0 &gt;&gt;C:\Users\stu\Documents\GitHub\eaglep3-reporting\EC\2017-05-05-refined-times.txt</v>
      </c>
      <c r="AI9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ID","value":"182-05"},{"id":16,"name":"Locomotive ID","value":"4027"},{"id":130,"name":"Impact","value":""},{"id":150,"name":"Time of Event (Mountain Time)","value":"15:21:19"},{"id":151,"name":"Denver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4"/>
        <v>start /low /b %USERPROFILE%\Documents\GitHub\eaglep3\Utilities\DownloadLogsFromS3.py --loco 4027 --day 2017-05-05</v>
      </c>
      <c r="AN94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608</v>
      </c>
      <c r="B95" s="7">
        <v>4040</v>
      </c>
      <c r="C95" s="21" t="s">
        <v>210</v>
      </c>
      <c r="D95" s="21" t="s">
        <v>473</v>
      </c>
      <c r="E95" s="13">
        <v>42860.583298611113</v>
      </c>
      <c r="F95" s="13">
        <v>42860.584722222222</v>
      </c>
      <c r="G95" s="7">
        <v>1</v>
      </c>
      <c r="H95" s="21" t="s">
        <v>883</v>
      </c>
      <c r="I95" s="13">
        <v>42860.610810185186</v>
      </c>
      <c r="J95" s="7">
        <v>0</v>
      </c>
      <c r="K95" s="92" t="str">
        <f t="shared" si="27"/>
        <v>4039/4040</v>
      </c>
      <c r="L95" s="21" t="str">
        <f>VLOOKUP(A95,'Trips&amp;Operators'!$C$1:$G$99999,5,FALSE)</f>
        <v>BRANDNER MELINDA</v>
      </c>
      <c r="M95" s="6">
        <f t="shared" si="28"/>
        <v>2.6087962964083999E-2</v>
      </c>
      <c r="N95" s="7">
        <f t="shared" si="29"/>
        <v>37.566666668280959</v>
      </c>
      <c r="O95" s="7"/>
      <c r="P95" s="7"/>
      <c r="Q95" s="22"/>
      <c r="R95" s="190" t="s">
        <v>1058</v>
      </c>
      <c r="S95" s="196">
        <f t="shared" si="30"/>
        <v>1</v>
      </c>
      <c r="T95" s="190" t="str">
        <f t="shared" si="31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2"/>
        <v>https://d0f6bd738d7f1b3e5a7ca70fe4ff75f0.us-east-1.aws.found.io/app/kibana#/discover/Steve-Slow-Train-Analysis-(2080s-and-2083s)?_g=(refreshInterval:(display:Off,pause:!f,section:0,value:0),time:(from:'2017-05-05T12:59:57-0600',mode:absolute,to:'2017-05-05T15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5" s="192" t="str">
        <f t="shared" si="33"/>
        <v>N</v>
      </c>
      <c r="X95" s="192">
        <f t="shared" si="34"/>
        <v>1</v>
      </c>
      <c r="Y95" s="192">
        <f t="shared" si="35"/>
        <v>4.3700000000000003E-2</v>
      </c>
      <c r="Z95" s="192">
        <f t="shared" si="36"/>
        <v>23.313600000000001</v>
      </c>
      <c r="AA95" s="192">
        <f t="shared" si="37"/>
        <v>23.2699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8"/>
        <v>0183-05</v>
      </c>
      <c r="AE95" s="80" t="str">
        <f t="shared" si="39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95" s="77" t="str">
        <f t="shared" si="40"/>
        <v>"C:\Program Files (x86)\AstroGrep\AstroGrep.exe" /e /r /s /spath="%USERPROFILE%\AppData\Local\Temp\OnboardLogs" /stypes="app*4040*20170505*" /stext=" 20:.+((SYSTEM_STATE.+slice.+state.+changed )|(ment ac)|(multiple cpu faults)|(system.+state.+changed )|(\[timeout)|(PRM\|1\|D)|(kpr)|(kdp)|(train st.+moving)|(\|lc)|(penalty))"</v>
      </c>
      <c r="AG95" s="1" t="str">
        <f t="shared" si="41"/>
        <v>EC</v>
      </c>
      <c r="AH95" s="81" t="str">
        <f t="shared" si="42"/>
        <v>"%USERPROFILE%\Documents\GitHub\eaglep3\Utilities\RefineRTDCRunTimes.py" --tripid 183-05 --locoid 4040 --swversion DE.1.0.9.0 --startMP 204:437 --initTime 2017-05-05T13:59:57 --startdatetime 2017-05-05T14:02:00 --delay 1 --endMP 204:233136 --enddatetime 2017-05-05T14:39:34 --enforcementcount 0 &gt;&gt;C:\Users\stu\Documents\GitHub\eaglep3-reporting\EC\2017-05-05-refined-times.txt</v>
      </c>
      <c r="AI95" s="99" t="str">
        <f t="shared" si="43"/>
        <v>echo {"issue":{"subject":"Delayed departure due to selecting wrong trip (selected 170-05 twice before correctly selecting 183-05)","project_id":79,"tracker_id":40,"status_id":1,"priority_id":2,"assigned_to_id":23,"start_date":"2017-05-05","description":"","custom_fields":[{"id":1,"name":"Subdivision","value":"EC"},{"id":4,"name":"Milepost","value":"23.3136"},{"id":17,"name":"Train ID","value":"183-05"},{"id":16,"name":"Locomotive ID","value":"4040"},{"id":130,"name":"Impact","value":""},{"id":150,"name":"Time of Event (Mountain Time)","value":"14:39:34"},{"id":151,"name":"Denver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4"/>
        <v>start /low /b %USERPROFILE%\Documents\GitHub\eaglep3\Utilities\DownloadLogsFromS3.py --loco 4040 --day 2017-05-05</v>
      </c>
      <c r="AN95" s="154" t="str">
        <f t="shared" si="45"/>
        <v>echo {"issue":{"subject":"Delayed departure due to selecting wrong trip (selected 170-05 twice before correctly selecting 183-05)","project_id":30,"tracker_id":4,"status_id":1,"priority_id":1,"assigned_to_id":10,"start_date":"2017-05-05","description":"","custom_fields":[{"id":30,"name":"Category","value":"Issue"},{"id":3,"name":"Functional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756</v>
      </c>
      <c r="B96" s="7">
        <v>4039</v>
      </c>
      <c r="C96" s="21" t="s">
        <v>210</v>
      </c>
      <c r="D96" s="21" t="s">
        <v>884</v>
      </c>
      <c r="E96" s="13">
        <v>42860.619305555556</v>
      </c>
      <c r="F96" s="13">
        <v>42860.622569444444</v>
      </c>
      <c r="G96" s="7">
        <v>1</v>
      </c>
      <c r="H96" s="21" t="s">
        <v>885</v>
      </c>
      <c r="I96" s="13">
        <v>42860.658750000002</v>
      </c>
      <c r="J96" s="7">
        <v>0</v>
      </c>
      <c r="K96" s="92" t="str">
        <f t="shared" si="27"/>
        <v>4039/4040</v>
      </c>
      <c r="L96" s="21" t="str">
        <f>VLOOKUP(A96,'Trips&amp;Operators'!$C$1:$G$99999,5,FALSE)</f>
        <v>BRANDNER MELINDA</v>
      </c>
      <c r="M96" s="6">
        <f t="shared" si="28"/>
        <v>3.6180555558530614E-2</v>
      </c>
      <c r="N96" s="7">
        <f t="shared" si="29"/>
        <v>52.100000004284084</v>
      </c>
      <c r="O96" s="7"/>
      <c r="P96" s="7"/>
      <c r="Q96" s="22"/>
      <c r="R96" s="190" t="s">
        <v>1059</v>
      </c>
      <c r="S96" s="196">
        <f t="shared" si="30"/>
        <v>1</v>
      </c>
      <c r="T96" s="190" t="str">
        <f t="shared" si="31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2"/>
        <v>https://d0f6bd738d7f1b3e5a7ca70fe4ff75f0.us-east-1.aws.found.io/app/kibana#/discover/Steve-Slow-Train-Analysis-(2080s-and-2083s)?_g=(refreshInterval:(display:Off,pause:!f,section:0,value:0),time:(from:'2017-05-05T13:51:48-0600',mode:absolute,to:'2017-05-05T16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192" t="str">
        <f t="shared" si="33"/>
        <v>N</v>
      </c>
      <c r="X96" s="192">
        <f t="shared" si="34"/>
        <v>1</v>
      </c>
      <c r="Y96" s="192">
        <f t="shared" si="35"/>
        <v>23.281300000000002</v>
      </c>
      <c r="Z96" s="192">
        <f t="shared" si="36"/>
        <v>0.1171</v>
      </c>
      <c r="AA96" s="192">
        <f t="shared" si="37"/>
        <v>23.164200000000001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8"/>
        <v>0184-05</v>
      </c>
      <c r="AE96" s="80" t="str">
        <f t="shared" si="39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96" s="77" t="str">
        <f t="shared" si="40"/>
        <v>"C:\Program Files (x86)\AstroGrep\AstroGrep.exe" /e /r /s /spath="%USERPROFILE%\AppData\Local\Temp\OnboardLogs" /stypes="app*4039*20170505*" /stext=" 21:.+((SYSTEM_STATE.+slice.+state.+changed )|(ment ac)|(multiple cpu faults)|(system.+state.+changed )|(\[timeout)|(PRM\|1\|D)|(kpr)|(kdp)|(train st.+moving)|(\|lc)|(penalty))"</v>
      </c>
      <c r="AG96" s="1" t="str">
        <f t="shared" si="41"/>
        <v>EC</v>
      </c>
      <c r="AH96" s="81" t="str">
        <f t="shared" si="42"/>
        <v>"%USERPROFILE%\Documents\GitHub\eaglep3\Utilities\RefineRTDCRunTimes.py" --tripid 184-05 --locoid 4039 --swversion DE.1.0.9.0 --startMP 204:232813 --initTime 2017-05-05T14:51:48 --startdatetime 2017-05-05T14:56:30 --delay 1 --endMP 204:1171 --enddatetime 2017-05-05T15:48:36 --enforcementcount 0 &gt;&gt;C:\Users\stu\Documents\GitHub\eaglep3-reporting\EC\2017-05-05-refined-times.txt</v>
      </c>
      <c r="AI96" s="99" t="str">
        <f t="shared" si="43"/>
        <v>echo {"issue":{"subject":"Delayed due to passenger medical issue","project_id":79,"tracker_id":40,"status_id":1,"priority_id":2,"assigned_to_id":23,"start_date":"2017-05-05","description":"","custom_fields":[{"id":1,"name":"Subdivision","value":"EC"},{"id":4,"name":"Milepost","value":"0.1171"},{"id":17,"name":"Train ID","value":"184-05"},{"id":16,"name":"Locomotive ID","value":"4039"},{"id":130,"name":"Impact","value":""},{"id":150,"name":"Time of Event (Mountain Time)","value":"15:48:36"},{"id":151,"name":"Denver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4"/>
        <v>start /low /b %USERPROFILE%\Documents\GitHub\eaglep3\Utilities\DownloadLogsFromS3.py --loco 4039 --day 2017-05-05</v>
      </c>
      <c r="AN96" s="154" t="str">
        <f t="shared" si="45"/>
        <v>echo {"issue":{"subject":"Delayed due to passenger medical issue","project_id":30,"tracker_id":4,"status_id":1,"priority_id":1,"assigned_to_id":10,"start_date":"2017-05-05","description":"","custom_fields":[{"id":30,"name":"Category","value":"Issue"},{"id":3,"name":"Functional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752</v>
      </c>
      <c r="B97" s="7">
        <v>4022</v>
      </c>
      <c r="C97" s="21" t="s">
        <v>210</v>
      </c>
      <c r="D97" s="21" t="s">
        <v>886</v>
      </c>
      <c r="E97" s="13">
        <v>42860.591053240743</v>
      </c>
      <c r="F97" s="13">
        <v>42860.594004629631</v>
      </c>
      <c r="G97" s="7">
        <v>1</v>
      </c>
      <c r="H97" s="21" t="s">
        <v>428</v>
      </c>
      <c r="I97" s="13">
        <v>42860.618703703702</v>
      </c>
      <c r="J97" s="7">
        <v>0</v>
      </c>
      <c r="K97" s="92" t="str">
        <f t="shared" si="27"/>
        <v>4021/4022</v>
      </c>
      <c r="L97" s="21" t="str">
        <f>VLOOKUP(A97,'Trips&amp;Operators'!$C$1:$G$99999,5,FALSE)</f>
        <v>MOSES BRADLEY</v>
      </c>
      <c r="M97" s="6">
        <f t="shared" si="28"/>
        <v>2.4699074070667848E-2</v>
      </c>
      <c r="N97" s="7">
        <f t="shared" si="29"/>
        <v>35.566666661761701</v>
      </c>
      <c r="O97" s="7"/>
      <c r="P97" s="7"/>
      <c r="Q97" s="22"/>
      <c r="R97" s="190"/>
      <c r="S97" s="196">
        <f t="shared" si="30"/>
        <v>1</v>
      </c>
      <c r="T97" s="190" t="str">
        <f t="shared" si="31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2"/>
        <v>https://d0f6bd738d7f1b3e5a7ca70fe4ff75f0.us-east-1.aws.found.io/app/kibana#/discover/Steve-Slow-Train-Analysis-(2080s-and-2083s)?_g=(refreshInterval:(display:Off,pause:!f,section:0,value:0),time:(from:'2017-05-05T13:11:07-0600',mode:absolute,to:'2017-05-05T15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7" s="192" t="str">
        <f t="shared" si="33"/>
        <v>N</v>
      </c>
      <c r="X97" s="192">
        <f t="shared" si="34"/>
        <v>1</v>
      </c>
      <c r="Y97" s="192">
        <f t="shared" si="35"/>
        <v>5.4899999999999997E-2</v>
      </c>
      <c r="Z97" s="192">
        <f t="shared" si="36"/>
        <v>23.3293</v>
      </c>
      <c r="AA97" s="192">
        <f t="shared" si="37"/>
        <v>23.2744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8"/>
        <v>0185-05</v>
      </c>
      <c r="AE97" s="80" t="str">
        <f t="shared" si="39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97" s="77" t="str">
        <f t="shared" si="40"/>
        <v>"C:\Program Files (x86)\AstroGrep\AstroGrep.exe" /e /r /s /spath="%USERPROFILE%\AppData\Local\Temp\OnboardLogs" /stypes="app*4022*20170505*" /stext=" 20:.+((SYSTEM_STATE.+slice.+state.+changed )|(ment ac)|(multiple cpu faults)|(system.+state.+changed )|(\[timeout)|(PRM\|1\|D)|(kpr)|(kdp)|(train st.+moving)|(\|lc)|(penalty))"</v>
      </c>
      <c r="AG97" s="1" t="str">
        <f t="shared" si="41"/>
        <v>EC</v>
      </c>
      <c r="AH97" s="81" t="str">
        <f t="shared" si="42"/>
        <v>"%USERPROFILE%\Documents\GitHub\eaglep3\Utilities\RefineRTDCRunTimes.py" --tripid 185-05 --locoid 4022 --swversion DE.1.0.9.0 --startMP 204:549 --initTime 2017-05-05T14:11:07 --startdatetime 2017-05-05T14:15:22 --delay 1 --endMP 204:233293 --enddatetime 2017-05-05T14:50:56 --enforcementcount 0 &gt;&gt;C:\Users\stu\Documents\GitHub\eaglep3-reporting\EC\2017-05-05-refined-times.txt</v>
      </c>
      <c r="AI9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{"issue":{"subject":"","project_id":79,"tracker_id":40,"status_id":1,"priority_id":2,"assigned_to_id":23,"start_date":"2017-05-05","description":"","custom_fields":[{"id":1,"name":"Subdivision","value":"EC"},{"id":4,"name":"Milepost","value":"23.3293"},{"id":17,"name":"Train ID","value":"185-05"},{"id":16,"name":"Locomotive ID","value":"4022"},{"id":130,"name":"Impact","value":""},{"id":150,"name":"Time of Event (Mountain Time)","value":"14:50:56"},{"id":151,"name":"Denver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4"/>
        <v>start /low /b %USERPROFILE%\Documents\GitHub\eaglep3\Utilities\DownloadLogsFromS3.py --loco 4022 --day 2017-05-05</v>
      </c>
      <c r="AN97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759</v>
      </c>
      <c r="B98" s="7">
        <v>4021</v>
      </c>
      <c r="C98" s="21" t="s">
        <v>210</v>
      </c>
      <c r="D98" s="21" t="s">
        <v>477</v>
      </c>
      <c r="E98" s="13">
        <v>42860.628877314812</v>
      </c>
      <c r="F98" s="13">
        <v>42860.632997685185</v>
      </c>
      <c r="G98" s="7">
        <v>1</v>
      </c>
      <c r="H98" s="21" t="s">
        <v>415</v>
      </c>
      <c r="I98" s="13">
        <v>42860.66265046296</v>
      </c>
      <c r="J98" s="7">
        <v>0</v>
      </c>
      <c r="K98" s="92" t="str">
        <f t="shared" si="27"/>
        <v>4021/4022</v>
      </c>
      <c r="L98" s="21" t="str">
        <f>VLOOKUP(A98,'Trips&amp;Operators'!$C$1:$G$99999,5,FALSE)</f>
        <v>MOSES BRADLEY</v>
      </c>
      <c r="M98" s="6">
        <f t="shared" si="28"/>
        <v>2.9652777775481809E-2</v>
      </c>
      <c r="N98" s="7">
        <f t="shared" si="29"/>
        <v>42.699999996693805</v>
      </c>
      <c r="O98" s="7"/>
      <c r="P98" s="7"/>
      <c r="Q98" s="22"/>
      <c r="R98" s="190"/>
      <c r="S98" s="196">
        <f t="shared" si="30"/>
        <v>1</v>
      </c>
      <c r="T98" s="190" t="str">
        <f t="shared" si="31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2"/>
        <v>https://d0f6bd738d7f1b3e5a7ca70fe4ff75f0.us-east-1.aws.found.io/app/kibana#/discover/Steve-Slow-Train-Analysis-(2080s-and-2083s)?_g=(refreshInterval:(display:Off,pause:!f,section:0,value:0),time:(from:'2017-05-05T14:05:35-0600',mode:absolute,to:'2017-05-05T16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8" s="192" t="str">
        <f t="shared" si="33"/>
        <v>N</v>
      </c>
      <c r="X98" s="192">
        <f t="shared" si="34"/>
        <v>1</v>
      </c>
      <c r="Y98" s="192">
        <f t="shared" si="35"/>
        <v>23.297499999999999</v>
      </c>
      <c r="Z98" s="192">
        <f t="shared" si="36"/>
        <v>1.5599999999999999E-2</v>
      </c>
      <c r="AA98" s="192">
        <f t="shared" si="37"/>
        <v>23.2819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8"/>
        <v>0186-05</v>
      </c>
      <c r="AE98" s="80" t="str">
        <f t="shared" si="39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98" s="77" t="str">
        <f t="shared" si="40"/>
        <v>"C:\Program Files (x86)\AstroGrep\AstroGrep.exe" /e /r /s /spath="%USERPROFILE%\AppData\Local\Temp\OnboardLogs" /stypes="app*4021*20170505*" /stext=" 21:.+((SYSTEM_STATE.+slice.+state.+changed )|(ment ac)|(multiple cpu faults)|(system.+state.+changed )|(\[timeout)|(PRM\|1\|D)|(kpr)|(kdp)|(train st.+moving)|(\|lc)|(penalty))"</v>
      </c>
      <c r="AG98" s="1" t="str">
        <f t="shared" si="41"/>
        <v>EC</v>
      </c>
      <c r="AH98" s="81" t="str">
        <f t="shared" si="42"/>
        <v>"%USERPROFILE%\Documents\GitHub\eaglep3\Utilities\RefineRTDCRunTimes.py" --tripid 186-05 --locoid 4021 --swversion DE.1.0.9.0 --startMP 204:232975 --initTime 2017-05-05T15:05:35 --startdatetime 2017-05-05T15:11:31 --delay 1 --endMP 204:156 --enddatetime 2017-05-05T15:54:13 --enforcementcount 0 &gt;&gt;C:\Users\stu\Documents\GitHub\eaglep3-reporting\EC\2017-05-05-refined-times.txt</v>
      </c>
      <c r="AI9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{"issue":{"subject":"","project_id":79,"tracker_id":40,"status_id":1,"priority_id":2,"assigned_to_id":23,"start_date":"2017-05-05","description":"","custom_fields":[{"id":1,"name":"Subdivision","value":"EC"},{"id":4,"name":"Milepost","value":"0.0156"},{"id":17,"name":"Train ID","value":"186-05"},{"id":16,"name":"Locomotive ID","value":"4021"},{"id":130,"name":"Impact","value":""},{"id":150,"name":"Time of Event (Mountain Time)","value":"15:54:13"},{"id":151,"name":"Denver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44"/>
        <v>start /low /b %USERPROFILE%\Documents\GitHub\eaglep3\Utilities\DownloadLogsFromS3.py --loco 4021 --day 2017-05-05</v>
      </c>
      <c r="AN98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609</v>
      </c>
      <c r="B99" s="7">
        <v>4042</v>
      </c>
      <c r="C99" s="21" t="s">
        <v>210</v>
      </c>
      <c r="D99" s="21" t="s">
        <v>887</v>
      </c>
      <c r="E99" s="13">
        <v>42860.62332175926</v>
      </c>
      <c r="F99" s="13">
        <v>42860.62427083333</v>
      </c>
      <c r="G99" s="7">
        <v>1</v>
      </c>
      <c r="H99" s="21" t="s">
        <v>888</v>
      </c>
      <c r="I99" s="13">
        <v>42860.634317129632</v>
      </c>
      <c r="J99" s="7">
        <v>0</v>
      </c>
      <c r="K99" s="92" t="str">
        <f t="shared" si="27"/>
        <v>4041/4042</v>
      </c>
      <c r="L99" s="21" t="str">
        <f>VLOOKUP(A99,'Trips&amp;Operators'!$C$1:$G$99999,5,FALSE)</f>
        <v>LOPES KIMBERLY</v>
      </c>
      <c r="M99" s="6">
        <f t="shared" si="28"/>
        <v>1.004629630187992E-2</v>
      </c>
      <c r="N99" s="7"/>
      <c r="O99" s="7"/>
      <c r="P99" s="7">
        <f>24*60*SUM($M99:$M101)</f>
        <v>38.016666668700054</v>
      </c>
      <c r="Q99" s="22"/>
      <c r="R99" s="190" t="s">
        <v>525</v>
      </c>
      <c r="S99" s="196">
        <f>SUM(U99:U101)/IF(AG99="EC",12,1)</f>
        <v>0.91666666666666663</v>
      </c>
      <c r="T99" s="190" t="str">
        <f t="shared" si="31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0</v>
      </c>
      <c r="V99" s="191" t="str">
        <f t="shared" si="32"/>
        <v>https://d0f6bd738d7f1b3e5a7ca70fe4ff75f0.us-east-1.aws.found.io/app/kibana#/discover/Steve-Slow-Train-Analysis-(2080s-and-2083s)?_g=(refreshInterval:(display:Off,pause:!f,section:0,value:0),time:(from:'2017-05-05T13:57:35-0600',mode:absolute,to:'2017-05-05T16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192" t="str">
        <f t="shared" si="33"/>
        <v>Y</v>
      </c>
      <c r="X99" s="192">
        <f t="shared" si="34"/>
        <v>1</v>
      </c>
      <c r="Y99" s="192">
        <f t="shared" si="35"/>
        <v>12.835699999999999</v>
      </c>
      <c r="Z99" s="192">
        <f t="shared" si="36"/>
        <v>23.331700000000001</v>
      </c>
      <c r="AA99" s="192">
        <f t="shared" si="37"/>
        <v>10.496000000000002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8"/>
        <v>0187-05</v>
      </c>
      <c r="AE99" s="80" t="str">
        <f t="shared" si="39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99" s="77" t="str">
        <f t="shared" si="40"/>
        <v>"C:\Program Files (x86)\AstroGrep\AstroGrep.exe" /e /r /s /spath="%USERPROFILE%\AppData\Local\Temp\OnboardLogs" /stypes="app*4042*20170505*" /stext=" 21:.+((SYSTEM_STATE.+slice.+state.+changed )|(ment ac)|(multiple cpu faults)|(system.+state.+changed )|(\[timeout)|(PRM\|1\|D)|(kpr)|(kdp)|(train st.+moving)|(\|lc)|(penalty))"</v>
      </c>
      <c r="AG99" s="1" t="str">
        <f t="shared" si="41"/>
        <v>EC</v>
      </c>
      <c r="AH99" s="81" t="str">
        <f t="shared" si="42"/>
        <v>"%USERPROFILE%\Documents\GitHub\eaglep3\Utilities\RefineRTDCRunTimes.py" --tripid 187-05 --locoid 4042 --swversion DE.1.0.9.0 --startMP 204:128357 --initTime 2017-05-05T14:57:35 --startdatetime 2017-05-05T14:58:57 --delay 1 --endMP 204:233317 --enddatetime 2017-05-05T15:13:25 --enforcementcount 0 &gt;&gt;C:\Users\stu\Documents\GitHub\eaglep3-reporting\EC\2017-05-05-refined-times.txt</v>
      </c>
      <c r="AI99" s="99" t="str">
        <f t="shared" si="43"/>
        <v>echo {"issue":{"subject":"Wi-MAX data drop","project_id":79,"tracker_id":40,"status_id":1,"priority_id":2,"assigned_to_id":23,"start_date":"2017-05-05","description":"","custom_fields":[{"id":1,"name":"Subdivision","value":"EC"},{"id":4,"name":"Milepost","value":"23.3317"},{"id":17,"name":"Train ID","value":"187-05"},{"id":16,"name":"Locomotive ID","value":"4042"},{"id":130,"name":"Impact","value":""},{"id":150,"name":"Time of Event (Mountain Time)","value":"15:13:25"},{"id":151,"name":"Denver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4"/>
        <v>start /low /b %USERPROFILE%\Documents\GitHub\eaglep3\Utilities\DownloadLogsFromS3.py --loco 4042 --day 2017-05-05</v>
      </c>
      <c r="AN99" s="154" t="str">
        <f t="shared" si="45"/>
        <v>echo {"issue":{"subject":"Wi-MAX data drop","project_id":30,"tracker_id":4,"status_id":1,"priority_id":1,"assigned_to_id":10,"start_date":"2017-05-05","description":"","custom_fields":[{"id":30,"name":"Category","value":"Issue"},{"id":3,"name":"Functional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21:13:25"},{"id":29,"name":"Sharepoint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609</v>
      </c>
      <c r="B100" s="7">
        <v>4042</v>
      </c>
      <c r="C100" s="21" t="s">
        <v>210</v>
      </c>
      <c r="D100" s="21" t="s">
        <v>380</v>
      </c>
      <c r="E100" s="13">
        <v>42860.600011574075</v>
      </c>
      <c r="F100" s="13">
        <v>42860.601134259261</v>
      </c>
      <c r="G100" s="7">
        <v>1</v>
      </c>
      <c r="H100" s="21" t="s">
        <v>889</v>
      </c>
      <c r="I100" s="13">
        <v>42860.614050925928</v>
      </c>
      <c r="J100" s="7">
        <v>2</v>
      </c>
      <c r="K100" s="92" t="str">
        <f t="shared" si="27"/>
        <v>4041/4042</v>
      </c>
      <c r="L100" s="21" t="str">
        <f>VLOOKUP(A100,'Trips&amp;Operators'!$C$1:$G$99999,5,FALSE)</f>
        <v>LOPES KIMBERLY</v>
      </c>
      <c r="M100" s="6">
        <f t="shared" si="28"/>
        <v>1.2916666666569654E-2</v>
      </c>
      <c r="N100" s="7"/>
      <c r="O100" s="7"/>
      <c r="P100" s="7"/>
      <c r="Q100" s="22"/>
      <c r="R100" s="190"/>
      <c r="S100" s="196"/>
      <c r="T100" s="190" t="str">
        <f t="shared" si="31"/>
        <v>NorthBound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9</v>
      </c>
      <c r="V100" s="191" t="str">
        <f t="shared" si="32"/>
        <v>https://d0f6bd738d7f1b3e5a7ca70fe4ff75f0.us-east-1.aws.found.io/app/kibana#/discover/Steve-Slow-Train-Analysis-(2080s-and-2083s)?_g=(refreshInterval:(display:Off,pause:!f,section:0,value:0),time:(from:'2017-05-05T13:24:01-0600',mode:absolute,to:'2017-05-05T15:44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0" s="192" t="str">
        <f t="shared" si="33"/>
        <v>Y</v>
      </c>
      <c r="X100" s="192">
        <f t="shared" si="34"/>
        <v>0</v>
      </c>
      <c r="Y100" s="192">
        <f t="shared" si="35"/>
        <v>4.6199999999999998E-2</v>
      </c>
      <c r="Z100" s="192">
        <f t="shared" si="36"/>
        <v>6.4198000000000004</v>
      </c>
      <c r="AA100" s="192">
        <f t="shared" si="37"/>
        <v>6.3736000000000006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8"/>
        <v>0187-05</v>
      </c>
      <c r="AE100" s="80" t="str">
        <f t="shared" si="39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100" s="77" t="str">
        <f t="shared" si="40"/>
        <v>"C:\Program Files (x86)\AstroGrep\AstroGrep.exe" /e /r /s /spath="%USERPROFILE%\AppData\Local\Temp\OnboardLogs" /stypes="app*4042*20170505*" /stext=" 20:.+((SYSTEM_STATE.+slice.+state.+changed )|(ment ac)|(multiple cpu faults)|(system.+state.+changed )|(\[timeout)|(PRM\|1\|D)|(kpr)|(kdp)|(train st.+moving)|(\|lc)|(penalty))"</v>
      </c>
      <c r="AG100" s="1" t="str">
        <f t="shared" si="41"/>
        <v>EC</v>
      </c>
      <c r="AH100" s="81" t="str">
        <f t="shared" si="42"/>
        <v>"%USERPROFILE%\Documents\GitHub\eaglep3\Utilities\RefineRTDCRunTimes.py" --tripid 187-05 --locoid 4042 --swversion DE.1.0.9.0 --startMP 204:462 --initTime 2017-05-05T14:24:01 --startdatetime 2017-05-05T14:25:38 --delay 1 --endMP 204:64198 --enddatetime 2017-05-05T14:44:14 --enforcementcount 2 &gt;&gt;C:\Users\stu\Documents\GitHub\eaglep3-reporting\EC\2017-05-05-refined-times.txt</v>
      </c>
      <c r="AI10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{"issue":{"subject":"","project_id":79,"tracker_id":40,"status_id":1,"priority_id":2,"assigned_to_id":23,"start_date":"2017-05-05","description":"","custom_fields":[{"id":1,"name":"Subdivision","value":"EC"},{"id":4,"name":"Milepost","value":"6.4198"},{"id":17,"name":"Train ID","value":"187-05"},{"id":16,"name":"Locomotive ID","value":"4042"},{"id":130,"name":"Impact","value":""},{"id":150,"name":"Time of Event (Mountain Time)","value":"14:44:14"},{"id":151,"name":"Denver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4"/>
        <v>start /low /b %USERPROFILE%\Documents\GitHub\eaglep3\Utilities\DownloadLogsFromS3.py --loco 4042 --day 2017-05-05</v>
      </c>
      <c r="AN100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20:44:14"},{"id":29,"name":"Sharepoint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609</v>
      </c>
      <c r="B101" s="7">
        <v>4042</v>
      </c>
      <c r="C101" s="21" t="s">
        <v>210</v>
      </c>
      <c r="D101" s="21" t="s">
        <v>890</v>
      </c>
      <c r="E101" s="13">
        <v>42860.618344907409</v>
      </c>
      <c r="F101" s="13">
        <v>42860.619039351855</v>
      </c>
      <c r="G101" s="7">
        <v>0</v>
      </c>
      <c r="H101" s="21" t="s">
        <v>891</v>
      </c>
      <c r="I101" s="13">
        <v>42860.622476851851</v>
      </c>
      <c r="J101" s="7">
        <v>0</v>
      </c>
      <c r="K101" s="92" t="str">
        <f t="shared" si="27"/>
        <v>4041/4042</v>
      </c>
      <c r="L101" s="21" t="str">
        <f>VLOOKUP(A101,'Trips&amp;Operators'!$C$1:$G$99999,5,FALSE)</f>
        <v>LOPES KIMBERLY</v>
      </c>
      <c r="M101" s="6">
        <f t="shared" si="28"/>
        <v>3.4374999959254637E-3</v>
      </c>
      <c r="N101" s="7"/>
      <c r="O101" s="7"/>
      <c r="P101" s="7"/>
      <c r="Q101" s="22"/>
      <c r="R101" s="190"/>
      <c r="S101" s="196"/>
      <c r="T101" s="190" t="str">
        <f t="shared" si="31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2</v>
      </c>
      <c r="V101" s="191" t="str">
        <f t="shared" si="32"/>
        <v>https://d0f6bd738d7f1b3e5a7ca70fe4ff75f0.us-east-1.aws.found.io/app/kibana#/discover/Steve-Slow-Train-Analysis-(2080s-and-2083s)?_g=(refreshInterval:(display:Off,pause:!f,section:0,value:0),time:(from:'2017-05-05T13:50:25-0600',mode:absolute,to:'2017-05-05T15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192" t="str">
        <f t="shared" si="33"/>
        <v>Y</v>
      </c>
      <c r="X101" s="192">
        <f t="shared" si="34"/>
        <v>0</v>
      </c>
      <c r="Y101" s="192">
        <f t="shared" si="35"/>
        <v>8.6374999999999993</v>
      </c>
      <c r="Z101" s="192">
        <f t="shared" si="36"/>
        <v>12.4367</v>
      </c>
      <c r="AA101" s="192">
        <f t="shared" si="37"/>
        <v>3.7992000000000008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8"/>
        <v>0187-05</v>
      </c>
      <c r="AE101" s="80" t="str">
        <f t="shared" si="39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101" s="77" t="str">
        <f t="shared" si="40"/>
        <v>"C:\Program Files (x86)\AstroGrep\AstroGrep.exe" /e /r /s /spath="%USERPROFILE%\AppData\Local\Temp\OnboardLogs" /stypes="app*4042*20170505*" /stext=" 20:.+((SYSTEM_STATE.+slice.+state.+changed )|(ment ac)|(multiple cpu faults)|(system.+state.+changed )|(\[timeout)|(PRM\|1\|D)|(kpr)|(kdp)|(train st.+moving)|(\|lc)|(penalty))"</v>
      </c>
      <c r="AG101" s="1" t="str">
        <f t="shared" si="41"/>
        <v>EC</v>
      </c>
      <c r="AH101" s="81" t="str">
        <f t="shared" si="42"/>
        <v>"%USERPROFILE%\Documents\GitHub\eaglep3\Utilities\RefineRTDCRunTimes.py" --tripid 187-05 --locoid 4042 --swversion DE.1.0.9.0 --startMP 204:86375 --initTime 2017-05-05T14:50:25 --startdatetime 2017-05-05T14:51:25 --delay 0 --endMP 204:124367 --enddatetime 2017-05-05T14:56:22 --enforcementcount 0 &gt;&gt;C:\Users\stu\Documents\GitHub\eaglep3-reporting\EC\2017-05-05-refined-times.txt</v>
      </c>
      <c r="AI10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{"issue":{"subject":"","project_id":79,"tracker_id":40,"status_id":1,"priority_id":2,"assigned_to_id":23,"start_date":"2017-05-05","description":"","custom_fields":[{"id":1,"name":"Subdivision","value":"EC"},{"id":4,"name":"Milepost","value":"12.4367"},{"id":17,"name":"Train ID","value":"187-05"},{"id":16,"name":"Locomotive ID","value":"4042"},{"id":130,"name":"Impact","value":""},{"id":150,"name":"Time of Event (Mountain Time)","value":"14:56:22"},{"id":151,"name":"Denver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4"/>
        <v>start /low /b %USERPROFILE%\Documents\GitHub\eaglep3\Utilities\DownloadLogsFromS3.py --loco 4042 --day 2017-05-05</v>
      </c>
      <c r="AN101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762</v>
      </c>
      <c r="B102" s="7">
        <v>4041</v>
      </c>
      <c r="C102" s="21" t="s">
        <v>210</v>
      </c>
      <c r="D102" s="21" t="s">
        <v>863</v>
      </c>
      <c r="E102" s="13">
        <v>42860.641412037039</v>
      </c>
      <c r="F102" s="13">
        <v>42860.643495370372</v>
      </c>
      <c r="G102" s="7">
        <v>1</v>
      </c>
      <c r="H102" s="21" t="s">
        <v>404</v>
      </c>
      <c r="I102" s="13">
        <v>42860.669652777775</v>
      </c>
      <c r="J102" s="7">
        <v>0</v>
      </c>
      <c r="K102" s="92" t="str">
        <f t="shared" si="27"/>
        <v>4041/4042</v>
      </c>
      <c r="L102" s="21" t="str">
        <f>VLOOKUP(A102,'Trips&amp;Operators'!$C$1:$G$99999,5,FALSE)</f>
        <v>LOPES KIMBERLY</v>
      </c>
      <c r="M102" s="6">
        <f t="shared" si="28"/>
        <v>2.6157407402934041E-2</v>
      </c>
      <c r="N102" s="7">
        <f t="shared" ref="N102:N115" si="46">24*60*SUM($M102:$M102)</f>
        <v>37.666666660225019</v>
      </c>
      <c r="O102" s="7"/>
      <c r="P102" s="7"/>
      <c r="Q102" s="22"/>
      <c r="R102" s="190"/>
      <c r="S102" s="196">
        <f t="shared" ref="S102:S136" si="47">SUM(U102:U102)/IF(AG102="EC",12,1)</f>
        <v>1</v>
      </c>
      <c r="T102" s="190" t="str">
        <f t="shared" si="31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2"/>
        <v>https://d0f6bd738d7f1b3e5a7ca70fe4ff75f0.us-east-1.aws.found.io/app/kibana#/discover/Steve-Slow-Train-Analysis-(2080s-and-2083s)?_g=(refreshInterval:(display:Off,pause:!f,section:0,value:0),time:(from:'2017-05-05T14:23:38-0600',mode:absolute,to:'2017-05-05T17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192" t="str">
        <f t="shared" si="33"/>
        <v>N</v>
      </c>
      <c r="X102" s="192">
        <f t="shared" si="34"/>
        <v>1</v>
      </c>
      <c r="Y102" s="192">
        <f t="shared" si="35"/>
        <v>23.299399999999999</v>
      </c>
      <c r="Z102" s="192">
        <f t="shared" si="36"/>
        <v>1.43E-2</v>
      </c>
      <c r="AA102" s="192">
        <f t="shared" si="37"/>
        <v>23.2851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8"/>
        <v>0188-05</v>
      </c>
      <c r="AE102" s="80" t="str">
        <f t="shared" si="39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102" s="77" t="str">
        <f t="shared" si="40"/>
        <v>"C:\Program Files (x86)\AstroGrep\AstroGrep.exe" /e /r /s /spath="%USERPROFILE%\AppData\Local\Temp\OnboardLogs" /stypes="app*4041*20170505*" /stext=" 22:.+((SYSTEM_STATE.+slice.+state.+changed )|(ment ac)|(multiple cpu faults)|(system.+state.+changed )|(\[timeout)|(PRM\|1\|D)|(kpr)|(kdp)|(train st.+moving)|(\|lc)|(penalty))"</v>
      </c>
      <c r="AG102" s="1" t="str">
        <f t="shared" si="41"/>
        <v>EC</v>
      </c>
      <c r="AH102" s="81" t="str">
        <f t="shared" si="42"/>
        <v>"%USERPROFILE%\Documents\GitHub\eaglep3\Utilities\RefineRTDCRunTimes.py" --tripid 188-05 --locoid 4041 --swversion DE.1.0.9.0 --startMP 204:232994 --initTime 2017-05-05T15:23:38 --startdatetime 2017-05-05T15:26:38 --delay 1 --endMP 204:143 --enddatetime 2017-05-05T16:04:18 --enforcementcount 0 &gt;&gt;C:\Users\stu\Documents\GitHub\eaglep3-reporting\EC\2017-05-05-refined-times.txt</v>
      </c>
      <c r="AI10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{"issue":{"subject":"","project_id":79,"tracker_id":40,"status_id":1,"priority_id":2,"assigned_to_id":23,"start_date":"2017-05-05","description":"","custom_fields":[{"id":1,"name":"Subdivision","value":"EC"},{"id":4,"name":"Milepost","value":"0.0143"},{"id":17,"name":"Train ID","value":"188-05"},{"id":16,"name":"Locomotive ID","value":"4041"},{"id":130,"name":"Impact","value":""},{"id":150,"name":"Time of Event (Mountain Time)","value":"16:04:18"},{"id":151,"name":"Denver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4"/>
        <v>start /low /b %USERPROFILE%\Documents\GitHub\eaglep3\Utilities\DownloadLogsFromS3.py --loco 4041 --day 2017-05-05</v>
      </c>
      <c r="AN102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612</v>
      </c>
      <c r="B103" s="7">
        <v>4030</v>
      </c>
      <c r="C103" s="21" t="s">
        <v>210</v>
      </c>
      <c r="D103" s="21" t="s">
        <v>865</v>
      </c>
      <c r="E103" s="13">
        <v>42860.608993055554</v>
      </c>
      <c r="F103" s="13">
        <v>42860.614733796298</v>
      </c>
      <c r="G103" s="7">
        <v>1</v>
      </c>
      <c r="H103" s="21" t="s">
        <v>860</v>
      </c>
      <c r="I103" s="13">
        <v>42860.641111111108</v>
      </c>
      <c r="J103" s="7">
        <v>0</v>
      </c>
      <c r="K103" s="92" t="str">
        <f t="shared" si="27"/>
        <v>4029/4030</v>
      </c>
      <c r="L103" s="21" t="str">
        <f>VLOOKUP(A103,'Trips&amp;Operators'!$C$1:$G$99999,5,FALSE)</f>
        <v>DELGADO DIANAH</v>
      </c>
      <c r="M103" s="6">
        <f t="shared" si="28"/>
        <v>2.6377314810815733E-2</v>
      </c>
      <c r="N103" s="7">
        <f t="shared" si="46"/>
        <v>37.983333327574655</v>
      </c>
      <c r="O103" s="7"/>
      <c r="P103" s="7"/>
      <c r="Q103" s="22"/>
      <c r="R103" s="190"/>
      <c r="S103" s="196">
        <f t="shared" si="47"/>
        <v>1</v>
      </c>
      <c r="T103" s="190" t="str">
        <f t="shared" si="31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2"/>
        <v>https://d0f6bd738d7f1b3e5a7ca70fe4ff75f0.us-east-1.aws.found.io/app/kibana#/discover/Steve-Slow-Train-Analysis-(2080s-and-2083s)?_g=(refreshInterval:(display:Off,pause:!f,section:0,value:0),time:(from:'2017-05-05T13:36:57-0600',mode:absolute,to:'2017-05-05T16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192" t="str">
        <f t="shared" si="33"/>
        <v>N</v>
      </c>
      <c r="X103" s="192">
        <f t="shared" si="34"/>
        <v>1</v>
      </c>
      <c r="Y103" s="192">
        <f t="shared" si="35"/>
        <v>4.3299999999999998E-2</v>
      </c>
      <c r="Z103" s="192">
        <f t="shared" si="36"/>
        <v>23.331199999999999</v>
      </c>
      <c r="AA103" s="192">
        <f t="shared" si="37"/>
        <v>23.2879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8"/>
        <v>0189-05</v>
      </c>
      <c r="AE103" s="80" t="str">
        <f t="shared" si="39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03" s="77" t="str">
        <f t="shared" si="40"/>
        <v>"C:\Program Files (x86)\AstroGrep\AstroGrep.exe" /e /r /s /spath="%USERPROFILE%\AppData\Local\Temp\OnboardLogs" /stypes="app*4030*20170505*" /stext=" 21:.+((SYSTEM_STATE.+slice.+state.+changed )|(ment ac)|(multiple cpu faults)|(system.+state.+changed )|(\[timeout)|(PRM\|1\|D)|(kpr)|(kdp)|(train st.+moving)|(\|lc)|(penalty))"</v>
      </c>
      <c r="AG103" s="1" t="str">
        <f t="shared" si="41"/>
        <v>EC</v>
      </c>
      <c r="AH103" s="81" t="str">
        <f t="shared" si="42"/>
        <v>"%USERPROFILE%\Documents\GitHub\eaglep3\Utilities\RefineRTDCRunTimes.py" --tripid 189-05 --locoid 4030 --swversion DE.1.0.9.0 --startMP 204:433 --initTime 2017-05-05T14:36:57 --startdatetime 2017-05-05T14:45:13 --delay 1 --endMP 204:233312 --enddatetime 2017-05-05T15:23:12 --enforcementcount 0 &gt;&gt;C:\Users\stu\Documents\GitHub\eaglep3-reporting\EC\2017-05-05-refined-times.txt</v>
      </c>
      <c r="AI10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{"issue":{"subject":"","project_id":79,"tracker_id":40,"status_id":1,"priority_id":2,"assigned_to_id":23,"start_date":"2017-05-05","description":"","custom_fields":[{"id":1,"name":"Subdivision","value":"EC"},{"id":4,"name":"Milepost","value":"23.3312"},{"id":17,"name":"Train ID","value":"189-05"},{"id":16,"name":"Locomotive ID","value":"4030"},{"id":130,"name":"Impact","value":""},{"id":150,"name":"Time of Event (Mountain Time)","value":"15:23:12"},{"id":151,"name":"Denver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4"/>
        <v>start /low /b %USERPROFILE%\Documents\GitHub\eaglep3\Utilities\DownloadLogsFromS3.py --loco 4030 --day 2017-05-05</v>
      </c>
      <c r="AN103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765</v>
      </c>
      <c r="B104" s="7">
        <v>4029</v>
      </c>
      <c r="C104" s="21" t="s">
        <v>210</v>
      </c>
      <c r="D104" s="21" t="s">
        <v>425</v>
      </c>
      <c r="E104" s="13">
        <v>42860.645520833335</v>
      </c>
      <c r="F104" s="13">
        <v>42860.653634259259</v>
      </c>
      <c r="G104" s="7">
        <v>1</v>
      </c>
      <c r="H104" s="21" t="s">
        <v>892</v>
      </c>
      <c r="I104" s="13">
        <v>42860.679363425923</v>
      </c>
      <c r="J104" s="7">
        <v>0</v>
      </c>
      <c r="K104" s="92" t="str">
        <f t="shared" si="27"/>
        <v>4029/4030</v>
      </c>
      <c r="L104" s="21" t="str">
        <f>VLOOKUP(A104,'Trips&amp;Operators'!$C$1:$G$99999,5,FALSE)</f>
        <v>DELGADO DIANAH</v>
      </c>
      <c r="M104" s="6">
        <f t="shared" si="28"/>
        <v>2.5729166663950309E-2</v>
      </c>
      <c r="N104" s="7">
        <f t="shared" si="46"/>
        <v>37.049999996088445</v>
      </c>
      <c r="O104" s="7"/>
      <c r="P104" s="7"/>
      <c r="Q104" s="22"/>
      <c r="R104" s="190"/>
      <c r="S104" s="196">
        <f t="shared" si="47"/>
        <v>1</v>
      </c>
      <c r="T104" s="190" t="str">
        <f t="shared" si="31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2"/>
        <v>https://d0f6bd738d7f1b3e5a7ca70fe4ff75f0.us-east-1.aws.found.io/app/kibana#/discover/Steve-Slow-Train-Analysis-(2080s-and-2083s)?_g=(refreshInterval:(display:Off,pause:!f,section:0,value:0),time:(from:'2017-05-05T14:29:33-0600',mode:absolute,to:'2017-05-05T17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4" s="192" t="str">
        <f t="shared" si="33"/>
        <v>N</v>
      </c>
      <c r="X104" s="192">
        <f t="shared" si="34"/>
        <v>1</v>
      </c>
      <c r="Y104" s="192">
        <f t="shared" si="35"/>
        <v>23.298400000000001</v>
      </c>
      <c r="Z104" s="192">
        <f t="shared" si="36"/>
        <v>2.1999999999999999E-2</v>
      </c>
      <c r="AA104" s="192">
        <f t="shared" si="37"/>
        <v>23.276400000000002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8"/>
        <v>0190-05</v>
      </c>
      <c r="AE104" s="80" t="str">
        <f t="shared" si="39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104" s="77" t="str">
        <f t="shared" si="40"/>
        <v>"C:\Program Files (x86)\AstroGrep\AstroGrep.exe" /e /r /s /spath="%USERPROFILE%\AppData\Local\Temp\OnboardLogs" /stypes="app*4029*20170505*" /stext=" 22:.+((SYSTEM_STATE.+slice.+state.+changed )|(ment ac)|(multiple cpu faults)|(system.+state.+changed )|(\[timeout)|(PRM\|1\|D)|(kpr)|(kdp)|(train st.+moving)|(\|lc)|(penalty))"</v>
      </c>
      <c r="AG104" s="1" t="str">
        <f t="shared" si="41"/>
        <v>EC</v>
      </c>
      <c r="AH104" s="81" t="str">
        <f t="shared" si="42"/>
        <v>"%USERPROFILE%\Documents\GitHub\eaglep3\Utilities\RefineRTDCRunTimes.py" --tripid 190-05 --locoid 4029 --swversion DE.1.0.9.0 --startMP 204:232984 --initTime 2017-05-05T15:29:33 --startdatetime 2017-05-05T15:41:14 --delay 1 --endMP 204:220 --enddatetime 2017-05-05T16:18:17 --enforcementcount 0 &gt;&gt;C:\Users\stu\Documents\GitHub\eaglep3-reporting\EC\2017-05-05-refined-times.txt</v>
      </c>
      <c r="AI10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{"issue":{"subject":"","project_id":79,"tracker_id":40,"status_id":1,"priority_id":2,"assigned_to_id":23,"start_date":"2017-05-05","description":"","custom_fields":[{"id":1,"name":"Subdivision","value":"EC"},{"id":4,"name":"Milepost","value":"0.022"},{"id":17,"name":"Train ID","value":"190-05"},{"id":16,"name":"Locomotive ID","value":"4029"},{"id":130,"name":"Impact","value":""},{"id":150,"name":"Time of Event (Mountain Time)","value":"16:18:17"},{"id":151,"name":"Denver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4"/>
        <v>start /low /b %USERPROFILE%\Documents\GitHub\eaglep3\Utilities\DownloadLogsFromS3.py --loco 4029 --day 2017-05-05</v>
      </c>
      <c r="AN104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757</v>
      </c>
      <c r="B105" s="7">
        <v>4008</v>
      </c>
      <c r="C105" s="21" t="s">
        <v>210</v>
      </c>
      <c r="D105" s="21" t="s">
        <v>472</v>
      </c>
      <c r="E105" s="13">
        <v>42860.622025462966</v>
      </c>
      <c r="F105" s="13">
        <v>42860.625219907408</v>
      </c>
      <c r="G105" s="7">
        <v>1</v>
      </c>
      <c r="H105" s="21" t="s">
        <v>416</v>
      </c>
      <c r="I105" s="13">
        <v>42860.649895833332</v>
      </c>
      <c r="J105" s="7">
        <v>0</v>
      </c>
      <c r="K105" s="92" t="str">
        <f t="shared" si="27"/>
        <v>4007/4008</v>
      </c>
      <c r="L105" s="21" t="str">
        <f>VLOOKUP(A105,'Trips&amp;Operators'!$C$1:$G$99999,5,FALSE)</f>
        <v>WHITED DUSTIN</v>
      </c>
      <c r="M105" s="6">
        <f t="shared" si="28"/>
        <v>2.4675925924384501E-2</v>
      </c>
      <c r="N105" s="7">
        <f t="shared" si="46"/>
        <v>35.533333331113681</v>
      </c>
      <c r="O105" s="7"/>
      <c r="P105" s="7"/>
      <c r="Q105" s="22"/>
      <c r="R105" s="190"/>
      <c r="S105" s="196">
        <f t="shared" si="47"/>
        <v>1</v>
      </c>
      <c r="T105" s="190" t="str">
        <f t="shared" si="31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2"/>
        <v>https://d0f6bd738d7f1b3e5a7ca70fe4ff75f0.us-east-1.aws.found.io/app/kibana#/discover/Steve-Slow-Train-Analysis-(2080s-and-2083s)?_g=(refreshInterval:(display:Off,pause:!f,section:0,value:0),time:(from:'2017-05-05T13:55:43-0600',mode:absolute,to:'2017-05-05T16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192" t="str">
        <f t="shared" si="33"/>
        <v>N</v>
      </c>
      <c r="X105" s="192">
        <f t="shared" si="34"/>
        <v>1</v>
      </c>
      <c r="Y105" s="192">
        <f t="shared" si="35"/>
        <v>4.7100000000000003E-2</v>
      </c>
      <c r="Z105" s="192">
        <f t="shared" si="36"/>
        <v>23.331</v>
      </c>
      <c r="AA105" s="192">
        <f t="shared" si="37"/>
        <v>23.283899999999999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8"/>
        <v>0191-05</v>
      </c>
      <c r="AE105" s="80" t="str">
        <f t="shared" si="39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05" s="77" t="str">
        <f t="shared" si="40"/>
        <v>"C:\Program Files (x86)\AstroGrep\AstroGrep.exe" /e /r /s /spath="%USERPROFILE%\AppData\Local\Temp\OnboardLogs" /stypes="app*4008*20170505*" /stext=" 21:.+((SYSTEM_STATE.+slice.+state.+changed )|(ment ac)|(multiple cpu faults)|(system.+state.+changed )|(\[timeout)|(PRM\|1\|D)|(kpr)|(kdp)|(train st.+moving)|(\|lc)|(penalty))"</v>
      </c>
      <c r="AG105" s="1" t="str">
        <f t="shared" si="41"/>
        <v>EC</v>
      </c>
      <c r="AH105" s="81" t="str">
        <f t="shared" si="42"/>
        <v>"%USERPROFILE%\Documents\GitHub\eaglep3\Utilities\RefineRTDCRunTimes.py" --tripid 191-05 --locoid 4008 --swversion DE.1.0.9.0 --startMP 204:471 --initTime 2017-05-05T14:55:43 --startdatetime 2017-05-05T15:00:19 --delay 1 --endMP 204:233310 --enddatetime 2017-05-05T15:35:51 --enforcementcount 0 &gt;&gt;C:\Users\stu\Documents\GitHub\eaglep3-reporting\EC\2017-05-05-refined-times.txt</v>
      </c>
      <c r="AI105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{"issue":{"subject":"","project_id":79,"tracker_id":40,"status_id":1,"priority_id":2,"assigned_to_id":23,"start_date":"2017-05-05","description":"","custom_fields":[{"id":1,"name":"Subdivision","value":"EC"},{"id":4,"name":"Milepost","value":"23.331"},{"id":17,"name":"Train ID","value":"191-05"},{"id":16,"name":"Locomotive ID","value":"4008"},{"id":130,"name":"Impact","value":""},{"id":150,"name":"Time of Event (Mountain Time)","value":"15:35:51"},{"id":151,"name":"Denver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4"/>
        <v>start /low /b %USERPROFILE%\Documents\GitHub\eaglep3\Utilities\DownloadLogsFromS3.py --loco 4008 --day 2017-05-05</v>
      </c>
      <c r="AN105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769</v>
      </c>
      <c r="B106" s="7">
        <v>4007</v>
      </c>
      <c r="C106" s="21" t="s">
        <v>210</v>
      </c>
      <c r="D106" s="21" t="s">
        <v>562</v>
      </c>
      <c r="E106" s="13">
        <v>42860.65834490741</v>
      </c>
      <c r="F106" s="13">
        <v>42860.664050925923</v>
      </c>
      <c r="G106" s="7">
        <v>1</v>
      </c>
      <c r="H106" s="21" t="s">
        <v>403</v>
      </c>
      <c r="I106" s="13">
        <v>42860.689965277779</v>
      </c>
      <c r="J106" s="7">
        <v>0</v>
      </c>
      <c r="K106" s="92" t="str">
        <f t="shared" si="27"/>
        <v>4007/4008</v>
      </c>
      <c r="L106" s="21" t="str">
        <f>VLOOKUP(A106,'Trips&amp;Operators'!$C$1:$G$99999,5,FALSE)</f>
        <v>WHITED DUSTIN</v>
      </c>
      <c r="M106" s="6">
        <f t="shared" si="28"/>
        <v>2.5914351856044959E-2</v>
      </c>
      <c r="N106" s="7">
        <f t="shared" si="46"/>
        <v>37.316666672704741</v>
      </c>
      <c r="O106" s="7"/>
      <c r="P106" s="7"/>
      <c r="Q106" s="22"/>
      <c r="R106" s="190"/>
      <c r="S106" s="196">
        <f t="shared" si="47"/>
        <v>1</v>
      </c>
      <c r="T106" s="190" t="str">
        <f t="shared" si="31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2"/>
        <v>https://d0f6bd738d7f1b3e5a7ca70fe4ff75f0.us-east-1.aws.found.io/app/kibana#/discover/Steve-Slow-Train-Analysis-(2080s-and-2083s)?_g=(refreshInterval:(display:Off,pause:!f,section:0,value:0),time:(from:'2017-05-05T14:48:01-0600',mode:absolute,to:'2017-05-05T17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92" t="str">
        <f t="shared" si="33"/>
        <v>N</v>
      </c>
      <c r="X106" s="192">
        <f t="shared" si="34"/>
        <v>1</v>
      </c>
      <c r="Y106" s="192">
        <f t="shared" si="35"/>
        <v>23.3004</v>
      </c>
      <c r="Z106" s="192">
        <f t="shared" si="36"/>
        <v>1.49E-2</v>
      </c>
      <c r="AA106" s="192">
        <f t="shared" si="37"/>
        <v>23.285499999999999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8"/>
        <v>0192-05</v>
      </c>
      <c r="AE106" s="80" t="str">
        <f t="shared" si="39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106" s="77" t="str">
        <f t="shared" si="40"/>
        <v>"C:\Program Files (x86)\AstroGrep\AstroGrep.exe" /e /r /s /spath="%USERPROFILE%\AppData\Local\Temp\OnboardLogs" /stypes="app*4007*20170505*" /stext=" 22:.+((SYSTEM_STATE.+slice.+state.+changed )|(ment ac)|(multiple cpu faults)|(system.+state.+changed )|(\[timeout)|(PRM\|1\|D)|(kpr)|(kdp)|(train st.+moving)|(\|lc)|(penalty))"</v>
      </c>
      <c r="AG106" s="1" t="str">
        <f t="shared" si="41"/>
        <v>EC</v>
      </c>
      <c r="AH106" s="81" t="str">
        <f t="shared" si="42"/>
        <v>"%USERPROFILE%\Documents\GitHub\eaglep3\Utilities\RefineRTDCRunTimes.py" --tripid 192-05 --locoid 4007 --swversion DE.1.0.9.0 --startMP 204:233004 --initTime 2017-05-05T15:48:01 --startdatetime 2017-05-05T15:56:14 --delay 1 --endMP 204:149 --enddatetime 2017-05-05T16:33:33 --enforcementcount 0 &gt;&gt;C:\Users\stu\Documents\GitHub\eaglep3-reporting\EC\2017-05-05-refined-times.txt</v>
      </c>
      <c r="AI106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{"issue":{"subject":"","project_id":79,"tracker_id":40,"status_id":1,"priority_id":2,"assigned_to_id":23,"start_date":"2017-05-05","description":"","custom_fields":[{"id":1,"name":"Subdivision","value":"EC"},{"id":4,"name":"Milepost","value":"0.0149"},{"id":17,"name":"Train ID","value":"192-05"},{"id":16,"name":"Locomotive ID","value":"4007"},{"id":130,"name":"Impact","value":""},{"id":150,"name":"Time of Event (Mountain Time)","value":"16:33:33"},{"id":151,"name":"Denver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4"/>
        <v>start /low /b %USERPROFILE%\Documents\GitHub\eaglep3\Utilities\DownloadLogsFromS3.py --loco 4007 --day 2017-05-05</v>
      </c>
      <c r="AN106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760</v>
      </c>
      <c r="B107" s="7">
        <v>4044</v>
      </c>
      <c r="C107" s="21" t="s">
        <v>210</v>
      </c>
      <c r="D107" s="21" t="s">
        <v>405</v>
      </c>
      <c r="E107" s="13">
        <v>42860.631550925929</v>
      </c>
      <c r="F107" s="13">
        <v>42860.635625000003</v>
      </c>
      <c r="G107" s="7">
        <v>1</v>
      </c>
      <c r="H107" s="21" t="s">
        <v>501</v>
      </c>
      <c r="I107" s="13">
        <v>42860.66065972222</v>
      </c>
      <c r="J107" s="7">
        <v>0</v>
      </c>
      <c r="K107" s="92" t="str">
        <f t="shared" si="27"/>
        <v>4043/4044</v>
      </c>
      <c r="L107" s="21" t="str">
        <f>VLOOKUP(A107,'Trips&amp;Operators'!$C$1:$G$99999,5,FALSE)</f>
        <v>BRUDER RICHARD</v>
      </c>
      <c r="M107" s="6">
        <f t="shared" si="28"/>
        <v>2.5034722217242233E-2</v>
      </c>
      <c r="N107" s="7">
        <f t="shared" si="46"/>
        <v>36.049999992828816</v>
      </c>
      <c r="O107" s="7"/>
      <c r="P107" s="7"/>
      <c r="Q107" s="22"/>
      <c r="R107" s="190"/>
      <c r="S107" s="196">
        <f t="shared" si="47"/>
        <v>1</v>
      </c>
      <c r="T107" s="190" t="str">
        <f t="shared" si="31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2"/>
        <v>https://d0f6bd738d7f1b3e5a7ca70fe4ff75f0.us-east-1.aws.found.io/app/kibana#/discover/Steve-Slow-Train-Analysis-(2080s-and-2083s)?_g=(refreshInterval:(display:Off,pause:!f,section:0,value:0),time:(from:'2017-05-05T14:09:26-0600',mode:absolute,to:'2017-05-05T16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192" t="str">
        <f t="shared" si="33"/>
        <v>N</v>
      </c>
      <c r="X107" s="192">
        <f t="shared" si="34"/>
        <v>1</v>
      </c>
      <c r="Y107" s="192">
        <f t="shared" si="35"/>
        <v>4.6600000000000003E-2</v>
      </c>
      <c r="Z107" s="192">
        <f t="shared" si="36"/>
        <v>23.329699999999999</v>
      </c>
      <c r="AA107" s="192">
        <f t="shared" si="37"/>
        <v>23.283099999999997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8"/>
        <v>0193-05</v>
      </c>
      <c r="AE107" s="80" t="str">
        <f t="shared" si="39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107" s="77" t="str">
        <f t="shared" si="40"/>
        <v>"C:\Program Files (x86)\AstroGrep\AstroGrep.exe" /e /r /s /spath="%USERPROFILE%\AppData\Local\Temp\OnboardLogs" /stypes="app*4044*20170505*" /stext=" 21:.+((SYSTEM_STATE.+slice.+state.+changed )|(ment ac)|(multiple cpu faults)|(system.+state.+changed )|(\[timeout)|(PRM\|1\|D)|(kpr)|(kdp)|(train st.+moving)|(\|lc)|(penalty))"</v>
      </c>
      <c r="AG107" s="1" t="str">
        <f t="shared" si="41"/>
        <v>EC</v>
      </c>
      <c r="AH107" s="81" t="str">
        <f t="shared" si="42"/>
        <v>"%USERPROFILE%\Documents\GitHub\eaglep3\Utilities\RefineRTDCRunTimes.py" --tripid 193-05 --locoid 4044 --swversion DE.1.0.9.0 --startMP 204:466 --initTime 2017-05-05T15:09:26 --startdatetime 2017-05-05T15:15:18 --delay 1 --endMP 204:233297 --enddatetime 2017-05-05T15:51:21 --enforcementcount 0 &gt;&gt;C:\Users\stu\Documents\GitHub\eaglep3-reporting\EC\2017-05-05-refined-times.txt</v>
      </c>
      <c r="AI10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{"issue":{"subject":"","project_id":79,"tracker_id":40,"status_id":1,"priority_id":2,"assigned_to_id":23,"start_date":"2017-05-05","description":"","custom_fields":[{"id":1,"name":"Subdivision","value":"EC"},{"id":4,"name":"Milepost","value":"23.3297"},{"id":17,"name":"Train ID","value":"193-05"},{"id":16,"name":"Locomotive ID","value":"4044"},{"id":130,"name":"Impact","value":""},{"id":150,"name":"Time of Event (Mountain Time)","value":"15:51:21"},{"id":151,"name":"Denver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4"/>
        <v>start /low /b %USERPROFILE%\Documents\GitHub\eaglep3\Utilities\DownloadLogsFromS3.py --loco 4044 --day 2017-05-05</v>
      </c>
      <c r="AN107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770</v>
      </c>
      <c r="B108" s="7">
        <v>4043</v>
      </c>
      <c r="C108" s="21" t="s">
        <v>210</v>
      </c>
      <c r="D108" s="21" t="s">
        <v>550</v>
      </c>
      <c r="E108" s="13">
        <v>42860.668344907404</v>
      </c>
      <c r="F108" s="13">
        <v>42860.674467592595</v>
      </c>
      <c r="G108" s="7">
        <v>1</v>
      </c>
      <c r="H108" s="21" t="s">
        <v>402</v>
      </c>
      <c r="I108" s="13">
        <v>42860.702152777776</v>
      </c>
      <c r="J108" s="7">
        <v>0</v>
      </c>
      <c r="K108" s="92" t="str">
        <f t="shared" si="27"/>
        <v>4043/4044</v>
      </c>
      <c r="L108" s="21" t="str">
        <f>VLOOKUP(A108,'Trips&amp;Operators'!$C$1:$G$99999,5,FALSE)</f>
        <v>BRUDER RICHARD</v>
      </c>
      <c r="M108" s="6">
        <f t="shared" si="28"/>
        <v>2.7685185181326233E-2</v>
      </c>
      <c r="N108" s="7">
        <f t="shared" si="46"/>
        <v>39.866666661109775</v>
      </c>
      <c r="O108" s="7"/>
      <c r="P108" s="7"/>
      <c r="Q108" s="22"/>
      <c r="R108" s="190"/>
      <c r="S108" s="196">
        <f t="shared" si="47"/>
        <v>1</v>
      </c>
      <c r="T108" s="190" t="str">
        <f t="shared" si="31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2"/>
        <v>https://d0f6bd738d7f1b3e5a7ca70fe4ff75f0.us-east-1.aws.found.io/app/kibana#/discover/Steve-Slow-Train-Analysis-(2080s-and-2083s)?_g=(refreshInterval:(display:Off,pause:!f,section:0,value:0),time:(from:'2017-05-05T15:02:25-0600',mode:absolute,to:'2017-05-05T17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192" t="str">
        <f t="shared" si="33"/>
        <v>N</v>
      </c>
      <c r="X108" s="192">
        <f t="shared" si="34"/>
        <v>1</v>
      </c>
      <c r="Y108" s="192">
        <f t="shared" si="35"/>
        <v>23.2988</v>
      </c>
      <c r="Z108" s="192">
        <f t="shared" si="36"/>
        <v>1.4999999999999999E-2</v>
      </c>
      <c r="AA108" s="192">
        <f t="shared" si="37"/>
        <v>23.283799999999999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8"/>
        <v>0194-05</v>
      </c>
      <c r="AE108" s="80" t="str">
        <f t="shared" si="39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108" s="77" t="str">
        <f t="shared" si="40"/>
        <v>"C:\Program Files (x86)\AstroGrep\AstroGrep.exe" /e /r /s /spath="%USERPROFILE%\AppData\Local\Temp\OnboardLogs" /stypes="app*4043*20170505*" /stext=" 22:.+((SYSTEM_STATE.+slice.+state.+changed )|(ment ac)|(multiple cpu faults)|(system.+state.+changed )|(\[timeout)|(PRM\|1\|D)|(kpr)|(kdp)|(train st.+moving)|(\|lc)|(penalty))"</v>
      </c>
      <c r="AG108" s="1" t="str">
        <f t="shared" si="41"/>
        <v>EC</v>
      </c>
      <c r="AH108" s="81" t="str">
        <f t="shared" si="42"/>
        <v>"%USERPROFILE%\Documents\GitHub\eaglep3\Utilities\RefineRTDCRunTimes.py" --tripid 194-05 --locoid 4043 --swversion DE.1.0.9.0 --startMP 204:232988 --initTime 2017-05-05T16:02:25 --startdatetime 2017-05-05T16:11:14 --delay 1 --endMP 204:150 --enddatetime 2017-05-05T16:51:06 --enforcementcount 0 &gt;&gt;C:\Users\stu\Documents\GitHub\eaglep3-reporting\EC\2017-05-05-refined-times.txt</v>
      </c>
      <c r="AI10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ID","value":"194-05"},{"id":16,"name":"Locomotive ID","value":"4043"},{"id":130,"name":"Impact","value":""},{"id":150,"name":"Time of Event (Mountain Time)","value":"16:51:06"},{"id":151,"name":"Denver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4"/>
        <v>start /low /b %USERPROFILE%\Documents\GitHub\eaglep3\Utilities\DownloadLogsFromS3.py --loco 4043 --day 2017-05-05</v>
      </c>
      <c r="AN108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763</v>
      </c>
      <c r="B109" s="7">
        <v>4028</v>
      </c>
      <c r="C109" s="21" t="s">
        <v>210</v>
      </c>
      <c r="D109" s="21" t="s">
        <v>204</v>
      </c>
      <c r="E109" s="13">
        <v>42860.642557870371</v>
      </c>
      <c r="F109" s="13">
        <v>42860.646099537036</v>
      </c>
      <c r="G109" s="7">
        <v>1</v>
      </c>
      <c r="H109" s="21" t="s">
        <v>893</v>
      </c>
      <c r="I109" s="13">
        <v>42860.671122685184</v>
      </c>
      <c r="J109" s="7">
        <v>0</v>
      </c>
      <c r="K109" s="92" t="str">
        <f t="shared" si="27"/>
        <v>4027/4028</v>
      </c>
      <c r="L109" s="21" t="str">
        <f>VLOOKUP(A109,'Trips&amp;Operators'!$C$1:$G$99999,5,FALSE)</f>
        <v>BIRENBAUM THOMAS</v>
      </c>
      <c r="M109" s="6">
        <f t="shared" si="28"/>
        <v>2.5023148147738539E-2</v>
      </c>
      <c r="N109" s="7">
        <f t="shared" si="46"/>
        <v>36.033333332743496</v>
      </c>
      <c r="O109" s="7"/>
      <c r="P109" s="7"/>
      <c r="Q109" s="22"/>
      <c r="R109" s="190"/>
      <c r="S109" s="196">
        <f t="shared" si="47"/>
        <v>1</v>
      </c>
      <c r="T109" s="190" t="str">
        <f t="shared" si="31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2"/>
        <v>https://d0f6bd738d7f1b3e5a7ca70fe4ff75f0.us-east-1.aws.found.io/app/kibana#/discover/Steve-Slow-Train-Analysis-(2080s-and-2083s)?_g=(refreshInterval:(display:Off,pause:!f,section:0,value:0),time:(from:'2017-05-05T14:25:17-0600',mode:absolute,to:'2017-05-05T17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92" t="str">
        <f t="shared" si="33"/>
        <v>N</v>
      </c>
      <c r="X109" s="192">
        <f t="shared" ref="X109:X140" si="48">VALUE(LEFT(AD109,4))-VALUE(LEFT(AD108,4))</f>
        <v>1</v>
      </c>
      <c r="Y109" s="192">
        <f t="shared" si="35"/>
        <v>4.5699999999999998E-2</v>
      </c>
      <c r="Z109" s="192">
        <f t="shared" ref="Z109:Z139" si="49">RIGHT(H109,LEN(H109)-4)/10000</f>
        <v>23.319600000000001</v>
      </c>
      <c r="AA109" s="192">
        <f t="shared" si="37"/>
        <v>23.273900000000001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8"/>
        <v>0195-05</v>
      </c>
      <c r="AE109" s="80" t="str">
        <f t="shared" si="39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109" s="77" t="str">
        <f t="shared" si="40"/>
        <v>"C:\Program Files (x86)\AstroGrep\AstroGrep.exe" /e /r /s /spath="%USERPROFILE%\AppData\Local\Temp\OnboardLogs" /stypes="app*4028*20170505*" /stext=" 22:.+((SYSTEM_STATE.+slice.+state.+changed )|(ment ac)|(multiple cpu faults)|(system.+state.+changed )|(\[timeout)|(PRM\|1\|D)|(kpr)|(kdp)|(train st.+moving)|(\|lc)|(penalty))"</v>
      </c>
      <c r="AG109" s="1" t="str">
        <f t="shared" si="41"/>
        <v>EC</v>
      </c>
      <c r="AH109" s="81" t="str">
        <f t="shared" si="42"/>
        <v>"%USERPROFILE%\Documents\GitHub\eaglep3\Utilities\RefineRTDCRunTimes.py" --tripid 195-05 --locoid 4028 --swversion DE.1.0.9.0 --startMP 204:457 --initTime 2017-05-05T15:25:17 --startdatetime 2017-05-05T15:30:23 --delay 1 --endMP 204:233196 --enddatetime 2017-05-05T16:06:25 --enforcementcount 0 &gt;&gt;C:\Users\stu\Documents\GitHub\eaglep3-reporting\EC\2017-05-05-refined-times.txt</v>
      </c>
      <c r="AI10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{"issue":{"subject":"","project_id":79,"tracker_id":40,"status_id":1,"priority_id":2,"assigned_to_id":23,"start_date":"2017-05-05","description":"","custom_fields":[{"id":1,"name":"Subdivision","value":"EC"},{"id":4,"name":"Milepost","value":"23.3196"},{"id":17,"name":"Train ID","value":"195-05"},{"id":16,"name":"Locomotive ID","value":"4028"},{"id":130,"name":"Impact","value":""},{"id":150,"name":"Time of Event (Mountain Time)","value":"16:06:25"},{"id":151,"name":"Denver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4"/>
        <v>start /low /b %USERPROFILE%\Documents\GitHub\eaglep3\Utilities\DownloadLogsFromS3.py --loco 4028 --day 2017-05-05</v>
      </c>
      <c r="AN109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773</v>
      </c>
      <c r="B110" s="7">
        <v>4027</v>
      </c>
      <c r="C110" s="21" t="s">
        <v>210</v>
      </c>
      <c r="D110" s="21" t="s">
        <v>545</v>
      </c>
      <c r="E110" s="13">
        <v>42860.681076388886</v>
      </c>
      <c r="F110" s="13">
        <v>42860.684895833336</v>
      </c>
      <c r="G110" s="7">
        <v>1</v>
      </c>
      <c r="H110" s="21" t="s">
        <v>430</v>
      </c>
      <c r="I110" s="13">
        <v>42860.710902777777</v>
      </c>
      <c r="J110" s="7">
        <v>0</v>
      </c>
      <c r="K110" s="92" t="str">
        <f t="shared" si="27"/>
        <v>4027/4028</v>
      </c>
      <c r="L110" s="21" t="str">
        <f>VLOOKUP(A110,'Trips&amp;Operators'!$C$1:$G$99999,5,FALSE)</f>
        <v>BIRENBAUM THOMAS</v>
      </c>
      <c r="M110" s="6">
        <f t="shared" si="28"/>
        <v>2.6006944441178348E-2</v>
      </c>
      <c r="N110" s="7">
        <f t="shared" si="46"/>
        <v>37.449999995296821</v>
      </c>
      <c r="O110" s="7"/>
      <c r="P110" s="7"/>
      <c r="Q110" s="22"/>
      <c r="R110" s="190"/>
      <c r="S110" s="196">
        <f t="shared" si="47"/>
        <v>1</v>
      </c>
      <c r="T110" s="190" t="str">
        <f t="shared" si="31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2"/>
        <v>https://d0f6bd738d7f1b3e5a7ca70fe4ff75f0.us-east-1.aws.found.io/app/kibana#/discover/Steve-Slow-Train-Analysis-(2080s-and-2083s)?_g=(refreshInterval:(display:Off,pause:!f,section:0,value:0),time:(from:'2017-05-05T15:20:45-0600',mode:absolute,to:'2017-05-05T18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0" s="192" t="str">
        <f t="shared" si="33"/>
        <v>N</v>
      </c>
      <c r="X110" s="192">
        <f t="shared" si="48"/>
        <v>1</v>
      </c>
      <c r="Y110" s="192">
        <f t="shared" si="35"/>
        <v>23.300599999999999</v>
      </c>
      <c r="Z110" s="192">
        <f t="shared" si="49"/>
        <v>1.61E-2</v>
      </c>
      <c r="AA110" s="192">
        <f t="shared" si="37"/>
        <v>23.284499999999998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8"/>
        <v>0196-05</v>
      </c>
      <c r="AE110" s="80" t="str">
        <f t="shared" si="39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10" s="77" t="str">
        <f t="shared" si="40"/>
        <v>"C:\Program Files (x86)\AstroGrep\AstroGrep.exe" /e /r /s /spath="%USERPROFILE%\AppData\Local\Temp\OnboardLogs" /stypes="app*4027*20170505*" /stext=" 23:.+((SYSTEM_STATE.+slice.+state.+changed )|(ment ac)|(multiple cpu faults)|(system.+state.+changed )|(\[timeout)|(PRM\|1\|D)|(kpr)|(kdp)|(train st.+moving)|(\|lc)|(penalty))"</v>
      </c>
      <c r="AG110" s="1" t="str">
        <f t="shared" si="41"/>
        <v>EC</v>
      </c>
      <c r="AH110" s="81" t="str">
        <f t="shared" si="42"/>
        <v>"%USERPROFILE%\Documents\GitHub\eaglep3\Utilities\RefineRTDCRunTimes.py" --tripid 196-05 --locoid 4027 --swversion DE.1.0.9.0 --startMP 204:233006 --initTime 2017-05-05T16:20:45 --startdatetime 2017-05-05T16:26:15 --delay 1 --endMP 204:161 --enddatetime 2017-05-05T17:03:42 --enforcementcount 0 &gt;&gt;C:\Users\stu\Documents\GitHub\eaglep3-reporting\EC\2017-05-05-refined-times.txt</v>
      </c>
      <c r="AI11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{"issue":{"subject":"","project_id":79,"tracker_id":40,"status_id":1,"priority_id":2,"assigned_to_id":23,"start_date":"2017-05-05","description":"","custom_fields":[{"id":1,"name":"Subdivision","value":"EC"},{"id":4,"name":"Milepost","value":"0.0161"},{"id":17,"name":"Train ID","value":"196-05"},{"id":16,"name":"Locomotive ID","value":"4027"},{"id":130,"name":"Impact","value":""},{"id":150,"name":"Time of Event (Mountain Time)","value":"17:03:42"},{"id":151,"name":"Denver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4"/>
        <v>start /low /b %USERPROFILE%\Documents\GitHub\eaglep3\Utilities\DownloadLogsFromS3.py --loco 4027 --day 2017-05-05</v>
      </c>
      <c r="AN110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768</v>
      </c>
      <c r="B111" s="7">
        <v>4016</v>
      </c>
      <c r="C111" s="21" t="s">
        <v>210</v>
      </c>
      <c r="D111" s="21" t="s">
        <v>472</v>
      </c>
      <c r="E111" s="13">
        <v>42860.654189814813</v>
      </c>
      <c r="F111" s="13">
        <v>42860.656643518516</v>
      </c>
      <c r="G111" s="7">
        <v>1</v>
      </c>
      <c r="H111" s="21" t="s">
        <v>565</v>
      </c>
      <c r="I111" s="13">
        <v>42860.68246527778</v>
      </c>
      <c r="J111" s="7">
        <v>0</v>
      </c>
      <c r="K111" s="92" t="str">
        <f t="shared" si="27"/>
        <v>4015/4016</v>
      </c>
      <c r="L111" s="21" t="str">
        <f>VLOOKUP(A111,'Trips&amp;Operators'!$C$1:$G$99999,5,FALSE)</f>
        <v>ARVIDSON DANIEL</v>
      </c>
      <c r="M111" s="6">
        <f t="shared" si="28"/>
        <v>2.5821759263635613E-2</v>
      </c>
      <c r="N111" s="7">
        <f t="shared" si="46"/>
        <v>37.183333339635283</v>
      </c>
      <c r="O111" s="7"/>
      <c r="P111" s="7"/>
      <c r="Q111" s="22"/>
      <c r="R111" s="190"/>
      <c r="S111" s="196">
        <f t="shared" si="47"/>
        <v>1</v>
      </c>
      <c r="T111" s="190" t="str">
        <f t="shared" si="31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2"/>
        <v>https://d0f6bd738d7f1b3e5a7ca70fe4ff75f0.us-east-1.aws.found.io/app/kibana#/discover/Steve-Slow-Train-Analysis-(2080s-and-2083s)?_g=(refreshInterval:(display:Off,pause:!f,section:0,value:0),time:(from:'2017-05-05T14:42:02-0600',mode:absolute,to:'2017-05-05T17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192" t="str">
        <f t="shared" si="33"/>
        <v>N</v>
      </c>
      <c r="X111" s="192">
        <f t="shared" si="48"/>
        <v>1</v>
      </c>
      <c r="Y111" s="192">
        <f t="shared" si="35"/>
        <v>4.7100000000000003E-2</v>
      </c>
      <c r="Z111" s="192">
        <f t="shared" si="49"/>
        <v>23.3309</v>
      </c>
      <c r="AA111" s="192">
        <f t="shared" si="37"/>
        <v>23.283799999999999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8"/>
        <v>0197-05</v>
      </c>
      <c r="AE111" s="80" t="str">
        <f t="shared" si="39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111" s="77" t="str">
        <f t="shared" si="40"/>
        <v>"C:\Program Files (x86)\AstroGrep\AstroGrep.exe" /e /r /s /spath="%USERPROFILE%\AppData\Local\Temp\OnboardLogs" /stypes="app*4016*20170505*" /stext=" 22:.+((SYSTEM_STATE.+slice.+state.+changed )|(ment ac)|(multiple cpu faults)|(system.+state.+changed )|(\[timeout)|(PRM\|1\|D)|(kpr)|(kdp)|(train st.+moving)|(\|lc)|(penalty))"</v>
      </c>
      <c r="AG111" s="1" t="str">
        <f t="shared" si="41"/>
        <v>EC</v>
      </c>
      <c r="AH111" s="81" t="str">
        <f t="shared" si="42"/>
        <v>"%USERPROFILE%\Documents\GitHub\eaglep3\Utilities\RefineRTDCRunTimes.py" --tripid 197-05 --locoid 4016 --swversion DE.1.0.9.0 --startMP 204:471 --initTime 2017-05-05T15:42:02 --startdatetime 2017-05-05T15:45:34 --delay 1 --endMP 204:233309 --enddatetime 2017-05-05T16:22:45 --enforcementcount 0 &gt;&gt;C:\Users\stu\Documents\GitHub\eaglep3-reporting\EC\2017-05-05-refined-times.txt</v>
      </c>
      <c r="AI11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{"issue":{"subject":"","project_id":79,"tracker_id":40,"status_id":1,"priority_id":2,"assigned_to_id":23,"start_date":"2017-05-05","description":"","custom_fields":[{"id":1,"name":"Subdivision","value":"EC"},{"id":4,"name":"Milepost","value":"23.3309"},{"id":17,"name":"Train ID","value":"197-05"},{"id":16,"name":"Locomotive ID","value":"4016"},{"id":130,"name":"Impact","value":""},{"id":150,"name":"Time of Event (Mountain Time)","value":"16:22:45"},{"id":151,"name":"Denver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4"/>
        <v>start /low /b %USERPROFILE%\Documents\GitHub\eaglep3\Utilities\DownloadLogsFromS3.py --loco 4016 --day 2017-05-05</v>
      </c>
      <c r="AN111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775</v>
      </c>
      <c r="B112" s="7">
        <v>4015</v>
      </c>
      <c r="C112" s="21" t="s">
        <v>210</v>
      </c>
      <c r="D112" s="21" t="s">
        <v>872</v>
      </c>
      <c r="E112" s="13">
        <v>42860.693564814814</v>
      </c>
      <c r="F112" s="13">
        <v>42860.695393518516</v>
      </c>
      <c r="G112" s="7">
        <v>1</v>
      </c>
      <c r="H112" s="21" t="s">
        <v>894</v>
      </c>
      <c r="I112" s="13">
        <v>42860.722372685188</v>
      </c>
      <c r="J112" s="7">
        <v>0</v>
      </c>
      <c r="K112" s="92" t="str">
        <f t="shared" si="27"/>
        <v>4015/4016</v>
      </c>
      <c r="L112" s="21" t="str">
        <f>VLOOKUP(A112,'Trips&amp;Operators'!$C$1:$G$99999,5,FALSE)</f>
        <v>ARVIDSON DANIEL</v>
      </c>
      <c r="M112" s="6">
        <f t="shared" si="28"/>
        <v>2.697916667239042E-2</v>
      </c>
      <c r="N112" s="7">
        <f t="shared" si="46"/>
        <v>38.850000008242205</v>
      </c>
      <c r="O112" s="7"/>
      <c r="P112" s="7"/>
      <c r="Q112" s="22"/>
      <c r="R112" s="190"/>
      <c r="S112" s="196">
        <f t="shared" si="47"/>
        <v>1</v>
      </c>
      <c r="T112" s="190" t="str">
        <f t="shared" si="31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2"/>
        <v>https://d0f6bd738d7f1b3e5a7ca70fe4ff75f0.us-east-1.aws.found.io/app/kibana#/discover/Steve-Slow-Train-Analysis-(2080s-and-2083s)?_g=(refreshInterval:(display:Off,pause:!f,section:0,value:0),time:(from:'2017-05-05T15:38:44-0600',mode:absolute,to:'2017-05-05T18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2" s="192" t="str">
        <f t="shared" si="33"/>
        <v>N</v>
      </c>
      <c r="X112" s="192">
        <f t="shared" si="48"/>
        <v>1</v>
      </c>
      <c r="Y112" s="192">
        <f t="shared" si="35"/>
        <v>23.299199999999999</v>
      </c>
      <c r="Z112" s="192">
        <f t="shared" si="49"/>
        <v>1.09E-2</v>
      </c>
      <c r="AA112" s="192">
        <f t="shared" si="37"/>
        <v>23.2883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8"/>
        <v>0198-05</v>
      </c>
      <c r="AE112" s="80" t="str">
        <f t="shared" si="39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112" s="77" t="str">
        <f t="shared" si="40"/>
        <v>"C:\Program Files (x86)\AstroGrep\AstroGrep.exe" /e /r /s /spath="%USERPROFILE%\AppData\Local\Temp\OnboardLogs" /stypes="app*4015*20170505*" /stext=" 23:.+((SYSTEM_STATE.+slice.+state.+changed )|(ment ac)|(multiple cpu faults)|(system.+state.+changed )|(\[timeout)|(PRM\|1\|D)|(kpr)|(kdp)|(train st.+moving)|(\|lc)|(penalty))"</v>
      </c>
      <c r="AG112" s="1" t="str">
        <f t="shared" si="41"/>
        <v>EC</v>
      </c>
      <c r="AH112" s="81" t="str">
        <f t="shared" si="42"/>
        <v>"%USERPROFILE%\Documents\GitHub\eaglep3\Utilities\RefineRTDCRunTimes.py" --tripid 198-05 --locoid 4015 --swversion DE.1.0.9.0 --startMP 204:232992 --initTime 2017-05-05T16:38:44 --startdatetime 2017-05-05T16:41:22 --delay 1 --endMP 204:109 --enddatetime 2017-05-05T17:20:13 --enforcementcount 0 &gt;&gt;C:\Users\stu\Documents\GitHub\eaglep3-reporting\EC\2017-05-05-refined-times.txt</v>
      </c>
      <c r="AI11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{"issue":{"subject":"","project_id":79,"tracker_id":40,"status_id":1,"priority_id":2,"assigned_to_id":23,"start_date":"2017-05-05","description":"","custom_fields":[{"id":1,"name":"Subdivision","value":"EC"},{"id":4,"name":"Milepost","value":"0.0109"},{"id":17,"name":"Train ID","value":"198-05"},{"id":16,"name":"Locomotive ID","value":"4015"},{"id":130,"name":"Impact","value":""},{"id":150,"name":"Time of Event (Mountain Time)","value":"17:20:13"},{"id":151,"name":"Denver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4"/>
        <v>start /low /b %USERPROFILE%\Documents\GitHub\eaglep3\Utilities\DownloadLogsFromS3.py --loco 4015 --day 2017-05-05</v>
      </c>
      <c r="AN112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613</v>
      </c>
      <c r="B113" s="7">
        <v>4022</v>
      </c>
      <c r="C113" s="21" t="s">
        <v>210</v>
      </c>
      <c r="D113" s="21" t="s">
        <v>560</v>
      </c>
      <c r="E113" s="13">
        <v>42860.665081018517</v>
      </c>
      <c r="F113" s="13">
        <v>42860.666967592595</v>
      </c>
      <c r="G113" s="7">
        <v>1</v>
      </c>
      <c r="H113" s="21" t="s">
        <v>860</v>
      </c>
      <c r="I113" s="13">
        <v>42860.692187499997</v>
      </c>
      <c r="J113" s="7">
        <v>0</v>
      </c>
      <c r="K113" s="92" t="str">
        <f t="shared" si="27"/>
        <v>4021/4022</v>
      </c>
      <c r="L113" s="21" t="str">
        <f>VLOOKUP(A113,'Trips&amp;Operators'!$C$1:$G$99999,5,FALSE)</f>
        <v>MOSES BRADLEY</v>
      </c>
      <c r="M113" s="6">
        <f t="shared" si="28"/>
        <v>2.5219907402060926E-2</v>
      </c>
      <c r="N113" s="7">
        <f t="shared" si="46"/>
        <v>36.316666658967733</v>
      </c>
      <c r="O113" s="7"/>
      <c r="P113" s="7"/>
      <c r="Q113" s="22"/>
      <c r="R113" s="190"/>
      <c r="S113" s="196">
        <f t="shared" si="47"/>
        <v>1</v>
      </c>
      <c r="T113" s="190" t="str">
        <f t="shared" si="31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2"/>
        <v>https://d0f6bd738d7f1b3e5a7ca70fe4ff75f0.us-east-1.aws.found.io/app/kibana#/discover/Steve-Slow-Train-Analysis-(2080s-and-2083s)?_g=(refreshInterval:(display:Off,pause:!f,section:0,value:0),time:(from:'2017-05-05T14:57:43-0600',mode:absolute,to:'2017-05-05T17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3" s="192" t="str">
        <f t="shared" si="33"/>
        <v>N</v>
      </c>
      <c r="X113" s="192">
        <f t="shared" si="48"/>
        <v>1</v>
      </c>
      <c r="Y113" s="192">
        <f t="shared" si="35"/>
        <v>4.5499999999999999E-2</v>
      </c>
      <c r="Z113" s="192">
        <f t="shared" si="49"/>
        <v>23.331199999999999</v>
      </c>
      <c r="AA113" s="192">
        <f t="shared" si="37"/>
        <v>23.285699999999999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8"/>
        <v>0199-05</v>
      </c>
      <c r="AE113" s="80" t="str">
        <f t="shared" si="39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13" s="77" t="str">
        <f t="shared" si="40"/>
        <v>"C:\Program Files (x86)\AstroGrep\AstroGrep.exe" /e /r /s /spath="%USERPROFILE%\AppData\Local\Temp\OnboardLogs" /stypes="app*4022*20170505*" /stext=" 22:.+((SYSTEM_STATE.+slice.+state.+changed )|(ment ac)|(multiple cpu faults)|(system.+state.+changed )|(\[timeout)|(PRM\|1\|D)|(kpr)|(kdp)|(train st.+moving)|(\|lc)|(penalty))"</v>
      </c>
      <c r="AG113" s="1" t="str">
        <f t="shared" si="41"/>
        <v>EC</v>
      </c>
      <c r="AH113" s="81" t="str">
        <f t="shared" si="42"/>
        <v>"%USERPROFILE%\Documents\GitHub\eaglep3\Utilities\RefineRTDCRunTimes.py" --tripid 199-05 --locoid 4022 --swversion DE.1.0.9.0 --startMP 204:455 --initTime 2017-05-05T15:57:43 --startdatetime 2017-05-05T16:00:26 --delay 1 --endMP 204:233312 --enddatetime 2017-05-05T16:36:45 --enforcementcount 0 &gt;&gt;C:\Users\stu\Documents\GitHub\eaglep3-reporting\EC\2017-05-05-refined-times.txt</v>
      </c>
      <c r="AI11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{"issue":{"subject":"","project_id":79,"tracker_id":40,"status_id":1,"priority_id":2,"assigned_to_id":23,"start_date":"2017-05-05","description":"","custom_fields":[{"id":1,"name":"Subdivision","value":"EC"},{"id":4,"name":"Milepost","value":"23.3312"},{"id":17,"name":"Train ID","value":"199-05"},{"id":16,"name":"Locomotive ID","value":"4022"},{"id":130,"name":"Impact","value":""},{"id":150,"name":"Time of Event (Mountain Time)","value":"16:36:45"},{"id":151,"name":"Denver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4"/>
        <v>start /low /b %USERPROFILE%\Documents\GitHub\eaglep3\Utilities\DownloadLogsFromS3.py --loco 4022 --day 2017-05-05</v>
      </c>
      <c r="AN113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616</v>
      </c>
      <c r="B114" s="7">
        <v>4021</v>
      </c>
      <c r="C114" s="21" t="s">
        <v>210</v>
      </c>
      <c r="D114" s="21" t="s">
        <v>567</v>
      </c>
      <c r="E114" s="13">
        <v>42860.701365740744</v>
      </c>
      <c r="F114" s="13">
        <v>42860.70585648148</v>
      </c>
      <c r="G114" s="7">
        <v>1</v>
      </c>
      <c r="H114" s="21" t="s">
        <v>384</v>
      </c>
      <c r="I114" s="13">
        <v>42860.732581018521</v>
      </c>
      <c r="J114" s="7">
        <v>0</v>
      </c>
      <c r="K114" s="92" t="str">
        <f t="shared" si="27"/>
        <v>4021/4022</v>
      </c>
      <c r="L114" s="21" t="str">
        <f>VLOOKUP(A114,'Trips&amp;Operators'!$C$1:$G$99999,5,FALSE)</f>
        <v>MOSES BRADLEY</v>
      </c>
      <c r="M114" s="6">
        <f t="shared" si="28"/>
        <v>2.6724537041445728E-2</v>
      </c>
      <c r="N114" s="7">
        <f t="shared" si="46"/>
        <v>38.483333339681849</v>
      </c>
      <c r="O114" s="7"/>
      <c r="P114" s="7"/>
      <c r="Q114" s="22"/>
      <c r="R114" s="190"/>
      <c r="S114" s="196">
        <f t="shared" si="47"/>
        <v>1</v>
      </c>
      <c r="T114" s="190" t="str">
        <f t="shared" si="31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2"/>
        <v>https://d0f6bd738d7f1b3e5a7ca70fe4ff75f0.us-east-1.aws.found.io/app/kibana#/discover/Steve-Slow-Train-Analysis-(2080s-and-2083s)?_g=(refreshInterval:(display:Off,pause:!f,section:0,value:0),time:(from:'2017-05-05T15:49:58-0600',mode:absolute,to:'2017-05-05T18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4" s="192" t="str">
        <f t="shared" si="33"/>
        <v>N</v>
      </c>
      <c r="X114" s="192">
        <f t="shared" si="48"/>
        <v>1</v>
      </c>
      <c r="Y114" s="192">
        <f t="shared" si="35"/>
        <v>23.3</v>
      </c>
      <c r="Z114" s="192">
        <f t="shared" si="49"/>
        <v>1.4500000000000001E-2</v>
      </c>
      <c r="AA114" s="192">
        <f t="shared" si="37"/>
        <v>23.285499999999999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8"/>
        <v>0200-05</v>
      </c>
      <c r="AE114" s="80" t="str">
        <f t="shared" si="39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114" s="77" t="str">
        <f t="shared" si="40"/>
        <v>"C:\Program Files (x86)\AstroGrep\AstroGrep.exe" /e /r /s /spath="%USERPROFILE%\AppData\Local\Temp\OnboardLogs" /stypes="app*4021*20170505*" /stext=" 23:.+((SYSTEM_STATE.+slice.+state.+changed )|(ment ac)|(multiple cpu faults)|(system.+state.+changed )|(\[timeout)|(PRM\|1\|D)|(kpr)|(kdp)|(train st.+moving)|(\|lc)|(penalty))"</v>
      </c>
      <c r="AG114" s="1" t="str">
        <f t="shared" si="41"/>
        <v>EC</v>
      </c>
      <c r="AH114" s="81" t="str">
        <f t="shared" si="42"/>
        <v>"%USERPROFILE%\Documents\GitHub\eaglep3\Utilities\RefineRTDCRunTimes.py" --tripid 200-05 --locoid 4021 --swversion DE.1.0.9.0 --startMP 204:233000 --initTime 2017-05-05T16:49:58 --startdatetime 2017-05-05T16:56:26 --delay 1 --endMP 204:145 --enddatetime 2017-05-05T17:34:55 --enforcementcount 0 &gt;&gt;C:\Users\stu\Documents\GitHub\eaglep3-reporting\EC\2017-05-05-refined-times.txt</v>
      </c>
      <c r="AI11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{"issue":{"subject":"","project_id":79,"tracker_id":40,"status_id":1,"priority_id":2,"assigned_to_id":23,"start_date":"2017-05-05","description":"","custom_fields":[{"id":1,"name":"Subdivision","value":"EC"},{"id":4,"name":"Milepost","value":"0.0145"},{"id":17,"name":"Train ID","value":"200-05"},{"id":16,"name":"Locomotive ID","value":"4021"},{"id":130,"name":"Impact","value":""},{"id":150,"name":"Time of Event (Mountain Time)","value":"17:34:55"},{"id":151,"name":"Denver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4"/>
        <v>start /low /b %USERPROFILE%\Documents\GitHub\eaglep3\Utilities\DownloadLogsFromS3.py --loco 4021 --day 2017-05-05</v>
      </c>
      <c r="AN114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772</v>
      </c>
      <c r="B115" s="7">
        <v>4042</v>
      </c>
      <c r="C115" s="21" t="s">
        <v>210</v>
      </c>
      <c r="D115" s="21" t="s">
        <v>560</v>
      </c>
      <c r="E115" s="13">
        <v>42860.672638888886</v>
      </c>
      <c r="F115" s="13">
        <v>42860.677256944444</v>
      </c>
      <c r="G115" s="7">
        <v>1</v>
      </c>
      <c r="H115" s="21" t="s">
        <v>549</v>
      </c>
      <c r="I115" s="13">
        <v>42860.702499999999</v>
      </c>
      <c r="J115" s="7">
        <v>0</v>
      </c>
      <c r="K115" s="92" t="str">
        <f t="shared" si="27"/>
        <v>4041/4042</v>
      </c>
      <c r="L115" s="21" t="str">
        <f>VLOOKUP(A115,'Trips&amp;Operators'!$C$1:$G$99999,5,FALSE)</f>
        <v>LOPES KIMBERLY</v>
      </c>
      <c r="M115" s="6">
        <f t="shared" si="28"/>
        <v>2.5243055555620231E-2</v>
      </c>
      <c r="N115" s="7">
        <f t="shared" si="46"/>
        <v>36.350000000093132</v>
      </c>
      <c r="O115" s="7"/>
      <c r="P115" s="7"/>
      <c r="Q115" s="22"/>
      <c r="R115" s="190"/>
      <c r="S115" s="196">
        <f t="shared" si="47"/>
        <v>1</v>
      </c>
      <c r="T115" s="190" t="str">
        <f t="shared" si="31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2"/>
        <v>https://d0f6bd738d7f1b3e5a7ca70fe4ff75f0.us-east-1.aws.found.io/app/kibana#/discover/Steve-Slow-Train-Analysis-(2080s-and-2083s)?_g=(refreshInterval:(display:Off,pause:!f,section:0,value:0),time:(from:'2017-05-05T15:08:36-0600',mode:absolute,to:'2017-05-05T17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192" t="str">
        <f t="shared" si="33"/>
        <v>N</v>
      </c>
      <c r="X115" s="192">
        <f t="shared" si="48"/>
        <v>1</v>
      </c>
      <c r="Y115" s="192">
        <f t="shared" si="35"/>
        <v>4.5499999999999999E-2</v>
      </c>
      <c r="Z115" s="192">
        <f t="shared" si="49"/>
        <v>23.329499999999999</v>
      </c>
      <c r="AA115" s="192">
        <f t="shared" si="37"/>
        <v>23.283999999999999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8"/>
        <v>0201-05</v>
      </c>
      <c r="AE115" s="80" t="str">
        <f t="shared" si="39"/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AF115" s="77" t="str">
        <f t="shared" si="40"/>
        <v>"C:\Program Files (x86)\AstroGrep\AstroGrep.exe" /e /r /s /spath="%USERPROFILE%\AppData\Local\Temp\OnboardLogs" /stypes="app*4042*20170505*" /stext=" 22:.+((SYSTEM_STATE.+slice.+state.+changed )|(ment ac)|(multiple cpu faults)|(system.+state.+changed )|(\[timeout)|(PRM\|1\|D)|(kpr)|(kdp)|(train st.+moving)|(\|lc)|(penalty))"</v>
      </c>
      <c r="AG115" s="1" t="str">
        <f t="shared" si="41"/>
        <v>EC</v>
      </c>
      <c r="AH115" s="81" t="str">
        <f t="shared" si="42"/>
        <v>"%USERPROFILE%\Documents\GitHub\eaglep3\Utilities\RefineRTDCRunTimes.py" --tripid 201-05 --locoid 4042 --swversion DE.1.0.9.0 --startMP 204:455 --initTime 2017-05-05T16:08:36 --startdatetime 2017-05-05T16:15:15 --delay 1 --endMP 204:233295 --enddatetime 2017-05-05T16:51:36 --enforcementcount 0 &gt;&gt;C:\Users\stu\Documents\GitHub\eaglep3-reporting\EC\2017-05-05-refined-times.txt</v>
      </c>
      <c r="AI115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{"issue":{"subject":"","project_id":79,"tracker_id":40,"status_id":1,"priority_id":2,"assigned_to_id":23,"start_date":"2017-05-05","description":"","custom_fields":[{"id":1,"name":"Subdivision","value":"EC"},{"id":4,"name":"Milepost","value":"23.3295"},{"id":17,"name":"Train ID","value":"201-05"},{"id":16,"name":"Locomotive ID","value":"4042"},{"id":130,"name":"Impact","value":""},{"id":150,"name":"Time of Event (Mountain Time)","value":"16:51:36"},{"id":151,"name":"Denver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4"/>
        <v>start /low /b %USERPROFILE%\Documents\GitHub\eaglep3\Utilities\DownloadLogsFromS3.py --loco 4042 --day 2017-05-05</v>
      </c>
      <c r="AN115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2" t="s">
        <v>615</v>
      </c>
      <c r="B116" s="7">
        <v>4041</v>
      </c>
      <c r="C116" s="21" t="s">
        <v>210</v>
      </c>
      <c r="D116" s="21" t="s">
        <v>421</v>
      </c>
      <c r="E116" s="13">
        <v>42860.712442129632</v>
      </c>
      <c r="F116" s="13">
        <v>42860.716192129628</v>
      </c>
      <c r="G116" s="7">
        <v>1</v>
      </c>
      <c r="H116" s="21" t="s">
        <v>895</v>
      </c>
      <c r="I116" s="13">
        <v>42860.728402777779</v>
      </c>
      <c r="J116" s="7">
        <v>0</v>
      </c>
      <c r="K116" s="92" t="str">
        <f t="shared" si="27"/>
        <v>4041/4042</v>
      </c>
      <c r="L116" s="21" t="str">
        <f>VLOOKUP(A116,'Trips&amp;Operators'!$C$1:$G$99999,5,FALSE)</f>
        <v>LOPES KIMBERLY</v>
      </c>
      <c r="M116" s="6">
        <f t="shared" si="28"/>
        <v>1.2210648150357883E-2</v>
      </c>
      <c r="N116" s="7"/>
      <c r="O116" s="7"/>
      <c r="P116" s="7">
        <f>24*60*SUM($M116:$M116)</f>
        <v>17.583333336515352</v>
      </c>
      <c r="Q116" s="22"/>
      <c r="R116" s="190" t="s">
        <v>1051</v>
      </c>
      <c r="S116" s="196">
        <f t="shared" si="47"/>
        <v>8.3333333333333329E-2</v>
      </c>
      <c r="T116" s="190" t="str">
        <f t="shared" si="31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</v>
      </c>
      <c r="V116" s="191" t="str">
        <f t="shared" si="32"/>
        <v>https://d0f6bd738d7f1b3e5a7ca70fe4ff75f0.us-east-1.aws.found.io/app/kibana#/discover/Steve-Slow-Train-Analysis-(2080s-and-2083s)?_g=(refreshInterval:(display:Off,pause:!f,section:0,value:0),time:(from:'2017-05-05T16:05:55-0600',mode:absolute,to:'2017-05-05T18:28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192" t="str">
        <f t="shared" si="33"/>
        <v>Y</v>
      </c>
      <c r="X116" s="192">
        <f t="shared" si="48"/>
        <v>1</v>
      </c>
      <c r="Y116" s="192">
        <f t="shared" si="35"/>
        <v>23.2973</v>
      </c>
      <c r="Z116" s="192">
        <f t="shared" si="49"/>
        <v>10.7593</v>
      </c>
      <c r="AA116" s="192">
        <f t="shared" si="37"/>
        <v>12.538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8"/>
        <v>0202-05</v>
      </c>
      <c r="AE116" s="80" t="str">
        <f t="shared" si="39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116" s="77" t="str">
        <f t="shared" si="40"/>
        <v>"C:\Program Files (x86)\AstroGrep\AstroGrep.exe" /e /r /s /spath="%USERPROFILE%\AppData\Local\Temp\OnboardLogs" /stypes="app*4041*20170505*" /stext=" 23:.+((SYSTEM_STATE.+slice.+state.+changed )|(ment ac)|(multiple cpu faults)|(system.+state.+changed )|(\[timeout)|(PRM\|1\|D)|(kpr)|(kdp)|(train st.+moving)|(\|lc)|(penalty))"</v>
      </c>
      <c r="AG116" s="1" t="str">
        <f t="shared" si="41"/>
        <v>EC</v>
      </c>
      <c r="AH116" s="81" t="str">
        <f t="shared" si="42"/>
        <v>"%USERPROFILE%\Documents\GitHub\eaglep3\Utilities\RefineRTDCRunTimes.py" --tripid 202-05 --locoid 4041 --swversion DE.1.0.9.0 --startMP 204:232973 --initTime 2017-05-05T17:05:55 --startdatetime 2017-05-05T17:11:19 --delay 1 --endMP 204:107593 --enddatetime 2017-05-05T17:28:54 --enforcementcount 0 &gt;&gt;C:\Users\stu\Documents\GitHub\eaglep3-reporting\EC\2017-05-05-refined-times.txt</v>
      </c>
      <c r="AI116" s="99" t="str">
        <f t="shared" si="43"/>
        <v>echo {"issue":{"subject":"Onboard in-route failure","project_id":79,"tracker_id":40,"status_id":1,"priority_id":2,"assigned_to_id":23,"start_date":"2017-05-05","description":"","custom_fields":[{"id":1,"name":"Subdivision","value":"EC"},{"id":4,"name":"Milepost","value":"10.7593"},{"id":17,"name":"Train ID","value":"202-05"},{"id":16,"name":"Locomotive ID","value":"4041"},{"id":130,"name":"Impact","value":""},{"id":150,"name":"Time of Event (Mountain Time)","value":"17:28:54"},{"id":151,"name":"Denver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20"/>
      <c r="AK116" s="47"/>
      <c r="AL116" s="47"/>
      <c r="AM116" s="145" t="str">
        <f t="shared" si="44"/>
        <v>start /low /b %USERPROFILE%\Documents\GitHub\eaglep3\Utilities\DownloadLogsFromS3.py --loco 4041 --day 2017-05-05</v>
      </c>
      <c r="AN116" s="154" t="str">
        <f t="shared" si="45"/>
        <v>echo {"issue":{"subject":"Onboard in-route failure","project_id":30,"tracker_id":4,"status_id":1,"priority_id":1,"assigned_to_id":10,"start_date":"2017-05-05","description":"","custom_fields":[{"id":30,"name":"Category","value":"Issue"},{"id":3,"name":"Functional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23:28:54"},{"id":29,"name":"Sharepoint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7" spans="1:91" s="20" customFormat="1" x14ac:dyDescent="0.25">
      <c r="A117" s="32" t="s">
        <v>774</v>
      </c>
      <c r="B117" s="7">
        <v>4030</v>
      </c>
      <c r="C117" s="21" t="s">
        <v>210</v>
      </c>
      <c r="D117" s="21" t="s">
        <v>896</v>
      </c>
      <c r="E117" s="13">
        <v>42860.684351851851</v>
      </c>
      <c r="F117" s="13">
        <v>42860.687650462962</v>
      </c>
      <c r="G117" s="7">
        <v>1</v>
      </c>
      <c r="H117" s="21" t="s">
        <v>897</v>
      </c>
      <c r="I117" s="13">
        <v>42860.712129629632</v>
      </c>
      <c r="J117" s="7">
        <v>0</v>
      </c>
      <c r="K117" s="92" t="str">
        <f t="shared" si="27"/>
        <v>4029/4030</v>
      </c>
      <c r="L117" s="21" t="str">
        <f>VLOOKUP(A117,'Trips&amp;Operators'!$C$1:$G$99999,5,FALSE)</f>
        <v>ROMERO CHAD</v>
      </c>
      <c r="M117" s="6">
        <f t="shared" si="28"/>
        <v>2.4479166670062114E-2</v>
      </c>
      <c r="N117" s="7">
        <f t="shared" ref="N117:N135" si="50">24*60*SUM($M117:$M117)</f>
        <v>35.250000004889444</v>
      </c>
      <c r="O117" s="7"/>
      <c r="P117" s="7"/>
      <c r="Q117" s="22"/>
      <c r="R117" s="190"/>
      <c r="S117" s="196">
        <f t="shared" si="47"/>
        <v>1</v>
      </c>
      <c r="T117" s="190" t="str">
        <f t="shared" si="31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2"/>
        <v>https://d0f6bd738d7f1b3e5a7ca70fe4ff75f0.us-east-1.aws.found.io/app/kibana#/discover/Steve-Slow-Train-Analysis-(2080s-and-2083s)?_g=(refreshInterval:(display:Off,pause:!f,section:0,value:0),time:(from:'2017-05-05T15:25:28-0600',mode:absolute,to:'2017-05-05T18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192" t="str">
        <f t="shared" si="33"/>
        <v>N</v>
      </c>
      <c r="X117" s="192">
        <f t="shared" si="48"/>
        <v>1</v>
      </c>
      <c r="Y117" s="192">
        <f t="shared" si="35"/>
        <v>5.1700000000000003E-2</v>
      </c>
      <c r="Z117" s="192">
        <f t="shared" si="49"/>
        <v>23.3338</v>
      </c>
      <c r="AA117" s="192">
        <f t="shared" si="37"/>
        <v>23.2821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8"/>
        <v>0203-05</v>
      </c>
      <c r="AE117" s="80" t="str">
        <f t="shared" si="39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17" s="77" t="str">
        <f t="shared" si="40"/>
        <v>"C:\Program Files (x86)\AstroGrep\AstroGrep.exe" /e /r /s /spath="%USERPROFILE%\AppData\Local\Temp\OnboardLogs" /stypes="app*4030*20170505*" /stext=" 23:.+((SYSTEM_STATE.+slice.+state.+changed )|(ment ac)|(multiple cpu faults)|(system.+state.+changed )|(\[timeout)|(PRM\|1\|D)|(kpr)|(kdp)|(train st.+moving)|(\|lc)|(penalty))"</v>
      </c>
      <c r="AG117" s="1" t="str">
        <f t="shared" si="41"/>
        <v>EC</v>
      </c>
      <c r="AH117" s="81" t="str">
        <f t="shared" si="42"/>
        <v>"%USERPROFILE%\Documents\GitHub\eaglep3\Utilities\RefineRTDCRunTimes.py" --tripid 203-05 --locoid 4030 --swversion DE.1.0.9.0 --startMP 204:517 --initTime 2017-05-05T16:25:28 --startdatetime 2017-05-05T16:30:13 --delay 1 --endMP 204:233338 --enddatetime 2017-05-05T17:05:28 --enforcementcount 0 &gt;&gt;C:\Users\stu\Documents\GitHub\eaglep3-reporting\EC\2017-05-05-refined-times.txt</v>
      </c>
      <c r="AI11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{"issue":{"subject":"","project_id":79,"tracker_id":40,"status_id":1,"priority_id":2,"assigned_to_id":23,"start_date":"2017-05-05","description":"","custom_fields":[{"id":1,"name":"Subdivision","value":"EC"},{"id":4,"name":"Milepost","value":"23.3338"},{"id":17,"name":"Train ID","value":"203-05"},{"id":16,"name":"Locomotive ID","value":"4030"},{"id":130,"name":"Impact","value":""},{"id":150,"name":"Time of Event (Mountain Time)","value":"17:05:28"},{"id":151,"name":"Denver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4"/>
        <v>start /low /b %USERPROFILE%\Documents\GitHub\eaglep3\Utilities\DownloadLogsFromS3.py --loco 4030 --day 2017-05-05</v>
      </c>
      <c r="AN117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617</v>
      </c>
      <c r="B118" s="7">
        <v>4029</v>
      </c>
      <c r="C118" s="21" t="s">
        <v>210</v>
      </c>
      <c r="D118" s="21" t="s">
        <v>898</v>
      </c>
      <c r="E118" s="13">
        <v>42860.713796296295</v>
      </c>
      <c r="F118" s="13">
        <v>42860.7266087963</v>
      </c>
      <c r="G118" s="7">
        <v>1</v>
      </c>
      <c r="H118" s="21" t="s">
        <v>899</v>
      </c>
      <c r="I118" s="13">
        <v>42860.753437500003</v>
      </c>
      <c r="J118" s="7">
        <v>0</v>
      </c>
      <c r="K118" s="92" t="str">
        <f t="shared" si="27"/>
        <v>4029/4030</v>
      </c>
      <c r="L118" s="21" t="str">
        <f>VLOOKUP(A118,'Trips&amp;Operators'!$C$1:$G$99999,5,FALSE)</f>
        <v>ROMERO CHAD</v>
      </c>
      <c r="M118" s="6">
        <f t="shared" si="28"/>
        <v>2.6828703703358769E-2</v>
      </c>
      <c r="N118" s="7">
        <f t="shared" si="50"/>
        <v>38.633333332836628</v>
      </c>
      <c r="O118" s="7"/>
      <c r="P118" s="7"/>
      <c r="Q118" s="22"/>
      <c r="R118" s="190"/>
      <c r="S118" s="196">
        <f t="shared" si="47"/>
        <v>1</v>
      </c>
      <c r="T118" s="190" t="str">
        <f t="shared" si="31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2"/>
        <v>https://d0f6bd738d7f1b3e5a7ca70fe4ff75f0.us-east-1.aws.found.io/app/kibana#/discover/Steve-Slow-Train-Analysis-(2080s-and-2083s)?_g=(refreshInterval:(display:Off,pause:!f,section:0,value:0),time:(from:'2017-05-05T16:07:52-0600',mode:absolute,to:'2017-05-05T19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8" s="192" t="str">
        <f t="shared" si="33"/>
        <v>N</v>
      </c>
      <c r="X118" s="192">
        <f t="shared" si="48"/>
        <v>1</v>
      </c>
      <c r="Y118" s="192">
        <f t="shared" si="35"/>
        <v>23.3032</v>
      </c>
      <c r="Z118" s="192">
        <f t="shared" si="49"/>
        <v>1.3599999999999999E-2</v>
      </c>
      <c r="AA118" s="192">
        <f t="shared" si="37"/>
        <v>23.2896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8"/>
        <v>0204-05</v>
      </c>
      <c r="AE118" s="80" t="str">
        <f t="shared" si="39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118" s="77" t="str">
        <f t="shared" si="40"/>
        <v>"C:\Program Files (x86)\AstroGrep\AstroGrep.exe" /e /r /s /spath="%USERPROFILE%\AppData\Local\Temp\OnboardLogs" /stypes="app*4029*20170506*" /stext=" 00:.+((SYSTEM_STATE.+slice.+state.+changed )|(ment ac)|(multiple cpu faults)|(system.+state.+changed )|(\[timeout)|(PRM\|1\|D)|(kpr)|(kdp)|(train st.+moving)|(\|lc)|(penalty))"</v>
      </c>
      <c r="AG118" s="1" t="str">
        <f t="shared" si="41"/>
        <v>EC</v>
      </c>
      <c r="AH118" s="81" t="str">
        <f t="shared" si="42"/>
        <v>"%USERPROFILE%\Documents\GitHub\eaglep3\Utilities\RefineRTDCRunTimes.py" --tripid 204-05 --locoid 4029 --swversion DE.1.0.9.0 --startMP 204:233032 --initTime 2017-05-05T17:07:52 --startdatetime 2017-05-05T17:26:19 --delay 1 --endMP 204:136 --enddatetime 2017-05-05T18:04:57 --enforcementcount 0 &gt;&gt;C:\Users\stu\Documents\GitHub\eaglep3-reporting\EC\2017-05-05-refined-times.txt</v>
      </c>
      <c r="AI11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{"issue":{"subject":"","project_id":79,"tracker_id":40,"status_id":1,"priority_id":2,"assigned_to_id":23,"start_date":"2017-05-05","description":"","custom_fields":[{"id":1,"name":"Subdivision","value":"EC"},{"id":4,"name":"Milepost","value":"0.0136"},{"id":17,"name":"Train ID","value":"204-05"},{"id":16,"name":"Locomotive ID","value":"4029"},{"id":130,"name":"Impact","value":""},{"id":150,"name":"Time of Event (Mountain Time)","value":"18:04:57"},{"id":151,"name":"Denver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4"/>
        <v>start /low /b %USERPROFILE%\Documents\GitHub\eaglep3\Utilities\DownloadLogsFromS3.py --loco 4029 --day 2017-05-05</v>
      </c>
      <c r="AN118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777</v>
      </c>
      <c r="B119" s="7">
        <v>4008</v>
      </c>
      <c r="C119" s="21" t="s">
        <v>210</v>
      </c>
      <c r="D119" s="21" t="s">
        <v>380</v>
      </c>
      <c r="E119" s="13">
        <v>42860.693842592591</v>
      </c>
      <c r="F119" s="13">
        <v>42860.698067129626</v>
      </c>
      <c r="G119" s="7">
        <v>1</v>
      </c>
      <c r="H119" s="21" t="s">
        <v>440</v>
      </c>
      <c r="I119" s="13">
        <v>42860.72452546296</v>
      </c>
      <c r="J119" s="7">
        <v>0</v>
      </c>
      <c r="K119" s="92" t="str">
        <f t="shared" si="27"/>
        <v>4007/4008</v>
      </c>
      <c r="L119" s="21" t="str">
        <f>VLOOKUP(A119,'Trips&amp;Operators'!$C$1:$G$99999,5,FALSE)</f>
        <v>CLARK KATHLEEN</v>
      </c>
      <c r="M119" s="6">
        <f t="shared" si="28"/>
        <v>2.6458333333721384E-2</v>
      </c>
      <c r="N119" s="7">
        <f t="shared" si="50"/>
        <v>38.100000000558794</v>
      </c>
      <c r="O119" s="7"/>
      <c r="P119" s="7"/>
      <c r="Q119" s="22"/>
      <c r="R119" s="190"/>
      <c r="S119" s="196">
        <f t="shared" si="47"/>
        <v>1</v>
      </c>
      <c r="T119" s="190" t="str">
        <f t="shared" si="31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2"/>
        <v>https://d0f6bd738d7f1b3e5a7ca70fe4ff75f0.us-east-1.aws.found.io/app/kibana#/discover/Steve-Slow-Train-Analysis-(2080s-and-2083s)?_g=(refreshInterval:(display:Off,pause:!f,section:0,value:0),time:(from:'2017-05-05T15:39:08-0600',mode:absolute,to:'2017-05-05T18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192" t="str">
        <f t="shared" si="33"/>
        <v>N</v>
      </c>
      <c r="X119" s="192">
        <f t="shared" si="48"/>
        <v>1</v>
      </c>
      <c r="Y119" s="192">
        <f t="shared" si="35"/>
        <v>4.6199999999999998E-2</v>
      </c>
      <c r="Z119" s="192">
        <f t="shared" si="49"/>
        <v>23.328199999999999</v>
      </c>
      <c r="AA119" s="192">
        <f t="shared" si="37"/>
        <v>23.282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8"/>
        <v>0205-05</v>
      </c>
      <c r="AE119" s="80" t="str">
        <f t="shared" si="39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19" s="77" t="str">
        <f t="shared" si="40"/>
        <v>"C:\Program Files (x86)\AstroGrep\AstroGrep.exe" /e /r /s /spath="%USERPROFILE%\AppData\Local\Temp\OnboardLogs" /stypes="app*4008*20170505*" /stext=" 23:.+((SYSTEM_STATE.+slice.+state.+changed )|(ment ac)|(multiple cpu faults)|(system.+state.+changed )|(\[timeout)|(PRM\|1\|D)|(kpr)|(kdp)|(train st.+moving)|(\|lc)|(penalty))"</v>
      </c>
      <c r="AG119" s="1" t="str">
        <f t="shared" si="41"/>
        <v>EC</v>
      </c>
      <c r="AH119" s="81" t="str">
        <f t="shared" si="42"/>
        <v>"%USERPROFILE%\Documents\GitHub\eaglep3\Utilities\RefineRTDCRunTimes.py" --tripid 205-05 --locoid 4008 --swversion DE.1.0.9.0 --startMP 204:462 --initTime 2017-05-05T16:39:08 --startdatetime 2017-05-05T16:45:13 --delay 1 --endMP 204:233282 --enddatetime 2017-05-05T17:23:19 --enforcementcount 0 &gt;&gt;C:\Users\stu\Documents\GitHub\eaglep3-reporting\EC\2017-05-05-refined-times.txt</v>
      </c>
      <c r="AI11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{"issue":{"subject":"","project_id":79,"tracker_id":40,"status_id":1,"priority_id":2,"assigned_to_id":23,"start_date":"2017-05-05","description":"","custom_fields":[{"id":1,"name":"Subdivision","value":"EC"},{"id":4,"name":"Milepost","value":"23.3282"},{"id":17,"name":"Train ID","value":"205-05"},{"id":16,"name":"Locomotive ID","value":"4008"},{"id":130,"name":"Impact","value":""},{"id":150,"name":"Time of Event (Mountain Time)","value":"17:23:19"},{"id":151,"name":"Denver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4"/>
        <v>start /low /b %USERPROFILE%\Documents\GitHub\eaglep3\Utilities\DownloadLogsFromS3.py --loco 4008 --day 2017-05-05</v>
      </c>
      <c r="AN119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785</v>
      </c>
      <c r="B120" s="7">
        <v>4007</v>
      </c>
      <c r="C120" s="21" t="s">
        <v>210</v>
      </c>
      <c r="D120" s="21" t="s">
        <v>900</v>
      </c>
      <c r="E120" s="13">
        <v>42860.732534722221</v>
      </c>
      <c r="F120" s="13">
        <v>42860.736979166664</v>
      </c>
      <c r="G120" s="7">
        <v>1</v>
      </c>
      <c r="H120" s="21" t="s">
        <v>502</v>
      </c>
      <c r="I120" s="13">
        <v>42860.764687499999</v>
      </c>
      <c r="J120" s="7">
        <v>0</v>
      </c>
      <c r="K120" s="92" t="str">
        <f t="shared" si="27"/>
        <v>4007/4008</v>
      </c>
      <c r="L120" s="21" t="str">
        <f>VLOOKUP(A120,'Trips&amp;Operators'!$C$1:$G$99999,5,FALSE)</f>
        <v>CLARK KATHLEEN</v>
      </c>
      <c r="M120" s="6">
        <f t="shared" si="28"/>
        <v>2.7708333334885538E-2</v>
      </c>
      <c r="N120" s="7">
        <f t="shared" si="50"/>
        <v>39.900000002235174</v>
      </c>
      <c r="O120" s="7"/>
      <c r="P120" s="7"/>
      <c r="Q120" s="22"/>
      <c r="R120" s="190"/>
      <c r="S120" s="196">
        <f t="shared" si="47"/>
        <v>1</v>
      </c>
      <c r="T120" s="190" t="str">
        <f t="shared" si="31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2"/>
        <v>https://d0f6bd738d7f1b3e5a7ca70fe4ff75f0.us-east-1.aws.found.io/app/kibana#/discover/Steve-Slow-Train-Analysis-(2080s-and-2083s)?_g=(refreshInterval:(display:Off,pause:!f,section:0,value:0),time:(from:'2017-05-05T16:34:51-0600',mode:absolute,to:'2017-05-05T19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92" t="str">
        <f t="shared" si="33"/>
        <v>N</v>
      </c>
      <c r="X120" s="192">
        <f t="shared" si="48"/>
        <v>1</v>
      </c>
      <c r="Y120" s="192">
        <f t="shared" si="35"/>
        <v>23.295300000000001</v>
      </c>
      <c r="Z120" s="192">
        <f t="shared" si="49"/>
        <v>1.7000000000000001E-2</v>
      </c>
      <c r="AA120" s="192">
        <f t="shared" si="37"/>
        <v>23.278300000000002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8"/>
        <v>0206-05</v>
      </c>
      <c r="AE120" s="80" t="str">
        <f t="shared" si="39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120" s="77" t="str">
        <f t="shared" si="40"/>
        <v>"C:\Program Files (x86)\AstroGrep\AstroGrep.exe" /e /r /s /spath="%USERPROFILE%\AppData\Local\Temp\OnboardLogs" /stypes="app*4007*20170506*" /stext=" 00:.+((SYSTEM_STATE.+slice.+state.+changed )|(ment ac)|(multiple cpu faults)|(system.+state.+changed )|(\[timeout)|(PRM\|1\|D)|(kpr)|(kdp)|(train st.+moving)|(\|lc)|(penalty))"</v>
      </c>
      <c r="AG120" s="1" t="str">
        <f t="shared" si="41"/>
        <v>EC</v>
      </c>
      <c r="AH120" s="81" t="str">
        <f t="shared" si="42"/>
        <v>"%USERPROFILE%\Documents\GitHub\eaglep3\Utilities\RefineRTDCRunTimes.py" --tripid 206-05 --locoid 4007 --swversion DE.1.0.9.0 --startMP 204:232953 --initTime 2017-05-05T17:34:51 --startdatetime 2017-05-05T17:41:15 --delay 1 --endMP 204:170 --enddatetime 2017-05-05T18:21:09 --enforcementcount 0 &gt;&gt;C:\Users\stu\Documents\GitHub\eaglep3-reporting\EC\2017-05-05-refined-times.txt</v>
      </c>
      <c r="AI12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{"issue":{"subject":"","project_id":79,"tracker_id":40,"status_id":1,"priority_id":2,"assigned_to_id":23,"start_date":"2017-05-05","description":"","custom_fields":[{"id":1,"name":"Subdivision","value":"EC"},{"id":4,"name":"Milepost","value":"0.017"},{"id":17,"name":"Train ID","value":"206-05"},{"id":16,"name":"Locomotive ID","value":"4007"},{"id":130,"name":"Impact","value":""},{"id":150,"name":"Time of Event (Mountain Time)","value":"18:21:09"},{"id":151,"name":"Denver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4"/>
        <v>start /low /b %USERPROFILE%\Documents\GitHub\eaglep3\Utilities\DownloadLogsFromS3.py --loco 4007 --day 2017-05-05</v>
      </c>
      <c r="AN120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779</v>
      </c>
      <c r="B121" s="7">
        <v>4044</v>
      </c>
      <c r="C121" s="21" t="s">
        <v>210</v>
      </c>
      <c r="D121" s="21" t="s">
        <v>556</v>
      </c>
      <c r="E121" s="13">
        <v>42860.705127314817</v>
      </c>
      <c r="F121" s="13">
        <v>42860.708506944444</v>
      </c>
      <c r="G121" s="7">
        <v>1</v>
      </c>
      <c r="H121" s="21" t="s">
        <v>860</v>
      </c>
      <c r="I121" s="13">
        <v>42860.733067129629</v>
      </c>
      <c r="J121" s="7">
        <v>0</v>
      </c>
      <c r="K121" s="92" t="str">
        <f t="shared" si="27"/>
        <v>4043/4044</v>
      </c>
      <c r="L121" s="21" t="str">
        <f>VLOOKUP(A121,'Trips&amp;Operators'!$C$1:$G$99999,5,FALSE)</f>
        <v>BRUDER RICHARD</v>
      </c>
      <c r="M121" s="6">
        <f t="shared" si="28"/>
        <v>2.4560185185691807E-2</v>
      </c>
      <c r="N121" s="7">
        <f t="shared" si="50"/>
        <v>35.366666667396203</v>
      </c>
      <c r="O121" s="7"/>
      <c r="P121" s="7"/>
      <c r="Q121" s="22"/>
      <c r="R121" s="190"/>
      <c r="S121" s="196">
        <f t="shared" si="47"/>
        <v>1</v>
      </c>
      <c r="T121" s="190" t="str">
        <f t="shared" si="31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2"/>
        <v>https://d0f6bd738d7f1b3e5a7ca70fe4ff75f0.us-east-1.aws.found.io/app/kibana#/discover/Steve-Slow-Train-Analysis-(2080s-and-2083s)?_g=(refreshInterval:(display:Off,pause:!f,section:0,value:0),time:(from:'2017-05-05T15:55:23-0600',mode:absolute,to:'2017-05-05T18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192" t="str">
        <f t="shared" si="33"/>
        <v>N</v>
      </c>
      <c r="X121" s="192">
        <f t="shared" si="48"/>
        <v>1</v>
      </c>
      <c r="Y121" s="192">
        <f t="shared" si="35"/>
        <v>4.7699999999999999E-2</v>
      </c>
      <c r="Z121" s="192">
        <f t="shared" si="49"/>
        <v>23.331199999999999</v>
      </c>
      <c r="AA121" s="192">
        <f t="shared" si="37"/>
        <v>23.2835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8"/>
        <v>0207-05</v>
      </c>
      <c r="AE121" s="80" t="str">
        <f t="shared" si="39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121" s="77" t="str">
        <f t="shared" si="40"/>
        <v>"C:\Program Files (x86)\AstroGrep\AstroGrep.exe" /e /r /s /spath="%USERPROFILE%\AppData\Local\Temp\OnboardLogs" /stypes="app*4044*20170505*" /stext=" 23:.+((SYSTEM_STATE.+slice.+state.+changed )|(ment ac)|(multiple cpu faults)|(system.+state.+changed )|(\[timeout)|(PRM\|1\|D)|(kpr)|(kdp)|(train st.+moving)|(\|lc)|(penalty))"</v>
      </c>
      <c r="AG121" s="1" t="str">
        <f t="shared" si="41"/>
        <v>EC</v>
      </c>
      <c r="AH121" s="81" t="str">
        <f t="shared" si="42"/>
        <v>"%USERPROFILE%\Documents\GitHub\eaglep3\Utilities\RefineRTDCRunTimes.py" --tripid 207-05 --locoid 4044 --swversion DE.1.0.9.0 --startMP 204:477 --initTime 2017-05-05T16:55:23 --startdatetime 2017-05-05T17:00:15 --delay 1 --endMP 204:233312 --enddatetime 2017-05-05T17:35:37 --enforcementcount 0 &gt;&gt;C:\Users\stu\Documents\GitHub\eaglep3-reporting\EC\2017-05-05-refined-times.txt</v>
      </c>
      <c r="AI12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{"issue":{"subject":"","project_id":79,"tracker_id":40,"status_id":1,"priority_id":2,"assigned_to_id":23,"start_date":"2017-05-05","description":"","custom_fields":[{"id":1,"name":"Subdivision","value":"EC"},{"id":4,"name":"Milepost","value":"23.3312"},{"id":17,"name":"Train ID","value":"207-05"},{"id":16,"name":"Locomotive ID","value":"4044"},{"id":130,"name":"Impact","value":""},{"id":150,"name":"Time of Event (Mountain Time)","value":"17:35:37"},{"id":151,"name":"Denver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4"/>
        <v>start /low /b %USERPROFILE%\Documents\GitHub\eaglep3\Utilities\DownloadLogsFromS3.py --loco 4044 --day 2017-05-05</v>
      </c>
      <c r="AN121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788</v>
      </c>
      <c r="B122" s="7">
        <v>4043</v>
      </c>
      <c r="C122" s="21" t="s">
        <v>210</v>
      </c>
      <c r="D122" s="21" t="s">
        <v>508</v>
      </c>
      <c r="E122" s="13">
        <v>42860.743263888886</v>
      </c>
      <c r="F122" s="13">
        <v>42860.747395833336</v>
      </c>
      <c r="G122" s="7">
        <v>1</v>
      </c>
      <c r="H122" s="21" t="s">
        <v>415</v>
      </c>
      <c r="I122" s="13">
        <v>42860.77443287037</v>
      </c>
      <c r="J122" s="7">
        <v>0</v>
      </c>
      <c r="K122" s="92" t="str">
        <f t="shared" si="27"/>
        <v>4043/4044</v>
      </c>
      <c r="L122" s="21" t="str">
        <f>VLOOKUP(A122,'Trips&amp;Operators'!$C$1:$G$99999,5,FALSE)</f>
        <v>BRUDER RICHARD</v>
      </c>
      <c r="M122" s="6">
        <f t="shared" si="28"/>
        <v>2.7037037034460809E-2</v>
      </c>
      <c r="N122" s="7">
        <f t="shared" si="50"/>
        <v>38.933333329623565</v>
      </c>
      <c r="O122" s="7"/>
      <c r="P122" s="7"/>
      <c r="Q122" s="22"/>
      <c r="R122" s="190"/>
      <c r="S122" s="196">
        <f t="shared" si="47"/>
        <v>1</v>
      </c>
      <c r="T122" s="190" t="str">
        <f t="shared" si="31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2"/>
        <v>https://d0f6bd738d7f1b3e5a7ca70fe4ff75f0.us-east-1.aws.found.io/app/kibana#/discover/Steve-Slow-Train-Analysis-(2080s-and-2083s)?_g=(refreshInterval:(display:Off,pause:!f,section:0,value:0),time:(from:'2017-05-05T16:50:18-0600',mode:absolute,to:'2017-05-05T19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192" t="str">
        <f t="shared" si="33"/>
        <v>N</v>
      </c>
      <c r="X122" s="192">
        <f t="shared" si="48"/>
        <v>1</v>
      </c>
      <c r="Y122" s="192">
        <f t="shared" si="35"/>
        <v>23.2987</v>
      </c>
      <c r="Z122" s="192">
        <f t="shared" si="49"/>
        <v>1.5599999999999999E-2</v>
      </c>
      <c r="AA122" s="192">
        <f t="shared" si="37"/>
        <v>23.283100000000001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8"/>
        <v>0208-05</v>
      </c>
      <c r="AE122" s="80" t="str">
        <f t="shared" si="39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122" s="77" t="str">
        <f t="shared" si="40"/>
        <v>"C:\Program Files (x86)\AstroGrep\AstroGrep.exe" /e /r /s /spath="%USERPROFILE%\AppData\Local\Temp\OnboardLogs" /stypes="app*4043*20170506*" /stext=" 00:.+((SYSTEM_STATE.+slice.+state.+changed )|(ment ac)|(multiple cpu faults)|(system.+state.+changed )|(\[timeout)|(PRM\|1\|D)|(kpr)|(kdp)|(train st.+moving)|(\|lc)|(penalty))"</v>
      </c>
      <c r="AG122" s="1" t="str">
        <f t="shared" si="41"/>
        <v>EC</v>
      </c>
      <c r="AH122" s="81" t="str">
        <f t="shared" si="42"/>
        <v>"%USERPROFILE%\Documents\GitHub\eaglep3\Utilities\RefineRTDCRunTimes.py" --tripid 208-05 --locoid 4043 --swversion DE.1.0.9.0 --startMP 204:232987 --initTime 2017-05-05T17:50:18 --startdatetime 2017-05-05T17:56:15 --delay 1 --endMP 204:156 --enddatetime 2017-05-05T18:35:11 --enforcementcount 0 &gt;&gt;C:\Users\stu\Documents\GitHub\eaglep3-reporting\EC\2017-05-05-refined-times.txt</v>
      </c>
      <c r="AI12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{"issue":{"subject":"","project_id":79,"tracker_id":40,"status_id":1,"priority_id":2,"assigned_to_id":23,"start_date":"2017-05-05","description":"","custom_fields":[{"id":1,"name":"Subdivision","value":"EC"},{"id":4,"name":"Milepost","value":"0.0156"},{"id":17,"name":"Train ID","value":"208-05"},{"id":16,"name":"Locomotive ID","value":"4043"},{"id":130,"name":"Impact","value":""},{"id":150,"name":"Time of Event (Mountain Time)","value":"18:35:11"},{"id":151,"name":"Denver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4"/>
        <v>start /low /b %USERPROFILE%\Documents\GitHub\eaglep3\Utilities\DownloadLogsFromS3.py --loco 4043 --day 2017-05-05</v>
      </c>
      <c r="AN122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783</v>
      </c>
      <c r="B123" s="7">
        <v>4028</v>
      </c>
      <c r="C123" s="21" t="s">
        <v>210</v>
      </c>
      <c r="D123" s="21" t="s">
        <v>419</v>
      </c>
      <c r="E123" s="13">
        <v>42860.716932870368</v>
      </c>
      <c r="F123" s="13">
        <v>42860.719305555554</v>
      </c>
      <c r="G123" s="7">
        <v>1</v>
      </c>
      <c r="H123" s="21" t="s">
        <v>901</v>
      </c>
      <c r="I123" s="13">
        <v>42860.744456018518</v>
      </c>
      <c r="J123" s="7">
        <v>0</v>
      </c>
      <c r="K123" s="92" t="str">
        <f t="shared" si="27"/>
        <v>4027/4028</v>
      </c>
      <c r="L123" s="21" t="str">
        <f>VLOOKUP(A123,'Trips&amp;Operators'!$C$1:$G$99999,5,FALSE)</f>
        <v>BIRENBAUM THOMAS</v>
      </c>
      <c r="M123" s="6">
        <f t="shared" si="28"/>
        <v>2.5150462963210884E-2</v>
      </c>
      <c r="N123" s="7">
        <f t="shared" si="50"/>
        <v>36.216666667023674</v>
      </c>
      <c r="O123" s="7"/>
      <c r="P123" s="7"/>
      <c r="Q123" s="22"/>
      <c r="R123" s="190"/>
      <c r="S123" s="196">
        <f t="shared" si="47"/>
        <v>1</v>
      </c>
      <c r="T123" s="190" t="str">
        <f t="shared" si="31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2"/>
        <v>https://d0f6bd738d7f1b3e5a7ca70fe4ff75f0.us-east-1.aws.found.io/app/kibana#/discover/Steve-Slow-Train-Analysis-(2080s-and-2083s)?_g=(refreshInterval:(display:Off,pause:!f,section:0,value:0),time:(from:'2017-05-05T16:12:23-0600',mode:absolute,to:'2017-05-05T18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3" s="192" t="str">
        <f t="shared" si="33"/>
        <v>N</v>
      </c>
      <c r="X123" s="192">
        <f t="shared" si="48"/>
        <v>1</v>
      </c>
      <c r="Y123" s="192">
        <f t="shared" si="35"/>
        <v>4.53E-2</v>
      </c>
      <c r="Z123" s="192">
        <f t="shared" si="49"/>
        <v>23.327400000000001</v>
      </c>
      <c r="AA123" s="192">
        <f t="shared" si="37"/>
        <v>23.2821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8"/>
        <v>0209-05</v>
      </c>
      <c r="AE123" s="80" t="str">
        <f t="shared" si="39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123" s="77" t="str">
        <f t="shared" si="40"/>
        <v>"C:\Program Files (x86)\AstroGrep\AstroGrep.exe" /e /r /s /spath="%USERPROFILE%\AppData\Local\Temp\OnboardLogs" /stypes="app*4028*20170505*" /stext=" 23:.+((SYSTEM_STATE.+slice.+state.+changed )|(ment ac)|(multiple cpu faults)|(system.+state.+changed )|(\[timeout)|(PRM\|1\|D)|(kpr)|(kdp)|(train st.+moving)|(\|lc)|(penalty))"</v>
      </c>
      <c r="AG123" s="1" t="str">
        <f t="shared" si="41"/>
        <v>EC</v>
      </c>
      <c r="AH123" s="81" t="str">
        <f t="shared" si="42"/>
        <v>"%USERPROFILE%\Documents\GitHub\eaglep3\Utilities\RefineRTDCRunTimes.py" --tripid 209-05 --locoid 4028 --swversion DE.1.0.9.0 --startMP 204:453 --initTime 2017-05-05T17:12:23 --startdatetime 2017-05-05T17:15:48 --delay 1 --endMP 204:233274 --enddatetime 2017-05-05T17:52:01 --enforcementcount 0 &gt;&gt;C:\Users\stu\Documents\GitHub\eaglep3-reporting\EC\2017-05-05-refined-times.txt</v>
      </c>
      <c r="AI12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{"issue":{"subject":"","project_id":79,"tracker_id":40,"status_id":1,"priority_id":2,"assigned_to_id":23,"start_date":"2017-05-05","description":"","custom_fields":[{"id":1,"name":"Subdivision","value":"EC"},{"id":4,"name":"Milepost","value":"23.3274"},{"id":17,"name":"Train ID","value":"209-05"},{"id":16,"name":"Locomotive ID","value":"4028"},{"id":130,"name":"Impact","value":""},{"id":150,"name":"Time of Event (Mountain Time)","value":"17:52:01"},{"id":151,"name":"Denver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4"/>
        <v>start /low /b %USERPROFILE%\Documents\GitHub\eaglep3\Utilities\DownloadLogsFromS3.py --loco 4028 --day 2017-05-05</v>
      </c>
      <c r="AN123" s="154" t="str">
        <f t="shared" si="45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796</v>
      </c>
      <c r="B124" s="7">
        <v>4027</v>
      </c>
      <c r="C124" s="21" t="s">
        <v>210</v>
      </c>
      <c r="D124" s="21" t="s">
        <v>420</v>
      </c>
      <c r="E124" s="13">
        <v>42860.754351851851</v>
      </c>
      <c r="F124" s="13">
        <v>42860.757835648146</v>
      </c>
      <c r="G124" s="7">
        <v>0</v>
      </c>
      <c r="H124" s="21" t="s">
        <v>435</v>
      </c>
      <c r="I124" s="13">
        <v>42860.786550925928</v>
      </c>
      <c r="J124" s="7">
        <v>0</v>
      </c>
      <c r="K124" s="92" t="str">
        <f t="shared" si="27"/>
        <v>4027/4028</v>
      </c>
      <c r="L124" s="21" t="str">
        <f>VLOOKUP(A124,'Trips&amp;Operators'!$C$1:$G$99999,5,FALSE)</f>
        <v>BIRENBAUM THOMAS</v>
      </c>
      <c r="M124" s="6">
        <f t="shared" si="28"/>
        <v>2.8715277781884652E-2</v>
      </c>
      <c r="N124" s="7">
        <f t="shared" si="50"/>
        <v>41.350000005913898</v>
      </c>
      <c r="O124" s="7"/>
      <c r="P124" s="7"/>
      <c r="Q124" s="22"/>
      <c r="R124" s="190"/>
      <c r="S124" s="196">
        <f t="shared" si="47"/>
        <v>1</v>
      </c>
      <c r="T124" s="190" t="str">
        <f t="shared" si="31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2"/>
        <v>https://d0f6bd738d7f1b3e5a7ca70fe4ff75f0.us-east-1.aws.found.io/app/kibana#/discover/Steve-Slow-Train-Analysis-(2080s-and-2083s)?_g=(refreshInterval:(display:Off,pause:!f,section:0,value:0),time:(from:'2017-05-05T17:06:16-0600',mode:absolute,to:'2017-05-05T19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4" s="192" t="str">
        <f t="shared" si="33"/>
        <v>N</v>
      </c>
      <c r="X124" s="192">
        <f t="shared" si="48"/>
        <v>1</v>
      </c>
      <c r="Y124" s="192">
        <f t="shared" si="35"/>
        <v>23.297799999999999</v>
      </c>
      <c r="Z124" s="192">
        <f t="shared" si="49"/>
        <v>1.6500000000000001E-2</v>
      </c>
      <c r="AA124" s="192">
        <f t="shared" si="37"/>
        <v>23.281299999999998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8"/>
        <v>0210-05</v>
      </c>
      <c r="AE124" s="80" t="str">
        <f t="shared" si="39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24" s="77" t="str">
        <f t="shared" si="40"/>
        <v>"C:\Program Files (x86)\AstroGrep\AstroGrep.exe" /e /r /s /spath="%USERPROFILE%\AppData\Local\Temp\OnboardLogs" /stypes="app*4027*20170506*" /stext=" 00:.+((SYSTEM_STATE.+slice.+state.+changed )|(ment ac)|(multiple cpu faults)|(system.+state.+changed )|(\[timeout)|(PRM\|1\|D)|(kpr)|(kdp)|(train st.+moving)|(\|lc)|(penalty))"</v>
      </c>
      <c r="AG124" s="1" t="str">
        <f t="shared" si="41"/>
        <v>EC</v>
      </c>
      <c r="AH124" s="81" t="str">
        <f t="shared" si="42"/>
        <v>"%USERPROFILE%\Documents\GitHub\eaglep3\Utilities\RefineRTDCRunTimes.py" --tripid 210-05 --locoid 4027 --swversion DE.1.0.9.0 --startMP 204:232978 --initTime 2017-05-05T18:06:16 --startdatetime 2017-05-05T18:11:17 --delay 0 --endMP 204:165 --enddatetime 2017-05-05T18:52:38 --enforcementcount 0 &gt;&gt;C:\Users\stu\Documents\GitHub\eaglep3-reporting\EC\2017-05-05-refined-times.txt</v>
      </c>
      <c r="AI12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{"issue":{"subject":"","project_id":79,"tracker_id":40,"status_id":1,"priority_id":2,"assigned_to_id":23,"start_date":"2017-05-05","description":"","custom_fields":[{"id":1,"name":"Subdivision","value":"EC"},{"id":4,"name":"Milepost","value":"0.0165"},{"id":17,"name":"Train ID","value":"210-05"},{"id":16,"name":"Locomotive ID","value":"4027"},{"id":130,"name":"Impact","value":""},{"id":150,"name":"Time of Event (Mountain Time)","value":"18:52:38"},{"id":151,"name":"Denver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4"/>
        <v>start /low /b %USERPROFILE%\Documents\GitHub\eaglep3\Utilities\DownloadLogsFromS3.py --loco 4027 --day 2017-05-05</v>
      </c>
      <c r="AN124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784</v>
      </c>
      <c r="B125" s="7">
        <v>4016</v>
      </c>
      <c r="C125" s="21" t="s">
        <v>210</v>
      </c>
      <c r="D125" s="21" t="s">
        <v>902</v>
      </c>
      <c r="E125" s="13">
        <v>42860.724618055552</v>
      </c>
      <c r="F125" s="13">
        <v>42860.729375000003</v>
      </c>
      <c r="G125" s="7">
        <v>1</v>
      </c>
      <c r="H125" s="21" t="s">
        <v>903</v>
      </c>
      <c r="I125" s="13">
        <v>42860.755960648145</v>
      </c>
      <c r="J125" s="7">
        <v>0</v>
      </c>
      <c r="K125" s="92" t="str">
        <f t="shared" si="27"/>
        <v>4015/4016</v>
      </c>
      <c r="L125" s="21" t="str">
        <f>VLOOKUP(A125,'Trips&amp;Operators'!$C$1:$G$99999,5,FALSE)</f>
        <v>BRANDNER MELINDA</v>
      </c>
      <c r="M125" s="6">
        <f t="shared" si="28"/>
        <v>2.6585648141917773E-2</v>
      </c>
      <c r="N125" s="7">
        <f t="shared" si="50"/>
        <v>38.283333324361593</v>
      </c>
      <c r="O125" s="7"/>
      <c r="P125" s="7"/>
      <c r="Q125" s="22"/>
      <c r="R125" s="190"/>
      <c r="S125" s="196">
        <f t="shared" si="47"/>
        <v>1</v>
      </c>
      <c r="T125" s="190" t="str">
        <f t="shared" si="31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2"/>
        <v>https://d0f6bd738d7f1b3e5a7ca70fe4ff75f0.us-east-1.aws.found.io/app/kibana#/discover/Steve-Slow-Train-Analysis-(2080s-and-2083s)?_g=(refreshInterval:(display:Off,pause:!f,section:0,value:0),time:(from:'2017-05-05T16:23:27-0600',mode:absolute,to:'2017-05-05T19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192" t="str">
        <f t="shared" si="33"/>
        <v>N</v>
      </c>
      <c r="X125" s="192">
        <f t="shared" si="48"/>
        <v>1</v>
      </c>
      <c r="Y125" s="192">
        <f t="shared" si="35"/>
        <v>4.2000000000000003E-2</v>
      </c>
      <c r="Z125" s="192">
        <f t="shared" si="49"/>
        <v>23.336400000000001</v>
      </c>
      <c r="AA125" s="192">
        <f t="shared" si="37"/>
        <v>23.2944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8"/>
        <v>0211-05</v>
      </c>
      <c r="AE125" s="80" t="str">
        <f t="shared" si="39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125" s="77" t="str">
        <f t="shared" si="40"/>
        <v>"C:\Program Files (x86)\AstroGrep\AstroGrep.exe" /e /r /s /spath="%USERPROFILE%\AppData\Local\Temp\OnboardLogs" /stypes="app*4016*20170506*" /stext=" 00:.+((SYSTEM_STATE.+slice.+state.+changed )|(ment ac)|(multiple cpu faults)|(system.+state.+changed )|(\[timeout)|(PRM\|1\|D)|(kpr)|(kdp)|(train st.+moving)|(\|lc)|(penalty))"</v>
      </c>
      <c r="AG125" s="1" t="str">
        <f t="shared" si="41"/>
        <v>EC</v>
      </c>
      <c r="AH125" s="81" t="str">
        <f t="shared" si="42"/>
        <v>"%USERPROFILE%\Documents\GitHub\eaglep3\Utilities\RefineRTDCRunTimes.py" --tripid 211-05 --locoid 4016 --swversion DE.1.0.9.0 --startMP 204:420 --initTime 2017-05-05T17:23:27 --startdatetime 2017-05-05T17:30:18 --delay 1 --endMP 204:233364 --enddatetime 2017-05-05T18:08:35 --enforcementcount 0 &gt;&gt;C:\Users\stu\Documents\GitHub\eaglep3-reporting\EC\2017-05-05-refined-times.txt</v>
      </c>
      <c r="AI125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{"issue":{"subject":"","project_id":79,"tracker_id":40,"status_id":1,"priority_id":2,"assigned_to_id":23,"start_date":"2017-05-05","description":"","custom_fields":[{"id":1,"name":"Subdivision","value":"EC"},{"id":4,"name":"Milepost","value":"23.3364"},{"id":17,"name":"Train ID","value":"211-05"},{"id":16,"name":"Locomotive ID","value":"4016"},{"id":130,"name":"Impact","value":""},{"id":150,"name":"Time of Event (Mountain Time)","value":"18:08:35"},{"id":151,"name":"Denver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4"/>
        <v>start /low /b %USERPROFILE%\Documents\GitHub\eaglep3\Utilities\DownloadLogsFromS3.py --loco 4016 --day 2017-05-05</v>
      </c>
      <c r="AN125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798</v>
      </c>
      <c r="B126" s="7">
        <v>4015</v>
      </c>
      <c r="C126" s="21" t="s">
        <v>210</v>
      </c>
      <c r="D126" s="21" t="s">
        <v>904</v>
      </c>
      <c r="E126" s="13">
        <v>42860.764120370368</v>
      </c>
      <c r="F126" s="13">
        <v>42860.768287037034</v>
      </c>
      <c r="G126" s="7">
        <v>1</v>
      </c>
      <c r="H126" s="21" t="s">
        <v>551</v>
      </c>
      <c r="I126" s="13">
        <v>42860.795810185184</v>
      </c>
      <c r="J126" s="7">
        <v>0</v>
      </c>
      <c r="K126" s="92" t="str">
        <f t="shared" si="27"/>
        <v>4015/4016</v>
      </c>
      <c r="L126" s="21" t="str">
        <f>VLOOKUP(A126,'Trips&amp;Operators'!$C$1:$G$99999,5,FALSE)</f>
        <v>BRANDNER MELINDA</v>
      </c>
      <c r="M126" s="6">
        <f t="shared" si="28"/>
        <v>2.7523148150066845E-2</v>
      </c>
      <c r="N126" s="7">
        <f t="shared" si="50"/>
        <v>39.633333336096257</v>
      </c>
      <c r="O126" s="7"/>
      <c r="P126" s="7"/>
      <c r="Q126" s="22"/>
      <c r="R126" s="190"/>
      <c r="S126" s="196">
        <f t="shared" si="47"/>
        <v>1</v>
      </c>
      <c r="T126" s="190" t="str">
        <f t="shared" si="31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2"/>
        <v>https://d0f6bd738d7f1b3e5a7ca70fe4ff75f0.us-east-1.aws.found.io/app/kibana#/discover/Steve-Slow-Train-Analysis-(2080s-and-2083s)?_g=(refreshInterval:(display:Off,pause:!f,section:0,value:0),time:(from:'2017-05-05T17:20:20-0600',mode:absolute,to:'2017-05-05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192" t="str">
        <f t="shared" si="33"/>
        <v>N</v>
      </c>
      <c r="X126" s="192">
        <f t="shared" si="48"/>
        <v>1</v>
      </c>
      <c r="Y126" s="192">
        <f t="shared" si="35"/>
        <v>23.307700000000001</v>
      </c>
      <c r="Z126" s="192">
        <f t="shared" si="49"/>
        <v>1.34E-2</v>
      </c>
      <c r="AA126" s="192">
        <f t="shared" si="37"/>
        <v>23.2943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8"/>
        <v>0212-05</v>
      </c>
      <c r="AE126" s="80" t="str">
        <f t="shared" si="39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126" s="77" t="str">
        <f t="shared" si="40"/>
        <v>"C:\Program Files (x86)\AstroGrep\AstroGrep.exe" /e /r /s /spath="%USERPROFILE%\AppData\Local\Temp\OnboardLogs" /stypes="app*4015*20170506*" /stext=" 01:.+((SYSTEM_STATE.+slice.+state.+changed )|(ment ac)|(multiple cpu faults)|(system.+state.+changed )|(\[timeout)|(PRM\|1\|D)|(kpr)|(kdp)|(train st.+moving)|(\|lc)|(penalty))"</v>
      </c>
      <c r="AG126" s="1" t="str">
        <f t="shared" si="41"/>
        <v>EC</v>
      </c>
      <c r="AH126" s="81" t="str">
        <f t="shared" si="42"/>
        <v>"%USERPROFILE%\Documents\GitHub\eaglep3\Utilities\RefineRTDCRunTimes.py" --tripid 212-05 --locoid 4015 --swversion DE.1.0.9.0 --startMP 204:233077 --initTime 2017-05-05T18:20:20 --startdatetime 2017-05-05T18:26:20 --delay 1 --endMP 204:134 --enddatetime 2017-05-05T19:05:58 --enforcementcount 0 &gt;&gt;C:\Users\stu\Documents\GitHub\eaglep3-reporting\EC\2017-05-05-refined-times.txt</v>
      </c>
      <c r="AI126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{"issue":{"subject":"","project_id":79,"tracker_id":40,"status_id":1,"priority_id":2,"assigned_to_id":23,"start_date":"2017-05-05","description":"","custom_fields":[{"id":1,"name":"Subdivision","value":"EC"},{"id":4,"name":"Milepost","value":"0.0134"},{"id":17,"name":"Train ID","value":"212-05"},{"id":16,"name":"Locomotive ID","value":"4015"},{"id":130,"name":"Impact","value":""},{"id":150,"name":"Time of Event (Mountain Time)","value":"19:05:58"},{"id":151,"name":"Denver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4"/>
        <v>start /low /b %USERPROFILE%\Documents\GitHub\eaglep3\Utilities\DownloadLogsFromS3.py --loco 4015 --day 2017-05-05</v>
      </c>
      <c r="AN126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618</v>
      </c>
      <c r="B127" s="7">
        <v>4022</v>
      </c>
      <c r="C127" s="21" t="s">
        <v>210</v>
      </c>
      <c r="D127" s="21" t="s">
        <v>431</v>
      </c>
      <c r="E127" s="13">
        <v>42860.736064814817</v>
      </c>
      <c r="F127" s="13">
        <v>42860.740023148152</v>
      </c>
      <c r="G127" s="7">
        <v>2</v>
      </c>
      <c r="H127" s="21" t="s">
        <v>457</v>
      </c>
      <c r="I127" s="13">
        <v>42860.767245370371</v>
      </c>
      <c r="J127" s="7">
        <v>0</v>
      </c>
      <c r="K127" s="92" t="str">
        <f t="shared" si="27"/>
        <v>4021/4022</v>
      </c>
      <c r="L127" s="21" t="str">
        <f>VLOOKUP(A127,'Trips&amp;Operators'!$C$1:$G$99999,5,FALSE)</f>
        <v>STORY SAMANTHA</v>
      </c>
      <c r="M127" s="6">
        <f t="shared" si="28"/>
        <v>2.7222222219279502E-2</v>
      </c>
      <c r="N127" s="7">
        <f t="shared" si="50"/>
        <v>39.199999995762482</v>
      </c>
      <c r="O127" s="7"/>
      <c r="P127" s="7"/>
      <c r="Q127" s="22"/>
      <c r="R127" s="190"/>
      <c r="S127" s="196">
        <f t="shared" si="47"/>
        <v>1</v>
      </c>
      <c r="T127" s="190" t="str">
        <f t="shared" si="31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2"/>
        <v>https://d0f6bd738d7f1b3e5a7ca70fe4ff75f0.us-east-1.aws.found.io/app/kibana#/discover/Steve-Slow-Train-Analysis-(2080s-and-2083s)?_g=(refreshInterval:(display:Off,pause:!f,section:0,value:0),time:(from:'2017-05-05T16:39:56-0600',mode:absolute,to:'2017-05-05T19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7" s="192" t="str">
        <f t="shared" si="33"/>
        <v>N</v>
      </c>
      <c r="X127" s="192">
        <f t="shared" si="48"/>
        <v>1</v>
      </c>
      <c r="Y127" s="192">
        <f t="shared" si="35"/>
        <v>4.4699999999999997E-2</v>
      </c>
      <c r="Z127" s="192">
        <f t="shared" si="49"/>
        <v>23.333200000000001</v>
      </c>
      <c r="AA127" s="192">
        <f t="shared" si="37"/>
        <v>23.288500000000003</v>
      </c>
      <c r="AB127" s="57" t="str">
        <f>VLOOKUP(A127,Enforcements!$C$7:$K$13,8,0)</f>
        <v>Bulletin (2)</v>
      </c>
      <c r="AC127" s="53" t="str">
        <f>VLOOKUP(A127,Enforcements!$C$7:$E$13,3,0)</f>
        <v>GRADE CROSSING</v>
      </c>
      <c r="AD127" s="54" t="str">
        <f t="shared" si="38"/>
        <v>0213-05</v>
      </c>
      <c r="AE127" s="80" t="str">
        <f t="shared" si="39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27" s="77" t="str">
        <f t="shared" si="40"/>
        <v>"C:\Program Files (x86)\AstroGrep\AstroGrep.exe" /e /r /s /spath="%USERPROFILE%\AppData\Local\Temp\OnboardLogs" /stypes="app*4022*20170506*" /stext=" 00:.+((SYSTEM_STATE.+slice.+state.+changed )|(ment ac)|(multiple cpu faults)|(system.+state.+changed )|(\[timeout)|(PRM\|1\|D)|(kpr)|(kdp)|(train st.+moving)|(\|lc)|(penalty))"</v>
      </c>
      <c r="AG127" s="1" t="str">
        <f t="shared" si="41"/>
        <v>EC</v>
      </c>
      <c r="AH127" s="81" t="str">
        <f t="shared" si="42"/>
        <v>"%USERPROFILE%\Documents\GitHub\eaglep3\Utilities\RefineRTDCRunTimes.py" --tripid 213-05 --locoid 4022 --swversion DE.1.0.9.0 --startMP 204:447 --initTime 2017-05-05T17:39:56 --startdatetime 2017-05-05T17:45:38 --delay 2 --endMP 204:233332 --enddatetime 2017-05-05T18:24:50 --enforcementcount 0 &gt;&gt;C:\Users\stu\Documents\GitHub\eaglep3-reporting\EC\2017-05-05-refined-times.txt</v>
      </c>
      <c r="AI12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{"issue":{"subject":"","project_id":79,"tracker_id":40,"status_id":1,"priority_id":2,"assigned_to_id":23,"start_date":"2017-05-05","description":"","custom_fields":[{"id":1,"name":"Subdivision","value":"EC"},{"id":4,"name":"Milepost","value":"23.3332"},{"id":17,"name":"Train ID","value":"213-05"},{"id":16,"name":"Locomotive ID","value":"4022"},{"id":130,"name":"Impact","value":""},{"id":150,"name":"Time of Event (Mountain Time)","value":"18:24:50"},{"id":151,"name":"Denver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4"/>
        <v>start /low /b %USERPROFILE%\Documents\GitHub\eaglep3\Utilities\DownloadLogsFromS3.py --loco 4022 --day 2017-05-05</v>
      </c>
      <c r="AN127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801</v>
      </c>
      <c r="B128" s="7">
        <v>4021</v>
      </c>
      <c r="C128" s="21" t="s">
        <v>210</v>
      </c>
      <c r="D128" s="21" t="s">
        <v>561</v>
      </c>
      <c r="E128" s="13">
        <v>42860.773865740739</v>
      </c>
      <c r="F128" s="13">
        <v>42860.778900462959</v>
      </c>
      <c r="G128" s="7">
        <v>2</v>
      </c>
      <c r="H128" s="21" t="s">
        <v>866</v>
      </c>
      <c r="I128" s="13">
        <v>42860.806354166663</v>
      </c>
      <c r="J128" s="7">
        <v>0</v>
      </c>
      <c r="K128" s="92" t="str">
        <f t="shared" si="27"/>
        <v>4021/4022</v>
      </c>
      <c r="L128" s="21" t="str">
        <f>VLOOKUP(A128,'Trips&amp;Operators'!$C$1:$G$99999,5,FALSE)</f>
        <v>STORY SAMANTHA</v>
      </c>
      <c r="M128" s="6">
        <f t="shared" si="28"/>
        <v>2.7453703703940846E-2</v>
      </c>
      <c r="N128" s="7">
        <f t="shared" si="50"/>
        <v>39.533333333674818</v>
      </c>
      <c r="O128" s="7"/>
      <c r="P128" s="7"/>
      <c r="Q128" s="22"/>
      <c r="R128" s="190"/>
      <c r="S128" s="196">
        <f t="shared" si="47"/>
        <v>1</v>
      </c>
      <c r="T128" s="190" t="str">
        <f t="shared" si="31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2"/>
        <v>https://d0f6bd738d7f1b3e5a7ca70fe4ff75f0.us-east-1.aws.found.io/app/kibana#/discover/Steve-Slow-Train-Analysis-(2080s-and-2083s)?_g=(refreshInterval:(display:Off,pause:!f,section:0,value:0),time:(from:'2017-05-05T17:34:22-0600',mode:absolute,to:'2017-05-05T20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8" s="192" t="str">
        <f t="shared" si="33"/>
        <v>N</v>
      </c>
      <c r="X128" s="192">
        <f t="shared" si="48"/>
        <v>1</v>
      </c>
      <c r="Y128" s="192">
        <f t="shared" si="35"/>
        <v>23.302099999999999</v>
      </c>
      <c r="Z128" s="192">
        <f t="shared" si="49"/>
        <v>1.32E-2</v>
      </c>
      <c r="AA128" s="192">
        <f t="shared" si="37"/>
        <v>23.288899999999998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8"/>
        <v>0214-05</v>
      </c>
      <c r="AE128" s="80" t="str">
        <f t="shared" si="39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128" s="77" t="str">
        <f t="shared" si="40"/>
        <v>"C:\Program Files (x86)\AstroGrep\AstroGrep.exe" /e /r /s /spath="%USERPROFILE%\AppData\Local\Temp\OnboardLogs" /stypes="app*4021*20170506*" /stext=" 01:.+((SYSTEM_STATE.+slice.+state.+changed )|(ment ac)|(multiple cpu faults)|(system.+state.+changed )|(\[timeout)|(PRM\|1\|D)|(kpr)|(kdp)|(train st.+moving)|(\|lc)|(penalty))"</v>
      </c>
      <c r="AG128" s="1" t="str">
        <f t="shared" si="41"/>
        <v>EC</v>
      </c>
      <c r="AH128" s="81" t="str">
        <f t="shared" si="42"/>
        <v>"%USERPROFILE%\Documents\GitHub\eaglep3\Utilities\RefineRTDCRunTimes.py" --tripid 214-05 --locoid 4021 --swversion DE.1.0.9.0 --startMP 204:233021 --initTime 2017-05-05T18:34:22 --startdatetime 2017-05-05T18:41:37 --delay 2 --endMP 204:132 --enddatetime 2017-05-05T19:21:09 --enforcementcount 0 &gt;&gt;C:\Users\stu\Documents\GitHub\eaglep3-reporting\EC\2017-05-05-refined-times.txt</v>
      </c>
      <c r="AI12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{"issue":{"subject":"","project_id":79,"tracker_id":40,"status_id":1,"priority_id":2,"assigned_to_id":23,"start_date":"2017-05-05","description":"","custom_fields":[{"id":1,"name":"Subdivision","value":"EC"},{"id":4,"name":"Milepost","value":"0.0132"},{"id":17,"name":"Train ID","value":"214-05"},{"id":16,"name":"Locomotive ID","value":"4021"},{"id":130,"name":"Impact","value":""},{"id":150,"name":"Time of Event (Mountain Time)","value":"19:21:09"},{"id":151,"name":"Denver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4"/>
        <v>start /low /b %USERPROFILE%\Documents\GitHub\eaglep3\Utilities\DownloadLogsFromS3.py --loco 4021 --day 2017-05-05</v>
      </c>
      <c r="AN128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789</v>
      </c>
      <c r="B129" s="7">
        <v>4040</v>
      </c>
      <c r="C129" s="21" t="s">
        <v>210</v>
      </c>
      <c r="D129" s="21" t="s">
        <v>905</v>
      </c>
      <c r="E129" s="13">
        <v>42860.743171296293</v>
      </c>
      <c r="F129" s="13">
        <v>42860.750787037039</v>
      </c>
      <c r="G129" s="7">
        <v>1</v>
      </c>
      <c r="H129" s="21" t="s">
        <v>456</v>
      </c>
      <c r="I129" s="13">
        <v>42860.782025462962</v>
      </c>
      <c r="J129" s="7">
        <v>0</v>
      </c>
      <c r="K129" s="92" t="str">
        <f t="shared" si="27"/>
        <v>4039/4040</v>
      </c>
      <c r="L129" s="21" t="str">
        <f>VLOOKUP(A129,'Trips&amp;Operators'!$C$1:$G$99999,5,FALSE)</f>
        <v>MOSES BRADLEY</v>
      </c>
      <c r="M129" s="6">
        <f t="shared" si="28"/>
        <v>3.1238425923220348E-2</v>
      </c>
      <c r="N129" s="7">
        <f t="shared" si="50"/>
        <v>44.983333329437301</v>
      </c>
      <c r="O129" s="7"/>
      <c r="P129" s="7"/>
      <c r="Q129" s="22"/>
      <c r="R129" s="190"/>
      <c r="S129" s="196">
        <f t="shared" si="47"/>
        <v>1</v>
      </c>
      <c r="T129" s="190" t="str">
        <f t="shared" si="31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2"/>
        <v>https://d0f6bd738d7f1b3e5a7ca70fe4ff75f0.us-east-1.aws.found.io/app/kibana#/discover/Steve-Slow-Train-Analysis-(2080s-and-2083s)?_g=(refreshInterval:(display:Off,pause:!f,section:0,value:0),time:(from:'2017-05-05T16:50:10-0600',mode:absolute,to:'2017-05-05T19:46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192" t="str">
        <f t="shared" si="33"/>
        <v>N</v>
      </c>
      <c r="X129" s="192">
        <f t="shared" si="48"/>
        <v>1</v>
      </c>
      <c r="Y129" s="192">
        <f t="shared" si="35"/>
        <v>0.14829999999999999</v>
      </c>
      <c r="Z129" s="192">
        <f t="shared" si="49"/>
        <v>23.3291</v>
      </c>
      <c r="AA129" s="192">
        <f t="shared" si="37"/>
        <v>23.180800000000001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8"/>
        <v>0215-05</v>
      </c>
      <c r="AE129" s="80" t="str">
        <f t="shared" si="39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129" s="77" t="str">
        <f t="shared" si="40"/>
        <v>"C:\Program Files (x86)\AstroGrep\AstroGrep.exe" /e /r /s /spath="%USERPROFILE%\AppData\Local\Temp\OnboardLogs" /stypes="app*4040*20170506*" /stext=" 00:.+((SYSTEM_STATE.+slice.+state.+changed )|(ment ac)|(multiple cpu faults)|(system.+state.+changed )|(\[timeout)|(PRM\|1\|D)|(kpr)|(kdp)|(train st.+moving)|(\|lc)|(penalty))"</v>
      </c>
      <c r="AG129" s="1" t="str">
        <f t="shared" si="41"/>
        <v>EC</v>
      </c>
      <c r="AH129" s="81" t="str">
        <f t="shared" si="42"/>
        <v>"%USERPROFILE%\Documents\GitHub\eaglep3\Utilities\RefineRTDCRunTimes.py" --tripid 215-05 --locoid 4040 --swversion DE.1.0.9.0 --startMP 204:1483 --initTime 2017-05-05T17:50:10 --startdatetime 2017-05-05T18:01:08 --delay 1 --endMP 204:233291 --enddatetime 2017-05-05T18:46:07 --enforcementcount 0 &gt;&gt;C:\Users\stu\Documents\GitHub\eaglep3-reporting\EC\2017-05-05-refined-times.txt</v>
      </c>
      <c r="AI12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{"issue":{"subject":"","project_id":79,"tracker_id":40,"status_id":1,"priority_id":2,"assigned_to_id":23,"start_date":"2017-05-05","description":"","custom_fields":[{"id":1,"name":"Subdivision","value":"EC"},{"id":4,"name":"Milepost","value":"23.3291"},{"id":17,"name":"Train ID","value":"215-05"},{"id":16,"name":"Locomotive ID","value":"4040"},{"id":130,"name":"Impact","value":""},{"id":150,"name":"Time of Event (Mountain Time)","value":"18:46:07"},{"id":151,"name":"Denver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4"/>
        <v>start /low /b %USERPROFILE%\Documents\GitHub\eaglep3\Utilities\DownloadLogsFromS3.py --loco 4040 --day 2017-05-05</v>
      </c>
      <c r="AN129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00:46:07"},{"id":29,"name":"Sharepoint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805</v>
      </c>
      <c r="B130" s="7">
        <v>4039</v>
      </c>
      <c r="C130" s="21" t="s">
        <v>210</v>
      </c>
      <c r="D130" s="21" t="s">
        <v>563</v>
      </c>
      <c r="E130" s="13">
        <v>42860.787118055552</v>
      </c>
      <c r="F130" s="13">
        <v>42860.789155092592</v>
      </c>
      <c r="G130" s="7">
        <v>1</v>
      </c>
      <c r="H130" s="21" t="s">
        <v>906</v>
      </c>
      <c r="I130" s="13">
        <v>42860.815752314818</v>
      </c>
      <c r="J130" s="7">
        <v>0</v>
      </c>
      <c r="K130" s="92" t="str">
        <f t="shared" si="27"/>
        <v>4039/4040</v>
      </c>
      <c r="L130" s="21" t="str">
        <f>VLOOKUP(A130,'Trips&amp;Operators'!$C$1:$G$99999,5,FALSE)</f>
        <v>MOSES BRADLEY</v>
      </c>
      <c r="M130" s="6">
        <f t="shared" si="28"/>
        <v>2.6597222225973383E-2</v>
      </c>
      <c r="N130" s="7">
        <f t="shared" si="50"/>
        <v>38.300000005401671</v>
      </c>
      <c r="O130" s="7"/>
      <c r="P130" s="7"/>
      <c r="Q130" s="22"/>
      <c r="R130" s="190"/>
      <c r="S130" s="196">
        <f t="shared" si="47"/>
        <v>1</v>
      </c>
      <c r="T130" s="190" t="str">
        <f t="shared" si="31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2"/>
        <v>https://d0f6bd738d7f1b3e5a7ca70fe4ff75f0.us-east-1.aws.found.io/app/kibana#/discover/Steve-Slow-Train-Analysis-(2080s-and-2083s)?_g=(refreshInterval:(display:Off,pause:!f,section:0,value:0),time:(from:'2017-05-05T17:53:27-0600',mode:absolute,to:'2017-05-05T20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192" t="str">
        <f t="shared" si="33"/>
        <v>N</v>
      </c>
      <c r="X130" s="192">
        <f t="shared" si="48"/>
        <v>1</v>
      </c>
      <c r="Y130" s="192">
        <f t="shared" si="35"/>
        <v>23.297000000000001</v>
      </c>
      <c r="Z130" s="192">
        <f t="shared" si="49"/>
        <v>1.9800000000000002E-2</v>
      </c>
      <c r="AA130" s="192">
        <f t="shared" si="37"/>
        <v>23.277200000000001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8"/>
        <v>0216-05</v>
      </c>
      <c r="AE130" s="80" t="str">
        <f t="shared" si="39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130" s="77" t="str">
        <f t="shared" si="40"/>
        <v>"C:\Program Files (x86)\AstroGrep\AstroGrep.exe" /e /r /s /spath="%USERPROFILE%\AppData\Local\Temp\OnboardLogs" /stypes="app*4039*20170506*" /stext=" 01:.+((SYSTEM_STATE.+slice.+state.+changed )|(ment ac)|(multiple cpu faults)|(system.+state.+changed )|(\[timeout)|(PRM\|1\|D)|(kpr)|(kdp)|(train st.+moving)|(\|lc)|(penalty))"</v>
      </c>
      <c r="AG130" s="1" t="str">
        <f t="shared" si="41"/>
        <v>EC</v>
      </c>
      <c r="AH130" s="81" t="str">
        <f t="shared" si="42"/>
        <v>"%USERPROFILE%\Documents\GitHub\eaglep3\Utilities\RefineRTDCRunTimes.py" --tripid 216-05 --locoid 4039 --swversion DE.1.0.9.0 --startMP 204:232970 --initTime 2017-05-05T18:53:27 --startdatetime 2017-05-05T18:56:23 --delay 1 --endMP 204:198 --enddatetime 2017-05-05T19:34:41 --enforcementcount 0 &gt;&gt;C:\Users\stu\Documents\GitHub\eaglep3-reporting\EC\2017-05-05-refined-times.txt</v>
      </c>
      <c r="AI13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{"issue":{"subject":"","project_id":79,"tracker_id":40,"status_id":1,"priority_id":2,"assigned_to_id":23,"start_date":"2017-05-05","description":"","custom_fields":[{"id":1,"name":"Subdivision","value":"EC"},{"id":4,"name":"Milepost","value":"0.0198"},{"id":17,"name":"Train ID","value":"216-05"},{"id":16,"name":"Locomotive ID","value":"4039"},{"id":130,"name":"Impact","value":""},{"id":150,"name":"Time of Event (Mountain Time)","value":"19:34:41"},{"id":151,"name":"Denver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4"/>
        <v>start /low /b %USERPROFILE%\Documents\GitHub\eaglep3\Utilities\DownloadLogsFromS3.py --loco 4039 --day 2017-05-05</v>
      </c>
      <c r="AN130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619</v>
      </c>
      <c r="B131" s="7">
        <v>4030</v>
      </c>
      <c r="C131" s="21" t="s">
        <v>210</v>
      </c>
      <c r="D131" s="21" t="s">
        <v>419</v>
      </c>
      <c r="E131" s="13">
        <v>42860.755486111113</v>
      </c>
      <c r="F131" s="13">
        <v>42860.760752314818</v>
      </c>
      <c r="G131" s="7">
        <v>2</v>
      </c>
      <c r="H131" s="21" t="s">
        <v>907</v>
      </c>
      <c r="I131" s="13">
        <v>42860.785694444443</v>
      </c>
      <c r="J131" s="7">
        <v>0</v>
      </c>
      <c r="K131" s="92" t="str">
        <f t="shared" si="27"/>
        <v>4029/4030</v>
      </c>
      <c r="L131" s="21" t="str">
        <f>VLOOKUP(A131,'Trips&amp;Operators'!$C$1:$G$99999,5,FALSE)</f>
        <v>STAMBAUGH JAMES</v>
      </c>
      <c r="M131" s="6">
        <f t="shared" si="28"/>
        <v>2.4942129624832887E-2</v>
      </c>
      <c r="N131" s="7">
        <f t="shared" si="50"/>
        <v>35.916666659759358</v>
      </c>
      <c r="O131" s="7"/>
      <c r="P131" s="7"/>
      <c r="Q131" s="22"/>
      <c r="R131" s="190"/>
      <c r="S131" s="196">
        <f t="shared" si="47"/>
        <v>1</v>
      </c>
      <c r="T131" s="190" t="str">
        <f t="shared" si="31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2"/>
        <v>https://d0f6bd738d7f1b3e5a7ca70fe4ff75f0.us-east-1.aws.found.io/app/kibana#/discover/Steve-Slow-Train-Analysis-(2080s-and-2083s)?_g=(refreshInterval:(display:Off,pause:!f,section:0,value:0),time:(from:'2017-05-05T17:07:54-0600',mode:absolute,to:'2017-05-05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1" s="192" t="str">
        <f t="shared" si="33"/>
        <v>N</v>
      </c>
      <c r="X131" s="192">
        <f t="shared" si="48"/>
        <v>1</v>
      </c>
      <c r="Y131" s="192">
        <f t="shared" si="35"/>
        <v>4.53E-2</v>
      </c>
      <c r="Z131" s="192">
        <f t="shared" si="49"/>
        <v>23.338899999999999</v>
      </c>
      <c r="AA131" s="192">
        <f t="shared" si="37"/>
        <v>23.293599999999998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8"/>
        <v>0217-05</v>
      </c>
      <c r="AE131" s="80" t="str">
        <f t="shared" si="39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31" s="77" t="str">
        <f t="shared" si="40"/>
        <v>"C:\Program Files (x86)\AstroGrep\AstroGrep.exe" /e /r /s /spath="%USERPROFILE%\AppData\Local\Temp\OnboardLogs" /stypes="app*4030*20170506*" /stext=" 00:.+((SYSTEM_STATE.+slice.+state.+changed )|(ment ac)|(multiple cpu faults)|(system.+state.+changed )|(\[timeout)|(PRM\|1\|D)|(kpr)|(kdp)|(train st.+moving)|(\|lc)|(penalty))"</v>
      </c>
      <c r="AG131" s="1" t="str">
        <f t="shared" si="41"/>
        <v>EC</v>
      </c>
      <c r="AH131" s="81" t="str">
        <f t="shared" si="42"/>
        <v>"%USERPROFILE%\Documents\GitHub\eaglep3\Utilities\RefineRTDCRunTimes.py" --tripid 217-05 --locoid 4030 --swversion DE.1.0.9.0 --startMP 204:453 --initTime 2017-05-05T18:07:54 --startdatetime 2017-05-05T18:15:29 --delay 2 --endMP 204:233389 --enddatetime 2017-05-05T18:51:24 --enforcementcount 0 &gt;&gt;C:\Users\stu\Documents\GitHub\eaglep3-reporting\EC\2017-05-05-refined-times.txt</v>
      </c>
      <c r="AI13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{"issue":{"subject":"","project_id":79,"tracker_id":40,"status_id":1,"priority_id":2,"assigned_to_id":23,"start_date":"2017-05-05","description":"","custom_fields":[{"id":1,"name":"Subdivision","value":"EC"},{"id":4,"name":"Milepost","value":"23.3389"},{"id":17,"name":"Train ID","value":"217-05"},{"id":16,"name":"Locomotive ID","value":"4030"},{"id":130,"name":"Impact","value":""},{"id":150,"name":"Time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4"/>
        <v>start /low /b %USERPROFILE%\Documents\GitHub\eaglep3\Utilities\DownloadLogsFromS3.py --loco 4030 --day 2017-05-05</v>
      </c>
      <c r="AN131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807</v>
      </c>
      <c r="B132" s="7">
        <v>4029</v>
      </c>
      <c r="C132" s="21" t="s">
        <v>210</v>
      </c>
      <c r="D132" s="21" t="s">
        <v>908</v>
      </c>
      <c r="E132" s="13">
        <v>42860.793078703704</v>
      </c>
      <c r="F132" s="13">
        <v>42860.799641203703</v>
      </c>
      <c r="G132" s="7">
        <v>1</v>
      </c>
      <c r="H132" s="21" t="s">
        <v>575</v>
      </c>
      <c r="I132" s="13">
        <v>42860.825682870367</v>
      </c>
      <c r="J132" s="7">
        <v>0</v>
      </c>
      <c r="K132" s="92" t="str">
        <f t="shared" si="27"/>
        <v>4029/4030</v>
      </c>
      <c r="L132" s="21" t="str">
        <f>VLOOKUP(A132,'Trips&amp;Operators'!$C$1:$G$99999,5,FALSE)</f>
        <v>STAMBAUGH JAMES</v>
      </c>
      <c r="M132" s="6">
        <f t="shared" si="28"/>
        <v>2.6041666664241347E-2</v>
      </c>
      <c r="N132" s="7">
        <f t="shared" si="50"/>
        <v>37.49999999650754</v>
      </c>
      <c r="O132" s="7"/>
      <c r="P132" s="7"/>
      <c r="Q132" s="22"/>
      <c r="R132" s="190"/>
      <c r="S132" s="196">
        <f t="shared" si="47"/>
        <v>1</v>
      </c>
      <c r="T132" s="190" t="str">
        <f t="shared" si="31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2"/>
        <v>https://d0f6bd738d7f1b3e5a7ca70fe4ff75f0.us-east-1.aws.found.io/app/kibana#/discover/Steve-Slow-Train-Analysis-(2080s-and-2083s)?_g=(refreshInterval:(display:Off,pause:!f,section:0,value:0),time:(from:'2017-05-05T18:02:02-0600',mode:absolute,to:'2017-05-05T20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2" s="192" t="str">
        <f t="shared" si="33"/>
        <v>N</v>
      </c>
      <c r="X132" s="192">
        <f t="shared" si="48"/>
        <v>1</v>
      </c>
      <c r="Y132" s="192">
        <f t="shared" si="35"/>
        <v>23.308399999999999</v>
      </c>
      <c r="Z132" s="192">
        <f t="shared" si="49"/>
        <v>1.29E-2</v>
      </c>
      <c r="AA132" s="192">
        <f t="shared" si="37"/>
        <v>23.295500000000001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8"/>
        <v>0218-05</v>
      </c>
      <c r="AE132" s="80" t="str">
        <f t="shared" si="39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132" s="77" t="str">
        <f t="shared" si="40"/>
        <v>"C:\Program Files (x86)\AstroGrep\AstroGrep.exe" /e /r /s /spath="%USERPROFILE%\AppData\Local\Temp\OnboardLogs" /stypes="app*4029*20170506*" /stext=" 01:.+((SYSTEM_STATE.+slice.+state.+changed )|(ment ac)|(multiple cpu faults)|(system.+state.+changed )|(\[timeout)|(PRM\|1\|D)|(kpr)|(kdp)|(train st.+moving)|(\|lc)|(penalty))"</v>
      </c>
      <c r="AG132" s="1" t="str">
        <f t="shared" si="41"/>
        <v>EC</v>
      </c>
      <c r="AH132" s="81" t="str">
        <f t="shared" si="42"/>
        <v>"%USERPROFILE%\Documents\GitHub\eaglep3\Utilities\RefineRTDCRunTimes.py" --tripid 218-05 --locoid 4029 --swversion DE.1.0.9.0 --startMP 204:233084 --initTime 2017-05-05T19:02:02 --startdatetime 2017-05-05T19:11:29 --delay 1 --endMP 204:129 --enddatetime 2017-05-05T19:48:59 --enforcementcount 0 &gt;&gt;C:\Users\stu\Documents\GitHub\eaglep3-reporting\EC\2017-05-05-refined-times.txt</v>
      </c>
      <c r="AI132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{"issue":{"subject":"","project_id":79,"tracker_id":40,"status_id":1,"priority_id":2,"assigned_to_id":23,"start_date":"2017-05-05","description":"","custom_fields":[{"id":1,"name":"Subdivision","value":"EC"},{"id":4,"name":"Milepost","value":"0.0129"},{"id":17,"name":"Train ID","value":"218-05"},{"id":16,"name":"Locomotive ID","value":"4029"},{"id":130,"name":"Impact","value":""},{"id":150,"name":"Time of Event (Mountain Time)","value":"19:48:59"},{"id":151,"name":"Denver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4"/>
        <v>start /low /b %USERPROFILE%\Documents\GitHub\eaglep3\Utilities\DownloadLogsFromS3.py --loco 4029 --day 2017-05-05</v>
      </c>
      <c r="AN132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799</v>
      </c>
      <c r="B133" s="7">
        <v>4008</v>
      </c>
      <c r="C133" s="21" t="s">
        <v>210</v>
      </c>
      <c r="D133" s="21" t="s">
        <v>476</v>
      </c>
      <c r="E133" s="13">
        <v>42860.766817129632</v>
      </c>
      <c r="F133" s="13">
        <v>42860.771053240744</v>
      </c>
      <c r="G133" s="7">
        <v>1</v>
      </c>
      <c r="H133" s="21" t="s">
        <v>909</v>
      </c>
      <c r="I133" s="13">
        <v>42860.796701388892</v>
      </c>
      <c r="J133" s="7">
        <v>0</v>
      </c>
      <c r="K133" s="92" t="str">
        <f t="shared" si="27"/>
        <v>4007/4008</v>
      </c>
      <c r="L133" s="21" t="str">
        <f>VLOOKUP(A133,'Trips&amp;Operators'!$C$1:$G$99999,5,FALSE)</f>
        <v>SWANSON BRYCE</v>
      </c>
      <c r="M133" s="6">
        <f t="shared" si="28"/>
        <v>2.5648148148320615E-2</v>
      </c>
      <c r="N133" s="7">
        <f t="shared" si="50"/>
        <v>36.933333333581686</v>
      </c>
      <c r="O133" s="7"/>
      <c r="P133" s="7"/>
      <c r="Q133" s="22"/>
      <c r="R133" s="190"/>
      <c r="S133" s="196">
        <f t="shared" si="47"/>
        <v>1</v>
      </c>
      <c r="T133" s="190" t="str">
        <f t="shared" si="31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2"/>
        <v>https://d0f6bd738d7f1b3e5a7ca70fe4ff75f0.us-east-1.aws.found.io/app/kibana#/discover/Steve-Slow-Train-Analysis-(2080s-and-2083s)?_g=(refreshInterval:(display:Off,pause:!f,section:0,value:0),time:(from:'2017-05-05T17:24:13-0600',mode:absolute,to:'2017-05-05T20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192" t="str">
        <f t="shared" si="33"/>
        <v>N</v>
      </c>
      <c r="X133" s="192">
        <f t="shared" si="48"/>
        <v>1</v>
      </c>
      <c r="Y133" s="192">
        <f t="shared" si="35"/>
        <v>4.7300000000000002E-2</v>
      </c>
      <c r="Z133" s="192">
        <f t="shared" si="49"/>
        <v>23.3415</v>
      </c>
      <c r="AA133" s="192">
        <f t="shared" si="37"/>
        <v>23.2942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8"/>
        <v>0219-05</v>
      </c>
      <c r="AE133" s="80" t="str">
        <f t="shared" si="39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33" s="77" t="str">
        <f t="shared" si="40"/>
        <v>"C:\Program Files (x86)\AstroGrep\AstroGrep.exe" /e /r /s /spath="%USERPROFILE%\AppData\Local\Temp\OnboardLogs" /stypes="app*4008*20170506*" /stext=" 01:.+((SYSTEM_STATE.+slice.+state.+changed )|(ment ac)|(multiple cpu faults)|(system.+state.+changed )|(\[timeout)|(PRM\|1\|D)|(kpr)|(kdp)|(train st.+moving)|(\|lc)|(penalty))"</v>
      </c>
      <c r="AG133" s="1" t="str">
        <f t="shared" si="41"/>
        <v>EC</v>
      </c>
      <c r="AH133" s="81" t="str">
        <f t="shared" si="42"/>
        <v>"%USERPROFILE%\Documents\GitHub\eaglep3\Utilities\RefineRTDCRunTimes.py" --tripid 219-05 --locoid 4008 --swversion DE.1.0.9.0 --startMP 204:473 --initTime 2017-05-05T18:24:13 --startdatetime 2017-05-05T18:30:19 --delay 1 --endMP 204:233415 --enddatetime 2017-05-05T19:07:15 --enforcementcount 0 &gt;&gt;C:\Users\stu\Documents\GitHub\eaglep3-reporting\EC\2017-05-05-refined-times.txt</v>
      </c>
      <c r="AI133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{"issue":{"subject":"","project_id":79,"tracker_id":40,"status_id":1,"priority_id":2,"assigned_to_id":23,"start_date":"2017-05-05","description":"","custom_fields":[{"id":1,"name":"Subdivision","value":"EC"},{"id":4,"name":"Milepost","value":"23.3415"},{"id":17,"name":"Train ID","value":"219-05"},{"id":16,"name":"Locomotive ID","value":"4008"},{"id":130,"name":"Impact","value":""},{"id":150,"name":"Time of Event (Mountain Time)","value":"19:07:15"},{"id":151,"name":"Denver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4"/>
        <v>start /low /b %USERPROFILE%\Documents\GitHub\eaglep3\Utilities\DownloadLogsFromS3.py --loco 4008 --day 2017-05-05</v>
      </c>
      <c r="AN133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810</v>
      </c>
      <c r="B134" s="7">
        <v>4007</v>
      </c>
      <c r="C134" s="21" t="s">
        <v>210</v>
      </c>
      <c r="D134" s="21" t="s">
        <v>910</v>
      </c>
      <c r="E134" s="13">
        <v>42860.798773148148</v>
      </c>
      <c r="F134" s="13">
        <v>42860.81</v>
      </c>
      <c r="G134" s="7">
        <v>1</v>
      </c>
      <c r="H134" s="21" t="s">
        <v>506</v>
      </c>
      <c r="I134" s="13">
        <v>42860.838622685187</v>
      </c>
      <c r="J134" s="7">
        <v>0</v>
      </c>
      <c r="K134" s="92" t="str">
        <f t="shared" si="27"/>
        <v>4007/4008</v>
      </c>
      <c r="L134" s="21" t="str">
        <f>VLOOKUP(A134,'Trips&amp;Operators'!$C$1:$G$99999,5,FALSE)</f>
        <v>SWANSON BRYCE</v>
      </c>
      <c r="M134" s="6">
        <f t="shared" si="28"/>
        <v>2.8622685189475305E-2</v>
      </c>
      <c r="N134" s="7">
        <f t="shared" si="50"/>
        <v>41.21666667284444</v>
      </c>
      <c r="O134" s="7"/>
      <c r="P134" s="7"/>
      <c r="Q134" s="22"/>
      <c r="R134" s="190"/>
      <c r="S134" s="196">
        <f t="shared" si="47"/>
        <v>1</v>
      </c>
      <c r="T134" s="190" t="str">
        <f t="shared" si="31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2"/>
        <v>https://d0f6bd738d7f1b3e5a7ca70fe4ff75f0.us-east-1.aws.found.io/app/kibana#/discover/Steve-Slow-Train-Analysis-(2080s-and-2083s)?_g=(refreshInterval:(display:Off,pause:!f,section:0,value:0),time:(from:'2017-05-05T18:10:14-0600',mode:absolute,to:'2017-05-05T21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192" t="str">
        <f t="shared" si="33"/>
        <v>N</v>
      </c>
      <c r="X134" s="192">
        <f t="shared" si="48"/>
        <v>1</v>
      </c>
      <c r="Y134" s="192">
        <f t="shared" si="35"/>
        <v>23.310600000000001</v>
      </c>
      <c r="Z134" s="192">
        <f t="shared" si="49"/>
        <v>1.72E-2</v>
      </c>
      <c r="AA134" s="192">
        <f t="shared" si="37"/>
        <v>23.293400000000002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8"/>
        <v>0220-05</v>
      </c>
      <c r="AE134" s="80" t="str">
        <f t="shared" si="39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134" s="77" t="str">
        <f t="shared" si="40"/>
        <v>"C:\Program Files (x86)\AstroGrep\AstroGrep.exe" /e /r /s /spath="%USERPROFILE%\AppData\Local\Temp\OnboardLogs" /stypes="app*4007*20170506*" /stext=" 02:.+((SYSTEM_STATE.+slice.+state.+changed )|(ment ac)|(multiple cpu faults)|(system.+state.+changed )|(\[timeout)|(PRM\|1\|D)|(kpr)|(kdp)|(train st.+moving)|(\|lc)|(penalty))"</v>
      </c>
      <c r="AG134" s="1" t="str">
        <f t="shared" si="41"/>
        <v>EC</v>
      </c>
      <c r="AH134" s="81" t="str">
        <f t="shared" si="42"/>
        <v>"%USERPROFILE%\Documents\GitHub\eaglep3\Utilities\RefineRTDCRunTimes.py" --tripid 220-05 --locoid 4007 --swversion DE.1.0.9.0 --startMP 204:233106 --initTime 2017-05-05T19:10:14 --startdatetime 2017-05-05T19:26:24 --delay 1 --endMP 204:172 --enddatetime 2017-05-05T20:07:37 --enforcementcount 0 &gt;&gt;C:\Users\stu\Documents\GitHub\eaglep3-reporting\EC\2017-05-05-refined-times.txt</v>
      </c>
      <c r="AI134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{"issue":{"subject":"","project_id":79,"tracker_id":40,"status_id":1,"priority_id":2,"assigned_to_id":23,"start_date":"2017-05-05","description":"","custom_fields":[{"id":1,"name":"Subdivision","value":"EC"},{"id":4,"name":"Milepost","value":"0.0172"},{"id":17,"name":"Train ID","value":"220-05"},{"id":16,"name":"Locomotive ID","value":"4007"},{"id":130,"name":"Impact","value":""},{"id":150,"name":"Time of Event (Mountain Time)","value":"20:07:37"},{"id":151,"name":"Denver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4"/>
        <v>start /low /b %USERPROFILE%\Documents\GitHub\eaglep3\Utilities\DownloadLogsFromS3.py --loco 4007 --day 2017-05-05</v>
      </c>
      <c r="AN134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806</v>
      </c>
      <c r="B135" s="7">
        <v>4028</v>
      </c>
      <c r="C135" s="21" t="s">
        <v>210</v>
      </c>
      <c r="D135" s="21" t="s">
        <v>476</v>
      </c>
      <c r="E135" s="13">
        <v>42860.788391203707</v>
      </c>
      <c r="F135" s="13">
        <v>42860.791805555556</v>
      </c>
      <c r="G135" s="7">
        <v>1</v>
      </c>
      <c r="H135" s="21" t="s">
        <v>555</v>
      </c>
      <c r="I135" s="13">
        <v>42860.816770833335</v>
      </c>
      <c r="J135" s="7">
        <v>0</v>
      </c>
      <c r="K135" s="92" t="str">
        <f t="shared" si="27"/>
        <v>4027/4028</v>
      </c>
      <c r="L135" s="21" t="str">
        <f>VLOOKUP(A135,'Trips&amp;Operators'!$C$1:$G$99999,5,FALSE)</f>
        <v>BROWN JACOB</v>
      </c>
      <c r="M135" s="6">
        <f t="shared" si="28"/>
        <v>2.4965277778392192E-2</v>
      </c>
      <c r="N135" s="7">
        <f t="shared" si="50"/>
        <v>35.950000000884756</v>
      </c>
      <c r="O135" s="7"/>
      <c r="P135" s="7"/>
      <c r="Q135" s="22"/>
      <c r="R135" s="190"/>
      <c r="S135" s="196">
        <f t="shared" si="47"/>
        <v>1</v>
      </c>
      <c r="T135" s="190" t="str">
        <f t="shared" si="31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2"/>
        <v>https://d0f6bd738d7f1b3e5a7ca70fe4ff75f0.us-east-1.aws.found.io/app/kibana#/discover/Steve-Slow-Train-Analysis-(2080s-and-2083s)?_g=(refreshInterval:(display:Off,pause:!f,section:0,value:0),time:(from:'2017-05-05T17:55:17-0600',mode:absolute,to:'2017-05-05T20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192" t="str">
        <f t="shared" si="33"/>
        <v>N</v>
      </c>
      <c r="X135" s="192">
        <f t="shared" si="48"/>
        <v>1</v>
      </c>
      <c r="Y135" s="192">
        <f t="shared" si="35"/>
        <v>4.7300000000000002E-2</v>
      </c>
      <c r="Z135" s="192">
        <f t="shared" si="49"/>
        <v>23.3324</v>
      </c>
      <c r="AA135" s="192">
        <f t="shared" si="37"/>
        <v>23.2851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8"/>
        <v>0221-05</v>
      </c>
      <c r="AE135" s="80" t="str">
        <f t="shared" si="39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135" s="77" t="str">
        <f t="shared" si="40"/>
        <v>"C:\Program Files (x86)\AstroGrep\AstroGrep.exe" /e /r /s /spath="%USERPROFILE%\AppData\Local\Temp\OnboardLogs" /stypes="app*4028*20170506*" /stext=" 01:.+((SYSTEM_STATE.+slice.+state.+changed )|(ment ac)|(multiple cpu faults)|(system.+state.+changed )|(\[timeout)|(PRM\|1\|D)|(kpr)|(kdp)|(train st.+moving)|(\|lc)|(penalty))"</v>
      </c>
      <c r="AG135" s="1" t="str">
        <f t="shared" si="41"/>
        <v>EC</v>
      </c>
      <c r="AH135" s="81" t="str">
        <f t="shared" si="42"/>
        <v>"%USERPROFILE%\Documents\GitHub\eaglep3\Utilities\RefineRTDCRunTimes.py" --tripid 221-05 --locoid 4028 --swversion DE.1.0.9.0 --startMP 204:473 --initTime 2017-05-05T18:55:17 --startdatetime 2017-05-05T19:00:12 --delay 1 --endMP 204:233324 --enddatetime 2017-05-05T19:36:09 --enforcementcount 0 &gt;&gt;C:\Users\stu\Documents\GitHub\eaglep3-reporting\EC\2017-05-05-refined-times.txt</v>
      </c>
      <c r="AI135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{"issue":{"subject":"","project_id":79,"tracker_id":40,"status_id":1,"priority_id":2,"assigned_to_id":23,"start_date":"2017-05-05","description":"","custom_fields":[{"id":1,"name":"Subdivision","value":"EC"},{"id":4,"name":"Milepost","value":"23.3324"},{"id":17,"name":"Train ID","value":"221-05"},{"id":16,"name":"Locomotive ID","value":"4028"},{"id":130,"name":"Impact","value":""},{"id":150,"name":"Time of Event (Mountain Time)","value":"19:36:09"},{"id":151,"name":"Denver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4"/>
        <v>start /low /b %USERPROFILE%\Documents\GitHub\eaglep3\Utilities\DownloadLogsFromS3.py --loco 4028 --day 2017-05-05</v>
      </c>
      <c r="AN135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621</v>
      </c>
      <c r="B136" s="7">
        <v>4027</v>
      </c>
      <c r="C136" s="21" t="s">
        <v>210</v>
      </c>
      <c r="D136" s="21" t="s">
        <v>861</v>
      </c>
      <c r="E136" s="13">
        <v>42860.827708333331</v>
      </c>
      <c r="F136" s="13">
        <v>42860.847766203704</v>
      </c>
      <c r="G136" s="7">
        <v>1</v>
      </c>
      <c r="H136" s="21" t="s">
        <v>437</v>
      </c>
      <c r="I136" s="13">
        <v>42860.860752314817</v>
      </c>
      <c r="J136" s="7">
        <v>0</v>
      </c>
      <c r="K136" s="92" t="str">
        <f t="shared" si="27"/>
        <v>4027/4028</v>
      </c>
      <c r="L136" s="21" t="str">
        <f>VLOOKUP(A136,'Trips&amp;Operators'!$C$1:$G$99999,5,FALSE)</f>
        <v>BROWN JACOB</v>
      </c>
      <c r="M136" s="6">
        <f t="shared" si="28"/>
        <v>1.2986111112695653E-2</v>
      </c>
      <c r="N136" s="7"/>
      <c r="O136" s="7"/>
      <c r="P136" s="7">
        <f>24*60*SUM($M136:$M136)</f>
        <v>18.70000000228174</v>
      </c>
      <c r="Q136" s="22"/>
      <c r="R136" s="190" t="s">
        <v>525</v>
      </c>
      <c r="S136" s="196">
        <f t="shared" si="47"/>
        <v>1</v>
      </c>
      <c r="T136" s="190" t="str">
        <f t="shared" si="31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2"/>
        <v>https://d0f6bd738d7f1b3e5a7ca70fe4ff75f0.us-east-1.aws.found.io/app/kibana#/discover/Steve-Slow-Train-Analysis-(2080s-and-2083s)?_g=(refreshInterval:(display:Off,pause:!f,section:0,value:0),time:(from:'2017-05-05T18:51:54-0600',mode:absolute,to:'2017-05-05T21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192" t="str">
        <f t="shared" si="33"/>
        <v>N</v>
      </c>
      <c r="X136" s="192">
        <f t="shared" si="48"/>
        <v>1</v>
      </c>
      <c r="Y136" s="192">
        <f t="shared" si="35"/>
        <v>23.298999999999999</v>
      </c>
      <c r="Z136" s="192">
        <f t="shared" si="49"/>
        <v>1.6299999999999999E-2</v>
      </c>
      <c r="AA136" s="192">
        <f t="shared" si="37"/>
        <v>23.282699999999998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8"/>
        <v>0222-05</v>
      </c>
      <c r="AE136" s="80" t="str">
        <f t="shared" si="39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36" s="77" t="str">
        <f t="shared" si="40"/>
        <v>"C:\Program Files (x86)\AstroGrep\AstroGrep.exe" /e /r /s /spath="%USERPROFILE%\AppData\Local\Temp\OnboardLogs" /stypes="app*4027*20170506*" /stext=" 02:.+((SYSTEM_STATE.+slice.+state.+changed )|(ment ac)|(multiple cpu faults)|(system.+state.+changed )|(\[timeout)|(PRM\|1\|D)|(kpr)|(kdp)|(train st.+moving)|(\|lc)|(penalty))"</v>
      </c>
      <c r="AG136" s="1" t="str">
        <f t="shared" si="41"/>
        <v>EC</v>
      </c>
      <c r="AH136" s="81" t="str">
        <f t="shared" si="42"/>
        <v>"%USERPROFILE%\Documents\GitHub\eaglep3\Utilities\RefineRTDCRunTimes.py" --tripid 222-05 --locoid 4027 --swversion DE.1.0.9.0 --startMP 204:232990 --initTime 2017-05-05T19:51:54 --startdatetime 2017-05-05T20:20:47 --delay 1 --endMP 204:163 --enddatetime 2017-05-05T20:39:29 --enforcementcount 0 &gt;&gt;C:\Users\stu\Documents\GitHub\eaglep3-reporting\EC\2017-05-05-refined-times.txt</v>
      </c>
      <c r="AI136" s="99" t="str">
        <f t="shared" si="43"/>
        <v>echo {"issue":{"subject":"Wi-MAX data drop","project_id":79,"tracker_id":40,"status_id":1,"priority_id":2,"assigned_to_id":23,"start_date":"2017-05-05","description":"","custom_fields":[{"id":1,"name":"Subdivision","value":"EC"},{"id":4,"name":"Milepost","value":"0.0163"},{"id":17,"name":"Train ID","value":"222-05"},{"id":16,"name":"Locomotive ID","value":"4027"},{"id":130,"name":"Impact","value":""},{"id":150,"name":"Time of Event (Mountain Time)","value":"20:39:29"},{"id":151,"name":"Denver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4"/>
        <v>start /low /b %USERPROFILE%\Documents\GitHub\eaglep3\Utilities\DownloadLogsFromS3.py --loco 4027 --day 2017-05-05</v>
      </c>
      <c r="AN136" s="154" t="str">
        <f t="shared" si="45"/>
        <v>echo {"issue":{"subject":"Wi-MAX data drop","project_id":30,"tracker_id":4,"status_id":1,"priority_id":1,"assigned_to_id":10,"start_date":"2017-05-06","description":"","custom_fields":[{"id":30,"name":"Category","value":"Issue"},{"id":3,"name":"Functional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621</v>
      </c>
      <c r="B137" s="7">
        <v>4027</v>
      </c>
      <c r="C137" s="21" t="s">
        <v>210</v>
      </c>
      <c r="D137" s="21" t="s">
        <v>911</v>
      </c>
      <c r="E137" s="13">
        <v>42860.847002314818</v>
      </c>
      <c r="F137" s="13">
        <v>42860.847766203704</v>
      </c>
      <c r="G137" s="7">
        <v>0</v>
      </c>
      <c r="H137" s="21" t="s">
        <v>437</v>
      </c>
      <c r="I137" s="13">
        <v>42860.860752314817</v>
      </c>
      <c r="J137" s="7">
        <v>0</v>
      </c>
      <c r="K137" s="92" t="str">
        <f t="shared" si="27"/>
        <v>4027/4028</v>
      </c>
      <c r="L137" s="21" t="str">
        <f>VLOOKUP(A137,'Trips&amp;Operators'!$C$1:$G$99999,5,FALSE)</f>
        <v>BROWN JACOB</v>
      </c>
      <c r="M137" s="6">
        <f t="shared" si="28"/>
        <v>1.2986111112695653E-2</v>
      </c>
      <c r="N137" s="7"/>
      <c r="O137" s="7"/>
      <c r="P137" s="7"/>
      <c r="Q137" s="22"/>
      <c r="R137" s="190"/>
      <c r="S137" s="196"/>
      <c r="T137" s="190" t="str">
        <f t="shared" si="31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10</v>
      </c>
      <c r="V137" s="191" t="str">
        <f t="shared" si="32"/>
        <v>https://d0f6bd738d7f1b3e5a7ca70fe4ff75f0.us-east-1.aws.found.io/app/kibana#/discover/Steve-Slow-Train-Analysis-(2080s-and-2083s)?_g=(refreshInterval:(display:Off,pause:!f,section:0,value:0),time:(from:'2017-05-05T19:19:41-0600',mode:absolute,to:'2017-05-05T21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192" t="str">
        <f t="shared" si="33"/>
        <v>Y</v>
      </c>
      <c r="X137" s="192">
        <f t="shared" si="48"/>
        <v>0</v>
      </c>
      <c r="Y137" s="192">
        <f t="shared" si="35"/>
        <v>8.3816000000000006</v>
      </c>
      <c r="Z137" s="192">
        <f t="shared" si="49"/>
        <v>1.6299999999999999E-2</v>
      </c>
      <c r="AA137" s="192">
        <f t="shared" si="37"/>
        <v>8.3653000000000013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8"/>
        <v>0222-05</v>
      </c>
      <c r="AE137" s="80" t="str">
        <f t="shared" si="39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37" s="77" t="str">
        <f t="shared" si="40"/>
        <v>"C:\Program Files (x86)\AstroGrep\AstroGrep.exe" /e /r /s /spath="%USERPROFILE%\AppData\Local\Temp\OnboardLogs" /stypes="app*4027*20170506*" /stext=" 02:.+((SYSTEM_STATE.+slice.+state.+changed )|(ment ac)|(multiple cpu faults)|(system.+state.+changed )|(\[timeout)|(PRM\|1\|D)|(kpr)|(kdp)|(train st.+moving)|(\|lc)|(penalty))"</v>
      </c>
      <c r="AG137" s="1" t="str">
        <f t="shared" si="41"/>
        <v>EC</v>
      </c>
      <c r="AH137" s="81" t="str">
        <f t="shared" si="42"/>
        <v>"%USERPROFILE%\Documents\GitHub\eaglep3\Utilities\RefineRTDCRunTimes.py" --tripid 222-05 --locoid 4027 --swversion DE.1.0.9.0 --startMP 204:83816 --initTime 2017-05-05T20:19:41 --startdatetime 2017-05-05T20:20:47 --delay 0 --endMP 204:163 --enddatetime 2017-05-05T20:39:29 --enforcementcount 0 &gt;&gt;C:\Users\stu\Documents\GitHub\eaglep3-reporting\EC\2017-05-05-refined-times.txt</v>
      </c>
      <c r="AI137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{"issue":{"subject":"","project_id":79,"tracker_id":40,"status_id":1,"priority_id":2,"assigned_to_id":23,"start_date":"2017-05-05","description":"","custom_fields":[{"id":1,"name":"Subdivision","value":"EC"},{"id":4,"name":"Milepost","value":"0.0163"},{"id":17,"name":"Train ID","value":"222-05"},{"id":16,"name":"Locomotive ID","value":"4027"},{"id":130,"name":"Impact","value":""},{"id":150,"name":"Time of Event (Mountain Time)","value":"20:39:29"},{"id":151,"name":"Denver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4"/>
        <v>start /low /b %USERPROFILE%\Documents\GitHub\eaglep3\Utilities\DownloadLogsFromS3.py --loco 4027 --day 2017-05-05</v>
      </c>
      <c r="AN137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620</v>
      </c>
      <c r="B138" s="7">
        <v>4022</v>
      </c>
      <c r="C138" s="21" t="s">
        <v>210</v>
      </c>
      <c r="D138" s="21" t="s">
        <v>865</v>
      </c>
      <c r="E138" s="13">
        <v>42860.80909722222</v>
      </c>
      <c r="F138" s="13">
        <v>42860.812800925924</v>
      </c>
      <c r="G138" s="7">
        <v>1</v>
      </c>
      <c r="H138" s="21" t="s">
        <v>912</v>
      </c>
      <c r="I138" s="13">
        <v>42860.838009259256</v>
      </c>
      <c r="J138" s="7">
        <v>0</v>
      </c>
      <c r="K138" s="92" t="str">
        <f t="shared" si="27"/>
        <v>4021/4022</v>
      </c>
      <c r="L138" s="21" t="str">
        <f>VLOOKUP(A138,'Trips&amp;Operators'!$C$1:$G$99999,5,FALSE)</f>
        <v>STORY SAMANTHA</v>
      </c>
      <c r="M138" s="6">
        <f t="shared" si="28"/>
        <v>2.5208333332557231E-2</v>
      </c>
      <c r="N138" s="7">
        <f t="shared" ref="N138:N159" si="51">24*60*SUM($M138:$M138)</f>
        <v>36.299999998882413</v>
      </c>
      <c r="O138" s="7"/>
      <c r="P138" s="7"/>
      <c r="Q138" s="22"/>
      <c r="R138" s="190"/>
      <c r="S138" s="196">
        <f t="shared" ref="S138:S169" si="52">SUM(U138:U138)/IF(AG138="EC",12,1)</f>
        <v>1</v>
      </c>
      <c r="T138" s="190" t="str">
        <f t="shared" si="31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2"/>
        <v>https://d0f6bd738d7f1b3e5a7ca70fe4ff75f0.us-east-1.aws.found.io/app/kibana#/discover/Steve-Slow-Train-Analysis-(2080s-and-2083s)?_g=(refreshInterval:(display:Off,pause:!f,section:0,value:0),time:(from:'2017-05-05T18:25:06-0600',mode:absolute,to:'2017-05-05T21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8" s="192" t="str">
        <f t="shared" si="33"/>
        <v>N</v>
      </c>
      <c r="X138" s="192">
        <f t="shared" si="48"/>
        <v>1</v>
      </c>
      <c r="Y138" s="192">
        <f t="shared" si="35"/>
        <v>4.3299999999999998E-2</v>
      </c>
      <c r="Z138" s="192">
        <f t="shared" si="49"/>
        <v>23.337599999999998</v>
      </c>
      <c r="AA138" s="192">
        <f t="shared" si="37"/>
        <v>23.2943</v>
      </c>
      <c r="AB138" s="57" t="str">
        <f>VLOOKUP(A138,Enforcements!$C$7:$K$13,8,0)</f>
        <v>Bulletin (2)</v>
      </c>
      <c r="AC138" s="53" t="str">
        <f>VLOOKUP(A138,Enforcements!$C$7:$E$13,3,0)</f>
        <v>GRADE CROSSING</v>
      </c>
      <c r="AD138" s="54" t="str">
        <f t="shared" si="38"/>
        <v>0223-05</v>
      </c>
      <c r="AE138" s="80" t="str">
        <f t="shared" si="39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38" s="77" t="str">
        <f t="shared" si="40"/>
        <v>"C:\Program Files (x86)\AstroGrep\AstroGrep.exe" /e /r /s /spath="%USERPROFILE%\AppData\Local\Temp\OnboardLogs" /stypes="app*4022*20170506*" /stext=" 02:.+((SYSTEM_STATE.+slice.+state.+changed )|(ment ac)|(multiple cpu faults)|(system.+state.+changed )|(\[timeout)|(PRM\|1\|D)|(kpr)|(kdp)|(train st.+moving)|(\|lc)|(penalty))"</v>
      </c>
      <c r="AG138" s="1" t="str">
        <f t="shared" si="41"/>
        <v>EC</v>
      </c>
      <c r="AH138" s="81" t="str">
        <f t="shared" si="42"/>
        <v>"%USERPROFILE%\Documents\GitHub\eaglep3\Utilities\RefineRTDCRunTimes.py" --tripid 223-05 --locoid 4022 --swversion DE.1.0.9.0 --startMP 204:433 --initTime 2017-05-05T19:25:06 --startdatetime 2017-05-05T19:30:26 --delay 1 --endMP 204:233376 --enddatetime 2017-05-05T20:06:44 --enforcementcount 0 &gt;&gt;C:\Users\stu\Documents\GitHub\eaglep3-reporting\EC\2017-05-05-refined-times.txt</v>
      </c>
      <c r="AI138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{"issue":{"subject":"","project_id":79,"tracker_id":40,"status_id":1,"priority_id":2,"assigned_to_id":23,"start_date":"2017-05-05","description":"","custom_fields":[{"id":1,"name":"Subdivision","value":"EC"},{"id":4,"name":"Milepost","value":"23.3376"},{"id":17,"name":"Train ID","value":"223-05"},{"id":16,"name":"Locomotive ID","value":"4022"},{"id":130,"name":"Impact","value":""},{"id":150,"name":"Time of Event (Mountain Time)","value":"20:06:44"},{"id":151,"name":"Denver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4"/>
        <v>start /low /b %USERPROFILE%\Documents\GitHub\eaglep3\Utilities\DownloadLogsFromS3.py --loco 4022 --day 2017-05-05</v>
      </c>
      <c r="AN138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623</v>
      </c>
      <c r="B139" s="7">
        <v>4021</v>
      </c>
      <c r="C139" s="21" t="s">
        <v>210</v>
      </c>
      <c r="D139" s="21" t="s">
        <v>913</v>
      </c>
      <c r="E139" s="13">
        <v>42860.839189814818</v>
      </c>
      <c r="F139" s="13">
        <v>42860.8518287037</v>
      </c>
      <c r="G139" s="7">
        <v>0</v>
      </c>
      <c r="H139" s="21" t="s">
        <v>385</v>
      </c>
      <c r="I139" s="13">
        <v>42860.883043981485</v>
      </c>
      <c r="J139" s="7">
        <v>0</v>
      </c>
      <c r="K139" s="92" t="str">
        <f t="shared" si="27"/>
        <v>4021/4022</v>
      </c>
      <c r="L139" s="21" t="str">
        <f>VLOOKUP(A139,'Trips&amp;Operators'!$C$1:$G$99999,5,FALSE)</f>
        <v>STORY SAMANTHA</v>
      </c>
      <c r="M139" s="6">
        <f t="shared" si="28"/>
        <v>3.1215277784212958E-2</v>
      </c>
      <c r="N139" s="7">
        <f t="shared" si="51"/>
        <v>44.95000000926666</v>
      </c>
      <c r="O139" s="7"/>
      <c r="P139" s="7"/>
      <c r="Q139" s="22"/>
      <c r="R139" s="190"/>
      <c r="S139" s="196">
        <f t="shared" si="52"/>
        <v>1</v>
      </c>
      <c r="T139" s="190" t="str">
        <f t="shared" si="31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2"/>
        <v>https://d0f6bd738d7f1b3e5a7ca70fe4ff75f0.us-east-1.aws.found.io/app/kibana#/discover/Steve-Slow-Train-Analysis-(2080s-and-2083s)?_g=(refreshInterval:(display:Off,pause:!f,section:0,value:0),time:(from:'2017-05-05T19:08:26-0600',mode:absolute,to:'2017-05-05T22:11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9" s="192" t="str">
        <f t="shared" si="33"/>
        <v>N</v>
      </c>
      <c r="X139" s="192">
        <f t="shared" si="48"/>
        <v>1</v>
      </c>
      <c r="Y139" s="192">
        <f t="shared" si="35"/>
        <v>23.3066</v>
      </c>
      <c r="Z139" s="192">
        <f t="shared" si="49"/>
        <v>1.6E-2</v>
      </c>
      <c r="AA139" s="192">
        <f t="shared" si="37"/>
        <v>23.290600000000001</v>
      </c>
      <c r="AB139" s="57" t="str">
        <f>VLOOKUP(A139,Enforcements!$C$7:$K$13,8,0)</f>
        <v>Bulletin (2)</v>
      </c>
      <c r="AC139" s="53" t="str">
        <f>VLOOKUP(A139,Enforcements!$C$7:$E$13,3,0)</f>
        <v>GRADE CROSSING</v>
      </c>
      <c r="AD139" s="54" t="str">
        <f t="shared" si="38"/>
        <v>0224-05</v>
      </c>
      <c r="AE139" s="80" t="str">
        <f t="shared" si="39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139" s="77" t="str">
        <f t="shared" si="40"/>
        <v>"C:\Program Files (x86)\AstroGrep\AstroGrep.exe" /e /r /s /spath="%USERPROFILE%\AppData\Local\Temp\OnboardLogs" /stypes="app*4021*20170506*" /stext=" 03:.+((SYSTEM_STATE.+slice.+state.+changed )|(ment ac)|(multiple cpu faults)|(system.+state.+changed )|(\[timeout)|(PRM\|1\|D)|(kpr)|(kdp)|(train st.+moving)|(\|lc)|(penalty))"</v>
      </c>
      <c r="AG139" s="1" t="str">
        <f t="shared" si="41"/>
        <v>EC</v>
      </c>
      <c r="AH139" s="81" t="str">
        <f t="shared" si="42"/>
        <v>"%USERPROFILE%\Documents\GitHub\eaglep3\Utilities\RefineRTDCRunTimes.py" --tripid 224-05 --locoid 4021 --swversion DE.1.0.9.0 --startMP 204:233066 --initTime 2017-05-05T20:08:26 --startdatetime 2017-05-05T20:26:38 --delay 0 --endMP 204:160 --enddatetime 2017-05-05T21:11:35 --enforcementcount 0 &gt;&gt;C:\Users\stu\Documents\GitHub\eaglep3-reporting\EC\2017-05-05-refined-times.txt</v>
      </c>
      <c r="AI139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{"issue":{"subject":"","project_id":79,"tracker_id":40,"status_id":1,"priority_id":2,"assigned_to_id":23,"start_date":"2017-05-05","description":"","custom_fields":[{"id":1,"name":"Subdivision","value":"EC"},{"id":4,"name":"Milepost","value":"0.016"},{"id":17,"name":"Train ID","value":"224-05"},{"id":16,"name":"Locomotive ID","value":"4021"},{"id":130,"name":"Impact","value":""},{"id":150,"name":"Time of Event (Mountain Time)","value":"21:11:35"},{"id":151,"name":"Denver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4"/>
        <v>start /low /b %USERPROFILE%\Documents\GitHub\eaglep3\Utilities\DownloadLogsFromS3.py --loco 4021 --day 2017-05-05</v>
      </c>
      <c r="AN139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03:11:35"},{"id":29,"name":"Sharepoint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622</v>
      </c>
      <c r="B140" s="7">
        <v>4030</v>
      </c>
      <c r="C140" s="21" t="s">
        <v>210</v>
      </c>
      <c r="D140" s="21" t="s">
        <v>422</v>
      </c>
      <c r="E140" s="13">
        <v>42860.827708333331</v>
      </c>
      <c r="F140" s="13">
        <v>42860.833819444444</v>
      </c>
      <c r="G140" s="7">
        <v>2</v>
      </c>
      <c r="H140" s="21" t="s">
        <v>914</v>
      </c>
      <c r="I140" s="13">
        <v>42860.857928240737</v>
      </c>
      <c r="J140" s="7">
        <v>0</v>
      </c>
      <c r="K140" s="92" t="str">
        <f t="shared" si="27"/>
        <v>4029/4030</v>
      </c>
      <c r="L140" s="21" t="str">
        <f>VLOOKUP(A140,'Trips&amp;Operators'!$C$1:$G$99999,5,FALSE)</f>
        <v>STAMBAUGH JAMES</v>
      </c>
      <c r="M140" s="6">
        <f t="shared" si="28"/>
        <v>2.4108796293148771E-2</v>
      </c>
      <c r="N140" s="7">
        <f t="shared" si="51"/>
        <v>34.71666666213423</v>
      </c>
      <c r="O140" s="7"/>
      <c r="P140" s="7"/>
      <c r="Q140" s="22"/>
      <c r="R140" s="190"/>
      <c r="S140" s="196">
        <f t="shared" si="52"/>
        <v>1</v>
      </c>
      <c r="T140" s="190" t="str">
        <f t="shared" si="31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2"/>
        <v>https://d0f6bd738d7f1b3e5a7ca70fe4ff75f0.us-east-1.aws.found.io/app/kibana#/discover/Steve-Slow-Train-Analysis-(2080s-and-2083s)?_g=(refreshInterval:(display:Off,pause:!f,section:0,value:0),time:(from:'2017-05-05T18:51:54-0600',mode:absolute,to:'2017-05-05T21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192" t="str">
        <f t="shared" si="33"/>
        <v>N</v>
      </c>
      <c r="X140" s="192">
        <f t="shared" si="48"/>
        <v>1</v>
      </c>
      <c r="Y140" s="192">
        <f t="shared" si="35"/>
        <v>4.3999999999999997E-2</v>
      </c>
      <c r="Z140" s="192">
        <v>23.3</v>
      </c>
      <c r="AA140" s="192">
        <f t="shared" si="37"/>
        <v>23.256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8"/>
        <v>0225-05</v>
      </c>
      <c r="AE140" s="80" t="str">
        <f t="shared" si="39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40" s="77" t="str">
        <f t="shared" si="40"/>
        <v>"C:\Program Files (x86)\AstroGrep\AstroGrep.exe" /e /r /s /spath="%USERPROFILE%\AppData\Local\Temp\OnboardLogs" /stypes="app*4030*20170506*" /stext=" 02:.+((SYSTEM_STATE.+slice.+state.+changed )|(ment ac)|(multiple cpu faults)|(system.+state.+changed )|(\[timeout)|(PRM\|1\|D)|(kpr)|(kdp)|(train st.+moving)|(\|lc)|(penalty))"</v>
      </c>
      <c r="AG140" s="1" t="str">
        <f t="shared" si="41"/>
        <v>EC</v>
      </c>
      <c r="AH140" s="81" t="str">
        <f t="shared" si="42"/>
        <v>"%USERPROFILE%\Documents\GitHub\eaglep3\Utilities\RefineRTDCRunTimes.py" --tripid 225-05 --locoid 4030 --swversion DE.1.0.9.0 --startMP 204:440 --initTime 2017-05-05T19:51:54 --startdatetime 2017-05-05T20:00:42 --delay 2 --endMP 204:424 --enddatetime 2017-05-05T20:35:25 --enforcementcount 0 &gt;&gt;C:\Users\stu\Documents\GitHub\eaglep3-reporting\EC\2017-05-05-refined-times.txt</v>
      </c>
      <c r="AI140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{"issue":{"subject":"","project_id":79,"tracker_id":40,"status_id":1,"priority_id":2,"assigned_to_id":23,"start_date":"2017-05-05","description":"","custom_fields":[{"id":1,"name":"Subdivision","value":"EC"},{"id":4,"name":"Milepost","value":"23.3"},{"id":17,"name":"Train ID","value":"225-05"},{"id":16,"name":"Locomotive ID","value":"4030"},{"id":130,"name":"Impact","value":""},{"id":150,"name":"Time of Event (Mountain Time)","value":"20:35:25"},{"id":151,"name":"Denver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4"/>
        <v>start /low /b %USERPROFILE%\Documents\GitHub\eaglep3\Utilities\DownloadLogsFromS3.py --loco 4030 --day 2017-05-05</v>
      </c>
      <c r="AN140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822</v>
      </c>
      <c r="B141" s="7">
        <v>4029</v>
      </c>
      <c r="C141" s="21" t="s">
        <v>210</v>
      </c>
      <c r="D141" s="21" t="s">
        <v>915</v>
      </c>
      <c r="E141" s="13">
        <v>42860.868171296293</v>
      </c>
      <c r="F141" s="13">
        <v>42860.873136574075</v>
      </c>
      <c r="G141" s="7">
        <v>1</v>
      </c>
      <c r="H141" s="21" t="s">
        <v>375</v>
      </c>
      <c r="I141" s="13">
        <v>42860.900601851848</v>
      </c>
      <c r="J141" s="7">
        <v>0</v>
      </c>
      <c r="K141" s="92" t="str">
        <f t="shared" ref="K141:K204" si="53">IF(ISEVEN(B141),(B141-1)&amp;"/"&amp;B141,B141&amp;"/"&amp;(B141+1))</f>
        <v>4029/4030</v>
      </c>
      <c r="L141" s="21" t="str">
        <f>VLOOKUP(A141,'Trips&amp;Operators'!$C$1:$G$99999,5,FALSE)</f>
        <v>STAMBAUGH JAMES</v>
      </c>
      <c r="M141" s="6">
        <f t="shared" ref="M141:M204" si="54">I141-F141</f>
        <v>2.7465277773444541E-2</v>
      </c>
      <c r="N141" s="7">
        <f t="shared" si="51"/>
        <v>39.549999993760139</v>
      </c>
      <c r="O141" s="7"/>
      <c r="P141" s="7"/>
      <c r="Q141" s="22"/>
      <c r="R141" s="190"/>
      <c r="S141" s="196">
        <f t="shared" si="52"/>
        <v>1</v>
      </c>
      <c r="T141" s="190" t="str">
        <f t="shared" ref="T141:T204" si="55">IF(ISEVEN(LEFT(AD141,4)),"Southbound","NorthBound")</f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-05T19:50:10-0600',mode:absolute,to:'2017-05-05T22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192" t="str">
        <f t="shared" ref="W141:W204" si="57">IF(AA141&lt;IF(AG141="EC",23,5.65),"Y","N")</f>
        <v>N</v>
      </c>
      <c r="X141" s="192">
        <f t="shared" ref="X141:X172" si="58">VALUE(LEFT(AD141,4))-VALUE(LEFT(AD140,4))</f>
        <v>1</v>
      </c>
      <c r="Y141" s="192">
        <f t="shared" ref="Y141:Y204" si="59">RIGHT(D141,LEN(D141)-4)/10000</f>
        <v>23.3111</v>
      </c>
      <c r="Z141" s="192">
        <f t="shared" ref="Z141:Z172" si="60">RIGHT(H141,LEN(H141)-4)/10000</f>
        <v>1.38E-2</v>
      </c>
      <c r="AA141" s="192">
        <f t="shared" ref="AA141:AA204" si="61">ABS(Z141-Y141)</f>
        <v>23.2973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2">IF(LEN(A141)=6,"0"&amp;A141,A141)</f>
        <v>0226-05</v>
      </c>
      <c r="AE141" s="80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141" s="77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/stypes="app*4029*20170506*"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65">IFERROR(IF(VALUE(LEFT(AD141,2))&lt;=2,"EC",IF(OR(VALUE(LEFT(AD141,2))=8,VALUE(LEFT(AD141,2))=18),"NW","Other")),"Other")</f>
        <v>EC</v>
      </c>
      <c r="AH141" s="81" t="str">
        <f t="shared" si="42"/>
        <v>"%USERPROFILE%\Documents\GitHub\eaglep3\Utilities\RefineRTDCRunTimes.py" --tripid 226-05 --locoid 4029 --swversion DE.1.0.9.0 --startMP 204:233111 --initTime 2017-05-05T20:50:10 --startdatetime 2017-05-05T20:57:19 --delay 1 --endMP 204:138 --enddatetime 2017-05-05T21:36:52 --enforcementcount 0 &gt;&gt;C:\Users\stu\Documents\GitHub\eaglep3-reporting\EC\2017-05-05-refined-times.txt</v>
      </c>
      <c r="AI141" s="99" t="str">
        <f t="shared" si="43"/>
        <v>echo {"issue":{"subject":"","project_id":79,"tracker_id":40,"status_id":1,"priority_id":2,"assigned_to_id":23,"start_date":"2017-05-05","description":"","custom_fields":[{"id":1,"name":"Subdivision","value":"EC"},{"id":4,"name":"Milepost","value":"0.0138"},{"id":17,"name":"Train ID","value":"226-05"},{"id":16,"name":"Locomotive ID","value":"4029"},{"id":130,"name":"Impact","value":""},{"id":150,"name":"Time of Event (Mountain Time)","value":"21:36:52"},{"id":151,"name":"Denver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4"/>
        <v>start /low /b %USERPROFILE%\Documents\GitHub\eaglep3\Utilities\DownloadLogsFromS3.py --loco 4029 --day 2017-05-05</v>
      </c>
      <c r="AN141" s="154" t="str">
        <f t="shared" si="45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821</v>
      </c>
      <c r="B142" s="7">
        <v>4008</v>
      </c>
      <c r="C142" s="21" t="s">
        <v>210</v>
      </c>
      <c r="D142" s="21" t="s">
        <v>405</v>
      </c>
      <c r="E142" s="13">
        <v>42860.842326388891</v>
      </c>
      <c r="F142" s="13">
        <v>42860.854317129626</v>
      </c>
      <c r="G142" s="7">
        <v>1</v>
      </c>
      <c r="H142" s="21" t="s">
        <v>916</v>
      </c>
      <c r="I142" s="13">
        <v>42860.880613425928</v>
      </c>
      <c r="J142" s="7">
        <v>0</v>
      </c>
      <c r="K142" s="92" t="str">
        <f t="shared" si="53"/>
        <v>4007/4008</v>
      </c>
      <c r="L142" s="21" t="str">
        <f>VLOOKUP(A142,'Trips&amp;Operators'!$C$1:$G$99999,5,FALSE)</f>
        <v>SWANSON BRYCE</v>
      </c>
      <c r="M142" s="6">
        <f t="shared" si="54"/>
        <v>2.6296296302461997E-2</v>
      </c>
      <c r="N142" s="7">
        <f t="shared" si="51"/>
        <v>37.866666675545275</v>
      </c>
      <c r="O142" s="7"/>
      <c r="P142" s="7"/>
      <c r="Q142" s="22"/>
      <c r="R142" s="190"/>
      <c r="S142" s="196">
        <f t="shared" si="52"/>
        <v>1</v>
      </c>
      <c r="T142" s="190" t="str">
        <f t="shared" si="55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6"/>
        <v>https://d0f6bd738d7f1b3e5a7ca70fe4ff75f0.us-east-1.aws.found.io/app/kibana#/discover/Steve-Slow-Train-Analysis-(2080s-and-2083s)?_g=(refreshInterval:(display:Off,pause:!f,section:0,value:0),time:(from:'2017-05-05T19:12:57-0600',mode:absolute,to:'2017-05-05T22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2" s="192" t="str">
        <f t="shared" si="57"/>
        <v>N</v>
      </c>
      <c r="X142" s="192">
        <f t="shared" si="58"/>
        <v>1</v>
      </c>
      <c r="Y142" s="192">
        <f t="shared" si="59"/>
        <v>4.6600000000000003E-2</v>
      </c>
      <c r="Z142" s="192">
        <f t="shared" si="60"/>
        <v>23.322900000000001</v>
      </c>
      <c r="AA142" s="192">
        <f t="shared" si="61"/>
        <v>23.276299999999999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2"/>
        <v>0227-05</v>
      </c>
      <c r="AE142" s="80" t="str">
        <f t="shared" si="63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42" s="77" t="str">
        <f t="shared" si="64"/>
        <v>"C:\Program Files (x86)\AstroGrep\AstroGrep.exe" /e /r /s /spath="%USERPROFILE%\AppData\Local\Temp\OnboardLogs" /stypes="app*4008*20170506*" /stext=" 03:.+((SYSTEM_STATE.+slice.+state.+changed )|(ment ac)|(multiple cpu faults)|(system.+state.+changed )|(\[timeout)|(PRM\|1\|D)|(kpr)|(kdp)|(train st.+moving)|(\|lc)|(penalty))"</v>
      </c>
      <c r="AG142" s="1" t="str">
        <f t="shared" si="65"/>
        <v>EC</v>
      </c>
      <c r="AH142" s="81" t="str">
        <f t="shared" ref="AH142:AH204" si="6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227-05 --locoid 4008 --swversion DE.1.0.9.0 --startMP 204:466 --initTime 2017-05-05T20:12:57 --startdatetime 2017-05-05T20:30:13 --delay 1 --endMP 204:233229 --enddatetime 2017-05-05T21:08:05 --enforcementcount 0 &gt;&gt;C:\Users\stu\Documents\GitHub\eaglep3-reporting\EC\2017-05-05-refined-times.txt</v>
      </c>
      <c r="AI142" s="99" t="str">
        <f t="shared" ref="AI142:AI204" si="6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{"issue":{"subject":"","project_id":79,"tracker_id":40,"status_id":1,"priority_id":2,"assigned_to_id":23,"start_date":"2017-05-05","description":"","custom_fields":[{"id":1,"name":"Subdivision","value":"EC"},{"id":4,"name":"Milepost","value":"23.3229"},{"id":17,"name":"Train ID","value":"227-05"},{"id":16,"name":"Locomotive ID","value":"4008"},{"id":130,"name":"Impact","value":""},{"id":150,"name":"Time of Event (Mountain Time)","value":"21:08:05"},{"id":151,"name":"Denver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4" si="68">"start /low /b "&amp;dls3logs&amp;" --loco "&amp;B142&amp;" --day "&amp;TEXT(F142,"YYYY-MM-DD")</f>
        <v>start /low /b %USERPROFILE%\Documents\GitHub\eaglep3\Utilities\DownloadLogsFromS3.py --loco 4008 --day 2017-05-05</v>
      </c>
      <c r="AN142" s="154" t="str">
        <f t="shared" ref="AN142:AN204" si="69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826</v>
      </c>
      <c r="B143" s="7">
        <v>4007</v>
      </c>
      <c r="C143" s="21" t="s">
        <v>210</v>
      </c>
      <c r="D143" s="21" t="s">
        <v>917</v>
      </c>
      <c r="E143" s="13">
        <v>42860.885648148149</v>
      </c>
      <c r="F143" s="13">
        <v>42860.893217592595</v>
      </c>
      <c r="G143" s="7">
        <v>1</v>
      </c>
      <c r="H143" s="21" t="s">
        <v>432</v>
      </c>
      <c r="I143" s="13">
        <v>42860.923263888886</v>
      </c>
      <c r="J143" s="7">
        <v>0</v>
      </c>
      <c r="K143" s="92" t="str">
        <f t="shared" si="53"/>
        <v>4007/4008</v>
      </c>
      <c r="L143" s="21" t="str">
        <f>VLOOKUP(A143,'Trips&amp;Operators'!$C$1:$G$99999,5,FALSE)</f>
        <v>SWANSON BRYCE</v>
      </c>
      <c r="M143" s="6">
        <f t="shared" si="54"/>
        <v>3.0046296291402541E-2</v>
      </c>
      <c r="N143" s="7">
        <f t="shared" si="51"/>
        <v>43.266666659619659</v>
      </c>
      <c r="O143" s="7"/>
      <c r="P143" s="7"/>
      <c r="Q143" s="22"/>
      <c r="R143" s="190"/>
      <c r="S143" s="196">
        <f t="shared" si="52"/>
        <v>1</v>
      </c>
      <c r="T143" s="190" t="str">
        <f t="shared" si="55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6"/>
        <v>https://d0f6bd738d7f1b3e5a7ca70fe4ff75f0.us-east-1.aws.found.io/app/kibana#/discover/Steve-Slow-Train-Analysis-(2080s-and-2083s)?_g=(refreshInterval:(display:Off,pause:!f,section:0,value:0),time:(from:'2017-05-05T20:15:20-0600',mode:absolute,to:'2017-05-05T23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3" s="192" t="str">
        <f t="shared" si="57"/>
        <v>N</v>
      </c>
      <c r="X143" s="192">
        <f t="shared" si="58"/>
        <v>1</v>
      </c>
      <c r="Y143" s="192">
        <f t="shared" si="59"/>
        <v>23.3108</v>
      </c>
      <c r="Z143" s="192">
        <f t="shared" si="60"/>
        <v>1.3899999999999999E-2</v>
      </c>
      <c r="AA143" s="192">
        <f t="shared" si="61"/>
        <v>23.296900000000001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2"/>
        <v>0228-05</v>
      </c>
      <c r="AE143" s="80" t="str">
        <f t="shared" si="63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143" s="77" t="str">
        <f t="shared" si="64"/>
        <v>"C:\Program Files (x86)\AstroGrep\AstroGrep.exe" /e /r /s /spath="%USERPROFILE%\AppData\Local\Temp\OnboardLogs" /stypes="app*4007*20170506*" /stext=" 04:.+((SYSTEM_STATE.+slice.+state.+changed )|(ment ac)|(multiple cpu faults)|(system.+state.+changed )|(\[timeout)|(PRM\|1\|D)|(kpr)|(kdp)|(train st.+moving)|(\|lc)|(penalty))"</v>
      </c>
      <c r="AG143" s="1" t="str">
        <f t="shared" si="65"/>
        <v>EC</v>
      </c>
      <c r="AH143" s="81" t="str">
        <f t="shared" si="66"/>
        <v>"%USERPROFILE%\Documents\GitHub\eaglep3\Utilities\RefineRTDCRunTimes.py" --tripid 228-05 --locoid 4007 --swversion DE.1.0.9.0 --startMP 204:233108 --initTime 2017-05-05T21:15:20 --startdatetime 2017-05-05T21:26:14 --delay 1 --endMP 204:139 --enddatetime 2017-05-05T22:09:30 --enforcementcount 0 &gt;&gt;C:\Users\stu\Documents\GitHub\eaglep3-reporting\EC\2017-05-05-refined-times.txt</v>
      </c>
      <c r="AI143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{"issue":{"subject":"","project_id":79,"tracker_id":40,"status_id":1,"priority_id":2,"assigned_to_id":23,"start_date":"2017-05-05","description":"","custom_fields":[{"id":1,"name":"Subdivision","value":"EC"},{"id":4,"name":"Milepost","value":"0.0139"},{"id":17,"name":"Train ID","value":"228-05"},{"id":16,"name":"Locomotive ID","value":"4007"},{"id":130,"name":"Impact","value":""},{"id":150,"name":"Time of Event (Mountain Time)","value":"22:09:30"},{"id":151,"name":"Denver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8"/>
        <v>start /low /b %USERPROFILE%\Documents\GitHub\eaglep3\Utilities\DownloadLogsFromS3.py --loco 4007 --day 2017-05-05</v>
      </c>
      <c r="AN143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823</v>
      </c>
      <c r="B144" s="7">
        <v>4028</v>
      </c>
      <c r="C144" s="21" t="s">
        <v>210</v>
      </c>
      <c r="D144" s="21" t="s">
        <v>205</v>
      </c>
      <c r="E144" s="13">
        <v>42860.872800925928</v>
      </c>
      <c r="F144" s="13">
        <v>42860.875185185185</v>
      </c>
      <c r="G144" s="7">
        <v>1</v>
      </c>
      <c r="H144" s="21" t="s">
        <v>918</v>
      </c>
      <c r="I144" s="13">
        <v>42860.900057870371</v>
      </c>
      <c r="J144" s="7">
        <v>0</v>
      </c>
      <c r="K144" s="92" t="str">
        <f t="shared" si="53"/>
        <v>4027/4028</v>
      </c>
      <c r="L144" s="21" t="str">
        <f>VLOOKUP(A144,'Trips&amp;Operators'!$C$1:$G$99999,5,FALSE)</f>
        <v>BROWN JACOB</v>
      </c>
      <c r="M144" s="6">
        <f t="shared" si="54"/>
        <v>2.4872685185982846E-2</v>
      </c>
      <c r="N144" s="7">
        <f t="shared" si="51"/>
        <v>35.816666667815298</v>
      </c>
      <c r="O144" s="7"/>
      <c r="P144" s="7"/>
      <c r="Q144" s="22"/>
      <c r="R144" s="190"/>
      <c r="S144" s="196">
        <f t="shared" si="52"/>
        <v>1</v>
      </c>
      <c r="T144" s="190" t="str">
        <f t="shared" si="55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6"/>
        <v>https://d0f6bd738d7f1b3e5a7ca70fe4ff75f0.us-east-1.aws.found.io/app/kibana#/discover/Steve-Slow-Train-Analysis-(2080s-and-2083s)?_g=(refreshInterval:(display:Off,pause:!f,section:0,value:0),time:(from:'2017-05-05T19:56:50-0600',mode:absolute,to:'2017-05-05T22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192" t="str">
        <f t="shared" si="57"/>
        <v>N</v>
      </c>
      <c r="X144" s="192">
        <f t="shared" si="58"/>
        <v>1</v>
      </c>
      <c r="Y144" s="192">
        <f t="shared" si="59"/>
        <v>4.5999999999999999E-2</v>
      </c>
      <c r="Z144" s="192">
        <f t="shared" si="60"/>
        <v>23.335699999999999</v>
      </c>
      <c r="AA144" s="192">
        <f t="shared" si="61"/>
        <v>23.2897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2"/>
        <v>0229-05</v>
      </c>
      <c r="AE144" s="80" t="str">
        <f t="shared" si="63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144" s="77" t="str">
        <f t="shared" si="64"/>
        <v>"C:\Program Files (x86)\AstroGrep\AstroGrep.exe" /e /r /s /spath="%USERPROFILE%\AppData\Local\Temp\OnboardLogs" /stypes="app*4028*20170506*" /stext=" 03:.+((SYSTEM_STATE.+slice.+state.+changed )|(ment ac)|(multiple cpu faults)|(system.+state.+changed )|(\[timeout)|(PRM\|1\|D)|(kpr)|(kdp)|(train st.+moving)|(\|lc)|(penalty))"</v>
      </c>
      <c r="AG144" s="1" t="str">
        <f t="shared" si="65"/>
        <v>EC</v>
      </c>
      <c r="AH144" s="81" t="str">
        <f t="shared" si="66"/>
        <v>"%USERPROFILE%\Documents\GitHub\eaglep3\Utilities\RefineRTDCRunTimes.py" --tripid 229-05 --locoid 4028 --swversion DE.1.0.9.0 --startMP 204:460 --initTime 2017-05-05T20:56:50 --startdatetime 2017-05-05T21:00:16 --delay 1 --endMP 204:233357 --enddatetime 2017-05-05T21:36:05 --enforcementcount 0 &gt;&gt;C:\Users\stu\Documents\GitHub\eaglep3-reporting\EC\2017-05-05-refined-times.txt</v>
      </c>
      <c r="AI144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{"issue":{"subject":"","project_id":79,"tracker_id":40,"status_id":1,"priority_id":2,"assigned_to_id":23,"start_date":"2017-05-05","description":"","custom_fields":[{"id":1,"name":"Subdivision","value":"EC"},{"id":4,"name":"Milepost","value":"23.3357"},{"id":17,"name":"Train ID","value":"229-05"},{"id":16,"name":"Locomotive ID","value":"4028"},{"id":130,"name":"Impact","value":""},{"id":150,"name":"Time of Event (Mountain Time)","value":"21:36:05"},{"id":151,"name":"Denver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8"/>
        <v>start /low /b %USERPROFILE%\Documents\GitHub\eaglep3\Utilities\DownloadLogsFromS3.py --loco 4028 --day 2017-05-05</v>
      </c>
      <c r="AN144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624</v>
      </c>
      <c r="B145" s="7">
        <v>4027</v>
      </c>
      <c r="C145" s="21" t="s">
        <v>210</v>
      </c>
      <c r="D145" s="21" t="s">
        <v>872</v>
      </c>
      <c r="E145" s="13">
        <v>42860.912199074075</v>
      </c>
      <c r="F145" s="13">
        <v>42860.914050925923</v>
      </c>
      <c r="G145" s="7">
        <v>1</v>
      </c>
      <c r="H145" s="21" t="s">
        <v>402</v>
      </c>
      <c r="I145" s="13">
        <v>42860.942731481482</v>
      </c>
      <c r="J145" s="7">
        <v>0</v>
      </c>
      <c r="K145" s="92" t="str">
        <f t="shared" si="53"/>
        <v>4027/4028</v>
      </c>
      <c r="L145" s="21" t="str">
        <f>VLOOKUP(A145,'Trips&amp;Operators'!$C$1:$G$99999,5,FALSE)</f>
        <v>BROWN JACOB</v>
      </c>
      <c r="M145" s="6">
        <f t="shared" si="54"/>
        <v>2.8680555558821652E-2</v>
      </c>
      <c r="N145" s="7">
        <f t="shared" si="51"/>
        <v>41.300000004703179</v>
      </c>
      <c r="O145" s="7"/>
      <c r="P145" s="7"/>
      <c r="Q145" s="22"/>
      <c r="R145" s="190"/>
      <c r="S145" s="196">
        <f t="shared" si="52"/>
        <v>1</v>
      </c>
      <c r="T145" s="190" t="str">
        <f t="shared" si="55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6"/>
        <v>https://d0f6bd738d7f1b3e5a7ca70fe4ff75f0.us-east-1.aws.found.io/app/kibana#/discover/Steve-Slow-Train-Analysis-(2080s-and-2083s)?_g=(refreshInterval:(display:Off,pause:!f,section:0,value:0),time:(from:'2017-05-05T20:53:34-0600',mode:absolute,to:'2017-05-05T23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192" t="str">
        <f t="shared" si="57"/>
        <v>N</v>
      </c>
      <c r="X145" s="192">
        <f t="shared" si="58"/>
        <v>1</v>
      </c>
      <c r="Y145" s="192">
        <f t="shared" si="59"/>
        <v>23.299199999999999</v>
      </c>
      <c r="Z145" s="192">
        <f t="shared" si="60"/>
        <v>1.4999999999999999E-2</v>
      </c>
      <c r="AA145" s="192">
        <f t="shared" si="61"/>
        <v>23.284199999999998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2"/>
        <v>0230-05</v>
      </c>
      <c r="AE145" s="80" t="str">
        <f t="shared" si="63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45" s="77" t="str">
        <f t="shared" si="64"/>
        <v>"C:\Program Files (x86)\AstroGrep\AstroGrep.exe" /e /r /s /spath="%USERPROFILE%\AppData\Local\Temp\OnboardLogs" /stypes="app*4027*20170506*" /stext=" 04:.+((SYSTEM_STATE.+slice.+state.+changed )|(ment ac)|(multiple cpu faults)|(system.+state.+changed )|(\[timeout)|(PRM\|1\|D)|(kpr)|(kdp)|(train st.+moving)|(\|lc)|(penalty))"</v>
      </c>
      <c r="AG145" s="1" t="str">
        <f t="shared" si="65"/>
        <v>EC</v>
      </c>
      <c r="AH145" s="81" t="str">
        <f t="shared" si="66"/>
        <v>"%USERPROFILE%\Documents\GitHub\eaglep3\Utilities\RefineRTDCRunTimes.py" --tripid 230-05 --locoid 4027 --swversion DE.1.0.9.0 --startMP 204:232992 --initTime 2017-05-05T21:53:34 --startdatetime 2017-05-05T21:56:14 --delay 1 --endMP 204:150 --enddatetime 2017-05-05T22:37:32 --enforcementcount 0 &gt;&gt;C:\Users\stu\Documents\GitHub\eaglep3-reporting\EC\2017-05-05-refined-times.txt</v>
      </c>
      <c r="AI145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{"issue":{"subject":"","project_id":79,"tracker_id":40,"status_id":1,"priority_id":2,"assigned_to_id":23,"start_date":"2017-05-05","description":"","custom_fields":[{"id":1,"name":"Subdivision","value":"EC"},{"id":4,"name":"Milepost","value":"0.015"},{"id":17,"name":"Train ID","value":"230-05"},{"id":16,"name":"Locomotive ID","value":"4027"},{"id":130,"name":"Impact","value":""},{"id":150,"name":"Time of Event (Mountain Time)","value":"22:37:32"},{"id":151,"name":"Denver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8"/>
        <v>start /low /b %USERPROFILE%\Documents\GitHub\eaglep3\Utilities\DownloadLogsFromS3.py --loco 4027 --day 2017-05-05</v>
      </c>
      <c r="AN145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825</v>
      </c>
      <c r="B146" s="7">
        <v>4022</v>
      </c>
      <c r="C146" s="21" t="s">
        <v>210</v>
      </c>
      <c r="D146" s="21" t="s">
        <v>560</v>
      </c>
      <c r="E146" s="13">
        <v>42860.884953703702</v>
      </c>
      <c r="F146" s="13">
        <v>42860.896018518521</v>
      </c>
      <c r="G146" s="7">
        <v>1</v>
      </c>
      <c r="H146" s="21" t="s">
        <v>852</v>
      </c>
      <c r="I146" s="13">
        <v>42860.923263888886</v>
      </c>
      <c r="J146" s="7">
        <v>0</v>
      </c>
      <c r="K146" s="92" t="str">
        <f t="shared" si="53"/>
        <v>4021/4022</v>
      </c>
      <c r="L146" s="21" t="str">
        <f>VLOOKUP(A146,'Trips&amp;Operators'!$C$1:$G$99999,5,FALSE)</f>
        <v>DUNCAN SHEILA</v>
      </c>
      <c r="M146" s="6">
        <f t="shared" si="54"/>
        <v>2.7245370365562849E-2</v>
      </c>
      <c r="N146" s="7">
        <f t="shared" si="51"/>
        <v>39.233333326410502</v>
      </c>
      <c r="O146" s="7"/>
      <c r="P146" s="7"/>
      <c r="Q146" s="22"/>
      <c r="R146" s="190"/>
      <c r="S146" s="196">
        <f t="shared" si="52"/>
        <v>1</v>
      </c>
      <c r="T146" s="190" t="str">
        <f t="shared" si="55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6"/>
        <v>https://d0f6bd738d7f1b3e5a7ca70fe4ff75f0.us-east-1.aws.found.io/app/kibana#/discover/Steve-Slow-Train-Analysis-(2080s-and-2083s)?_g=(refreshInterval:(display:Off,pause:!f,section:0,value:0),time:(from:'2017-05-05T20:14:20-0600',mode:absolute,to:'2017-05-05T23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6" s="192" t="str">
        <f t="shared" si="57"/>
        <v>N</v>
      </c>
      <c r="X146" s="192">
        <f t="shared" si="58"/>
        <v>1</v>
      </c>
      <c r="Y146" s="192">
        <f t="shared" si="59"/>
        <v>4.5499999999999999E-2</v>
      </c>
      <c r="Z146" s="192">
        <f t="shared" si="60"/>
        <v>23.328399999999998</v>
      </c>
      <c r="AA146" s="192">
        <f t="shared" si="61"/>
        <v>23.282899999999998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2"/>
        <v>0231-05</v>
      </c>
      <c r="AE146" s="80" t="str">
        <f t="shared" si="63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46" s="77" t="str">
        <f t="shared" si="64"/>
        <v>"C:\Program Files (x86)\AstroGrep\AstroGrep.exe" /e /r /s /spath="%USERPROFILE%\AppData\Local\Temp\OnboardLogs" /stypes="app*4022*20170506*" /stext=" 04:.+((SYSTEM_STATE.+slice.+state.+changed )|(ment ac)|(multiple cpu faults)|(system.+state.+changed )|(\[timeout)|(PRM\|1\|D)|(kpr)|(kdp)|(train st.+moving)|(\|lc)|(penalty))"</v>
      </c>
      <c r="AG146" s="1" t="str">
        <f t="shared" si="65"/>
        <v>EC</v>
      </c>
      <c r="AH146" s="81" t="str">
        <f t="shared" si="66"/>
        <v>"%USERPROFILE%\Documents\GitHub\eaglep3\Utilities\RefineRTDCRunTimes.py" --tripid 231-05 --locoid 4022 --swversion DE.1.0.9.0 --startMP 204:455 --initTime 2017-05-05T21:14:20 --startdatetime 2017-05-05T21:30:16 --delay 1 --endMP 204:233284 --enddatetime 2017-05-05T22:09:30 --enforcementcount 0 &gt;&gt;C:\Users\stu\Documents\GitHub\eaglep3-reporting\EC\2017-05-05-refined-times.txt</v>
      </c>
      <c r="AI146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{"issue":{"subject":"","project_id":79,"tracker_id":40,"status_id":1,"priority_id":2,"assigned_to_id":23,"start_date":"2017-05-05","description":"","custom_fields":[{"id":1,"name":"Subdivision","value":"EC"},{"id":4,"name":"Milepost","value":"23.3284"},{"id":17,"name":"Train ID","value":"231-05"},{"id":16,"name":"Locomotive ID","value":"4022"},{"id":130,"name":"Impact","value":""},{"id":150,"name":"Time of Event (Mountain Time)","value":"22:09:30"},{"id":151,"name":"Denver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68"/>
        <v>start /low /b %USERPROFILE%\Documents\GitHub\eaglep3\Utilities\DownloadLogsFromS3.py --loco 4022 --day 2017-05-05</v>
      </c>
      <c r="AN146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2" t="s">
        <v>831</v>
      </c>
      <c r="B147" s="7">
        <v>4021</v>
      </c>
      <c r="C147" s="21" t="s">
        <v>210</v>
      </c>
      <c r="D147" s="21" t="s">
        <v>421</v>
      </c>
      <c r="E147" s="13">
        <v>42860.928807870368</v>
      </c>
      <c r="F147" s="13">
        <v>42860.934930555559</v>
      </c>
      <c r="G147" s="7">
        <v>1</v>
      </c>
      <c r="H147" s="21" t="s">
        <v>203</v>
      </c>
      <c r="I147" s="13">
        <v>42860.966134259259</v>
      </c>
      <c r="J147" s="7">
        <v>0</v>
      </c>
      <c r="K147" s="92" t="str">
        <f t="shared" si="53"/>
        <v>4021/4022</v>
      </c>
      <c r="L147" s="21" t="str">
        <f>VLOOKUP(A147,'Trips&amp;Operators'!$C$1:$G$99999,5,FALSE)</f>
        <v>DUNCAN SHEILA</v>
      </c>
      <c r="M147" s="6">
        <f t="shared" si="54"/>
        <v>3.1203703700157348E-2</v>
      </c>
      <c r="N147" s="7">
        <f t="shared" si="51"/>
        <v>44.933333328226581</v>
      </c>
      <c r="O147" s="7"/>
      <c r="P147" s="7"/>
      <c r="Q147" s="22"/>
      <c r="R147" s="190"/>
      <c r="S147" s="196">
        <f t="shared" si="52"/>
        <v>1</v>
      </c>
      <c r="T147" s="190" t="str">
        <f t="shared" si="55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6"/>
        <v>https://d0f6bd738d7f1b3e5a7ca70fe4ff75f0.us-east-1.aws.found.io/app/kibana#/discover/Steve-Slow-Train-Analysis-(2080s-and-2083s)?_g=(refreshInterval:(display:Off,pause:!f,section:0,value:0),time:(from:'2017-05-05T21:17:29-0600',mode:absolute,to:'2017-05-06T00:11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7" s="192" t="str">
        <f t="shared" si="57"/>
        <v>N</v>
      </c>
      <c r="X147" s="192">
        <f t="shared" si="58"/>
        <v>1</v>
      </c>
      <c r="Y147" s="192">
        <f t="shared" si="59"/>
        <v>23.2973</v>
      </c>
      <c r="Z147" s="192">
        <f t="shared" si="60"/>
        <v>1.54E-2</v>
      </c>
      <c r="AA147" s="192">
        <f t="shared" si="61"/>
        <v>23.2819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2"/>
        <v>0232-05</v>
      </c>
      <c r="AE147" s="80" t="str">
        <f t="shared" si="63"/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AF147" s="77" t="str">
        <f t="shared" si="64"/>
        <v>"C:\Program Files (x86)\AstroGrep\AstroGrep.exe" /e /r /s /spath="%USERPROFILE%\AppData\Local\Temp\OnboardLogs" /stypes="app*4021*20170506*" /stext=" 05:.+((SYSTEM_STATE.+slice.+state.+changed )|(ment ac)|(multiple cpu faults)|(system.+state.+changed )|(\[timeout)|(PRM\|1\|D)|(kpr)|(kdp)|(train st.+moving)|(\|lc)|(penalty))"</v>
      </c>
      <c r="AG147" s="1" t="str">
        <f t="shared" si="65"/>
        <v>EC</v>
      </c>
      <c r="AH147" s="81" t="str">
        <f t="shared" si="66"/>
        <v>"%USERPROFILE%\Documents\GitHub\eaglep3\Utilities\RefineRTDCRunTimes.py" --tripid 232-05 --locoid 4021 --swversion DE.1.0.9.0 --startMP 204:232973 --initTime 2017-05-05T22:17:29 --startdatetime 2017-05-05T22:26:18 --delay 1 --endMP 204:154 --enddatetime 2017-05-05T23:11:14 --enforcementcount 0 &gt;&gt;C:\Users\stu\Documents\GitHub\eaglep3-reporting\EC\2017-05-05-refined-times.txt</v>
      </c>
      <c r="AI147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{"issue":{"subject":"","project_id":79,"tracker_id":40,"status_id":1,"priority_id":2,"assigned_to_id":23,"start_date":"2017-05-05","description":"","custom_fields":[{"id":1,"name":"Subdivision","value":"EC"},{"id":4,"name":"Milepost","value":"0.0154"},{"id":17,"name":"Train ID","value":"232-05"},{"id":16,"name":"Locomotive ID","value":"4021"},{"id":130,"name":"Impact","value":""},{"id":150,"name":"Time of Event (Mountain Time)","value":"23:11:14"},{"id":151,"name":"Denver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8"/>
        <v>start /low /b %USERPROFILE%\Documents\GitHub\eaglep3\Utilities\DownloadLogsFromS3.py --loco 4021 --day 2017-05-05</v>
      </c>
      <c r="AN147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05:11:14"},{"id":29,"name":"Sharepoint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828</v>
      </c>
      <c r="B148" s="7">
        <v>4030</v>
      </c>
      <c r="C148" s="21" t="s">
        <v>210</v>
      </c>
      <c r="D148" s="21" t="s">
        <v>871</v>
      </c>
      <c r="E148" s="13">
        <v>42860.901863425926</v>
      </c>
      <c r="F148" s="13">
        <v>42860.917141203703</v>
      </c>
      <c r="G148" s="7">
        <v>1</v>
      </c>
      <c r="H148" s="21" t="s">
        <v>919</v>
      </c>
      <c r="I148" s="13">
        <v>42860.942557870374</v>
      </c>
      <c r="J148" s="7">
        <v>0</v>
      </c>
      <c r="K148" s="92" t="str">
        <f t="shared" si="53"/>
        <v>4029/4030</v>
      </c>
      <c r="L148" s="21" t="str">
        <f>VLOOKUP(A148,'Trips&amp;Operators'!$C$1:$G$99999,5,FALSE)</f>
        <v>STAMBAUGH JAMES</v>
      </c>
      <c r="M148" s="6">
        <f t="shared" si="54"/>
        <v>2.5416666670935228E-2</v>
      </c>
      <c r="N148" s="7">
        <f t="shared" si="51"/>
        <v>36.600000006146729</v>
      </c>
      <c r="O148" s="7"/>
      <c r="P148" s="7"/>
      <c r="Q148" s="22"/>
      <c r="R148" s="190"/>
      <c r="S148" s="196">
        <f t="shared" si="52"/>
        <v>1</v>
      </c>
      <c r="T148" s="190" t="str">
        <f t="shared" si="55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6"/>
        <v>https://d0f6bd738d7f1b3e5a7ca70fe4ff75f0.us-east-1.aws.found.io/app/kibana#/discover/Steve-Slow-Train-Analysis-(2080s-and-2083s)?_g=(refreshInterval:(display:Off,pause:!f,section:0,value:0),time:(from:'2017-05-05T20:38:41-0600',mode:absolute,to:'2017-05-05T23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192" t="str">
        <f t="shared" si="57"/>
        <v>N</v>
      </c>
      <c r="X148" s="192">
        <f t="shared" si="58"/>
        <v>1</v>
      </c>
      <c r="Y148" s="192">
        <f t="shared" si="59"/>
        <v>4.1300000000000003E-2</v>
      </c>
      <c r="Z148" s="192">
        <f t="shared" si="60"/>
        <v>23.341200000000001</v>
      </c>
      <c r="AA148" s="192">
        <f t="shared" si="61"/>
        <v>23.299900000000001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2"/>
        <v>0233-05</v>
      </c>
      <c r="AE148" s="80" t="str">
        <f t="shared" si="63"/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AF148" s="77" t="str">
        <f t="shared" si="64"/>
        <v>"C:\Program Files (x86)\AstroGrep\AstroGrep.exe" /e /r /s /spath="%USERPROFILE%\AppData\Local\Temp\OnboardLogs" /stypes="app*4030*20170506*" /stext=" 04:.+((SYSTEM_STATE.+slice.+state.+changed )|(ment ac)|(multiple cpu faults)|(system.+state.+changed )|(\[timeout)|(PRM\|1\|D)|(kpr)|(kdp)|(train st.+moving)|(\|lc)|(penalty))"</v>
      </c>
      <c r="AG148" s="1" t="str">
        <f t="shared" si="65"/>
        <v>EC</v>
      </c>
      <c r="AH148" s="81" t="str">
        <f t="shared" si="66"/>
        <v>"%USERPROFILE%\Documents\GitHub\eaglep3\Utilities\RefineRTDCRunTimes.py" --tripid 233-05 --locoid 4030 --swversion DE.1.0.9.0 --startMP 204:413 --initTime 2017-05-05T21:38:41 --startdatetime 2017-05-05T22:00:41 --delay 1 --endMP 204:233412 --enddatetime 2017-05-05T22:37:17 --enforcementcount 0 &gt;&gt;C:\Users\stu\Documents\GitHub\eaglep3-reporting\EC\2017-05-05-refined-times.txt</v>
      </c>
      <c r="AI148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{"issue":{"subject":"","project_id":79,"tracker_id":40,"status_id":1,"priority_id":2,"assigned_to_id":23,"start_date":"2017-05-05","description":"","custom_fields":[{"id":1,"name":"Subdivision","value":"EC"},{"id":4,"name":"Milepost","value":"23.3412"},{"id":17,"name":"Train ID","value":"233-05"},{"id":16,"name":"Locomotive ID","value":"4030"},{"id":130,"name":"Impact","value":""},{"id":150,"name":"Time of Event (Mountain Time)","value":"22:37:17"},{"id":151,"name":"Denver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8"/>
        <v>start /low /b %USERPROFILE%\Documents\GitHub\eaglep3\Utilities\DownloadLogsFromS3.py --loco 4030 --day 2017-05-05</v>
      </c>
      <c r="AN148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833</v>
      </c>
      <c r="B149" s="7">
        <v>4029</v>
      </c>
      <c r="C149" s="21" t="s">
        <v>210</v>
      </c>
      <c r="D149" s="21" t="s">
        <v>920</v>
      </c>
      <c r="E149" s="13">
        <v>42860.952627314815</v>
      </c>
      <c r="F149" s="13">
        <v>42860.956296296295</v>
      </c>
      <c r="G149" s="7">
        <v>0</v>
      </c>
      <c r="H149" s="21" t="s">
        <v>384</v>
      </c>
      <c r="I149" s="13">
        <v>42860.982997685183</v>
      </c>
      <c r="J149" s="7">
        <v>0</v>
      </c>
      <c r="K149" s="92" t="str">
        <f t="shared" si="53"/>
        <v>4029/4030</v>
      </c>
      <c r="L149" s="21" t="str">
        <f>VLOOKUP(A149,'Trips&amp;Operators'!$C$1:$G$99999,5,FALSE)</f>
        <v>STAMBAUGH JAMES</v>
      </c>
      <c r="M149" s="6">
        <f t="shared" si="54"/>
        <v>2.6701388887886424E-2</v>
      </c>
      <c r="N149" s="7">
        <f t="shared" si="51"/>
        <v>38.44999999855645</v>
      </c>
      <c r="O149" s="7"/>
      <c r="P149" s="7"/>
      <c r="Q149" s="22"/>
      <c r="R149" s="190"/>
      <c r="S149" s="196">
        <f t="shared" si="52"/>
        <v>1</v>
      </c>
      <c r="T149" s="190" t="str">
        <f t="shared" si="55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6"/>
        <v>https://d0f6bd738d7f1b3e5a7ca70fe4ff75f0.us-east-1.aws.found.io/app/kibana#/discover/Steve-Slow-Train-Analysis-(2080s-and-2083s)?_g=(refreshInterval:(display:Off,pause:!f,section:0,value:0),time:(from:'2017-05-05T21:51:47-0600',mode:absolute,to:'2017-05-06T00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192" t="str">
        <f t="shared" si="57"/>
        <v>N</v>
      </c>
      <c r="X149" s="192">
        <f t="shared" si="58"/>
        <v>1</v>
      </c>
      <c r="Y149" s="192">
        <f t="shared" si="59"/>
        <v>23.308199999999999</v>
      </c>
      <c r="Z149" s="192">
        <f t="shared" si="60"/>
        <v>1.4500000000000001E-2</v>
      </c>
      <c r="AA149" s="192">
        <f t="shared" si="61"/>
        <v>23.293699999999998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2"/>
        <v>0234-05</v>
      </c>
      <c r="AE149" s="80" t="str">
        <f t="shared" si="63"/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AF149" s="77" t="str">
        <f t="shared" si="64"/>
        <v>"C:\Program Files (x86)\AstroGrep\AstroGrep.exe" /e /r /s /spath="%USERPROFILE%\AppData\Local\Temp\OnboardLogs" /stypes="app*4029*20170506*" /stext=" 05:.+((SYSTEM_STATE.+slice.+state.+changed )|(ment ac)|(multiple cpu faults)|(system.+state.+changed )|(\[timeout)|(PRM\|1\|D)|(kpr)|(kdp)|(train st.+moving)|(\|lc)|(penalty))"</v>
      </c>
      <c r="AG149" s="1" t="str">
        <f t="shared" si="65"/>
        <v>EC</v>
      </c>
      <c r="AH149" s="81" t="str">
        <f t="shared" si="66"/>
        <v>"%USERPROFILE%\Documents\GitHub\eaglep3\Utilities\RefineRTDCRunTimes.py" --tripid 234-05 --locoid 4029 --swversion DE.1.0.9.0 --startMP 204:233082 --initTime 2017-05-05T22:51:47 --startdatetime 2017-05-05T22:57:04 --delay 0 --endMP 204:145 --enddatetime 2017-05-05T23:35:31 --enforcementcount 0 &gt;&gt;C:\Users\stu\Documents\GitHub\eaglep3-reporting\EC\2017-05-05-refined-times.txt</v>
      </c>
      <c r="AI149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{"issue":{"subject":"","project_id":79,"tracker_id":40,"status_id":1,"priority_id":2,"assigned_to_id":23,"start_date":"2017-05-05","description":"","custom_fields":[{"id":1,"name":"Subdivision","value":"EC"},{"id":4,"name":"Milepost","value":"0.0145"},{"id":17,"name":"Train ID","value":"234-05"},{"id":16,"name":"Locomotive ID","value":"4029"},{"id":130,"name":"Impact","value":""},{"id":150,"name":"Time of Event (Mountain Time)","value":"23:35:31"},{"id":151,"name":"Denver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68"/>
        <v>start /low /b %USERPROFILE%\Documents\GitHub\eaglep3\Utilities\DownloadLogsFromS3.py --loco 4029 --day 2017-05-05</v>
      </c>
      <c r="AN149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05:35:31"},{"id":29,"name":"Sharepoint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830</v>
      </c>
      <c r="B150" s="7">
        <v>4008</v>
      </c>
      <c r="C150" s="21" t="s">
        <v>210</v>
      </c>
      <c r="D150" s="21" t="s">
        <v>381</v>
      </c>
      <c r="E150" s="13">
        <v>42860.928090277775</v>
      </c>
      <c r="F150" s="13">
        <v>42860.937650462962</v>
      </c>
      <c r="G150" s="7">
        <v>1</v>
      </c>
      <c r="H150" s="21" t="s">
        <v>921</v>
      </c>
      <c r="I150" s="13">
        <v>42860.964699074073</v>
      </c>
      <c r="J150" s="7">
        <v>0</v>
      </c>
      <c r="K150" s="92" t="str">
        <f t="shared" si="53"/>
        <v>4007/4008</v>
      </c>
      <c r="L150" s="21" t="str">
        <f>VLOOKUP(A150,'Trips&amp;Operators'!$C$1:$G$99999,5,FALSE)</f>
        <v>SWANSON BRYCE</v>
      </c>
      <c r="M150" s="6">
        <f t="shared" si="54"/>
        <v>2.7048611111240461E-2</v>
      </c>
      <c r="N150" s="7">
        <f t="shared" si="51"/>
        <v>38.950000000186265</v>
      </c>
      <c r="O150" s="7"/>
      <c r="P150" s="7"/>
      <c r="Q150" s="22"/>
      <c r="R150" s="190"/>
      <c r="S150" s="196">
        <f t="shared" si="52"/>
        <v>1</v>
      </c>
      <c r="T150" s="190" t="str">
        <f t="shared" si="55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6"/>
        <v>https://d0f6bd738d7f1b3e5a7ca70fe4ff75f0.us-east-1.aws.found.io/app/kibana#/discover/Steve-Slow-Train-Analysis-(2080s-and-2083s)?_g=(refreshInterval:(display:Off,pause:!f,section:0,value:0),time:(from:'2017-05-05T21:16:27-0600',mode:absolute,to:'2017-05-06T00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0" s="192" t="str">
        <f t="shared" si="57"/>
        <v>N</v>
      </c>
      <c r="X150" s="192">
        <f t="shared" si="58"/>
        <v>1</v>
      </c>
      <c r="Y150" s="192">
        <f t="shared" si="59"/>
        <v>4.4600000000000001E-2</v>
      </c>
      <c r="Z150" s="192">
        <f t="shared" si="60"/>
        <v>23.340499999999999</v>
      </c>
      <c r="AA150" s="192">
        <f t="shared" si="61"/>
        <v>23.2959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2"/>
        <v>0235-05</v>
      </c>
      <c r="AE150" s="80" t="str">
        <f t="shared" si="63"/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AF150" s="77" t="str">
        <f t="shared" si="64"/>
        <v>"C:\Program Files (x86)\AstroGrep\AstroGrep.exe" /e /r /s /spath="%USERPROFILE%\AppData\Local\Temp\OnboardLogs" /stypes="app*4008*20170506*" /stext=" 05:.+((SYSTEM_STATE.+slice.+state.+changed )|(ment ac)|(multiple cpu faults)|(system.+state.+changed )|(\[timeout)|(PRM\|1\|D)|(kpr)|(kdp)|(train st.+moving)|(\|lc)|(penalty))"</v>
      </c>
      <c r="AG150" s="1" t="str">
        <f t="shared" si="65"/>
        <v>EC</v>
      </c>
      <c r="AH150" s="81" t="str">
        <f t="shared" si="66"/>
        <v>"%USERPROFILE%\Documents\GitHub\eaglep3\Utilities\RefineRTDCRunTimes.py" --tripid 235-05 --locoid 4008 --swversion DE.1.0.9.0 --startMP 204:446 --initTime 2017-05-05T22:16:27 --startdatetime 2017-05-05T22:30:13 --delay 1 --endMP 204:233405 --enddatetime 2017-05-05T23:09:10 --enforcementcount 0 &gt;&gt;C:\Users\stu\Documents\GitHub\eaglep3-reporting\EC\2017-05-05-refined-times.txt</v>
      </c>
      <c r="AI150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{"issue":{"subject":"","project_id":79,"tracker_id":40,"status_id":1,"priority_id":2,"assigned_to_id":23,"start_date":"2017-05-05","description":"","custom_fields":[{"id":1,"name":"Subdivision","value":"EC"},{"id":4,"name":"Milepost","value":"23.3405"},{"id":17,"name":"Train ID","value":"235-05"},{"id":16,"name":"Locomotive ID","value":"4008"},{"id":130,"name":"Impact","value":""},{"id":150,"name":"Time of Event (Mountain Time)","value":"23:09:10"},{"id":151,"name":"Denver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8"/>
        <v>start /low /b %USERPROFILE%\Documents\GitHub\eaglep3\Utilities\DownloadLogsFromS3.py --loco 4008 --day 2017-05-05</v>
      </c>
      <c r="AN150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05:09:10"},{"id":29,"name":"Sharepoint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835</v>
      </c>
      <c r="B151" s="7">
        <v>4007</v>
      </c>
      <c r="C151" s="21" t="s">
        <v>210</v>
      </c>
      <c r="D151" s="21" t="s">
        <v>922</v>
      </c>
      <c r="E151" s="13">
        <v>42860.965752314813</v>
      </c>
      <c r="F151" s="13">
        <v>42860.976631944446</v>
      </c>
      <c r="G151" s="7">
        <v>1</v>
      </c>
      <c r="H151" s="21" t="s">
        <v>404</v>
      </c>
      <c r="I151" s="13">
        <v>42861.004606481481</v>
      </c>
      <c r="J151" s="7">
        <v>0</v>
      </c>
      <c r="K151" s="92" t="str">
        <f t="shared" si="53"/>
        <v>4007/4008</v>
      </c>
      <c r="L151" s="21" t="str">
        <f>VLOOKUP(A151,'Trips&amp;Operators'!$C$1:$G$99999,5,FALSE)</f>
        <v>SWANSON BRYCE</v>
      </c>
      <c r="M151" s="6">
        <f t="shared" si="54"/>
        <v>2.7974537035333924E-2</v>
      </c>
      <c r="N151" s="7">
        <f t="shared" si="51"/>
        <v>40.283333330880851</v>
      </c>
      <c r="O151" s="7"/>
      <c r="P151" s="7"/>
      <c r="Q151" s="22"/>
      <c r="R151" s="190"/>
      <c r="S151" s="196">
        <f t="shared" si="52"/>
        <v>1</v>
      </c>
      <c r="T151" s="190" t="str">
        <f t="shared" si="55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6"/>
        <v>https://d0f6bd738d7f1b3e5a7ca70fe4ff75f0.us-east-1.aws.found.io/app/kibana#/discover/Steve-Slow-Train-Analysis-(2080s-and-2083s)?_g=(refreshInterval:(display:Off,pause:!f,section:0,value:0),time:(from:'2017-05-05T22:10:41-0600',mode:absolute,to:'2017-05-06T01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1" s="192" t="str">
        <f t="shared" si="57"/>
        <v>N</v>
      </c>
      <c r="X151" s="192">
        <f t="shared" si="58"/>
        <v>1</v>
      </c>
      <c r="Y151" s="192">
        <f t="shared" si="59"/>
        <v>23.3078</v>
      </c>
      <c r="Z151" s="192">
        <f t="shared" si="60"/>
        <v>1.43E-2</v>
      </c>
      <c r="AA151" s="192">
        <f t="shared" si="61"/>
        <v>23.293500000000002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2"/>
        <v>0236-05</v>
      </c>
      <c r="AE151" s="80" t="str">
        <f t="shared" si="63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151" s="77" t="str">
        <f t="shared" si="64"/>
        <v>"C:\Program Files (x86)\AstroGrep\AstroGrep.exe" /e /r /s /spath="%USERPROFILE%\AppData\Local\Temp\OnboardLogs" /stypes="app*4007*20170506*" /stext=" 06:.+((SYSTEM_STATE.+slice.+state.+changed )|(ment ac)|(multiple cpu faults)|(system.+state.+changed )|(\[timeout)|(PRM\|1\|D)|(kpr)|(kdp)|(train st.+moving)|(\|lc)|(penalty))"</v>
      </c>
      <c r="AG151" s="1" t="str">
        <f t="shared" si="65"/>
        <v>EC</v>
      </c>
      <c r="AH151" s="81" t="str">
        <f t="shared" si="66"/>
        <v>"%USERPROFILE%\Documents\GitHub\eaglep3\Utilities\RefineRTDCRunTimes.py" --tripid 236-05 --locoid 4007 --swversion DE.1.0.9.0 --startMP 204:233078 --initTime 2017-05-05T23:10:41 --startdatetime 2017-05-05T23:26:21 --delay 1 --endMP 204:143 --enddatetime 2017-05-06T00:06:38 --enforcementcount 0 &gt;&gt;C:\Users\stu\Documents\GitHub\eaglep3-reporting\EC\2017-05-05-refined-times.txt</v>
      </c>
      <c r="AI151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{"issue":{"subject":"","project_id":79,"tracker_id":40,"status_id":1,"priority_id":2,"assigned_to_id":23,"start_date":"2017-05-06","description":"","custom_fields":[{"id":1,"name":"Subdivision","value":"EC"},{"id":4,"name":"Milepost","value":"0.0143"},{"id":17,"name":"Train ID","value":"236-05"},{"id":16,"name":"Locomotive ID","value":"4007"},{"id":130,"name":"Impact","value":""},{"id":150,"name":"Time of Event (Mountain Time)","value":"00:06:38"},{"id":151,"name":"Denver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8"/>
        <v>start /low /b %USERPROFILE%\Documents\GitHub\eaglep3\Utilities\DownloadLogsFromS3.py --loco 4007 --day 2017-05-05</v>
      </c>
      <c r="AN151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834</v>
      </c>
      <c r="B152" s="7">
        <v>4028</v>
      </c>
      <c r="C152" s="21" t="s">
        <v>210</v>
      </c>
      <c r="D152" s="21" t="s">
        <v>406</v>
      </c>
      <c r="E152" s="13">
        <v>42860.955497685187</v>
      </c>
      <c r="F152" s="13">
        <v>42860.958738425928</v>
      </c>
      <c r="G152" s="7">
        <v>1</v>
      </c>
      <c r="H152" s="21" t="s">
        <v>507</v>
      </c>
      <c r="I152" s="13">
        <v>42860.9841087963</v>
      </c>
      <c r="J152" s="7">
        <v>0</v>
      </c>
      <c r="K152" s="92" t="str">
        <f t="shared" si="53"/>
        <v>4027/4028</v>
      </c>
      <c r="L152" s="21" t="str">
        <f>VLOOKUP(A152,'Trips&amp;Operators'!$C$1:$G$99999,5,FALSE)</f>
        <v>BROWN JACOB</v>
      </c>
      <c r="M152" s="6">
        <f t="shared" si="54"/>
        <v>2.5370370371092577E-2</v>
      </c>
      <c r="N152" s="7">
        <f t="shared" si="51"/>
        <v>36.53333333437331</v>
      </c>
      <c r="O152" s="7"/>
      <c r="P152" s="7"/>
      <c r="Q152" s="22"/>
      <c r="R152" s="190"/>
      <c r="S152" s="196">
        <f t="shared" si="52"/>
        <v>1</v>
      </c>
      <c r="T152" s="190" t="str">
        <f t="shared" si="55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6"/>
        <v>https://d0f6bd738d7f1b3e5a7ca70fe4ff75f0.us-east-1.aws.found.io/app/kibana#/discover/Steve-Slow-Train-Analysis-(2080s-and-2083s)?_g=(refreshInterval:(display:Off,pause:!f,section:0,value:0),time:(from:'2017-05-05T21:55:55-0600',mode:absolute,to:'2017-05-06T00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192" t="str">
        <f t="shared" si="57"/>
        <v>N</v>
      </c>
      <c r="X152" s="192">
        <f t="shared" si="58"/>
        <v>1</v>
      </c>
      <c r="Y152" s="192">
        <f t="shared" si="59"/>
        <v>4.6899999999999997E-2</v>
      </c>
      <c r="Z152" s="192">
        <f t="shared" si="60"/>
        <v>23.331099999999999</v>
      </c>
      <c r="AA152" s="192">
        <f t="shared" si="61"/>
        <v>23.284199999999998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2"/>
        <v>0237-05</v>
      </c>
      <c r="AE152" s="80" t="str">
        <f t="shared" si="63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152" s="77" t="str">
        <f t="shared" si="64"/>
        <v>"C:\Program Files (x86)\AstroGrep\AstroGrep.exe" /e /r /s /spath="%USERPROFILE%\AppData\Local\Temp\OnboardLogs" /stypes="app*4028*20170506*" /stext=" 05:.+((SYSTEM_STATE.+slice.+state.+changed )|(ment ac)|(multiple cpu faults)|(system.+state.+changed )|(\[timeout)|(PRM\|1\|D)|(kpr)|(kdp)|(train st.+moving)|(\|lc)|(penalty))"</v>
      </c>
      <c r="AG152" s="1" t="str">
        <f t="shared" si="65"/>
        <v>EC</v>
      </c>
      <c r="AH152" s="81" t="str">
        <f t="shared" si="66"/>
        <v>"%USERPROFILE%\Documents\GitHub\eaglep3\Utilities\RefineRTDCRunTimes.py" --tripid 237-05 --locoid 4028 --swversion DE.1.0.9.0 --startMP 204:469 --initTime 2017-05-05T22:55:55 --startdatetime 2017-05-05T23:00:35 --delay 1 --endMP 204:233311 --enddatetime 2017-05-05T23:37:07 --enforcementcount 0 &gt;&gt;C:\Users\stu\Documents\GitHub\eaglep3-reporting\EC\2017-05-05-refined-times.txt</v>
      </c>
      <c r="AI152" s="99" t="str">
        <f t="shared" si="67"/>
        <v>echo {"issue":{"subject":"","project_id":79,"tracker_id":40,"status_id":1,"priority_id":2,"assigned_to_id":23,"start_date":"2017-05-05","description":"","custom_fields":[{"id":1,"name":"Subdivision","value":"EC"},{"id":4,"name":"Milepost","value":"23.3311"},{"id":17,"name":"Train ID","value":"237-05"},{"id":16,"name":"Locomotive ID","value":"4028"},{"id":130,"name":"Impact","value":""},{"id":150,"name":"Time of Event (Mountain Time)","value":"23:37:07"},{"id":151,"name":"Denver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68"/>
        <v>start /low /b %USERPROFILE%\Documents\GitHub\eaglep3\Utilities\DownloadLogsFromS3.py --loco 4028 --day 2017-05-05</v>
      </c>
      <c r="AN152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836</v>
      </c>
      <c r="B153" s="7">
        <v>4027</v>
      </c>
      <c r="C153" s="21" t="s">
        <v>210</v>
      </c>
      <c r="D153" s="21" t="s">
        <v>872</v>
      </c>
      <c r="E153" s="13">
        <v>42860.994710648149</v>
      </c>
      <c r="F153" s="13">
        <v>42860.997916666667</v>
      </c>
      <c r="G153" s="7">
        <v>1</v>
      </c>
      <c r="H153" s="21" t="s">
        <v>198</v>
      </c>
      <c r="I153" s="13">
        <v>42861.025196759256</v>
      </c>
      <c r="J153" s="7">
        <v>0</v>
      </c>
      <c r="K153" s="92" t="str">
        <f t="shared" si="53"/>
        <v>4027/4028</v>
      </c>
      <c r="L153" s="21" t="str">
        <f>VLOOKUP(A153,'Trips&amp;Operators'!$C$1:$G$99999,5,FALSE)</f>
        <v>BROWN JACOB</v>
      </c>
      <c r="M153" s="6">
        <f t="shared" si="54"/>
        <v>2.7280092588625848E-2</v>
      </c>
      <c r="N153" s="7">
        <f t="shared" si="51"/>
        <v>39.283333327621222</v>
      </c>
      <c r="O153" s="7"/>
      <c r="P153" s="7"/>
      <c r="Q153" s="22"/>
      <c r="R153" s="190"/>
      <c r="S153" s="196">
        <f t="shared" si="52"/>
        <v>1</v>
      </c>
      <c r="T153" s="190" t="str">
        <f t="shared" si="55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6"/>
        <v>https://d0f6bd738d7f1b3e5a7ca70fe4ff75f0.us-east-1.aws.found.io/app/kibana#/discover/Steve-Slow-Train-Analysis-(2080s-and-2083s)?_g=(refreshInterval:(display:Off,pause:!f,section:0,value:0),time:(from:'2017-05-05T22:52:23-0600',mode:absolute,to:'2017-05-06T01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192" t="str">
        <f t="shared" si="57"/>
        <v>N</v>
      </c>
      <c r="X153" s="192">
        <f t="shared" si="58"/>
        <v>1</v>
      </c>
      <c r="Y153" s="192">
        <f t="shared" si="59"/>
        <v>23.299199999999999</v>
      </c>
      <c r="Z153" s="192">
        <f t="shared" si="60"/>
        <v>1.5800000000000002E-2</v>
      </c>
      <c r="AA153" s="192">
        <f t="shared" si="61"/>
        <v>23.2834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2"/>
        <v>0238-05</v>
      </c>
      <c r="AE153" s="80" t="str">
        <f t="shared" si="63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153" s="77" t="str">
        <f t="shared" si="64"/>
        <v>"C:\Program Files (x86)\AstroGrep\AstroGrep.exe" /e /r /s /spath="%USERPROFILE%\AppData\Local\Temp\OnboardLogs" /stypes="app*4027*20170506*" /stext=" 06:.+((SYSTEM_STATE.+slice.+state.+changed )|(ment ac)|(multiple cpu faults)|(system.+state.+changed )|(\[timeout)|(PRM\|1\|D)|(kpr)|(kdp)|(train st.+moving)|(\|lc)|(penalty))"</v>
      </c>
      <c r="AG153" s="1" t="str">
        <f t="shared" si="65"/>
        <v>EC</v>
      </c>
      <c r="AH153" s="81" t="str">
        <f t="shared" si="66"/>
        <v>"%USERPROFILE%\Documents\GitHub\eaglep3\Utilities\RefineRTDCRunTimes.py" --tripid 238-05 --locoid 4027 --swversion DE.1.0.9.0 --startMP 204:232992 --initTime 2017-05-05T23:52:23 --startdatetime 2017-05-05T23:57:00 --delay 1 --endMP 204:158 --enddatetime 2017-05-06T00:36:17 --enforcementcount 0 &gt;&gt;C:\Users\stu\Documents\GitHub\eaglep3-reporting\EC\2017-05-05-refined-times.txt</v>
      </c>
      <c r="AI153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{"issue":{"subject":"","project_id":79,"tracker_id":40,"status_id":1,"priority_id":2,"assigned_to_id":23,"start_date":"2017-05-06","description":"","custom_fields":[{"id":1,"name":"Subdivision","value":"EC"},{"id":4,"name":"Milepost","value":"0.0158"},{"id":17,"name":"Train ID","value":"238-05"},{"id":16,"name":"Locomotive ID","value":"4027"},{"id":130,"name":"Impact","value":""},{"id":150,"name":"Time of Event (Mountain Time)","value":"00:36:17"},{"id":151,"name":"Denver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68"/>
        <v>start /low /b %USERPROFILE%\Documents\GitHub\eaglep3\Utilities\DownloadLogsFromS3.py --loco 4027 --day 2017-05-05</v>
      </c>
      <c r="AN153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628</v>
      </c>
      <c r="B154" s="7">
        <v>4022</v>
      </c>
      <c r="C154" s="21" t="s">
        <v>210</v>
      </c>
      <c r="D154" s="21" t="s">
        <v>413</v>
      </c>
      <c r="E154" s="13">
        <v>42860.971967592595</v>
      </c>
      <c r="F154" s="13">
        <v>42860.979456018518</v>
      </c>
      <c r="G154" s="7">
        <v>1</v>
      </c>
      <c r="H154" s="21" t="s">
        <v>923</v>
      </c>
      <c r="I154" s="13">
        <v>42861.005289351851</v>
      </c>
      <c r="J154" s="7">
        <v>0</v>
      </c>
      <c r="K154" s="92" t="str">
        <f t="shared" si="53"/>
        <v>4021/4022</v>
      </c>
      <c r="L154" s="21" t="str">
        <f>VLOOKUP(A154,'Trips&amp;Operators'!$C$1:$G$99999,5,FALSE)</f>
        <v>STORY SAMANTHA</v>
      </c>
      <c r="M154" s="6">
        <f t="shared" si="54"/>
        <v>2.5833333333139308E-2</v>
      </c>
      <c r="N154" s="7">
        <f t="shared" si="51"/>
        <v>37.199999999720603</v>
      </c>
      <c r="O154" s="7"/>
      <c r="P154" s="7"/>
      <c r="Q154" s="22"/>
      <c r="R154" s="190"/>
      <c r="S154" s="196">
        <f t="shared" si="52"/>
        <v>1</v>
      </c>
      <c r="T154" s="190" t="str">
        <f t="shared" si="55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6"/>
        <v>https://d0f6bd738d7f1b3e5a7ca70fe4ff75f0.us-east-1.aws.found.io/app/kibana#/discover/Steve-Slow-Train-Analysis-(2080s-and-2083s)?_g=(refreshInterval:(display:Off,pause:!f,section:0,value:0),time:(from:'2017-05-05T22:19:38-0600',mode:absolute,to:'2017-05-06T01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4" s="192" t="str">
        <f t="shared" si="57"/>
        <v>N</v>
      </c>
      <c r="X154" s="192">
        <f t="shared" si="58"/>
        <v>1</v>
      </c>
      <c r="Y154" s="192">
        <f t="shared" si="59"/>
        <v>4.6399999999999997E-2</v>
      </c>
      <c r="Z154" s="192">
        <f t="shared" si="60"/>
        <v>23.332000000000001</v>
      </c>
      <c r="AA154" s="192">
        <f t="shared" si="61"/>
        <v>23.285600000000002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2"/>
        <v>0239-05</v>
      </c>
      <c r="AE154" s="80" t="str">
        <f t="shared" si="63"/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AF154" s="77" t="str">
        <f t="shared" si="64"/>
        <v>"C:\Program Files (x86)\AstroGrep\AstroGrep.exe" /e /r /s /spath="%USERPROFILE%\AppData\Local\Temp\OnboardLogs" /stypes="app*4022*20170506*" /stext=" 06:.+((SYSTEM_STATE.+slice.+state.+changed )|(ment ac)|(multiple cpu faults)|(system.+state.+changed )|(\[timeout)|(PRM\|1\|D)|(kpr)|(kdp)|(train st.+moving)|(\|lc)|(penalty))"</v>
      </c>
      <c r="AG154" s="1" t="str">
        <f t="shared" si="65"/>
        <v>EC</v>
      </c>
      <c r="AH154" s="81" t="str">
        <f t="shared" si="66"/>
        <v>"%USERPROFILE%\Documents\GitHub\eaglep3\Utilities\RefineRTDCRunTimes.py" --tripid 239-05 --locoid 4022 --swversion DE.1.0.9.0 --startMP 204:464 --initTime 2017-05-05T23:19:38 --startdatetime 2017-05-05T23:30:25 --delay 1 --endMP 204:233320 --enddatetime 2017-05-06T00:07:37 --enforcementcount 0 &gt;&gt;C:\Users\stu\Documents\GitHub\eaglep3-reporting\EC\2017-05-05-refined-times.txt</v>
      </c>
      <c r="AI154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{"issue":{"subject":"","project_id":79,"tracker_id":40,"status_id":1,"priority_id":2,"assigned_to_id":23,"start_date":"2017-05-06","description":"","custom_fields":[{"id":1,"name":"Subdivision","value":"EC"},{"id":4,"name":"Milepost","value":"23.332"},{"id":17,"name":"Train ID","value":"239-05"},{"id":16,"name":"Locomotive ID","value":"4022"},{"id":130,"name":"Impact","value":""},{"id":150,"name":"Time of Event (Mountain Time)","value":"00:07:37"},{"id":151,"name":"Denver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68"/>
        <v>start /low /b %USERPROFILE%\Documents\GitHub\eaglep3\Utilities\DownloadLogsFromS3.py --loco 4022 --day 2017-05-05</v>
      </c>
      <c r="AN154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839</v>
      </c>
      <c r="B155" s="7">
        <v>4021</v>
      </c>
      <c r="C155" s="21" t="s">
        <v>210</v>
      </c>
      <c r="D155" s="21" t="s">
        <v>924</v>
      </c>
      <c r="E155" s="13">
        <v>42861.010729166665</v>
      </c>
      <c r="F155" s="13">
        <v>42861.018240740741</v>
      </c>
      <c r="G155" s="7">
        <v>5</v>
      </c>
      <c r="H155" s="21" t="s">
        <v>430</v>
      </c>
      <c r="I155" s="13">
        <v>42861.048368055555</v>
      </c>
      <c r="J155" s="7">
        <v>0</v>
      </c>
      <c r="K155" s="92" t="str">
        <f t="shared" si="53"/>
        <v>4021/4022</v>
      </c>
      <c r="L155" s="21" t="str">
        <f>VLOOKUP(A155,'Trips&amp;Operators'!$C$1:$G$99999,5,FALSE)</f>
        <v>STORY SAMANTHA</v>
      </c>
      <c r="M155" s="6">
        <f t="shared" si="54"/>
        <v>3.0127314814308193E-2</v>
      </c>
      <c r="N155" s="7">
        <f t="shared" si="51"/>
        <v>43.383333332603797</v>
      </c>
      <c r="O155" s="7"/>
      <c r="P155" s="7"/>
      <c r="Q155" s="22"/>
      <c r="R155" s="190"/>
      <c r="S155" s="196">
        <f t="shared" si="52"/>
        <v>1</v>
      </c>
      <c r="T155" s="190" t="str">
        <f t="shared" si="55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6"/>
        <v>https://d0f6bd738d7f1b3e5a7ca70fe4ff75f0.us-east-1.aws.found.io/app/kibana#/discover/Steve-Slow-Train-Analysis-(2080s-and-2083s)?_g=(refreshInterval:(display:Off,pause:!f,section:0,value:0),time:(from:'2017-05-05T23:15:27-0600',mode:absolute,to:'2017-05-06T02:09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5" s="192" t="str">
        <f t="shared" si="57"/>
        <v>N</v>
      </c>
      <c r="X155" s="192">
        <f t="shared" si="58"/>
        <v>1</v>
      </c>
      <c r="Y155" s="192">
        <f t="shared" si="59"/>
        <v>23.300699999999999</v>
      </c>
      <c r="Z155" s="192">
        <f t="shared" si="60"/>
        <v>1.61E-2</v>
      </c>
      <c r="AA155" s="192">
        <f t="shared" si="61"/>
        <v>23.284599999999998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2"/>
        <v>0240-05</v>
      </c>
      <c r="AE155" s="80" t="str">
        <f t="shared" si="63"/>
        <v>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 &amp; aws s3 cp s3://rtdc.mdm.uploadarchive.raw/RTDC4021/ "%USERPROFILE%\AppData\Local\Temp\OnboardLogs"\RTDC4021\2017-05-07 --exclude "*" --recursive --include "*20170507*" &amp; "%USERPROFILE%\Documents\GitHub\mrs-test-scripts\Headless Mode &amp; Sideloading\WalkAndUnGZ.bat" "%USERPROFILE%\AppData\Local\Temp\OnboardLogs"\RTDC4021\2017-05-07</v>
      </c>
      <c r="AF155" s="77" t="str">
        <f t="shared" si="64"/>
        <v>"C:\Program Files (x86)\AstroGrep\AstroGrep.exe" /e /r /s /spath="%USERPROFILE%\AppData\Local\Temp\OnboardLogs" /stypes="app*4021*20170506*" /stext=" 07:.+((SYSTEM_STATE.+slice.+state.+changed )|(ment ac)|(multiple cpu faults)|(system.+state.+changed )|(\[timeout)|(PRM\|1\|D)|(kpr)|(kdp)|(train st.+moving)|(\|lc)|(penalty))"</v>
      </c>
      <c r="AG155" s="1" t="str">
        <f t="shared" si="65"/>
        <v>EC</v>
      </c>
      <c r="AH155" s="81" t="str">
        <f t="shared" si="66"/>
        <v>"%USERPROFILE%\Documents\GitHub\eaglep3\Utilities\RefineRTDCRunTimes.py" --tripid 240-05 --locoid 4021 --swversion DE.1.0.9.0 --startMP 204:233007 --initTime 2017-05-06T00:15:27 --startdatetime 2017-05-06T00:26:16 --delay 5 --endMP 204:161 --enddatetime 2017-05-06T01:09:39 --enforcementcount 0 &gt;&gt;C:\Users\stu\Documents\GitHub\eaglep3-reporting\EC\2017-05-05-refined-times.txt</v>
      </c>
      <c r="AI155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{"issue":{"subject":"","project_id":79,"tracker_id":40,"status_id":1,"priority_id":2,"assigned_to_id":23,"start_date":"2017-05-06","description":"","custom_fields":[{"id":1,"name":"Subdivision","value":"EC"},{"id":4,"name":"Milepost","value":"0.0161"},{"id":17,"name":"Train ID","value":"240-05"},{"id":16,"name":"Locomotive ID","value":"4021"},{"id":130,"name":"Impact","value":""},{"id":150,"name":"Time of Event (Mountain Time)","value":"01:09:39"},{"id":151,"name":"Denver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68"/>
        <v>start /low /b %USERPROFILE%\Documents\GitHub\eaglep3\Utilities\DownloadLogsFromS3.py --loco 4021 --day 2017-05-06</v>
      </c>
      <c r="AN155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837</v>
      </c>
      <c r="B156" s="7">
        <v>4030</v>
      </c>
      <c r="C156" s="21" t="s">
        <v>210</v>
      </c>
      <c r="D156" s="21" t="s">
        <v>473</v>
      </c>
      <c r="E156" s="13">
        <v>42860.996817129628</v>
      </c>
      <c r="F156" s="13">
        <v>42861.000335648147</v>
      </c>
      <c r="G156" s="7">
        <v>1</v>
      </c>
      <c r="H156" s="21" t="s">
        <v>925</v>
      </c>
      <c r="I156" s="13">
        <v>42861.025081018517</v>
      </c>
      <c r="J156" s="7">
        <v>0</v>
      </c>
      <c r="K156" s="92" t="str">
        <f t="shared" si="53"/>
        <v>4029/4030</v>
      </c>
      <c r="L156" s="21" t="str">
        <f>VLOOKUP(A156,'Trips&amp;Operators'!$C$1:$G$99999,5,FALSE)</f>
        <v>STAMBAUGH JAMES</v>
      </c>
      <c r="M156" s="6">
        <f t="shared" si="54"/>
        <v>2.47453703705105E-2</v>
      </c>
      <c r="N156" s="7">
        <f t="shared" si="51"/>
        <v>35.63333333353512</v>
      </c>
      <c r="O156" s="7"/>
      <c r="P156" s="7"/>
      <c r="Q156" s="22"/>
      <c r="R156" s="190"/>
      <c r="S156" s="196">
        <f t="shared" si="52"/>
        <v>1</v>
      </c>
      <c r="T156" s="190" t="str">
        <f t="shared" si="55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6"/>
        <v>https://d0f6bd738d7f1b3e5a7ca70fe4ff75f0.us-east-1.aws.found.io/app/kibana#/discover/Steve-Slow-Train-Analysis-(2080s-and-2083s)?_g=(refreshInterval:(display:Off,pause:!f,section:0,value:0),time:(from:'2017-05-05T22:55:25-0600',mode:absolute,to:'2017-05-06T01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192" t="str">
        <f t="shared" si="57"/>
        <v>N</v>
      </c>
      <c r="X156" s="192">
        <f t="shared" si="58"/>
        <v>1</v>
      </c>
      <c r="Y156" s="192">
        <f t="shared" si="59"/>
        <v>4.3700000000000003E-2</v>
      </c>
      <c r="Z156" s="192">
        <f t="shared" si="60"/>
        <v>23.3399</v>
      </c>
      <c r="AA156" s="192">
        <f t="shared" si="61"/>
        <v>23.296199999999999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2"/>
        <v>0241-05</v>
      </c>
      <c r="AE156" s="80" t="str">
        <f t="shared" si="63"/>
        <v>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 &amp; aws s3 cp s3://rtdc.mdm.uploadarchive.raw/RTDC4030/ "%USERPROFILE%\AppData\Local\Temp\OnboardLogs"\RTDC4030\2017-05-07 --exclude "*" --recursive --include "*20170507*" &amp; "%USERPROFILE%\Documents\GitHub\mrs-test-scripts\Headless Mode &amp; Sideloading\WalkAndUnGZ.bat" "%USERPROFILE%\AppData\Local\Temp\OnboardLogs"\RTDC4030\2017-05-07</v>
      </c>
      <c r="AF156" s="77" t="str">
        <f t="shared" si="64"/>
        <v>"C:\Program Files (x86)\AstroGrep\AstroGrep.exe" /e /r /s /spath="%USERPROFILE%\AppData\Local\Temp\OnboardLogs" /stypes="app*4030*20170506*" /stext=" 06:.+((SYSTEM_STATE.+slice.+state.+changed )|(ment ac)|(multiple cpu faults)|(system.+state.+changed )|(\[timeout)|(PRM\|1\|D)|(kpr)|(kdp)|(train st.+moving)|(\|lc)|(penalty))"</v>
      </c>
      <c r="AG156" s="1" t="str">
        <f t="shared" si="65"/>
        <v>EC</v>
      </c>
      <c r="AH156" s="81" t="str">
        <f t="shared" si="66"/>
        <v>"%USERPROFILE%\Documents\GitHub\eaglep3\Utilities\RefineRTDCRunTimes.py" --tripid 241-05 --locoid 4030 --swversion DE.1.0.9.0 --startMP 204:437 --initTime 2017-05-05T23:55:25 --startdatetime 2017-05-06T00:00:29 --delay 1 --endMP 204:233399 --enddatetime 2017-05-06T00:36:07 --enforcementcount 0 &gt;&gt;C:\Users\stu\Documents\GitHub\eaglep3-reporting\EC\2017-05-05-refined-times.txt</v>
      </c>
      <c r="AI156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{"issue":{"subject":"","project_id":79,"tracker_id":40,"status_id":1,"priority_id":2,"assigned_to_id":23,"start_date":"2017-05-06","description":"","custom_fields":[{"id":1,"name":"Subdivision","value":"EC"},{"id":4,"name":"Milepost","value":"23.3399"},{"id":17,"name":"Train ID","value":"241-05"},{"id":16,"name":"Locomotive ID","value":"4030"},{"id":130,"name":"Impact","value":""},{"id":150,"name":"Time of Event (Mountain Time)","value":"00:36:07"},{"id":151,"name":"Denver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68"/>
        <v>start /low /b %USERPROFILE%\Documents\GitHub\eaglep3\Utilities\DownloadLogsFromS3.py --loco 4030 --day 2017-05-06</v>
      </c>
      <c r="AN156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840</v>
      </c>
      <c r="B157" s="7">
        <v>4029</v>
      </c>
      <c r="C157" s="21" t="s">
        <v>210</v>
      </c>
      <c r="D157" s="21" t="s">
        <v>926</v>
      </c>
      <c r="E157" s="13">
        <v>42861.035011574073</v>
      </c>
      <c r="F157" s="13">
        <v>42861.039606481485</v>
      </c>
      <c r="G157" s="7">
        <v>1</v>
      </c>
      <c r="H157" s="21" t="s">
        <v>454</v>
      </c>
      <c r="I157" s="13">
        <v>42861.073680555557</v>
      </c>
      <c r="J157" s="7">
        <v>0</v>
      </c>
      <c r="K157" s="92" t="str">
        <f t="shared" si="53"/>
        <v>4029/4030</v>
      </c>
      <c r="L157" s="21" t="str">
        <f>VLOOKUP(A157,'Trips&amp;Operators'!$C$1:$G$99999,5,FALSE)</f>
        <v>STAMBAUGH JAMES</v>
      </c>
      <c r="M157" s="6">
        <f t="shared" si="54"/>
        <v>3.407407407212304E-2</v>
      </c>
      <c r="N157" s="7">
        <f t="shared" si="51"/>
        <v>49.066666663857177</v>
      </c>
      <c r="O157" s="7"/>
      <c r="P157" s="7"/>
      <c r="Q157" s="22"/>
      <c r="R157" s="190"/>
      <c r="S157" s="196">
        <f t="shared" si="52"/>
        <v>1</v>
      </c>
      <c r="T157" s="190" t="str">
        <f t="shared" si="55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56"/>
        <v>https://d0f6bd738d7f1b3e5a7ca70fe4ff75f0.us-east-1.aws.found.io/app/kibana#/discover/Steve-Slow-Train-Analysis-(2080s-and-2083s)?_g=(refreshInterval:(display:Off,pause:!f,section:0,value:0),time:(from:'2017-05-05T23:50:25-0600',mode:absolute,to:'2017-05-06T02:46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192" t="str">
        <f t="shared" si="57"/>
        <v>N</v>
      </c>
      <c r="X157" s="192">
        <f t="shared" si="58"/>
        <v>1</v>
      </c>
      <c r="Y157" s="192">
        <f t="shared" si="59"/>
        <v>23.3096</v>
      </c>
      <c r="Z157" s="192">
        <f t="shared" si="60"/>
        <v>1.47E-2</v>
      </c>
      <c r="AA157" s="192">
        <f t="shared" si="61"/>
        <v>23.294899999999998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2"/>
        <v>0242-05</v>
      </c>
      <c r="AE157" s="80" t="str">
        <f t="shared" si="63"/>
        <v>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 &amp; aws s3 cp s3://rtdc.mdm.uploadarchive.raw/RTDC4029/ "%USERPROFILE%\AppData\Local\Temp\OnboardLogs"\RTDC4029\2017-05-07 --exclude "*" --recursive --include "*20170507*" &amp; "%USERPROFILE%\Documents\GitHub\mrs-test-scripts\Headless Mode &amp; Sideloading\WalkAndUnGZ.bat" "%USERPROFILE%\AppData\Local\Temp\OnboardLogs"\RTDC4029\2017-05-07</v>
      </c>
      <c r="AF157" s="77" t="str">
        <f t="shared" si="64"/>
        <v>"C:\Program Files (x86)\AstroGrep\AstroGrep.exe" /e /r /s /spath="%USERPROFILE%\AppData\Local\Temp\OnboardLogs" /stypes="app*4029*20170506*" /stext=" 07:.+((SYSTEM_STATE.+slice.+state.+changed )|(ment ac)|(multiple cpu faults)|(system.+state.+changed )|(\[timeout)|(PRM\|1\|D)|(kpr)|(kdp)|(train st.+moving)|(\|lc)|(penalty))"</v>
      </c>
      <c r="AG157" s="1" t="str">
        <f t="shared" si="65"/>
        <v>EC</v>
      </c>
      <c r="AH157" s="81" t="str">
        <f t="shared" si="66"/>
        <v>"%USERPROFILE%\Documents\GitHub\eaglep3\Utilities\RefineRTDCRunTimes.py" --tripid 242-05 --locoid 4029 --swversion DE.1.0.9.0 --startMP 204:233096 --initTime 2017-05-06T00:50:25 --startdatetime 2017-05-06T00:57:02 --delay 1 --endMP 204:147 --enddatetime 2017-05-06T01:46:06 --enforcementcount 0 &gt;&gt;C:\Users\stu\Documents\GitHub\eaglep3-reporting\EC\2017-05-05-refined-times.txt</v>
      </c>
      <c r="AI157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{"issue":{"subject":"","project_id":79,"tracker_id":40,"status_id":1,"priority_id":2,"assigned_to_id":23,"start_date":"2017-05-06","description":"","custom_fields":[{"id":1,"name":"Subdivision","value":"EC"},{"id":4,"name":"Milepost","value":"0.0147"},{"id":17,"name":"Train ID","value":"242-05"},{"id":16,"name":"Locomotive ID","value":"4029"},{"id":130,"name":"Impact","value":""},{"id":150,"name":"Time of Event (Mountain Time)","value":"01:46:06"},{"id":151,"name":"Denver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68"/>
        <v>start /low /b %USERPROFILE%\Documents\GitHub\eaglep3\Utilities\DownloadLogsFromS3.py --loco 4029 --day 2017-05-06</v>
      </c>
      <c r="AN157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07:46:06"},{"id":29,"name":"Sharepoint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838</v>
      </c>
      <c r="B158" s="7">
        <v>4008</v>
      </c>
      <c r="C158" s="21" t="s">
        <v>210</v>
      </c>
      <c r="D158" s="21" t="s">
        <v>431</v>
      </c>
      <c r="E158" s="13">
        <v>42861.006597222222</v>
      </c>
      <c r="F158" s="13">
        <v>42861.02107638889</v>
      </c>
      <c r="G158" s="7">
        <v>1</v>
      </c>
      <c r="H158" s="21" t="s">
        <v>555</v>
      </c>
      <c r="I158" s="13">
        <v>42861.048958333333</v>
      </c>
      <c r="J158" s="7">
        <v>0</v>
      </c>
      <c r="K158" s="92" t="str">
        <f t="shared" si="53"/>
        <v>4007/4008</v>
      </c>
      <c r="L158" s="21" t="str">
        <f>VLOOKUP(A158,'Trips&amp;Operators'!$C$1:$G$99999,5,FALSE)</f>
        <v>SWANSON BRYCE</v>
      </c>
      <c r="M158" s="6">
        <f t="shared" si="54"/>
        <v>2.7881944442924578E-2</v>
      </c>
      <c r="N158" s="7">
        <f t="shared" si="51"/>
        <v>40.149999997811392</v>
      </c>
      <c r="O158" s="7"/>
      <c r="P158" s="7"/>
      <c r="Q158" s="22"/>
      <c r="R158" s="190"/>
      <c r="S158" s="196">
        <f t="shared" si="52"/>
        <v>1</v>
      </c>
      <c r="T158" s="190" t="str">
        <f t="shared" si="55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56"/>
        <v>https://d0f6bd738d7f1b3e5a7ca70fe4ff75f0.us-east-1.aws.found.io/app/kibana#/discover/Steve-Slow-Train-Analysis-(2080s-and-2083s)?_g=(refreshInterval:(display:Off,pause:!f,section:0,value:0),time:(from:'2017-05-05T23:09:30-0600',mode:absolute,to:'2017-05-06T02:10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8" s="192" t="str">
        <f t="shared" si="57"/>
        <v>N</v>
      </c>
      <c r="X158" s="192">
        <f t="shared" si="58"/>
        <v>1</v>
      </c>
      <c r="Y158" s="192">
        <f t="shared" si="59"/>
        <v>4.4699999999999997E-2</v>
      </c>
      <c r="Z158" s="192">
        <f t="shared" si="60"/>
        <v>23.3324</v>
      </c>
      <c r="AA158" s="192">
        <f t="shared" si="61"/>
        <v>23.287700000000001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2"/>
        <v>0243-05</v>
      </c>
      <c r="AE158" s="80" t="str">
        <f t="shared" si="63"/>
        <v>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 &amp; 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</v>
      </c>
      <c r="AF158" s="77" t="str">
        <f t="shared" si="64"/>
        <v>"C:\Program Files (x86)\AstroGrep\AstroGrep.exe" /e /r /s /spath="%USERPROFILE%\AppData\Local\Temp\OnboardLogs" /stypes="app*4008*20170506*" /stext=" 07:.+((SYSTEM_STATE.+slice.+state.+changed )|(ment ac)|(multiple cpu faults)|(system.+state.+changed )|(\[timeout)|(PRM\|1\|D)|(kpr)|(kdp)|(train st.+moving)|(\|lc)|(penalty))"</v>
      </c>
      <c r="AG158" s="1" t="str">
        <f t="shared" si="65"/>
        <v>EC</v>
      </c>
      <c r="AH158" s="81" t="str">
        <f t="shared" si="66"/>
        <v>"%USERPROFILE%\Documents\GitHub\eaglep3\Utilities\RefineRTDCRunTimes.py" --tripid 243-05 --locoid 4008 --swversion DE.1.0.9.0 --startMP 204:447 --initTime 2017-05-06T00:09:30 --startdatetime 2017-05-06T00:30:21 --delay 1 --endMP 204:233324 --enddatetime 2017-05-06T01:10:30 --enforcementcount 0 &gt;&gt;C:\Users\stu\Documents\GitHub\eaglep3-reporting\EC\2017-05-05-refined-times.txt</v>
      </c>
      <c r="AI158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{"issue":{"subject":"","project_id":79,"tracker_id":40,"status_id":1,"priority_id":2,"assigned_to_id":23,"start_date":"2017-05-06","description":"","custom_fields":[{"id":1,"name":"Subdivision","value":"EC"},{"id":4,"name":"Milepost","value":"23.3324"},{"id":17,"name":"Train ID","value":"243-05"},{"id":16,"name":"Locomotive ID","value":"4008"},{"id":130,"name":"Impact","value":""},{"id":150,"name":"Time of Event (Mountain Time)","value":"01:10:30"},{"id":151,"name":"Denver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68"/>
        <v>start /low /b %USERPROFILE%\Documents\GitHub\eaglep3\Utilities\DownloadLogsFromS3.py --loco 4008 --day 2017-05-06</v>
      </c>
      <c r="AN158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07:10:30"},{"id":29,"name":"Sharepoint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842</v>
      </c>
      <c r="B159" s="7">
        <v>4007</v>
      </c>
      <c r="C159" s="21" t="s">
        <v>210</v>
      </c>
      <c r="D159" s="21" t="s">
        <v>927</v>
      </c>
      <c r="E159" s="13">
        <v>42861.05773148148</v>
      </c>
      <c r="F159" s="13">
        <v>42861.059907407405</v>
      </c>
      <c r="G159" s="7">
        <v>1</v>
      </c>
      <c r="H159" s="21" t="s">
        <v>402</v>
      </c>
      <c r="I159" s="13">
        <v>42861.088587962964</v>
      </c>
      <c r="J159" s="7">
        <v>0</v>
      </c>
      <c r="K159" s="92" t="str">
        <f t="shared" si="53"/>
        <v>4007/4008</v>
      </c>
      <c r="L159" s="21" t="str">
        <f>VLOOKUP(A159,'Trips&amp;Operators'!$C$1:$G$99999,5,FALSE)</f>
        <v>SWANSON BRYCE</v>
      </c>
      <c r="M159" s="6">
        <f t="shared" si="54"/>
        <v>2.8680555558821652E-2</v>
      </c>
      <c r="N159" s="7">
        <f t="shared" si="51"/>
        <v>41.300000004703179</v>
      </c>
      <c r="O159" s="7"/>
      <c r="P159" s="7"/>
      <c r="Q159" s="22"/>
      <c r="R159" s="190"/>
      <c r="S159" s="196">
        <f t="shared" si="52"/>
        <v>1</v>
      </c>
      <c r="T159" s="190" t="str">
        <f t="shared" si="55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si="56"/>
        <v>https://d0f6bd738d7f1b3e5a7ca70fe4ff75f0.us-east-1.aws.found.io/app/kibana#/discover/Steve-Slow-Train-Analysis-(2080s-and-2083s)?_g=(refreshInterval:(display:Off,pause:!f,section:0,value:0),time:(from:'2017-05-06T00:23:08-0600',mode:absolute,to:'2017-05-06T03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9" s="192" t="str">
        <f t="shared" si="57"/>
        <v>N</v>
      </c>
      <c r="X159" s="192">
        <f t="shared" si="58"/>
        <v>1</v>
      </c>
      <c r="Y159" s="192">
        <f t="shared" si="59"/>
        <v>23.3005</v>
      </c>
      <c r="Z159" s="192">
        <f t="shared" si="60"/>
        <v>1.4999999999999999E-2</v>
      </c>
      <c r="AA159" s="192">
        <f t="shared" si="61"/>
        <v>23.285499999999999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2"/>
        <v>0244-05</v>
      </c>
      <c r="AE159" s="80" t="str">
        <f t="shared" si="63"/>
        <v>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 &amp; 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</v>
      </c>
      <c r="AF159" s="77" t="str">
        <f t="shared" si="64"/>
        <v>"C:\Program Files (x86)\AstroGrep\AstroGrep.exe" /e /r /s /spath="%USERPROFILE%\AppData\Local\Temp\OnboardLogs" /stypes="app*4007*20170506*" /stext=" 08:.+((SYSTEM_STATE.+slice.+state.+changed )|(ment ac)|(multiple cpu faults)|(system.+state.+changed )|(\[timeout)|(PRM\|1\|D)|(kpr)|(kdp)|(train st.+moving)|(\|lc)|(penalty))"</v>
      </c>
      <c r="AG159" s="1" t="str">
        <f t="shared" si="65"/>
        <v>EC</v>
      </c>
      <c r="AH159" s="81" t="str">
        <f t="shared" si="66"/>
        <v>"%USERPROFILE%\Documents\GitHub\eaglep3\Utilities\RefineRTDCRunTimes.py" --tripid 244-05 --locoid 4007 --swversion DE.1.0.9.0 --startMP 204:233005 --initTime 2017-05-06T01:23:08 --startdatetime 2017-05-06T01:26:16 --delay 1 --endMP 204:150 --enddatetime 2017-05-06T02:07:34 --enforcementcount 0 &gt;&gt;C:\Users\stu\Documents\GitHub\eaglep3-reporting\EC\2017-05-05-refined-times.txt</v>
      </c>
      <c r="AI159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{"issue":{"subject":"","project_id":79,"tracker_id":40,"status_id":1,"priority_id":2,"assigned_to_id":23,"start_date":"2017-05-06","description":"","custom_fields":[{"id":1,"name":"Subdivision","value":"EC"},{"id":4,"name":"Milepost","value":"0.015"},{"id":17,"name":"Train ID","value":"244-05"},{"id":16,"name":"Locomotive ID","value":"4007"},{"id":130,"name":"Impact","value":""},{"id":150,"name":"Time of Event (Mountain Time)","value":"02:07:34"},{"id":151,"name":"Denver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68"/>
        <v>start /low /b %USERPROFILE%\Documents\GitHub\eaglep3\Utilities\DownloadLogsFromS3.py --loco 4007 --day 2017-05-06</v>
      </c>
      <c r="AN159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2" t="s">
        <v>629</v>
      </c>
      <c r="B160" s="7">
        <v>4028</v>
      </c>
      <c r="C160" s="21" t="s">
        <v>210</v>
      </c>
      <c r="D160" s="21" t="s">
        <v>560</v>
      </c>
      <c r="E160" s="13">
        <v>42861.038159722222</v>
      </c>
      <c r="F160" s="13">
        <v>42861.041805555556</v>
      </c>
      <c r="G160" s="7">
        <v>1</v>
      </c>
      <c r="H160" s="21" t="s">
        <v>928</v>
      </c>
      <c r="I160" s="13">
        <v>42861.066250000003</v>
      </c>
      <c r="J160" s="7">
        <v>0</v>
      </c>
      <c r="K160" s="92" t="str">
        <f t="shared" si="53"/>
        <v>4027/4028</v>
      </c>
      <c r="L160" s="21" t="str">
        <f>VLOOKUP(A160,'Trips&amp;Operators'!$C$1:$G$99999,5,FALSE)</f>
        <v>BROWN JACOB</v>
      </c>
      <c r="M160" s="6">
        <f t="shared" si="54"/>
        <v>2.4444444446999114E-2</v>
      </c>
      <c r="N160" s="7"/>
      <c r="O160" s="7"/>
      <c r="P160" s="7">
        <f>24*60*SUM($M160:$M160)</f>
        <v>35.200000003678724</v>
      </c>
      <c r="Q160" s="22"/>
      <c r="R160" s="190" t="s">
        <v>525</v>
      </c>
      <c r="S160" s="196">
        <f t="shared" si="52"/>
        <v>1</v>
      </c>
      <c r="T160" s="190" t="str">
        <f t="shared" si="55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1" t="str">
        <f t="shared" si="56"/>
        <v>https://d0f6bd738d7f1b3e5a7ca70fe4ff75f0.us-east-1.aws.found.io/app/kibana#/discover/Steve-Slow-Train-Analysis-(2080s-and-2083s)?_g=(refreshInterval:(display:Off,pause:!f,section:0,value:0),time:(from:'2017-05-05T23:54:57-0600',mode:absolute,to:'2017-05-06T02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192" t="str">
        <f t="shared" si="57"/>
        <v>Y</v>
      </c>
      <c r="X160" s="192">
        <f t="shared" si="58"/>
        <v>1</v>
      </c>
      <c r="Y160" s="192">
        <f t="shared" si="59"/>
        <v>4.5499999999999999E-2</v>
      </c>
      <c r="Z160" s="192">
        <f t="shared" si="60"/>
        <v>21.768799999999999</v>
      </c>
      <c r="AA160" s="192">
        <f t="shared" si="61"/>
        <v>21.723299999999998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2"/>
        <v>0245-05</v>
      </c>
      <c r="AE160" s="80" t="str">
        <f t="shared" si="63"/>
        <v>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 &amp; 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</v>
      </c>
      <c r="AF160" s="77" t="str">
        <f t="shared" si="64"/>
        <v>"C:\Program Files (x86)\AstroGrep\AstroGrep.exe" /e /r /s /spath="%USERPROFILE%\AppData\Local\Temp\OnboardLogs" /stypes="app*4028*20170506*" /stext=" 07:.+((SYSTEM_STATE.+slice.+state.+changed )|(ment ac)|(multiple cpu faults)|(system.+state.+changed )|(\[timeout)|(PRM\|1\|D)|(kpr)|(kdp)|(train st.+moving)|(\|lc)|(penalty))"</v>
      </c>
      <c r="AG160" s="1" t="str">
        <f t="shared" si="65"/>
        <v>EC</v>
      </c>
      <c r="AH160" s="81" t="str">
        <f t="shared" si="66"/>
        <v>"%USERPROFILE%\Documents\GitHub\eaglep3\Utilities\RefineRTDCRunTimes.py" --tripid 245-05 --locoid 4028 --swversion DE.1.0.9.0 --startMP 204:455 --initTime 2017-05-06T00:54:57 --startdatetime 2017-05-06T01:00:12 --delay 1 --endMP 204:217688 --enddatetime 2017-05-06T01:35:24 --enforcementcount 0 &gt;&gt;C:\Users\stu\Documents\GitHub\eaglep3-reporting\EC\2017-05-05-refined-times.txt</v>
      </c>
      <c r="AI160" s="99" t="str">
        <f t="shared" si="67"/>
        <v>echo {"issue":{"subject":"Wi-MAX data drop","project_id":79,"tracker_id":40,"status_id":1,"priority_id":2,"assigned_to_id":23,"start_date":"2017-05-06","description":"","custom_fields":[{"id":1,"name":"Subdivision","value":"EC"},{"id":4,"name":"Milepost","value":"21.7688"},{"id":17,"name":"Train ID","value":"245-05"},{"id":16,"name":"Locomotive ID","value":"4028"},{"id":130,"name":"Impact","value":""},{"id":150,"name":"Time of Event (Mountain Time)","value":"01:35:24"},{"id":151,"name":"Denver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68"/>
        <v>start /low /b %USERPROFILE%\Documents\GitHub\eaglep3\Utilities\DownloadLogsFromS3.py --loco 4028 --day 2017-05-06</v>
      </c>
      <c r="AN160" s="154" t="str">
        <f t="shared" si="69"/>
        <v>echo {"issue":{"subject":"Wi-MAX data drop","project_id":30,"tracker_id":4,"status_id":1,"priority_id":1,"assigned_to_id":10,"start_date":"2017-05-06","description":"","custom_fields":[{"id":30,"name":"Category","value":"Issue"},{"id":3,"name":"Functional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844</v>
      </c>
      <c r="B161" s="7">
        <v>4027</v>
      </c>
      <c r="C161" s="21" t="s">
        <v>210</v>
      </c>
      <c r="D161" s="21" t="s">
        <v>553</v>
      </c>
      <c r="E161" s="13">
        <v>42861.077997685185</v>
      </c>
      <c r="F161" s="13">
        <v>42861.080787037034</v>
      </c>
      <c r="G161" s="7">
        <v>1</v>
      </c>
      <c r="H161" s="21" t="s">
        <v>403</v>
      </c>
      <c r="I161" s="13">
        <v>42861.109189814815</v>
      </c>
      <c r="J161" s="7">
        <v>0</v>
      </c>
      <c r="K161" s="92" t="str">
        <f t="shared" si="53"/>
        <v>4027/4028</v>
      </c>
      <c r="L161" s="21" t="str">
        <f>VLOOKUP(A161,'Trips&amp;Operators'!$C$1:$G$99999,5,FALSE)</f>
        <v>BROWN JACOB</v>
      </c>
      <c r="M161" s="6">
        <f t="shared" si="54"/>
        <v>2.8402777781593613E-2</v>
      </c>
      <c r="N161" s="7">
        <f t="shared" ref="N161:N177" si="70">24*60*SUM($M161:$M161)</f>
        <v>40.900000005494803</v>
      </c>
      <c r="O161" s="7"/>
      <c r="P161" s="7"/>
      <c r="Q161" s="22"/>
      <c r="R161" s="190"/>
      <c r="S161" s="196">
        <f t="shared" si="52"/>
        <v>1</v>
      </c>
      <c r="T161" s="190" t="str">
        <f t="shared" si="55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1" t="str">
        <f t="shared" si="56"/>
        <v>https://d0f6bd738d7f1b3e5a7ca70fe4ff75f0.us-east-1.aws.found.io/app/kibana#/discover/Steve-Slow-Train-Analysis-(2080s-and-2083s)?_g=(refreshInterval:(display:Off,pause:!f,section:0,value:0),time:(from:'2017-05-06T00:52:19-0600',mode:absolute,to:'2017-05-06T03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192" t="str">
        <f t="shared" si="57"/>
        <v>N</v>
      </c>
      <c r="X161" s="192">
        <f t="shared" si="58"/>
        <v>1</v>
      </c>
      <c r="Y161" s="192">
        <f t="shared" si="59"/>
        <v>23.296700000000001</v>
      </c>
      <c r="Z161" s="192">
        <f t="shared" si="60"/>
        <v>1.49E-2</v>
      </c>
      <c r="AA161" s="192">
        <f t="shared" si="61"/>
        <v>23.2818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2"/>
        <v>0246-05</v>
      </c>
      <c r="AE161" s="80" t="str">
        <f t="shared" si="63"/>
        <v>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 &amp; 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</v>
      </c>
      <c r="AF161" s="77" t="str">
        <f t="shared" si="64"/>
        <v>"C:\Program Files (x86)\AstroGrep\AstroGrep.exe" /e /r /s /spath="%USERPROFILE%\AppData\Local\Temp\OnboardLogs" /stypes="app*4027*20170506*" /stext=" 08:.+((SYSTEM_STATE.+slice.+state.+changed )|(ment ac)|(multiple cpu faults)|(system.+state.+changed )|(\[timeout)|(PRM\|1\|D)|(kpr)|(kdp)|(train st.+moving)|(\|lc)|(penalty))"</v>
      </c>
      <c r="AG161" s="1" t="str">
        <f t="shared" si="65"/>
        <v>EC</v>
      </c>
      <c r="AH161" s="81" t="str">
        <f t="shared" si="66"/>
        <v>"%USERPROFILE%\Documents\GitHub\eaglep3\Utilities\RefineRTDCRunTimes.py" --tripid 246-05 --locoid 4027 --swversion DE.1.0.9.0 --startMP 204:232967 --initTime 2017-05-06T01:52:19 --startdatetime 2017-05-06T01:56:20 --delay 1 --endMP 204:149 --enddatetime 2017-05-06T02:37:14 --enforcementcount 0 &gt;&gt;C:\Users\stu\Documents\GitHub\eaglep3-reporting\EC\2017-05-05-refined-times.txt</v>
      </c>
      <c r="AI161" s="99" t="str">
        <f t="shared" si="67"/>
        <v>echo {"issue":{"subject":"","project_id":79,"tracker_id":40,"status_id":1,"priority_id":2,"assigned_to_id":23,"start_date":"2017-05-06","description":"","custom_fields":[{"id":1,"name":"Subdivision","value":"EC"},{"id":4,"name":"Milepost","value":"0.0149"},{"id":17,"name":"Train ID","value":"246-05"},{"id":16,"name":"Locomotive ID","value":"4027"},{"id":130,"name":"Impact","value":""},{"id":150,"name":"Time of Event (Mountain Time)","value":"02:37:14"},{"id":151,"name":"Denver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68"/>
        <v>start /low /b %USERPROFILE%\Documents\GitHub\eaglep3\Utilities\DownloadLogsFromS3.py --loco 4027 --day 2017-05-06</v>
      </c>
      <c r="AN161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656</v>
      </c>
      <c r="B162" s="7">
        <v>4001</v>
      </c>
      <c r="C162" s="21" t="s">
        <v>210</v>
      </c>
      <c r="D162" s="21" t="s">
        <v>978</v>
      </c>
      <c r="E162" s="13">
        <v>42860.209004629629</v>
      </c>
      <c r="F162" s="13">
        <v>42860.211099537039</v>
      </c>
      <c r="G162" s="7">
        <v>2</v>
      </c>
      <c r="H162" s="21" t="s">
        <v>979</v>
      </c>
      <c r="I162" s="13">
        <v>42860.225173611114</v>
      </c>
      <c r="J162" s="7">
        <v>0</v>
      </c>
      <c r="K162" s="92" t="str">
        <f t="shared" si="53"/>
        <v>4001/4002</v>
      </c>
      <c r="L162" s="21" t="str">
        <f>VLOOKUP(A162,'Trips&amp;Operators'!$C$1:$G$99999,5,FALSE)</f>
        <v>GEBRETEKLE DAGNEW</v>
      </c>
      <c r="M162" s="6">
        <f t="shared" si="54"/>
        <v>1.4074074075324461E-2</v>
      </c>
      <c r="N162" s="7">
        <f t="shared" si="70"/>
        <v>20.266666668467224</v>
      </c>
      <c r="O162" s="7"/>
      <c r="P162" s="7"/>
      <c r="Q162" s="22"/>
      <c r="R162" s="190"/>
      <c r="S162" s="196">
        <f t="shared" si="52"/>
        <v>1</v>
      </c>
      <c r="T162" s="190" t="str">
        <f t="shared" si="55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6"/>
        <v>https://d0f6bd738d7f1b3e5a7ca70fe4ff75f0.us-east-1.aws.found.io/app/kibana#/discover/Steve-Slow-Train-Analysis-(2080s-and-2083s)?_g=(refreshInterval:(display:Off,pause:!f,section:0,value:0),time:(from:'2017-05-05T04:00:58-0600',mode:absolute,to:'2017-05-05T06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2" s="192" t="str">
        <f t="shared" si="57"/>
        <v>N</v>
      </c>
      <c r="X162" s="192">
        <f t="shared" si="58"/>
        <v>554</v>
      </c>
      <c r="Y162" s="192">
        <f t="shared" si="59"/>
        <v>5.867</v>
      </c>
      <c r="Z162" s="192">
        <f t="shared" si="60"/>
        <v>7.0099999999999996E-2</v>
      </c>
      <c r="AA162" s="192">
        <f t="shared" si="61"/>
        <v>5.7968999999999999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2"/>
        <v>0800-05</v>
      </c>
      <c r="AE162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62" s="77" t="str">
        <f t="shared" si="64"/>
        <v>"C:\Program Files (x86)\AstroGrep\AstroGrep.exe" /e /r /s /spath="%USERPROFILE%\AppData\Local\Temp\OnboardLogs" /stypes="app*4001*20170505*" /stext=" 11:.+((SYSTEM_STATE.+slice.+state.+changed )|(ment ac)|(multiple cpu faults)|(system.+state.+changed )|(\[timeout)|(PRM\|1\|D)|(kpr)|(kdp)|(train st.+moving)|(\|lc)|(penalty))"</v>
      </c>
      <c r="AG162" s="1" t="str">
        <f t="shared" si="65"/>
        <v>NW</v>
      </c>
      <c r="AH162" s="81" t="str">
        <f t="shared" si="66"/>
        <v>"%USERPROFILE%\Documents\GitHub\eaglep3\Utilities\RefineRTDCRunTimes.py" --tripid 800-05 --locoid 4001 --swversion DE.1.0.9.0 --startMP 300:58670 --initTime 2017-05-05T05:00:58 --startdatetime 2017-05-05T05:03:59 --delay 2 --endMP 204:701 --enddatetime 2017-05-05T05:24:15 --enforcementcount 0 &gt;&gt;C:\Users\stu\Documents\GitHub\eaglep3-reporting\EC\2017-05-05-refined-times.txt</v>
      </c>
      <c r="AI162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{"issue":{"subject":"","project_id":79,"tracker_id":40,"status_id":1,"priority_id":2,"assigned_to_id":23,"start_date":"2017-05-05","description":"","custom_fields":[{"id":1,"name":"Subdivision","value":"NW"},{"id":4,"name":"Milepost","value":"0.0701"},{"id":17,"name":"Train ID","value":"800-05"},{"id":16,"name":"Locomotive ID","value":"4001"},{"id":130,"name":"Impact","value":""},{"id":150,"name":"Time of Event (Mountain Time)","value":"05:24:15"},{"id":151,"name":"Denver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8"/>
        <v>start /low /b %USERPROFILE%\Documents\GitHub\eaglep3\Utilities\DownloadLogsFromS3.py --loco 4001 --day 2017-05-05</v>
      </c>
      <c r="AN162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11:24:15"},{"id":29,"name":"Sharepoint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660</v>
      </c>
      <c r="B163" s="7">
        <v>4002</v>
      </c>
      <c r="C163" s="21" t="s">
        <v>210</v>
      </c>
      <c r="D163" s="21" t="s">
        <v>585</v>
      </c>
      <c r="E163" s="13">
        <v>42860.227048611108</v>
      </c>
      <c r="F163" s="13">
        <v>42860.243935185186</v>
      </c>
      <c r="G163" s="7">
        <v>1</v>
      </c>
      <c r="H163" s="21" t="s">
        <v>980</v>
      </c>
      <c r="I163" s="13">
        <v>42860.253761574073</v>
      </c>
      <c r="J163" s="7">
        <v>0</v>
      </c>
      <c r="K163" s="92" t="str">
        <f t="shared" si="53"/>
        <v>4001/4002</v>
      </c>
      <c r="L163" s="21" t="str">
        <f>VLOOKUP(A163,'Trips&amp;Operators'!$C$1:$G$99999,5,FALSE)</f>
        <v>GEBRETEKLE DAGNEW</v>
      </c>
      <c r="M163" s="6">
        <f t="shared" si="54"/>
        <v>9.8263888867222704E-3</v>
      </c>
      <c r="N163" s="7">
        <f t="shared" si="70"/>
        <v>14.149999996880069</v>
      </c>
      <c r="O163" s="7"/>
      <c r="P163" s="7"/>
      <c r="Q163" s="22"/>
      <c r="R163" s="190"/>
      <c r="S163" s="196">
        <f t="shared" si="52"/>
        <v>1</v>
      </c>
      <c r="T163" s="190" t="str">
        <f t="shared" si="55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6"/>
        <v>https://d0f6bd738d7f1b3e5a7ca70fe4ff75f0.us-east-1.aws.found.io/app/kibana#/discover/Steve-Slow-Train-Analysis-(2080s-and-2083s)?_g=(refreshInterval:(display:Off,pause:!f,section:0,value:0),time:(from:'2017-05-05T04:26:57-0600',mode:absolute,to:'2017-05-05T07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3" s="192" t="str">
        <f t="shared" si="57"/>
        <v>N</v>
      </c>
      <c r="X163" s="192">
        <f t="shared" si="58"/>
        <v>1</v>
      </c>
      <c r="Y163" s="192">
        <f t="shared" si="59"/>
        <v>9.8599999999999993E-2</v>
      </c>
      <c r="Z163" s="192">
        <f t="shared" si="60"/>
        <v>5.8987999999999996</v>
      </c>
      <c r="AA163" s="192">
        <f t="shared" si="61"/>
        <v>5.8001999999999994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2"/>
        <v>0801-05</v>
      </c>
      <c r="AE163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63" s="77" t="str">
        <f t="shared" si="64"/>
        <v>"C:\Program Files (x86)\AstroGrep\AstroGrep.exe" /e /r /s /spath="%USERPROFILE%\AppData\Local\Temp\OnboardLogs" /stypes="app*4002*20170505*" /stext=" 12:.+((SYSTEM_STATE.+slice.+state.+changed )|(ment ac)|(multiple cpu faults)|(system.+state.+changed )|(\[timeout)|(PRM\|1\|D)|(kpr)|(kdp)|(train st.+moving)|(\|lc)|(penalty))"</v>
      </c>
      <c r="AG163" s="1" t="str">
        <f t="shared" si="65"/>
        <v>NW</v>
      </c>
      <c r="AH163" s="81" t="str">
        <f t="shared" si="66"/>
        <v>"%USERPROFILE%\Documents\GitHub\eaglep3\Utilities\RefineRTDCRunTimes.py" --tripid 801-05 --locoid 4002 --swversion DE.1.0.9.0 --startMP 204:986 --initTime 2017-05-05T05:26:57 --startdatetime 2017-05-05T05:51:16 --delay 1 --endMP 300:58988 --enddatetime 2017-05-05T06:05:25 --enforcementcount 0 &gt;&gt;C:\Users\stu\Documents\GitHub\eaglep3-reporting\EC\2017-05-05-refined-times.txt</v>
      </c>
      <c r="AI163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{"issue":{"subject":"","project_id":79,"tracker_id":40,"status_id":1,"priority_id":2,"assigned_to_id":23,"start_date":"2017-05-05","description":"","custom_fields":[{"id":1,"name":"Subdivision","value":"NW"},{"id":4,"name":"Milepost","value":"5.8988"},{"id":17,"name":"Train ID","value":"801-05"},{"id":16,"name":"Locomotive ID","value":"4002"},{"id":130,"name":"Impact","value":""},{"id":150,"name":"Time of Event (Mountain Time)","value":"06:05:25"},{"id":151,"name":"Denver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8"/>
        <v>start /low /b %USERPROFILE%\Documents\GitHub\eaglep3\Utilities\DownloadLogsFromS3.py --loco 4002 --day 2017-05-05</v>
      </c>
      <c r="AN163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669</v>
      </c>
      <c r="B164" s="7">
        <v>4001</v>
      </c>
      <c r="C164" s="21" t="s">
        <v>210</v>
      </c>
      <c r="D164" s="21" t="s">
        <v>978</v>
      </c>
      <c r="E164" s="13">
        <v>42860.255509259259</v>
      </c>
      <c r="F164" s="13">
        <v>42860.256979166668</v>
      </c>
      <c r="G164" s="7">
        <v>1</v>
      </c>
      <c r="H164" s="21" t="s">
        <v>981</v>
      </c>
      <c r="I164" s="13">
        <v>42860.268379629626</v>
      </c>
      <c r="J164" s="7">
        <v>0</v>
      </c>
      <c r="K164" s="92" t="str">
        <f t="shared" si="53"/>
        <v>4001/4002</v>
      </c>
      <c r="L164" s="21" t="str">
        <f>VLOOKUP(A164,'Trips&amp;Operators'!$C$1:$G$99999,5,FALSE)</f>
        <v>GEBRETEKLE DAGNEW</v>
      </c>
      <c r="M164" s="6">
        <f t="shared" si="54"/>
        <v>1.1400462957681157E-2</v>
      </c>
      <c r="N164" s="7">
        <f t="shared" si="70"/>
        <v>16.416666659060866</v>
      </c>
      <c r="O164" s="7"/>
      <c r="P164" s="7"/>
      <c r="Q164" s="22"/>
      <c r="R164" s="190"/>
      <c r="S164" s="196">
        <f t="shared" si="52"/>
        <v>1</v>
      </c>
      <c r="T164" s="190" t="str">
        <f t="shared" si="55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6"/>
        <v>https://d0f6bd738d7f1b3e5a7ca70fe4ff75f0.us-east-1.aws.found.io/app/kibana#/discover/Steve-Slow-Train-Analysis-(2080s-and-2083s)?_g=(refreshInterval:(display:Off,pause:!f,section:0,value:0),time:(from:'2017-05-05T05:07:56-0600',mode:absolute,to:'2017-05-05T07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4" s="192" t="str">
        <f t="shared" si="57"/>
        <v>N</v>
      </c>
      <c r="X164" s="192">
        <f t="shared" si="58"/>
        <v>1</v>
      </c>
      <c r="Y164" s="192">
        <f t="shared" si="59"/>
        <v>5.867</v>
      </c>
      <c r="Z164" s="192">
        <f t="shared" si="60"/>
        <v>6.9800000000000001E-2</v>
      </c>
      <c r="AA164" s="192">
        <f t="shared" si="61"/>
        <v>5.7972000000000001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2"/>
        <v>0802-05</v>
      </c>
      <c r="AE164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64" s="77" t="str">
        <f t="shared" si="64"/>
        <v>"C:\Program Files (x86)\AstroGrep\AstroGrep.exe" /e /r /s /spath="%USERPROFILE%\AppData\Local\Temp\OnboardLogs" /stypes="app*4001*20170505*" /stext=" 12:.+((SYSTEM_STATE.+slice.+state.+changed )|(ment ac)|(multiple cpu faults)|(system.+state.+changed )|(\[timeout)|(PRM\|1\|D)|(kpr)|(kdp)|(train st.+moving)|(\|lc)|(penalty))"</v>
      </c>
      <c r="AG164" s="1" t="str">
        <f t="shared" si="65"/>
        <v>NW</v>
      </c>
      <c r="AH164" s="81" t="str">
        <f t="shared" si="66"/>
        <v>"%USERPROFILE%\Documents\GitHub\eaglep3\Utilities\RefineRTDCRunTimes.py" --tripid 802-05 --locoid 4001 --swversion DE.1.0.9.0 --startMP 300:58670 --initTime 2017-05-05T06:07:56 --startdatetime 2017-05-05T06:10:03 --delay 1 --endMP 204:698 --enddatetime 2017-05-05T06:26:28 --enforcementcount 0 &gt;&gt;C:\Users\stu\Documents\GitHub\eaglep3-reporting\EC\2017-05-05-refined-times.txt</v>
      </c>
      <c r="AI164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{"issue":{"subject":"","project_id":79,"tracker_id":40,"status_id":1,"priority_id":2,"assigned_to_id":23,"start_date":"2017-05-05","description":"","custom_fields":[{"id":1,"name":"Subdivision","value":"NW"},{"id":4,"name":"Milepost","value":"0.0698"},{"id":17,"name":"Train ID","value":"802-05"},{"id":16,"name":"Locomotive ID","value":"4001"},{"id":130,"name":"Impact","value":""},{"id":150,"name":"Time of Event (Mountain Time)","value":"06:26:28"},{"id":151,"name":"Denver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68"/>
        <v>start /low /b %USERPROFILE%\Documents\GitHub\eaglep3\Utilities\DownloadLogsFromS3.py --loco 4001 --day 2017-05-05</v>
      </c>
      <c r="AN164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670</v>
      </c>
      <c r="B165" s="7">
        <v>4012</v>
      </c>
      <c r="C165" s="21" t="s">
        <v>210</v>
      </c>
      <c r="D165" s="21" t="s">
        <v>982</v>
      </c>
      <c r="E165" s="13">
        <v>42860.261608796296</v>
      </c>
      <c r="F165" s="13">
        <v>42860.264803240738</v>
      </c>
      <c r="G165" s="7">
        <v>1</v>
      </c>
      <c r="H165" s="21" t="s">
        <v>983</v>
      </c>
      <c r="I165" s="13">
        <v>42860.274143518516</v>
      </c>
      <c r="J165" s="7">
        <v>0</v>
      </c>
      <c r="K165" s="92" t="str">
        <f t="shared" si="53"/>
        <v>4011/4012</v>
      </c>
      <c r="L165" s="21" t="str">
        <f>VLOOKUP(A165,'Trips&amp;Operators'!$C$1:$G$99999,5,FALSE)</f>
        <v>DE LA ROSA ALEX</v>
      </c>
      <c r="M165" s="6">
        <f t="shared" si="54"/>
        <v>9.340277778392192E-3</v>
      </c>
      <c r="N165" s="7">
        <f t="shared" si="70"/>
        <v>13.450000000884756</v>
      </c>
      <c r="O165" s="7"/>
      <c r="P165" s="7"/>
      <c r="Q165" s="22"/>
      <c r="R165" s="190"/>
      <c r="S165" s="196">
        <f t="shared" si="52"/>
        <v>1</v>
      </c>
      <c r="T165" s="190" t="str">
        <f t="shared" si="55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6"/>
        <v>https://d0f6bd738d7f1b3e5a7ca70fe4ff75f0.us-east-1.aws.found.io/app/kibana#/discover/Steve-Slow-Train-Analysis-(2080s-and-2083s)?_g=(refreshInterval:(display:Off,pause:!f,section:0,value:0),time:(from:'2017-05-05T05:16:43-0600',mode:absolute,to:'2017-05-05T07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5" s="192" t="str">
        <f t="shared" si="57"/>
        <v>N</v>
      </c>
      <c r="X165" s="192">
        <f t="shared" si="58"/>
        <v>1</v>
      </c>
      <c r="Y165" s="192">
        <f t="shared" si="59"/>
        <v>9.4600000000000004E-2</v>
      </c>
      <c r="Z165" s="192">
        <f t="shared" si="60"/>
        <v>5.8929</v>
      </c>
      <c r="AA165" s="192">
        <f t="shared" si="61"/>
        <v>5.7983000000000002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2"/>
        <v>0803-05</v>
      </c>
      <c r="AE165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65" s="77" t="str">
        <f t="shared" si="64"/>
        <v>"C:\Program Files (x86)\AstroGrep\AstroGrep.exe" /e /r /s /spath="%USERPROFILE%\AppData\Local\Temp\OnboardLogs" /stypes="app*4012*20170505*" /stext=" 12:.+((SYSTEM_STATE.+slice.+state.+changed )|(ment ac)|(multiple cpu faults)|(system.+state.+changed )|(\[timeout)|(PRM\|1\|D)|(kpr)|(kdp)|(train st.+moving)|(\|lc)|(penalty))"</v>
      </c>
      <c r="AG165" s="1" t="str">
        <f t="shared" si="65"/>
        <v>NW</v>
      </c>
      <c r="AH165" s="81" t="str">
        <f t="shared" si="66"/>
        <v>"%USERPROFILE%\Documents\GitHub\eaglep3\Utilities\RefineRTDCRunTimes.py" --tripid 803-05 --locoid 4012 --swversion DE.1.0.9.0 --startMP 204:946 --initTime 2017-05-05T06:16:43 --startdatetime 2017-05-05T06:21:19 --delay 1 --endMP 300:58929 --enddatetime 2017-05-05T06:34:46 --enforcementcount 0 &gt;&gt;C:\Users\stu\Documents\GitHub\eaglep3-reporting\EC\2017-05-05-refined-times.txt</v>
      </c>
      <c r="AI165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{"issue":{"subject":"","project_id":79,"tracker_id":40,"status_id":1,"priority_id":2,"assigned_to_id":23,"start_date":"2017-05-05","description":"","custom_fields":[{"id":1,"name":"Subdivision","value":"NW"},{"id":4,"name":"Milepost","value":"5.8929"},{"id":17,"name":"Train ID","value":"803-05"},{"id":16,"name":"Locomotive ID","value":"4012"},{"id":130,"name":"Impact","value":""},{"id":150,"name":"Time of Event (Mountain Time)","value":"06:34:46"},{"id":151,"name":"Denver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68"/>
        <v>start /low /b %USERPROFILE%\Documents\GitHub\eaglep3\Utilities\DownloadLogsFromS3.py --loco 4012 --day 2017-05-05</v>
      </c>
      <c r="AN165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673</v>
      </c>
      <c r="B166" s="7">
        <v>4011</v>
      </c>
      <c r="C166" s="21" t="s">
        <v>210</v>
      </c>
      <c r="D166" s="21" t="s">
        <v>460</v>
      </c>
      <c r="E166" s="13">
        <v>42860.275208333333</v>
      </c>
      <c r="F166" s="13">
        <v>42860.276724537034</v>
      </c>
      <c r="G166" s="7">
        <v>1</v>
      </c>
      <c r="H166" s="21" t="s">
        <v>984</v>
      </c>
      <c r="I166" s="13">
        <v>42860.289097222223</v>
      </c>
      <c r="J166" s="7">
        <v>0</v>
      </c>
      <c r="K166" s="92" t="str">
        <f t="shared" si="53"/>
        <v>4011/4012</v>
      </c>
      <c r="L166" s="21" t="str">
        <f>VLOOKUP(A166,'Trips&amp;Operators'!$C$1:$G$99999,5,FALSE)</f>
        <v>DE LA ROSA ALEX</v>
      </c>
      <c r="M166" s="6">
        <f t="shared" si="54"/>
        <v>1.2372685188893229E-2</v>
      </c>
      <c r="N166" s="7">
        <f t="shared" si="70"/>
        <v>17.816666672006249</v>
      </c>
      <c r="O166" s="7"/>
      <c r="P166" s="7"/>
      <c r="Q166" s="22"/>
      <c r="R166" s="190"/>
      <c r="S166" s="196">
        <f t="shared" si="52"/>
        <v>1</v>
      </c>
      <c r="T166" s="190" t="str">
        <f t="shared" si="55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6"/>
        <v>https://d0f6bd738d7f1b3e5a7ca70fe4ff75f0.us-east-1.aws.found.io/app/kibana#/discover/Steve-Slow-Train-Analysis-(2080s-and-2083s)?_g=(refreshInterval:(display:Off,pause:!f,section:0,value:0),time:(from:'2017-05-05T05:36:18-0600',mode:absolute,to:'2017-05-05T07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6" s="192" t="str">
        <f t="shared" si="57"/>
        <v>N</v>
      </c>
      <c r="X166" s="192">
        <f t="shared" si="58"/>
        <v>1</v>
      </c>
      <c r="Y166" s="192">
        <f t="shared" si="59"/>
        <v>5.8619000000000003</v>
      </c>
      <c r="Z166" s="192">
        <f t="shared" si="60"/>
        <v>6.8000000000000005E-2</v>
      </c>
      <c r="AA166" s="192">
        <f t="shared" si="61"/>
        <v>5.7939000000000007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2"/>
        <v>0804-05</v>
      </c>
      <c r="AE166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66" s="77" t="str">
        <f t="shared" si="64"/>
        <v>"C:\Program Files (x86)\AstroGrep\AstroGrep.exe" /e /r /s /spath="%USERPROFILE%\AppData\Local\Temp\OnboardLogs" /stypes="app*4011*20170505*" /stext=" 12:.+((SYSTEM_STATE.+slice.+state.+changed )|(ment ac)|(multiple cpu faults)|(system.+state.+changed )|(\[timeout)|(PRM\|1\|D)|(kpr)|(kdp)|(train st.+moving)|(\|lc)|(penalty))"</v>
      </c>
      <c r="AG166" s="1" t="str">
        <f t="shared" si="65"/>
        <v>NW</v>
      </c>
      <c r="AH166" s="81" t="str">
        <f t="shared" si="66"/>
        <v>"%USERPROFILE%\Documents\GitHub\eaglep3\Utilities\RefineRTDCRunTimes.py" --tripid 804-05 --locoid 4011 --swversion DE.1.0.9.0 --startMP 300:58619 --initTime 2017-05-05T06:36:18 --startdatetime 2017-05-05T06:38:29 --delay 1 --endMP 204:680 --enddatetime 2017-05-05T06:56:18 --enforcementcount 0 &gt;&gt;C:\Users\stu\Documents\GitHub\eaglep3-reporting\EC\2017-05-05-refined-times.txt</v>
      </c>
      <c r="AI166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{"issue":{"subject":"","project_id":79,"tracker_id":40,"status_id":1,"priority_id":2,"assigned_to_id":23,"start_date":"2017-05-05","description":"","custom_fields":[{"id":1,"name":"Subdivision","value":"NW"},{"id":4,"name":"Milepost","value":"0.068"},{"id":17,"name":"Train ID","value":"804-05"},{"id":16,"name":"Locomotive ID","value":"4011"},{"id":130,"name":"Impact","value":""},{"id":150,"name":"Time of Event (Mountain Time)","value":"06:56:18"},{"id":151,"name":"Denver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8"/>
        <v>start /low /b %USERPROFILE%\Documents\GitHub\eaglep3\Utilities\DownloadLogsFromS3.py --loco 4011 --day 2017-05-05</v>
      </c>
      <c r="AN166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672</v>
      </c>
      <c r="B167" s="7">
        <v>4002</v>
      </c>
      <c r="C167" s="21" t="s">
        <v>210</v>
      </c>
      <c r="D167" s="21" t="s">
        <v>985</v>
      </c>
      <c r="E167" s="13">
        <v>42860.270219907405</v>
      </c>
      <c r="F167" s="13">
        <v>42860.285601851851</v>
      </c>
      <c r="G167" s="7">
        <v>1</v>
      </c>
      <c r="H167" s="21" t="s">
        <v>986</v>
      </c>
      <c r="I167" s="13">
        <v>42860.294907407406</v>
      </c>
      <c r="J167" s="7">
        <v>0</v>
      </c>
      <c r="K167" s="92" t="str">
        <f t="shared" si="53"/>
        <v>4001/4002</v>
      </c>
      <c r="L167" s="21" t="str">
        <f>VLOOKUP(A167,'Trips&amp;Operators'!$C$1:$G$99999,5,FALSE)</f>
        <v>GEBRETEKLE DAGNEW</v>
      </c>
      <c r="M167" s="6">
        <f t="shared" si="54"/>
        <v>9.3055555553291924E-3</v>
      </c>
      <c r="N167" s="7">
        <f t="shared" si="70"/>
        <v>13.399999999674037</v>
      </c>
      <c r="O167" s="7"/>
      <c r="P167" s="7"/>
      <c r="Q167" s="22"/>
      <c r="R167" s="190"/>
      <c r="S167" s="196">
        <f t="shared" si="52"/>
        <v>1</v>
      </c>
      <c r="T167" s="190" t="str">
        <f t="shared" si="55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6"/>
        <v>https://d0f6bd738d7f1b3e5a7ca70fe4ff75f0.us-east-1.aws.found.io/app/kibana#/discover/Steve-Slow-Train-Analysis-(2080s-and-2083s)?_g=(refreshInterval:(display:Off,pause:!f,section:0,value:0),time:(from:'2017-05-05T05:29:07-0600',mode:absolute,to:'2017-05-05T08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7" s="192" t="str">
        <f t="shared" si="57"/>
        <v>N</v>
      </c>
      <c r="X167" s="192">
        <f t="shared" si="58"/>
        <v>1</v>
      </c>
      <c r="Y167" s="192">
        <f t="shared" si="59"/>
        <v>9.8299999999999998E-2</v>
      </c>
      <c r="Z167" s="192">
        <f t="shared" si="60"/>
        <v>5.8992000000000004</v>
      </c>
      <c r="AA167" s="192">
        <f t="shared" si="61"/>
        <v>5.8009000000000004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2"/>
        <v>0805-05</v>
      </c>
      <c r="AE167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67" s="77" t="str">
        <f t="shared" si="64"/>
        <v>"C:\Program Files (x86)\AstroGrep\AstroGrep.exe" /e /r /s /spath="%USERPROFILE%\AppData\Local\Temp\OnboardLogs" /stypes="app*4002*20170505*" /stext=" 13:.+((SYSTEM_STATE.+slice.+state.+changed )|(ment ac)|(multiple cpu faults)|(system.+state.+changed )|(\[timeout)|(PRM\|1\|D)|(kpr)|(kdp)|(train st.+moving)|(\|lc)|(penalty))"</v>
      </c>
      <c r="AG167" s="1" t="str">
        <f t="shared" si="65"/>
        <v>NW</v>
      </c>
      <c r="AH167" s="81" t="str">
        <f t="shared" si="66"/>
        <v>"%USERPROFILE%\Documents\GitHub\eaglep3\Utilities\RefineRTDCRunTimes.py" --tripid 805-05 --locoid 4002 --swversion DE.1.0.9.0 --startMP 204:983 --initTime 2017-05-05T06:29:07 --startdatetime 2017-05-05T06:51:16 --delay 1 --endMP 300:58992 --enddatetime 2017-05-05T07:04:40 --enforcementcount 0 &gt;&gt;C:\Users\stu\Documents\GitHub\eaglep3-reporting\EC\2017-05-05-refined-times.txt</v>
      </c>
      <c r="AI167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{"issue":{"subject":"","project_id":79,"tracker_id":40,"status_id":1,"priority_id":2,"assigned_to_id":23,"start_date":"2017-05-05","description":"","custom_fields":[{"id":1,"name":"Subdivision","value":"NW"},{"id":4,"name":"Milepost","value":"5.8992"},{"id":17,"name":"Train ID","value":"805-05"},{"id":16,"name":"Locomotive ID","value":"4002"},{"id":130,"name":"Impact","value":""},{"id":150,"name":"Time of Event (Mountain Time)","value":"07:04:40"},{"id":151,"name":"Denver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8"/>
        <v>start /low /b %USERPROFILE%\Documents\GitHub\eaglep3\Utilities\DownloadLogsFromS3.py --loco 4002 --day 2017-05-05</v>
      </c>
      <c r="AN167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677</v>
      </c>
      <c r="B168" s="7">
        <v>4001</v>
      </c>
      <c r="C168" s="21" t="s">
        <v>210</v>
      </c>
      <c r="D168" s="21" t="s">
        <v>987</v>
      </c>
      <c r="E168" s="13">
        <v>42860.296238425923</v>
      </c>
      <c r="F168" s="13">
        <v>42860.298159722224</v>
      </c>
      <c r="G168" s="7">
        <v>1</v>
      </c>
      <c r="H168" s="21" t="s">
        <v>854</v>
      </c>
      <c r="I168" s="13">
        <v>42860.31045138889</v>
      </c>
      <c r="J168" s="7">
        <v>0</v>
      </c>
      <c r="K168" s="92" t="str">
        <f t="shared" si="53"/>
        <v>4001/4002</v>
      </c>
      <c r="L168" s="21" t="str">
        <f>VLOOKUP(A168,'Trips&amp;Operators'!$C$1:$G$99999,5,FALSE)</f>
        <v>GEBRETEKLE DAGNEW</v>
      </c>
      <c r="M168" s="6">
        <f t="shared" si="54"/>
        <v>1.2291666665987577E-2</v>
      </c>
      <c r="N168" s="7">
        <f t="shared" si="70"/>
        <v>17.699999999022111</v>
      </c>
      <c r="O168" s="7"/>
      <c r="P168" s="7"/>
      <c r="Q168" s="22"/>
      <c r="R168" s="190"/>
      <c r="S168" s="196">
        <f t="shared" si="52"/>
        <v>1</v>
      </c>
      <c r="T168" s="190" t="str">
        <f t="shared" si="55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6"/>
        <v>https://d0f6bd738d7f1b3e5a7ca70fe4ff75f0.us-east-1.aws.found.io/app/kibana#/discover/Steve-Slow-Train-Analysis-(2080s-and-2083s)?_g=(refreshInterval:(display:Off,pause:!f,section:0,value:0),time:(from:'2017-05-05T06:06:35-0600',mode:absolute,to:'2017-05-05T08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8" s="192" t="str">
        <f t="shared" si="57"/>
        <v>N</v>
      </c>
      <c r="X168" s="192">
        <f t="shared" si="58"/>
        <v>1</v>
      </c>
      <c r="Y168" s="192">
        <f t="shared" si="59"/>
        <v>5.8674999999999997</v>
      </c>
      <c r="Z168" s="192">
        <f t="shared" si="60"/>
        <v>7.2599999999999998E-2</v>
      </c>
      <c r="AA168" s="192">
        <f t="shared" si="61"/>
        <v>5.7949000000000002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2"/>
        <v>0806-05</v>
      </c>
      <c r="AE168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68" s="77" t="str">
        <f t="shared" si="64"/>
        <v>"C:\Program Files (x86)\AstroGrep\AstroGrep.exe" /e /r /s /spath="%USERPROFILE%\AppData\Local\Temp\OnboardLogs" /stypes="app*4001*20170505*" /stext=" 13:.+((SYSTEM_STATE.+slice.+state.+changed )|(ment ac)|(multiple cpu faults)|(system.+state.+changed )|(\[timeout)|(PRM\|1\|D)|(kpr)|(kdp)|(train st.+moving)|(\|lc)|(penalty))"</v>
      </c>
      <c r="AG168" s="1" t="str">
        <f t="shared" si="65"/>
        <v>NW</v>
      </c>
      <c r="AH168" s="81" t="str">
        <f t="shared" si="66"/>
        <v>"%USERPROFILE%\Documents\GitHub\eaglep3\Utilities\RefineRTDCRunTimes.py" --tripid 806-05 --locoid 4001 --swversion DE.1.0.9.0 --startMP 300:58675 --initTime 2017-05-05T07:06:35 --startdatetime 2017-05-05T07:09:21 --delay 1 --endMP 204:726 --enddatetime 2017-05-05T07:27:03 --enforcementcount 0 &gt;&gt;C:\Users\stu\Documents\GitHub\eaglep3-reporting\EC\2017-05-05-refined-times.txt</v>
      </c>
      <c r="AI168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{"issue":{"subject":"","project_id":79,"tracker_id":40,"status_id":1,"priority_id":2,"assigned_to_id":23,"start_date":"2017-05-05","description":"","custom_fields":[{"id":1,"name":"Subdivision","value":"NW"},{"id":4,"name":"Milepost","value":"0.0726"},{"id":17,"name":"Train ID","value":"806-05"},{"id":16,"name":"Locomotive ID","value":"4001"},{"id":130,"name":"Impact","value":""},{"id":150,"name":"Time of Event (Mountain Time)","value":"07:27:03"},{"id":151,"name":"Denver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68"/>
        <v>start /low /b %USERPROFILE%\Documents\GitHub\eaglep3\Utilities\DownloadLogsFromS3.py --loco 4001 --day 2017-05-05</v>
      </c>
      <c r="AN168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679</v>
      </c>
      <c r="B169" s="7">
        <v>4012</v>
      </c>
      <c r="C169" s="21" t="s">
        <v>210</v>
      </c>
      <c r="D169" s="21" t="s">
        <v>520</v>
      </c>
      <c r="E169" s="13">
        <v>42860.300196759257</v>
      </c>
      <c r="F169" s="13">
        <v>42860.306550925925</v>
      </c>
      <c r="G169" s="7">
        <v>1</v>
      </c>
      <c r="H169" s="21" t="s">
        <v>480</v>
      </c>
      <c r="I169" s="13">
        <v>42860.315740740742</v>
      </c>
      <c r="J169" s="7">
        <v>0</v>
      </c>
      <c r="K169" s="92" t="str">
        <f t="shared" si="53"/>
        <v>4011/4012</v>
      </c>
      <c r="L169" s="21" t="str">
        <f>VLOOKUP(A169,'Trips&amp;Operators'!$C$1:$G$99999,5,FALSE)</f>
        <v>DE LA ROSA ALEX</v>
      </c>
      <c r="M169" s="6">
        <f t="shared" si="54"/>
        <v>9.189814816636499E-3</v>
      </c>
      <c r="N169" s="7">
        <f t="shared" si="70"/>
        <v>13.233333335956559</v>
      </c>
      <c r="O169" s="7"/>
      <c r="P169" s="7"/>
      <c r="Q169" s="22"/>
      <c r="R169" s="190"/>
      <c r="S169" s="196">
        <f t="shared" si="52"/>
        <v>1</v>
      </c>
      <c r="T169" s="190" t="str">
        <f t="shared" si="55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6"/>
        <v>https://d0f6bd738d7f1b3e5a7ca70fe4ff75f0.us-east-1.aws.found.io/app/kibana#/discover/Steve-Slow-Train-Analysis-(2080s-and-2083s)?_g=(refreshInterval:(display:Off,pause:!f,section:0,value:0),time:(from:'2017-05-05T06:12:17-0600',mode:absolute,to:'2017-05-05T08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9" s="192" t="str">
        <f t="shared" si="57"/>
        <v>N</v>
      </c>
      <c r="X169" s="192">
        <f t="shared" si="58"/>
        <v>1</v>
      </c>
      <c r="Y169" s="192">
        <f t="shared" si="59"/>
        <v>9.74E-2</v>
      </c>
      <c r="Z169" s="192">
        <f t="shared" si="60"/>
        <v>5.8939000000000004</v>
      </c>
      <c r="AA169" s="192">
        <f t="shared" si="61"/>
        <v>5.7965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2"/>
        <v>0807-05</v>
      </c>
      <c r="AE169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69" s="77" t="str">
        <f t="shared" si="64"/>
        <v>"C:\Program Files (x86)\AstroGrep\AstroGrep.exe" /e /r /s /spath="%USERPROFILE%\AppData\Local\Temp\OnboardLogs" /stypes="app*4012*20170505*" /stext=" 13:.+((SYSTEM_STATE.+slice.+state.+changed )|(ment ac)|(multiple cpu faults)|(system.+state.+changed )|(\[timeout)|(PRM\|1\|D)|(kpr)|(kdp)|(train st.+moving)|(\|lc)|(penalty))"</v>
      </c>
      <c r="AG169" s="1" t="str">
        <f t="shared" si="65"/>
        <v>NW</v>
      </c>
      <c r="AH169" s="81" t="str">
        <f t="shared" si="66"/>
        <v>"%USERPROFILE%\Documents\GitHub\eaglep3\Utilities\RefineRTDCRunTimes.py" --tripid 807-05 --locoid 4012 --swversion DE.1.0.9.0 --startMP 204:974 --initTime 2017-05-05T07:12:17 --startdatetime 2017-05-05T07:21:26 --delay 1 --endMP 300:58939 --enddatetime 2017-05-05T07:34:40 --enforcementcount 0 &gt;&gt;C:\Users\stu\Documents\GitHub\eaglep3-reporting\EC\2017-05-05-refined-times.txt</v>
      </c>
      <c r="AI169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{"issue":{"subject":"","project_id":79,"tracker_id":40,"status_id":1,"priority_id":2,"assigned_to_id":23,"start_date":"2017-05-05","description":"","custom_fields":[{"id":1,"name":"Subdivision","value":"NW"},{"id":4,"name":"Milepost","value":"5.8939"},{"id":17,"name":"Train ID","value":"807-05"},{"id":16,"name":"Locomotive ID","value":"4012"},{"id":130,"name":"Impact","value":""},{"id":150,"name":"Time of Event (Mountain Time)","value":"07:34:40"},{"id":151,"name":"Denver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68"/>
        <v>start /low /b %USERPROFILE%\Documents\GitHub\eaglep3\Utilities\DownloadLogsFromS3.py --loco 4012 --day 2017-05-05</v>
      </c>
      <c r="AN169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684</v>
      </c>
      <c r="B170" s="7">
        <v>4011</v>
      </c>
      <c r="C170" s="21" t="s">
        <v>210</v>
      </c>
      <c r="D170" s="21" t="s">
        <v>581</v>
      </c>
      <c r="E170" s="13">
        <v>42860.316874999997</v>
      </c>
      <c r="F170" s="13">
        <v>42860.318368055552</v>
      </c>
      <c r="G170" s="7">
        <v>1</v>
      </c>
      <c r="H170" s="21" t="s">
        <v>988</v>
      </c>
      <c r="I170" s="13">
        <v>42860.330138888887</v>
      </c>
      <c r="J170" s="7">
        <v>0</v>
      </c>
      <c r="K170" s="92" t="str">
        <f t="shared" si="53"/>
        <v>4011/4012</v>
      </c>
      <c r="L170" s="21" t="str">
        <f>VLOOKUP(A170,'Trips&amp;Operators'!$C$1:$G$99999,5,FALSE)</f>
        <v>DE LA ROSA ALEX</v>
      </c>
      <c r="M170" s="6">
        <f t="shared" si="54"/>
        <v>1.1770833334594499E-2</v>
      </c>
      <c r="N170" s="7">
        <f t="shared" si="70"/>
        <v>16.950000001816079</v>
      </c>
      <c r="O170" s="7"/>
      <c r="P170" s="7"/>
      <c r="Q170" s="22"/>
      <c r="R170" s="190"/>
      <c r="S170" s="196">
        <f t="shared" ref="S170:S201" si="71">SUM(U170:U170)/IF(AG170="EC",12,1)</f>
        <v>1</v>
      </c>
      <c r="T170" s="190" t="str">
        <f t="shared" si="55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6"/>
        <v>https://d0f6bd738d7f1b3e5a7ca70fe4ff75f0.us-east-1.aws.found.io/app/kibana#/discover/Steve-Slow-Train-Analysis-(2080s-and-2083s)?_g=(refreshInterval:(display:Off,pause:!f,section:0,value:0),time:(from:'2017-05-05T06:36:18-0600',mode:absolute,to:'2017-05-05T08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0" s="192" t="str">
        <f t="shared" si="57"/>
        <v>N</v>
      </c>
      <c r="X170" s="192">
        <f t="shared" si="58"/>
        <v>1</v>
      </c>
      <c r="Y170" s="192">
        <f t="shared" si="59"/>
        <v>5.8625999999999996</v>
      </c>
      <c r="Z170" s="192">
        <f t="shared" si="60"/>
        <v>7.1499999999999994E-2</v>
      </c>
      <c r="AA170" s="192">
        <f t="shared" si="61"/>
        <v>5.7910999999999992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2"/>
        <v>0808-05</v>
      </c>
      <c r="AE170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70" s="77" t="str">
        <f t="shared" si="64"/>
        <v>"C:\Program Files (x86)\AstroGrep\AstroGrep.exe" /e /r /s /spath="%USERPROFILE%\AppData\Local\Temp\OnboardLogs" /stypes="app*4011*20170505*" /stext=" 13:.+((SYSTEM_STATE.+slice.+state.+changed )|(ment ac)|(multiple cpu faults)|(system.+state.+changed )|(\[timeout)|(PRM\|1\|D)|(kpr)|(kdp)|(train st.+moving)|(\|lc)|(penalty))"</v>
      </c>
      <c r="AG170" s="1" t="str">
        <f t="shared" si="65"/>
        <v>NW</v>
      </c>
      <c r="AH170" s="81" t="str">
        <f t="shared" si="66"/>
        <v>"%USERPROFILE%\Documents\GitHub\eaglep3\Utilities\RefineRTDCRunTimes.py" --tripid 808-05 --locoid 4011 --swversion DE.1.0.9.0 --startMP 300:58626 --initTime 2017-05-05T07:36:18 --startdatetime 2017-05-05T07:38:27 --delay 1 --endMP 204:715 --enddatetime 2017-05-05T07:55:24 --enforcementcount 0 &gt;&gt;C:\Users\stu\Documents\GitHub\eaglep3-reporting\EC\2017-05-05-refined-times.txt</v>
      </c>
      <c r="AI170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{"issue":{"subject":"","project_id":79,"tracker_id":40,"status_id":1,"priority_id":2,"assigned_to_id":23,"start_date":"2017-05-05","description":"","custom_fields":[{"id":1,"name":"Subdivision","value":"NW"},{"id":4,"name":"Milepost","value":"0.0715"},{"id":17,"name":"Train ID","value":"808-05"},{"id":16,"name":"Locomotive ID","value":"4011"},{"id":130,"name":"Impact","value":""},{"id":150,"name":"Time of Event (Mountain Time)","value":"07:55:24"},{"id":151,"name":"Denver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68"/>
        <v>start /low /b %USERPROFILE%\Documents\GitHub\eaglep3\Utilities\DownloadLogsFromS3.py --loco 4011 --day 2017-05-05</v>
      </c>
      <c r="AN170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682</v>
      </c>
      <c r="B171" s="7">
        <v>4002</v>
      </c>
      <c r="C171" s="21" t="s">
        <v>210</v>
      </c>
      <c r="D171" s="21" t="s">
        <v>558</v>
      </c>
      <c r="E171" s="13">
        <v>42860.312314814815</v>
      </c>
      <c r="F171" s="13">
        <v>42860.327280092592</v>
      </c>
      <c r="G171" s="7">
        <v>1</v>
      </c>
      <c r="H171" s="21" t="s">
        <v>989</v>
      </c>
      <c r="I171" s="13">
        <v>42860.336782407408</v>
      </c>
      <c r="J171" s="7">
        <v>0</v>
      </c>
      <c r="K171" s="92" t="str">
        <f t="shared" si="53"/>
        <v>4001/4002</v>
      </c>
      <c r="L171" s="21" t="str">
        <f>VLOOKUP(A171,'Trips&amp;Operators'!$C$1:$G$99999,5,FALSE)</f>
        <v>GEBRETEKLE DAGNEW</v>
      </c>
      <c r="M171" s="6">
        <f t="shared" si="54"/>
        <v>9.5023148169275373E-3</v>
      </c>
      <c r="N171" s="7">
        <f t="shared" si="70"/>
        <v>13.683333336375654</v>
      </c>
      <c r="O171" s="7"/>
      <c r="P171" s="7"/>
      <c r="Q171" s="22"/>
      <c r="R171" s="190"/>
      <c r="S171" s="196">
        <f t="shared" si="71"/>
        <v>1</v>
      </c>
      <c r="T171" s="190" t="str">
        <f t="shared" si="55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6"/>
        <v>https://d0f6bd738d7f1b3e5a7ca70fe4ff75f0.us-east-1.aws.found.io/app/kibana#/discover/Steve-Slow-Train-Analysis-(2080s-and-2083s)?_g=(refreshInterval:(display:Off,pause:!f,section:0,value:0),time:(from:'2017-05-05T06:29:44-0600',mode:absolute,to:'2017-05-05T09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1" s="192" t="str">
        <f t="shared" si="57"/>
        <v>N</v>
      </c>
      <c r="X171" s="192">
        <f t="shared" si="58"/>
        <v>1</v>
      </c>
      <c r="Y171" s="192">
        <f t="shared" si="59"/>
        <v>9.9900000000000003E-2</v>
      </c>
      <c r="Z171" s="192">
        <f t="shared" si="60"/>
        <v>5.8983999999999996</v>
      </c>
      <c r="AA171" s="192">
        <f t="shared" si="61"/>
        <v>5.7984999999999998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2"/>
        <v>0809-05</v>
      </c>
      <c r="AE171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71" s="77" t="str">
        <f t="shared" si="64"/>
        <v>"C:\Program Files (x86)\AstroGrep\AstroGrep.exe" /e /r /s /spath="%USERPROFILE%\AppData\Local\Temp\OnboardLogs" /stypes="app*4002*20170505*" /stext=" 14:.+((SYSTEM_STATE.+slice.+state.+changed )|(ment ac)|(multiple cpu faults)|(system.+state.+changed )|(\[timeout)|(PRM\|1\|D)|(kpr)|(kdp)|(train st.+moving)|(\|lc)|(penalty))"</v>
      </c>
      <c r="AG171" s="1" t="str">
        <f t="shared" si="65"/>
        <v>NW</v>
      </c>
      <c r="AH171" s="81" t="str">
        <f t="shared" si="66"/>
        <v>"%USERPROFILE%\Documents\GitHub\eaglep3\Utilities\RefineRTDCRunTimes.py" --tripid 809-05 --locoid 4002 --swversion DE.1.0.9.0 --startMP 204:999 --initTime 2017-05-05T07:29:44 --startdatetime 2017-05-05T07:51:17 --delay 1 --endMP 300:58984 --enddatetime 2017-05-05T08:04:58 --enforcementcount 0 &gt;&gt;C:\Users\stu\Documents\GitHub\eaglep3-reporting\EC\2017-05-05-refined-times.txt</v>
      </c>
      <c r="AI171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{"issue":{"subject":"","project_id":79,"tracker_id":40,"status_id":1,"priority_id":2,"assigned_to_id":23,"start_date":"2017-05-05","description":"","custom_fields":[{"id":1,"name":"Subdivision","value":"NW"},{"id":4,"name":"Milepost","value":"5.8984"},{"id":17,"name":"Train ID","value":"809-05"},{"id":16,"name":"Locomotive ID","value":"4002"},{"id":130,"name":"Impact","value":""},{"id":150,"name":"Time of Event (Mountain Time)","value":"08:04:58"},{"id":151,"name":"Denver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68"/>
        <v>start /low /b %USERPROFILE%\Documents\GitHub\eaglep3\Utilities\DownloadLogsFromS3.py --loco 4002 --day 2017-05-05</v>
      </c>
      <c r="AN171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687</v>
      </c>
      <c r="B172" s="7">
        <v>4001</v>
      </c>
      <c r="C172" s="21" t="s">
        <v>210</v>
      </c>
      <c r="D172" s="21" t="s">
        <v>990</v>
      </c>
      <c r="E172" s="13">
        <v>42860.338194444441</v>
      </c>
      <c r="F172" s="13">
        <v>42860.340682870374</v>
      </c>
      <c r="G172" s="7">
        <v>1</v>
      </c>
      <c r="H172" s="21" t="s">
        <v>991</v>
      </c>
      <c r="I172" s="13">
        <v>42860.351018518515</v>
      </c>
      <c r="J172" s="7">
        <v>0</v>
      </c>
      <c r="K172" s="92" t="str">
        <f t="shared" si="53"/>
        <v>4001/4002</v>
      </c>
      <c r="L172" s="21" t="str">
        <f>VLOOKUP(A172,'Trips&amp;Operators'!$C$1:$G$99999,5,FALSE)</f>
        <v>GEBRETEKLE DAGNEW</v>
      </c>
      <c r="M172" s="6">
        <f t="shared" si="54"/>
        <v>1.0335648141335696E-2</v>
      </c>
      <c r="N172" s="7">
        <f t="shared" si="70"/>
        <v>14.883333323523402</v>
      </c>
      <c r="O172" s="7"/>
      <c r="P172" s="7"/>
      <c r="Q172" s="22"/>
      <c r="R172" s="190"/>
      <c r="S172" s="196">
        <f t="shared" si="71"/>
        <v>1</v>
      </c>
      <c r="T172" s="190" t="str">
        <f t="shared" si="55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6"/>
        <v>https://d0f6bd738d7f1b3e5a7ca70fe4ff75f0.us-east-1.aws.found.io/app/kibana#/discover/Steve-Slow-Train-Analysis-(2080s-and-2083s)?_g=(refreshInterval:(display:Off,pause:!f,section:0,value:0),time:(from:'2017-05-05T07:07:00-0600',mode:absolute,to:'2017-05-05T09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2" s="192" t="str">
        <f t="shared" si="57"/>
        <v>N</v>
      </c>
      <c r="X172" s="192">
        <f t="shared" si="58"/>
        <v>1</v>
      </c>
      <c r="Y172" s="192">
        <f t="shared" si="59"/>
        <v>5.8662000000000001</v>
      </c>
      <c r="Z172" s="192">
        <f t="shared" si="60"/>
        <v>7.1300000000000002E-2</v>
      </c>
      <c r="AA172" s="192">
        <f t="shared" si="61"/>
        <v>5.7949000000000002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2"/>
        <v>0810-05</v>
      </c>
      <c r="AE172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72" s="77" t="str">
        <f t="shared" si="64"/>
        <v>"C:\Program Files (x86)\AstroGrep\AstroGrep.exe" /e /r /s /spath="%USERPROFILE%\AppData\Local\Temp\OnboardLogs" /stypes="app*4001*20170505*" /stext=" 14:.+((SYSTEM_STATE.+slice.+state.+changed )|(ment ac)|(multiple cpu faults)|(system.+state.+changed )|(\[timeout)|(PRM\|1\|D)|(kpr)|(kdp)|(train st.+moving)|(\|lc)|(penalty))"</v>
      </c>
      <c r="AG172" s="1" t="str">
        <f t="shared" si="65"/>
        <v>NW</v>
      </c>
      <c r="AH172" s="81" t="str">
        <f t="shared" si="66"/>
        <v>"%USERPROFILE%\Documents\GitHub\eaglep3\Utilities\RefineRTDCRunTimes.py" --tripid 810-05 --locoid 4001 --swversion DE.1.0.9.0 --startMP 300:58662 --initTime 2017-05-05T08:07:00 --startdatetime 2017-05-05T08:10:35 --delay 1 --endMP 204:713 --enddatetime 2017-05-05T08:25:28 --enforcementcount 0 &gt;&gt;C:\Users\stu\Documents\GitHub\eaglep3-reporting\EC\2017-05-05-refined-times.txt</v>
      </c>
      <c r="AI172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{"issue":{"subject":"","project_id":79,"tracker_id":40,"status_id":1,"priority_id":2,"assigned_to_id":23,"start_date":"2017-05-05","description":"","custom_fields":[{"id":1,"name":"Subdivision","value":"NW"},{"id":4,"name":"Milepost","value":"0.0713"},{"id":17,"name":"Train ID","value":"810-05"},{"id":16,"name":"Locomotive ID","value":"4001"},{"id":130,"name":"Impact","value":""},{"id":150,"name":"Time of Event (Mountain Time)","value":"08:25:28"},{"id":151,"name":"Denver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68"/>
        <v>start /low /b %USERPROFILE%\Documents\GitHub\eaglep3\Utilities\DownloadLogsFromS3.py --loco 4001 --day 2017-05-05</v>
      </c>
      <c r="AN172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689</v>
      </c>
      <c r="B173" s="7">
        <v>4012</v>
      </c>
      <c r="C173" s="21" t="s">
        <v>210</v>
      </c>
      <c r="D173" s="21" t="s">
        <v>583</v>
      </c>
      <c r="E173" s="13">
        <v>42860.344317129631</v>
      </c>
      <c r="F173" s="13">
        <v>42860.348124999997</v>
      </c>
      <c r="G173" s="7">
        <v>1</v>
      </c>
      <c r="H173" s="21" t="s">
        <v>992</v>
      </c>
      <c r="I173" s="13">
        <v>42860.358472222222</v>
      </c>
      <c r="J173" s="7">
        <v>0</v>
      </c>
      <c r="K173" s="92" t="str">
        <f t="shared" si="53"/>
        <v>4011/4012</v>
      </c>
      <c r="L173" s="21" t="str">
        <f>VLOOKUP(A173,'Trips&amp;Operators'!$C$1:$G$99999,5,FALSE)</f>
        <v>DE LA ROSA ALEX</v>
      </c>
      <c r="M173" s="6">
        <f t="shared" si="54"/>
        <v>1.0347222225391306E-2</v>
      </c>
      <c r="N173" s="7">
        <f t="shared" si="70"/>
        <v>14.900000004563481</v>
      </c>
      <c r="O173" s="7"/>
      <c r="P173" s="7"/>
      <c r="Q173" s="22"/>
      <c r="R173" s="190"/>
      <c r="S173" s="196">
        <f t="shared" si="71"/>
        <v>1</v>
      </c>
      <c r="T173" s="190" t="str">
        <f t="shared" si="55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6"/>
        <v>https://d0f6bd738d7f1b3e5a7ca70fe4ff75f0.us-east-1.aws.found.io/app/kibana#/discover/Steve-Slow-Train-Analysis-(2080s-and-2083s)?_g=(refreshInterval:(display:Off,pause:!f,section:0,value:0),time:(from:'2017-05-05T07:15:49-0600',mode:absolute,to:'2017-05-05T09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3" s="192" t="str">
        <f t="shared" si="57"/>
        <v>N</v>
      </c>
      <c r="X173" s="192">
        <f t="shared" ref="X173:X179" si="72">VALUE(LEFT(AD173,4))-VALUE(LEFT(AD172,4))</f>
        <v>1</v>
      </c>
      <c r="Y173" s="192">
        <f t="shared" si="59"/>
        <v>9.6500000000000002E-2</v>
      </c>
      <c r="Z173" s="192">
        <f t="shared" ref="Z173:Z204" si="73">RIGHT(H173,LEN(H173)-4)/10000</f>
        <v>5.8935000000000004</v>
      </c>
      <c r="AA173" s="192">
        <f t="shared" si="61"/>
        <v>5.7970000000000006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2"/>
        <v>0811-05</v>
      </c>
      <c r="AE173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73" s="77" t="str">
        <f t="shared" si="64"/>
        <v>"C:\Program Files (x86)\AstroGrep\AstroGrep.exe" /e /r /s /spath="%USERPROFILE%\AppData\Local\Temp\OnboardLogs" /stypes="app*4012*20170505*" /stext=" 14:.+((SYSTEM_STATE.+slice.+state.+changed )|(ment ac)|(multiple cpu faults)|(system.+state.+changed )|(\[timeout)|(PRM\|1\|D)|(kpr)|(kdp)|(train st.+moving)|(\|lc)|(penalty))"</v>
      </c>
      <c r="AG173" s="1" t="str">
        <f t="shared" si="65"/>
        <v>NW</v>
      </c>
      <c r="AH173" s="81" t="str">
        <f t="shared" si="66"/>
        <v>"%USERPROFILE%\Documents\GitHub\eaglep3\Utilities\RefineRTDCRunTimes.py" --tripid 811-05 --locoid 4012 --swversion DE.1.0.9.0 --startMP 204:965 --initTime 2017-05-05T08:15:49 --startdatetime 2017-05-05T08:21:18 --delay 1 --endMP 300:58935 --enddatetime 2017-05-05T08:36:12 --enforcementcount 0 &gt;&gt;C:\Users\stu\Documents\GitHub\eaglep3-reporting\EC\2017-05-05-refined-times.txt</v>
      </c>
      <c r="AI173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{"issue":{"subject":"","project_id":79,"tracker_id":40,"status_id":1,"priority_id":2,"assigned_to_id":23,"start_date":"2017-05-05","description":"","custom_fields":[{"id":1,"name":"Subdivision","value":"NW"},{"id":4,"name":"Milepost","value":"5.8935"},{"id":17,"name":"Train ID","value":"811-05"},{"id":16,"name":"Locomotive ID","value":"4012"},{"id":130,"name":"Impact","value":""},{"id":150,"name":"Time of Event (Mountain Time)","value":"08:36:12"},{"id":151,"name":"Denver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68"/>
        <v>start /low /b %USERPROFILE%\Documents\GitHub\eaglep3\Utilities\DownloadLogsFromS3.py --loco 4012 --day 2017-05-05</v>
      </c>
      <c r="AN173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600</v>
      </c>
      <c r="B174" s="7">
        <v>4011</v>
      </c>
      <c r="C174" s="21" t="s">
        <v>210</v>
      </c>
      <c r="D174" s="21" t="s">
        <v>993</v>
      </c>
      <c r="E174" s="13">
        <v>42860.359594907408</v>
      </c>
      <c r="F174" s="13">
        <v>42860.361111111109</v>
      </c>
      <c r="G174" s="7">
        <v>1</v>
      </c>
      <c r="H174" s="21" t="s">
        <v>988</v>
      </c>
      <c r="I174" s="13">
        <v>42860.371145833335</v>
      </c>
      <c r="J174" s="7">
        <v>0</v>
      </c>
      <c r="K174" s="92" t="str">
        <f t="shared" si="53"/>
        <v>4011/4012</v>
      </c>
      <c r="L174" s="21" t="str">
        <f>VLOOKUP(A174,'Trips&amp;Operators'!$C$1:$G$99999,5,FALSE)</f>
        <v>DE LA ROSA ALEX</v>
      </c>
      <c r="M174" s="6">
        <f t="shared" si="54"/>
        <v>1.0034722225100268E-2</v>
      </c>
      <c r="N174" s="7">
        <f t="shared" si="70"/>
        <v>14.450000004144385</v>
      </c>
      <c r="O174" s="7"/>
      <c r="P174" s="7"/>
      <c r="Q174" s="22"/>
      <c r="R174" s="190"/>
      <c r="S174" s="196">
        <f t="shared" si="71"/>
        <v>1</v>
      </c>
      <c r="T174" s="190" t="str">
        <f t="shared" si="55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6"/>
        <v>https://d0f6bd738d7f1b3e5a7ca70fe4ff75f0.us-east-1.aws.found.io/app/kibana#/discover/Steve-Slow-Train-Analysis-(2080s-and-2083s)?_g=(refreshInterval:(display:Off,pause:!f,section:0,value:0),time:(from:'2017-05-05T07:37:49-0600',mode:absolute,to:'2017-05-05T09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4" s="192" t="str">
        <f t="shared" si="57"/>
        <v>N</v>
      </c>
      <c r="X174" s="192">
        <f t="shared" si="72"/>
        <v>1</v>
      </c>
      <c r="Y174" s="192">
        <f t="shared" si="59"/>
        <v>5.8615000000000004</v>
      </c>
      <c r="Z174" s="192">
        <f t="shared" si="73"/>
        <v>7.1499999999999994E-2</v>
      </c>
      <c r="AA174" s="192">
        <f t="shared" si="61"/>
        <v>5.79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2"/>
        <v>0812-05</v>
      </c>
      <c r="AE174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74" s="77" t="str">
        <f t="shared" si="64"/>
        <v>"C:\Program Files (x86)\AstroGrep\AstroGrep.exe" /e /r /s /spath="%USERPROFILE%\AppData\Local\Temp\OnboardLogs" /stypes="app*4011*20170505*" /stext=" 14:.+((SYSTEM_STATE.+slice.+state.+changed )|(ment ac)|(multiple cpu faults)|(system.+state.+changed )|(\[timeout)|(PRM\|1\|D)|(kpr)|(kdp)|(train st.+moving)|(\|lc)|(penalty))"</v>
      </c>
      <c r="AG174" s="1" t="str">
        <f t="shared" si="65"/>
        <v>NW</v>
      </c>
      <c r="AH174" s="81" t="str">
        <f t="shared" si="66"/>
        <v>"%USERPROFILE%\Documents\GitHub\eaglep3\Utilities\RefineRTDCRunTimes.py" --tripid 812-05 --locoid 4011 --swversion DE.1.0.9.0 --startMP 300:58615 --initTime 2017-05-05T08:37:49 --startdatetime 2017-05-05T08:40:00 --delay 1 --endMP 204:715 --enddatetime 2017-05-05T08:54:27 --enforcementcount 0 &gt;&gt;C:\Users\stu\Documents\GitHub\eaglep3-reporting\EC\2017-05-05-refined-times.txt</v>
      </c>
      <c r="AI174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{"issue":{"subject":"","project_id":79,"tracker_id":40,"status_id":1,"priority_id":2,"assigned_to_id":23,"start_date":"2017-05-05","description":"","custom_fields":[{"id":1,"name":"Subdivision","value":"NW"},{"id":4,"name":"Milepost","value":"0.0715"},{"id":17,"name":"Train ID","value":"812-05"},{"id":16,"name":"Locomotive ID","value":"4011"},{"id":130,"name":"Impact","value":""},{"id":150,"name":"Time of Event (Mountain Time)","value":"08:54:27"},{"id":151,"name":"Denver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8"/>
        <v>start /low /b %USERPROFILE%\Documents\GitHub\eaglep3\Utilities\DownloadLogsFromS3.py --loco 4011 --day 2017-05-05</v>
      </c>
      <c r="AN174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698</v>
      </c>
      <c r="B175" s="7">
        <v>4012</v>
      </c>
      <c r="C175" s="21" t="s">
        <v>210</v>
      </c>
      <c r="D175" s="21" t="s">
        <v>994</v>
      </c>
      <c r="E175" s="13">
        <v>42860.386006944442</v>
      </c>
      <c r="F175" s="13">
        <v>42860.389768518522</v>
      </c>
      <c r="G175" s="7">
        <v>1</v>
      </c>
      <c r="H175" s="21" t="s">
        <v>480</v>
      </c>
      <c r="I175" s="13">
        <v>42860.398622685185</v>
      </c>
      <c r="J175" s="7">
        <v>0</v>
      </c>
      <c r="K175" s="92" t="str">
        <f t="shared" si="53"/>
        <v>4011/4012</v>
      </c>
      <c r="L175" s="21" t="str">
        <f>VLOOKUP(A175,'Trips&amp;Operators'!$C$1:$G$99999,5,FALSE)</f>
        <v>DE LA ROSA ALEX</v>
      </c>
      <c r="M175" s="6">
        <f t="shared" si="54"/>
        <v>8.8541666627861559E-3</v>
      </c>
      <c r="N175" s="7">
        <f t="shared" si="70"/>
        <v>12.749999994412065</v>
      </c>
      <c r="O175" s="7"/>
      <c r="P175" s="7"/>
      <c r="Q175" s="22"/>
      <c r="R175" s="190"/>
      <c r="S175" s="196">
        <f t="shared" si="71"/>
        <v>1</v>
      </c>
      <c r="T175" s="190" t="str">
        <f t="shared" si="55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6"/>
        <v>https://d0f6bd738d7f1b3e5a7ca70fe4ff75f0.us-east-1.aws.found.io/app/kibana#/discover/Steve-Slow-Train-Analysis-(2080s-and-2083s)?_g=(refreshInterval:(display:Off,pause:!f,section:0,value:0),time:(from:'2017-05-05T08:15:51-0600',mode:absolute,to:'2017-05-05T10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5" s="192" t="str">
        <f t="shared" si="57"/>
        <v>N</v>
      </c>
      <c r="X175" s="192">
        <f t="shared" si="72"/>
        <v>1</v>
      </c>
      <c r="Y175" s="192">
        <f t="shared" si="59"/>
        <v>0.1018</v>
      </c>
      <c r="Z175" s="192">
        <f t="shared" si="73"/>
        <v>5.8939000000000004</v>
      </c>
      <c r="AA175" s="192">
        <f t="shared" si="61"/>
        <v>5.7921000000000005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2"/>
        <v>0813-05</v>
      </c>
      <c r="AE175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75" s="77" t="str">
        <f t="shared" si="64"/>
        <v>"C:\Program Files (x86)\AstroGrep\AstroGrep.exe" /e /r /s /spath="%USERPROFILE%\AppData\Local\Temp\OnboardLogs" /stypes="app*4012*20170505*" /stext=" 15:.+((SYSTEM_STATE.+slice.+state.+changed )|(ment ac)|(multiple cpu faults)|(system.+state.+changed )|(\[timeout)|(PRM\|1\|D)|(kpr)|(kdp)|(train st.+moving)|(\|lc)|(penalty))"</v>
      </c>
      <c r="AG175" s="1" t="str">
        <f t="shared" si="65"/>
        <v>NW</v>
      </c>
      <c r="AH175" s="81" t="str">
        <f t="shared" si="66"/>
        <v>"%USERPROFILE%\Documents\GitHub\eaglep3\Utilities\RefineRTDCRunTimes.py" --tripid 813-05 --locoid 4012 --swversion DE.1.0.9.0 --startMP 204:1018 --initTime 2017-05-05T09:15:51 --startdatetime 2017-05-05T09:21:16 --delay 1 --endMP 300:58939 --enddatetime 2017-05-05T09:34:01 --enforcementcount 0 &gt;&gt;C:\Users\stu\Documents\GitHub\eaglep3-reporting\EC\2017-05-05-refined-times.txt</v>
      </c>
      <c r="AI175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{"issue":{"subject":"","project_id":79,"tracker_id":40,"status_id":1,"priority_id":2,"assigned_to_id":23,"start_date":"2017-05-05","description":"","custom_fields":[{"id":1,"name":"Subdivision","value":"NW"},{"id":4,"name":"Milepost","value":"5.8939"},{"id":17,"name":"Train ID","value":"813-05"},{"id":16,"name":"Locomotive ID","value":"4012"},{"id":130,"name":"Impact","value":""},{"id":150,"name":"Time of Event (Mountain Time)","value":"09:34:01"},{"id":151,"name":"Denver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68"/>
        <v>start /low /b %USERPROFILE%\Documents\GitHub\eaglep3\Utilities\DownloadLogsFromS3.py --loco 4012 --day 2017-05-05</v>
      </c>
      <c r="AN175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701</v>
      </c>
      <c r="B176" s="7">
        <v>4011</v>
      </c>
      <c r="C176" s="21" t="s">
        <v>210</v>
      </c>
      <c r="D176" s="21" t="s">
        <v>439</v>
      </c>
      <c r="E176" s="13">
        <v>42860.399594907409</v>
      </c>
      <c r="F176" s="13">
        <v>42860.40115740741</v>
      </c>
      <c r="G176" s="7">
        <v>1</v>
      </c>
      <c r="H176" s="21" t="s">
        <v>995</v>
      </c>
      <c r="I176" s="13">
        <v>42860.41302083333</v>
      </c>
      <c r="J176" s="7">
        <v>0</v>
      </c>
      <c r="K176" s="92" t="str">
        <f t="shared" si="53"/>
        <v>4011/4012</v>
      </c>
      <c r="L176" s="21" t="str">
        <f>VLOOKUP(A176,'Trips&amp;Operators'!$C$1:$G$99999,5,FALSE)</f>
        <v>DE LA ROSA ALEX</v>
      </c>
      <c r="M176" s="6">
        <f t="shared" si="54"/>
        <v>1.1863425919727888E-2</v>
      </c>
      <c r="N176" s="7">
        <f t="shared" si="70"/>
        <v>17.083333324408159</v>
      </c>
      <c r="O176" s="7"/>
      <c r="P176" s="7"/>
      <c r="Q176" s="22"/>
      <c r="R176" s="190"/>
      <c r="S176" s="196">
        <f t="shared" si="71"/>
        <v>1</v>
      </c>
      <c r="T176" s="190" t="str">
        <f t="shared" si="55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6"/>
        <v>https://d0f6bd738d7f1b3e5a7ca70fe4ff75f0.us-east-1.aws.found.io/app/kibana#/discover/Steve-Slow-Train-Analysis-(2080s-and-2083s)?_g=(refreshInterval:(display:Off,pause:!f,section:0,value:0),time:(from:'2017-05-05T08:35:25-0600',mode:absolute,to:'2017-05-05T10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6" s="192" t="str">
        <f t="shared" si="57"/>
        <v>N</v>
      </c>
      <c r="X176" s="192">
        <f t="shared" si="72"/>
        <v>1</v>
      </c>
      <c r="Y176" s="192">
        <f t="shared" si="59"/>
        <v>5.8628</v>
      </c>
      <c r="Z176" s="192">
        <f t="shared" si="73"/>
        <v>7.4099999999999999E-2</v>
      </c>
      <c r="AA176" s="192">
        <f t="shared" si="61"/>
        <v>5.7887000000000004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2"/>
        <v>0814-05</v>
      </c>
      <c r="AE176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76" s="77" t="str">
        <f t="shared" si="64"/>
        <v>"C:\Program Files (x86)\AstroGrep\AstroGrep.exe" /e /r /s /spath="%USERPROFILE%\AppData\Local\Temp\OnboardLogs" /stypes="app*4011*20170505*" /stext=" 15:.+((SYSTEM_STATE.+slice.+state.+changed )|(ment ac)|(multiple cpu faults)|(system.+state.+changed )|(\[timeout)|(PRM\|1\|D)|(kpr)|(kdp)|(train st.+moving)|(\|lc)|(penalty))"</v>
      </c>
      <c r="AG176" s="1" t="str">
        <f t="shared" si="65"/>
        <v>NW</v>
      </c>
      <c r="AH176" s="81" t="str">
        <f t="shared" si="66"/>
        <v>"%USERPROFILE%\Documents\GitHub\eaglep3\Utilities\RefineRTDCRunTimes.py" --tripid 814-05 --locoid 4011 --swversion DE.1.0.9.0 --startMP 300:58628 --initTime 2017-05-05T09:35:25 --startdatetime 2017-05-05T09:37:40 --delay 1 --endMP 204:741 --enddatetime 2017-05-05T09:54:45 --enforcementcount 0 &gt;&gt;C:\Users\stu\Documents\GitHub\eaglep3-reporting\EC\2017-05-05-refined-times.txt</v>
      </c>
      <c r="AI176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{"issue":{"subject":"","project_id":79,"tracker_id":40,"status_id":1,"priority_id":2,"assigned_to_id":23,"start_date":"2017-05-05","description":"","custom_fields":[{"id":1,"name":"Subdivision","value":"NW"},{"id":4,"name":"Milepost","value":"0.0741"},{"id":17,"name":"Train ID","value":"814-05"},{"id":16,"name":"Locomotive ID","value":"4011"},{"id":130,"name":"Impact","value":""},{"id":150,"name":"Time of Event (Mountain Time)","value":"09:54:45"},{"id":151,"name":"Denver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68"/>
        <v>start /low /b %USERPROFILE%\Documents\GitHub\eaglep3\Utilities\DownloadLogsFromS3.py --loco 4011 --day 2017-05-05</v>
      </c>
      <c r="AN176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15:54:45"},{"id":29,"name":"Sharepoint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2" t="s">
        <v>706</v>
      </c>
      <c r="B177" s="7">
        <v>4012</v>
      </c>
      <c r="C177" s="21" t="s">
        <v>210</v>
      </c>
      <c r="D177" s="21" t="s">
        <v>996</v>
      </c>
      <c r="E177" s="13">
        <v>42860.427835648145</v>
      </c>
      <c r="F177" s="13">
        <v>42860.431435185186</v>
      </c>
      <c r="G177" s="7">
        <v>1</v>
      </c>
      <c r="H177" s="21" t="s">
        <v>584</v>
      </c>
      <c r="I177" s="13">
        <v>42860.440439814818</v>
      </c>
      <c r="J177" s="7">
        <v>0</v>
      </c>
      <c r="K177" s="92" t="str">
        <f t="shared" si="53"/>
        <v>4011/4012</v>
      </c>
      <c r="L177" s="21" t="str">
        <f>VLOOKUP(A177,'Trips&amp;Operators'!$C$1:$G$99999,5,FALSE)</f>
        <v>DE LA ROSA ALEX</v>
      </c>
      <c r="M177" s="6">
        <f t="shared" si="54"/>
        <v>9.0046296318178065E-3</v>
      </c>
      <c r="N177" s="7">
        <f t="shared" si="70"/>
        <v>12.966666669817641</v>
      </c>
      <c r="O177" s="7"/>
      <c r="P177" s="7"/>
      <c r="Q177" s="22"/>
      <c r="R177" s="190"/>
      <c r="S177" s="196">
        <f t="shared" si="71"/>
        <v>1</v>
      </c>
      <c r="T177" s="190" t="str">
        <f t="shared" si="55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6"/>
        <v>https://d0f6bd738d7f1b3e5a7ca70fe4ff75f0.us-east-1.aws.found.io/app/kibana#/discover/Steve-Slow-Train-Analysis-(2080s-and-2083s)?_g=(refreshInterval:(display:Off,pause:!f,section:0,value:0),time:(from:'2017-05-05T09:16:05-0600',mode:absolute,to:'2017-05-05T11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7" s="192" t="str">
        <f t="shared" si="57"/>
        <v>N</v>
      </c>
      <c r="X177" s="192">
        <f t="shared" si="72"/>
        <v>1</v>
      </c>
      <c r="Y177" s="192">
        <f t="shared" si="59"/>
        <v>0.10299999999999999</v>
      </c>
      <c r="Z177" s="192">
        <f t="shared" si="73"/>
        <v>5.8956</v>
      </c>
      <c r="AA177" s="192">
        <f t="shared" si="61"/>
        <v>5.7926000000000002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2"/>
        <v>0815-05</v>
      </c>
      <c r="AE177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77" s="77" t="str">
        <f t="shared" si="64"/>
        <v>"C:\Program Files (x86)\AstroGrep\AstroGrep.exe" /e /r /s /spath="%USERPROFILE%\AppData\Local\Temp\OnboardLogs" /stypes="app*4012*20170505*" /stext=" 16:.+((SYSTEM_STATE.+slice.+state.+changed )|(ment ac)|(multiple cpu faults)|(system.+state.+changed )|(\[timeout)|(PRM\|1\|D)|(kpr)|(kdp)|(train st.+moving)|(\|lc)|(penalty))"</v>
      </c>
      <c r="AG177" s="1" t="str">
        <f t="shared" si="65"/>
        <v>NW</v>
      </c>
      <c r="AH177" s="81" t="str">
        <f t="shared" si="66"/>
        <v>"%USERPROFILE%\Documents\GitHub\eaglep3\Utilities\RefineRTDCRunTimes.py" --tripid 815-05 --locoid 4012 --swversion DE.1.0.9.0 --startMP 204:1030 --initTime 2017-05-05T10:16:05 --startdatetime 2017-05-05T10:21:16 --delay 1 --endMP 300:58956 --enddatetime 2017-05-05T10:34:14 --enforcementcount 0 &gt;&gt;C:\Users\stu\Documents\GitHub\eaglep3-reporting\EC\2017-05-05-refined-times.txt</v>
      </c>
      <c r="AI177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{"issue":{"subject":"","project_id":79,"tracker_id":40,"status_id":1,"priority_id":2,"assigned_to_id":23,"start_date":"2017-05-05","description":"","custom_fields":[{"id":1,"name":"Subdivision","value":"NW"},{"id":4,"name":"Milepost","value":"5.8956"},{"id":17,"name":"Train ID","value":"815-05"},{"id":16,"name":"Locomotive ID","value":"4012"},{"id":130,"name":"Impact","value":""},{"id":150,"name":"Time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68"/>
        <v>start /low /b %USERPROFILE%\Documents\GitHub\eaglep3\Utilities\DownloadLogsFromS3.py --loco 4012 --day 2017-05-05</v>
      </c>
      <c r="AN177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711</v>
      </c>
      <c r="B178" s="7">
        <v>4011</v>
      </c>
      <c r="C178" s="21" t="s">
        <v>210</v>
      </c>
      <c r="D178" s="21" t="s">
        <v>582</v>
      </c>
      <c r="E178" s="13">
        <v>42860.441562499997</v>
      </c>
      <c r="F178" s="13">
        <v>42860.442037037035</v>
      </c>
      <c r="G178" s="7">
        <v>1</v>
      </c>
      <c r="H178" s="21" t="s">
        <v>997</v>
      </c>
      <c r="I178" s="13">
        <v>42860.443055555559</v>
      </c>
      <c r="J178" s="7">
        <v>0</v>
      </c>
      <c r="K178" s="92" t="str">
        <f t="shared" si="53"/>
        <v>4011/4012</v>
      </c>
      <c r="L178" s="21" t="str">
        <f>VLOOKUP(A178,'Trips&amp;Operators'!$C$1:$G$99999,5,FALSE)</f>
        <v>DE LA ROSA ALEX</v>
      </c>
      <c r="M178" s="6">
        <f t="shared" si="54"/>
        <v>1.0185185237787664E-3</v>
      </c>
      <c r="N178" s="7"/>
      <c r="O178" s="7"/>
      <c r="P178" s="7">
        <f>24*60*SUM($M178:$M178)</f>
        <v>1.4666666742414236</v>
      </c>
      <c r="Q178" s="22"/>
      <c r="R178" s="190" t="s">
        <v>1051</v>
      </c>
      <c r="S178" s="196">
        <f t="shared" si="71"/>
        <v>0</v>
      </c>
      <c r="T178" s="190" t="str">
        <f t="shared" si="55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191" t="str">
        <f t="shared" si="56"/>
        <v>https://d0f6bd738d7f1b3e5a7ca70fe4ff75f0.us-east-1.aws.found.io/app/kibana#/discover/Steve-Slow-Train-Analysis-(2080s-and-2083s)?_g=(refreshInterval:(display:Off,pause:!f,section:0,value:0),time:(from:'2017-05-05T09:35:51-0600',mode:absolute,to:'2017-05-05T11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8" s="192" t="str">
        <f t="shared" si="57"/>
        <v>Y</v>
      </c>
      <c r="X178" s="192">
        <f t="shared" si="72"/>
        <v>1</v>
      </c>
      <c r="Y178" s="192">
        <f t="shared" si="59"/>
        <v>5.8630000000000004</v>
      </c>
      <c r="Z178" s="192">
        <f t="shared" si="73"/>
        <v>5.8319999999999999</v>
      </c>
      <c r="AA178" s="192">
        <f t="shared" si="61"/>
        <v>3.1000000000000583E-2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2"/>
        <v>0816-05</v>
      </c>
      <c r="AE178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78" s="77" t="str">
        <f t="shared" si="64"/>
        <v>"C:\Program Files (x86)\AstroGrep\AstroGrep.exe" /e /r /s /spath="%USERPROFILE%\AppData\Local\Temp\OnboardLogs" /stypes="app*4011*20170505*" /stext=" 16:.+((SYSTEM_STATE.+slice.+state.+changed )|(ment ac)|(multiple cpu faults)|(system.+state.+changed )|(\[timeout)|(PRM\|1\|D)|(kpr)|(kdp)|(train st.+moving)|(\|lc)|(penalty))"</v>
      </c>
      <c r="AG178" s="1" t="str">
        <f t="shared" si="65"/>
        <v>NW</v>
      </c>
      <c r="AH178" s="81" t="str">
        <f t="shared" si="66"/>
        <v>"%USERPROFILE%\Documents\GitHub\eaglep3\Utilities\RefineRTDCRunTimes.py" --tripid 816-05 --locoid 4011 --swversion DE.1.0.9.0 --startMP 300:58630 --initTime 2017-05-05T10:35:51 --startdatetime 2017-05-05T10:36:32 --delay 1 --endMP 300:58320 --enddatetime 2017-05-05T10:38:00 --enforcementcount 0 &gt;&gt;C:\Users\stu\Documents\GitHub\eaglep3-reporting\EC\2017-05-05-refined-times.txt</v>
      </c>
      <c r="AI178" s="99" t="str">
        <f t="shared" si="67"/>
        <v>echo {"issue":{"subject":"Onboard in-route failure","project_id":79,"tracker_id":40,"status_id":1,"priority_id":2,"assigned_to_id":23,"start_date":"2017-05-05","description":"","custom_fields":[{"id":1,"name":"Subdivision","value":"NW"},{"id":4,"name":"Milepost","value":"5.832"},{"id":17,"name":"Train ID","value":"816-05"},{"id":16,"name":"Locomotive ID","value":"4011"},{"id":130,"name":"Impact","value":""},{"id":150,"name":"Time of Event (Mountain Time)","value":"10:38:00"},{"id":151,"name":"Denver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8"/>
        <v>start /low /b %USERPROFILE%\Documents\GitHub\eaglep3\Utilities\DownloadLogsFromS3.py --loco 4011 --day 2017-05-05</v>
      </c>
      <c r="AN178" s="154" t="str">
        <f t="shared" si="69"/>
        <v>echo {"issue":{"subject":"Onboard in-route failure","project_id":30,"tracker_id":4,"status_id":1,"priority_id":1,"assigned_to_id":10,"start_date":"2017-05-05","description":"","custom_fields":[{"id":30,"name":"Category","value":"Issue"},{"id":3,"name":"Functional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722</v>
      </c>
      <c r="B179" s="7">
        <v>4012</v>
      </c>
      <c r="C179" s="21" t="s">
        <v>210</v>
      </c>
      <c r="D179" s="21" t="s">
        <v>998</v>
      </c>
      <c r="E179" s="13">
        <v>42860.470254629632</v>
      </c>
      <c r="F179" s="13">
        <v>42860.473113425927</v>
      </c>
      <c r="G179" s="7">
        <v>1</v>
      </c>
      <c r="H179" s="21" t="s">
        <v>999</v>
      </c>
      <c r="I179" s="13">
        <v>42860.482372685183</v>
      </c>
      <c r="J179" s="7">
        <v>0</v>
      </c>
      <c r="K179" s="92" t="str">
        <f t="shared" si="53"/>
        <v>4011/4012</v>
      </c>
      <c r="L179" s="21" t="str">
        <f>VLOOKUP(A179,'Trips&amp;Operators'!$C$1:$G$99999,5,FALSE)</f>
        <v>DE LA ROSA ALEX</v>
      </c>
      <c r="M179" s="6">
        <f t="shared" si="54"/>
        <v>9.2592592554865405E-3</v>
      </c>
      <c r="N179" s="7">
        <f t="shared" ref="N179:N210" si="74">24*60*SUM($M179:$M179)</f>
        <v>13.333333327900618</v>
      </c>
      <c r="O179" s="7"/>
      <c r="P179" s="7"/>
      <c r="Q179" s="22"/>
      <c r="R179" s="190"/>
      <c r="S179" s="196">
        <f t="shared" si="71"/>
        <v>1</v>
      </c>
      <c r="T179" s="190" t="str">
        <f t="shared" si="55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6"/>
        <v>https://d0f6bd738d7f1b3e5a7ca70fe4ff75f0.us-east-1.aws.found.io/app/kibana#/discover/Steve-Slow-Train-Analysis-(2080s-and-2083s)?_g=(refreshInterval:(display:Off,pause:!f,section:0,value:0),time:(from:'2017-05-05T10:17:10-0600',mode:absolute,to:'2017-05-05T12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9" s="192" t="str">
        <f t="shared" si="57"/>
        <v>N</v>
      </c>
      <c r="X179" s="192">
        <f t="shared" si="72"/>
        <v>1</v>
      </c>
      <c r="Y179" s="192">
        <f t="shared" si="59"/>
        <v>9.6199999999999994E-2</v>
      </c>
      <c r="Z179" s="192">
        <f t="shared" si="73"/>
        <v>5.8926999999999996</v>
      </c>
      <c r="AA179" s="192">
        <f t="shared" si="61"/>
        <v>5.7965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2"/>
        <v>0817-05</v>
      </c>
      <c r="AE179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79" s="77" t="str">
        <f t="shared" si="64"/>
        <v>"C:\Program Files (x86)\AstroGrep\AstroGrep.exe" /e /r /s /spath="%USERPROFILE%\AppData\Local\Temp\OnboardLogs" /stypes="app*4012*20170505*" /stext=" 17:.+((SYSTEM_STATE.+slice.+state.+changed )|(ment ac)|(multiple cpu faults)|(system.+state.+changed )|(\[timeout)|(PRM\|1\|D)|(kpr)|(kdp)|(train st.+moving)|(\|lc)|(penalty))"</v>
      </c>
      <c r="AG179" s="1" t="str">
        <f t="shared" si="65"/>
        <v>NW</v>
      </c>
      <c r="AH179" s="81" t="str">
        <f t="shared" si="66"/>
        <v>"%USERPROFILE%\Documents\GitHub\eaglep3\Utilities\RefineRTDCRunTimes.py" --tripid 817-05 --locoid 4012 --swversion DE.1.0.9.0 --startMP 204:962 --initTime 2017-05-05T11:17:10 --startdatetime 2017-05-05T11:21:17 --delay 1 --endMP 300:58927 --enddatetime 2017-05-05T11:34:37 --enforcementcount 0 &gt;&gt;C:\Users\stu\Documents\GitHub\eaglep3-reporting\EC\2017-05-05-refined-times.txt</v>
      </c>
      <c r="AI179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{"issue":{"subject":"","project_id":79,"tracker_id":40,"status_id":1,"priority_id":2,"assigned_to_id":23,"start_date":"2017-05-05","description":"","custom_fields":[{"id":1,"name":"Subdivision","value":"NW"},{"id":4,"name":"Milepost","value":"5.8927"},{"id":17,"name":"Train ID","value":"817-05"},{"id":16,"name":"Locomotive ID","value":"4012"},{"id":130,"name":"Impact","value":""},{"id":150,"name":"Time of Event (Mountain Time)","value":"11:34:37"},{"id":151,"name":"Denver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8"/>
        <v>start /low /b %USERPROFILE%\Documents\GitHub\eaglep3\Utilities\DownloadLogsFromS3.py --loco 4012 --day 2017-05-05</v>
      </c>
      <c r="AN179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604</v>
      </c>
      <c r="B180" s="7">
        <v>4011</v>
      </c>
      <c r="C180" s="21" t="s">
        <v>210</v>
      </c>
      <c r="D180" s="21" t="s">
        <v>1000</v>
      </c>
      <c r="E180" s="13">
        <v>42860.491469907407</v>
      </c>
      <c r="F180" s="13">
        <v>42860.493333333332</v>
      </c>
      <c r="G180" s="7">
        <v>1</v>
      </c>
      <c r="H180" s="21" t="s">
        <v>1001</v>
      </c>
      <c r="I180" s="13">
        <v>42860.502743055556</v>
      </c>
      <c r="J180" s="7">
        <v>0</v>
      </c>
      <c r="K180" s="92" t="str">
        <f t="shared" si="53"/>
        <v>4011/4012</v>
      </c>
      <c r="L180" s="21" t="str">
        <f>VLOOKUP(A180,'Trips&amp;Operators'!$C$1:$G$99999,5,FALSE)</f>
        <v>DE LA ROSA ALEX</v>
      </c>
      <c r="M180" s="6">
        <f t="shared" si="54"/>
        <v>9.4097222245181911E-3</v>
      </c>
      <c r="N180" s="7">
        <f t="shared" si="74"/>
        <v>13.550000003306195</v>
      </c>
      <c r="O180" s="7"/>
      <c r="P180" s="7"/>
      <c r="Q180" s="22"/>
      <c r="R180" s="190" t="s">
        <v>1057</v>
      </c>
      <c r="S180" s="196">
        <f t="shared" si="71"/>
        <v>1</v>
      </c>
      <c r="T180" s="190" t="str">
        <f t="shared" si="55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6"/>
        <v>https://d0f6bd738d7f1b3e5a7ca70fe4ff75f0.us-east-1.aws.found.io/app/kibana#/discover/Steve-Slow-Train-Analysis-(2080s-and-2083s)?_g=(refreshInterval:(display:Off,pause:!f,section:0,value:0),time:(from:'2017-05-05T10:47:43-0600',mode:absolute,to:'2017-05-05T13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0" s="192" t="str">
        <f t="shared" si="57"/>
        <v>N</v>
      </c>
      <c r="X180" s="192">
        <f t="shared" ref="X180:X184" si="75">VALUE(LEFT(AD180,4))-VALUE(LEFT(AD179,4))</f>
        <v>1</v>
      </c>
      <c r="Y180" s="192">
        <f t="shared" si="59"/>
        <v>5.7328999999999999</v>
      </c>
      <c r="Z180" s="192">
        <f t="shared" si="73"/>
        <v>7.3300000000000004E-2</v>
      </c>
      <c r="AA180" s="192">
        <f t="shared" si="61"/>
        <v>5.6596000000000002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2"/>
        <v>0818-05</v>
      </c>
      <c r="AE180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80" s="77" t="str">
        <f t="shared" si="64"/>
        <v>"C:\Program Files (x86)\AstroGrep\AstroGrep.exe" /e /r /s /spath="%USERPROFILE%\AppData\Local\Temp\OnboardLogs" /stypes="app*4011*20170505*" /stext=" 18:.+((SYSTEM_STATE.+slice.+state.+changed )|(ment ac)|(multiple cpu faults)|(system.+state.+changed )|(\[timeout)|(PRM\|1\|D)|(kpr)|(kdp)|(train st.+moving)|(\|lc)|(penalty))"</v>
      </c>
      <c r="AG180" s="1" t="str">
        <f t="shared" si="65"/>
        <v>NW</v>
      </c>
      <c r="AH180" s="81" t="str">
        <f t="shared" si="66"/>
        <v>"%USERPROFILE%\Documents\GitHub\eaglep3\Utilities\RefineRTDCRunTimes.py" --tripid 818-05 --locoid 4011 --swversion DE.1.0.9.0 --startMP 300:57329 --initTime 2017-05-05T11:47:43 --startdatetime 2017-05-05T11:50:24 --delay 1 --endMP 204:733 --enddatetime 2017-05-05T12:03:57 --enforcementcount 0 &gt;&gt;C:\Users\stu\Documents\GitHub\eaglep3-reporting\EC\2017-05-05-refined-times.txt</v>
      </c>
      <c r="AI180" s="99" t="str">
        <f t="shared" si="67"/>
        <v>echo {"issue":{"subject":"Went active too close to signal, ran without issue after re-initializing on other side of Westminster 2S","project_id":79,"tracker_id":40,"status_id":1,"priority_id":2,"assigned_to_id":23,"start_date":"2017-05-05","description":"","custom_fields":[{"id":1,"name":"Subdivision","value":"NW"},{"id":4,"name":"Milepost","value":"0.0733"},{"id":17,"name":"Train ID","value":"818-05"},{"id":16,"name":"Locomotive ID","value":"4011"},{"id":130,"name":"Impact","value":""},{"id":150,"name":"Time of Event (Mountain Time)","value":"12:03:57"},{"id":151,"name":"Denver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68"/>
        <v>start /low /b %USERPROFILE%\Documents\GitHub\eaglep3\Utilities\DownloadLogsFromS3.py --loco 4011 --day 2017-05-05</v>
      </c>
      <c r="AN180" s="154" t="str">
        <f t="shared" si="69"/>
        <v>echo {"issue":{"subject":"Went active too close to signal, ran without issue after re-initializing on other side of Westminster 2S","project_id":30,"tracker_id":4,"status_id":1,"priority_id":1,"assigned_to_id":10,"start_date":"2017-05-05","description":"","custom_fields":[{"id":30,"name":"Category","value":"Issue"},{"id":3,"name":"Functional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729</v>
      </c>
      <c r="B181" s="7">
        <v>4012</v>
      </c>
      <c r="C181" s="21" t="s">
        <v>210</v>
      </c>
      <c r="D181" s="21" t="s">
        <v>586</v>
      </c>
      <c r="E181" s="13">
        <v>42860.512349537035</v>
      </c>
      <c r="F181" s="13">
        <v>42860.514814814815</v>
      </c>
      <c r="G181" s="7">
        <v>1</v>
      </c>
      <c r="H181" s="21" t="s">
        <v>1002</v>
      </c>
      <c r="I181" s="13">
        <v>42860.523923611108</v>
      </c>
      <c r="J181" s="7">
        <v>0</v>
      </c>
      <c r="K181" s="92" t="str">
        <f t="shared" si="53"/>
        <v>4011/4012</v>
      </c>
      <c r="L181" s="21" t="str">
        <f>VLOOKUP(A181,'Trips&amp;Operators'!$C$1:$G$99999,5,FALSE)</f>
        <v>DE LA ROSA ALEX</v>
      </c>
      <c r="M181" s="6">
        <f t="shared" si="54"/>
        <v>9.1087962937308475E-3</v>
      </c>
      <c r="N181" s="7">
        <f t="shared" si="74"/>
        <v>13.11666666297242</v>
      </c>
      <c r="O181" s="7"/>
      <c r="P181" s="7"/>
      <c r="Q181" s="22"/>
      <c r="R181" s="190"/>
      <c r="S181" s="196">
        <f t="shared" si="71"/>
        <v>1</v>
      </c>
      <c r="T181" s="190" t="str">
        <f t="shared" si="55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6"/>
        <v>https://d0f6bd738d7f1b3e5a7ca70fe4ff75f0.us-east-1.aws.found.io/app/kibana#/discover/Steve-Slow-Train-Analysis-(2080s-and-2083s)?_g=(refreshInterval:(display:Off,pause:!f,section:0,value:0),time:(from:'2017-05-05T11:17:47-0600',mode:absolute,to:'2017-05-05T13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1" s="192" t="str">
        <f t="shared" si="57"/>
        <v>N</v>
      </c>
      <c r="X181" s="192">
        <f t="shared" si="75"/>
        <v>1</v>
      </c>
      <c r="Y181" s="192">
        <f t="shared" si="59"/>
        <v>0.10059999999999999</v>
      </c>
      <c r="Z181" s="192">
        <f t="shared" si="73"/>
        <v>5.8997000000000002</v>
      </c>
      <c r="AA181" s="192">
        <f t="shared" si="61"/>
        <v>5.7991000000000001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2"/>
        <v>0819-05</v>
      </c>
      <c r="AE181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81" s="77" t="str">
        <f t="shared" si="64"/>
        <v>"C:\Program Files (x86)\AstroGrep\AstroGrep.exe" /e /r /s /spath="%USERPROFILE%\AppData\Local\Temp\OnboardLogs" /stypes="app*4012*20170505*" /stext=" 18:.+((SYSTEM_STATE.+slice.+state.+changed )|(ment ac)|(multiple cpu faults)|(system.+state.+changed )|(\[timeout)|(PRM\|1\|D)|(kpr)|(kdp)|(train st.+moving)|(\|lc)|(penalty))"</v>
      </c>
      <c r="AG181" s="1" t="str">
        <f t="shared" si="65"/>
        <v>NW</v>
      </c>
      <c r="AH181" s="81" t="str">
        <f t="shared" si="66"/>
        <v>"%USERPROFILE%\Documents\GitHub\eaglep3\Utilities\RefineRTDCRunTimes.py" --tripid 819-05 --locoid 4012 --swversion DE.1.0.9.0 --startMP 204:1006 --initTime 2017-05-05T12:17:47 --startdatetime 2017-05-05T12:21:20 --delay 1 --endMP 300:58997 --enddatetime 2017-05-05T12:34:27 --enforcementcount 0 &gt;&gt;C:\Users\stu\Documents\GitHub\eaglep3-reporting\EC\2017-05-05-refined-times.txt</v>
      </c>
      <c r="AI181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{"issue":{"subject":"","project_id":79,"tracker_id":40,"status_id":1,"priority_id":2,"assigned_to_id":23,"start_date":"2017-05-05","description":"","custom_fields":[{"id":1,"name":"Subdivision","value":"NW"},{"id":4,"name":"Milepost","value":"5.8997"},{"id":17,"name":"Train ID","value":"819-05"},{"id":16,"name":"Locomotive ID","value":"4012"},{"id":130,"name":"Impact","value":""},{"id":150,"name":"Time of Event (Mountain Time)","value":"12:34:27"},{"id":151,"name":"Denver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8"/>
        <v>start /low /b %USERPROFILE%\Documents\GitHub\eaglep3\Utilities\DownloadLogsFromS3.py --loco 4012 --day 2017-05-05</v>
      </c>
      <c r="AN181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733</v>
      </c>
      <c r="B182" s="7">
        <v>4011</v>
      </c>
      <c r="C182" s="21" t="s">
        <v>210</v>
      </c>
      <c r="D182" s="21" t="s">
        <v>1003</v>
      </c>
      <c r="E182" s="13">
        <v>42860.525011574071</v>
      </c>
      <c r="F182" s="13">
        <v>42860.526689814818</v>
      </c>
      <c r="G182" s="7">
        <v>1</v>
      </c>
      <c r="H182" s="21" t="s">
        <v>988</v>
      </c>
      <c r="I182" s="13">
        <v>42860.537951388891</v>
      </c>
      <c r="J182" s="7">
        <v>0</v>
      </c>
      <c r="K182" s="92" t="str">
        <f t="shared" si="53"/>
        <v>4011/4012</v>
      </c>
      <c r="L182" s="21" t="str">
        <f>VLOOKUP(A182,'Trips&amp;Operators'!$C$1:$G$99999,5,FALSE)</f>
        <v>DE LA ROSA ALEX</v>
      </c>
      <c r="M182" s="6">
        <f t="shared" si="54"/>
        <v>1.1261574072705116E-2</v>
      </c>
      <c r="N182" s="7">
        <f t="shared" si="74"/>
        <v>16.216666664695367</v>
      </c>
      <c r="O182" s="7"/>
      <c r="P182" s="7"/>
      <c r="Q182" s="22"/>
      <c r="R182" s="190"/>
      <c r="S182" s="196">
        <f t="shared" si="71"/>
        <v>1</v>
      </c>
      <c r="T182" s="190" t="str">
        <f t="shared" si="55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6"/>
        <v>https://d0f6bd738d7f1b3e5a7ca70fe4ff75f0.us-east-1.aws.found.io/app/kibana#/discover/Steve-Slow-Train-Analysis-(2080s-and-2083s)?_g=(refreshInterval:(display:Off,pause:!f,section:0,value:0),time:(from:'2017-05-05T11:36:01-0600',mode:absolute,to:'2017-05-05T13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2" s="192" t="str">
        <f t="shared" si="57"/>
        <v>N</v>
      </c>
      <c r="X182" s="192">
        <f t="shared" si="75"/>
        <v>1</v>
      </c>
      <c r="Y182" s="192">
        <f t="shared" si="59"/>
        <v>5.8673999999999999</v>
      </c>
      <c r="Z182" s="192">
        <f t="shared" si="73"/>
        <v>7.1499999999999994E-2</v>
      </c>
      <c r="AA182" s="192">
        <f t="shared" si="61"/>
        <v>5.7958999999999996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2"/>
        <v>0820-05</v>
      </c>
      <c r="AE182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82" s="77" t="str">
        <f t="shared" si="64"/>
        <v>"C:\Program Files (x86)\AstroGrep\AstroGrep.exe" /e /r /s /spath="%USERPROFILE%\AppData\Local\Temp\OnboardLogs" /stypes="app*4011*20170505*" /stext=" 18:.+((SYSTEM_STATE.+slice.+state.+changed )|(ment ac)|(multiple cpu faults)|(system.+state.+changed )|(\[timeout)|(PRM\|1\|D)|(kpr)|(kdp)|(train st.+moving)|(\|lc)|(penalty))"</v>
      </c>
      <c r="AG182" s="1" t="str">
        <f t="shared" si="65"/>
        <v>NW</v>
      </c>
      <c r="AH182" s="81" t="str">
        <f t="shared" si="66"/>
        <v>"%USERPROFILE%\Documents\GitHub\eaglep3\Utilities\RefineRTDCRunTimes.py" --tripid 820-05 --locoid 4011 --swversion DE.1.0.9.0 --startMP 300:58674 --initTime 2017-05-05T12:36:01 --startdatetime 2017-05-05T12:38:26 --delay 1 --endMP 204:715 --enddatetime 2017-05-05T12:54:39 --enforcementcount 0 &gt;&gt;C:\Users\stu\Documents\GitHub\eaglep3-reporting\EC\2017-05-05-refined-times.txt</v>
      </c>
      <c r="AI182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{"issue":{"subject":"","project_id":79,"tracker_id":40,"status_id":1,"priority_id":2,"assigned_to_id":23,"start_date":"2017-05-05","description":"","custom_fields":[{"id":1,"name":"Subdivision","value":"NW"},{"id":4,"name":"Milepost","value":"0.0715"},{"id":17,"name":"Train ID","value":"820-05"},{"id":16,"name":"Locomotive ID","value":"4011"},{"id":130,"name":"Impact","value":""},{"id":150,"name":"Time of Event (Mountain Time)","value":"12:54:39"},{"id":151,"name":"Denver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8"/>
        <v>start /low /b %USERPROFILE%\Documents\GitHub\eaglep3\Utilities\DownloadLogsFromS3.py --loco 4011 --day 2017-05-05</v>
      </c>
      <c r="AN182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18:54:39"},{"id":29,"name":"Sharepoint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743</v>
      </c>
      <c r="B183" s="7">
        <v>4012</v>
      </c>
      <c r="C183" s="21" t="s">
        <v>210</v>
      </c>
      <c r="D183" s="21" t="s">
        <v>515</v>
      </c>
      <c r="E183" s="13">
        <v>42860.550902777781</v>
      </c>
      <c r="F183" s="13">
        <v>42860.556458333333</v>
      </c>
      <c r="G183" s="7">
        <v>1</v>
      </c>
      <c r="H183" s="21" t="s">
        <v>1004</v>
      </c>
      <c r="I183" s="13">
        <v>42860.565729166665</v>
      </c>
      <c r="J183" s="7">
        <v>0</v>
      </c>
      <c r="K183" s="92" t="str">
        <f t="shared" si="53"/>
        <v>4011/4012</v>
      </c>
      <c r="L183" s="21" t="str">
        <f>VLOOKUP(A183,'Trips&amp;Operators'!$C$1:$G$99999,5,FALSE)</f>
        <v>ZEWDU DEREJE</v>
      </c>
      <c r="M183" s="6">
        <f t="shared" si="54"/>
        <v>9.2708333322661929E-3</v>
      </c>
      <c r="N183" s="7">
        <f t="shared" si="74"/>
        <v>13.349999998463318</v>
      </c>
      <c r="O183" s="7"/>
      <c r="P183" s="7"/>
      <c r="Q183" s="22"/>
      <c r="R183" s="190"/>
      <c r="S183" s="196">
        <f t="shared" si="71"/>
        <v>1</v>
      </c>
      <c r="T183" s="190" t="str">
        <f t="shared" si="55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6"/>
        <v>https://d0f6bd738d7f1b3e5a7ca70fe4ff75f0.us-east-1.aws.found.io/app/kibana#/discover/Steve-Slow-Train-Analysis-(2080s-and-2083s)?_g=(refreshInterval:(display:Off,pause:!f,section:0,value:0),time:(from:'2017-05-05T12:13:18-0600',mode:absolute,to:'2017-05-05T14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3" s="192" t="str">
        <f t="shared" si="57"/>
        <v>N</v>
      </c>
      <c r="X183" s="192">
        <f t="shared" si="75"/>
        <v>1</v>
      </c>
      <c r="Y183" s="192">
        <f t="shared" si="59"/>
        <v>0.1007</v>
      </c>
      <c r="Z183" s="192">
        <f t="shared" si="73"/>
        <v>5.8948</v>
      </c>
      <c r="AA183" s="192">
        <f t="shared" si="61"/>
        <v>5.7941000000000003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2"/>
        <v>0821-05</v>
      </c>
      <c r="AE183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83" s="77" t="str">
        <f t="shared" si="64"/>
        <v>"C:\Program Files (x86)\AstroGrep\AstroGrep.exe" /e /r /s /spath="%USERPROFILE%\AppData\Local\Temp\OnboardLogs" /stypes="app*4012*20170505*" /stext=" 19:.+((SYSTEM_STATE.+slice.+state.+changed )|(ment ac)|(multiple cpu faults)|(system.+state.+changed )|(\[timeout)|(PRM\|1\|D)|(kpr)|(kdp)|(train st.+moving)|(\|lc)|(penalty))"</v>
      </c>
      <c r="AG183" s="1" t="str">
        <f t="shared" si="65"/>
        <v>NW</v>
      </c>
      <c r="AH183" s="81" t="str">
        <f t="shared" si="66"/>
        <v>"%USERPROFILE%\Documents\GitHub\eaglep3\Utilities\RefineRTDCRunTimes.py" --tripid 821-05 --locoid 4012 --swversion DE.1.0.9.0 --startMP 204:1007 --initTime 2017-05-05T13:13:18 --startdatetime 2017-05-05T13:21:18 --delay 1 --endMP 300:58948 --enddatetime 2017-05-05T13:34:39 --enforcementcount 0 &gt;&gt;C:\Users\stu\Documents\GitHub\eaglep3-reporting\EC\2017-05-05-refined-times.txt</v>
      </c>
      <c r="AI183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{"issue":{"subject":"","project_id":79,"tracker_id":40,"status_id":1,"priority_id":2,"assigned_to_id":23,"start_date":"2017-05-05","description":"","custom_fields":[{"id":1,"name":"Subdivision","value":"NW"},{"id":4,"name":"Milepost","value":"5.8948"},{"id":17,"name":"Train ID","value":"821-05"},{"id":16,"name":"Locomotive ID","value":"4012"},{"id":130,"name":"Impact","value":""},{"id":150,"name":"Time of Event (Mountain Time)","value":"13:34:39"},{"id":151,"name":"Denver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8"/>
        <v>start /low /b %USERPROFILE%\Documents\GitHub\eaglep3\Utilities\DownloadLogsFromS3.py --loco 4012 --day 2017-05-05</v>
      </c>
      <c r="AN183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746</v>
      </c>
      <c r="B184" s="7">
        <v>4011</v>
      </c>
      <c r="C184" s="21" t="s">
        <v>210</v>
      </c>
      <c r="D184" s="21" t="s">
        <v>1005</v>
      </c>
      <c r="E184" s="13">
        <v>42860.566805555558</v>
      </c>
      <c r="F184" s="13">
        <v>42860.568599537037</v>
      </c>
      <c r="G184" s="7">
        <v>1</v>
      </c>
      <c r="H184" s="21" t="s">
        <v>1006</v>
      </c>
      <c r="I184" s="13">
        <v>42860.580185185187</v>
      </c>
      <c r="J184" s="7">
        <v>0</v>
      </c>
      <c r="K184" s="92" t="str">
        <f t="shared" si="53"/>
        <v>4011/4012</v>
      </c>
      <c r="L184" s="21" t="str">
        <f>VLOOKUP(A184,'Trips&amp;Operators'!$C$1:$G$99999,5,FALSE)</f>
        <v>ZEWDU DEREJE</v>
      </c>
      <c r="M184" s="6">
        <f t="shared" si="54"/>
        <v>1.1585648149775807E-2</v>
      </c>
      <c r="N184" s="7">
        <f t="shared" si="74"/>
        <v>16.683333335677162</v>
      </c>
      <c r="O184" s="7"/>
      <c r="P184" s="7"/>
      <c r="Q184" s="22"/>
      <c r="R184" s="190"/>
      <c r="S184" s="196">
        <f t="shared" si="71"/>
        <v>1</v>
      </c>
      <c r="T184" s="190" t="str">
        <f t="shared" si="55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6"/>
        <v>https://d0f6bd738d7f1b3e5a7ca70fe4ff75f0.us-east-1.aws.found.io/app/kibana#/discover/Steve-Slow-Train-Analysis-(2080s-and-2083s)?_g=(refreshInterval:(display:Off,pause:!f,section:0,value:0),time:(from:'2017-05-05T12:36:12-0600',mode:absolute,to:'2017-05-05T14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4" s="192" t="str">
        <f t="shared" si="57"/>
        <v>N</v>
      </c>
      <c r="X184" s="192">
        <f t="shared" si="75"/>
        <v>1</v>
      </c>
      <c r="Y184" s="192">
        <f t="shared" si="59"/>
        <v>5.8640999999999996</v>
      </c>
      <c r="Z184" s="192">
        <f t="shared" si="73"/>
        <v>6.8199999999999997E-2</v>
      </c>
      <c r="AA184" s="192">
        <f t="shared" si="61"/>
        <v>5.7958999999999996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2"/>
        <v>0822-05</v>
      </c>
      <c r="AE184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84" s="77" t="str">
        <f t="shared" si="64"/>
        <v>"C:\Program Files (x86)\AstroGrep\AstroGrep.exe" /e /r /s /spath="%USERPROFILE%\AppData\Local\Temp\OnboardLogs" /stypes="app*4011*20170505*" /stext=" 19:.+((SYSTEM_STATE.+slice.+state.+changed )|(ment ac)|(multiple cpu faults)|(system.+state.+changed )|(\[timeout)|(PRM\|1\|D)|(kpr)|(kdp)|(train st.+moving)|(\|lc)|(penalty))"</v>
      </c>
      <c r="AG184" s="1" t="str">
        <f t="shared" si="65"/>
        <v>NW</v>
      </c>
      <c r="AH184" s="81" t="str">
        <f t="shared" si="66"/>
        <v>"%USERPROFILE%\Documents\GitHub\eaglep3\Utilities\RefineRTDCRunTimes.py" --tripid 822-05 --locoid 4011 --swversion DE.1.0.9.0 --startMP 300:58641 --initTime 2017-05-05T13:36:12 --startdatetime 2017-05-05T13:38:47 --delay 1 --endMP 204:682 --enddatetime 2017-05-05T13:55:28 --enforcementcount 0 &gt;&gt;C:\Users\stu\Documents\GitHub\eaglep3-reporting\EC\2017-05-05-refined-times.txt</v>
      </c>
      <c r="AI184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{"issue":{"subject":"","project_id":79,"tracker_id":40,"status_id":1,"priority_id":2,"assigned_to_id":23,"start_date":"2017-05-05","description":"","custom_fields":[{"id":1,"name":"Subdivision","value":"NW"},{"id":4,"name":"Milepost","value":"0.0682"},{"id":17,"name":"Train ID","value":"822-05"},{"id":16,"name":"Locomotive ID","value":"4011"},{"id":130,"name":"Impact","value":""},{"id":150,"name":"Time of Event (Mountain Time)","value":"13:55:28"},{"id":151,"name":"Denver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8"/>
        <v>start /low /b %USERPROFILE%\Documents\GitHub\eaglep3\Utilities\DownloadLogsFromS3.py --loco 4011 --day 2017-05-05</v>
      </c>
      <c r="AN184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19:55:28"},{"id":29,"name":"Sharepoint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750</v>
      </c>
      <c r="B185" s="7">
        <v>4012</v>
      </c>
      <c r="C185" s="21" t="s">
        <v>210</v>
      </c>
      <c r="D185" s="21" t="s">
        <v>516</v>
      </c>
      <c r="E185" s="13">
        <v>42860.582708333335</v>
      </c>
      <c r="F185" s="13">
        <v>42860.598101851851</v>
      </c>
      <c r="G185" s="7">
        <v>8</v>
      </c>
      <c r="H185" s="21" t="s">
        <v>1007</v>
      </c>
      <c r="I185" s="13">
        <v>42860.607592592591</v>
      </c>
      <c r="J185" s="7">
        <v>0</v>
      </c>
      <c r="K185" s="92" t="str">
        <f t="shared" si="53"/>
        <v>4011/4012</v>
      </c>
      <c r="L185" s="21" t="str">
        <f>VLOOKUP(A185,'Trips&amp;Operators'!$C$1:$G$99999,5,FALSE)</f>
        <v>ZEWDU DEREJE</v>
      </c>
      <c r="M185" s="6">
        <f t="shared" si="54"/>
        <v>9.4907407401478849E-3</v>
      </c>
      <c r="N185" s="7">
        <f t="shared" si="74"/>
        <v>13.666666665812954</v>
      </c>
      <c r="O185" s="7"/>
      <c r="P185" s="7"/>
      <c r="Q185" s="22"/>
      <c r="R185" s="190"/>
      <c r="S185" s="196">
        <f t="shared" si="71"/>
        <v>1</v>
      </c>
      <c r="T185" s="190" t="str">
        <f t="shared" si="55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6"/>
        <v>https://d0f6bd738d7f1b3e5a7ca70fe4ff75f0.us-east-1.aws.found.io/app/kibana#/discover/Steve-Slow-Train-Analysis-(2080s-and-2083s)?_g=(refreshInterval:(display:Off,pause:!f,section:0,value:0),time:(from:'2017-05-05T12:59:06-0600',mode:absolute,to:'2017-05-05T15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5" s="192" t="str">
        <f t="shared" si="57"/>
        <v>N</v>
      </c>
      <c r="X185" s="192">
        <f t="shared" ref="X185:X216" si="76">VALUE(LEFT(AD185,4))-VALUE(LEFT(AD184,4))</f>
        <v>1</v>
      </c>
      <c r="Y185" s="192">
        <f t="shared" si="59"/>
        <v>9.7100000000000006E-2</v>
      </c>
      <c r="Z185" s="192">
        <f t="shared" si="73"/>
        <v>5.8928000000000003</v>
      </c>
      <c r="AA185" s="192">
        <f t="shared" si="61"/>
        <v>5.7957000000000001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2"/>
        <v>0823-05</v>
      </c>
      <c r="AE185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85" s="77" t="str">
        <f t="shared" si="64"/>
        <v>"C:\Program Files (x86)\AstroGrep\AstroGrep.exe" /e /r /s /spath="%USERPROFILE%\AppData\Local\Temp\OnboardLogs" /stypes="app*4012*20170505*" /stext=" 20:.+((SYSTEM_STATE.+slice.+state.+changed )|(ment ac)|(multiple cpu faults)|(system.+state.+changed )|(\[timeout)|(PRM\|1\|D)|(kpr)|(kdp)|(train st.+moving)|(\|lc)|(penalty))"</v>
      </c>
      <c r="AG185" s="1" t="str">
        <f t="shared" si="65"/>
        <v>NW</v>
      </c>
      <c r="AH185" s="81" t="str">
        <f t="shared" si="66"/>
        <v>"%USERPROFILE%\Documents\GitHub\eaglep3\Utilities\RefineRTDCRunTimes.py" --tripid 823-05 --locoid 4012 --swversion DE.1.0.9.0 --startMP 204:971 --initTime 2017-05-05T13:59:06 --startdatetime 2017-05-05T14:21:16 --delay 8 --endMP 300:58928 --enddatetime 2017-05-05T14:34:56 --enforcementcount 0 &gt;&gt;C:\Users\stu\Documents\GitHub\eaglep3-reporting\EC\2017-05-05-refined-times.txt</v>
      </c>
      <c r="AI185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{"issue":{"subject":"","project_id":79,"tracker_id":40,"status_id":1,"priority_id":2,"assigned_to_id":23,"start_date":"2017-05-05","description":"","custom_fields":[{"id":1,"name":"Subdivision","value":"NW"},{"id":4,"name":"Milepost","value":"5.8928"},{"id":17,"name":"Train ID","value":"823-05"},{"id":16,"name":"Locomotive ID","value":"4012"},{"id":130,"name":"Impact","value":""},{"id":150,"name":"Time of Event (Mountain Time)","value":"14:34:56"},{"id":151,"name":"Denver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8"/>
        <v>start /low /b %USERPROFILE%\Documents\GitHub\eaglep3\Utilities\DownloadLogsFromS3.py --loco 4012 --day 2017-05-05</v>
      </c>
      <c r="AN185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755</v>
      </c>
      <c r="B186" s="7">
        <v>4011</v>
      </c>
      <c r="C186" s="21" t="s">
        <v>210</v>
      </c>
      <c r="D186" s="21" t="s">
        <v>993</v>
      </c>
      <c r="E186" s="13">
        <v>42860.608541666668</v>
      </c>
      <c r="F186" s="13">
        <v>42860.610023148147</v>
      </c>
      <c r="G186" s="7">
        <v>1</v>
      </c>
      <c r="H186" s="21" t="s">
        <v>521</v>
      </c>
      <c r="I186" s="13">
        <v>42860.622141203705</v>
      </c>
      <c r="J186" s="7">
        <v>0</v>
      </c>
      <c r="K186" s="92" t="str">
        <f t="shared" si="53"/>
        <v>4011/4012</v>
      </c>
      <c r="L186" s="21" t="str">
        <f>VLOOKUP(A186,'Trips&amp;Operators'!$C$1:$G$99999,5,FALSE)</f>
        <v>ZEWDU DEREJE</v>
      </c>
      <c r="M186" s="6">
        <f t="shared" si="54"/>
        <v>1.2118055557948537E-2</v>
      </c>
      <c r="N186" s="7">
        <f t="shared" si="74"/>
        <v>17.450000003445894</v>
      </c>
      <c r="O186" s="7"/>
      <c r="P186" s="7"/>
      <c r="Q186" s="22"/>
      <c r="R186" s="190"/>
      <c r="S186" s="196">
        <f t="shared" si="71"/>
        <v>1</v>
      </c>
      <c r="T186" s="190" t="str">
        <f t="shared" si="55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6"/>
        <v>https://d0f6bd738d7f1b3e5a7ca70fe4ff75f0.us-east-1.aws.found.io/app/kibana#/discover/Steve-Slow-Train-Analysis-(2080s-and-2083s)?_g=(refreshInterval:(display:Off,pause:!f,section:0,value:0),time:(from:'2017-05-05T13:36:18-0600',mode:absolute,to:'2017-05-05T15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6" s="192" t="str">
        <f t="shared" si="57"/>
        <v>N</v>
      </c>
      <c r="X186" s="192">
        <f t="shared" si="76"/>
        <v>1</v>
      </c>
      <c r="Y186" s="192">
        <f t="shared" si="59"/>
        <v>5.8615000000000004</v>
      </c>
      <c r="Z186" s="192">
        <f t="shared" si="73"/>
        <v>6.9199999999999998E-2</v>
      </c>
      <c r="AA186" s="192">
        <f t="shared" si="61"/>
        <v>5.7923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2"/>
        <v>0824-05</v>
      </c>
      <c r="AE186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86" s="77" t="str">
        <f t="shared" si="64"/>
        <v>"C:\Program Files (x86)\AstroGrep\AstroGrep.exe" /e /r /s /spath="%USERPROFILE%\AppData\Local\Temp\OnboardLogs" /stypes="app*4011*20170505*" /stext=" 20:.+((SYSTEM_STATE.+slice.+state.+changed )|(ment ac)|(multiple cpu faults)|(system.+state.+changed )|(\[timeout)|(PRM\|1\|D)|(kpr)|(kdp)|(train st.+moving)|(\|lc)|(penalty))"</v>
      </c>
      <c r="AG186" s="1" t="str">
        <f t="shared" si="65"/>
        <v>NW</v>
      </c>
      <c r="AH186" s="81" t="str">
        <f t="shared" si="66"/>
        <v>"%USERPROFILE%\Documents\GitHub\eaglep3\Utilities\RefineRTDCRunTimes.py" --tripid 824-05 --locoid 4011 --swversion DE.1.0.9.0 --startMP 300:58615 --initTime 2017-05-05T14:36:18 --startdatetime 2017-05-05T14:38:26 --delay 1 --endMP 204:692 --enddatetime 2017-05-05T14:55:53 --enforcementcount 0 &gt;&gt;C:\Users\stu\Documents\GitHub\eaglep3-reporting\EC\2017-05-05-refined-times.txt</v>
      </c>
      <c r="AI186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{"issue":{"subject":"","project_id":79,"tracker_id":40,"status_id":1,"priority_id":2,"assigned_to_id":23,"start_date":"2017-05-05","description":"","custom_fields":[{"id":1,"name":"Subdivision","value":"NW"},{"id":4,"name":"Milepost","value":"0.0692"},{"id":17,"name":"Train ID","value":"824-05"},{"id":16,"name":"Locomotive ID","value":"4011"},{"id":130,"name":"Impact","value":""},{"id":150,"name":"Time of Event (Mountain Time)","value":"14:55:53"},{"id":151,"name":"Denver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8"/>
        <v>start /low /b %USERPROFILE%\Documents\GitHub\eaglep3\Utilities\DownloadLogsFromS3.py --loco 4011 --day 2017-05-05</v>
      </c>
      <c r="AN186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758</v>
      </c>
      <c r="B187" s="7">
        <v>4012</v>
      </c>
      <c r="C187" s="21" t="s">
        <v>210</v>
      </c>
      <c r="D187" s="21" t="s">
        <v>1008</v>
      </c>
      <c r="E187" s="13">
        <v>42860.624328703707</v>
      </c>
      <c r="F187" s="13">
        <v>42860.639803240738</v>
      </c>
      <c r="G187" s="7">
        <v>2</v>
      </c>
      <c r="H187" s="21" t="s">
        <v>1009</v>
      </c>
      <c r="I187" s="13">
        <v>42860.648946759262</v>
      </c>
      <c r="J187" s="7">
        <v>0</v>
      </c>
      <c r="K187" s="92" t="str">
        <f t="shared" si="53"/>
        <v>4011/4012</v>
      </c>
      <c r="L187" s="21" t="str">
        <f>VLOOKUP(A187,'Trips&amp;Operators'!$C$1:$G$99999,5,FALSE)</f>
        <v>ZEWDU DEREJE</v>
      </c>
      <c r="M187" s="6">
        <f t="shared" si="54"/>
        <v>9.1435185240698047E-3</v>
      </c>
      <c r="N187" s="7">
        <f t="shared" si="74"/>
        <v>13.166666674660519</v>
      </c>
      <c r="O187" s="7"/>
      <c r="P187" s="7"/>
      <c r="Q187" s="22"/>
      <c r="R187" s="190"/>
      <c r="S187" s="196">
        <f t="shared" si="71"/>
        <v>1</v>
      </c>
      <c r="T187" s="190" t="str">
        <f t="shared" si="55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6"/>
        <v>https://d0f6bd738d7f1b3e5a7ca70fe4ff75f0.us-east-1.aws.found.io/app/kibana#/discover/Steve-Slow-Train-Analysis-(2080s-and-2083s)?_g=(refreshInterval:(display:Off,pause:!f,section:0,value:0),time:(from:'2017-05-05T13:59:02-0600',mode:absolute,to:'2017-05-05T16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7" s="192" t="str">
        <f t="shared" si="57"/>
        <v>N</v>
      </c>
      <c r="X187" s="192">
        <f t="shared" si="76"/>
        <v>1</v>
      </c>
      <c r="Y187" s="192">
        <f t="shared" si="59"/>
        <v>9.8100000000000007E-2</v>
      </c>
      <c r="Z187" s="192">
        <f t="shared" si="73"/>
        <v>5.8967000000000001</v>
      </c>
      <c r="AA187" s="192">
        <f t="shared" si="61"/>
        <v>5.7986000000000004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2"/>
        <v>0825-05</v>
      </c>
      <c r="AE187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87" s="77" t="str">
        <f t="shared" si="64"/>
        <v>"C:\Program Files (x86)\AstroGrep\AstroGrep.exe" /e /r /s /spath="%USERPROFILE%\AppData\Local\Temp\OnboardLogs" /stypes="app*4012*20170505*" /stext=" 21:.+((SYSTEM_STATE.+slice.+state.+changed )|(ment ac)|(multiple cpu faults)|(system.+state.+changed )|(\[timeout)|(PRM\|1\|D)|(kpr)|(kdp)|(train st.+moving)|(\|lc)|(penalty))"</v>
      </c>
      <c r="AG187" s="1" t="str">
        <f t="shared" si="65"/>
        <v>NW</v>
      </c>
      <c r="AH187" s="81" t="str">
        <f t="shared" si="66"/>
        <v>"%USERPROFILE%\Documents\GitHub\eaglep3\Utilities\RefineRTDCRunTimes.py" --tripid 825-05 --locoid 4012 --swversion DE.1.0.9.0 --startMP 204:981 --initTime 2017-05-05T14:59:02 --startdatetime 2017-05-05T15:21:19 --delay 2 --endMP 300:58967 --enddatetime 2017-05-05T15:34:29 --enforcementcount 0 &gt;&gt;C:\Users\stu\Documents\GitHub\eaglep3-reporting\EC\2017-05-05-refined-times.txt</v>
      </c>
      <c r="AI187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{"issue":{"subject":"","project_id":79,"tracker_id":40,"status_id":1,"priority_id":2,"assigned_to_id":23,"start_date":"2017-05-05","description":"","custom_fields":[{"id":1,"name":"Subdivision","value":"NW"},{"id":4,"name":"Milepost","value":"5.8967"},{"id":17,"name":"Train ID","value":"825-05"},{"id":16,"name":"Locomotive ID","value":"4012"},{"id":130,"name":"Impact","value":""},{"id":150,"name":"Time of Event (Mountain Time)","value":"15:34:29"},{"id":151,"name":"Denver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8"/>
        <v>start /low /b %USERPROFILE%\Documents\GitHub\eaglep3\Utilities\DownloadLogsFromS3.py --loco 4012 --day 2017-05-05</v>
      </c>
      <c r="AN187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766</v>
      </c>
      <c r="B188" s="7">
        <v>4011</v>
      </c>
      <c r="C188" s="21" t="s">
        <v>210</v>
      </c>
      <c r="D188" s="21" t="s">
        <v>588</v>
      </c>
      <c r="E188" s="13">
        <v>42860.64984953704</v>
      </c>
      <c r="F188" s="13">
        <v>42860.651550925926</v>
      </c>
      <c r="G188" s="7">
        <v>1</v>
      </c>
      <c r="H188" s="21" t="s">
        <v>1010</v>
      </c>
      <c r="I188" s="13">
        <v>42860.664155092592</v>
      </c>
      <c r="J188" s="7">
        <v>0</v>
      </c>
      <c r="K188" s="92" t="str">
        <f t="shared" si="53"/>
        <v>4011/4012</v>
      </c>
      <c r="L188" s="21" t="str">
        <f>VLOOKUP(A188,'Trips&amp;Operators'!$C$1:$G$99999,5,FALSE)</f>
        <v>ZEWDU DEREJE</v>
      </c>
      <c r="M188" s="6">
        <f t="shared" si="54"/>
        <v>1.2604166666278616E-2</v>
      </c>
      <c r="N188" s="7">
        <f t="shared" si="74"/>
        <v>18.149999999441206</v>
      </c>
      <c r="O188" s="7"/>
      <c r="P188" s="7"/>
      <c r="Q188" s="22"/>
      <c r="R188" s="190"/>
      <c r="S188" s="196">
        <f t="shared" si="71"/>
        <v>1</v>
      </c>
      <c r="T188" s="190" t="str">
        <f t="shared" si="55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6"/>
        <v>https://d0f6bd738d7f1b3e5a7ca70fe4ff75f0.us-east-1.aws.found.io/app/kibana#/discover/Steve-Slow-Train-Analysis-(2080s-and-2083s)?_g=(refreshInterval:(display:Off,pause:!f,section:0,value:0),time:(from:'2017-05-05T14:35:47-0600',mode:absolute,to:'2017-05-05T16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8" s="192" t="str">
        <f t="shared" si="57"/>
        <v>N</v>
      </c>
      <c r="X188" s="192">
        <f t="shared" si="76"/>
        <v>1</v>
      </c>
      <c r="Y188" s="192">
        <f t="shared" si="59"/>
        <v>5.8653000000000004</v>
      </c>
      <c r="Z188" s="192">
        <f t="shared" si="73"/>
        <v>6.7000000000000004E-2</v>
      </c>
      <c r="AA188" s="192">
        <f t="shared" si="61"/>
        <v>5.7983000000000002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2"/>
        <v>0826-05</v>
      </c>
      <c r="AE188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88" s="77" t="str">
        <f t="shared" si="64"/>
        <v>"C:\Program Files (x86)\AstroGrep\AstroGrep.exe" /e /r /s /spath="%USERPROFILE%\AppData\Local\Temp\OnboardLogs" /stypes="app*4011*20170505*" /stext=" 21:.+((SYSTEM_STATE.+slice.+state.+changed )|(ment ac)|(multiple cpu faults)|(system.+state.+changed )|(\[timeout)|(PRM\|1\|D)|(kpr)|(kdp)|(train st.+moving)|(\|lc)|(penalty))"</v>
      </c>
      <c r="AG188" s="1" t="str">
        <f t="shared" si="65"/>
        <v>NW</v>
      </c>
      <c r="AH188" s="81" t="str">
        <f t="shared" si="66"/>
        <v>"%USERPROFILE%\Documents\GitHub\eaglep3\Utilities\RefineRTDCRunTimes.py" --tripid 826-05 --locoid 4011 --swversion DE.1.0.9.0 --startMP 300:58653 --initTime 2017-05-05T15:35:47 --startdatetime 2017-05-05T15:38:14 --delay 1 --endMP 204:670 --enddatetime 2017-05-05T15:56:23 --enforcementcount 0 &gt;&gt;C:\Users\stu\Documents\GitHub\eaglep3-reporting\EC\2017-05-05-refined-times.txt</v>
      </c>
      <c r="AI188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{"issue":{"subject":"","project_id":79,"tracker_id":40,"status_id":1,"priority_id":2,"assigned_to_id":23,"start_date":"2017-05-05","description":"","custom_fields":[{"id":1,"name":"Subdivision","value":"NW"},{"id":4,"name":"Milepost","value":"0.067"},{"id":17,"name":"Train ID","value":"826-05"},{"id":16,"name":"Locomotive ID","value":"4011"},{"id":130,"name":"Impact","value":""},{"id":150,"name":"Time of Event (Mountain Time)","value":"15:56:23"},{"id":151,"name":"Denver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8"/>
        <v>start /low /b %USERPROFILE%\Documents\GitHub\eaglep3\Utilities\DownloadLogsFromS3.py --loco 4011 --day 2017-05-05</v>
      </c>
      <c r="AN188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s="20" customFormat="1" x14ac:dyDescent="0.25">
      <c r="A189" s="32" t="s">
        <v>767</v>
      </c>
      <c r="B189" s="7">
        <v>4002</v>
      </c>
      <c r="C189" s="21" t="s">
        <v>210</v>
      </c>
      <c r="D189" s="21" t="s">
        <v>514</v>
      </c>
      <c r="E189" s="13">
        <v>42860.651296296295</v>
      </c>
      <c r="F189" s="13">
        <v>42860.66065972222</v>
      </c>
      <c r="G189" s="7">
        <v>1</v>
      </c>
      <c r="H189" s="21" t="s">
        <v>459</v>
      </c>
      <c r="I189" s="13">
        <v>42860.671585648146</v>
      </c>
      <c r="J189" s="7">
        <v>0</v>
      </c>
      <c r="K189" s="92" t="str">
        <f t="shared" si="53"/>
        <v>4001/4002</v>
      </c>
      <c r="L189" s="21" t="str">
        <f>VLOOKUP(A189,'Trips&amp;Operators'!$C$1:$G$99999,5,FALSE)</f>
        <v>SMITH MICHAEL</v>
      </c>
      <c r="M189" s="6">
        <f t="shared" si="54"/>
        <v>1.0925925926130731E-2</v>
      </c>
      <c r="N189" s="7">
        <f t="shared" si="74"/>
        <v>15.733333333628252</v>
      </c>
      <c r="O189" s="7"/>
      <c r="P189" s="7"/>
      <c r="Q189" s="22"/>
      <c r="R189" s="190"/>
      <c r="S189" s="196">
        <f t="shared" si="71"/>
        <v>1</v>
      </c>
      <c r="T189" s="190" t="str">
        <f t="shared" si="55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6"/>
        <v>https://d0f6bd738d7f1b3e5a7ca70fe4ff75f0.us-east-1.aws.found.io/app/kibana#/discover/Steve-Slow-Train-Analysis-(2080s-and-2083s)?_g=(refreshInterval:(display:Off,pause:!f,section:0,value:0),time:(from:'2017-05-05T14:37:52-0600',mode:absolute,to:'2017-05-05T17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9" s="192" t="str">
        <f t="shared" si="57"/>
        <v>N</v>
      </c>
      <c r="X189" s="192">
        <f t="shared" si="76"/>
        <v>1</v>
      </c>
      <c r="Y189" s="192">
        <f t="shared" si="59"/>
        <v>9.7600000000000006E-2</v>
      </c>
      <c r="Z189" s="192">
        <f t="shared" si="73"/>
        <v>5.8949999999999996</v>
      </c>
      <c r="AA189" s="192">
        <f t="shared" si="61"/>
        <v>5.7973999999999997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2"/>
        <v>0827-05</v>
      </c>
      <c r="AE189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89" s="77" t="str">
        <f t="shared" si="64"/>
        <v>"C:\Program Files (x86)\AstroGrep\AstroGrep.exe" /e /r /s /spath="%USERPROFILE%\AppData\Local\Temp\OnboardLogs" /stypes="app*4002*20170505*" /stext=" 22:.+((SYSTEM_STATE.+slice.+state.+changed )|(ment ac)|(multiple cpu faults)|(system.+state.+changed )|(\[timeout)|(PRM\|1\|D)|(kpr)|(kdp)|(train st.+moving)|(\|lc)|(penalty))"</v>
      </c>
      <c r="AG189" s="1" t="str">
        <f t="shared" si="65"/>
        <v>NW</v>
      </c>
      <c r="AH189" s="81" t="str">
        <f t="shared" si="66"/>
        <v>"%USERPROFILE%\Documents\GitHub\eaglep3\Utilities\RefineRTDCRunTimes.py" --tripid 827-05 --locoid 4002 --swversion DE.1.0.9.0 --startMP 204:976 --initTime 2017-05-05T15:37:52 --startdatetime 2017-05-05T15:51:21 --delay 1 --endMP 300:58950 --enddatetime 2017-05-05T16:07:05 --enforcementcount 0 &gt;&gt;C:\Users\stu\Documents\GitHub\eaglep3-reporting\EC\2017-05-05-refined-times.txt</v>
      </c>
      <c r="AI189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{"issue":{"subject":"","project_id":79,"tracker_id":40,"status_id":1,"priority_id":2,"assigned_to_id":23,"start_date":"2017-05-05","description":"","custom_fields":[{"id":1,"name":"Subdivision","value":"NW"},{"id":4,"name":"Milepost","value":"5.895"},{"id":17,"name":"Train ID","value":"827-05"},{"id":16,"name":"Locomotive ID","value":"4002"},{"id":130,"name":"Impact","value":""},{"id":150,"name":"Time of Event (Mountain Time)","value":"16:07:05"},{"id":151,"name":"Denver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5" t="str">
        <f t="shared" si="68"/>
        <v>start /low /b %USERPROFILE%\Documents\GitHub\eaglep3\Utilities\DownloadLogsFromS3.py --loco 4002 --day 2017-05-05</v>
      </c>
      <c r="AN189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771</v>
      </c>
      <c r="B190" s="7">
        <v>4001</v>
      </c>
      <c r="C190" s="21" t="s">
        <v>210</v>
      </c>
      <c r="D190" s="21" t="s">
        <v>1011</v>
      </c>
      <c r="E190" s="13">
        <v>42860.672476851854</v>
      </c>
      <c r="F190" s="13">
        <v>42860.673877314817</v>
      </c>
      <c r="G190" s="7">
        <v>1</v>
      </c>
      <c r="H190" s="21" t="s">
        <v>478</v>
      </c>
      <c r="I190" s="13">
        <v>42860.684641203705</v>
      </c>
      <c r="J190" s="7">
        <v>0</v>
      </c>
      <c r="K190" s="92" t="str">
        <f t="shared" si="53"/>
        <v>4001/4002</v>
      </c>
      <c r="L190" s="21" t="str">
        <f>VLOOKUP(A190,'Trips&amp;Operators'!$C$1:$G$99999,5,FALSE)</f>
        <v>SMITH MICHAEL</v>
      </c>
      <c r="M190" s="6">
        <f t="shared" si="54"/>
        <v>1.0763888887595385E-2</v>
      </c>
      <c r="N190" s="7">
        <f t="shared" si="74"/>
        <v>15.499999998137355</v>
      </c>
      <c r="O190" s="7"/>
      <c r="P190" s="7"/>
      <c r="Q190" s="22"/>
      <c r="R190" s="190"/>
      <c r="S190" s="196">
        <f t="shared" si="71"/>
        <v>1</v>
      </c>
      <c r="T190" s="190" t="str">
        <f t="shared" si="55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6"/>
        <v>https://d0f6bd738d7f1b3e5a7ca70fe4ff75f0.us-east-1.aws.found.io/app/kibana#/discover/Steve-Slow-Train-Analysis-(2080s-and-2083s)?_g=(refreshInterval:(display:Off,pause:!f,section:0,value:0),time:(from:'2017-05-05T15:08:22-0600',mode:absolute,to:'2017-05-05T17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0" s="192" t="str">
        <f t="shared" si="57"/>
        <v>N</v>
      </c>
      <c r="X190" s="192">
        <f t="shared" si="76"/>
        <v>1</v>
      </c>
      <c r="Y190" s="192">
        <f t="shared" si="59"/>
        <v>5.8632</v>
      </c>
      <c r="Z190" s="192">
        <f t="shared" si="73"/>
        <v>6.8699999999999997E-2</v>
      </c>
      <c r="AA190" s="192">
        <f t="shared" si="61"/>
        <v>5.7945000000000002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2"/>
        <v>0828-05</v>
      </c>
      <c r="AE190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90" s="77" t="str">
        <f t="shared" si="64"/>
        <v>"C:\Program Files (x86)\AstroGrep\AstroGrep.exe" /e /r /s /spath="%USERPROFILE%\AppData\Local\Temp\OnboardLogs" /stypes="app*4001*20170505*" /stext=" 22:.+((SYSTEM_STATE.+slice.+state.+changed )|(ment ac)|(multiple cpu faults)|(system.+state.+changed )|(\[timeout)|(PRM\|1\|D)|(kpr)|(kdp)|(train st.+moving)|(\|lc)|(penalty))"</v>
      </c>
      <c r="AG190" s="1" t="str">
        <f t="shared" si="65"/>
        <v>NW</v>
      </c>
      <c r="AH190" s="81" t="str">
        <f t="shared" si="66"/>
        <v>"%USERPROFILE%\Documents\GitHub\eaglep3\Utilities\RefineRTDCRunTimes.py" --tripid 828-05 --locoid 4001 --swversion DE.1.0.9.0 --startMP 300:58632 --initTime 2017-05-05T16:08:22 --startdatetime 2017-05-05T16:10:23 --delay 1 --endMP 204:687 --enddatetime 2017-05-05T16:25:53 --enforcementcount 0 &gt;&gt;C:\Users\stu\Documents\GitHub\eaglep3-reporting\EC\2017-05-05-refined-times.txt</v>
      </c>
      <c r="AI190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{"issue":{"subject":"","project_id":79,"tracker_id":40,"status_id":1,"priority_id":2,"assigned_to_id":23,"start_date":"2017-05-05","description":"","custom_fields":[{"id":1,"name":"Subdivision","value":"NW"},{"id":4,"name":"Milepost","value":"0.0687"},{"id":17,"name":"Train ID","value":"828-05"},{"id":16,"name":"Locomotive ID","value":"4001"},{"id":130,"name":"Impact","value":""},{"id":150,"name":"Time of Event (Mountain Time)","value":"16:25:53"},{"id":151,"name":"Denver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5" t="str">
        <f t="shared" si="68"/>
        <v>start /low /b %USERPROFILE%\Documents\GitHub\eaglep3\Utilities\DownloadLogsFromS3.py --loco 4001 --day 2017-05-05</v>
      </c>
      <c r="AN190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614</v>
      </c>
      <c r="B191" s="7">
        <v>4012</v>
      </c>
      <c r="C191" s="21" t="s">
        <v>210</v>
      </c>
      <c r="D191" s="21" t="s">
        <v>519</v>
      </c>
      <c r="E191" s="13">
        <v>42860.668368055558</v>
      </c>
      <c r="F191" s="13">
        <v>42860.681481481479</v>
      </c>
      <c r="G191" s="7">
        <v>1</v>
      </c>
      <c r="H191" s="21" t="s">
        <v>1012</v>
      </c>
      <c r="I191" s="13">
        <v>42860.691388888888</v>
      </c>
      <c r="J191" s="7">
        <v>0</v>
      </c>
      <c r="K191" s="92" t="str">
        <f t="shared" si="53"/>
        <v>4011/4012</v>
      </c>
      <c r="L191" s="21" t="str">
        <f>VLOOKUP(A191,'Trips&amp;Operators'!$C$1:$G$99999,5,FALSE)</f>
        <v>ZEWDU DEREJE</v>
      </c>
      <c r="M191" s="6">
        <f t="shared" si="54"/>
        <v>9.9074074096279219E-3</v>
      </c>
      <c r="N191" s="7">
        <f t="shared" si="74"/>
        <v>14.266666669864208</v>
      </c>
      <c r="O191" s="7"/>
      <c r="P191" s="7"/>
      <c r="Q191" s="22"/>
      <c r="R191" s="190"/>
      <c r="S191" s="196">
        <f t="shared" si="71"/>
        <v>1</v>
      </c>
      <c r="T191" s="190" t="str">
        <f t="shared" si="55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6"/>
        <v>https://d0f6bd738d7f1b3e5a7ca70fe4ff75f0.us-east-1.aws.found.io/app/kibana#/discover/Steve-Slow-Train-Analysis-(2080s-and-2083s)?_g=(refreshInterval:(display:Off,pause:!f,section:0,value:0),time:(from:'2017-05-05T15:02:27-0600',mode:absolute,to:'2017-05-05T17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1" s="192" t="str">
        <f t="shared" si="57"/>
        <v>N</v>
      </c>
      <c r="X191" s="192">
        <f t="shared" si="76"/>
        <v>1</v>
      </c>
      <c r="Y191" s="192">
        <f t="shared" si="59"/>
        <v>9.7900000000000001E-2</v>
      </c>
      <c r="Z191" s="192">
        <f t="shared" si="73"/>
        <v>5.8891999999999998</v>
      </c>
      <c r="AA191" s="192">
        <f t="shared" si="61"/>
        <v>5.7912999999999997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2"/>
        <v>0829-05</v>
      </c>
      <c r="AE191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91" s="77" t="str">
        <f t="shared" si="64"/>
        <v>"C:\Program Files (x86)\AstroGrep\AstroGrep.exe" /e /r /s /spath="%USERPROFILE%\AppData\Local\Temp\OnboardLogs" /stypes="app*4012*20170505*" /stext=" 22:.+((SYSTEM_STATE.+slice.+state.+changed )|(ment ac)|(multiple cpu faults)|(system.+state.+changed )|(\[timeout)|(PRM\|1\|D)|(kpr)|(kdp)|(train st.+moving)|(\|lc)|(penalty))"</v>
      </c>
      <c r="AG191" s="1" t="str">
        <f t="shared" si="65"/>
        <v>NW</v>
      </c>
      <c r="AH191" s="81" t="str">
        <f t="shared" si="66"/>
        <v>"%USERPROFILE%\Documents\GitHub\eaglep3\Utilities\RefineRTDCRunTimes.py" --tripid 829-05 --locoid 4012 --swversion DE.1.0.9.0 --startMP 204:979 --initTime 2017-05-05T16:02:27 --startdatetime 2017-05-05T16:21:20 --delay 1 --endMP 300:58892 --enddatetime 2017-05-05T16:35:36 --enforcementcount 0 &gt;&gt;C:\Users\stu\Documents\GitHub\eaglep3-reporting\EC\2017-05-05-refined-times.txt</v>
      </c>
      <c r="AI191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{"issue":{"subject":"","project_id":79,"tracker_id":40,"status_id":1,"priority_id":2,"assigned_to_id":23,"start_date":"2017-05-05","description":"","custom_fields":[{"id":1,"name":"Subdivision","value":"NW"},{"id":4,"name":"Milepost","value":"5.8892"},{"id":17,"name":"Train ID","value":"829-05"},{"id":16,"name":"Locomotive ID","value":"4012"},{"id":130,"name":"Impact","value":""},{"id":150,"name":"Time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5" t="str">
        <f t="shared" si="68"/>
        <v>start /low /b %USERPROFILE%\Documents\GitHub\eaglep3\Utilities\DownloadLogsFromS3.py --loco 4012 --day 2017-05-05</v>
      </c>
      <c r="AN191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776</v>
      </c>
      <c r="B192" s="7">
        <v>4011</v>
      </c>
      <c r="C192" s="21" t="s">
        <v>210</v>
      </c>
      <c r="D192" s="21" t="s">
        <v>1013</v>
      </c>
      <c r="E192" s="13">
        <v>42860.692835648151</v>
      </c>
      <c r="F192" s="13">
        <v>42860.694456018522</v>
      </c>
      <c r="G192" s="7">
        <v>1</v>
      </c>
      <c r="H192" s="21" t="s">
        <v>981</v>
      </c>
      <c r="I192" s="13">
        <v>42860.706053240741</v>
      </c>
      <c r="J192" s="7">
        <v>0</v>
      </c>
      <c r="K192" s="92" t="str">
        <f t="shared" si="53"/>
        <v>4011/4012</v>
      </c>
      <c r="L192" s="21" t="str">
        <f>VLOOKUP(A192,'Trips&amp;Operators'!$C$1:$G$99999,5,FALSE)</f>
        <v>ZEWDU DEREJE</v>
      </c>
      <c r="M192" s="6">
        <f t="shared" si="54"/>
        <v>1.1597222219279502E-2</v>
      </c>
      <c r="N192" s="7">
        <f t="shared" si="74"/>
        <v>16.699999995762482</v>
      </c>
      <c r="O192" s="7"/>
      <c r="P192" s="7"/>
      <c r="Q192" s="22"/>
      <c r="R192" s="190"/>
      <c r="S192" s="196">
        <f t="shared" si="71"/>
        <v>1</v>
      </c>
      <c r="T192" s="190" t="str">
        <f t="shared" si="55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6"/>
        <v>https://d0f6bd738d7f1b3e5a7ca70fe4ff75f0.us-east-1.aws.found.io/app/kibana#/discover/Steve-Slow-Train-Analysis-(2080s-and-2083s)?_g=(refreshInterval:(display:Off,pause:!f,section:0,value:0),time:(from:'2017-05-05T15:37:41-0600',mode:absolute,to:'2017-05-05T17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2" s="192" t="str">
        <f t="shared" si="57"/>
        <v>N</v>
      </c>
      <c r="X192" s="192">
        <f t="shared" si="76"/>
        <v>1</v>
      </c>
      <c r="Y192" s="192">
        <f t="shared" si="59"/>
        <v>5.8571999999999997</v>
      </c>
      <c r="Z192" s="192">
        <f t="shared" si="73"/>
        <v>6.9800000000000001E-2</v>
      </c>
      <c r="AA192" s="192">
        <f t="shared" si="61"/>
        <v>5.7873999999999999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2"/>
        <v>0830-05</v>
      </c>
      <c r="AE192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92" s="77" t="str">
        <f t="shared" si="64"/>
        <v>"C:\Program Files (x86)\AstroGrep\AstroGrep.exe" /e /r /s /spath="%USERPROFILE%\AppData\Local\Temp\OnboardLogs" /stypes="app*4011*20170505*" /stext=" 22:.+((SYSTEM_STATE.+slice.+state.+changed )|(ment ac)|(multiple cpu faults)|(system.+state.+changed )|(\[timeout)|(PRM\|1\|D)|(kpr)|(kdp)|(train st.+moving)|(\|lc)|(penalty))"</v>
      </c>
      <c r="AG192" s="1" t="str">
        <f t="shared" si="65"/>
        <v>NW</v>
      </c>
      <c r="AH192" s="81" t="str">
        <f t="shared" si="66"/>
        <v>"%USERPROFILE%\Documents\GitHub\eaglep3\Utilities\RefineRTDCRunTimes.py" --tripid 830-05 --locoid 4011 --swversion DE.1.0.9.0 --startMP 300:58572 --initTime 2017-05-05T16:37:41 --startdatetime 2017-05-05T16:40:01 --delay 1 --endMP 204:698 --enddatetime 2017-05-05T16:56:43 --enforcementcount 0 &gt;&gt;C:\Users\stu\Documents\GitHub\eaglep3-reporting\EC\2017-05-05-refined-times.txt</v>
      </c>
      <c r="AI192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{"issue":{"subject":"","project_id":79,"tracker_id":40,"status_id":1,"priority_id":2,"assigned_to_id":23,"start_date":"2017-05-05","description":"","custom_fields":[{"id":1,"name":"Subdivision","value":"NW"},{"id":4,"name":"Milepost","value":"0.0698"},{"id":17,"name":"Train ID","value":"830-05"},{"id":16,"name":"Locomotive ID","value":"4011"},{"id":130,"name":"Impact","value":""},{"id":150,"name":"Time of Event (Mountain Time)","value":"16:56:43"},{"id":151,"name":"Denver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8"/>
        <v>start /low /b %USERPROFILE%\Documents\GitHub\eaglep3\Utilities\DownloadLogsFromS3.py --loco 4011 --day 2017-05-05</v>
      </c>
      <c r="AN192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22:56:43"},{"id":29,"name":"Sharepoint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778</v>
      </c>
      <c r="B193" s="7">
        <v>4002</v>
      </c>
      <c r="C193" s="21" t="s">
        <v>210</v>
      </c>
      <c r="D193" s="21" t="s">
        <v>1014</v>
      </c>
      <c r="E193" s="13">
        <v>42860.695462962962</v>
      </c>
      <c r="F193" s="13">
        <v>42860.702268518522</v>
      </c>
      <c r="G193" s="7">
        <v>1</v>
      </c>
      <c r="H193" s="21" t="s">
        <v>512</v>
      </c>
      <c r="I193" s="13">
        <v>42860.712881944448</v>
      </c>
      <c r="J193" s="7">
        <v>0</v>
      </c>
      <c r="K193" s="92" t="str">
        <f t="shared" si="53"/>
        <v>4001/4002</v>
      </c>
      <c r="L193" s="21" t="str">
        <f>VLOOKUP(A193,'Trips&amp;Operators'!$C$1:$G$99999,5,FALSE)</f>
        <v>SMITH MICHAEL</v>
      </c>
      <c r="M193" s="6">
        <f t="shared" si="54"/>
        <v>1.0613425925839692E-2</v>
      </c>
      <c r="N193" s="7">
        <f t="shared" si="74"/>
        <v>15.283333333209157</v>
      </c>
      <c r="O193" s="7"/>
      <c r="P193" s="7"/>
      <c r="Q193" s="22"/>
      <c r="R193" s="190"/>
      <c r="S193" s="196">
        <f t="shared" si="71"/>
        <v>1</v>
      </c>
      <c r="T193" s="190" t="str">
        <f t="shared" si="55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6"/>
        <v>https://d0f6bd738d7f1b3e5a7ca70fe4ff75f0.us-east-1.aws.found.io/app/kibana#/discover/Steve-Slow-Train-Analysis-(2080s-and-2083s)?_g=(refreshInterval:(display:Off,pause:!f,section:0,value:0),time:(from:'2017-05-05T15:41:28-0600',mode:absolute,to:'2017-05-05T18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3" s="192" t="str">
        <f t="shared" si="57"/>
        <v>N</v>
      </c>
      <c r="X193" s="192">
        <f t="shared" si="76"/>
        <v>1</v>
      </c>
      <c r="Y193" s="192">
        <f t="shared" si="59"/>
        <v>9.5799999999999996E-2</v>
      </c>
      <c r="Z193" s="192">
        <f t="shared" si="73"/>
        <v>5.8945999999999996</v>
      </c>
      <c r="AA193" s="192">
        <f t="shared" si="61"/>
        <v>5.7988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2"/>
        <v>0831-05</v>
      </c>
      <c r="AE193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93" s="77" t="str">
        <f t="shared" si="64"/>
        <v>"C:\Program Files (x86)\AstroGrep\AstroGrep.exe" /e /r /s /spath="%USERPROFILE%\AppData\Local\Temp\OnboardLogs" /stypes="app*4002*20170505*" /stext=" 23:.+((SYSTEM_STATE.+slice.+state.+changed )|(ment ac)|(multiple cpu faults)|(system.+state.+changed )|(\[timeout)|(PRM\|1\|D)|(kpr)|(kdp)|(train st.+moving)|(\|lc)|(penalty))"</v>
      </c>
      <c r="AG193" s="1" t="str">
        <f t="shared" si="65"/>
        <v>NW</v>
      </c>
      <c r="AH193" s="81" t="str">
        <f t="shared" si="66"/>
        <v>"%USERPROFILE%\Documents\GitHub\eaglep3\Utilities\RefineRTDCRunTimes.py" --tripid 831-05 --locoid 4002 --swversion DE.1.0.9.0 --startMP 204:958 --initTime 2017-05-05T16:41:28 --startdatetime 2017-05-05T16:51:16 --delay 1 --endMP 300:58946 --enddatetime 2017-05-05T17:06:33 --enforcementcount 0 &gt;&gt;C:\Users\stu\Documents\GitHub\eaglep3-reporting\EC\2017-05-05-refined-times.txt</v>
      </c>
      <c r="AI193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{"issue":{"subject":"","project_id":79,"tracker_id":40,"status_id":1,"priority_id":2,"assigned_to_id":23,"start_date":"2017-05-05","description":"","custom_fields":[{"id":1,"name":"Subdivision","value":"NW"},{"id":4,"name":"Milepost","value":"5.8946"},{"id":17,"name":"Train ID","value":"831-05"},{"id":16,"name":"Locomotive ID","value":"4002"},{"id":130,"name":"Impact","value":""},{"id":150,"name":"Time of Event (Mountain Time)","value":"17:06:33"},{"id":151,"name":"Denver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8"/>
        <v>start /low /b %USERPROFILE%\Documents\GitHub\eaglep3\Utilities\DownloadLogsFromS3.py --loco 4002 --day 2017-05-05</v>
      </c>
      <c r="AN193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780</v>
      </c>
      <c r="B194" s="7">
        <v>4001</v>
      </c>
      <c r="C194" s="21" t="s">
        <v>210</v>
      </c>
      <c r="D194" s="21" t="s">
        <v>439</v>
      </c>
      <c r="E194" s="13">
        <v>42860.71402777778</v>
      </c>
      <c r="F194" s="13">
        <v>42860.715428240743</v>
      </c>
      <c r="G194" s="7">
        <v>1</v>
      </c>
      <c r="H194" s="21" t="s">
        <v>579</v>
      </c>
      <c r="I194" s="13">
        <v>42860.72619212963</v>
      </c>
      <c r="J194" s="7">
        <v>0</v>
      </c>
      <c r="K194" s="92" t="str">
        <f t="shared" si="53"/>
        <v>4001/4002</v>
      </c>
      <c r="L194" s="21" t="str">
        <f>VLOOKUP(A194,'Trips&amp;Operators'!$C$1:$G$99999,5,FALSE)</f>
        <v>SMITH MICHAEL</v>
      </c>
      <c r="M194" s="6">
        <f t="shared" si="54"/>
        <v>1.0763888887595385E-2</v>
      </c>
      <c r="N194" s="7">
        <f t="shared" si="74"/>
        <v>15.499999998137355</v>
      </c>
      <c r="O194" s="7"/>
      <c r="P194" s="7"/>
      <c r="Q194" s="22"/>
      <c r="R194" s="190"/>
      <c r="S194" s="196">
        <f t="shared" si="71"/>
        <v>1</v>
      </c>
      <c r="T194" s="190" t="str">
        <f t="shared" si="55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6"/>
        <v>https://d0f6bd738d7f1b3e5a7ca70fe4ff75f0.us-east-1.aws.found.io/app/kibana#/discover/Steve-Slow-Train-Analysis-(2080s-and-2083s)?_g=(refreshInterval:(display:Off,pause:!f,section:0,value:0),time:(from:'2017-05-05T16:08:12-0600',mode:absolute,to:'2017-05-05T18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4" s="192" t="str">
        <f t="shared" si="57"/>
        <v>N</v>
      </c>
      <c r="X194" s="192">
        <f t="shared" si="76"/>
        <v>1</v>
      </c>
      <c r="Y194" s="192">
        <f t="shared" si="59"/>
        <v>5.8628</v>
      </c>
      <c r="Z194" s="192">
        <f t="shared" si="73"/>
        <v>6.7100000000000007E-2</v>
      </c>
      <c r="AA194" s="192">
        <f t="shared" si="61"/>
        <v>5.7957000000000001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2"/>
        <v>0832-05</v>
      </c>
      <c r="AE194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94" s="77" t="str">
        <f t="shared" si="64"/>
        <v>"C:\Program Files (x86)\AstroGrep\AstroGrep.exe" /e /r /s /spath="%USERPROFILE%\AppData\Local\Temp\OnboardLogs" /stypes="app*4001*20170505*" /stext=" 23:.+((SYSTEM_STATE.+slice.+state.+changed )|(ment ac)|(multiple cpu faults)|(system.+state.+changed )|(\[timeout)|(PRM\|1\|D)|(kpr)|(kdp)|(train st.+moving)|(\|lc)|(penalty))"</v>
      </c>
      <c r="AG194" s="1" t="str">
        <f t="shared" si="65"/>
        <v>NW</v>
      </c>
      <c r="AH194" s="81" t="str">
        <f t="shared" si="66"/>
        <v>"%USERPROFILE%\Documents\GitHub\eaglep3\Utilities\RefineRTDCRunTimes.py" --tripid 832-05 --locoid 4001 --swversion DE.1.0.9.0 --startMP 300:58628 --initTime 2017-05-05T17:08:12 --startdatetime 2017-05-05T17:10:13 --delay 1 --endMP 204:671 --enddatetime 2017-05-05T17:25:43 --enforcementcount 0 &gt;&gt;C:\Users\stu\Documents\GitHub\eaglep3-reporting\EC\2017-05-05-refined-times.txt</v>
      </c>
      <c r="AI194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{"issue":{"subject":"","project_id":79,"tracker_id":40,"status_id":1,"priority_id":2,"assigned_to_id":23,"start_date":"2017-05-05","description":"","custom_fields":[{"id":1,"name":"Subdivision","value":"NW"},{"id":4,"name":"Milepost","value":"0.0671"},{"id":17,"name":"Train ID","value":"832-05"},{"id":16,"name":"Locomotive ID","value":"4001"},{"id":130,"name":"Impact","value":""},{"id":150,"name":"Time of Event (Mountain Time)","value":"17:25:43"},{"id":151,"name":"Denver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8"/>
        <v>start /low /b %USERPROFILE%\Documents\GitHub\eaglep3\Utilities\DownloadLogsFromS3.py --loco 4001 --day 2017-05-05</v>
      </c>
      <c r="AN194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782</v>
      </c>
      <c r="B195" s="7">
        <v>4012</v>
      </c>
      <c r="C195" s="21" t="s">
        <v>210</v>
      </c>
      <c r="D195" s="21" t="s">
        <v>524</v>
      </c>
      <c r="E195" s="13">
        <v>42860.716574074075</v>
      </c>
      <c r="F195" s="13">
        <v>42860.723240740743</v>
      </c>
      <c r="G195" s="7">
        <v>1</v>
      </c>
      <c r="H195" s="21" t="s">
        <v>479</v>
      </c>
      <c r="I195" s="13">
        <v>42860.732986111114</v>
      </c>
      <c r="J195" s="7">
        <v>0</v>
      </c>
      <c r="K195" s="92" t="str">
        <f t="shared" si="53"/>
        <v>4011/4012</v>
      </c>
      <c r="L195" s="21" t="str">
        <f>VLOOKUP(A195,'Trips&amp;Operators'!$C$1:$G$99999,5,FALSE)</f>
        <v>ZEWDU DEREJE</v>
      </c>
      <c r="M195" s="6">
        <f t="shared" si="54"/>
        <v>9.7453703710925765E-3</v>
      </c>
      <c r="N195" s="7">
        <f t="shared" si="74"/>
        <v>14.03333333437331</v>
      </c>
      <c r="O195" s="7"/>
      <c r="P195" s="7"/>
      <c r="Q195" s="22"/>
      <c r="R195" s="190"/>
      <c r="S195" s="196">
        <f t="shared" si="71"/>
        <v>1</v>
      </c>
      <c r="T195" s="190" t="str">
        <f t="shared" si="55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6"/>
        <v>https://d0f6bd738d7f1b3e5a7ca70fe4ff75f0.us-east-1.aws.found.io/app/kibana#/discover/Steve-Slow-Train-Analysis-(2080s-and-2083s)?_g=(refreshInterval:(display:Off,pause:!f,section:0,value:0),time:(from:'2017-05-05T16:11:52-0600',mode:absolute,to:'2017-05-05T18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5" s="192" t="str">
        <f t="shared" si="57"/>
        <v>N</v>
      </c>
      <c r="X195" s="192">
        <f t="shared" si="76"/>
        <v>1</v>
      </c>
      <c r="Y195" s="192">
        <f t="shared" si="59"/>
        <v>9.7199999999999995E-2</v>
      </c>
      <c r="Z195" s="192">
        <f t="shared" si="73"/>
        <v>5.8944000000000001</v>
      </c>
      <c r="AA195" s="192">
        <f t="shared" si="61"/>
        <v>5.7972000000000001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2"/>
        <v>0833-05</v>
      </c>
      <c r="AE195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95" s="77" t="str">
        <f t="shared" si="64"/>
        <v>"C:\Program Files (x86)\AstroGrep\AstroGrep.exe" /e /r /s /spath="%USERPROFILE%\AppData\Local\Temp\OnboardLogs" /stypes="app*4012*20170505*" /stext=" 23:.+((SYSTEM_STATE.+slice.+state.+changed )|(ment ac)|(multiple cpu faults)|(system.+state.+changed )|(\[timeout)|(PRM\|1\|D)|(kpr)|(kdp)|(train st.+moving)|(\|lc)|(penalty))"</v>
      </c>
      <c r="AG195" s="1" t="str">
        <f t="shared" si="65"/>
        <v>NW</v>
      </c>
      <c r="AH195" s="81" t="str">
        <f t="shared" si="66"/>
        <v>"%USERPROFILE%\Documents\GitHub\eaglep3\Utilities\RefineRTDCRunTimes.py" --tripid 833-05 --locoid 4012 --swversion DE.1.0.9.0 --startMP 204:972 --initTime 2017-05-05T17:11:52 --startdatetime 2017-05-05T17:21:28 --delay 1 --endMP 300:58944 --enddatetime 2017-05-05T17:35:30 --enforcementcount 0 &gt;&gt;C:\Users\stu\Documents\GitHub\eaglep3-reporting\EC\2017-05-05-refined-times.txt</v>
      </c>
      <c r="AI195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{"issue":{"subject":"","project_id":79,"tracker_id":40,"status_id":1,"priority_id":2,"assigned_to_id":23,"start_date":"2017-05-05","description":"","custom_fields":[{"id":1,"name":"Subdivision","value":"NW"},{"id":4,"name":"Milepost","value":"5.8944"},{"id":17,"name":"Train ID","value":"833-05"},{"id":16,"name":"Locomotive ID","value":"4012"},{"id":130,"name":"Impact","value":""},{"id":150,"name":"Time of Event (Mountain Time)","value":"17:35:30"},{"id":151,"name":"Denver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8"/>
        <v>start /low /b %USERPROFILE%\Documents\GitHub\eaglep3\Utilities\DownloadLogsFromS3.py --loco 4012 --day 2017-05-05</v>
      </c>
      <c r="AN195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786</v>
      </c>
      <c r="B196" s="7">
        <v>4011</v>
      </c>
      <c r="C196" s="21" t="s">
        <v>210</v>
      </c>
      <c r="D196" s="21" t="s">
        <v>439</v>
      </c>
      <c r="E196" s="13">
        <v>42860.733807870369</v>
      </c>
      <c r="F196" s="13">
        <v>42860.735254629632</v>
      </c>
      <c r="G196" s="7">
        <v>1</v>
      </c>
      <c r="H196" s="21" t="s">
        <v>523</v>
      </c>
      <c r="I196" s="13">
        <v>42860.749456018515</v>
      </c>
      <c r="J196" s="7">
        <v>0</v>
      </c>
      <c r="K196" s="92" t="str">
        <f t="shared" si="53"/>
        <v>4011/4012</v>
      </c>
      <c r="L196" s="21" t="str">
        <f>VLOOKUP(A196,'Trips&amp;Operators'!$C$1:$G$99999,5,FALSE)</f>
        <v>ZEWDU DEREJE</v>
      </c>
      <c r="M196" s="6">
        <f t="shared" si="54"/>
        <v>1.4201388883520849E-2</v>
      </c>
      <c r="N196" s="7">
        <f t="shared" si="74"/>
        <v>20.449999992270023</v>
      </c>
      <c r="O196" s="7"/>
      <c r="P196" s="7"/>
      <c r="Q196" s="22"/>
      <c r="R196" s="190"/>
      <c r="S196" s="196">
        <f t="shared" si="71"/>
        <v>1</v>
      </c>
      <c r="T196" s="190" t="str">
        <f t="shared" si="55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6"/>
        <v>https://d0f6bd738d7f1b3e5a7ca70fe4ff75f0.us-east-1.aws.found.io/app/kibana#/discover/Steve-Slow-Train-Analysis-(2080s-and-2083s)?_g=(refreshInterval:(display:Off,pause:!f,section:0,value:0),time:(from:'2017-05-05T16:36:41-0600',mode:absolute,to:'2017-05-05T18:59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6" s="192" t="str">
        <f t="shared" si="57"/>
        <v>N</v>
      </c>
      <c r="X196" s="192">
        <f t="shared" si="76"/>
        <v>1</v>
      </c>
      <c r="Y196" s="192">
        <f t="shared" si="59"/>
        <v>5.8628</v>
      </c>
      <c r="Z196" s="192">
        <f t="shared" si="73"/>
        <v>6.9099999999999995E-2</v>
      </c>
      <c r="AA196" s="192">
        <f t="shared" si="61"/>
        <v>5.7937000000000003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2"/>
        <v>0834-05</v>
      </c>
      <c r="AE196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196" s="77" t="str">
        <f t="shared" si="64"/>
        <v>"C:\Program Files (x86)\AstroGrep\AstroGrep.exe" /e /r /s /spath="%USERPROFILE%\AppData\Local\Temp\OnboardLogs" /stypes="app*4011*20170505*" /stext=" 23:.+((SYSTEM_STATE.+slice.+state.+changed )|(ment ac)|(multiple cpu faults)|(system.+state.+changed )|(\[timeout)|(PRM\|1\|D)|(kpr)|(kdp)|(train st.+moving)|(\|lc)|(penalty))"</v>
      </c>
      <c r="AG196" s="1" t="str">
        <f t="shared" si="65"/>
        <v>NW</v>
      </c>
      <c r="AH196" s="81" t="str">
        <f t="shared" si="66"/>
        <v>"%USERPROFILE%\Documents\GitHub\eaglep3\Utilities\RefineRTDCRunTimes.py" --tripid 834-05 --locoid 4011 --swversion DE.1.0.9.0 --startMP 300:58628 --initTime 2017-05-05T17:36:41 --startdatetime 2017-05-05T17:38:46 --delay 1 --endMP 204:691 --enddatetime 2017-05-05T17:59:13 --enforcementcount 0 &gt;&gt;C:\Users\stu\Documents\GitHub\eaglep3-reporting\EC\2017-05-05-refined-times.txt</v>
      </c>
      <c r="AI196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{"issue":{"subject":"","project_id":79,"tracker_id":40,"status_id":1,"priority_id":2,"assigned_to_id":23,"start_date":"2017-05-05","description":"","custom_fields":[{"id":1,"name":"Subdivision","value":"NW"},{"id":4,"name":"Milepost","value":"0.0691"},{"id":17,"name":"Train ID","value":"834-05"},{"id":16,"name":"Locomotive ID","value":"4011"},{"id":130,"name":"Impact","value":""},{"id":150,"name":"Time of Event (Mountain Time)","value":"17:59:13"},{"id":151,"name":"Denver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8"/>
        <v>start /low /b %USERPROFILE%\Documents\GitHub\eaglep3\Utilities\DownloadLogsFromS3.py --loco 4011 --day 2017-05-05</v>
      </c>
      <c r="AN196" s="154" t="str">
        <f t="shared" si="69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23:59:13"},{"id":29,"name":"Sharepoint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787</v>
      </c>
      <c r="B197" s="7">
        <v>4002</v>
      </c>
      <c r="C197" s="21" t="s">
        <v>210</v>
      </c>
      <c r="D197" s="21" t="s">
        <v>985</v>
      </c>
      <c r="E197" s="13">
        <v>42860.735543981478</v>
      </c>
      <c r="F197" s="13">
        <v>42860.743969907409</v>
      </c>
      <c r="G197" s="7">
        <v>1</v>
      </c>
      <c r="H197" s="21" t="s">
        <v>479</v>
      </c>
      <c r="I197" s="13">
        <v>42860.755185185182</v>
      </c>
      <c r="J197" s="7">
        <v>0</v>
      </c>
      <c r="K197" s="92" t="str">
        <f t="shared" si="53"/>
        <v>4001/4002</v>
      </c>
      <c r="L197" s="21" t="str">
        <f>VLOOKUP(A197,'Trips&amp;Operators'!$C$1:$G$99999,5,FALSE)</f>
        <v>SMITH MICHAEL</v>
      </c>
      <c r="M197" s="6">
        <f t="shared" si="54"/>
        <v>1.1215277772862464E-2</v>
      </c>
      <c r="N197" s="7">
        <f t="shared" si="74"/>
        <v>16.149999992921948</v>
      </c>
      <c r="O197" s="7"/>
      <c r="P197" s="7"/>
      <c r="Q197" s="22"/>
      <c r="R197" s="190"/>
      <c r="S197" s="196">
        <f t="shared" si="71"/>
        <v>1</v>
      </c>
      <c r="T197" s="190" t="str">
        <f t="shared" si="55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6"/>
        <v>https://d0f6bd738d7f1b3e5a7ca70fe4ff75f0.us-east-1.aws.found.io/app/kibana#/discover/Steve-Slow-Train-Analysis-(2080s-and-2083s)?_g=(refreshInterval:(display:Off,pause:!f,section:0,value:0),time:(from:'2017-05-05T16:39:11-0600',mode:absolute,to:'2017-05-05T19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7" s="192" t="str">
        <f t="shared" si="57"/>
        <v>N</v>
      </c>
      <c r="X197" s="192">
        <f t="shared" si="76"/>
        <v>1</v>
      </c>
      <c r="Y197" s="192">
        <f t="shared" si="59"/>
        <v>9.8299999999999998E-2</v>
      </c>
      <c r="Z197" s="192">
        <f t="shared" si="73"/>
        <v>5.8944000000000001</v>
      </c>
      <c r="AA197" s="192">
        <f t="shared" si="61"/>
        <v>5.7961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2"/>
        <v>0835-05</v>
      </c>
      <c r="AE197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197" s="77" t="str">
        <f t="shared" si="64"/>
        <v>"C:\Program Files (x86)\AstroGrep\AstroGrep.exe" /e /r /s /spath="%USERPROFILE%\AppData\Local\Temp\OnboardLogs" /stypes="app*4002*20170506*" /stext=" 00:.+((SYSTEM_STATE.+slice.+state.+changed )|(ment ac)|(multiple cpu faults)|(system.+state.+changed )|(\[timeout)|(PRM\|1\|D)|(kpr)|(kdp)|(train st.+moving)|(\|lc)|(penalty))"</v>
      </c>
      <c r="AG197" s="1" t="str">
        <f t="shared" si="65"/>
        <v>NW</v>
      </c>
      <c r="AH197" s="81" t="str">
        <f t="shared" si="66"/>
        <v>"%USERPROFILE%\Documents\GitHub\eaglep3\Utilities\RefineRTDCRunTimes.py" --tripid 835-05 --locoid 4002 --swversion DE.1.0.9.0 --startMP 204:983 --initTime 2017-05-05T17:39:11 --startdatetime 2017-05-05T17:51:19 --delay 1 --endMP 300:58944 --enddatetime 2017-05-05T18:07:28 --enforcementcount 0 &gt;&gt;C:\Users\stu\Documents\GitHub\eaglep3-reporting\EC\2017-05-05-refined-times.txt</v>
      </c>
      <c r="AI197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{"issue":{"subject":"","project_id":79,"tracker_id":40,"status_id":1,"priority_id":2,"assigned_to_id":23,"start_date":"2017-05-05","description":"","custom_fields":[{"id":1,"name":"Subdivision","value":"NW"},{"id":4,"name":"Milepost","value":"5.8944"},{"id":17,"name":"Train ID","value":"835-05"},{"id":16,"name":"Locomotive ID","value":"4002"},{"id":130,"name":"Impact","value":""},{"id":150,"name":"Time of Event (Mountain Time)","value":"18:07:28"},{"id":151,"name":"Denver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8"/>
        <v>start /low /b %USERPROFILE%\Documents\GitHub\eaglep3\Utilities\DownloadLogsFromS3.py --loco 4002 --day 2017-05-05</v>
      </c>
      <c r="AN197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797</v>
      </c>
      <c r="B198" s="7">
        <v>4001</v>
      </c>
      <c r="C198" s="21" t="s">
        <v>210</v>
      </c>
      <c r="D198" s="21" t="s">
        <v>1015</v>
      </c>
      <c r="E198" s="13">
        <v>42860.756180555552</v>
      </c>
      <c r="F198" s="13">
        <v>42860.75744212963</v>
      </c>
      <c r="G198" s="7">
        <v>1</v>
      </c>
      <c r="H198" s="21" t="s">
        <v>1016</v>
      </c>
      <c r="I198" s="13">
        <v>42860.768541666665</v>
      </c>
      <c r="J198" s="7">
        <v>0</v>
      </c>
      <c r="K198" s="92" t="str">
        <f t="shared" si="53"/>
        <v>4001/4002</v>
      </c>
      <c r="L198" s="21" t="str">
        <f>VLOOKUP(A198,'Trips&amp;Operators'!$C$1:$G$99999,5,FALSE)</f>
        <v>SMITH MICHAEL</v>
      </c>
      <c r="M198" s="6">
        <f t="shared" si="54"/>
        <v>1.1099537034169771E-2</v>
      </c>
      <c r="N198" s="7">
        <f t="shared" si="74"/>
        <v>15.98333332920447</v>
      </c>
      <c r="O198" s="7"/>
      <c r="P198" s="7"/>
      <c r="Q198" s="22"/>
      <c r="R198" s="190"/>
      <c r="S198" s="196">
        <f t="shared" si="71"/>
        <v>1</v>
      </c>
      <c r="T198" s="190" t="str">
        <f t="shared" si="55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6"/>
        <v>https://d0f6bd738d7f1b3e5a7ca70fe4ff75f0.us-east-1.aws.found.io/app/kibana#/discover/Steve-Slow-Train-Analysis-(2080s-and-2083s)?_g=(refreshInterval:(display:Off,pause:!f,section:0,value:0),time:(from:'2017-05-05T17:08:54-0600',mode:absolute,to:'2017-05-05T19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192" t="str">
        <f t="shared" si="57"/>
        <v>N</v>
      </c>
      <c r="X198" s="192">
        <f t="shared" si="76"/>
        <v>1</v>
      </c>
      <c r="Y198" s="192">
        <f t="shared" si="59"/>
        <v>5.8635999999999999</v>
      </c>
      <c r="Z198" s="192">
        <f t="shared" si="73"/>
        <v>6.59E-2</v>
      </c>
      <c r="AA198" s="192">
        <f t="shared" si="61"/>
        <v>5.7976999999999999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2"/>
        <v>0836-05</v>
      </c>
      <c r="AE198" s="80" t="str">
        <f t="shared" si="63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198" s="77" t="str">
        <f t="shared" si="64"/>
        <v>"C:\Program Files (x86)\AstroGrep\AstroGrep.exe" /e /r /s /spath="%USERPROFILE%\AppData\Local\Temp\OnboardLogs" /stypes="app*4001*20170506*" /stext=" 00:.+((SYSTEM_STATE.+slice.+state.+changed )|(ment ac)|(multiple cpu faults)|(system.+state.+changed )|(\[timeout)|(PRM\|1\|D)|(kpr)|(kdp)|(train st.+moving)|(\|lc)|(penalty))"</v>
      </c>
      <c r="AG198" s="1" t="str">
        <f t="shared" si="65"/>
        <v>NW</v>
      </c>
      <c r="AH198" s="81" t="str">
        <f t="shared" si="66"/>
        <v>"%USERPROFILE%\Documents\GitHub\eaglep3\Utilities\RefineRTDCRunTimes.py" --tripid 836-05 --locoid 4001 --swversion DE.1.0.9.0 --startMP 300:58636 --initTime 2017-05-05T18:08:54 --startdatetime 2017-05-05T18:10:43 --delay 1 --endMP 204:659 --enddatetime 2017-05-05T18:26:42 --enforcementcount 0 &gt;&gt;C:\Users\stu\Documents\GitHub\eaglep3-reporting\EC\2017-05-05-refined-times.txt</v>
      </c>
      <c r="AI198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{"issue":{"subject":"","project_id":79,"tracker_id":40,"status_id":1,"priority_id":2,"assigned_to_id":23,"start_date":"2017-05-05","description":"","custom_fields":[{"id":1,"name":"Subdivision","value":"NW"},{"id":4,"name":"Milepost","value":"0.0659"},{"id":17,"name":"Train ID","value":"836-05"},{"id":16,"name":"Locomotive ID","value":"4001"},{"id":130,"name":"Impact","value":""},{"id":150,"name":"Time of Event (Mountain Time)","value":"18:26:42"},{"id":151,"name":"Denver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8"/>
        <v>start /low /b %USERPROFILE%\Documents\GitHub\eaglep3\Utilities\DownloadLogsFromS3.py --loco 4001 --day 2017-05-05</v>
      </c>
      <c r="AN198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795</v>
      </c>
      <c r="B199" s="7">
        <v>4012</v>
      </c>
      <c r="C199" s="21" t="s">
        <v>210</v>
      </c>
      <c r="D199" s="21" t="s">
        <v>524</v>
      </c>
      <c r="E199" s="13">
        <v>42860.753958333335</v>
      </c>
      <c r="F199" s="13">
        <v>42860.764756944445</v>
      </c>
      <c r="G199" s="7">
        <v>1</v>
      </c>
      <c r="H199" s="21" t="s">
        <v>992</v>
      </c>
      <c r="I199" s="13">
        <v>42860.774189814816</v>
      </c>
      <c r="J199" s="7">
        <v>0</v>
      </c>
      <c r="K199" s="92" t="str">
        <f t="shared" si="53"/>
        <v>4011/4012</v>
      </c>
      <c r="L199" s="21" t="str">
        <f>VLOOKUP(A199,'Trips&amp;Operators'!$C$1:$G$99999,5,FALSE)</f>
        <v>ZEWDU DEREJE</v>
      </c>
      <c r="M199" s="6">
        <f t="shared" si="54"/>
        <v>9.4328703708015382E-3</v>
      </c>
      <c r="N199" s="7">
        <f t="shared" si="74"/>
        <v>13.583333333954215</v>
      </c>
      <c r="O199" s="7"/>
      <c r="P199" s="7"/>
      <c r="Q199" s="22"/>
      <c r="R199" s="190"/>
      <c r="S199" s="196">
        <f t="shared" si="71"/>
        <v>1</v>
      </c>
      <c r="T199" s="190" t="str">
        <f t="shared" si="55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6"/>
        <v>https://d0f6bd738d7f1b3e5a7ca70fe4ff75f0.us-east-1.aws.found.io/app/kibana#/discover/Steve-Slow-Train-Analysis-(2080s-and-2083s)?_g=(refreshInterval:(display:Off,pause:!f,section:0,value:0),time:(from:'2017-05-05T17:05:42-0600',mode:absolute,to:'2017-05-05T19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9" s="192" t="str">
        <f t="shared" si="57"/>
        <v>N</v>
      </c>
      <c r="X199" s="192">
        <f t="shared" si="76"/>
        <v>1</v>
      </c>
      <c r="Y199" s="192">
        <f t="shared" si="59"/>
        <v>9.7199999999999995E-2</v>
      </c>
      <c r="Z199" s="192">
        <f t="shared" si="73"/>
        <v>5.8935000000000004</v>
      </c>
      <c r="AA199" s="192">
        <f t="shared" si="61"/>
        <v>5.7963000000000005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2"/>
        <v>0837-05</v>
      </c>
      <c r="AE199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199" s="77" t="str">
        <f t="shared" si="64"/>
        <v>"C:\Program Files (x86)\AstroGrep\AstroGrep.exe" /e /r /s /spath="%USERPROFILE%\AppData\Local\Temp\OnboardLogs" /stypes="app*4012*20170506*" /stext=" 00:.+((SYSTEM_STATE.+slice.+state.+changed )|(ment ac)|(multiple cpu faults)|(system.+state.+changed )|(\[timeout)|(PRM\|1\|D)|(kpr)|(kdp)|(train st.+moving)|(\|lc)|(penalty))"</v>
      </c>
      <c r="AG199" s="1" t="str">
        <f t="shared" si="65"/>
        <v>NW</v>
      </c>
      <c r="AH199" s="81" t="str">
        <f t="shared" si="66"/>
        <v>"%USERPROFILE%\Documents\GitHub\eaglep3\Utilities\RefineRTDCRunTimes.py" --tripid 837-05 --locoid 4012 --swversion DE.1.0.9.0 --startMP 204:972 --initTime 2017-05-05T18:05:42 --startdatetime 2017-05-05T18:21:15 --delay 1 --endMP 300:58935 --enddatetime 2017-05-05T18:34:50 --enforcementcount 0 &gt;&gt;C:\Users\stu\Documents\GitHub\eaglep3-reporting\EC\2017-05-05-refined-times.txt</v>
      </c>
      <c r="AI199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{"issue":{"subject":"","project_id":79,"tracker_id":40,"status_id":1,"priority_id":2,"assigned_to_id":23,"start_date":"2017-05-05","description":"","custom_fields":[{"id":1,"name":"Subdivision","value":"NW"},{"id":4,"name":"Milepost","value":"5.8935"},{"id":17,"name":"Train ID","value":"837-05"},{"id":16,"name":"Locomotive ID","value":"4012"},{"id":130,"name":"Impact","value":""},{"id":150,"name":"Time of Event (Mountain Time)","value":"18:34:50"},{"id":151,"name":"Denver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8"/>
        <v>start /low /b %USERPROFILE%\Documents\GitHub\eaglep3\Utilities\DownloadLogsFromS3.py --loco 4012 --day 2017-05-05</v>
      </c>
      <c r="AN199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802</v>
      </c>
      <c r="B200" s="7">
        <v>4011</v>
      </c>
      <c r="C200" s="21" t="s">
        <v>210</v>
      </c>
      <c r="D200" s="21" t="s">
        <v>518</v>
      </c>
      <c r="E200" s="13">
        <v>42860.775358796294</v>
      </c>
      <c r="F200" s="13">
        <v>42860.776967592596</v>
      </c>
      <c r="G200" s="7">
        <v>1</v>
      </c>
      <c r="H200" s="21" t="s">
        <v>587</v>
      </c>
      <c r="I200" s="13">
        <v>42860.790439814817</v>
      </c>
      <c r="J200" s="7">
        <v>0</v>
      </c>
      <c r="K200" s="92" t="str">
        <f t="shared" si="53"/>
        <v>4011/4012</v>
      </c>
      <c r="L200" s="21" t="str">
        <f>VLOOKUP(A200,'Trips&amp;Operators'!$C$1:$G$99999,5,FALSE)</f>
        <v>ZEWDU DEREJE</v>
      </c>
      <c r="M200" s="6">
        <f t="shared" si="54"/>
        <v>1.3472222221025731E-2</v>
      </c>
      <c r="N200" s="7">
        <f t="shared" si="74"/>
        <v>19.399999998277053</v>
      </c>
      <c r="O200" s="7"/>
      <c r="P200" s="7"/>
      <c r="Q200" s="22"/>
      <c r="R200" s="190"/>
      <c r="S200" s="196">
        <f t="shared" si="71"/>
        <v>1</v>
      </c>
      <c r="T200" s="190" t="str">
        <f t="shared" si="55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6"/>
        <v>https://d0f6bd738d7f1b3e5a7ca70fe4ff75f0.us-east-1.aws.found.io/app/kibana#/discover/Steve-Slow-Train-Analysis-(2080s-and-2083s)?_g=(refreshInterval:(display:Off,pause:!f,section:0,value:0),time:(from:'2017-05-05T17:36:31-0600',mode:absolute,to:'2017-05-05T19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0" s="192" t="str">
        <f t="shared" si="57"/>
        <v>N</v>
      </c>
      <c r="X200" s="192">
        <f t="shared" si="76"/>
        <v>1</v>
      </c>
      <c r="Y200" s="192">
        <f t="shared" si="59"/>
        <v>5.8639999999999999</v>
      </c>
      <c r="Z200" s="192">
        <f t="shared" si="73"/>
        <v>6.8400000000000002E-2</v>
      </c>
      <c r="AA200" s="192">
        <f t="shared" si="61"/>
        <v>5.7956000000000003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2"/>
        <v>0838-05</v>
      </c>
      <c r="AE200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00" s="77" t="str">
        <f t="shared" si="64"/>
        <v>"C:\Program Files (x86)\AstroGrep\AstroGrep.exe" /e /r /s /spath="%USERPROFILE%\AppData\Local\Temp\OnboardLogs" /stypes="app*4011*20170506*" /stext=" 00:.+((SYSTEM_STATE.+slice.+state.+changed )|(ment ac)|(multiple cpu faults)|(system.+state.+changed )|(\[timeout)|(PRM\|1\|D)|(kpr)|(kdp)|(train st.+moving)|(\|lc)|(penalty))"</v>
      </c>
      <c r="AG200" s="1" t="str">
        <f t="shared" si="65"/>
        <v>NW</v>
      </c>
      <c r="AH200" s="81" t="str">
        <f t="shared" si="66"/>
        <v>"%USERPROFILE%\Documents\GitHub\eaglep3\Utilities\RefineRTDCRunTimes.py" --tripid 838-05 --locoid 4011 --swversion DE.1.0.9.0 --startMP 300:58640 --initTime 2017-05-05T18:36:31 --startdatetime 2017-05-05T18:38:50 --delay 1 --endMP 204:684 --enddatetime 2017-05-05T18:58:14 --enforcementcount 0 &gt;&gt;C:\Users\stu\Documents\GitHub\eaglep3-reporting\EC\2017-05-05-refined-times.txt</v>
      </c>
      <c r="AI200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{"issue":{"subject":"","project_id":79,"tracker_id":40,"status_id":1,"priority_id":2,"assigned_to_id":23,"start_date":"2017-05-05","description":"","custom_fields":[{"id":1,"name":"Subdivision","value":"NW"},{"id":4,"name":"Milepost","value":"0.0684"},{"id":17,"name":"Train ID","value":"838-05"},{"id":16,"name":"Locomotive ID","value":"4011"},{"id":130,"name":"Impact","value":""},{"id":150,"name":"Time of Event (Mountain Time)","value":"18:58:14"},{"id":151,"name":"Denver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8"/>
        <v>start /low /b %USERPROFILE%\Documents\GitHub\eaglep3\Utilities\DownloadLogsFromS3.py --loco 4011 --day 2017-05-05</v>
      </c>
      <c r="AN200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00:58:14"},{"id":29,"name":"Sharepoint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804</v>
      </c>
      <c r="B201" s="7">
        <v>4002</v>
      </c>
      <c r="C201" s="21" t="s">
        <v>210</v>
      </c>
      <c r="D201" s="21" t="s">
        <v>1017</v>
      </c>
      <c r="E201" s="13">
        <v>42860.778124999997</v>
      </c>
      <c r="F201" s="13">
        <v>42860.785613425927</v>
      </c>
      <c r="G201" s="7">
        <v>1</v>
      </c>
      <c r="H201" s="21" t="s">
        <v>1004</v>
      </c>
      <c r="I201" s="13">
        <v>42860.798622685186</v>
      </c>
      <c r="J201" s="7">
        <v>0</v>
      </c>
      <c r="K201" s="92" t="str">
        <f t="shared" si="53"/>
        <v>4001/4002</v>
      </c>
      <c r="L201" s="21" t="str">
        <f>VLOOKUP(A201,'Trips&amp;Operators'!$C$1:$G$99999,5,FALSE)</f>
        <v>SMITH MICHAEL</v>
      </c>
      <c r="M201" s="6">
        <f t="shared" si="54"/>
        <v>1.3009259258979E-2</v>
      </c>
      <c r="N201" s="7">
        <f t="shared" si="74"/>
        <v>18.73333333292976</v>
      </c>
      <c r="O201" s="7"/>
      <c r="P201" s="7"/>
      <c r="Q201" s="22"/>
      <c r="R201" s="190" t="s">
        <v>590</v>
      </c>
      <c r="S201" s="196">
        <f t="shared" si="71"/>
        <v>1</v>
      </c>
      <c r="T201" s="190" t="str">
        <f t="shared" si="55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6"/>
        <v>https://d0f6bd738d7f1b3e5a7ca70fe4ff75f0.us-east-1.aws.found.io/app/kibana#/discover/Steve-Slow-Train-Analysis-(2080s-and-2083s)?_g=(refreshInterval:(display:Off,pause:!f,section:0,value:0),time:(from:'2017-05-05T17:40:30-0600',mode:absolute,to:'2017-05-05T20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192" t="str">
        <f t="shared" si="57"/>
        <v>N</v>
      </c>
      <c r="X201" s="192">
        <f t="shared" si="76"/>
        <v>1</v>
      </c>
      <c r="Y201" s="192">
        <f t="shared" si="59"/>
        <v>9.64E-2</v>
      </c>
      <c r="Z201" s="192">
        <f t="shared" si="73"/>
        <v>5.8948</v>
      </c>
      <c r="AA201" s="192">
        <f t="shared" si="61"/>
        <v>5.7984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2"/>
        <v>0839-05</v>
      </c>
      <c r="AE201" s="80" t="str">
        <f t="shared" si="63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201" s="77" t="str">
        <f t="shared" si="64"/>
        <v>"C:\Program Files (x86)\AstroGrep\AstroGrep.exe" /e /r /s /spath="%USERPROFILE%\AppData\Local\Temp\OnboardLogs" /stypes="app*4002*20170506*" /stext=" 01:.+((SYSTEM_STATE.+slice.+state.+changed )|(ment ac)|(multiple cpu faults)|(system.+state.+changed )|(\[timeout)|(PRM\|1\|D)|(kpr)|(kdp)|(train st.+moving)|(\|lc)|(penalty))"</v>
      </c>
      <c r="AG201" s="1" t="str">
        <f t="shared" si="65"/>
        <v>NW</v>
      </c>
      <c r="AH201" s="81" t="str">
        <f t="shared" si="66"/>
        <v>"%USERPROFILE%\Documents\GitHub\eaglep3\Utilities\RefineRTDCRunTimes.py" --tripid 839-05 --locoid 4002 --swversion DE.1.0.9.0 --startMP 204:964 --initTime 2017-05-05T18:40:30 --startdatetime 2017-05-05T18:51:17 --delay 1 --endMP 300:58948 --enddatetime 2017-05-05T19:10:01 --enforcementcount 0 &gt;&gt;C:\Users\stu\Documents\GitHub\eaglep3-reporting\EC\2017-05-05-refined-times.txt</v>
      </c>
      <c r="AI201" s="99" t="str">
        <f t="shared" si="67"/>
        <v>echo {"issue":{"subject":"Brief Wi-MAX data drop, no enforcement","project_id":79,"tracker_id":40,"status_id":1,"priority_id":2,"assigned_to_id":23,"start_date":"2017-05-05","description":"","custom_fields":[{"id":1,"name":"Subdivision","value":"NW"},{"id":4,"name":"Milepost","value":"5.8948"},{"id":17,"name":"Train ID","value":"839-05"},{"id":16,"name":"Locomotive ID","value":"4002"},{"id":130,"name":"Impact","value":""},{"id":150,"name":"Time of Event (Mountain Time)","value":"19:10:01"},{"id":151,"name":"Denver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8"/>
        <v>start /low /b %USERPROFILE%\Documents\GitHub\eaglep3\Utilities\DownloadLogsFromS3.py --loco 4002 --day 2017-05-05</v>
      </c>
      <c r="AN201" s="154" t="str">
        <f t="shared" si="69"/>
        <v>echo {"issue":{"subject":"Brief Wi-MAX data drop, no enforcement","project_id":30,"tracker_id":4,"status_id":1,"priority_id":1,"assigned_to_id":10,"start_date":"2017-05-06","description":"","custom_fields":[{"id":30,"name":"Category","value":"Issue"},{"id":3,"name":"Functional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812</v>
      </c>
      <c r="B202" s="7">
        <v>4011</v>
      </c>
      <c r="C202" s="21" t="s">
        <v>210</v>
      </c>
      <c r="D202" s="21" t="s">
        <v>1018</v>
      </c>
      <c r="E202" s="13">
        <v>42860.817118055558</v>
      </c>
      <c r="F202" s="13">
        <v>42860.818703703706</v>
      </c>
      <c r="G202" s="7">
        <v>1</v>
      </c>
      <c r="H202" s="21" t="s">
        <v>523</v>
      </c>
      <c r="I202" s="13">
        <v>42860.830960648149</v>
      </c>
      <c r="J202" s="7">
        <v>0</v>
      </c>
      <c r="K202" s="92" t="str">
        <f t="shared" si="53"/>
        <v>4011/4012</v>
      </c>
      <c r="L202" s="21" t="str">
        <f>VLOOKUP(A202,'Trips&amp;Operators'!$C$1:$G$99999,5,FALSE)</f>
        <v>ZEWDU DEREJE</v>
      </c>
      <c r="M202" s="6">
        <f t="shared" si="54"/>
        <v>1.2256944442924578E-2</v>
      </c>
      <c r="N202" s="7">
        <f t="shared" si="74"/>
        <v>17.649999997811392</v>
      </c>
      <c r="O202" s="7"/>
      <c r="P202" s="7"/>
      <c r="Q202" s="22"/>
      <c r="R202" s="190"/>
      <c r="S202" s="196">
        <f t="shared" ref="S202:S233" si="77">SUM(U202:U202)/IF(AG202="EC",12,1)</f>
        <v>1</v>
      </c>
      <c r="T202" s="190" t="str">
        <f t="shared" si="55"/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56"/>
        <v>https://d0f6bd738d7f1b3e5a7ca70fe4ff75f0.us-east-1.aws.found.io/app/kibana#/discover/Steve-Slow-Train-Analysis-(2080s-and-2083s)?_g=(refreshInterval:(display:Off,pause:!f,section:0,value:0),time:(from:'2017-05-05T18:36:39-0600',mode:absolute,to:'2017-05-05T20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2" s="192" t="str">
        <f t="shared" si="57"/>
        <v>N</v>
      </c>
      <c r="X202" s="192">
        <f t="shared" si="76"/>
        <v>1</v>
      </c>
      <c r="Y202" s="192">
        <f t="shared" si="59"/>
        <v>5.8654999999999999</v>
      </c>
      <c r="Z202" s="192">
        <f t="shared" si="73"/>
        <v>6.9099999999999995E-2</v>
      </c>
      <c r="AA202" s="192">
        <f t="shared" si="61"/>
        <v>5.7964000000000002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2"/>
        <v>0840-05</v>
      </c>
      <c r="AE202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02" s="77" t="str">
        <f t="shared" si="64"/>
        <v>"C:\Program Files (x86)\AstroGrep\AstroGrep.exe" /e /r /s /spath="%USERPROFILE%\AppData\Local\Temp\OnboardLogs" /stypes="app*4011*20170506*" /stext=" 01:.+((SYSTEM_STATE.+slice.+state.+changed )|(ment ac)|(multiple cpu faults)|(system.+state.+changed )|(\[timeout)|(PRM\|1\|D)|(kpr)|(kdp)|(train st.+moving)|(\|lc)|(penalty))"</v>
      </c>
      <c r="AG202" s="1" t="str">
        <f t="shared" si="65"/>
        <v>NW</v>
      </c>
      <c r="AH202" s="81" t="str">
        <f t="shared" si="66"/>
        <v>"%USERPROFILE%\Documents\GitHub\eaglep3\Utilities\RefineRTDCRunTimes.py" --tripid 840-05 --locoid 4011 --swversion DE.1.0.9.0 --startMP 300:58655 --initTime 2017-05-05T19:36:39 --startdatetime 2017-05-05T19:38:56 --delay 1 --endMP 204:691 --enddatetime 2017-05-05T19:56:35 --enforcementcount 0 &gt;&gt;C:\Users\stu\Documents\GitHub\eaglep3-reporting\EC\2017-05-05-refined-times.txt</v>
      </c>
      <c r="AI202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{"issue":{"subject":"","project_id":79,"tracker_id":40,"status_id":1,"priority_id":2,"assigned_to_id":23,"start_date":"2017-05-05","description":"","custom_fields":[{"id":1,"name":"Subdivision","value":"NW"},{"id":4,"name":"Milepost","value":"0.0691"},{"id":17,"name":"Train ID","value":"840-05"},{"id":16,"name":"Locomotive ID","value":"4011"},{"id":130,"name":"Impact","value":""},{"id":150,"name":"Time of Event (Mountain Time)","value":"19:56:35"},{"id":151,"name":"Denver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5" t="str">
        <f t="shared" si="68"/>
        <v>start /low /b %USERPROFILE%\Documents\GitHub\eaglep3\Utilities\DownloadLogsFromS3.py --loco 4011 --day 2017-05-05</v>
      </c>
      <c r="AN202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808</v>
      </c>
      <c r="B203" s="7">
        <v>4012</v>
      </c>
      <c r="C203" s="21" t="s">
        <v>210</v>
      </c>
      <c r="D203" s="21" t="s">
        <v>1019</v>
      </c>
      <c r="E203" s="13">
        <v>42860.794108796297</v>
      </c>
      <c r="F203" s="13">
        <v>42860.806400462963</v>
      </c>
      <c r="G203" s="7">
        <v>1</v>
      </c>
      <c r="H203" s="21" t="s">
        <v>1020</v>
      </c>
      <c r="I203" s="13">
        <v>42860.816134259258</v>
      </c>
      <c r="J203" s="7">
        <v>0</v>
      </c>
      <c r="K203" s="92" t="str">
        <f t="shared" si="53"/>
        <v>4011/4012</v>
      </c>
      <c r="L203" s="21" t="str">
        <f>VLOOKUP(A203,'Trips&amp;Operators'!$C$1:$G$99999,5,FALSE)</f>
        <v>ZEWDU DEREJE</v>
      </c>
      <c r="M203" s="6">
        <f t="shared" si="54"/>
        <v>9.7337962943129241E-3</v>
      </c>
      <c r="N203" s="7">
        <f t="shared" si="74"/>
        <v>14.016666663810611</v>
      </c>
      <c r="O203" s="7"/>
      <c r="P203" s="7"/>
      <c r="Q203" s="22"/>
      <c r="R203" s="190"/>
      <c r="S203" s="196">
        <f t="shared" si="77"/>
        <v>1</v>
      </c>
      <c r="T203" s="190" t="str">
        <f t="shared" si="55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6"/>
        <v>https://d0f6bd738d7f1b3e5a7ca70fe4ff75f0.us-east-1.aws.found.io/app/kibana#/discover/Steve-Slow-Train-Analysis-(2080s-and-2083s)?_g=(refreshInterval:(display:Off,pause:!f,section:0,value:0),time:(from:'2017-05-05T18:03:31-0600',mode:absolute,to:'2017-05-05T20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3" s="192" t="str">
        <f t="shared" si="57"/>
        <v>N</v>
      </c>
      <c r="X203" s="192">
        <f t="shared" si="76"/>
        <v>1</v>
      </c>
      <c r="Y203" s="192">
        <f t="shared" si="59"/>
        <v>9.9199999999999997E-2</v>
      </c>
      <c r="Z203" s="192">
        <f t="shared" si="73"/>
        <v>5.8968999999999996</v>
      </c>
      <c r="AA203" s="192">
        <f t="shared" si="61"/>
        <v>5.7976999999999999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2"/>
        <v>0841-05</v>
      </c>
      <c r="AE203" s="80" t="str">
        <f t="shared" si="63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203" s="77" t="str">
        <f t="shared" si="64"/>
        <v>"C:\Program Files (x86)\AstroGrep\AstroGrep.exe" /e /r /s /spath="%USERPROFILE%\AppData\Local\Temp\OnboardLogs" /stypes="app*4012*20170506*" /stext=" 01:.+((SYSTEM_STATE.+slice.+state.+changed )|(ment ac)|(multiple cpu faults)|(system.+state.+changed )|(\[timeout)|(PRM\|1\|D)|(kpr)|(kdp)|(train st.+moving)|(\|lc)|(penalty))"</v>
      </c>
      <c r="AG203" s="1" t="str">
        <f t="shared" si="65"/>
        <v>NW</v>
      </c>
      <c r="AH203" s="81" t="str">
        <f t="shared" si="66"/>
        <v>"%USERPROFILE%\Documents\GitHub\eaglep3\Utilities\RefineRTDCRunTimes.py" --tripid 841-05 --locoid 4012 --swversion DE.1.0.9.0 --startMP 204:992 --initTime 2017-05-05T19:03:31 --startdatetime 2017-05-05T19:21:13 --delay 1 --endMP 300:58969 --enddatetime 2017-05-05T19:35:14 --enforcementcount 0 &gt;&gt;C:\Users\stu\Documents\GitHub\eaglep3-reporting\EC\2017-05-05-refined-times.txt</v>
      </c>
      <c r="AI203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{"issue":{"subject":"","project_id":79,"tracker_id":40,"status_id":1,"priority_id":2,"assigned_to_id":23,"start_date":"2017-05-05","description":"","custom_fields":[{"id":1,"name":"Subdivision","value":"NW"},{"id":4,"name":"Milepost","value":"5.8969"},{"id":17,"name":"Train ID","value":"841-05"},{"id":16,"name":"Locomotive ID","value":"4012"},{"id":130,"name":"Impact","value":""},{"id":150,"name":"Time of Event (Mountain Time)","value":"19:35:14"},{"id":151,"name":"Denver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68"/>
        <v>start /low /b %USERPROFILE%\Documents\GitHub\eaglep3\Utilities\DownloadLogsFromS3.py --loco 4012 --day 2017-05-05</v>
      </c>
      <c r="AN203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814</v>
      </c>
      <c r="B204" s="7">
        <v>4011</v>
      </c>
      <c r="C204" s="21" t="s">
        <v>210</v>
      </c>
      <c r="D204" s="21" t="s">
        <v>1021</v>
      </c>
      <c r="E204" s="13">
        <v>42860.859918981485</v>
      </c>
      <c r="F204" s="13">
        <v>42860.861527777779</v>
      </c>
      <c r="G204" s="7">
        <v>1</v>
      </c>
      <c r="H204" s="21" t="s">
        <v>1022</v>
      </c>
      <c r="I204" s="13">
        <v>42860.871979166666</v>
      </c>
      <c r="J204" s="7">
        <v>0</v>
      </c>
      <c r="K204" s="92" t="str">
        <f t="shared" si="53"/>
        <v>4011/4012</v>
      </c>
      <c r="L204" s="21" t="str">
        <f>VLOOKUP(A204,'Trips&amp;Operators'!$C$1:$G$99999,5,FALSE)</f>
        <v>ZEWDU DEREJE</v>
      </c>
      <c r="M204" s="6">
        <f t="shared" si="54"/>
        <v>1.0451388887304347E-2</v>
      </c>
      <c r="N204" s="7">
        <f t="shared" si="74"/>
        <v>15.04999999771826</v>
      </c>
      <c r="O204" s="7"/>
      <c r="P204" s="7"/>
      <c r="Q204" s="22"/>
      <c r="R204" s="190"/>
      <c r="S204" s="196">
        <f t="shared" si="77"/>
        <v>1</v>
      </c>
      <c r="T204" s="190" t="str">
        <f t="shared" si="55"/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6"/>
        <v>https://d0f6bd738d7f1b3e5a7ca70fe4ff75f0.us-east-1.aws.found.io/app/kibana#/discover/Steve-Slow-Train-Analysis-(2080s-and-2083s)?_g=(refreshInterval:(display:Off,pause:!f,section:0,value:0),time:(from:'2017-05-05T19:38:17-0600',mode:absolute,to:'2017-05-05T21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192" t="str">
        <f t="shared" si="57"/>
        <v>N</v>
      </c>
      <c r="X204" s="192">
        <f t="shared" si="76"/>
        <v>1</v>
      </c>
      <c r="Y204" s="192">
        <f t="shared" si="59"/>
        <v>5.8616999999999999</v>
      </c>
      <c r="Z204" s="192">
        <f t="shared" si="73"/>
        <v>6.8900000000000003E-2</v>
      </c>
      <c r="AA204" s="192">
        <f t="shared" si="61"/>
        <v>5.7927999999999997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2"/>
        <v>0842-05</v>
      </c>
      <c r="AE204" s="80" t="str">
        <f t="shared" si="63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04" s="77" t="str">
        <f t="shared" si="64"/>
        <v>"C:\Program Files (x86)\AstroGrep\AstroGrep.exe" /e /r /s /spath="%USERPROFILE%\AppData\Local\Temp\OnboardLogs" /stypes="app*4011*20170506*" /stext=" 02:.+((SYSTEM_STATE.+slice.+state.+changed )|(ment ac)|(multiple cpu faults)|(system.+state.+changed )|(\[timeout)|(PRM\|1\|D)|(kpr)|(kdp)|(train st.+moving)|(\|lc)|(penalty))"</v>
      </c>
      <c r="AG204" s="1" t="str">
        <f t="shared" si="65"/>
        <v>NW</v>
      </c>
      <c r="AH204" s="81" t="str">
        <f t="shared" si="66"/>
        <v>"%USERPROFILE%\Documents\GitHub\eaglep3\Utilities\RefineRTDCRunTimes.py" --tripid 842-05 --locoid 4011 --swversion DE.1.0.9.0 --startMP 300:58617 --initTime 2017-05-05T20:38:17 --startdatetime 2017-05-05T20:40:36 --delay 1 --endMP 204:689 --enddatetime 2017-05-05T20:55:39 --enforcementcount 0 &gt;&gt;C:\Users\stu\Documents\GitHub\eaglep3-reporting\EC\2017-05-05-refined-times.txt</v>
      </c>
      <c r="AI204" s="99" t="str">
        <f t="shared" si="67"/>
        <v>echo {"issue":{"subject":"","project_id":79,"tracker_id":40,"status_id":1,"priority_id":2,"assigned_to_id":23,"start_date":"2017-05-05","description":"","custom_fields":[{"id":1,"name":"Subdivision","value":"NW"},{"id":4,"name":"Milepost","value":"0.0689"},{"id":17,"name":"Train ID","value":"842-05"},{"id":16,"name":"Locomotive ID","value":"4011"},{"id":130,"name":"Impact","value":""},{"id":150,"name":"Time of Event (Mountain Time)","value":"20:55:39"},{"id":151,"name":"Denver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68"/>
        <v>start /low /b %USERPROFILE%\Documents\GitHub\eaglep3\Utilities\DownloadLogsFromS3.py --loco 4011 --day 2017-05-05</v>
      </c>
      <c r="AN204" s="154" t="str">
        <f t="shared" si="69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815</v>
      </c>
      <c r="B205" s="7">
        <v>4012</v>
      </c>
      <c r="C205" s="21" t="s">
        <v>210</v>
      </c>
      <c r="D205" s="21" t="s">
        <v>514</v>
      </c>
      <c r="E205" s="13">
        <v>42860.834837962961</v>
      </c>
      <c r="F205" s="13">
        <v>42860.84847222222</v>
      </c>
      <c r="G205" s="7">
        <v>1</v>
      </c>
      <c r="H205" s="21" t="s">
        <v>517</v>
      </c>
      <c r="I205" s="13">
        <v>42860.858541666668</v>
      </c>
      <c r="J205" s="7">
        <v>0</v>
      </c>
      <c r="K205" s="92" t="str">
        <f t="shared" ref="K205:K263" si="78">IF(ISEVEN(B205),(B205-1)&amp;"/"&amp;B205,B205&amp;"/"&amp;(B205+1))</f>
        <v>4011/4012</v>
      </c>
      <c r="L205" s="21" t="str">
        <f>VLOOKUP(A205,'Trips&amp;Operators'!$C$1:$G$99999,5,FALSE)</f>
        <v>ZEWDU DEREJE</v>
      </c>
      <c r="M205" s="6">
        <f t="shared" ref="M205:M263" si="79">I205-F205</f>
        <v>1.0069444448163267E-2</v>
      </c>
      <c r="N205" s="7">
        <f t="shared" si="74"/>
        <v>14.500000005355105</v>
      </c>
      <c r="O205" s="7"/>
      <c r="P205" s="7"/>
      <c r="Q205" s="22"/>
      <c r="R205" s="190"/>
      <c r="S205" s="196">
        <f t="shared" si="77"/>
        <v>1</v>
      </c>
      <c r="T205" s="190" t="str">
        <f t="shared" ref="T205:T263" si="80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63" si="8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-05T19:02:10-0600',mode:absolute,to:'2017-05-05T21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5" s="192" t="str">
        <f t="shared" ref="W205:W263" si="82">IF(AA205&lt;IF(AG205="EC",23,5.65),"Y","N")</f>
        <v>N</v>
      </c>
      <c r="X205" s="192">
        <f t="shared" si="76"/>
        <v>1</v>
      </c>
      <c r="Y205" s="192">
        <f t="shared" ref="Y205:Y263" si="83">RIGHT(D205,LEN(D205)-4)/10000</f>
        <v>9.7600000000000006E-2</v>
      </c>
      <c r="Z205" s="192">
        <f t="shared" ref="Z205:Z236" si="84">RIGHT(H205,LEN(H205)-4)/10000</f>
        <v>5.8936999999999999</v>
      </c>
      <c r="AA205" s="192">
        <f t="shared" ref="AA205:AA268" si="85">ABS(Z205-Y205)</f>
        <v>5.7961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63" si="86">IF(LEN(A205)=6,"0"&amp;A205,A205)</f>
        <v>0843-05</v>
      </c>
      <c r="AE205" s="80" t="str">
        <f t="shared" ref="AE205:AE263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205" s="77" t="str">
        <f t="shared" ref="AF205:AF263" si="8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/stypes="app*4012*20170506*" /stext=" 02:.+((SYSTEM_STATE.+slice.+state.+changed )|(ment ac)|(multiple cpu faults)|(system.+state.+changed )|(\[timeout)|(PRM\|1\|D)|(kpr)|(kdp)|(train st.+moving)|(\|lc)|(penalty))"</v>
      </c>
      <c r="AG205" s="1" t="str">
        <f t="shared" ref="AG205:AG263" si="89">IFERROR(IF(VALUE(LEFT(AD205,2))&lt;=2,"EC",IF(OR(VALUE(LEFT(AD205,2))=8,VALUE(LEFT(AD205,2))=18),"NW","Other")),"Other")</f>
        <v>NW</v>
      </c>
      <c r="AH205" s="81" t="str">
        <f t="shared" ref="AH205:AH263" si="9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843-05 --locoid 4012 --swversion DE.1.0.9.0 --startMP 204:976 --initTime 2017-05-05T20:02:10 --startdatetime 2017-05-05T20:21:48 --delay 1 --endMP 300:58937 --enddatetime 2017-05-05T20:36:18 --enforcementcount 0 &gt;&gt;C:\Users\stu\Documents\GitHub\eaglep3-reporting\EC\2017-05-05-refined-times.txt</v>
      </c>
      <c r="AI205" s="99" t="str">
        <f t="shared" ref="AI205:AI263" si="9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{"issue":{"subject":"","project_id":79,"tracker_id":40,"status_id":1,"priority_id":2,"assigned_to_id":23,"start_date":"2017-05-05","description":"","custom_fields":[{"id":1,"name":"Subdivision","value":"NW"},{"id":4,"name":"Milepost","value":"5.8937"},{"id":17,"name":"Train ID","value":"843-05"},{"id":16,"name":"Locomotive ID","value":"4012"},{"id":130,"name":"Impact","value":""},{"id":150,"name":"Time of Event (Mountain Time)","value":"20:36:18"},{"id":151,"name":"Denver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63" si="92">"start /low /b "&amp;dls3logs&amp;" --loco "&amp;B205&amp;" --day "&amp;TEXT(F205,"YYYY-MM-DD")</f>
        <v>start /low /b %USERPROFILE%\Documents\GitHub\eaglep3\Utilities\DownloadLogsFromS3.py --loco 4012 --day 2017-05-05</v>
      </c>
      <c r="AN205" s="154" t="str">
        <f t="shared" ref="AN205:AN263" si="93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827</v>
      </c>
      <c r="B206" s="7">
        <v>4011</v>
      </c>
      <c r="C206" s="21" t="s">
        <v>210</v>
      </c>
      <c r="D206" s="21" t="s">
        <v>1023</v>
      </c>
      <c r="E206" s="13">
        <v>42860.900810185187</v>
      </c>
      <c r="F206" s="13">
        <v>42860.902546296296</v>
      </c>
      <c r="G206" s="7">
        <v>1</v>
      </c>
      <c r="H206" s="21" t="s">
        <v>522</v>
      </c>
      <c r="I206" s="13">
        <v>42860.912847222222</v>
      </c>
      <c r="J206" s="7">
        <v>0</v>
      </c>
      <c r="K206" s="92" t="str">
        <f t="shared" si="78"/>
        <v>4011/4012</v>
      </c>
      <c r="L206" s="21" t="str">
        <f>VLOOKUP(A206,'Trips&amp;Operators'!$C$1:$G$99999,5,FALSE)</f>
        <v>SMITH MICHAEL</v>
      </c>
      <c r="M206" s="6">
        <f t="shared" si="79"/>
        <v>1.0300925925548654E-2</v>
      </c>
      <c r="N206" s="7">
        <f t="shared" si="74"/>
        <v>14.833333332790062</v>
      </c>
      <c r="O206" s="7"/>
      <c r="P206" s="7"/>
      <c r="Q206" s="22"/>
      <c r="R206" s="190"/>
      <c r="S206" s="196">
        <f t="shared" si="77"/>
        <v>1</v>
      </c>
      <c r="T206" s="190" t="str">
        <f t="shared" si="80"/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81"/>
        <v>https://d0f6bd738d7f1b3e5a7ca70fe4ff75f0.us-east-1.aws.found.io/app/kibana#/discover/Steve-Slow-Train-Analysis-(2080s-and-2083s)?_g=(refreshInterval:(display:Off,pause:!f,section:0,value:0),time:(from:'2017-05-05T20:37:10-0600',mode:absolute,to:'2017-05-05T22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6" s="192" t="str">
        <f t="shared" si="82"/>
        <v>N</v>
      </c>
      <c r="X206" s="192">
        <f t="shared" si="76"/>
        <v>1</v>
      </c>
      <c r="Y206" s="192">
        <f t="shared" si="83"/>
        <v>5.8643000000000001</v>
      </c>
      <c r="Z206" s="192">
        <f t="shared" si="84"/>
        <v>6.7699999999999996E-2</v>
      </c>
      <c r="AA206" s="192">
        <f t="shared" si="85"/>
        <v>5.7965999999999998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6"/>
        <v>0844-05</v>
      </c>
      <c r="AE206" s="80" t="str">
        <f t="shared" si="87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06" s="77" t="str">
        <f t="shared" si="88"/>
        <v>"C:\Program Files (x86)\AstroGrep\AstroGrep.exe" /e /r /s /spath="%USERPROFILE%\AppData\Local\Temp\OnboardLogs" /stypes="app*4011*20170506*" /stext=" 03:.+((SYSTEM_STATE.+slice.+state.+changed )|(ment ac)|(multiple cpu faults)|(system.+state.+changed )|(\[timeout)|(PRM\|1\|D)|(kpr)|(kdp)|(train st.+moving)|(\|lc)|(penalty))"</v>
      </c>
      <c r="AG206" s="1" t="str">
        <f t="shared" si="89"/>
        <v>NW</v>
      </c>
      <c r="AH206" s="81" t="str">
        <f t="shared" si="90"/>
        <v>"%USERPROFILE%\Documents\GitHub\eaglep3\Utilities\RefineRTDCRunTimes.py" --tripid 844-05 --locoid 4011 --swversion DE.1.0.9.0 --startMP 300:58643 --initTime 2017-05-05T21:37:10 --startdatetime 2017-05-05T21:39:40 --delay 1 --endMP 204:677 --enddatetime 2017-05-05T21:54:30 --enforcementcount 0 &gt;&gt;C:\Users\stu\Documents\GitHub\eaglep3-reporting\EC\2017-05-05-refined-times.txt</v>
      </c>
      <c r="AI206" s="99" t="str">
        <f t="shared" si="91"/>
        <v>echo {"issue":{"subject":"","project_id":79,"tracker_id":40,"status_id":1,"priority_id":2,"assigned_to_id":23,"start_date":"2017-05-05","description":"","custom_fields":[{"id":1,"name":"Subdivision","value":"NW"},{"id":4,"name":"Milepost","value":"0.0677"},{"id":17,"name":"Train ID","value":"844-05"},{"id":16,"name":"Locomotive ID","value":"4011"},{"id":130,"name":"Impact","value":""},{"id":150,"name":"Time of Event (Mountain Time)","value":"21:54:30"},{"id":151,"name":"Denver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92"/>
        <v>start /low /b %USERPROFILE%\Documents\GitHub\eaglep3\Utilities\DownloadLogsFromS3.py --loco 4011 --day 2017-05-05</v>
      </c>
      <c r="AN206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824</v>
      </c>
      <c r="B207" s="7">
        <v>4012</v>
      </c>
      <c r="C207" s="21" t="s">
        <v>210</v>
      </c>
      <c r="D207" s="21" t="s">
        <v>1024</v>
      </c>
      <c r="E207" s="13">
        <v>42860.885000000002</v>
      </c>
      <c r="F207" s="13">
        <v>42860.889814814815</v>
      </c>
      <c r="G207" s="7">
        <v>1</v>
      </c>
      <c r="H207" s="21" t="s">
        <v>584</v>
      </c>
      <c r="I207" s="13">
        <v>42860.899606481478</v>
      </c>
      <c r="J207" s="7">
        <v>0</v>
      </c>
      <c r="K207" s="92" t="str">
        <f t="shared" si="78"/>
        <v>4011/4012</v>
      </c>
      <c r="L207" s="21" t="str">
        <f>VLOOKUP(A207,'Trips&amp;Operators'!$C$1:$G$99999,5,FALSE)</f>
        <v>SMITH MICHAEL</v>
      </c>
      <c r="M207" s="6">
        <f t="shared" si="79"/>
        <v>9.7916666636592709E-3</v>
      </c>
      <c r="N207" s="7">
        <f t="shared" si="74"/>
        <v>14.09999999566935</v>
      </c>
      <c r="O207" s="7"/>
      <c r="P207" s="7"/>
      <c r="Q207" s="22"/>
      <c r="R207" s="190"/>
      <c r="S207" s="196">
        <f t="shared" si="77"/>
        <v>1</v>
      </c>
      <c r="T207" s="190" t="str">
        <f t="shared" si="80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81"/>
        <v>https://d0f6bd738d7f1b3e5a7ca70fe4ff75f0.us-east-1.aws.found.io/app/kibana#/discover/Steve-Slow-Train-Analysis-(2080s-and-2083s)?_g=(refreshInterval:(display:Off,pause:!f,section:0,value:0),time:(from:'2017-05-05T20:14:24-0600',mode:absolute,to:'2017-05-05T22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92" t="str">
        <f t="shared" si="82"/>
        <v>N</v>
      </c>
      <c r="X207" s="192">
        <f t="shared" si="76"/>
        <v>1</v>
      </c>
      <c r="Y207" s="192">
        <f t="shared" si="83"/>
        <v>9.9500000000000005E-2</v>
      </c>
      <c r="Z207" s="192">
        <f t="shared" si="84"/>
        <v>5.8956</v>
      </c>
      <c r="AA207" s="192">
        <f t="shared" si="85"/>
        <v>5.7961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6"/>
        <v>0845-05</v>
      </c>
      <c r="AE207" s="80" t="str">
        <f t="shared" si="87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207" s="77" t="str">
        <f t="shared" si="88"/>
        <v>"C:\Program Files (x86)\AstroGrep\AstroGrep.exe" /e /r /s /spath="%USERPROFILE%\AppData\Local\Temp\OnboardLogs" /stypes="app*4012*20170506*" /stext=" 03:.+((SYSTEM_STATE.+slice.+state.+changed )|(ment ac)|(multiple cpu faults)|(system.+state.+changed )|(\[timeout)|(PRM\|1\|D)|(kpr)|(kdp)|(train st.+moving)|(\|lc)|(penalty))"</v>
      </c>
      <c r="AG207" s="1" t="str">
        <f t="shared" si="89"/>
        <v>NW</v>
      </c>
      <c r="AH207" s="81" t="str">
        <f t="shared" si="90"/>
        <v>"%USERPROFILE%\Documents\GitHub\eaglep3\Utilities\RefineRTDCRunTimes.py" --tripid 845-05 --locoid 4012 --swversion DE.1.0.9.0 --startMP 204:995 --initTime 2017-05-05T21:14:24 --startdatetime 2017-05-05T21:21:20 --delay 1 --endMP 300:58956 --enddatetime 2017-05-05T21:35:26 --enforcementcount 0 &gt;&gt;C:\Users\stu\Documents\GitHub\eaglep3-reporting\EC\2017-05-05-refined-times.txt</v>
      </c>
      <c r="AI207" s="99" t="str">
        <f t="shared" si="91"/>
        <v>echo {"issue":{"subject":"","project_id":79,"tracker_id":40,"status_id":1,"priority_id":2,"assigned_to_id":23,"start_date":"2017-05-05","description":"","custom_fields":[{"id":1,"name":"Subdivision","value":"NW"},{"id":4,"name":"Milepost","value":"5.8956"},{"id":17,"name":"Train ID","value":"845-05"},{"id":16,"name":"Locomotive ID","value":"4012"},{"id":130,"name":"Impact","value":""},{"id":150,"name":"Time of Event (Mountain Time)","value":"21:35:26"},{"id":151,"name":"Denver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92"/>
        <v>start /low /b %USERPROFILE%\Documents\GitHub\eaglep3\Utilities\DownloadLogsFromS3.py --loco 4012 --day 2017-05-05</v>
      </c>
      <c r="AN207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03:35:26"},{"id":29,"name":"Sharepoint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829</v>
      </c>
      <c r="B208" s="7">
        <v>4012</v>
      </c>
      <c r="C208" s="21" t="s">
        <v>210</v>
      </c>
      <c r="D208" s="21" t="s">
        <v>1017</v>
      </c>
      <c r="E208" s="13">
        <v>42860.914675925924</v>
      </c>
      <c r="F208" s="13">
        <v>42860.931458333333</v>
      </c>
      <c r="G208" s="7">
        <v>1</v>
      </c>
      <c r="H208" s="21" t="s">
        <v>438</v>
      </c>
      <c r="I208" s="13">
        <v>42860.941041666665</v>
      </c>
      <c r="J208" s="7">
        <v>0</v>
      </c>
      <c r="K208" s="92" t="str">
        <f t="shared" si="78"/>
        <v>4011/4012</v>
      </c>
      <c r="L208" s="21" t="str">
        <f>VLOOKUP(A208,'Trips&amp;Operators'!$C$1:$G$99999,5,FALSE)</f>
        <v>SMITH MICHAEL</v>
      </c>
      <c r="M208" s="6">
        <f t="shared" si="79"/>
        <v>9.5833333325572312E-3</v>
      </c>
      <c r="N208" s="7">
        <f t="shared" si="74"/>
        <v>13.799999998882413</v>
      </c>
      <c r="O208" s="7"/>
      <c r="P208" s="7"/>
      <c r="Q208" s="22"/>
      <c r="R208" s="190"/>
      <c r="S208" s="196">
        <f t="shared" si="77"/>
        <v>1</v>
      </c>
      <c r="T208" s="190" t="str">
        <f t="shared" si="80"/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81"/>
        <v>https://d0f6bd738d7f1b3e5a7ca70fe4ff75f0.us-east-1.aws.found.io/app/kibana#/discover/Steve-Slow-Train-Analysis-(2080s-and-2083s)?_g=(refreshInterval:(display:Off,pause:!f,section:0,value:0),time:(from:'2017-05-05T20:57:08-0600',mode:absolute,to:'2017-05-05T23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8" s="192" t="str">
        <f t="shared" si="82"/>
        <v>N</v>
      </c>
      <c r="X208" s="192">
        <f t="shared" si="76"/>
        <v>2</v>
      </c>
      <c r="Y208" s="192">
        <f t="shared" si="83"/>
        <v>9.64E-2</v>
      </c>
      <c r="Z208" s="192">
        <f t="shared" si="84"/>
        <v>5.8943000000000003</v>
      </c>
      <c r="AA208" s="192">
        <f t="shared" si="85"/>
        <v>5.7979000000000003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6"/>
        <v>0847-05</v>
      </c>
      <c r="AE208" s="80" t="str">
        <f t="shared" si="87"/>
        <v>aws s3 cp s3://rtdc.mdm.uploadarchive.raw/RTDC4012/ "%USERPROFILE%\AppData\Local\Temp\OnboardLogs"\RTDC4012\2017-05-05 --exclude "*" --recursive --include "*20170505*" &amp; "%USERPROFILE%\Documents\GitHub\mrs-test-scripts\Headless Mode &amp; Sideloading\WalkAndUnGZ.bat" "%USERPROFILE%\AppData\Local\Temp\OnboardLogs"\RTDC4012\2017-05-05 &amp; aws s3 cp s3://rtdc.mdm.uploadarchive.raw/RTDC4012/ "%USERPROFILE%\AppData\Local\Temp\OnboardLogs"\RTDC4012\2017-05-06 --exclude "*" --recursive --include "*20170506*" &amp; "%USERPROFILE%\Documents\GitHub\mrs-test-scripts\Headless Mode &amp; Sideloading\WalkAndUnGZ.bat" "%USERPROFILE%\AppData\Local\Temp\OnboardLogs"\RTDC4012\2017-05-06</v>
      </c>
      <c r="AF208" s="77" t="str">
        <f t="shared" si="88"/>
        <v>"C:\Program Files (x86)\AstroGrep\AstroGrep.exe" /e /r /s /spath="%USERPROFILE%\AppData\Local\Temp\OnboardLogs" /stypes="app*4012*20170506*" /stext=" 04:.+((SYSTEM_STATE.+slice.+state.+changed )|(ment ac)|(multiple cpu faults)|(system.+state.+changed )|(\[timeout)|(PRM\|1\|D)|(kpr)|(kdp)|(train st.+moving)|(\|lc)|(penalty))"</v>
      </c>
      <c r="AG208" s="1" t="str">
        <f t="shared" si="89"/>
        <v>NW</v>
      </c>
      <c r="AH208" s="81" t="str">
        <f t="shared" si="90"/>
        <v>"%USERPROFILE%\Documents\GitHub\eaglep3\Utilities\RefineRTDCRunTimes.py" --tripid 847-05 --locoid 4012 --swversion DE.1.0.9.0 --startMP 204:964 --initTime 2017-05-05T21:57:08 --startdatetime 2017-05-05T22:21:18 --delay 1 --endMP 300:58943 --enddatetime 2017-05-05T22:35:06 --enforcementcount 0 &gt;&gt;C:\Users\stu\Documents\GitHub\eaglep3-reporting\EC\2017-05-05-refined-times.txt</v>
      </c>
      <c r="AI208" s="99" t="str">
        <f t="shared" si="91"/>
        <v>echo {"issue":{"subject":"","project_id":79,"tracker_id":40,"status_id":1,"priority_id":2,"assigned_to_id":23,"start_date":"2017-05-05","description":"","custom_fields":[{"id":1,"name":"Subdivision","value":"NW"},{"id":4,"name":"Milepost","value":"5.8943"},{"id":17,"name":"Train ID","value":"847-05"},{"id":16,"name":"Locomotive ID","value":"4012"},{"id":130,"name":"Impact","value":""},{"id":150,"name":"Time of Event (Mountain Time)","value":"22:35:06"},{"id":151,"name":"Denver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2"/>
        <v>start /low /b %USERPROFILE%\Documents\GitHub\eaglep3\Utilities\DownloadLogsFromS3.py --loco 4012 --day 2017-05-05</v>
      </c>
      <c r="AN208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s="20" customFormat="1" x14ac:dyDescent="0.25">
      <c r="A209" s="32" t="s">
        <v>631</v>
      </c>
      <c r="B209" s="7">
        <v>4039</v>
      </c>
      <c r="C209" s="21" t="s">
        <v>210</v>
      </c>
      <c r="D209" s="21" t="s">
        <v>929</v>
      </c>
      <c r="E209" s="13">
        <v>42860.117696759262</v>
      </c>
      <c r="F209" s="13">
        <v>42860.12232638889</v>
      </c>
      <c r="G209" s="7">
        <v>6</v>
      </c>
      <c r="H209" s="21" t="s">
        <v>899</v>
      </c>
      <c r="I209" s="13">
        <v>42860.129537037035</v>
      </c>
      <c r="J209" s="7">
        <v>0</v>
      </c>
      <c r="K209" s="92" t="str">
        <f t="shared" si="78"/>
        <v>4039/4040</v>
      </c>
      <c r="L209" s="21" t="str">
        <f>VLOOKUP(A209,'Trips&amp;Operators'!$C$1:$G$99999,5,FALSE)</f>
        <v>BADERTSCHER DIANE</v>
      </c>
      <c r="M209" s="6">
        <f t="shared" si="79"/>
        <v>7.2106481457012706E-3</v>
      </c>
      <c r="N209" s="7">
        <f t="shared" si="74"/>
        <v>10.38333332980983</v>
      </c>
      <c r="O209" s="7"/>
      <c r="P209" s="7"/>
      <c r="Q209" s="22"/>
      <c r="R209" s="190"/>
      <c r="S209" s="196">
        <f t="shared" si="77"/>
        <v>1</v>
      </c>
      <c r="T209" s="190" t="str">
        <f t="shared" si="80"/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81"/>
        <v>https://d0f6bd738d7f1b3e5a7ca70fe4ff75f0.us-east-1.aws.found.io/app/kibana#/discover/Steve-Slow-Train-Analysis-(2080s-and-2083s)?_g=(refreshInterval:(display:Off,pause:!f,section:0,value:0),time:(from:'2017-05-05T01:49:29-0600',mode:absolute,to:'2017-05-05T04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9" s="192" t="str">
        <f t="shared" si="82"/>
        <v>Y</v>
      </c>
      <c r="X209" s="192">
        <f t="shared" si="76"/>
        <v>-545</v>
      </c>
      <c r="Y209" s="192">
        <f t="shared" si="83"/>
        <v>2.2913000000000001</v>
      </c>
      <c r="Z209" s="192">
        <f t="shared" si="84"/>
        <v>1.3599999999999999E-2</v>
      </c>
      <c r="AA209" s="192">
        <f t="shared" si="85"/>
        <v>2.2777000000000003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6"/>
        <v>0302-05</v>
      </c>
      <c r="AE209" s="80" t="str">
        <f t="shared" si="87"/>
        <v>aws s3 cp s3://rtdc.mdm.uploadarchive.raw/RTDC4039/ "%USERPROFILE%\AppData\Local\Temp\OnboardLogs"\RTDC4039\2017-05-05 --exclude "*" --recursive --include "*20170505*" &amp; "%USERPROFILE%\Documents\GitHub\mrs-test-scripts\Headless Mode &amp; Sideloading\WalkAndUnGZ.bat" "%USERPROFILE%\AppData\Local\Temp\OnboardLogs"\RTDC4039\2017-05-05 &amp; aws s3 cp s3://rtdc.mdm.uploadarchive.raw/RTDC4039/ "%USERPROFILE%\AppData\Local\Temp\OnboardLogs"\RTDC4039\2017-05-06 --exclude "*" --recursive --include "*20170506*" &amp; "%USERPROFILE%\Documents\GitHub\mrs-test-scripts\Headless Mode &amp; Sideloading\WalkAndUnGZ.bat" "%USERPROFILE%\AppData\Local\Temp\OnboardLogs"\RTDC4039\2017-05-06</v>
      </c>
      <c r="AF209" s="77" t="str">
        <f t="shared" si="88"/>
        <v>"C:\Program Files (x86)\AstroGrep\AstroGrep.exe" /e /r /s /spath="%USERPROFILE%\AppData\Local\Temp\OnboardLogs" /stypes="app*4039*20170505*" /stext=" 09:.+((SYSTEM_STATE.+slice.+state.+changed )|(ment ac)|(multiple cpu faults)|(system.+state.+changed )|(\[timeout)|(PRM\|1\|D)|(kpr)|(kdp)|(train st.+moving)|(\|lc)|(penalty))"</v>
      </c>
      <c r="AG209" s="1" t="str">
        <f t="shared" si="89"/>
        <v>Other</v>
      </c>
      <c r="AH209" s="81" t="str">
        <f t="shared" si="90"/>
        <v>"%USERPROFILE%\Documents\GitHub\eaglep3\Utilities\RefineRTDCRunTimes.py" --tripid 302-05 --locoid 4039 --swversion DE.1.0.9.0 --startMP 300:22913 --initTime 2017-05-05T02:49:29 --startdatetime 2017-05-05T02:56:09 --delay 6 --endMP 204:136 --enddatetime 2017-05-05T03:06:32 --enforcementcount 0 &gt;&gt;C:\Users\stu\Documents\GitHub\eaglep3-reporting\EC\2017-05-05-refined-times.txt</v>
      </c>
      <c r="AI209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{"issue":{"subject":"","project_id":79,"tracker_id":40,"status_id":1,"priority_id":2,"assigned_to_id":23,"start_date":"2017-05-05","description":"","custom_fields":[{"id":1,"name":"Subdivision","value":"Other"},{"id":4,"name":"Milepost","value":"0.0136"},{"id":17,"name":"Train ID","value":"302-05"},{"id":16,"name":"Locomotive ID","value":"4039"},{"id":130,"name":"Impact","value":""},{"id":150,"name":"Time of Event (Mountain Time)","value":"03:06:32"},{"id":151,"name":"Denver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5" t="str">
        <f t="shared" si="92"/>
        <v>start /low /b %USERPROFILE%\Documents\GitHub\eaglep3\Utilities\DownloadLogsFromS3.py --loco 4039 --day 2017-05-05</v>
      </c>
      <c r="AN209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803</v>
      </c>
      <c r="B210" s="7">
        <v>4044</v>
      </c>
      <c r="C210" s="21" t="s">
        <v>210</v>
      </c>
      <c r="D210" s="21" t="s">
        <v>381</v>
      </c>
      <c r="E210" s="13">
        <v>42860.775937500002</v>
      </c>
      <c r="F210" s="13">
        <v>42860.778761574074</v>
      </c>
      <c r="G210" s="7">
        <v>1</v>
      </c>
      <c r="H210" s="21" t="s">
        <v>930</v>
      </c>
      <c r="I210" s="13">
        <v>42860.784953703704</v>
      </c>
      <c r="J210" s="7">
        <v>0</v>
      </c>
      <c r="K210" s="92" t="str">
        <f t="shared" si="78"/>
        <v>4043/4044</v>
      </c>
      <c r="L210" s="21" t="str">
        <f>VLOOKUP(A210,'Trips&amp;Operators'!$C$1:$G$99999,5,FALSE)</f>
        <v>BRUDER RICHARD</v>
      </c>
      <c r="M210" s="6">
        <f t="shared" si="79"/>
        <v>6.1921296291984618E-3</v>
      </c>
      <c r="N210" s="7">
        <f t="shared" si="74"/>
        <v>8.916666666045785</v>
      </c>
      <c r="O210" s="7"/>
      <c r="P210" s="7"/>
      <c r="Q210" s="22"/>
      <c r="R210" s="190"/>
      <c r="S210" s="196">
        <f t="shared" si="77"/>
        <v>1</v>
      </c>
      <c r="T210" s="190" t="str">
        <f t="shared" si="80"/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81"/>
        <v>https://d0f6bd738d7f1b3e5a7ca70fe4ff75f0.us-east-1.aws.found.io/app/kibana#/discover/Steve-Slow-Train-Analysis-(2080s-and-2083s)?_g=(refreshInterval:(display:Off,pause:!f,section:0,value:0),time:(from:'2017-05-05T17:37:21-0600',mode:absolute,to:'2017-05-05T19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192" t="str">
        <f t="shared" si="82"/>
        <v>Y</v>
      </c>
      <c r="X210" s="192">
        <f t="shared" si="76"/>
        <v>1</v>
      </c>
      <c r="Y210" s="192">
        <f t="shared" si="83"/>
        <v>4.4600000000000001E-2</v>
      </c>
      <c r="Z210" s="192">
        <f t="shared" si="84"/>
        <v>2.3302</v>
      </c>
      <c r="AA210" s="192">
        <f t="shared" si="85"/>
        <v>2.2856000000000001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6"/>
        <v>0303-05</v>
      </c>
      <c r="AE210" s="80" t="str">
        <f t="shared" si="87"/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AF210" s="77" t="str">
        <f t="shared" si="88"/>
        <v>"C:\Program Files (x86)\AstroGrep\AstroGrep.exe" /e /r /s /spath="%USERPROFILE%\AppData\Local\Temp\OnboardLogs" /stypes="app*4044*20170506*" /stext=" 00:.+((SYSTEM_STATE.+slice.+state.+changed )|(ment ac)|(multiple cpu faults)|(system.+state.+changed )|(\[timeout)|(PRM\|1\|D)|(kpr)|(kdp)|(train st.+moving)|(\|lc)|(penalty))"</v>
      </c>
      <c r="AG210" s="1" t="str">
        <f t="shared" si="89"/>
        <v>Other</v>
      </c>
      <c r="AH210" s="81" t="str">
        <f t="shared" si="90"/>
        <v>"%USERPROFILE%\Documents\GitHub\eaglep3\Utilities\RefineRTDCRunTimes.py" --tripid 303-05 --locoid 4044 --swversion DE.1.0.9.0 --startMP 204:446 --initTime 2017-05-05T18:37:21 --startdatetime 2017-05-05T18:41:25 --delay 1 --endMP 300:23302 --enddatetime 2017-05-05T18:50:20 --enforcementcount 0 &gt;&gt;C:\Users\stu\Documents\GitHub\eaglep3-reporting\EC\2017-05-05-refined-times.txt</v>
      </c>
      <c r="AI210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{"issue":{"subject":"","project_id":79,"tracker_id":40,"status_id":1,"priority_id":2,"assigned_to_id":23,"start_date":"2017-05-05","description":"","custom_fields":[{"id":1,"name":"Subdivision","value":"Other"},{"id":4,"name":"Milepost","value":"2.3302"},{"id":17,"name":"Train ID","value":"303-05"},{"id":16,"name":"Locomotive ID","value":"4044"},{"id":130,"name":"Impact","value":""},{"id":150,"name":"Time of Event (Mountain Time)","value":"18:50:20"},{"id":151,"name":"Denver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2"/>
        <v>start /low /b %USERPROFILE%\Documents\GitHub\eaglep3\Utilities\DownloadLogsFromS3.py --loco 4044 --day 2017-05-05</v>
      </c>
      <c r="AN210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637</v>
      </c>
      <c r="B211" s="7">
        <v>4041</v>
      </c>
      <c r="C211" s="21" t="s">
        <v>210</v>
      </c>
      <c r="D211" s="21" t="s">
        <v>931</v>
      </c>
      <c r="E211" s="13">
        <v>42860.13858796296</v>
      </c>
      <c r="F211" s="13">
        <v>42860.142337962963</v>
      </c>
      <c r="G211" s="7">
        <v>5</v>
      </c>
      <c r="H211" s="21" t="s">
        <v>198</v>
      </c>
      <c r="I211" s="13">
        <v>42860.148078703707</v>
      </c>
      <c r="J211" s="7">
        <v>0</v>
      </c>
      <c r="K211" s="92" t="str">
        <f t="shared" si="78"/>
        <v>4041/4042</v>
      </c>
      <c r="L211" s="21" t="str">
        <f>VLOOKUP(A211,'Trips&amp;Operators'!$C$1:$G$99999,5,FALSE)</f>
        <v>DAVIS WENDY</v>
      </c>
      <c r="M211" s="6">
        <f t="shared" si="79"/>
        <v>5.7407407439313829E-3</v>
      </c>
      <c r="N211" s="7">
        <f t="shared" ref="N211:N242" si="94">24*60*SUM($M211:$M211)</f>
        <v>8.2666666712611914</v>
      </c>
      <c r="O211" s="7"/>
      <c r="P211" s="7"/>
      <c r="Q211" s="22"/>
      <c r="R211" s="190"/>
      <c r="S211" s="196">
        <f t="shared" si="77"/>
        <v>1</v>
      </c>
      <c r="T211" s="190" t="str">
        <f t="shared" si="80"/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81"/>
        <v>https://d0f6bd738d7f1b3e5a7ca70fe4ff75f0.us-east-1.aws.found.io/app/kibana#/discover/Steve-Slow-Train-Analysis-(2080s-and-2083s)?_g=(refreshInterval:(display:Off,pause:!f,section:0,value:0),time:(from:'2017-05-05T02:19:34-0600',mode:absolute,to:'2017-05-05T04:33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92" t="str">
        <f t="shared" si="82"/>
        <v>Y</v>
      </c>
      <c r="X211" s="192">
        <f t="shared" si="76"/>
        <v>1</v>
      </c>
      <c r="Y211" s="192">
        <f t="shared" si="83"/>
        <v>2.3643999999999998</v>
      </c>
      <c r="Z211" s="192">
        <f t="shared" si="84"/>
        <v>1.5800000000000002E-2</v>
      </c>
      <c r="AA211" s="192">
        <f t="shared" si="85"/>
        <v>2.3485999999999998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6"/>
        <v>0304-05</v>
      </c>
      <c r="AE211" s="80" t="str">
        <f t="shared" si="87"/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AF211" s="77" t="str">
        <f t="shared" si="88"/>
        <v>"C:\Program Files (x86)\AstroGrep\AstroGrep.exe" /e /r /s /spath="%USERPROFILE%\AppData\Local\Temp\OnboardLogs" /stypes="app*4041*20170505*" /stext=" 09:.+((SYSTEM_STATE.+slice.+state.+changed )|(ment ac)|(multiple cpu faults)|(system.+state.+changed )|(\[timeout)|(PRM\|1\|D)|(kpr)|(kdp)|(train st.+moving)|(\|lc)|(penalty))"</v>
      </c>
      <c r="AG211" s="1" t="str">
        <f t="shared" si="89"/>
        <v>Other</v>
      </c>
      <c r="AH211" s="81" t="str">
        <f t="shared" si="90"/>
        <v>"%USERPROFILE%\Documents\GitHub\eaglep3\Utilities\RefineRTDCRunTimes.py" --tripid 304-05 --locoid 4041 --swversion DE.1.0.9.0 --startMP 300:23644 --initTime 2017-05-05T03:19:34 --startdatetime 2017-05-05T03:24:58 --delay 5 --endMP 204:158 --enddatetime 2017-05-05T03:33:14 --enforcementcount 0 &gt;&gt;C:\Users\stu\Documents\GitHub\eaglep3-reporting\EC\2017-05-05-refined-times.txt</v>
      </c>
      <c r="AI211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{"issue":{"subject":"","project_id":79,"tracker_id":40,"status_id":1,"priority_id":2,"assigned_to_id":23,"start_date":"2017-05-05","description":"","custom_fields":[{"id":1,"name":"Subdivision","value":"Other"},{"id":4,"name":"Milepost","value":"0.0158"},{"id":17,"name":"Train ID","value":"304-05"},{"id":16,"name":"Locomotive ID","value":"4041"},{"id":130,"name":"Impact","value":""},{"id":150,"name":"Time of Event (Mountain Time)","value":"03:33:14"},{"id":151,"name":"Denver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2"/>
        <v>start /low /b %USERPROFILE%\Documents\GitHub\eaglep3\Utilities\DownloadLogsFromS3.py --loco 4041 --day 2017-05-05</v>
      </c>
      <c r="AN211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09:33:14"},{"id":29,"name":"Sharepoint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x14ac:dyDescent="0.25">
      <c r="A212" s="32" t="s">
        <v>809</v>
      </c>
      <c r="B212" s="7">
        <v>4016</v>
      </c>
      <c r="C212" s="21" t="s">
        <v>210</v>
      </c>
      <c r="D212" s="21" t="s">
        <v>388</v>
      </c>
      <c r="E212" s="13">
        <v>42860.798495370371</v>
      </c>
      <c r="F212" s="13">
        <v>42860.804363425923</v>
      </c>
      <c r="G212" s="7">
        <v>1</v>
      </c>
      <c r="H212" s="21" t="s">
        <v>932</v>
      </c>
      <c r="I212" s="13">
        <v>42860.809872685182</v>
      </c>
      <c r="J212" s="7">
        <v>0</v>
      </c>
      <c r="K212" s="92" t="str">
        <f t="shared" si="78"/>
        <v>4015/4016</v>
      </c>
      <c r="L212" s="21" t="str">
        <f>VLOOKUP(A212,'Trips&amp;Operators'!$C$1:$G$99999,5,FALSE)</f>
        <v>BRANDNER MELINDA</v>
      </c>
      <c r="M212" s="6">
        <f t="shared" si="79"/>
        <v>5.5092592592700385E-3</v>
      </c>
      <c r="N212" s="7">
        <f t="shared" si="94"/>
        <v>7.9333333333488554</v>
      </c>
      <c r="O212" s="7"/>
      <c r="P212" s="7"/>
      <c r="Q212" s="22"/>
      <c r="R212" s="190"/>
      <c r="S212" s="196">
        <f t="shared" si="77"/>
        <v>1</v>
      </c>
      <c r="T212" s="190" t="str">
        <f t="shared" si="80"/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81"/>
        <v>https://d0f6bd738d7f1b3e5a7ca70fe4ff75f0.us-east-1.aws.found.io/app/kibana#/discover/Steve-Slow-Train-Analysis-(2080s-and-2083s)?_g=(refreshInterval:(display:Off,pause:!f,section:0,value:0),time:(from:'2017-05-05T18:09:50-0600',mode:absolute,to:'2017-05-05T20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2" s="192" t="str">
        <f t="shared" si="82"/>
        <v>Y</v>
      </c>
      <c r="X212" s="192">
        <f t="shared" si="76"/>
        <v>1</v>
      </c>
      <c r="Y212" s="192">
        <f t="shared" si="83"/>
        <v>4.58E-2</v>
      </c>
      <c r="Z212" s="192">
        <f t="shared" si="84"/>
        <v>2.3010999999999999</v>
      </c>
      <c r="AA212" s="192">
        <f t="shared" si="85"/>
        <v>2.2553000000000001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6"/>
        <v>0305-05</v>
      </c>
      <c r="AE212" s="80" t="str">
        <f t="shared" si="87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212" s="77" t="str">
        <f t="shared" si="88"/>
        <v>"C:\Program Files (x86)\AstroGrep\AstroGrep.exe" /e /r /s /spath="%USERPROFILE%\AppData\Local\Temp\OnboardLogs" /stypes="app*4016*20170506*" /stext=" 01:.+((SYSTEM_STATE.+slice.+state.+changed )|(ment ac)|(multiple cpu faults)|(system.+state.+changed )|(\[timeout)|(PRM\|1\|D)|(kpr)|(kdp)|(train st.+moving)|(\|lc)|(penalty))"</v>
      </c>
      <c r="AG212" s="1" t="str">
        <f t="shared" si="89"/>
        <v>Other</v>
      </c>
      <c r="AH212" s="81" t="str">
        <f t="shared" si="90"/>
        <v>"%USERPROFILE%\Documents\GitHub\eaglep3\Utilities\RefineRTDCRunTimes.py" --tripid 305-05 --locoid 4016 --swversion DE.1.0.9.0 --startMP 204:458 --initTime 2017-05-05T19:09:50 --startdatetime 2017-05-05T19:18:17 --delay 1 --endMP 300:23011 --enddatetime 2017-05-05T19:26:13 --enforcementcount 0 &gt;&gt;C:\Users\stu\Documents\GitHub\eaglep3-reporting\EC\2017-05-05-refined-times.txt</v>
      </c>
      <c r="AI21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{"issue":{"subject":"","project_id":79,"tracker_id":40,"status_id":1,"priority_id":2,"assigned_to_id":23,"start_date":"2017-05-05","description":"","custom_fields":[{"id":1,"name":"Subdivision","value":"Other"},{"id":4,"name":"Milepost","value":"2.3011"},{"id":17,"name":"Train ID","value":"305-05"},{"id":16,"name":"Locomotive ID","value":"4016"},{"id":130,"name":"Impact","value":""},{"id":150,"name":"Time of Event (Mountain Time)","value":"19:26:13"},{"id":151,"name":"Denver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2"/>
        <v>start /low /b %USERPROFILE%\Documents\GitHub\eaglep3\Utilities\DownloadLogsFromS3.py --loco 4016 --day 2017-05-05</v>
      </c>
      <c r="AN212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91" x14ac:dyDescent="0.25">
      <c r="A213" s="32" t="s">
        <v>642</v>
      </c>
      <c r="B213" s="7">
        <v>4027</v>
      </c>
      <c r="C213" s="21" t="s">
        <v>210</v>
      </c>
      <c r="D213" s="21" t="s">
        <v>933</v>
      </c>
      <c r="E213" s="13">
        <v>42860.159085648149</v>
      </c>
      <c r="F213" s="13">
        <v>42860.161724537036</v>
      </c>
      <c r="G213" s="7">
        <v>3</v>
      </c>
      <c r="H213" s="21" t="s">
        <v>454</v>
      </c>
      <c r="I213" s="13">
        <v>42860.167800925927</v>
      </c>
      <c r="J213" s="7">
        <v>0</v>
      </c>
      <c r="K213" s="92" t="str">
        <f t="shared" si="78"/>
        <v>4027/4028</v>
      </c>
      <c r="L213" s="21" t="str">
        <f>VLOOKUP(A213,'Trips&amp;Operators'!$C$1:$G$99999,5,FALSE)</f>
        <v>ROBINSON KADDIBA</v>
      </c>
      <c r="M213" s="6">
        <f t="shared" si="79"/>
        <v>6.0763888905057684E-3</v>
      </c>
      <c r="N213" s="7">
        <f t="shared" si="94"/>
        <v>8.7500000023283064</v>
      </c>
      <c r="O213" s="7"/>
      <c r="P213" s="7"/>
      <c r="Q213" s="22"/>
      <c r="R213" s="190"/>
      <c r="S213" s="196">
        <f t="shared" si="77"/>
        <v>1</v>
      </c>
      <c r="T213" s="190" t="str">
        <f t="shared" si="80"/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81"/>
        <v>https://d0f6bd738d7f1b3e5a7ca70fe4ff75f0.us-east-1.aws.found.io/app/kibana#/discover/Steve-Slow-Train-Analysis-(2080s-and-2083s)?_g=(refreshInterval:(display:Off,pause:!f,section:0,value:0),time:(from:'2017-05-05T02:49:05-0600',mode:absolute,to:'2017-05-05T05:01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3" s="192" t="str">
        <f t="shared" si="82"/>
        <v>Y</v>
      </c>
      <c r="X213" s="192">
        <f t="shared" si="76"/>
        <v>1</v>
      </c>
      <c r="Y213" s="192">
        <f t="shared" si="83"/>
        <v>2.3906000000000001</v>
      </c>
      <c r="Z213" s="192">
        <f t="shared" si="84"/>
        <v>1.47E-2</v>
      </c>
      <c r="AA213" s="192">
        <f t="shared" si="85"/>
        <v>2.3759000000000001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6"/>
        <v>0306-05</v>
      </c>
      <c r="AE213" s="80" t="str">
        <f t="shared" si="87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213" s="77" t="str">
        <f t="shared" si="88"/>
        <v>"C:\Program Files (x86)\AstroGrep\AstroGrep.exe" /e /r /s /spath="%USERPROFILE%\AppData\Local\Temp\OnboardLogs" /stypes="app*4027*20170505*" /stext=" 10:.+((SYSTEM_STATE.+slice.+state.+changed )|(ment ac)|(multiple cpu faults)|(system.+state.+changed )|(\[timeout)|(PRM\|1\|D)|(kpr)|(kdp)|(train st.+moving)|(\|lc)|(penalty))"</v>
      </c>
      <c r="AG213" s="1" t="str">
        <f t="shared" si="89"/>
        <v>Other</v>
      </c>
      <c r="AH213" s="81" t="str">
        <f t="shared" si="90"/>
        <v>"%USERPROFILE%\Documents\GitHub\eaglep3\Utilities\RefineRTDCRunTimes.py" --tripid 306-05 --locoid 4027 --swversion DE.1.0.9.0 --startMP 300:23906 --initTime 2017-05-05T03:49:05 --startdatetime 2017-05-05T03:52:53 --delay 3 --endMP 204:147 --enddatetime 2017-05-05T04:01:38 --enforcementcount 0 &gt;&gt;C:\Users\stu\Documents\GitHub\eaglep3-reporting\EC\2017-05-05-refined-times.txt</v>
      </c>
      <c r="AI213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{"issue":{"subject":"","project_id":79,"tracker_id":40,"status_id":1,"priority_id":2,"assigned_to_id":23,"start_date":"2017-05-05","description":"","custom_fields":[{"id":1,"name":"Subdivision","value":"Other"},{"id":4,"name":"Milepost","value":"0.0147"},{"id":17,"name":"Train ID","value":"306-05"},{"id":16,"name":"Locomotive ID","value":"4027"},{"id":130,"name":"Impact","value":""},{"id":150,"name":"Time of Event (Mountain Time)","value":"04:01:38"},{"id":151,"name":"Denver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2"/>
        <v>start /low /b %USERPROFILE%\Documents\GitHub\eaglep3\Utilities\DownloadLogsFromS3.py --loco 4027 --day 2017-05-05</v>
      </c>
      <c r="AN213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10:01:38"},{"id":29,"name":"Sharepoint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91" x14ac:dyDescent="0.25">
      <c r="A214" s="32" t="s">
        <v>813</v>
      </c>
      <c r="B214" s="7">
        <v>4040</v>
      </c>
      <c r="C214" s="21" t="s">
        <v>210</v>
      </c>
      <c r="D214" s="21" t="s">
        <v>934</v>
      </c>
      <c r="E214" s="13">
        <v>42860.818298611113</v>
      </c>
      <c r="F214" s="13">
        <v>42860.819884259261</v>
      </c>
      <c r="G214" s="7">
        <v>1</v>
      </c>
      <c r="H214" s="21" t="s">
        <v>409</v>
      </c>
      <c r="I214" s="13">
        <v>42860.826793981483</v>
      </c>
      <c r="J214" s="7">
        <v>0</v>
      </c>
      <c r="K214" s="92" t="str">
        <f t="shared" si="78"/>
        <v>4039/4040</v>
      </c>
      <c r="L214" s="21" t="str">
        <f>VLOOKUP(A214,'Trips&amp;Operators'!$C$1:$G$99999,5,FALSE)</f>
        <v>MOSES BRADLEY</v>
      </c>
      <c r="M214" s="6">
        <f t="shared" si="79"/>
        <v>6.9097222221898846E-3</v>
      </c>
      <c r="N214" s="7">
        <f t="shared" si="94"/>
        <v>9.9499999999534339</v>
      </c>
      <c r="O214" s="7"/>
      <c r="P214" s="7"/>
      <c r="Q214" s="22"/>
      <c r="R214" s="190"/>
      <c r="S214" s="196">
        <f t="shared" si="77"/>
        <v>1</v>
      </c>
      <c r="T214" s="190" t="str">
        <f t="shared" si="80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81"/>
        <v>https://d0f6bd738d7f1b3e5a7ca70fe4ff75f0.us-east-1.aws.found.io/app/kibana#/discover/Steve-Slow-Train-Analysis-(2080s-and-2083s)?_g=(refreshInterval:(display:Off,pause:!f,section:0,value:0),time:(from:'2017-05-05T18:38:21-0600',mode:absolute,to:'2017-05-05T20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192" t="str">
        <f t="shared" si="82"/>
        <v>Y</v>
      </c>
      <c r="X214" s="192">
        <f t="shared" si="76"/>
        <v>1</v>
      </c>
      <c r="Y214" s="192">
        <f t="shared" si="83"/>
        <v>5.2900000000000003E-2</v>
      </c>
      <c r="Z214" s="192">
        <f t="shared" si="84"/>
        <v>2.3346</v>
      </c>
      <c r="AA214" s="192">
        <f t="shared" si="85"/>
        <v>2.2816999999999998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6"/>
        <v>0307-05</v>
      </c>
      <c r="AE214" s="80" t="str">
        <f t="shared" si="87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214" s="77" t="str">
        <f t="shared" si="88"/>
        <v>"C:\Program Files (x86)\AstroGrep\AstroGrep.exe" /e /r /s /spath="%USERPROFILE%\AppData\Local\Temp\OnboardLogs" /stypes="app*4040*20170506*" /stext=" 01:.+((SYSTEM_STATE.+slice.+state.+changed )|(ment ac)|(multiple cpu faults)|(system.+state.+changed )|(\[timeout)|(PRM\|1\|D)|(kpr)|(kdp)|(train st.+moving)|(\|lc)|(penalty))"</v>
      </c>
      <c r="AG214" s="1" t="str">
        <f t="shared" si="89"/>
        <v>Other</v>
      </c>
      <c r="AH214" s="81" t="str">
        <f t="shared" si="90"/>
        <v>"%USERPROFILE%\Documents\GitHub\eaglep3\Utilities\RefineRTDCRunTimes.py" --tripid 307-05 --locoid 4040 --swversion DE.1.0.9.0 --startMP 204:529 --initTime 2017-05-05T19:38:21 --startdatetime 2017-05-05T19:40:38 --delay 1 --endMP 300:23346 --enddatetime 2017-05-05T19:50:35 --enforcementcount 0 &gt;&gt;C:\Users\stu\Documents\GitHub\eaglep3-reporting\EC\2017-05-05-refined-times.txt</v>
      </c>
      <c r="AI214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{"issue":{"subject":"","project_id":79,"tracker_id":40,"status_id":1,"priority_id":2,"assigned_to_id":23,"start_date":"2017-05-05","description":"","custom_fields":[{"id":1,"name":"Subdivision","value":"Other"},{"id":4,"name":"Milepost","value":"2.3346"},{"id":17,"name":"Train ID","value":"307-05"},{"id":16,"name":"Locomotive ID","value":"4040"},{"id":130,"name":"Impact","value":""},{"id":150,"name":"Time of Event (Mountain Time)","value":"19:50:35"},{"id":151,"name":"Denver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2"/>
        <v>start /low /b %USERPROFILE%\Documents\GitHub\eaglep3\Utilities\DownloadLogsFromS3.py --loco 4040 --day 2017-05-05</v>
      </c>
      <c r="AN214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91" x14ac:dyDescent="0.25">
      <c r="A215" s="32" t="s">
        <v>645</v>
      </c>
      <c r="B215" s="7">
        <v>4007</v>
      </c>
      <c r="C215" s="21" t="s">
        <v>210</v>
      </c>
      <c r="D215" s="21" t="s">
        <v>935</v>
      </c>
      <c r="E215" s="13">
        <v>42860.174942129626</v>
      </c>
      <c r="F215" s="13">
        <v>42860.179143518515</v>
      </c>
      <c r="G215" s="7">
        <v>5</v>
      </c>
      <c r="H215" s="21" t="s">
        <v>403</v>
      </c>
      <c r="I215" s="13">
        <v>42860.184305555558</v>
      </c>
      <c r="J215" s="7">
        <v>0</v>
      </c>
      <c r="K215" s="92" t="str">
        <f t="shared" si="78"/>
        <v>4007/4008</v>
      </c>
      <c r="L215" s="21" t="str">
        <f>VLOOKUP(A215,'Trips&amp;Operators'!$C$1:$G$99999,5,FALSE)</f>
        <v>STARKS ANGELINA</v>
      </c>
      <c r="M215" s="6">
        <f t="shared" si="79"/>
        <v>5.1620370431919582E-3</v>
      </c>
      <c r="N215" s="7">
        <f t="shared" si="94"/>
        <v>7.4333333421964198</v>
      </c>
      <c r="O215" s="7"/>
      <c r="P215" s="7"/>
      <c r="Q215" s="22"/>
      <c r="R215" s="190"/>
      <c r="S215" s="196">
        <f t="shared" si="77"/>
        <v>1</v>
      </c>
      <c r="T215" s="190" t="str">
        <f t="shared" si="80"/>
        <v>Southbound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81"/>
        <v>https://d0f6bd738d7f1b3e5a7ca70fe4ff75f0.us-east-1.aws.found.io/app/kibana#/discover/Steve-Slow-Train-Analysis-(2080s-and-2083s)?_g=(refreshInterval:(display:Off,pause:!f,section:0,value:0),time:(from:'2017-05-05T03:11:55-0600',mode:absolute,to:'2017-05-05T05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192" t="str">
        <f t="shared" si="82"/>
        <v>Y</v>
      </c>
      <c r="X215" s="192">
        <f t="shared" si="76"/>
        <v>1</v>
      </c>
      <c r="Y215" s="192">
        <f t="shared" si="83"/>
        <v>2.3125</v>
      </c>
      <c r="Z215" s="192">
        <f t="shared" si="84"/>
        <v>1.49E-2</v>
      </c>
      <c r="AA215" s="192">
        <f t="shared" si="85"/>
        <v>2.2976000000000001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6"/>
        <v>0308-05</v>
      </c>
      <c r="AE215" s="80" t="str">
        <f t="shared" si="87"/>
        <v>aws s3 cp s3://rtdc.mdm.uploadarchive.raw/RTDC4007/ "%USERPROFILE%\AppData\Local\Temp\OnboardLogs"\RTDC4007\2017-05-05 --exclude "*" --recursive --include "*20170505*" &amp; "%USERPROFILE%\Documents\GitHub\mrs-test-scripts\Headless Mode &amp; Sideloading\WalkAndUnGZ.bat" "%USERPROFILE%\AppData\Local\Temp\OnboardLogs"\RTDC4007\2017-05-05 &amp; aws s3 cp s3://rtdc.mdm.uploadarchive.raw/RTDC4007/ "%USERPROFILE%\AppData\Local\Temp\OnboardLogs"\RTDC4007\2017-05-06 --exclude "*" --recursive --include "*20170506*" &amp; "%USERPROFILE%\Documents\GitHub\mrs-test-scripts\Headless Mode &amp; Sideloading\WalkAndUnGZ.bat" "%USERPROFILE%\AppData\Local\Temp\OnboardLogs"\RTDC4007\2017-05-06</v>
      </c>
      <c r="AF215" s="77" t="str">
        <f t="shared" si="88"/>
        <v>"C:\Program Files (x86)\AstroGrep\AstroGrep.exe" /e /r /s /spath="%USERPROFILE%\AppData\Local\Temp\OnboardLogs" /stypes="app*4007*20170505*" /stext=" 10:.+((SYSTEM_STATE.+slice.+state.+changed )|(ment ac)|(multiple cpu faults)|(system.+state.+changed )|(\[timeout)|(PRM\|1\|D)|(kpr)|(kdp)|(train st.+moving)|(\|lc)|(penalty))"</v>
      </c>
      <c r="AG215" s="1" t="str">
        <f t="shared" si="89"/>
        <v>Other</v>
      </c>
      <c r="AH215" s="81" t="str">
        <f t="shared" si="90"/>
        <v>"%USERPROFILE%\Documents\GitHub\eaglep3\Utilities\RefineRTDCRunTimes.py" --tripid 308-05 --locoid 4007 --swversion DE.1.0.9.0 --startMP 300:23125 --initTime 2017-05-05T04:11:55 --startdatetime 2017-05-05T04:17:58 --delay 5 --endMP 204:149 --enddatetime 2017-05-05T04:25:24 --enforcementcount 0 &gt;&gt;C:\Users\stu\Documents\GitHub\eaglep3-reporting\EC\2017-05-05-refined-times.txt</v>
      </c>
      <c r="AI215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{"issue":{"subject":"","project_id":79,"tracker_id":40,"status_id":1,"priority_id":2,"assigned_to_id":23,"start_date":"2017-05-05","description":"","custom_fields":[{"id":1,"name":"Subdivision","value":"Other"},{"id":4,"name":"Milepost","value":"0.0149"},{"id":17,"name":"Train ID","value":"308-05"},{"id":16,"name":"Locomotive ID","value":"4007"},{"id":130,"name":"Impact","value":""},{"id":150,"name":"Time of Event (Mountain Time)","value":"04:25:24"},{"id":151,"name":"Denver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2"/>
        <v>start /low /b %USERPROFILE%\Documents\GitHub\eaglep3\Utilities\DownloadLogsFromS3.py --loco 4007 --day 2017-05-05</v>
      </c>
      <c r="AN215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841</v>
      </c>
      <c r="B216" s="7">
        <v>4022</v>
      </c>
      <c r="C216" s="21" t="s">
        <v>210</v>
      </c>
      <c r="D216" s="21" t="s">
        <v>406</v>
      </c>
      <c r="E216" s="13">
        <v>42861.049872685187</v>
      </c>
      <c r="F216" s="13">
        <v>42861.051504629628</v>
      </c>
      <c r="G216" s="7">
        <v>2</v>
      </c>
      <c r="H216" s="21" t="s">
        <v>426</v>
      </c>
      <c r="I216" s="13">
        <v>42861.060694444444</v>
      </c>
      <c r="J216" s="7">
        <v>0</v>
      </c>
      <c r="K216" s="92" t="str">
        <f t="shared" si="78"/>
        <v>4021/4022</v>
      </c>
      <c r="L216" s="21" t="str">
        <f>VLOOKUP(A216,'Trips&amp;Operators'!$C$1:$G$99999,5,FALSE)</f>
        <v>STORY SAMANTHA</v>
      </c>
      <c r="M216" s="6">
        <f t="shared" si="79"/>
        <v>9.189814816636499E-3</v>
      </c>
      <c r="N216" s="7">
        <f t="shared" si="94"/>
        <v>13.233333335956559</v>
      </c>
      <c r="O216" s="7"/>
      <c r="P216" s="7"/>
      <c r="Q216" s="22"/>
      <c r="R216" s="190"/>
      <c r="S216" s="196">
        <f t="shared" si="77"/>
        <v>1</v>
      </c>
      <c r="T216" s="190" t="str">
        <f t="shared" si="80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81"/>
        <v>https://d0f6bd738d7f1b3e5a7ca70fe4ff75f0.us-east-1.aws.found.io/app/kibana#/discover/Steve-Slow-Train-Analysis-(2080s-and-2083s)?_g=(refreshInterval:(display:Off,pause:!f,section:0,value:0),time:(from:'2017-05-06T00:11:49-0600',mode:absolute,to:'2017-05-06T02:27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6" s="192" t="str">
        <f t="shared" si="82"/>
        <v>Y</v>
      </c>
      <c r="X216" s="192">
        <f t="shared" si="76"/>
        <v>1</v>
      </c>
      <c r="Y216" s="192">
        <f t="shared" si="83"/>
        <v>4.6899999999999997E-2</v>
      </c>
      <c r="Z216" s="192">
        <f t="shared" si="84"/>
        <v>2.3304</v>
      </c>
      <c r="AA216" s="192">
        <f t="shared" si="85"/>
        <v>2.2835000000000001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6"/>
        <v>0309-05</v>
      </c>
      <c r="AE216" s="80" t="str">
        <f t="shared" si="87"/>
        <v>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 &amp; aws s3 cp s3://rtdc.mdm.uploadarchive.raw/RTDC4022/ "%USERPROFILE%\AppData\Local\Temp\OnboardLogs"\RTDC4022\2017-05-07 --exclude "*" --recursive --include "*20170507*" &amp; "%USERPROFILE%\Documents\GitHub\mrs-test-scripts\Headless Mode &amp; Sideloading\WalkAndUnGZ.bat" "%USERPROFILE%\AppData\Local\Temp\OnboardLogs"\RTDC4022\2017-05-07</v>
      </c>
      <c r="AF216" s="77" t="str">
        <f t="shared" si="88"/>
        <v>"C:\Program Files (x86)\AstroGrep\AstroGrep.exe" /e /r /s /spath="%USERPROFILE%\AppData\Local\Temp\OnboardLogs" /stypes="app*4022*20170506*" /stext=" 07:.+((SYSTEM_STATE.+slice.+state.+changed )|(ment ac)|(multiple cpu faults)|(system.+state.+changed )|(\[timeout)|(PRM\|1\|D)|(kpr)|(kdp)|(train st.+moving)|(\|lc)|(penalty))"</v>
      </c>
      <c r="AG216" s="1" t="str">
        <f t="shared" si="89"/>
        <v>Other</v>
      </c>
      <c r="AH216" s="81" t="str">
        <f t="shared" si="90"/>
        <v>"%USERPROFILE%\Documents\GitHub\eaglep3\Utilities\RefineRTDCRunTimes.py" --tripid 309-05 --locoid 4022 --swversion DE.1.0.9.0 --startMP 204:469 --initTime 2017-05-06T01:11:49 --startdatetime 2017-05-06T01:14:10 --delay 2 --endMP 300:23304 --enddatetime 2017-05-06T01:27:24 --enforcementcount 0 &gt;&gt;C:\Users\stu\Documents\GitHub\eaglep3-reporting\EC\2017-05-05-refined-times.txt</v>
      </c>
      <c r="AI216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{"issue":{"subject":"","project_id":79,"tracker_id":40,"status_id":1,"priority_id":2,"assigned_to_id":23,"start_date":"2017-05-06","description":"","custom_fields":[{"id":1,"name":"Subdivision","value":"Other"},{"id":4,"name":"Milepost","value":"2.3304"},{"id":17,"name":"Train ID","value":"309-05"},{"id":16,"name":"Locomotive ID","value":"4022"},{"id":130,"name":"Impact","value":""},{"id":150,"name":"Time of Event (Mountain Time)","value":"01:27:24"},{"id":151,"name":"Denver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2"/>
        <v>start /low /b %USERPROFILE%\Documents\GitHub\eaglep3\Utilities\DownloadLogsFromS3.py --loco 4022 --day 2017-05-06</v>
      </c>
      <c r="AN216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07:27:24"},{"id":29,"name":"Sharepoint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647</v>
      </c>
      <c r="B217" s="7">
        <v>4043</v>
      </c>
      <c r="C217" s="21" t="s">
        <v>210</v>
      </c>
      <c r="D217" s="21" t="s">
        <v>936</v>
      </c>
      <c r="E217" s="13">
        <v>42860.184189814812</v>
      </c>
      <c r="F217" s="13">
        <v>42860.1875</v>
      </c>
      <c r="G217" s="7">
        <v>4</v>
      </c>
      <c r="H217" s="21" t="s">
        <v>402</v>
      </c>
      <c r="I217" s="13">
        <v>42860.192650462966</v>
      </c>
      <c r="J217" s="7">
        <v>0</v>
      </c>
      <c r="K217" s="92" t="str">
        <f t="shared" si="78"/>
        <v>4043/4044</v>
      </c>
      <c r="L217" s="21" t="str">
        <f>VLOOKUP(A217,'Trips&amp;Operators'!$C$1:$G$99999,5,FALSE)</f>
        <v>LOZA FIDEL</v>
      </c>
      <c r="M217" s="6">
        <f t="shared" si="79"/>
        <v>5.1504629664123058E-3</v>
      </c>
      <c r="N217" s="7">
        <f t="shared" si="94"/>
        <v>7.4166666716337204</v>
      </c>
      <c r="O217" s="7"/>
      <c r="P217" s="7"/>
      <c r="Q217" s="22"/>
      <c r="R217" s="190"/>
      <c r="S217" s="196">
        <f t="shared" si="77"/>
        <v>1</v>
      </c>
      <c r="T217" s="190" t="str">
        <f t="shared" si="80"/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81"/>
        <v>https://d0f6bd738d7f1b3e5a7ca70fe4ff75f0.us-east-1.aws.found.io/app/kibana#/discover/Steve-Slow-Train-Analysis-(2080s-and-2083s)?_g=(refreshInterval:(display:Off,pause:!f,section:0,value:0),time:(from:'2017-05-05T03:25:14-0600',mode:absolute,to:'2017-05-05T05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7" s="192" t="str">
        <f t="shared" si="82"/>
        <v>Y</v>
      </c>
      <c r="X217" s="192">
        <f t="shared" ref="X217:X248" si="95">VALUE(LEFT(AD217,4))-VALUE(LEFT(AD216,4))</f>
        <v>1</v>
      </c>
      <c r="Y217" s="192">
        <f t="shared" si="83"/>
        <v>2.3542000000000001</v>
      </c>
      <c r="Z217" s="192">
        <f t="shared" si="84"/>
        <v>1.4999999999999999E-2</v>
      </c>
      <c r="AA217" s="192">
        <f t="shared" si="85"/>
        <v>2.3391999999999999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6"/>
        <v>0310-05</v>
      </c>
      <c r="AE217" s="80" t="str">
        <f t="shared" si="87"/>
        <v>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 &amp; 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</v>
      </c>
      <c r="AF217" s="77" t="str">
        <f t="shared" si="88"/>
        <v>"C:\Program Files (x86)\AstroGrep\AstroGrep.exe" /e /r /s /spath="%USERPROFILE%\AppData\Local\Temp\OnboardLogs" /stypes="app*4043*20170505*" /stext=" 10:.+((SYSTEM_STATE.+slice.+state.+changed )|(ment ac)|(multiple cpu faults)|(system.+state.+changed )|(\[timeout)|(PRM\|1\|D)|(kpr)|(kdp)|(train st.+moving)|(\|lc)|(penalty))"</v>
      </c>
      <c r="AG217" s="1" t="str">
        <f t="shared" si="89"/>
        <v>Other</v>
      </c>
      <c r="AH217" s="81" t="str">
        <f t="shared" si="90"/>
        <v>"%USERPROFILE%\Documents\GitHub\eaglep3\Utilities\RefineRTDCRunTimes.py" --tripid 310-05 --locoid 4043 --swversion DE.1.0.9.0 --startMP 300:23542 --initTime 2017-05-05T04:25:14 --startdatetime 2017-05-05T04:30:00 --delay 4 --endMP 204:150 --enddatetime 2017-05-05T04:37:25 --enforcementcount 0 &gt;&gt;C:\Users\stu\Documents\GitHub\eaglep3-reporting\EC\2017-05-05-refined-times.txt</v>
      </c>
      <c r="AI217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{"issue":{"subject":"","project_id":79,"tracker_id":40,"status_id":1,"priority_id":2,"assigned_to_id":23,"start_date":"2017-05-05","description":"","custom_fields":[{"id":1,"name":"Subdivision","value":"Other"},{"id":4,"name":"Milepost","value":"0.015"},{"id":17,"name":"Train ID","value":"310-05"},{"id":16,"name":"Locomotive ID","value":"4043"},{"id":130,"name":"Impact","value":""},{"id":150,"name":"Time of Event (Mountain Time)","value":"04:37:25"},{"id":151,"name":"Denver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2"/>
        <v>start /low /b %USERPROFILE%\Documents\GitHub\eaglep3\Utilities\DownloadLogsFromS3.py --loco 4043 --day 2017-05-05</v>
      </c>
      <c r="AN217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843</v>
      </c>
      <c r="B218" s="7">
        <v>4030</v>
      </c>
      <c r="C218" s="21" t="s">
        <v>210</v>
      </c>
      <c r="D218" s="21" t="s">
        <v>381</v>
      </c>
      <c r="E218" s="13">
        <v>42861.07571759259</v>
      </c>
      <c r="F218" s="13">
        <v>42861.077013888891</v>
      </c>
      <c r="G218" s="7">
        <v>1</v>
      </c>
      <c r="H218" s="21" t="s">
        <v>930</v>
      </c>
      <c r="I218" s="13">
        <v>25568.708333333332</v>
      </c>
      <c r="J218" s="7">
        <v>0</v>
      </c>
      <c r="K218" s="92" t="str">
        <f t="shared" si="78"/>
        <v>4029/4030</v>
      </c>
      <c r="L218" s="21" t="str">
        <f>VLOOKUP(A218,'Trips&amp;Operators'!$C$1:$G$99999,5,FALSE)</f>
        <v>STAMBAUGH JAMES</v>
      </c>
      <c r="M218" s="6">
        <f t="shared" si="79"/>
        <v>-17292.368680555559</v>
      </c>
      <c r="N218" s="7">
        <f t="shared" si="94"/>
        <v>-24901010.900000006</v>
      </c>
      <c r="O218" s="7"/>
      <c r="P218" s="7"/>
      <c r="Q218" s="22"/>
      <c r="R218" s="190"/>
      <c r="S218" s="196">
        <f t="shared" si="77"/>
        <v>1</v>
      </c>
      <c r="T218" s="190" t="str">
        <f t="shared" si="80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81"/>
        <v>https://d0f6bd738d7f1b3e5a7ca70fe4ff75f0.us-east-1.aws.found.io/app/kibana#/discover/Steve-Slow-Train-Analysis-(2080s-and-2083s)?_g=(refreshInterval:(display:Off,pause:!f,section:0,value:0),time:(from:'2017-05-06T00:49:02-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8" s="192" t="str">
        <f t="shared" si="82"/>
        <v>Y</v>
      </c>
      <c r="X218" s="192">
        <f t="shared" si="95"/>
        <v>1</v>
      </c>
      <c r="Y218" s="192">
        <f t="shared" si="83"/>
        <v>4.4600000000000001E-2</v>
      </c>
      <c r="Z218" s="192">
        <f t="shared" si="84"/>
        <v>2.3302</v>
      </c>
      <c r="AA218" s="192">
        <f t="shared" si="85"/>
        <v>2.2856000000000001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6"/>
        <v>0311-05</v>
      </c>
      <c r="AE218" s="80" t="str">
        <f t="shared" si="87"/>
        <v>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 &amp; aws s3 cp s3://rtdc.mdm.uploadarchive.raw/RTDC4030/ "%USERPROFILE%\AppData\Local\Temp\OnboardLogs"\RTDC4030\2017-05-07 --exclude "*" --recursive --include "*20170507*" &amp; "%USERPROFILE%\Documents\GitHub\mrs-test-scripts\Headless Mode &amp; Sideloading\WalkAndUnGZ.bat" "%USERPROFILE%\AppData\Local\Temp\OnboardLogs"\RTDC4030\2017-05-07</v>
      </c>
      <c r="AF218" s="77" t="str">
        <f t="shared" si="88"/>
        <v>"C:\Program Files (x86)\AstroGrep\AstroGrep.exe" /e /r /s /spath="%USERPROFILE%\AppData\Local\Temp\OnboardLogs" /stypes="app*4030*19691231*" /stext=" 23:.+((SYSTEM_STATE.+slice.+state.+changed )|(ment ac)|(multiple cpu faults)|(system.+state.+changed )|(\[timeout)|(PRM\|1\|D)|(kpr)|(kdp)|(train st.+moving)|(\|lc)|(penalty))"</v>
      </c>
      <c r="AG218" s="1" t="str">
        <f t="shared" si="89"/>
        <v>Other</v>
      </c>
      <c r="AH218" s="81" t="str">
        <f t="shared" si="90"/>
        <v>"%USERPROFILE%\Documents\GitHub\eaglep3\Utilities\RefineRTDCRunTimes.py" --tripid 311-05 --locoid 4030 --swversion DE.1.0.9.0 --startMP 204:446 --initTime 2017-05-06T01:49:02 --startdatetime 2017-05-06T01:50:54 --delay 1 --endMP 300:23302 --enddatetime 1969-12-31T17:00:00 --enforcementcount 0 &gt;&gt;C:\Users\stu\Documents\GitHub\eaglep3-reporting\EC\2017-05-05-refined-times.txt</v>
      </c>
      <c r="AI218" s="9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ID","value":"311-05"},{"id":16,"name":"Locomotive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92"/>
        <v>start /low /b %USERPROFILE%\Documents\GitHub\eaglep3\Utilities\DownloadLogsFromS3.py --loco 4030 --day 2017-05-06</v>
      </c>
      <c r="AN218" s="154" t="str">
        <f t="shared" si="9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845</v>
      </c>
      <c r="B219" s="7">
        <v>4008</v>
      </c>
      <c r="C219" s="21" t="s">
        <v>210</v>
      </c>
      <c r="D219" s="21" t="s">
        <v>204</v>
      </c>
      <c r="E219" s="13">
        <v>42861.092511574076</v>
      </c>
      <c r="F219" s="13">
        <v>42861.093761574077</v>
      </c>
      <c r="G219" s="7">
        <v>1</v>
      </c>
      <c r="H219" s="21" t="s">
        <v>409</v>
      </c>
      <c r="I219" s="13">
        <v>42861.101863425924</v>
      </c>
      <c r="J219" s="7">
        <v>0</v>
      </c>
      <c r="K219" s="92" t="str">
        <f t="shared" si="78"/>
        <v>4007/4008</v>
      </c>
      <c r="L219" s="21" t="str">
        <f>VLOOKUP(A219,'Trips&amp;Operators'!$C$1:$G$99999,5,FALSE)</f>
        <v>SWANSON BRYCE</v>
      </c>
      <c r="M219" s="6">
        <f t="shared" si="79"/>
        <v>8.1018518467317335E-3</v>
      </c>
      <c r="N219" s="7">
        <f t="shared" si="94"/>
        <v>11.666666659293696</v>
      </c>
      <c r="O219" s="7"/>
      <c r="P219" s="7"/>
      <c r="Q219" s="22"/>
      <c r="R219" s="190"/>
      <c r="S219" s="196">
        <f t="shared" si="77"/>
        <v>1</v>
      </c>
      <c r="T219" s="190" t="str">
        <f t="shared" si="80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81"/>
        <v>https://d0f6bd738d7f1b3e5a7ca70fe4ff75f0.us-east-1.aws.found.io/app/kibana#/discover/Steve-Slow-Train-Analysis-(2080s-and-2083s)?_g=(refreshInterval:(display:Off,pause:!f,section:0,value:0),time:(from:'2017-05-06T01:13:13-0600',mode:absolute,to:'2017-05-06T03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192" t="str">
        <f t="shared" si="82"/>
        <v>Y</v>
      </c>
      <c r="X219" s="192">
        <f t="shared" si="95"/>
        <v>2</v>
      </c>
      <c r="Y219" s="192">
        <f t="shared" si="83"/>
        <v>4.5699999999999998E-2</v>
      </c>
      <c r="Z219" s="192">
        <f t="shared" si="84"/>
        <v>2.3346</v>
      </c>
      <c r="AA219" s="192">
        <f t="shared" si="85"/>
        <v>2.2888999999999999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6"/>
        <v>0313-05</v>
      </c>
      <c r="AE219" s="80" t="str">
        <f t="shared" si="87"/>
        <v>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 &amp; 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</v>
      </c>
      <c r="AF219" s="77" t="str">
        <f t="shared" si="88"/>
        <v>"C:\Program Files (x86)\AstroGrep\AstroGrep.exe" /e /r /s /spath="%USERPROFILE%\AppData\Local\Temp\OnboardLogs" /stypes="app*4008*20170506*" /stext=" 08:.+((SYSTEM_STATE.+slice.+state.+changed )|(ment ac)|(multiple cpu faults)|(system.+state.+changed )|(\[timeout)|(PRM\|1\|D)|(kpr)|(kdp)|(train st.+moving)|(\|lc)|(penalty))"</v>
      </c>
      <c r="AG219" s="1" t="str">
        <f t="shared" si="89"/>
        <v>Other</v>
      </c>
      <c r="AH219" s="81" t="str">
        <f t="shared" si="90"/>
        <v>"%USERPROFILE%\Documents\GitHub\eaglep3\Utilities\RefineRTDCRunTimes.py" --tripid 313-05 --locoid 4008 --swversion DE.1.0.9.0 --startMP 204:457 --initTime 2017-05-06T02:13:13 --startdatetime 2017-05-06T02:15:01 --delay 1 --endMP 300:23346 --enddatetime 2017-05-06T02:26:41 --enforcementcount 0 &gt;&gt;C:\Users\stu\Documents\GitHub\eaglep3-reporting\EC\2017-05-05-refined-times.txt</v>
      </c>
      <c r="AI219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ID","value":"313-05"},{"id":16,"name":"Locomotive ID","value":"4008"},{"id":130,"name":"Impact","value":""},{"id":150,"name":"Time of Event (Mountain Time)","value":"02:26:41"},{"id":151,"name":"Denver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2"/>
        <v>start /low /b %USERPROFILE%\Documents\GitHub\eaglep3\Utilities\DownloadLogsFromS3.py --loco 4008 --day 2017-05-06</v>
      </c>
      <c r="AN219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846</v>
      </c>
      <c r="B220" s="7">
        <v>4028</v>
      </c>
      <c r="C220" s="21" t="s">
        <v>210</v>
      </c>
      <c r="D220" s="21" t="s">
        <v>413</v>
      </c>
      <c r="E220" s="13">
        <v>42861.111076388886</v>
      </c>
      <c r="F220" s="13">
        <v>42861.112696759257</v>
      </c>
      <c r="G220" s="7">
        <v>1</v>
      </c>
      <c r="H220" s="21" t="s">
        <v>409</v>
      </c>
      <c r="I220" s="13">
        <v>42861.122106481482</v>
      </c>
      <c r="J220" s="7">
        <v>0</v>
      </c>
      <c r="K220" s="92" t="str">
        <f t="shared" si="78"/>
        <v>4027/4028</v>
      </c>
      <c r="L220" s="21" t="str">
        <f>VLOOKUP(A220,'Trips&amp;Operators'!$C$1:$G$99999,5,FALSE)</f>
        <v>BROWN JACOB</v>
      </c>
      <c r="M220" s="6">
        <f t="shared" si="79"/>
        <v>9.4097222245181911E-3</v>
      </c>
      <c r="N220" s="7">
        <f t="shared" si="94"/>
        <v>13.550000003306195</v>
      </c>
      <c r="O220" s="7"/>
      <c r="P220" s="7"/>
      <c r="Q220" s="22"/>
      <c r="R220" s="190"/>
      <c r="S220" s="196">
        <f t="shared" si="77"/>
        <v>1</v>
      </c>
      <c r="T220" s="190" t="str">
        <f t="shared" si="80"/>
        <v>NorthBound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81"/>
        <v>https://d0f6bd738d7f1b3e5a7ca70fe4ff75f0.us-east-1.aws.found.io/app/kibana#/discover/Steve-Slow-Train-Analysis-(2080s-and-2083s)?_g=(refreshInterval:(display:Off,pause:!f,section:0,value:0),time:(from:'2017-05-06T01:39:57-0600',mode:absolute,to:'2017-05-06T03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0" s="192" t="str">
        <f t="shared" si="82"/>
        <v>Y</v>
      </c>
      <c r="X220" s="192">
        <f t="shared" si="95"/>
        <v>2</v>
      </c>
      <c r="Y220" s="192">
        <f t="shared" si="83"/>
        <v>4.6399999999999997E-2</v>
      </c>
      <c r="Z220" s="192">
        <f t="shared" si="84"/>
        <v>2.3346</v>
      </c>
      <c r="AA220" s="192">
        <f t="shared" si="85"/>
        <v>2.2881999999999998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6"/>
        <v>0315-05</v>
      </c>
      <c r="AE220" s="80" t="str">
        <f t="shared" si="87"/>
        <v>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 &amp; 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</v>
      </c>
      <c r="AF220" s="77" t="str">
        <f t="shared" si="88"/>
        <v>"C:\Program Files (x86)\AstroGrep\AstroGrep.exe" /e /r /s /spath="%USERPROFILE%\AppData\Local\Temp\OnboardLogs" /stypes="app*4028*20170506*" /stext=" 08:.+((SYSTEM_STATE.+slice.+state.+changed )|(ment ac)|(multiple cpu faults)|(system.+state.+changed )|(\[timeout)|(PRM\|1\|D)|(kpr)|(kdp)|(train st.+moving)|(\|lc)|(penalty))"</v>
      </c>
      <c r="AG220" s="1" t="str">
        <f t="shared" si="89"/>
        <v>Other</v>
      </c>
      <c r="AH220" s="81" t="str">
        <f t="shared" si="90"/>
        <v>"%USERPROFILE%\Documents\GitHub\eaglep3\Utilities\RefineRTDCRunTimes.py" --tripid 315-05 --locoid 4028 --swversion DE.1.0.9.0 --startMP 204:464 --initTime 2017-05-06T02:39:57 --startdatetime 2017-05-06T02:42:17 --delay 1 --endMP 300:23346 --enddatetime 2017-05-06T02:55:50 --enforcementcount 0 &gt;&gt;C:\Users\stu\Documents\GitHub\eaglep3-reporting\EC\2017-05-05-refined-times.txt</v>
      </c>
      <c r="AI220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ID","value":"315-05"},{"id":16,"name":"Locomotive ID","value":"4028"},{"id":130,"name":"Impact","value":""},{"id":150,"name":"Time of Event (Mountain Time)","value":"02:55:50"},{"id":151,"name":"Denver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2"/>
        <v>start /low /b %USERPROFILE%\Documents\GitHub\eaglep3\Utilities\DownloadLogsFromS3.py --loco 4028 --day 2017-05-06</v>
      </c>
      <c r="AN220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652</v>
      </c>
      <c r="B221" s="7">
        <v>4002</v>
      </c>
      <c r="C221" s="21" t="s">
        <v>210</v>
      </c>
      <c r="D221" s="21" t="s">
        <v>1025</v>
      </c>
      <c r="E221" s="13">
        <v>42860.197893518518</v>
      </c>
      <c r="F221" s="13">
        <v>42860.201909722222</v>
      </c>
      <c r="G221" s="7">
        <v>5</v>
      </c>
      <c r="H221" s="21" t="s">
        <v>1026</v>
      </c>
      <c r="I221" s="13">
        <v>42860.207233796296</v>
      </c>
      <c r="J221" s="7">
        <v>0</v>
      </c>
      <c r="K221" s="92" t="str">
        <f t="shared" si="78"/>
        <v>4001/4002</v>
      </c>
      <c r="L221" s="21" t="str">
        <f>VLOOKUP(A221,'Trips&amp;Operators'!$C$1:$G$99999,5,FALSE)</f>
        <v>GEBRETEKLE DAGNEW</v>
      </c>
      <c r="M221" s="6">
        <f t="shared" si="79"/>
        <v>5.324074074451346E-3</v>
      </c>
      <c r="N221" s="7">
        <f t="shared" si="94"/>
        <v>7.6666666672099382</v>
      </c>
      <c r="O221" s="7"/>
      <c r="P221" s="7"/>
      <c r="Q221" s="22"/>
      <c r="R221" s="190"/>
      <c r="S221" s="196">
        <f t="shared" si="77"/>
        <v>0</v>
      </c>
      <c r="T221" s="190" t="str">
        <f t="shared" si="80"/>
        <v>NorthBound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81"/>
        <v>https://d0f6bd738d7f1b3e5a7ca70fe4ff75f0.us-east-1.aws.found.io/app/kibana#/discover/Steve-Slow-Train-Analysis-(2080s-and-2083s)?_g=(refreshInterval:(display:Off,pause:!f,section:0,value:0),time:(from:'2017-05-05T03:44:58-0600',mode:absolute,to:'2017-05-05T05:58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1" s="192" t="str">
        <f t="shared" si="82"/>
        <v>Y</v>
      </c>
      <c r="X221" s="192">
        <f t="shared" si="95"/>
        <v>586</v>
      </c>
      <c r="Y221" s="192">
        <f t="shared" si="83"/>
        <v>2.9805999999999999</v>
      </c>
      <c r="Z221" s="192">
        <f t="shared" si="84"/>
        <v>5.8986000000000001</v>
      </c>
      <c r="AA221" s="192">
        <f t="shared" si="85"/>
        <v>2.9180000000000001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6"/>
        <v>0901-05</v>
      </c>
      <c r="AE221" s="80" t="str">
        <f t="shared" si="87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221" s="77" t="str">
        <f t="shared" si="88"/>
        <v>"C:\Program Files (x86)\AstroGrep\AstroGrep.exe" /e /r /s /spath="%USERPROFILE%\AppData\Local\Temp\OnboardLogs" /stypes="app*4002*20170505*" /stext=" 10:.+((SYSTEM_STATE.+slice.+state.+changed )|(ment ac)|(multiple cpu faults)|(system.+state.+changed )|(\[timeout)|(PRM\|1\|D)|(kpr)|(kdp)|(train st.+moving)|(\|lc)|(penalty))"</v>
      </c>
      <c r="AG221" s="1" t="str">
        <f t="shared" si="89"/>
        <v>Other</v>
      </c>
      <c r="AH221" s="81" t="str">
        <f t="shared" si="90"/>
        <v>"%USERPROFILE%\Documents\GitHub\eaglep3\Utilities\RefineRTDCRunTimes.py" --tripid 901-05 --locoid 4002 --swversion DE.1.0.9.0 --startMP 300:29806 --initTime 2017-05-05T04:44:58 --startdatetime 2017-05-05T04:50:45 --delay 5 --endMP 300:58986 --enddatetime 2017-05-05T04:58:25 --enforcementcount 0 &gt;&gt;C:\Users\stu\Documents\GitHub\eaglep3-reporting\EC\2017-05-05-refined-times.txt</v>
      </c>
      <c r="AI221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{"issue":{"subject":"","project_id":79,"tracker_id":40,"status_id":1,"priority_id":2,"assigned_to_id":23,"start_date":"2017-05-05","description":"","custom_fields":[{"id":1,"name":"Subdivision","value":"Other"},{"id":4,"name":"Milepost","value":"5.8986"},{"id":17,"name":"Train ID","value":"901-05"},{"id":16,"name":"Locomotive ID","value":"4002"},{"id":130,"name":"Impact","value":""},{"id":150,"name":"Time of Event (Mountain Time)","value":"04:58:25"},{"id":151,"name":"Denver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2"/>
        <v>start /low /b %USERPROFILE%\Documents\GitHub\eaglep3\Utilities\DownloadLogsFromS3.py --loco 4002 --day 2017-05-05</v>
      </c>
      <c r="AN221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10:58:25"},{"id":29,"name":"Sharepoint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664</v>
      </c>
      <c r="B222" s="7">
        <v>4011</v>
      </c>
      <c r="C222" s="21" t="s">
        <v>210</v>
      </c>
      <c r="D222" s="21" t="s">
        <v>1027</v>
      </c>
      <c r="E222" s="13">
        <v>42860.245370370372</v>
      </c>
      <c r="F222" s="13">
        <v>42860.249479166669</v>
      </c>
      <c r="G222" s="7">
        <v>5</v>
      </c>
      <c r="H222" s="21" t="s">
        <v>1028</v>
      </c>
      <c r="I222" s="13">
        <v>42860.254826388889</v>
      </c>
      <c r="J222" s="7">
        <v>0</v>
      </c>
      <c r="K222" s="92" t="str">
        <f t="shared" si="78"/>
        <v>4011/4012</v>
      </c>
      <c r="L222" s="21" t="str">
        <f>VLOOKUP(A222,'Trips&amp;Operators'!$C$1:$G$99999,5,FALSE)</f>
        <v>DE LA ROSA ALEX</v>
      </c>
      <c r="M222" s="6">
        <f t="shared" si="79"/>
        <v>5.3472222207346931E-3</v>
      </c>
      <c r="N222" s="7">
        <f t="shared" si="94"/>
        <v>7.6999999978579581</v>
      </c>
      <c r="O222" s="7"/>
      <c r="P222" s="7"/>
      <c r="Q222" s="22"/>
      <c r="R222" s="190"/>
      <c r="S222" s="196">
        <f t="shared" si="77"/>
        <v>1</v>
      </c>
      <c r="T222" s="190" t="str">
        <f t="shared" si="80"/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81"/>
        <v>https://d0f6bd738d7f1b3e5a7ca70fe4ff75f0.us-east-1.aws.found.io/app/kibana#/discover/Steve-Slow-Train-Analysis-(2080s-and-2083s)?_g=(refreshInterval:(display:Off,pause:!f,section:0,value:0),time:(from:'2017-05-05T04:53:20-0600',mode:absolute,to:'2017-05-05T07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2" s="192" t="str">
        <f t="shared" si="82"/>
        <v>Y</v>
      </c>
      <c r="X222" s="192">
        <f t="shared" si="95"/>
        <v>1</v>
      </c>
      <c r="Y222" s="192">
        <f t="shared" si="83"/>
        <v>2.3071000000000002</v>
      </c>
      <c r="Z222" s="192">
        <f t="shared" si="84"/>
        <v>6.4500000000000002E-2</v>
      </c>
      <c r="AA222" s="192">
        <f t="shared" si="85"/>
        <v>2.2426000000000004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6"/>
        <v>0902-05</v>
      </c>
      <c r="AE222" s="80" t="str">
        <f t="shared" si="87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22" s="77" t="str">
        <f t="shared" si="88"/>
        <v>"C:\Program Files (x86)\AstroGrep\AstroGrep.exe" /e /r /s /spath="%USERPROFILE%\AppData\Local\Temp\OnboardLogs" /stypes="app*4011*20170505*" /stext=" 12:.+((SYSTEM_STATE.+slice.+state.+changed )|(ment ac)|(multiple cpu faults)|(system.+state.+changed )|(\[timeout)|(PRM\|1\|D)|(kpr)|(kdp)|(train st.+moving)|(\|lc)|(penalty))"</v>
      </c>
      <c r="AG222" s="1" t="str">
        <f t="shared" si="89"/>
        <v>Other</v>
      </c>
      <c r="AH222" s="81" t="str">
        <f t="shared" si="90"/>
        <v>"%USERPROFILE%\Documents\GitHub\eaglep3\Utilities\RefineRTDCRunTimes.py" --tripid 902-05 --locoid 4011 --swversion DE.1.0.9.0 --startMP 300:23071 --initTime 2017-05-05T05:53:20 --startdatetime 2017-05-05T05:59:15 --delay 5 --endMP 204:645 --enddatetime 2017-05-05T06:06:57 --enforcementcount 0 &gt;&gt;C:\Users\stu\Documents\GitHub\eaglep3-reporting\EC\2017-05-05-refined-times.txt</v>
      </c>
      <c r="AI22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{"issue":{"subject":"","project_id":79,"tracker_id":40,"status_id":1,"priority_id":2,"assigned_to_id":23,"start_date":"2017-05-05","description":"","custom_fields":[{"id":1,"name":"Subdivision","value":"Other"},{"id":4,"name":"Milepost","value":"0.0645"},{"id":17,"name":"Train ID","value":"902-05"},{"id":16,"name":"Locomotive ID","value":"4011"},{"id":130,"name":"Impact","value":""},{"id":150,"name":"Time of Event (Mountain Time)","value":"06:06:57"},{"id":151,"name":"Denver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92"/>
        <v>start /low /b %USERPROFILE%\Documents\GitHub\eaglep3\Utilities\DownloadLogsFromS3.py --loco 4011 --day 2017-05-05</v>
      </c>
      <c r="AN222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692</v>
      </c>
      <c r="B223" s="7">
        <v>4002</v>
      </c>
      <c r="C223" s="21" t="s">
        <v>210</v>
      </c>
      <c r="D223" s="21" t="s">
        <v>577</v>
      </c>
      <c r="E223" s="13">
        <v>42860.35324074074</v>
      </c>
      <c r="F223" s="13">
        <v>42860.354629629626</v>
      </c>
      <c r="G223" s="7">
        <v>1</v>
      </c>
      <c r="H223" s="21" t="s">
        <v>1029</v>
      </c>
      <c r="I223" s="13">
        <v>42860.36136574074</v>
      </c>
      <c r="J223" s="7">
        <v>0</v>
      </c>
      <c r="K223" s="92" t="str">
        <f t="shared" si="78"/>
        <v>4001/4002</v>
      </c>
      <c r="L223" s="21" t="str">
        <f>VLOOKUP(A223,'Trips&amp;Operators'!$C$1:$G$99999,5,FALSE)</f>
        <v>GEBRETEKLE DAGNEW</v>
      </c>
      <c r="M223" s="6">
        <f t="shared" si="79"/>
        <v>6.7361111141508445E-3</v>
      </c>
      <c r="N223" s="7">
        <f t="shared" si="94"/>
        <v>9.7000000043772161</v>
      </c>
      <c r="O223" s="7"/>
      <c r="P223" s="7"/>
      <c r="Q223" s="22"/>
      <c r="R223" s="190"/>
      <c r="S223" s="196">
        <f t="shared" si="77"/>
        <v>1</v>
      </c>
      <c r="T223" s="190" t="str">
        <f t="shared" si="80"/>
        <v>NorthBound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1" t="str">
        <f t="shared" si="81"/>
        <v>https://d0f6bd738d7f1b3e5a7ca70fe4ff75f0.us-east-1.aws.found.io/app/kibana#/discover/Steve-Slow-Train-Analysis-(2080s-and-2083s)?_g=(refreshInterval:(display:Off,pause:!f,section:0,value:0),time:(from:'2017-05-05T07:28:40-0600',mode:absolute,to:'2017-05-05T09:40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3" s="192" t="str">
        <f t="shared" si="82"/>
        <v>Y</v>
      </c>
      <c r="X223" s="192">
        <f t="shared" si="95"/>
        <v>1</v>
      </c>
      <c r="Y223" s="192">
        <f t="shared" si="83"/>
        <v>9.8799999999999999E-2</v>
      </c>
      <c r="Z223" s="192">
        <f t="shared" si="84"/>
        <v>2.4211999999999998</v>
      </c>
      <c r="AA223" s="192">
        <f t="shared" si="85"/>
        <v>2.3224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6"/>
        <v>0903-05</v>
      </c>
      <c r="AE223" s="80" t="str">
        <f t="shared" si="87"/>
        <v>aws s3 cp s3://rtdc.mdm.uploadarchive.raw/RTDC4002/ "%USERPROFILE%\AppData\Local\Temp\OnboardLogs"\RTDC4002\2017-05-05 --exclude "*" --recursive --include "*20170505*" &amp; "%USERPROFILE%\Documents\GitHub\mrs-test-scripts\Headless Mode &amp; Sideloading\WalkAndUnGZ.bat" "%USERPROFILE%\AppData\Local\Temp\OnboardLogs"\RTDC4002\2017-05-05 &amp; 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</v>
      </c>
      <c r="AF223" s="77" t="str">
        <f t="shared" si="88"/>
        <v>"C:\Program Files (x86)\AstroGrep\AstroGrep.exe" /e /r /s /spath="%USERPROFILE%\AppData\Local\Temp\OnboardLogs" /stypes="app*4002*20170505*" /stext=" 14:.+((SYSTEM_STATE.+slice.+state.+changed )|(ment ac)|(multiple cpu faults)|(system.+state.+changed )|(\[timeout)|(PRM\|1\|D)|(kpr)|(kdp)|(train st.+moving)|(\|lc)|(penalty))"</v>
      </c>
      <c r="AG223" s="1" t="str">
        <f t="shared" si="89"/>
        <v>Other</v>
      </c>
      <c r="AH223" s="81" t="str">
        <f t="shared" si="90"/>
        <v>"%USERPROFILE%\Documents\GitHub\eaglep3\Utilities\RefineRTDCRunTimes.py" --tripid 903-05 --locoid 4002 --swversion DE.1.0.9.0 --startMP 204:988 --initTime 2017-05-05T08:28:40 --startdatetime 2017-05-05T08:30:40 --delay 1 --endMP 300:24212 --enddatetime 2017-05-05T08:40:22 --enforcementcount 0 &gt;&gt;C:\Users\stu\Documents\GitHub\eaglep3-reporting\EC\2017-05-05-refined-times.txt</v>
      </c>
      <c r="AI223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{"issue":{"subject":"","project_id":79,"tracker_id":40,"status_id":1,"priority_id":2,"assigned_to_id":23,"start_date":"2017-05-05","description":"","custom_fields":[{"id":1,"name":"Subdivision","value":"Other"},{"id":4,"name":"Milepost","value":"2.4212"},{"id":17,"name":"Train ID","value":"903-05"},{"id":16,"name":"Locomotive ID","value":"4002"},{"id":130,"name":"Impact","value":""},{"id":150,"name":"Time of Event (Mountain Time)","value":"08:40:22"},{"id":151,"name":"Denver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2"/>
        <v>start /low /b %USERPROFILE%\Documents\GitHub\eaglep3\Utilities\DownloadLogsFromS3.py --loco 4002 --day 2017-05-05</v>
      </c>
      <c r="AN223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14:40:22"},{"id":29,"name":"Sharepoint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761</v>
      </c>
      <c r="B224" s="7">
        <v>4001</v>
      </c>
      <c r="C224" s="21" t="s">
        <v>210</v>
      </c>
      <c r="D224" s="21" t="s">
        <v>1030</v>
      </c>
      <c r="E224" s="13">
        <v>42860.639143518521</v>
      </c>
      <c r="F224" s="13">
        <v>42860.641284722224</v>
      </c>
      <c r="G224" s="7">
        <v>2</v>
      </c>
      <c r="H224" s="21" t="s">
        <v>1031</v>
      </c>
      <c r="I224" s="13">
        <v>42860.64638888889</v>
      </c>
      <c r="J224" s="7">
        <v>0</v>
      </c>
      <c r="K224" s="92" t="str">
        <f t="shared" si="78"/>
        <v>4001/4002</v>
      </c>
      <c r="L224" s="21" t="str">
        <f>VLOOKUP(A224,'Trips&amp;Operators'!$C$1:$G$99999,5,FALSE)</f>
        <v>SMITH MICHAEL</v>
      </c>
      <c r="M224" s="6">
        <f t="shared" si="79"/>
        <v>5.1041666665696539E-3</v>
      </c>
      <c r="N224" s="7">
        <f t="shared" si="94"/>
        <v>7.3499999998603016</v>
      </c>
      <c r="O224" s="7"/>
      <c r="P224" s="7"/>
      <c r="Q224" s="22"/>
      <c r="R224" s="190"/>
      <c r="S224" s="196">
        <f t="shared" si="77"/>
        <v>1</v>
      </c>
      <c r="T224" s="190" t="str">
        <f t="shared" si="80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1" t="str">
        <f t="shared" si="81"/>
        <v>https://d0f6bd738d7f1b3e5a7ca70fe4ff75f0.us-east-1.aws.found.io/app/kibana#/discover/Steve-Slow-Train-Analysis-(2080s-and-2083s)?_g=(refreshInterval:(display:Off,pause:!f,section:0,value:0),time:(from:'2017-05-05T14:20:22-0600',mode:absolute,to:'2017-05-05T16:30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4" s="192" t="str">
        <f t="shared" si="82"/>
        <v>Y</v>
      </c>
      <c r="X224" s="192">
        <f t="shared" si="95"/>
        <v>1</v>
      </c>
      <c r="Y224" s="192">
        <f t="shared" si="83"/>
        <v>2.3410000000000002</v>
      </c>
      <c r="Z224" s="192">
        <f t="shared" si="84"/>
        <v>6.7299999999999999E-2</v>
      </c>
      <c r="AA224" s="192">
        <f t="shared" si="85"/>
        <v>2.2737000000000003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6"/>
        <v>0904-05</v>
      </c>
      <c r="AE224" s="80" t="str">
        <f t="shared" si="87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224" s="77" t="str">
        <f t="shared" si="88"/>
        <v>"C:\Program Files (x86)\AstroGrep\AstroGrep.exe" /e /r /s /spath="%USERPROFILE%\AppData\Local\Temp\OnboardLogs" /stypes="app*4001*20170505*" /stext=" 21:.+((SYSTEM_STATE.+slice.+state.+changed )|(ment ac)|(multiple cpu faults)|(system.+state.+changed )|(\[timeout)|(PRM\|1\|D)|(kpr)|(kdp)|(train st.+moving)|(\|lc)|(penalty))"</v>
      </c>
      <c r="AG224" s="1" t="str">
        <f t="shared" si="89"/>
        <v>Other</v>
      </c>
      <c r="AH224" s="81" t="str">
        <f t="shared" si="90"/>
        <v>"%USERPROFILE%\Documents\GitHub\eaglep3\Utilities\RefineRTDCRunTimes.py" --tripid 904-05 --locoid 4001 --swversion DE.1.0.9.0 --startMP 300:23410 --initTime 2017-05-05T15:20:22 --startdatetime 2017-05-05T15:23:27 --delay 2 --endMP 204:673 --enddatetime 2017-05-05T15:30:48 --enforcementcount 0 &gt;&gt;C:\Users\stu\Documents\GitHub\eaglep3-reporting\EC\2017-05-05-refined-times.txt</v>
      </c>
      <c r="AI224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{"issue":{"subject":"","project_id":79,"tracker_id":40,"status_id":1,"priority_id":2,"assigned_to_id":23,"start_date":"2017-05-05","description":"","custom_fields":[{"id":1,"name":"Subdivision","value":"Other"},{"id":4,"name":"Milepost","value":"0.0673"},{"id":17,"name":"Train ID","value":"904-05"},{"id":16,"name":"Locomotive ID","value":"4001"},{"id":130,"name":"Impact","value":""},{"id":150,"name":"Time of Event (Mountain Time)","value":"15:30:48"},{"id":151,"name":"Denver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2"/>
        <v>start /low /b %USERPROFILE%\Documents\GitHub\eaglep3\Utilities\DownloadLogsFromS3.py --loco 4001 --day 2017-05-05</v>
      </c>
      <c r="AN224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21:30:48"},{"id":29,"name":"Sharepoint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811</v>
      </c>
      <c r="B225" s="7">
        <v>4001</v>
      </c>
      <c r="C225" s="21" t="s">
        <v>210</v>
      </c>
      <c r="D225" s="21" t="s">
        <v>513</v>
      </c>
      <c r="E225" s="13">
        <v>42860.800057870372</v>
      </c>
      <c r="F225" s="13">
        <v>42860.801400462966</v>
      </c>
      <c r="G225" s="7">
        <v>1</v>
      </c>
      <c r="H225" s="21" t="s">
        <v>1032</v>
      </c>
      <c r="I225" s="13">
        <v>42860.809363425928</v>
      </c>
      <c r="J225" s="7">
        <v>0</v>
      </c>
      <c r="K225" s="92" t="str">
        <f t="shared" si="78"/>
        <v>4001/4002</v>
      </c>
      <c r="L225" s="21" t="str">
        <f>VLOOKUP(A225,'Trips&amp;Operators'!$C$1:$G$99999,5,FALSE)</f>
        <v>SMITH MICHAEL</v>
      </c>
      <c r="M225" s="6">
        <f t="shared" si="79"/>
        <v>7.962962961755693E-3</v>
      </c>
      <c r="N225" s="7">
        <f t="shared" si="94"/>
        <v>11.466666664928198</v>
      </c>
      <c r="O225" s="7"/>
      <c r="P225" s="7"/>
      <c r="Q225" s="22"/>
      <c r="R225" s="190"/>
      <c r="S225" s="196">
        <f t="shared" si="77"/>
        <v>0</v>
      </c>
      <c r="T225" s="190" t="str">
        <f t="shared" si="80"/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81"/>
        <v>https://d0f6bd738d7f1b3e5a7ca70fe4ff75f0.us-east-1.aws.found.io/app/kibana#/discover/Steve-Slow-Train-Analysis-(2080s-and-2083s)?_g=(refreshInterval:(display:Off,pause:!f,section:0,value:0),time:(from:'2017-05-05T18:12:05-0600',mode:absolute,to:'2017-05-05T20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5" s="192" t="str">
        <f t="shared" si="82"/>
        <v>Y</v>
      </c>
      <c r="X225" s="192">
        <f t="shared" si="95"/>
        <v>2</v>
      </c>
      <c r="Y225" s="192">
        <f t="shared" si="83"/>
        <v>5.8634000000000004</v>
      </c>
      <c r="Z225" s="192">
        <f t="shared" si="84"/>
        <v>2.8788</v>
      </c>
      <c r="AA225" s="192">
        <f t="shared" si="85"/>
        <v>2.9846000000000004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6"/>
        <v>0906-05</v>
      </c>
      <c r="AE225" s="80" t="str">
        <f t="shared" si="87"/>
        <v>aws s3 cp s3://rtdc.mdm.uploadarchive.raw/RTDC4001/ "%USERPROFILE%\AppData\Local\Temp\OnboardLogs"\RTDC4001\2017-05-05 --exclude "*" --recursive --include "*20170505*" &amp; "%USERPROFILE%\Documents\GitHub\mrs-test-scripts\Headless Mode &amp; Sideloading\WalkAndUnGZ.bat" "%USERPROFILE%\AppData\Local\Temp\OnboardLogs"\RTDC4001\2017-05-05 &amp; 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</v>
      </c>
      <c r="AF225" s="77" t="str">
        <f t="shared" si="88"/>
        <v>"C:\Program Files (x86)\AstroGrep\AstroGrep.exe" /e /r /s /spath="%USERPROFILE%\AppData\Local\Temp\OnboardLogs" /stypes="app*4001*20170506*" /stext=" 01:.+((SYSTEM_STATE.+slice.+state.+changed )|(ment ac)|(multiple cpu faults)|(system.+state.+changed )|(\[timeout)|(PRM\|1\|D)|(kpr)|(kdp)|(train st.+moving)|(\|lc)|(penalty))"</v>
      </c>
      <c r="AG225" s="1" t="str">
        <f t="shared" si="89"/>
        <v>Other</v>
      </c>
      <c r="AH225" s="81" t="str">
        <f t="shared" si="90"/>
        <v>"%USERPROFILE%\Documents\GitHub\eaglep3\Utilities\RefineRTDCRunTimes.py" --tripid 906-05 --locoid 4001 --swversion DE.1.0.9.0 --startMP 300:58634 --initTime 2017-05-05T19:12:05 --startdatetime 2017-05-05T19:14:01 --delay 1 --endMP 300:28788 --enddatetime 2017-05-05T19:25:29 --enforcementcount 0 &gt;&gt;C:\Users\stu\Documents\GitHub\eaglep3-reporting\EC\2017-05-05-refined-times.txt</v>
      </c>
      <c r="AI225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{"issue":{"subject":"","project_id":79,"tracker_id":40,"status_id":1,"priority_id":2,"assigned_to_id":23,"start_date":"2017-05-05","description":"","custom_fields":[{"id":1,"name":"Subdivision","value":"Other"},{"id":4,"name":"Milepost","value":"2.8788"},{"id":17,"name":"Train ID","value":"906-05"},{"id":16,"name":"Locomotive ID","value":"4001"},{"id":130,"name":"Impact","value":""},{"id":150,"name":"Time of Event (Mountain Time)","value":"19:25:29"},{"id":151,"name":"Denver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2"/>
        <v>start /low /b %USERPROFILE%\Documents\GitHub\eaglep3\Utilities\DownloadLogsFromS3.py --loco 4001 --day 2017-05-05</v>
      </c>
      <c r="AN225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01:25:29"},{"id":29,"name":"Sharepoint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832</v>
      </c>
      <c r="B226" s="7">
        <v>4011</v>
      </c>
      <c r="C226" s="21" t="s">
        <v>210</v>
      </c>
      <c r="D226" s="21" t="s">
        <v>578</v>
      </c>
      <c r="E226" s="13">
        <v>42860.942280092589</v>
      </c>
      <c r="F226" s="13">
        <v>42860.943738425929</v>
      </c>
      <c r="G226" s="7">
        <v>1</v>
      </c>
      <c r="H226" s="21" t="s">
        <v>1033</v>
      </c>
      <c r="I226" s="13">
        <v>42860.948877314811</v>
      </c>
      <c r="J226" s="7">
        <v>0</v>
      </c>
      <c r="K226" s="92" t="str">
        <f t="shared" si="78"/>
        <v>4011/4012</v>
      </c>
      <c r="L226" s="21" t="str">
        <f>VLOOKUP(A226,'Trips&amp;Operators'!$C$1:$G$99999,5,FALSE)</f>
        <v>SMITH MICHAEL</v>
      </c>
      <c r="M226" s="6">
        <f t="shared" si="79"/>
        <v>5.1388888823566958E-3</v>
      </c>
      <c r="N226" s="7">
        <f t="shared" si="94"/>
        <v>7.399999990593642</v>
      </c>
      <c r="O226" s="7"/>
      <c r="P226" s="7"/>
      <c r="Q226" s="22"/>
      <c r="R226" s="190"/>
      <c r="S226" s="196">
        <f t="shared" si="77"/>
        <v>0</v>
      </c>
      <c r="T226" s="190" t="str">
        <f t="shared" si="80"/>
        <v>Southbound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81"/>
        <v>https://d0f6bd738d7f1b3e5a7ca70fe4ff75f0.us-east-1.aws.found.io/app/kibana#/discover/Steve-Slow-Train-Analysis-(2080s-and-2083s)?_g=(refreshInterval:(display:Off,pause:!f,section:0,value:0),time:(from:'2017-05-05T21:36:53-0600',mode:absolute,to:'2017-05-05T23:46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6" s="192" t="str">
        <f t="shared" si="82"/>
        <v>Y</v>
      </c>
      <c r="X226" s="192">
        <f t="shared" si="95"/>
        <v>2</v>
      </c>
      <c r="Y226" s="192">
        <f t="shared" si="83"/>
        <v>5.8624000000000001</v>
      </c>
      <c r="Z226" s="192">
        <f t="shared" si="84"/>
        <v>2.1724999999999999</v>
      </c>
      <c r="AA226" s="192">
        <f t="shared" si="85"/>
        <v>3.6899000000000002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6"/>
        <v>0908-05</v>
      </c>
      <c r="AE226" s="80" t="str">
        <f t="shared" si="87"/>
        <v>aws s3 cp s3://rtdc.mdm.uploadarchive.raw/RTDC4011/ "%USERPROFILE%\AppData\Local\Temp\OnboardLogs"\RTDC4011\2017-05-05 --exclude "*" --recursive --include "*20170505*" &amp; "%USERPROFILE%\Documents\GitHub\mrs-test-scripts\Headless Mode &amp; Sideloading\WalkAndUnGZ.bat" "%USERPROFILE%\AppData\Local\Temp\OnboardLogs"\RTDC4011\2017-05-05 &amp; aws s3 cp s3://rtdc.mdm.uploadarchive.raw/RTDC4011/ "%USERPROFILE%\AppData\Local\Temp\OnboardLogs"\RTDC4011\2017-05-06 --exclude "*" --recursive --include "*20170506*" &amp; "%USERPROFILE%\Documents\GitHub\mrs-test-scripts\Headless Mode &amp; Sideloading\WalkAndUnGZ.bat" "%USERPROFILE%\AppData\Local\Temp\OnboardLogs"\RTDC4011\2017-05-06</v>
      </c>
      <c r="AF226" s="77" t="str">
        <f t="shared" si="88"/>
        <v>"C:\Program Files (x86)\AstroGrep\AstroGrep.exe" /e /r /s /spath="%USERPROFILE%\AppData\Local\Temp\OnboardLogs" /stypes="app*4011*20170506*" /stext=" 04:.+((SYSTEM_STATE.+slice.+state.+changed )|(ment ac)|(multiple cpu faults)|(system.+state.+changed )|(\[timeout)|(PRM\|1\|D)|(kpr)|(kdp)|(train st.+moving)|(\|lc)|(penalty))"</v>
      </c>
      <c r="AG226" s="1" t="str">
        <f t="shared" si="89"/>
        <v>Other</v>
      </c>
      <c r="AH226" s="81" t="str">
        <f t="shared" si="90"/>
        <v>"%USERPROFILE%\Documents\GitHub\eaglep3\Utilities\RefineRTDCRunTimes.py" --tripid 908-05 --locoid 4011 --swversion DE.1.0.9.0 --startMP 300:58624 --initTime 2017-05-05T22:36:53 --startdatetime 2017-05-05T22:38:59 --delay 1 --endMP 300:21725 --enddatetime 2017-05-05T22:46:23 --enforcementcount 0 &gt;&gt;C:\Users\stu\Documents\GitHub\eaglep3-reporting\EC\2017-05-05-refined-times.txt</v>
      </c>
      <c r="AI226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{"issue":{"subject":"","project_id":79,"tracker_id":40,"status_id":1,"priority_id":2,"assigned_to_id":23,"start_date":"2017-05-05","description":"","custom_fields":[{"id":1,"name":"Subdivision","value":"Other"},{"id":4,"name":"Milepost","value":"2.1725"},{"id":17,"name":"Train ID","value":"908-05"},{"id":16,"name":"Locomotive ID","value":"4011"},{"id":130,"name":"Impact","value":""},{"id":150,"name":"Time of Event (Mountain Time)","value":"22:46:23"},{"id":151,"name":"Denver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2"/>
        <v>start /low /b %USERPROFILE%\Documents\GitHub\eaglep3\Utilities\DownloadLogsFromS3.py --loco 4011 --day 2017-05-05</v>
      </c>
      <c r="AN226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04:46:23"},{"id":29,"name":"Sharepoint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710</v>
      </c>
      <c r="B227" s="7">
        <v>4053</v>
      </c>
      <c r="C227" s="21" t="s">
        <v>210</v>
      </c>
      <c r="D227" s="21" t="s">
        <v>937</v>
      </c>
      <c r="E227" s="13">
        <v>42860.436203703706</v>
      </c>
      <c r="F227" s="13">
        <v>42860.440150462964</v>
      </c>
      <c r="G227" s="7">
        <v>5</v>
      </c>
      <c r="H227" s="21" t="s">
        <v>938</v>
      </c>
      <c r="I227" s="13">
        <v>42860.445497685185</v>
      </c>
      <c r="J227" s="7">
        <v>0</v>
      </c>
      <c r="K227" s="92" t="str">
        <f t="shared" si="78"/>
        <v>4053/4054</v>
      </c>
      <c r="L227" s="21" t="str">
        <f>VLOOKUP(A227,'Trips&amp;Operators'!$C$1:$G$99999,5,FALSE)</f>
        <v>WHITED DUSTIN</v>
      </c>
      <c r="M227" s="6">
        <f t="shared" si="79"/>
        <v>5.3472222207346931E-3</v>
      </c>
      <c r="N227" s="7">
        <f t="shared" si="94"/>
        <v>7.6999999978579581</v>
      </c>
      <c r="O227" s="7"/>
      <c r="P227" s="7"/>
      <c r="Q227" s="22"/>
      <c r="R227" s="190"/>
      <c r="S227" s="196">
        <f t="shared" si="77"/>
        <v>0</v>
      </c>
      <c r="T227" s="190" t="e">
        <f t="shared" si="80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81"/>
        <v>https://d0f6bd738d7f1b3e5a7ca70fe4ff75f0.us-east-1.aws.found.io/app/kibana#/discover/Steve-Slow-Train-Analysis-(2080s-and-2083s)?_g=(refreshInterval:(display:Off,pause:!f,section:0,value:0),time:(from:'2017-05-05T09:28:08-0600',mode:absolute,to:'2017-05-05T11:41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7" s="192" t="str">
        <f t="shared" si="82"/>
        <v>Y</v>
      </c>
      <c r="X227" s="192" t="e">
        <f t="shared" si="95"/>
        <v>#VALUE!</v>
      </c>
      <c r="Y227" s="192">
        <f t="shared" si="83"/>
        <v>2.2273999999999998</v>
      </c>
      <c r="Z227" s="192">
        <f t="shared" si="84"/>
        <v>9.7000000000000003E-3</v>
      </c>
      <c r="AA227" s="192">
        <f t="shared" si="85"/>
        <v>2.2176999999999998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6"/>
        <v>50-05</v>
      </c>
      <c r="AE227" s="80" t="str">
        <f t="shared" si="87"/>
        <v>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 &amp; 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</v>
      </c>
      <c r="AF227" s="77" t="str">
        <f t="shared" si="88"/>
        <v>"C:\Program Files (x86)\AstroGrep\AstroGrep.exe" /e /r /s /spath="%USERPROFILE%\AppData\Local\Temp\OnboardLogs" /stypes="app*4053*20170505*" /stext=" 16:.+((SYSTEM_STATE.+slice.+state.+changed )|(ment ac)|(multiple cpu faults)|(system.+state.+changed )|(\[timeout)|(PRM\|1\|D)|(kpr)|(kdp)|(train st.+moving)|(\|lc)|(penalty))"</v>
      </c>
      <c r="AG227" s="1" t="str">
        <f t="shared" si="89"/>
        <v>Other</v>
      </c>
      <c r="AH227" s="81" t="str">
        <f t="shared" si="90"/>
        <v>"%USERPROFILE%\Documents\GitHub\eaglep3\Utilities\RefineRTDCRunTimes.py" --tripid 50-05 --locoid 4053 --swversion DE.1.0.9.0 --startMP 300:22274 --initTime 2017-05-05T10:28:08 --startdatetime 2017-05-05T10:33:49 --delay 5 --endMP 204:97 --enddatetime 2017-05-05T10:41:31 --enforcementcount 0 &gt;&gt;C:\Users\stu\Documents\GitHub\eaglep3-reporting\EC\2017-05-05-refined-times.txt</v>
      </c>
      <c r="AI227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{"issue":{"subject":"","project_id":79,"tracker_id":40,"status_id":1,"priority_id":2,"assigned_to_id":23,"start_date":"2017-05-05","description":"","custom_fields":[{"id":1,"name":"Subdivision","value":"Other"},{"id":4,"name":"Milepost","value":"0.0097"},{"id":17,"name":"Train ID","value":"50-05"},{"id":16,"name":"Locomotive ID","value":"4053"},{"id":130,"name":"Impact","value":""},{"id":150,"name":"Time of Event (Mountain Time)","value":"10:41:31"},{"id":151,"name":"Denver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2"/>
        <v>start /low /b %USERPROFILE%\Documents\GitHub\eaglep3\Utilities\DownloadLogsFromS3.py --loco 4053 --day 2017-05-05</v>
      </c>
      <c r="AN227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16:41:31"},{"id":29,"name":"Sharepoint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538</v>
      </c>
      <c r="B228" s="7">
        <v>4018</v>
      </c>
      <c r="C228" s="21" t="s">
        <v>210</v>
      </c>
      <c r="D228" s="21" t="s">
        <v>570</v>
      </c>
      <c r="E228" s="13">
        <v>42860.082870370374</v>
      </c>
      <c r="F228" s="13">
        <v>42860.085648148146</v>
      </c>
      <c r="G228" s="7">
        <v>1</v>
      </c>
      <c r="H228" s="21" t="s">
        <v>571</v>
      </c>
      <c r="I228" s="13">
        <v>42860.092766203707</v>
      </c>
      <c r="J228" s="7">
        <v>0</v>
      </c>
      <c r="K228" s="92" t="str">
        <f t="shared" si="78"/>
        <v>4017/4018</v>
      </c>
      <c r="L228" s="21" t="str">
        <f>VLOOKUP(A228,'Trips&amp;Operators'!$C$1:$G$99999,5,FALSE)</f>
        <v>NEWELL JAMES</v>
      </c>
      <c r="M228" s="6">
        <f t="shared" si="79"/>
        <v>7.1180555605678819E-3</v>
      </c>
      <c r="N228" s="7">
        <f t="shared" si="94"/>
        <v>10.25000000721775</v>
      </c>
      <c r="O228" s="7"/>
      <c r="P228" s="7"/>
      <c r="Q228" s="22"/>
      <c r="R228" s="190"/>
      <c r="S228" s="196">
        <f t="shared" si="77"/>
        <v>0</v>
      </c>
      <c r="T228" s="190" t="e">
        <f t="shared" si="80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81"/>
        <v>https://d0f6bd738d7f1b3e5a7ca70fe4ff75f0.us-east-1.aws.found.io/app/kibana#/discover/Steve-Slow-Train-Analysis-(2080s-and-2083s)?_g=(refreshInterval:(display:Off,pause:!f,section:0,value:0),time:(from:'2017-05-05T00:59:20-0600',mode:absolute,to:'2017-05-05T03:13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8" s="192" t="str">
        <f t="shared" si="82"/>
        <v>N</v>
      </c>
      <c r="X228" s="192" t="e">
        <f t="shared" si="95"/>
        <v>#VALUE!</v>
      </c>
      <c r="Y228" s="192">
        <f t="shared" si="83"/>
        <v>6.4488000000000003</v>
      </c>
      <c r="Z228" s="192">
        <f t="shared" si="84"/>
        <v>12.826499999999999</v>
      </c>
      <c r="AA228" s="192">
        <f t="shared" si="85"/>
        <v>6.377699999999999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6"/>
        <v>51-05</v>
      </c>
      <c r="AE228" s="80" t="str">
        <f t="shared" si="87"/>
        <v>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 &amp; 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</v>
      </c>
      <c r="AF228" s="77" t="str">
        <f t="shared" si="88"/>
        <v>"C:\Program Files (x86)\AstroGrep\AstroGrep.exe" /e /r /s /spath="%USERPROFILE%\AppData\Local\Temp\OnboardLogs" /stypes="app*4018*20170505*" /stext=" 08:.+((SYSTEM_STATE.+slice.+state.+changed )|(ment ac)|(multiple cpu faults)|(system.+state.+changed )|(\[timeout)|(PRM\|1\|D)|(kpr)|(kdp)|(train st.+moving)|(\|lc)|(penalty))"</v>
      </c>
      <c r="AG228" s="1" t="str">
        <f t="shared" si="89"/>
        <v>Other</v>
      </c>
      <c r="AH228" s="81" t="str">
        <f t="shared" si="90"/>
        <v>"%USERPROFILE%\Documents\GitHub\eaglep3\Utilities\RefineRTDCRunTimes.py" --tripid 51-05 --locoid 4018 --swversion DE.1.0.9.0 --startMP 204:64488 --initTime 2017-05-05T01:59:20 --startdatetime 2017-05-05T02:03:20 --delay 1 --endMP 204:128265 --enddatetime 2017-05-05T02:13:35 --enforcementcount 0 &gt;&gt;C:\Users\stu\Documents\GitHub\eaglep3-reporting\EC\2017-05-05-refined-times.txt</v>
      </c>
      <c r="AI228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{"issue":{"subject":"","project_id":79,"tracker_id":40,"status_id":1,"priority_id":2,"assigned_to_id":23,"start_date":"2017-05-05","description":"","custom_fields":[{"id":1,"name":"Subdivision","value":"Other"},{"id":4,"name":"Milepost","value":"12.8265"},{"id":17,"name":"Train ID","value":"51-05"},{"id":16,"name":"Locomotive ID","value":"4018"},{"id":130,"name":"Impact","value":""},{"id":150,"name":"Time of Event (Mountain Time)","value":"02:13:35"},{"id":151,"name":"Denver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2"/>
        <v>start /low /b %USERPROFILE%\Documents\GitHub\eaglep3\Utilities\DownloadLogsFromS3.py --loco 4018 --day 2017-05-05</v>
      </c>
      <c r="AN228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08:13:35"},{"id":29,"name":"Sharepoint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538</v>
      </c>
      <c r="B229" s="7">
        <v>4027</v>
      </c>
      <c r="C229" s="21" t="s">
        <v>210</v>
      </c>
      <c r="D229" s="21" t="s">
        <v>939</v>
      </c>
      <c r="E229" s="13">
        <v>42860.255289351851</v>
      </c>
      <c r="F229" s="13">
        <v>42860.256712962961</v>
      </c>
      <c r="G229" s="7">
        <v>1</v>
      </c>
      <c r="H229" s="21" t="s">
        <v>940</v>
      </c>
      <c r="I229" s="13">
        <v>42860.25818287037</v>
      </c>
      <c r="J229" s="7">
        <v>0</v>
      </c>
      <c r="K229" s="92" t="str">
        <f t="shared" si="78"/>
        <v>4027/4028</v>
      </c>
      <c r="L229" s="21" t="str">
        <f>VLOOKUP(A229,'Trips&amp;Operators'!$C$1:$G$99999,5,FALSE)</f>
        <v>NEWELL JAMES</v>
      </c>
      <c r="M229" s="6">
        <f t="shared" si="79"/>
        <v>1.4699074090458453E-3</v>
      </c>
      <c r="N229" s="7">
        <f t="shared" si="94"/>
        <v>2.1166666690260172</v>
      </c>
      <c r="O229" s="7"/>
      <c r="P229" s="7"/>
      <c r="Q229" s="22"/>
      <c r="R229" s="190"/>
      <c r="S229" s="196">
        <f t="shared" si="77"/>
        <v>0</v>
      </c>
      <c r="T229" s="190" t="e">
        <f t="shared" si="80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81"/>
        <v>https://d0f6bd738d7f1b3e5a7ca70fe4ff75f0.us-east-1.aws.found.io/app/kibana#/discover/Steve-Slow-Train-Analysis-(2080s-and-2083s)?_g=(refreshInterval:(display:Off,pause:!f,section:0,value:0),time:(from:'2017-05-05T05:07:37-0600',mode:absolute,to:'2017-05-05T07:11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9" s="192" t="str">
        <f t="shared" si="82"/>
        <v>Y</v>
      </c>
      <c r="X229" s="192" t="e">
        <f t="shared" si="95"/>
        <v>#VALUE!</v>
      </c>
      <c r="Y229" s="192">
        <f t="shared" si="83"/>
        <v>0.32100000000000001</v>
      </c>
      <c r="Z229" s="192">
        <f t="shared" si="84"/>
        <v>0.11650000000000001</v>
      </c>
      <c r="AA229" s="192">
        <f t="shared" si="85"/>
        <v>0.20450000000000002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6"/>
        <v>51-05</v>
      </c>
      <c r="AE229" s="80" t="str">
        <f t="shared" si="87"/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AF229" s="77" t="str">
        <f t="shared" si="88"/>
        <v>"C:\Program Files (x86)\AstroGrep\AstroGrep.exe" /e /r /s /spath="%USERPROFILE%\AppData\Local\Temp\OnboardLogs" /stypes="app*4027*20170505*" /stext=" 12:.+((SYSTEM_STATE.+slice.+state.+changed )|(ment ac)|(multiple cpu faults)|(system.+state.+changed )|(\[timeout)|(PRM\|1\|D)|(kpr)|(kdp)|(train st.+moving)|(\|lc)|(penalty))"</v>
      </c>
      <c r="AG229" s="1" t="str">
        <f t="shared" si="89"/>
        <v>Other</v>
      </c>
      <c r="AH229" s="81" t="str">
        <f t="shared" si="90"/>
        <v>"%USERPROFILE%\Documents\GitHub\eaglep3\Utilities\RefineRTDCRunTimes.py" --tripid 51-05 --locoid 4027 --swversion DE.1.0.9.0 --startMP 204:3210 --initTime 2017-05-05T06:07:37 --startdatetime 2017-05-05T06:09:40 --delay 1 --endMP 204:1165 --enddatetime 2017-05-05T06:11:47 --enforcementcount 0 &gt;&gt;C:\Users\stu\Documents\GitHub\eaglep3-reporting\EC\2017-05-05-refined-times.txt</v>
      </c>
      <c r="AI229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{"issue":{"subject":"","project_id":79,"tracker_id":40,"status_id":1,"priority_id":2,"assigned_to_id":23,"start_date":"2017-05-05","description":"","custom_fields":[{"id":1,"name":"Subdivision","value":"Other"},{"id":4,"name":"Milepost","value":"0.1165"},{"id":17,"name":"Train ID","value":"51-05"},{"id":16,"name":"Locomotive ID","value":"4027"},{"id":130,"name":"Impact","value":""},{"id":150,"name":"Time of Event (Mountain Time)","value":"06:11:47"},{"id":151,"name":"Denver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2"/>
        <v>start /low /b %USERPROFILE%\Documents\GitHub\eaglep3\Utilities\DownloadLogsFromS3.py --loco 4027 --day 2017-05-05</v>
      </c>
      <c r="AN229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12:11:47"},{"id":29,"name":"Sharepoint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s="20" customFormat="1" x14ac:dyDescent="0.25">
      <c r="A230" s="32" t="s">
        <v>538</v>
      </c>
      <c r="B230" s="7">
        <v>4028</v>
      </c>
      <c r="C230" s="21" t="s">
        <v>210</v>
      </c>
      <c r="D230" s="21" t="s">
        <v>408</v>
      </c>
      <c r="E230" s="13">
        <v>42860.247349537036</v>
      </c>
      <c r="F230" s="13">
        <v>42860.256712962961</v>
      </c>
      <c r="G230" s="7">
        <v>1</v>
      </c>
      <c r="H230" s="21" t="s">
        <v>569</v>
      </c>
      <c r="I230" s="13">
        <v>42860.25818287037</v>
      </c>
      <c r="J230" s="7">
        <v>0</v>
      </c>
      <c r="K230" s="92" t="str">
        <f t="shared" si="78"/>
        <v>4027/4028</v>
      </c>
      <c r="L230" s="21" t="str">
        <f>VLOOKUP(A230,'Trips&amp;Operators'!$C$1:$G$99999,5,FALSE)</f>
        <v>NEWELL JAMES</v>
      </c>
      <c r="M230" s="6">
        <f t="shared" si="79"/>
        <v>1.4699074090458453E-3</v>
      </c>
      <c r="N230" s="7">
        <f t="shared" si="94"/>
        <v>2.1166666690260172</v>
      </c>
      <c r="O230" s="7"/>
      <c r="P230" s="7"/>
      <c r="Q230" s="22"/>
      <c r="R230" s="190"/>
      <c r="S230" s="196">
        <f t="shared" si="77"/>
        <v>0</v>
      </c>
      <c r="T230" s="190" t="e">
        <f t="shared" si="80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81"/>
        <v>https://d0f6bd738d7f1b3e5a7ca70fe4ff75f0.us-east-1.aws.found.io/app/kibana#/discover/Steve-Slow-Train-Analysis-(2080s-and-2083s)?_g=(refreshInterval:(display:Off,pause:!f,section:0,value:0),time:(from:'2017-05-05T04:56:11-0600',mode:absolute,to:'2017-05-05T07:11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0" s="192" t="str">
        <f t="shared" si="82"/>
        <v>Y</v>
      </c>
      <c r="X230" s="192" t="e">
        <f t="shared" si="95"/>
        <v>#VALUE!</v>
      </c>
      <c r="Y230" s="192">
        <f t="shared" si="83"/>
        <v>4.5100000000000001E-2</v>
      </c>
      <c r="Z230" s="192">
        <f t="shared" si="84"/>
        <v>0.35399999999999998</v>
      </c>
      <c r="AA230" s="192">
        <f t="shared" si="85"/>
        <v>0.30889999999999995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6"/>
        <v>51-05</v>
      </c>
      <c r="AE230" s="80" t="str">
        <f t="shared" si="87"/>
        <v>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 &amp; 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</v>
      </c>
      <c r="AF230" s="77" t="str">
        <f t="shared" si="88"/>
        <v>"C:\Program Files (x86)\AstroGrep\AstroGrep.exe" /e /r /s /spath="%USERPROFILE%\AppData\Local\Temp\OnboardLogs" /stypes="app*4028*20170505*" /stext=" 12:.+((SYSTEM_STATE.+slice.+state.+changed )|(ment ac)|(multiple cpu faults)|(system.+state.+changed )|(\[timeout)|(PRM\|1\|D)|(kpr)|(kdp)|(train st.+moving)|(\|lc)|(penalty))"</v>
      </c>
      <c r="AG230" s="1" t="str">
        <f t="shared" si="89"/>
        <v>Other</v>
      </c>
      <c r="AH230" s="81" t="str">
        <f t="shared" si="90"/>
        <v>"%USERPROFILE%\Documents\GitHub\eaglep3\Utilities\RefineRTDCRunTimes.py" --tripid 51-05 --locoid 4028 --swversion DE.1.0.9.0 --startMP 204:451 --initTime 2017-05-05T05:56:11 --startdatetime 2017-05-05T06:09:40 --delay 1 --endMP 204:3540 --enddatetime 2017-05-05T06:11:47 --enforcementcount 0 &gt;&gt;C:\Users\stu\Documents\GitHub\eaglep3-reporting\EC\2017-05-05-refined-times.txt</v>
      </c>
      <c r="AI230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{"issue":{"subject":"","project_id":79,"tracker_id":40,"status_id":1,"priority_id":2,"assigned_to_id":23,"start_date":"2017-05-05","description":"","custom_fields":[{"id":1,"name":"Subdivision","value":"Other"},{"id":4,"name":"Milepost","value":"0.354"},{"id":17,"name":"Train ID","value":"51-05"},{"id":16,"name":"Locomotive ID","value":"4028"},{"id":130,"name":"Impact","value":""},{"id":150,"name":"Time of Event (Mountain Time)","value":"06:11:47"},{"id":151,"name":"Denver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0" s="47"/>
      <c r="AL230" s="47"/>
      <c r="AM230" s="145" t="str">
        <f t="shared" si="92"/>
        <v>start /low /b %USERPROFILE%\Documents\GitHub\eaglep3\Utilities\DownloadLogsFromS3.py --loco 4028 --day 2017-05-05</v>
      </c>
      <c r="AN230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12:11:47"},{"id":29,"name":"Sharepoint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539</v>
      </c>
      <c r="B231" s="7">
        <v>4051</v>
      </c>
      <c r="C231" s="21" t="s">
        <v>210</v>
      </c>
      <c r="D231" s="21" t="s">
        <v>425</v>
      </c>
      <c r="E231" s="13">
        <v>42860.085659722223</v>
      </c>
      <c r="F231" s="13">
        <v>42860.087395833332</v>
      </c>
      <c r="G231" s="7">
        <v>2</v>
      </c>
      <c r="H231" s="21" t="s">
        <v>519</v>
      </c>
      <c r="I231" s="13">
        <v>42860.12572916667</v>
      </c>
      <c r="J231" s="7">
        <v>0</v>
      </c>
      <c r="K231" s="92" t="str">
        <f t="shared" si="78"/>
        <v>4051/4052</v>
      </c>
      <c r="L231" s="21" t="str">
        <f>VLOOKUP(A231,'Trips&amp;Operators'!$C$1:$G$99999,5,FALSE)</f>
        <v>BROWN JACOB</v>
      </c>
      <c r="M231" s="6">
        <f t="shared" si="79"/>
        <v>3.8333333337504882E-2</v>
      </c>
      <c r="N231" s="7">
        <f t="shared" si="94"/>
        <v>55.200000006007031</v>
      </c>
      <c r="O231" s="7"/>
      <c r="P231" s="7"/>
      <c r="Q231" s="22"/>
      <c r="R231" s="190"/>
      <c r="S231" s="196">
        <f t="shared" si="77"/>
        <v>0</v>
      </c>
      <c r="T231" s="190" t="e">
        <f t="shared" si="80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81"/>
        <v>https://d0f6bd738d7f1b3e5a7ca70fe4ff75f0.us-east-1.aws.found.io/app/kibana#/discover/Steve-Slow-Train-Analysis-(2080s-and-2083s)?_g=(refreshInterval:(display:Off,pause:!f,section:0,value:0),time:(from:'2017-05-05T01:03:21-0600',mode:absolute,to:'2017-05-05T04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1" s="192" t="str">
        <f t="shared" si="82"/>
        <v>N</v>
      </c>
      <c r="X231" s="192" t="e">
        <f t="shared" si="95"/>
        <v>#VALUE!</v>
      </c>
      <c r="Y231" s="192">
        <f t="shared" si="83"/>
        <v>23.298400000000001</v>
      </c>
      <c r="Z231" s="192">
        <f t="shared" si="84"/>
        <v>9.7900000000000001E-2</v>
      </c>
      <c r="AA231" s="192">
        <f t="shared" si="85"/>
        <v>23.200500000000002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6"/>
        <v>52-05</v>
      </c>
      <c r="AE231" s="80" t="str">
        <f t="shared" si="87"/>
        <v>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 &amp; aws s3 cp s3://rtdc.mdm.uploadarchive.raw/RTDC4051/ "%USERPROFILE%\AppData\Local\Temp\OnboardLogs"\RTDC4051\2017-05-06 --exclude "*" --recursive --include "*20170506*" &amp; "%USERPROFILE%\Documents\GitHub\mrs-test-scripts\Headless Mode &amp; Sideloading\WalkAndUnGZ.bat" "%USERPROFILE%\AppData\Local\Temp\OnboardLogs"\RTDC4051\2017-05-06</v>
      </c>
      <c r="AF231" s="77" t="str">
        <f t="shared" si="88"/>
        <v>"C:\Program Files (x86)\AstroGrep\AstroGrep.exe" /e /r /s /spath="%USERPROFILE%\AppData\Local\Temp\OnboardLogs" /stypes="app*4051*20170505*" /stext=" 09:.+((SYSTEM_STATE.+slice.+state.+changed )|(ment ac)|(multiple cpu faults)|(system.+state.+changed )|(\[timeout)|(PRM\|1\|D)|(kpr)|(kdp)|(train st.+moving)|(\|lc)|(penalty))"</v>
      </c>
      <c r="AG231" s="1" t="str">
        <f t="shared" si="89"/>
        <v>Other</v>
      </c>
      <c r="AH231" s="81" t="str">
        <f t="shared" si="90"/>
        <v>"%USERPROFILE%\Documents\GitHub\eaglep3\Utilities\RefineRTDCRunTimes.py" --tripid 52-05 --locoid 4051 --swversion DE.1.0.9.0 --startMP 204:232984 --initTime 2017-05-05T02:03:21 --startdatetime 2017-05-05T02:05:51 --delay 2 --endMP 204:979 --enddatetime 2017-05-05T03:01:03 --enforcementcount 0 &gt;&gt;C:\Users\stu\Documents\GitHub\eaglep3-reporting\EC\2017-05-05-refined-times.txt</v>
      </c>
      <c r="AI231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{"issue":{"subject":"","project_id":79,"tracker_id":40,"status_id":1,"priority_id":2,"assigned_to_id":23,"start_date":"2017-05-05","description":"","custom_fields":[{"id":1,"name":"Subdivision","value":"Other"},{"id":4,"name":"Milepost","value":"0.0979"},{"id":17,"name":"Train ID","value":"52-05"},{"id":16,"name":"Locomotive ID","value":"4051"},{"id":130,"name":"Impact","value":""},{"id":150,"name":"Time of Event (Mountain Time)","value":"03:01:03"},{"id":151,"name":"Denver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2"/>
        <v>start /low /b %USERPROFILE%\Documents\GitHub\eaglep3\Utilities\DownloadLogsFromS3.py --loco 4051 --day 2017-05-05</v>
      </c>
      <c r="AN231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09:01:03"},{"id":29,"name":"Sharepoint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721</v>
      </c>
      <c r="B232" s="7">
        <v>4054</v>
      </c>
      <c r="C232" s="21" t="s">
        <v>210</v>
      </c>
      <c r="D232" s="21" t="s">
        <v>941</v>
      </c>
      <c r="E232" s="13">
        <v>42860.468460648146</v>
      </c>
      <c r="F232" s="13">
        <v>42860.469687500001</v>
      </c>
      <c r="G232" s="7">
        <v>1</v>
      </c>
      <c r="H232" s="21" t="s">
        <v>942</v>
      </c>
      <c r="I232" s="13">
        <v>42860.476064814815</v>
      </c>
      <c r="J232" s="7">
        <v>0</v>
      </c>
      <c r="K232" s="92" t="str">
        <f t="shared" si="78"/>
        <v>4053/4054</v>
      </c>
      <c r="L232" s="21" t="str">
        <f>VLOOKUP(A232,'Trips&amp;Operators'!$C$1:$G$99999,5,FALSE)</f>
        <v>ROBINSON KADDIBA</v>
      </c>
      <c r="M232" s="6">
        <f t="shared" si="79"/>
        <v>6.3773148140171543E-3</v>
      </c>
      <c r="N232" s="7">
        <f t="shared" si="94"/>
        <v>9.1833333321847022</v>
      </c>
      <c r="O232" s="7"/>
      <c r="P232" s="7"/>
      <c r="Q232" s="22"/>
      <c r="R232" s="190"/>
      <c r="S232" s="196">
        <f t="shared" si="77"/>
        <v>0</v>
      </c>
      <c r="T232" s="190" t="e">
        <f t="shared" si="80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81"/>
        <v>https://d0f6bd738d7f1b3e5a7ca70fe4ff75f0.us-east-1.aws.found.io/app/kibana#/discover/Steve-Slow-Train-Analysis-(2080s-and-2083s)?_g=(refreshInterval:(display:Off,pause:!f,section:0,value:0),time:(from:'2017-05-05T10:14:35-0600',mode:absolute,to:'2017-05-05T12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2" s="192" t="str">
        <f t="shared" si="82"/>
        <v>Y</v>
      </c>
      <c r="X232" s="192" t="e">
        <f t="shared" si="95"/>
        <v>#VALUE!</v>
      </c>
      <c r="Y232" s="192">
        <f t="shared" si="83"/>
        <v>4.1000000000000002E-2</v>
      </c>
      <c r="Z232" s="192">
        <f t="shared" si="84"/>
        <v>2.4264999999999999</v>
      </c>
      <c r="AA232" s="192">
        <f t="shared" si="85"/>
        <v>2.3855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6"/>
        <v>53-05</v>
      </c>
      <c r="AE232" s="80" t="str">
        <f t="shared" si="87"/>
        <v>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 &amp; 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</v>
      </c>
      <c r="AF232" s="77" t="str">
        <f t="shared" si="88"/>
        <v>"C:\Program Files (x86)\AstroGrep\AstroGrep.exe" /e /r /s /spath="%USERPROFILE%\AppData\Local\Temp\OnboardLogs" /stypes="app*4054*20170505*" /stext=" 17:.+((SYSTEM_STATE.+slice.+state.+changed )|(ment ac)|(multiple cpu faults)|(system.+state.+changed )|(\[timeout)|(PRM\|1\|D)|(kpr)|(kdp)|(train st.+moving)|(\|lc)|(penalty))"</v>
      </c>
      <c r="AG232" s="1" t="str">
        <f t="shared" si="89"/>
        <v>Other</v>
      </c>
      <c r="AH232" s="81" t="str">
        <f t="shared" si="90"/>
        <v>"%USERPROFILE%\Documents\GitHub\eaglep3\Utilities\RefineRTDCRunTimes.py" --tripid 53-05 --locoid 4054 --swversion DE.1.0.9.0 --startMP 204:410 --initTime 2017-05-05T11:14:35 --startdatetime 2017-05-05T11:16:21 --delay 1 --endMP 300:24265 --enddatetime 2017-05-05T11:25:32 --enforcementcount 0 &gt;&gt;C:\Users\stu\Documents\GitHub\eaglep3-reporting\EC\2017-05-05-refined-times.txt</v>
      </c>
      <c r="AI23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{"issue":{"subject":"","project_id":79,"tracker_id":40,"status_id":1,"priority_id":2,"assigned_to_id":23,"start_date":"2017-05-05","description":"","custom_fields":[{"id":1,"name":"Subdivision","value":"Other"},{"id":4,"name":"Milepost","value":"2.4265"},{"id":17,"name":"Train ID","value":"53-05"},{"id":16,"name":"Locomotive ID","value":"4054"},{"id":130,"name":"Impact","value":""},{"id":150,"name":"Time of Event (Mountain Time)","value":"11:25:32"},{"id":151,"name":"Denver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92"/>
        <v>start /low /b %USERPROFILE%\Documents\GitHub\eaglep3\Utilities\DownloadLogsFromS3.py --loco 4054 --day 2017-05-05</v>
      </c>
      <c r="AN232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17:25:32"},{"id":29,"name":"Sharepoint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540</v>
      </c>
      <c r="B233" s="7">
        <v>4017</v>
      </c>
      <c r="C233" s="21" t="s">
        <v>210</v>
      </c>
      <c r="D233" s="21" t="s">
        <v>572</v>
      </c>
      <c r="E233" s="13">
        <v>42860.093831018516</v>
      </c>
      <c r="F233" s="13">
        <v>42860.101145833331</v>
      </c>
      <c r="G233" s="7">
        <v>0</v>
      </c>
      <c r="H233" s="21" t="s">
        <v>573</v>
      </c>
      <c r="I233" s="13">
        <v>42860.121527777781</v>
      </c>
      <c r="J233" s="7">
        <v>0</v>
      </c>
      <c r="K233" s="92" t="str">
        <f t="shared" si="78"/>
        <v>4017/4018</v>
      </c>
      <c r="L233" s="21" t="str">
        <f>VLOOKUP(A233,'Trips&amp;Operators'!$C$1:$G$99999,5,FALSE)</f>
        <v>NEWELL JAMES</v>
      </c>
      <c r="M233" s="6">
        <f t="shared" si="79"/>
        <v>2.0381944450491574E-2</v>
      </c>
      <c r="N233" s="7">
        <f t="shared" si="94"/>
        <v>29.350000008707866</v>
      </c>
      <c r="O233" s="7"/>
      <c r="P233" s="7"/>
      <c r="Q233" s="22"/>
      <c r="R233" s="190"/>
      <c r="S233" s="196">
        <f t="shared" si="77"/>
        <v>0</v>
      </c>
      <c r="T233" s="190" t="e">
        <f t="shared" si="80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81"/>
        <v>https://d0f6bd738d7f1b3e5a7ca70fe4ff75f0.us-east-1.aws.found.io/app/kibana#/discover/Steve-Slow-Train-Analysis-(2080s-and-2083s)?_g=(refreshInterval:(display:Off,pause:!f,section:0,value:0),time:(from:'2017-05-05T01:15:07-0600',mode:absolute,to:'2017-05-05T03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3" s="192" t="str">
        <f t="shared" si="82"/>
        <v>N</v>
      </c>
      <c r="X233" s="192" t="e">
        <f t="shared" si="95"/>
        <v>#VALUE!</v>
      </c>
      <c r="Y233" s="192">
        <f t="shared" si="83"/>
        <v>12.800599999999999</v>
      </c>
      <c r="Z233" s="192">
        <f t="shared" si="84"/>
        <v>1.5100000000000001E-2</v>
      </c>
      <c r="AA233" s="192">
        <f t="shared" si="85"/>
        <v>12.785499999999999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6"/>
        <v>54-05</v>
      </c>
      <c r="AE233" s="80" t="str">
        <f t="shared" si="87"/>
        <v>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 &amp; 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</v>
      </c>
      <c r="AF233" s="77" t="str">
        <f t="shared" si="88"/>
        <v>"C:\Program Files (x86)\AstroGrep\AstroGrep.exe" /e /r /s /spath="%USERPROFILE%\AppData\Local\Temp\OnboardLogs" /stypes="app*4017*20170505*" /stext=" 08:.+((SYSTEM_STATE.+slice.+state.+changed )|(ment ac)|(multiple cpu faults)|(system.+state.+changed )|(\[timeout)|(PRM\|1\|D)|(kpr)|(kdp)|(train st.+moving)|(\|lc)|(penalty))"</v>
      </c>
      <c r="AG233" s="1" t="str">
        <f t="shared" si="89"/>
        <v>Other</v>
      </c>
      <c r="AH233" s="81" t="str">
        <f t="shared" si="90"/>
        <v>"%USERPROFILE%\Documents\GitHub\eaglep3\Utilities\RefineRTDCRunTimes.py" --tripid 54-05 --locoid 4017 --swversion DE.1.0.9.0 --startMP 204:128006 --initTime 2017-05-05T02:15:07 --startdatetime 2017-05-05T02:25:39 --delay 0 --endMP 204:151 --enddatetime 2017-05-05T02:55:00 --enforcementcount 0 &gt;&gt;C:\Users\stu\Documents\GitHub\eaglep3-reporting\EC\2017-05-05-refined-times.txt</v>
      </c>
      <c r="AI233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{"issue":{"subject":"","project_id":79,"tracker_id":40,"status_id":1,"priority_id":2,"assigned_to_id":23,"start_date":"2017-05-05","description":"","custom_fields":[{"id":1,"name":"Subdivision","value":"Other"},{"id":4,"name":"Milepost","value":"0.0151"},{"id":17,"name":"Train ID","value":"54-05"},{"id":16,"name":"Locomotive ID","value":"4017"},{"id":130,"name":"Impact","value":""},{"id":150,"name":"Time of Event (Mountain Time)","value":"02:55:00"},{"id":151,"name":"Denver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92"/>
        <v>start /low /b %USERPROFILE%\Documents\GitHub\eaglep3\Utilities\DownloadLogsFromS3.py --loco 4017 --day 2017-05-05</v>
      </c>
      <c r="AN233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542</v>
      </c>
      <c r="B234" s="7">
        <v>4004</v>
      </c>
      <c r="C234" s="21" t="s">
        <v>210</v>
      </c>
      <c r="D234" s="21" t="s">
        <v>204</v>
      </c>
      <c r="E234" s="13">
        <v>42860.108518518522</v>
      </c>
      <c r="F234" s="13">
        <v>42860.110185185185</v>
      </c>
      <c r="G234" s="7">
        <v>1</v>
      </c>
      <c r="H234" s="21" t="s">
        <v>409</v>
      </c>
      <c r="I234" s="13">
        <v>42860.119050925925</v>
      </c>
      <c r="J234" s="7">
        <v>0</v>
      </c>
      <c r="K234" s="92" t="str">
        <f t="shared" si="78"/>
        <v>4003/4004</v>
      </c>
      <c r="L234" s="21" t="str">
        <f>VLOOKUP(A234,'Trips&amp;Operators'!$C$1:$G$99999,5,FALSE)</f>
        <v>SWANSON BRYCE</v>
      </c>
      <c r="M234" s="6">
        <f t="shared" si="79"/>
        <v>8.8657407395658083E-3</v>
      </c>
      <c r="N234" s="7">
        <f t="shared" si="94"/>
        <v>12.766666664974764</v>
      </c>
      <c r="O234" s="7"/>
      <c r="P234" s="7"/>
      <c r="Q234" s="22"/>
      <c r="R234" s="190"/>
      <c r="S234" s="196">
        <f t="shared" ref="S234:S263" si="96">SUM(U234:U234)/IF(AG234="EC",12,1)</f>
        <v>0</v>
      </c>
      <c r="T234" s="190" t="e">
        <f t="shared" si="80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81"/>
        <v>https://d0f6bd738d7f1b3e5a7ca70fe4ff75f0.us-east-1.aws.found.io/app/kibana#/discover/Steve-Slow-Train-Analysis-(2080s-and-2083s)?_g=(refreshInterval:(display:Off,pause:!f,section:0,value:0),time:(from:'2017-05-05T01:36:16-0600',mode:absolute,to:'2017-05-05T03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4" s="192" t="str">
        <f t="shared" si="82"/>
        <v>Y</v>
      </c>
      <c r="X234" s="192" t="e">
        <f t="shared" si="95"/>
        <v>#VALUE!</v>
      </c>
      <c r="Y234" s="192">
        <f t="shared" si="83"/>
        <v>4.5699999999999998E-2</v>
      </c>
      <c r="Z234" s="192">
        <f t="shared" si="84"/>
        <v>2.3346</v>
      </c>
      <c r="AA234" s="192">
        <f t="shared" si="85"/>
        <v>2.2888999999999999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6"/>
        <v>55-05</v>
      </c>
      <c r="AE234" s="80" t="str">
        <f t="shared" si="87"/>
        <v>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 &amp; 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</v>
      </c>
      <c r="AF234" s="77" t="str">
        <f t="shared" si="88"/>
        <v>"C:\Program Files (x86)\AstroGrep\AstroGrep.exe" /e /r /s /spath="%USERPROFILE%\AppData\Local\Temp\OnboardLogs" /stypes="app*4004*20170505*" /stext=" 08:.+((SYSTEM_STATE.+slice.+state.+changed )|(ment ac)|(multiple cpu faults)|(system.+state.+changed )|(\[timeout)|(PRM\|1\|D)|(kpr)|(kdp)|(train st.+moving)|(\|lc)|(penalty))"</v>
      </c>
      <c r="AG234" s="1" t="str">
        <f t="shared" si="89"/>
        <v>Other</v>
      </c>
      <c r="AH234" s="81" t="str">
        <f t="shared" si="90"/>
        <v>"%USERPROFILE%\Documents\GitHub\eaglep3\Utilities\RefineRTDCRunTimes.py" --tripid 55-05 --locoid 4004 --swversion DE.1.0.9.0 --startMP 204:457 --initTime 2017-05-05T02:36:16 --startdatetime 2017-05-05T02:38:40 --delay 1 --endMP 300:23346 --enddatetime 2017-05-05T02:51:26 --enforcementcount 0 &gt;&gt;C:\Users\stu\Documents\GitHub\eaglep3-reporting\EC\2017-05-05-refined-times.txt</v>
      </c>
      <c r="AI234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{"issue":{"subject":"","project_id":79,"tracker_id":40,"status_id":1,"priority_id":2,"assigned_to_id":23,"start_date":"2017-05-05","description":"","custom_fields":[{"id":1,"name":"Subdivision","value":"Other"},{"id":4,"name":"Milepost","value":"2.3346"},{"id":17,"name":"Train ID","value":"55-05"},{"id":16,"name":"Locomotive ID","value":"4004"},{"id":130,"name":"Impact","value":""},{"id":150,"name":"Time of Event (Mountain Time)","value":"02:51:26"},{"id":151,"name":"Denver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92"/>
        <v>start /low /b %USERPROFILE%\Documents\GitHub\eaglep3\Utilities\DownloadLogsFromS3.py --loco 4004 --day 2017-05-05</v>
      </c>
      <c r="AN234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541</v>
      </c>
      <c r="B235" s="7">
        <v>4003</v>
      </c>
      <c r="C235" s="21" t="s">
        <v>210</v>
      </c>
      <c r="D235" s="21" t="s">
        <v>574</v>
      </c>
      <c r="E235" s="13">
        <v>42860.099849537037</v>
      </c>
      <c r="F235" s="13">
        <v>42860.101458333331</v>
      </c>
      <c r="G235" s="7">
        <v>1</v>
      </c>
      <c r="H235" s="21" t="s">
        <v>402</v>
      </c>
      <c r="I235" s="13">
        <v>42860.105462962965</v>
      </c>
      <c r="J235" s="7">
        <v>0</v>
      </c>
      <c r="K235" s="92" t="str">
        <f t="shared" si="78"/>
        <v>4003/4004</v>
      </c>
      <c r="L235" s="21" t="str">
        <f>VLOOKUP(A235,'Trips&amp;Operators'!$C$1:$G$99999,5,FALSE)</f>
        <v>SWANSON BRYCE</v>
      </c>
      <c r="M235" s="6">
        <f t="shared" si="79"/>
        <v>4.0046296344371513E-3</v>
      </c>
      <c r="N235" s="7">
        <f t="shared" si="94"/>
        <v>5.7666666735894978</v>
      </c>
      <c r="O235" s="7"/>
      <c r="P235" s="7"/>
      <c r="Q235" s="22"/>
      <c r="R235" s="190"/>
      <c r="S235" s="196">
        <f t="shared" si="96"/>
        <v>0</v>
      </c>
      <c r="T235" s="190" t="e">
        <f t="shared" si="80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81"/>
        <v>https://d0f6bd738d7f1b3e5a7ca70fe4ff75f0.us-east-1.aws.found.io/app/kibana#/discover/Steve-Slow-Train-Analysis-(2080s-and-2083s)?_g=(refreshInterval:(display:Off,pause:!f,section:0,value:0),time:(from:'2017-05-05T01:23:47-0600',mode:absolute,to:'2017-05-05T03:31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5" s="192" t="str">
        <f t="shared" si="82"/>
        <v>Y</v>
      </c>
      <c r="X235" s="192" t="e">
        <f t="shared" si="95"/>
        <v>#VALUE!</v>
      </c>
      <c r="Y235" s="192">
        <f t="shared" si="83"/>
        <v>1.7206999999999999</v>
      </c>
      <c r="Z235" s="192">
        <f t="shared" si="84"/>
        <v>1.4999999999999999E-2</v>
      </c>
      <c r="AA235" s="192">
        <f t="shared" si="85"/>
        <v>1.7057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6"/>
        <v>56-05</v>
      </c>
      <c r="AE235" s="80" t="str">
        <f t="shared" si="87"/>
        <v>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 &amp; aws s3 cp s3://rtdc.mdm.uploadarchive.raw/RTDC4003/ "%USERPROFILE%\AppData\Local\Temp\OnboardLogs"\RTDC4003\2017-05-06 --exclude "*" --recursive --include "*20170506*" &amp; "%USERPROFILE%\Documents\GitHub\mrs-test-scripts\Headless Mode &amp; Sideloading\WalkAndUnGZ.bat" "%USERPROFILE%\AppData\Local\Temp\OnboardLogs"\RTDC4003\2017-05-06</v>
      </c>
      <c r="AF235" s="77" t="str">
        <f t="shared" si="88"/>
        <v>"C:\Program Files (x86)\AstroGrep\AstroGrep.exe" /e /r /s /spath="%USERPROFILE%\AppData\Local\Temp\OnboardLogs" /stypes="app*4003*20170505*" /stext=" 08:.+((SYSTEM_STATE.+slice.+state.+changed )|(ment ac)|(multiple cpu faults)|(system.+state.+changed )|(\[timeout)|(PRM\|1\|D)|(kpr)|(kdp)|(train st.+moving)|(\|lc)|(penalty))"</v>
      </c>
      <c r="AG235" s="1" t="str">
        <f t="shared" si="89"/>
        <v>Other</v>
      </c>
      <c r="AH235" s="81" t="str">
        <f t="shared" si="90"/>
        <v>"%USERPROFILE%\Documents\GitHub\eaglep3\Utilities\RefineRTDCRunTimes.py" --tripid 56-05 --locoid 4003 --swversion DE.1.0.9.0 --startMP 204:17207 --initTime 2017-05-05T02:23:47 --startdatetime 2017-05-05T02:26:06 --delay 1 --endMP 204:150 --enddatetime 2017-05-05T02:31:52 --enforcementcount 0 &gt;&gt;C:\Users\stu\Documents\GitHub\eaglep3-reporting\EC\2017-05-05-refined-times.txt</v>
      </c>
      <c r="AI235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{"issue":{"subject":"","project_id":79,"tracker_id":40,"status_id":1,"priority_id":2,"assigned_to_id":23,"start_date":"2017-05-05","description":"","custom_fields":[{"id":1,"name":"Subdivision","value":"Other"},{"id":4,"name":"Milepost","value":"0.015"},{"id":17,"name":"Train ID","value":"56-05"},{"id":16,"name":"Locomotive ID","value":"4003"},{"id":130,"name":"Impact","value":""},{"id":150,"name":"Time of Event (Mountain Time)","value":"02:31:52"},{"id":151,"name":"Denver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92"/>
        <v>start /low /b %USERPROFILE%\Documents\GitHub\eaglep3\Utilities\DownloadLogsFromS3.py --loco 4003 --day 2017-05-05</v>
      </c>
      <c r="AN235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08:31:52"},{"id":29,"name":"Sharepoint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591</v>
      </c>
      <c r="B236" s="7">
        <v>4045</v>
      </c>
      <c r="C236" s="21" t="s">
        <v>210</v>
      </c>
      <c r="D236" s="21" t="s">
        <v>943</v>
      </c>
      <c r="E236" s="13">
        <v>42860.124016203707</v>
      </c>
      <c r="F236" s="13">
        <v>42860.131805555553</v>
      </c>
      <c r="G236" s="7">
        <v>3</v>
      </c>
      <c r="H236" s="21" t="s">
        <v>944</v>
      </c>
      <c r="I236" s="13">
        <v>42860.137557870374</v>
      </c>
      <c r="J236" s="7">
        <v>0</v>
      </c>
      <c r="K236" s="92" t="str">
        <f t="shared" si="78"/>
        <v>4045/4046</v>
      </c>
      <c r="L236" s="21" t="str">
        <f>VLOOKUP(A236,'Trips&amp;Operators'!$C$1:$G$99999,5,FALSE)</f>
        <v>MENGES BRAD</v>
      </c>
      <c r="M236" s="6">
        <f t="shared" si="79"/>
        <v>5.7523148207110353E-3</v>
      </c>
      <c r="N236" s="7">
        <f t="shared" si="94"/>
        <v>8.2833333418238908</v>
      </c>
      <c r="O236" s="7"/>
      <c r="P236" s="7"/>
      <c r="Q236" s="22"/>
      <c r="R236" s="190"/>
      <c r="S236" s="196">
        <f t="shared" si="96"/>
        <v>0</v>
      </c>
      <c r="T236" s="190" t="e">
        <f t="shared" si="80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81"/>
        <v>https://d0f6bd738d7f1b3e5a7ca70fe4ff75f0.us-east-1.aws.found.io/app/kibana#/discover/Steve-Slow-Train-Analysis-(2080s-and-2083s)?_g=(refreshInterval:(display:Off,pause:!f,section:0,value:0),time:(from:'2017-05-05T01:58:35-0600',mode:absolute,to:'2017-05-05T04:18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6" s="192" t="str">
        <f t="shared" si="82"/>
        <v>Y</v>
      </c>
      <c r="X236" s="192" t="e">
        <f t="shared" si="95"/>
        <v>#VALUE!</v>
      </c>
      <c r="Y236" s="192">
        <f t="shared" si="83"/>
        <v>1.7371000000000001</v>
      </c>
      <c r="Z236" s="192">
        <f t="shared" si="84"/>
        <v>1.26E-2</v>
      </c>
      <c r="AA236" s="192">
        <f t="shared" si="85"/>
        <v>1.7245000000000001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6"/>
        <v>58-05</v>
      </c>
      <c r="AE236" s="80" t="str">
        <f t="shared" si="87"/>
        <v>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 &amp; aws s3 cp s3://rtdc.mdm.uploadarchive.raw/RTDC4045/ "%USERPROFILE%\AppData\Local\Temp\OnboardLogs"\RTDC4045\2017-05-06 --exclude "*" --recursive --include "*20170506*" &amp; "%USERPROFILE%\Documents\GitHub\mrs-test-scripts\Headless Mode &amp; Sideloading\WalkAndUnGZ.bat" "%USERPROFILE%\AppData\Local\Temp\OnboardLogs"\RTDC4045\2017-05-06</v>
      </c>
      <c r="AF236" s="77" t="str">
        <f t="shared" si="88"/>
        <v>"C:\Program Files (x86)\AstroGrep\AstroGrep.exe" /e /r /s /spath="%USERPROFILE%\AppData\Local\Temp\OnboardLogs" /stypes="app*4045*20170505*" /stext=" 09:.+((SYSTEM_STATE.+slice.+state.+changed )|(ment ac)|(multiple cpu faults)|(system.+state.+changed )|(\[timeout)|(PRM\|1\|D)|(kpr)|(kdp)|(train st.+moving)|(\|lc)|(penalty))"</v>
      </c>
      <c r="AG236" s="1" t="str">
        <f t="shared" si="89"/>
        <v>Other</v>
      </c>
      <c r="AH236" s="81" t="str">
        <f t="shared" si="90"/>
        <v>"%USERPROFILE%\Documents\GitHub\eaglep3\Utilities\RefineRTDCRunTimes.py" --tripid 58-05 --locoid 4045 --swversion DE.1.0.9.0 --startMP 204:17371 --initTime 2017-05-05T02:58:35 --startdatetime 2017-05-05T03:09:48 --delay 3 --endMP 204:126 --enddatetime 2017-05-05T03:18:05 --enforcementcount 0 &gt;&gt;C:\Users\stu\Documents\GitHub\eaglep3-reporting\EC\2017-05-05-refined-times.txt</v>
      </c>
      <c r="AI236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{"issue":{"subject":"","project_id":79,"tracker_id":40,"status_id":1,"priority_id":2,"assigned_to_id":23,"start_date":"2017-05-05","description":"","custom_fields":[{"id":1,"name":"Subdivision","value":"Other"},{"id":4,"name":"Milepost","value":"0.0126"},{"id":17,"name":"Train ID","value":"58-05"},{"id":16,"name":"Locomotive ID","value":"4045"},{"id":130,"name":"Impact","value":""},{"id":150,"name":"Time of Event (Mountain Time)","value":"03:18:05"},{"id":151,"name":"Denver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92"/>
        <v>start /low /b %USERPROFILE%\Documents\GitHub\eaglep3\Utilities\DownloadLogsFromS3.py --loco 4045 --day 2017-05-05</v>
      </c>
      <c r="AN236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09:18:05"},{"id":29,"name":"Sharepoint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632</v>
      </c>
      <c r="B237" s="7">
        <v>4018</v>
      </c>
      <c r="C237" s="21" t="s">
        <v>210</v>
      </c>
      <c r="D237" s="21" t="s">
        <v>429</v>
      </c>
      <c r="E237" s="13">
        <v>42860.122372685182</v>
      </c>
      <c r="F237" s="13">
        <v>42860.129340277781</v>
      </c>
      <c r="G237" s="7">
        <v>1</v>
      </c>
      <c r="H237" s="21" t="s">
        <v>945</v>
      </c>
      <c r="I237" s="13">
        <v>42860.137685185182</v>
      </c>
      <c r="J237" s="7">
        <v>0</v>
      </c>
      <c r="K237" s="92" t="str">
        <f t="shared" si="78"/>
        <v>4017/4018</v>
      </c>
      <c r="L237" s="21" t="str">
        <f>VLOOKUP(A237,'Trips&amp;Operators'!$C$1:$G$99999,5,FALSE)</f>
        <v>NEWELL JAMES</v>
      </c>
      <c r="M237" s="6">
        <f t="shared" si="79"/>
        <v>8.3449074008967727E-3</v>
      </c>
      <c r="N237" s="7">
        <f t="shared" si="94"/>
        <v>12.016666657291353</v>
      </c>
      <c r="O237" s="7"/>
      <c r="P237" s="7"/>
      <c r="Q237" s="22"/>
      <c r="R237" s="190"/>
      <c r="S237" s="196">
        <f t="shared" si="96"/>
        <v>0</v>
      </c>
      <c r="T237" s="190" t="e">
        <f t="shared" si="80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81"/>
        <v>https://d0f6bd738d7f1b3e5a7ca70fe4ff75f0.us-east-1.aws.found.io/app/kibana#/discover/Steve-Slow-Train-Analysis-(2080s-and-2083s)?_g=(refreshInterval:(display:Off,pause:!f,section:0,value:0),time:(from:'2017-05-05T01:56:13-0600',mode:absolute,to:'2017-05-05T04:18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7" s="192" t="str">
        <f t="shared" si="82"/>
        <v>Y</v>
      </c>
      <c r="X237" s="192" t="e">
        <f t="shared" si="95"/>
        <v>#VALUE!</v>
      </c>
      <c r="Y237" s="192">
        <f t="shared" si="83"/>
        <v>4.4400000000000002E-2</v>
      </c>
      <c r="Z237" s="192">
        <f t="shared" ref="Z237:Z263" si="97">RIGHT(H237,LEN(H237)-4)/10000</f>
        <v>2.3311999999999999</v>
      </c>
      <c r="AA237" s="192">
        <f t="shared" si="85"/>
        <v>2.2867999999999999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6"/>
        <v>59-05</v>
      </c>
      <c r="AE237" s="80" t="str">
        <f t="shared" si="87"/>
        <v>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 &amp; 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</v>
      </c>
      <c r="AF237" s="77" t="str">
        <f t="shared" si="88"/>
        <v>"C:\Program Files (x86)\AstroGrep\AstroGrep.exe" /e /r /s /spath="%USERPROFILE%\AppData\Local\Temp\OnboardLogs" /stypes="app*4018*20170505*" /stext=" 09:.+((SYSTEM_STATE.+slice.+state.+changed )|(ment ac)|(multiple cpu faults)|(system.+state.+changed )|(\[timeout)|(PRM\|1\|D)|(kpr)|(kdp)|(train st.+moving)|(\|lc)|(penalty))"</v>
      </c>
      <c r="AG237" s="1" t="str">
        <f t="shared" si="89"/>
        <v>Other</v>
      </c>
      <c r="AH237" s="81" t="str">
        <f t="shared" si="90"/>
        <v>"%USERPROFILE%\Documents\GitHub\eaglep3\Utilities\RefineRTDCRunTimes.py" --tripid 59-05 --locoid 4018 --swversion DE.1.0.9.0 --startMP 204:444 --initTime 2017-05-05T02:56:13 --startdatetime 2017-05-05T03:06:15 --delay 1 --endMP 300:23312 --enddatetime 2017-05-05T03:18:16 --enforcementcount 0 &gt;&gt;C:\Users\stu\Documents\GitHub\eaglep3-reporting\EC\2017-05-05-refined-times.txt</v>
      </c>
      <c r="AI237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{"issue":{"subject":"","project_id":79,"tracker_id":40,"status_id":1,"priority_id":2,"assigned_to_id":23,"start_date":"2017-05-05","description":"","custom_fields":[{"id":1,"name":"Subdivision","value":"Other"},{"id":4,"name":"Milepost","value":"2.3312"},{"id":17,"name":"Train ID","value":"59-05"},{"id":16,"name":"Locomotive ID","value":"4018"},{"id":130,"name":"Impact","value":""},{"id":150,"name":"Time of Event (Mountain Time)","value":"03:18:16"},{"id":151,"name":"Denver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92"/>
        <v>start /low /b %USERPROFILE%\Documents\GitHub\eaglep3\Utilities\DownloadLogsFromS3.py --loco 4018 --day 2017-05-05</v>
      </c>
      <c r="AN237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09:18:16"},{"id":29,"name":"Sharepoint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749</v>
      </c>
      <c r="B238" s="7">
        <v>4015</v>
      </c>
      <c r="C238" s="21" t="s">
        <v>210</v>
      </c>
      <c r="D238" s="21" t="s">
        <v>946</v>
      </c>
      <c r="E238" s="13">
        <v>42860.581087962964</v>
      </c>
      <c r="F238" s="13">
        <v>42860.582592592589</v>
      </c>
      <c r="G238" s="7">
        <v>1</v>
      </c>
      <c r="H238" s="21" t="s">
        <v>503</v>
      </c>
      <c r="I238" s="13">
        <v>42860.583634259259</v>
      </c>
      <c r="J238" s="7">
        <v>0</v>
      </c>
      <c r="K238" s="92" t="str">
        <f t="shared" si="78"/>
        <v>4015/4016</v>
      </c>
      <c r="L238" s="21" t="str">
        <f>VLOOKUP(A238,'Trips&amp;Operators'!$C$1:$G$99999,5,FALSE)</f>
        <v>ARVIDSON DANIEL</v>
      </c>
      <c r="M238" s="6">
        <f t="shared" si="79"/>
        <v>1.0416666700621136E-3</v>
      </c>
      <c r="N238" s="7">
        <f t="shared" si="94"/>
        <v>1.5000000048894435</v>
      </c>
      <c r="O238" s="7"/>
      <c r="P238" s="7"/>
      <c r="Q238" s="22"/>
      <c r="R238" s="190"/>
      <c r="S238" s="196">
        <f t="shared" si="96"/>
        <v>0</v>
      </c>
      <c r="T238" s="190" t="e">
        <f t="shared" si="80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81"/>
        <v>https://d0f6bd738d7f1b3e5a7ca70fe4ff75f0.us-east-1.aws.found.io/app/kibana#/discover/Steve-Slow-Train-Analysis-(2080s-and-2083s)?_g=(refreshInterval:(display:Off,pause:!f,section:0,value:0),time:(from:'2017-05-05T12:56:46-0600',mode:absolute,to:'2017-05-05T15:00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8" s="192" t="str">
        <f t="shared" si="82"/>
        <v>Y</v>
      </c>
      <c r="X238" s="192" t="e">
        <f t="shared" si="95"/>
        <v>#VALUE!</v>
      </c>
      <c r="Y238" s="192">
        <f t="shared" si="83"/>
        <v>0.3322</v>
      </c>
      <c r="Z238" s="192">
        <f t="shared" si="97"/>
        <v>0.1162</v>
      </c>
      <c r="AA238" s="192">
        <f t="shared" si="85"/>
        <v>0.216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6"/>
        <v>60-05</v>
      </c>
      <c r="AE238" s="80" t="str">
        <f t="shared" si="87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238" s="77" t="str">
        <f t="shared" si="88"/>
        <v>"C:\Program Files (x86)\AstroGrep\AstroGrep.exe" /e /r /s /spath="%USERPROFILE%\AppData\Local\Temp\OnboardLogs" /stypes="app*4015*20170505*" /stext=" 20:.+((SYSTEM_STATE.+slice.+state.+changed )|(ment ac)|(multiple cpu faults)|(system.+state.+changed )|(\[timeout)|(PRM\|1\|D)|(kpr)|(kdp)|(train st.+moving)|(\|lc)|(penalty))"</v>
      </c>
      <c r="AG238" s="1" t="str">
        <f t="shared" si="89"/>
        <v>Other</v>
      </c>
      <c r="AH238" s="81" t="str">
        <f t="shared" si="90"/>
        <v>"%USERPROFILE%\Documents\GitHub\eaglep3\Utilities\RefineRTDCRunTimes.py" --tripid 60-05 --locoid 4015 --swversion DE.1.0.9.0 --startMP 204:3322 --initTime 2017-05-05T13:56:46 --startdatetime 2017-05-05T13:58:56 --delay 1 --endMP 204:1162 --enddatetime 2017-05-05T14:00:26 --enforcementcount 0 &gt;&gt;C:\Users\stu\Documents\GitHub\eaglep3-reporting\EC\2017-05-05-refined-times.txt</v>
      </c>
      <c r="AI238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{"issue":{"subject":"","project_id":79,"tracker_id":40,"status_id":1,"priority_id":2,"assigned_to_id":23,"start_date":"2017-05-05","description":"","custom_fields":[{"id":1,"name":"Subdivision","value":"Other"},{"id":4,"name":"Milepost","value":"0.1162"},{"id":17,"name":"Train ID","value":"60-05"},{"id":16,"name":"Locomotive ID","value":"4015"},{"id":130,"name":"Impact","value":""},{"id":150,"name":"Time of Event (Mountain Time)","value":"14:00:26"},{"id":151,"name":"Denver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92"/>
        <v>start /low /b %USERPROFILE%\Documents\GitHub\eaglep3\Utilities\DownloadLogsFromS3.py --loco 4015 --day 2017-05-05</v>
      </c>
      <c r="AN238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20:00:26"},{"id":29,"name":"Sharepoint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749</v>
      </c>
      <c r="B239" s="7">
        <v>4016</v>
      </c>
      <c r="C239" s="21" t="s">
        <v>210</v>
      </c>
      <c r="D239" s="21" t="s">
        <v>947</v>
      </c>
      <c r="E239" s="13">
        <v>42860.577256944445</v>
      </c>
      <c r="F239" s="13">
        <v>42860.582592592589</v>
      </c>
      <c r="G239" s="7">
        <v>1</v>
      </c>
      <c r="H239" s="21" t="s">
        <v>948</v>
      </c>
      <c r="I239" s="13">
        <v>42860.583634259259</v>
      </c>
      <c r="J239" s="7">
        <v>0</v>
      </c>
      <c r="K239" s="92" t="str">
        <f t="shared" si="78"/>
        <v>4015/4016</v>
      </c>
      <c r="L239" s="21" t="str">
        <f>VLOOKUP(A239,'Trips&amp;Operators'!$C$1:$G$99999,5,FALSE)</f>
        <v>ARVIDSON DANIEL</v>
      </c>
      <c r="M239" s="6">
        <f t="shared" si="79"/>
        <v>1.0416666700621136E-3</v>
      </c>
      <c r="N239" s="7">
        <f t="shared" si="94"/>
        <v>1.5000000048894435</v>
      </c>
      <c r="O239" s="7"/>
      <c r="P239" s="7"/>
      <c r="Q239" s="22"/>
      <c r="R239" s="190"/>
      <c r="S239" s="196">
        <f t="shared" si="96"/>
        <v>0</v>
      </c>
      <c r="T239" s="190" t="e">
        <f t="shared" si="80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81"/>
        <v>https://d0f6bd738d7f1b3e5a7ca70fe4ff75f0.us-east-1.aws.found.io/app/kibana#/discover/Steve-Slow-Train-Analysis-(2080s-and-2083s)?_g=(refreshInterval:(display:Off,pause:!f,section:0,value:0),time:(from:'2017-05-05T12:51:15-0600',mode:absolute,to:'2017-05-05T15:00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9" s="192" t="str">
        <f t="shared" si="82"/>
        <v>Y</v>
      </c>
      <c r="X239" s="192" t="e">
        <f t="shared" si="95"/>
        <v>#VALUE!</v>
      </c>
      <c r="Y239" s="192">
        <f t="shared" si="83"/>
        <v>3.3599999999999998E-2</v>
      </c>
      <c r="Z239" s="192">
        <f t="shared" si="97"/>
        <v>0.36120000000000002</v>
      </c>
      <c r="AA239" s="192">
        <f t="shared" si="85"/>
        <v>0.3276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86"/>
        <v>60-05</v>
      </c>
      <c r="AE239" s="80" t="str">
        <f t="shared" si="87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239" s="77" t="str">
        <f t="shared" si="88"/>
        <v>"C:\Program Files (x86)\AstroGrep\AstroGrep.exe" /e /r /s /spath="%USERPROFILE%\AppData\Local\Temp\OnboardLogs" /stypes="app*4016*20170505*" /stext=" 20:.+((SYSTEM_STATE.+slice.+state.+changed )|(ment ac)|(multiple cpu faults)|(system.+state.+changed )|(\[timeout)|(PRM\|1\|D)|(kpr)|(kdp)|(train st.+moving)|(\|lc)|(penalty))"</v>
      </c>
      <c r="AG239" s="1" t="str">
        <f t="shared" si="89"/>
        <v>Other</v>
      </c>
      <c r="AH239" s="81" t="str">
        <f t="shared" si="90"/>
        <v>"%USERPROFILE%\Documents\GitHub\eaglep3\Utilities\RefineRTDCRunTimes.py" --tripid 60-05 --locoid 4016 --swversion DE.1.0.9.0 --startMP 204:336 --initTime 2017-05-05T13:51:15 --startdatetime 2017-05-05T13:58:56 --delay 1 --endMP 204:3612 --enddatetime 2017-05-05T14:00:26 --enforcementcount 0 &gt;&gt;C:\Users\stu\Documents\GitHub\eaglep3-reporting\EC\2017-05-05-refined-times.txt</v>
      </c>
      <c r="AI239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{"issue":{"subject":"","project_id":79,"tracker_id":40,"status_id":1,"priority_id":2,"assigned_to_id":23,"start_date":"2017-05-05","description":"","custom_fields":[{"id":1,"name":"Subdivision","value":"Other"},{"id":4,"name":"Milepost","value":"0.3612"},{"id":17,"name":"Train ID","value":"60-05"},{"id":16,"name":"Locomotive ID","value":"4016"},{"id":130,"name":"Impact","value":""},{"id":150,"name":"Time of Event (Mountain Time)","value":"14:00:26"},{"id":151,"name":"Denver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92"/>
        <v>start /low /b %USERPROFILE%\Documents\GitHub\eaglep3\Utilities\DownloadLogsFromS3.py --loco 4016 --day 2017-05-05</v>
      </c>
      <c r="AN239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20:00:26"},{"id":29,"name":"Sharepoint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635</v>
      </c>
      <c r="B240" s="7">
        <v>4052</v>
      </c>
      <c r="C240" s="21" t="s">
        <v>210</v>
      </c>
      <c r="D240" s="21" t="s">
        <v>949</v>
      </c>
      <c r="E240" s="13">
        <v>42860.126898148148</v>
      </c>
      <c r="F240" s="13">
        <v>42860.132094907407</v>
      </c>
      <c r="G240" s="7">
        <v>2</v>
      </c>
      <c r="H240" s="21" t="s">
        <v>511</v>
      </c>
      <c r="I240" s="13">
        <v>42860.140439814815</v>
      </c>
      <c r="J240" s="7">
        <v>0</v>
      </c>
      <c r="K240" s="92" t="str">
        <f t="shared" si="78"/>
        <v>4051/4052</v>
      </c>
      <c r="L240" s="21" t="str">
        <f>VLOOKUP(A240,'Trips&amp;Operators'!$C$1:$G$99999,5,FALSE)</f>
        <v>BROWN JACOB</v>
      </c>
      <c r="M240" s="6">
        <f t="shared" si="79"/>
        <v>8.3449074081727304E-3</v>
      </c>
      <c r="N240" s="7">
        <f t="shared" si="94"/>
        <v>12.016666667768732</v>
      </c>
      <c r="O240" s="7"/>
      <c r="P240" s="7"/>
      <c r="Q240" s="22"/>
      <c r="R240" s="190"/>
      <c r="S240" s="196">
        <f t="shared" si="96"/>
        <v>0</v>
      </c>
      <c r="T240" s="190" t="e">
        <f t="shared" si="80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81"/>
        <v>https://d0f6bd738d7f1b3e5a7ca70fe4ff75f0.us-east-1.aws.found.io/app/kibana#/discover/Steve-Slow-Train-Analysis-(2080s-and-2083s)?_g=(refreshInterval:(display:Off,pause:!f,section:0,value:0),time:(from:'2017-05-05T02:02:44-0600',mode:absolute,to:'2017-05-05T04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0" s="192" t="str">
        <f t="shared" si="82"/>
        <v>Y</v>
      </c>
      <c r="X240" s="192" t="e">
        <f t="shared" si="95"/>
        <v>#VALUE!</v>
      </c>
      <c r="Y240" s="192">
        <f t="shared" si="83"/>
        <v>0.1273</v>
      </c>
      <c r="Z240" s="192">
        <f t="shared" si="97"/>
        <v>2.3308</v>
      </c>
      <c r="AA240" s="192">
        <f t="shared" si="85"/>
        <v>2.2035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86"/>
        <v>61-05</v>
      </c>
      <c r="AE240" s="80" t="str">
        <f t="shared" si="87"/>
        <v>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 &amp; aws s3 cp s3://rtdc.mdm.uploadarchive.raw/RTDC4052/ "%USERPROFILE%\AppData\Local\Temp\OnboardLogs"\RTDC4052\2017-05-06 --exclude "*" --recursive --include "*20170506*" &amp; "%USERPROFILE%\Documents\GitHub\mrs-test-scripts\Headless Mode &amp; Sideloading\WalkAndUnGZ.bat" "%USERPROFILE%\AppData\Local\Temp\OnboardLogs"\RTDC4052\2017-05-06</v>
      </c>
      <c r="AF240" s="77" t="str">
        <f t="shared" si="88"/>
        <v>"C:\Program Files (x86)\AstroGrep\AstroGrep.exe" /e /r /s /spath="%USERPROFILE%\AppData\Local\Temp\OnboardLogs" /stypes="app*4052*20170505*" /stext=" 09:.+((SYSTEM_STATE.+slice.+state.+changed )|(ment ac)|(multiple cpu faults)|(system.+state.+changed )|(\[timeout)|(PRM\|1\|D)|(kpr)|(kdp)|(train st.+moving)|(\|lc)|(penalty))"</v>
      </c>
      <c r="AG240" s="1" t="str">
        <f t="shared" si="89"/>
        <v>Other</v>
      </c>
      <c r="AH240" s="81" t="str">
        <f t="shared" si="90"/>
        <v>"%USERPROFILE%\Documents\GitHub\eaglep3\Utilities\RefineRTDCRunTimes.py" --tripid 61-05 --locoid 4052 --swversion DE.1.0.9.0 --startMP 204:1273 --initTime 2017-05-05T03:02:44 --startdatetime 2017-05-05T03:10:13 --delay 2 --endMP 300:23308 --enddatetime 2017-05-05T03:22:14 --enforcementcount 0 &gt;&gt;C:\Users\stu\Documents\GitHub\eaglep3-reporting\EC\2017-05-05-refined-times.txt</v>
      </c>
      <c r="AI240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{"issue":{"subject":"","project_id":79,"tracker_id":40,"status_id":1,"priority_id":2,"assigned_to_id":23,"start_date":"2017-05-05","description":"","custom_fields":[{"id":1,"name":"Subdivision","value":"Other"},{"id":4,"name":"Milepost","value":"2.3308"},{"id":17,"name":"Train ID","value":"61-05"},{"id":16,"name":"Locomotive ID","value":"4052"},{"id":130,"name":"Impact","value":""},{"id":150,"name":"Time of Event (Mountain Time)","value":"03:22:14"},{"id":151,"name":"Denver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92"/>
        <v>start /low /b %USERPROFILE%\Documents\GitHub\eaglep3\Utilities\DownloadLogsFromS3.py --loco 4052 --day 2017-05-05</v>
      </c>
      <c r="AN240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764</v>
      </c>
      <c r="B241" s="7">
        <v>4015</v>
      </c>
      <c r="C241" s="21" t="s">
        <v>210</v>
      </c>
      <c r="D241" s="21" t="s">
        <v>950</v>
      </c>
      <c r="E241" s="13">
        <v>42860.648113425923</v>
      </c>
      <c r="F241" s="13">
        <v>42860.649907407409</v>
      </c>
      <c r="G241" s="7">
        <v>1</v>
      </c>
      <c r="H241" s="21" t="s">
        <v>432</v>
      </c>
      <c r="I241" s="13">
        <v>42860.651562500003</v>
      </c>
      <c r="J241" s="7">
        <v>0</v>
      </c>
      <c r="K241" s="92" t="str">
        <f t="shared" si="78"/>
        <v>4015/4016</v>
      </c>
      <c r="L241" s="21" t="str">
        <f>VLOOKUP(A241,'Trips&amp;Operators'!$C$1:$G$99999,5,FALSE)</f>
        <v>ARVIDSON DANIEL</v>
      </c>
      <c r="M241" s="6">
        <f t="shared" si="79"/>
        <v>1.6550925938645378E-3</v>
      </c>
      <c r="N241" s="7">
        <f t="shared" si="94"/>
        <v>2.3833333351649344</v>
      </c>
      <c r="O241" s="7"/>
      <c r="P241" s="7"/>
      <c r="Q241" s="22"/>
      <c r="R241" s="190"/>
      <c r="S241" s="196">
        <f t="shared" si="96"/>
        <v>0</v>
      </c>
      <c r="T241" s="190" t="e">
        <f t="shared" si="80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81"/>
        <v>https://d0f6bd738d7f1b3e5a7ca70fe4ff75f0.us-east-1.aws.found.io/app/kibana#/discover/Steve-Slow-Train-Analysis-(2080s-and-2083s)?_g=(refreshInterval:(display:Off,pause:!f,section:0,value:0),time:(from:'2017-05-05T14:33:17-0600',mode:absolute,to:'2017-05-05T16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1" s="192" t="str">
        <f t="shared" si="82"/>
        <v>Y</v>
      </c>
      <c r="X241" s="192" t="e">
        <f t="shared" si="95"/>
        <v>#VALUE!</v>
      </c>
      <c r="Y241" s="192">
        <f t="shared" si="83"/>
        <v>0.33310000000000001</v>
      </c>
      <c r="Z241" s="192">
        <f t="shared" si="97"/>
        <v>1.3899999999999999E-2</v>
      </c>
      <c r="AA241" s="192">
        <f t="shared" si="85"/>
        <v>0.31919999999999998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86"/>
        <v>62-05</v>
      </c>
      <c r="AE241" s="80" t="str">
        <f t="shared" si="87"/>
        <v>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 &amp; aws s3 cp s3://rtdc.mdm.uploadarchive.raw/RTDC4015/ "%USERPROFILE%\AppData\Local\Temp\OnboardLogs"\RTDC4015\2017-05-06 --exclude "*" --recursive --include "*20170506*" &amp; "%USERPROFILE%\Documents\GitHub\mrs-test-scripts\Headless Mode &amp; Sideloading\WalkAndUnGZ.bat" "%USERPROFILE%\AppData\Local\Temp\OnboardLogs"\RTDC4015\2017-05-06</v>
      </c>
      <c r="AF241" s="77" t="str">
        <f t="shared" si="88"/>
        <v>"C:\Program Files (x86)\AstroGrep\AstroGrep.exe" /e /r /s /spath="%USERPROFILE%\AppData\Local\Temp\OnboardLogs" /stypes="app*4015*20170505*" /stext=" 21:.+((SYSTEM_STATE.+slice.+state.+changed )|(ment ac)|(multiple cpu faults)|(system.+state.+changed )|(\[timeout)|(PRM\|1\|D)|(kpr)|(kdp)|(train st.+moving)|(\|lc)|(penalty))"</v>
      </c>
      <c r="AG241" s="1" t="str">
        <f t="shared" si="89"/>
        <v>Other</v>
      </c>
      <c r="AH241" s="81" t="str">
        <f t="shared" si="90"/>
        <v>"%USERPROFILE%\Documents\GitHub\eaglep3\Utilities\RefineRTDCRunTimes.py" --tripid 62-05 --locoid 4015 --swversion DE.1.0.9.0 --startMP 204:3331 --initTime 2017-05-05T15:33:17 --startdatetime 2017-05-05T15:35:52 --delay 1 --endMP 204:139 --enddatetime 2017-05-05T15:38:15 --enforcementcount 0 &gt;&gt;C:\Users\stu\Documents\GitHub\eaglep3-reporting\EC\2017-05-05-refined-times.txt</v>
      </c>
      <c r="AI241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{"issue":{"subject":"","project_id":79,"tracker_id":40,"status_id":1,"priority_id":2,"assigned_to_id":23,"start_date":"2017-05-05","description":"","custom_fields":[{"id":1,"name":"Subdivision","value":"Other"},{"id":4,"name":"Milepost","value":"0.0139"},{"id":17,"name":"Train ID","value":"62-05"},{"id":16,"name":"Locomotive ID","value":"4015"},{"id":130,"name":"Impact","value":""},{"id":150,"name":"Time of Event (Mountain Time)","value":"15:38:15"},{"id":151,"name":"Denver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92"/>
        <v>start /low /b %USERPROFILE%\Documents\GitHub\eaglep3\Utilities\DownloadLogsFromS3.py --loco 4015 --day 2017-05-05</v>
      </c>
      <c r="AN241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764</v>
      </c>
      <c r="B242" s="7">
        <v>4016</v>
      </c>
      <c r="C242" s="21" t="s">
        <v>210</v>
      </c>
      <c r="D242" s="21" t="s">
        <v>951</v>
      </c>
      <c r="E242" s="13">
        <v>42860.64439814815</v>
      </c>
      <c r="F242" s="13">
        <v>42860.649907407409</v>
      </c>
      <c r="G242" s="7">
        <v>1</v>
      </c>
      <c r="H242" s="21" t="s">
        <v>952</v>
      </c>
      <c r="I242" s="13">
        <v>42860.651562500003</v>
      </c>
      <c r="J242" s="7">
        <v>0</v>
      </c>
      <c r="K242" s="92" t="str">
        <f t="shared" si="78"/>
        <v>4015/4016</v>
      </c>
      <c r="L242" s="21" t="str">
        <f>VLOOKUP(A242,'Trips&amp;Operators'!$C$1:$G$99999,5,FALSE)</f>
        <v>ARVIDSON DANIEL</v>
      </c>
      <c r="M242" s="6">
        <f t="shared" si="79"/>
        <v>1.6550925938645378E-3</v>
      </c>
      <c r="N242" s="7">
        <f t="shared" si="94"/>
        <v>2.3833333351649344</v>
      </c>
      <c r="O242" s="7"/>
      <c r="P242" s="7"/>
      <c r="Q242" s="22"/>
      <c r="R242" s="190"/>
      <c r="S242" s="196">
        <f t="shared" si="96"/>
        <v>0</v>
      </c>
      <c r="T242" s="190" t="e">
        <f t="shared" si="80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81"/>
        <v>https://d0f6bd738d7f1b3e5a7ca70fe4ff75f0.us-east-1.aws.found.io/app/kibana#/discover/Steve-Slow-Train-Analysis-(2080s-and-2083s)?_g=(refreshInterval:(display:Off,pause:!f,section:0,value:0),time:(from:'2017-05-05T14:27:56-0600',mode:absolute,to:'2017-05-05T16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2" s="192" t="str">
        <f t="shared" si="82"/>
        <v>Y</v>
      </c>
      <c r="X242" s="192" t="e">
        <f t="shared" si="95"/>
        <v>#VALUE!</v>
      </c>
      <c r="Y242" s="192">
        <f t="shared" si="83"/>
        <v>0.14860000000000001</v>
      </c>
      <c r="Z242" s="192">
        <f t="shared" si="97"/>
        <v>0.36420000000000002</v>
      </c>
      <c r="AA242" s="192">
        <f t="shared" si="85"/>
        <v>0.21560000000000001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86"/>
        <v>62-05</v>
      </c>
      <c r="AE242" s="80" t="str">
        <f t="shared" si="87"/>
        <v>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 &amp; aws s3 cp s3://rtdc.mdm.uploadarchive.raw/RTDC4016/ "%USERPROFILE%\AppData\Local\Temp\OnboardLogs"\RTDC4016\2017-05-06 --exclude "*" --recursive --include "*20170506*" &amp; "%USERPROFILE%\Documents\GitHub\mrs-test-scripts\Headless Mode &amp; Sideloading\WalkAndUnGZ.bat" "%USERPROFILE%\AppData\Local\Temp\OnboardLogs"\RTDC4016\2017-05-06</v>
      </c>
      <c r="AF242" s="77" t="str">
        <f t="shared" si="88"/>
        <v>"C:\Program Files (x86)\AstroGrep\AstroGrep.exe" /e /r /s /spath="%USERPROFILE%\AppData\Local\Temp\OnboardLogs" /stypes="app*4016*20170505*" /stext=" 21:.+((SYSTEM_STATE.+slice.+state.+changed )|(ment ac)|(multiple cpu faults)|(system.+state.+changed )|(\[timeout)|(PRM\|1\|D)|(kpr)|(kdp)|(train st.+moving)|(\|lc)|(penalty))"</v>
      </c>
      <c r="AG242" s="1" t="str">
        <f t="shared" si="89"/>
        <v>Other</v>
      </c>
      <c r="AH242" s="81" t="str">
        <f t="shared" si="90"/>
        <v>"%USERPROFILE%\Documents\GitHub\eaglep3\Utilities\RefineRTDCRunTimes.py" --tripid 62-05 --locoid 4016 --swversion DE.1.0.9.0 --startMP 204:1486 --initTime 2017-05-05T15:27:56 --startdatetime 2017-05-05T15:35:52 --delay 1 --endMP 204:3642 --enddatetime 2017-05-05T15:38:15 --enforcementcount 0 &gt;&gt;C:\Users\stu\Documents\GitHub\eaglep3-reporting\EC\2017-05-05-refined-times.txt</v>
      </c>
      <c r="AI24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{"issue":{"subject":"","project_id":79,"tracker_id":40,"status_id":1,"priority_id":2,"assigned_to_id":23,"start_date":"2017-05-05","description":"","custom_fields":[{"id":1,"name":"Subdivision","value":"Other"},{"id":4,"name":"Milepost","value":"0.3642"},{"id":17,"name":"Train ID","value":"62-05"},{"id":16,"name":"Locomotive ID","value":"4016"},{"id":130,"name":"Impact","value":""},{"id":150,"name":"Time of Event (Mountain Time)","value":"15:38:15"},{"id":151,"name":"Denver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92"/>
        <v>start /low /b %USERPROFILE%\Documents\GitHub\eaglep3\Utilities\DownloadLogsFromS3.py --loco 4016 --day 2017-05-05</v>
      </c>
      <c r="AN242" s="154" t="str">
        <f t="shared" si="93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21:38:15"},{"id":29,"name":"Sharepoint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781</v>
      </c>
      <c r="B243" s="7">
        <v>4040</v>
      </c>
      <c r="C243" s="21" t="s">
        <v>210</v>
      </c>
      <c r="D243" s="21" t="s">
        <v>953</v>
      </c>
      <c r="E243" s="13">
        <v>42860.711851851855</v>
      </c>
      <c r="F243" s="13">
        <v>42860.750787037039</v>
      </c>
      <c r="G243" s="7">
        <v>6</v>
      </c>
      <c r="H243" s="21" t="s">
        <v>954</v>
      </c>
      <c r="I243" s="13">
        <v>42860.782025462962</v>
      </c>
      <c r="J243" s="7">
        <v>0</v>
      </c>
      <c r="K243" s="92" t="str">
        <f t="shared" si="78"/>
        <v>4039/4040</v>
      </c>
      <c r="L243" s="21" t="str">
        <f>VLOOKUP(A243,'Trips&amp;Operators'!$C$1:$G$99999,5,FALSE)</f>
        <v>DELGADO DIANAH</v>
      </c>
      <c r="M243" s="6">
        <f t="shared" si="79"/>
        <v>3.1238425923220348E-2</v>
      </c>
      <c r="N243" s="7">
        <f t="shared" ref="N243:N263" si="98">24*60*SUM($M243:$M243)</f>
        <v>44.983333329437301</v>
      </c>
      <c r="O243" s="7"/>
      <c r="P243" s="7"/>
      <c r="Q243" s="22"/>
      <c r="R243" s="190"/>
      <c r="S243" s="196">
        <f t="shared" si="96"/>
        <v>0</v>
      </c>
      <c r="T243" s="190" t="e">
        <f t="shared" si="80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81"/>
        <v>https://d0f6bd738d7f1b3e5a7ca70fe4ff75f0.us-east-1.aws.found.io/app/kibana#/discover/Steve-Slow-Train-Analysis-(2080s-and-2083s)?_g=(refreshInterval:(display:Off,pause:!f,section:0,value:0),time:(from:'2017-05-05T16:05:04-0600',mode:absolute,to:'2017-05-05T19:46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3" s="192" t="str">
        <f t="shared" si="82"/>
        <v>Y</v>
      </c>
      <c r="X243" s="192" t="e">
        <f t="shared" si="95"/>
        <v>#VALUE!</v>
      </c>
      <c r="Y243" s="192">
        <f t="shared" si="83"/>
        <v>0.1477</v>
      </c>
      <c r="Z243" s="192">
        <f t="shared" si="97"/>
        <v>0.14810000000000001</v>
      </c>
      <c r="AA243" s="192">
        <f t="shared" si="85"/>
        <v>4.0000000000001146E-4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86"/>
        <v>66-05</v>
      </c>
      <c r="AE243" s="80" t="str">
        <f t="shared" si="87"/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AF243" s="77" t="str">
        <f t="shared" si="88"/>
        <v>"C:\Program Files (x86)\AstroGrep\AstroGrep.exe" /e /r /s /spath="%USERPROFILE%\AppData\Local\Temp\OnboardLogs" /stypes="app*4040*20170506*" /stext=" 00:.+((SYSTEM_STATE.+slice.+state.+changed )|(ment ac)|(multiple cpu faults)|(system.+state.+changed )|(\[timeout)|(PRM\|1\|D)|(kpr)|(kdp)|(train st.+moving)|(\|lc)|(penalty))"</v>
      </c>
      <c r="AG243" s="1" t="str">
        <f t="shared" si="89"/>
        <v>Other</v>
      </c>
      <c r="AH243" s="81" t="str">
        <f t="shared" si="90"/>
        <v>"%USERPROFILE%\Documents\GitHub\eaglep3\Utilities\RefineRTDCRunTimes.py" --tripid 66-05 --locoid 4040 --swversion DE.1.0.9.0 --startMP 204:1477 --initTime 2017-05-05T17:05:04 --startdatetime 2017-05-05T18:01:08 --delay 6 --endMP 204:1481 --enddatetime 2017-05-05T18:46:07 --enforcementcount 0 &gt;&gt;C:\Users\stu\Documents\GitHub\eaglep3-reporting\EC\2017-05-05-refined-times.txt</v>
      </c>
      <c r="AI243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{"issue":{"subject":"","project_id":79,"tracker_id":40,"status_id":1,"priority_id":2,"assigned_to_id":23,"start_date":"2017-05-05","description":"","custom_fields":[{"id":1,"name":"Subdivision","value":"Other"},{"id":4,"name":"Milepost","value":"0.1481"},{"id":17,"name":"Train ID","value":"66-05"},{"id":16,"name":"Locomotive ID","value":"4040"},{"id":130,"name":"Impact","value":""},{"id":150,"name":"Time of Event (Mountain Time)","value":"18:46:07"},{"id":151,"name":"Denver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92"/>
        <v>start /low /b %USERPROFILE%\Documents\GitHub\eaglep3\Utilities\DownloadLogsFromS3.py --loco 4040 --day 2017-05-05</v>
      </c>
      <c r="AN243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00:46:07"},{"id":29,"name":"Sharepoint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791</v>
      </c>
      <c r="B244" s="7">
        <v>4024</v>
      </c>
      <c r="C244" s="21" t="s">
        <v>210</v>
      </c>
      <c r="D244" s="21" t="s">
        <v>576</v>
      </c>
      <c r="E244" s="13">
        <v>42860.745104166665</v>
      </c>
      <c r="F244" s="13">
        <v>42860.753993055558</v>
      </c>
      <c r="G244" s="7">
        <v>1</v>
      </c>
      <c r="H244" s="21" t="s">
        <v>955</v>
      </c>
      <c r="I244" s="13">
        <v>42860.773784722223</v>
      </c>
      <c r="J244" s="7">
        <v>0</v>
      </c>
      <c r="K244" s="92" t="str">
        <f t="shared" si="78"/>
        <v>4023/4024</v>
      </c>
      <c r="L244" s="21" t="str">
        <f>VLOOKUP(A244,'Trips&amp;Operators'!$C$1:$G$99999,5,FALSE)</f>
        <v>ARVIDSON DANIEL</v>
      </c>
      <c r="M244" s="6">
        <f t="shared" si="79"/>
        <v>1.9791666665696539E-2</v>
      </c>
      <c r="N244" s="7">
        <f t="shared" si="98"/>
        <v>28.499999998603016</v>
      </c>
      <c r="O244" s="7"/>
      <c r="P244" s="7"/>
      <c r="Q244" s="22"/>
      <c r="R244" s="190"/>
      <c r="S244" s="196">
        <f t="shared" si="96"/>
        <v>0</v>
      </c>
      <c r="T244" s="190" t="e">
        <f t="shared" si="80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81"/>
        <v>https://d0f6bd738d7f1b3e5a7ca70fe4ff75f0.us-east-1.aws.found.io/app/kibana#/discover/Steve-Slow-Train-Analysis-(2080s-and-2083s)?_g=(refreshInterval:(display:Off,pause:!f,section:0,value:0),time:(from:'2017-05-05T16:52:57-0600',mode:absolute,to:'2017-05-05T19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4" s="192" t="str">
        <f t="shared" si="82"/>
        <v>Y</v>
      </c>
      <c r="X244" s="192" t="e">
        <f t="shared" si="95"/>
        <v>#VALUE!</v>
      </c>
      <c r="Y244" s="192">
        <f t="shared" si="83"/>
        <v>0.1147</v>
      </c>
      <c r="Z244" s="192">
        <f t="shared" si="97"/>
        <v>2.3106</v>
      </c>
      <c r="AA244" s="192">
        <f t="shared" si="85"/>
        <v>2.1959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86"/>
        <v>67-05</v>
      </c>
      <c r="AE244" s="80" t="str">
        <f t="shared" si="87"/>
        <v>aws s3 cp s3://rtdc.mdm.uploadarchive.raw/RTDC4024/ "%USERPROFILE%\AppData\Local\Temp\OnboardLogs"\RTDC4024\2017-05-05 --exclude "*" --recursive --include "*20170505*" &amp; "%USERPROFILE%\Documents\GitHub\mrs-test-scripts\Headless Mode &amp; Sideloading\WalkAndUnGZ.bat" "%USERPROFILE%\AppData\Local\Temp\OnboardLogs"\RTDC4024\2017-05-05 &amp; 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</v>
      </c>
      <c r="AF244" s="77" t="str">
        <f t="shared" si="88"/>
        <v>"C:\Program Files (x86)\AstroGrep\AstroGrep.exe" /e /r /s /spath="%USERPROFILE%\AppData\Local\Temp\OnboardLogs" /stypes="app*4024*20170506*" /stext=" 00:.+((SYSTEM_STATE.+slice.+state.+changed )|(ment ac)|(multiple cpu faults)|(system.+state.+changed )|(\[timeout)|(PRM\|1\|D)|(kpr)|(kdp)|(train st.+moving)|(\|lc)|(penalty))"</v>
      </c>
      <c r="AG244" s="1" t="str">
        <f t="shared" si="89"/>
        <v>Other</v>
      </c>
      <c r="AH244" s="81" t="str">
        <f t="shared" si="90"/>
        <v>"%USERPROFILE%\Documents\GitHub\eaglep3\Utilities\RefineRTDCRunTimes.py" --tripid 67-05 --locoid 4024 --swversion DE.1.0.9.0 --startMP 204:1147 --initTime 2017-05-05T17:52:57 --startdatetime 2017-05-05T18:05:45 --delay 1 --endMP 300:23106 --enddatetime 2017-05-05T18:34:15 --enforcementcount 0 &gt;&gt;C:\Users\stu\Documents\GitHub\eaglep3-reporting\EC\2017-05-05-refined-times.txt</v>
      </c>
      <c r="AI244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{"issue":{"subject":"","project_id":79,"tracker_id":40,"status_id":1,"priority_id":2,"assigned_to_id":23,"start_date":"2017-05-05","description":"","custom_fields":[{"id":1,"name":"Subdivision","value":"Other"},{"id":4,"name":"Milepost","value":"2.3106"},{"id":17,"name":"Train ID","value":"67-05"},{"id":16,"name":"Locomotive ID","value":"4024"},{"id":130,"name":"Impact","value":""},{"id":150,"name":"Time of Event (Mountain Time)","value":"18:34:15"},{"id":151,"name":"Denver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92"/>
        <v>start /low /b %USERPROFILE%\Documents\GitHub\eaglep3\Utilities\DownloadLogsFromS3.py --loco 4024 --day 2017-05-05</v>
      </c>
      <c r="AN244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792</v>
      </c>
      <c r="B245" s="7">
        <v>4053</v>
      </c>
      <c r="C245" s="21" t="s">
        <v>210</v>
      </c>
      <c r="D245" s="21" t="s">
        <v>956</v>
      </c>
      <c r="E245" s="13">
        <v>42860.749456018515</v>
      </c>
      <c r="F245" s="13">
        <v>42860.753009259257</v>
      </c>
      <c r="G245" s="7">
        <v>5</v>
      </c>
      <c r="H245" s="21" t="s">
        <v>957</v>
      </c>
      <c r="I245" s="13">
        <v>42860.758449074077</v>
      </c>
      <c r="J245" s="7">
        <v>0</v>
      </c>
      <c r="K245" s="92" t="str">
        <f t="shared" si="78"/>
        <v>4053/4054</v>
      </c>
      <c r="L245" s="21" t="str">
        <f>VLOOKUP(A245,'Trips&amp;Operators'!$C$1:$G$99999,5,FALSE)</f>
        <v>SWANSON BRYCE</v>
      </c>
      <c r="M245" s="6">
        <f t="shared" si="79"/>
        <v>5.439814820419997E-3</v>
      </c>
      <c r="N245" s="7">
        <f t="shared" si="98"/>
        <v>7.8333333414047956</v>
      </c>
      <c r="O245" s="7"/>
      <c r="P245" s="7"/>
      <c r="Q245" s="22"/>
      <c r="R245" s="190"/>
      <c r="S245" s="196">
        <f t="shared" si="96"/>
        <v>0</v>
      </c>
      <c r="T245" s="190" t="e">
        <f t="shared" si="80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81"/>
        <v>https://d0f6bd738d7f1b3e5a7ca70fe4ff75f0.us-east-1.aws.found.io/app/kibana#/discover/Steve-Slow-Train-Analysis-(2080s-and-2083s)?_g=(refreshInterval:(display:Off,pause:!f,section:0,value:0),time:(from:'2017-05-05T16:59:13-0600',mode:absolute,to:'2017-05-05T19:12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5" s="192" t="str">
        <f t="shared" si="82"/>
        <v>Y</v>
      </c>
      <c r="X245" s="192" t="e">
        <f t="shared" si="95"/>
        <v>#VALUE!</v>
      </c>
      <c r="Y245" s="192">
        <f t="shared" si="83"/>
        <v>2.2098</v>
      </c>
      <c r="Z245" s="192">
        <f t="shared" si="97"/>
        <v>1.44E-2</v>
      </c>
      <c r="AA245" s="192">
        <f t="shared" si="85"/>
        <v>2.1953999999999998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86"/>
        <v>72-05</v>
      </c>
      <c r="AE245" s="80" t="str">
        <f t="shared" si="87"/>
        <v>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 &amp; 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</v>
      </c>
      <c r="AF245" s="77" t="str">
        <f t="shared" si="88"/>
        <v>"C:\Program Files (x86)\AstroGrep\AstroGrep.exe" /e /r /s /spath="%USERPROFILE%\AppData\Local\Temp\OnboardLogs" /stypes="app*4053*20170506*" /stext=" 00:.+((SYSTEM_STATE.+slice.+state.+changed )|(ment ac)|(multiple cpu faults)|(system.+state.+changed )|(\[timeout)|(PRM\|1\|D)|(kpr)|(kdp)|(train st.+moving)|(\|lc)|(penalty))"</v>
      </c>
      <c r="AG245" s="1" t="str">
        <f t="shared" si="89"/>
        <v>Other</v>
      </c>
      <c r="AH245" s="81" t="str">
        <f t="shared" si="90"/>
        <v>"%USERPROFILE%\Documents\GitHub\eaglep3\Utilities\RefineRTDCRunTimes.py" --tripid 72-05 --locoid 4053 --swversion DE.1.0.9.0 --startMP 300:22098 --initTime 2017-05-05T17:59:13 --startdatetime 2017-05-05T18:04:20 --delay 5 --endMP 204:144 --enddatetime 2017-05-05T18:12:10 --enforcementcount 0 &gt;&gt;C:\Users\stu\Documents\GitHub\eaglep3-reporting\EC\2017-05-05-refined-times.txt</v>
      </c>
      <c r="AI245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{"issue":{"subject":"","project_id":79,"tracker_id":40,"status_id":1,"priority_id":2,"assigned_to_id":23,"start_date":"2017-05-05","description":"","custom_fields":[{"id":1,"name":"Subdivision","value":"Other"},{"id":4,"name":"Milepost","value":"0.0144"},{"id":17,"name":"Train ID","value":"72-05"},{"id":16,"name":"Locomotive ID","value":"4053"},{"id":130,"name":"Impact","value":""},{"id":150,"name":"Time of Event (Mountain Time)","value":"18:12:10"},{"id":151,"name":"Denver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92"/>
        <v>start /low /b %USERPROFILE%\Documents\GitHub\eaglep3\Utilities\DownloadLogsFromS3.py --loco 4053 --day 2017-05-05</v>
      </c>
      <c r="AN245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00:12:10"},{"id":29,"name":"Sharepoint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800</v>
      </c>
      <c r="B246" s="7">
        <v>4054</v>
      </c>
      <c r="C246" s="21" t="s">
        <v>210</v>
      </c>
      <c r="D246" s="21" t="s">
        <v>958</v>
      </c>
      <c r="E246" s="13">
        <v>42860.769166666665</v>
      </c>
      <c r="F246" s="13">
        <v>42860.776319444441</v>
      </c>
      <c r="G246" s="7">
        <v>1</v>
      </c>
      <c r="H246" s="21" t="s">
        <v>409</v>
      </c>
      <c r="I246" s="13">
        <v>42860.783530092594</v>
      </c>
      <c r="J246" s="7">
        <v>0</v>
      </c>
      <c r="K246" s="92" t="str">
        <f t="shared" si="78"/>
        <v>4053/4054</v>
      </c>
      <c r="L246" s="21" t="str">
        <f>VLOOKUP(A246,'Trips&amp;Operators'!$C$1:$G$99999,5,FALSE)</f>
        <v>CLARK KATHLEEN</v>
      </c>
      <c r="M246" s="6">
        <f t="shared" si="79"/>
        <v>7.2106481529772282E-3</v>
      </c>
      <c r="N246" s="7">
        <f t="shared" si="98"/>
        <v>10.383333340287209</v>
      </c>
      <c r="O246" s="7"/>
      <c r="P246" s="7"/>
      <c r="Q246" s="22"/>
      <c r="R246" s="190"/>
      <c r="S246" s="196">
        <f t="shared" si="96"/>
        <v>0</v>
      </c>
      <c r="T246" s="190" t="e">
        <f t="shared" si="80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81"/>
        <v>https://d0f6bd738d7f1b3e5a7ca70fe4ff75f0.us-east-1.aws.found.io/app/kibana#/discover/Steve-Slow-Train-Analysis-(2080s-and-2083s)?_g=(refreshInterval:(display:Off,pause:!f,section:0,value:0),time:(from:'2017-05-05T17:27:36-0600',mode:absolute,to:'2017-05-05T19:48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6" s="192" t="str">
        <f t="shared" si="82"/>
        <v>Y</v>
      </c>
      <c r="X246" s="192" t="e">
        <f t="shared" si="95"/>
        <v>#VALUE!</v>
      </c>
      <c r="Y246" s="192">
        <f t="shared" si="83"/>
        <v>4.19E-2</v>
      </c>
      <c r="Z246" s="192">
        <f t="shared" si="97"/>
        <v>2.3346</v>
      </c>
      <c r="AA246" s="192">
        <f t="shared" si="85"/>
        <v>2.2927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86"/>
        <v>73-05</v>
      </c>
      <c r="AE246" s="80" t="str">
        <f t="shared" si="87"/>
        <v>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 &amp; 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</v>
      </c>
      <c r="AF246" s="77" t="str">
        <f t="shared" si="88"/>
        <v>"C:\Program Files (x86)\AstroGrep\AstroGrep.exe" /e /r /s /spath="%USERPROFILE%\AppData\Local\Temp\OnboardLogs" /stypes="app*4054*20170506*" /stext=" 00:.+((SYSTEM_STATE.+slice.+state.+changed )|(ment ac)|(multiple cpu faults)|(system.+state.+changed )|(\[timeout)|(PRM\|1\|D)|(kpr)|(kdp)|(train st.+moving)|(\|lc)|(penalty))"</v>
      </c>
      <c r="AG246" s="1" t="str">
        <f t="shared" si="89"/>
        <v>Other</v>
      </c>
      <c r="AH246" s="81" t="str">
        <f t="shared" si="90"/>
        <v>"%USERPROFILE%\Documents\GitHub\eaglep3\Utilities\RefineRTDCRunTimes.py" --tripid 73-05 --locoid 4054 --swversion DE.1.0.9.0 --startMP 204:419 --initTime 2017-05-05T18:27:36 --startdatetime 2017-05-05T18:37:54 --delay 1 --endMP 300:23346 --enddatetime 2017-05-05T18:48:17 --enforcementcount 0 &gt;&gt;C:\Users\stu\Documents\GitHub\eaglep3-reporting\EC\2017-05-05-refined-times.txt</v>
      </c>
      <c r="AI246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{"issue":{"subject":"","project_id":79,"tracker_id":40,"status_id":1,"priority_id":2,"assigned_to_id":23,"start_date":"2017-05-05","description":"","custom_fields":[{"id":1,"name":"Subdivision","value":"Other"},{"id":4,"name":"Milepost","value":"2.3346"},{"id":17,"name":"Train ID","value":"73-05"},{"id":16,"name":"Locomotive ID","value":"4054"},{"id":130,"name":"Impact","value":""},{"id":150,"name":"Time of Event (Mountain Time)","value":"18:48:17"},{"id":151,"name":"Denver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92"/>
        <v>start /low /b %USERPROFILE%\Documents\GitHub\eaglep3\Utilities\DownloadLogsFromS3.py --loco 4054 --day 2017-05-05</v>
      </c>
      <c r="AN246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00:48:17"},{"id":29,"name":"Sharepoint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817</v>
      </c>
      <c r="B247" s="7">
        <v>4033</v>
      </c>
      <c r="C247" s="21" t="s">
        <v>210</v>
      </c>
      <c r="D247" s="21" t="s">
        <v>455</v>
      </c>
      <c r="E247" s="13">
        <v>42861.043645833335</v>
      </c>
      <c r="F247" s="13">
        <v>42861.046111111114</v>
      </c>
      <c r="G247" s="7">
        <v>1</v>
      </c>
      <c r="H247" s="21" t="s">
        <v>580</v>
      </c>
      <c r="I247" s="13">
        <v>42861.076655092591</v>
      </c>
      <c r="J247" s="7">
        <v>0</v>
      </c>
      <c r="K247" s="92" t="str">
        <f t="shared" si="78"/>
        <v>4033/4034</v>
      </c>
      <c r="L247" s="21" t="str">
        <f>VLOOKUP(A247,'Trips&amp;Operators'!$C$1:$G$99999,5,FALSE)</f>
        <v>FORTUNATO FRANK</v>
      </c>
      <c r="M247" s="6">
        <f t="shared" si="79"/>
        <v>3.0543981476512272E-2</v>
      </c>
      <c r="N247" s="7">
        <f t="shared" si="98"/>
        <v>43.983333326177672</v>
      </c>
      <c r="O247" s="7"/>
      <c r="P247" s="7"/>
      <c r="Q247" s="22"/>
      <c r="R247" s="190"/>
      <c r="S247" s="196">
        <f t="shared" si="96"/>
        <v>0</v>
      </c>
      <c r="T247" s="190" t="e">
        <f t="shared" si="80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81"/>
        <v>https://d0f6bd738d7f1b3e5a7ca70fe4ff75f0.us-east-1.aws.found.io/app/kibana#/discover/Steve-Slow-Train-Analysis-(2080s-and-2083s)?_g=(refreshInterval:(display:Off,pause:!f,section:0,value:0),time:(from:'2017-05-06T00:02:51-0600',mode:absolute,to:'2017-05-06T02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7" s="192" t="str">
        <f t="shared" si="82"/>
        <v>N</v>
      </c>
      <c r="X247" s="192" t="e">
        <f t="shared" si="95"/>
        <v>#VALUE!</v>
      </c>
      <c r="Y247" s="192">
        <f t="shared" si="83"/>
        <v>23.298100000000002</v>
      </c>
      <c r="Z247" s="192">
        <f t="shared" si="97"/>
        <v>9.9699999999999997E-2</v>
      </c>
      <c r="AA247" s="192">
        <f t="shared" si="85"/>
        <v>23.198400000000003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86"/>
        <v>76-05</v>
      </c>
      <c r="AE247" s="80" t="str">
        <f t="shared" si="87"/>
        <v>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 &amp; 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</v>
      </c>
      <c r="AF247" s="77" t="str">
        <f t="shared" si="88"/>
        <v>"C:\Program Files (x86)\AstroGrep\AstroGrep.exe" /e /r /s /spath="%USERPROFILE%\AppData\Local\Temp\OnboardLogs" /stypes="app*4033*20170506*" /stext=" 07:.+((SYSTEM_STATE.+slice.+state.+changed )|(ment ac)|(multiple cpu faults)|(system.+state.+changed )|(\[timeout)|(PRM\|1\|D)|(kpr)|(kdp)|(train st.+moving)|(\|lc)|(penalty))"</v>
      </c>
      <c r="AG247" s="1" t="str">
        <f t="shared" si="89"/>
        <v>Other</v>
      </c>
      <c r="AH247" s="81" t="str">
        <f t="shared" si="90"/>
        <v>"%USERPROFILE%\Documents\GitHub\eaglep3\Utilities\RefineRTDCRunTimes.py" --tripid 76-05 --locoid 4033 --swversion DE.1.0.9.0 --startMP 204:232981 --initTime 2017-05-06T01:02:51 --startdatetime 2017-05-06T01:06:24 --delay 1 --endMP 204:997 --enddatetime 2017-05-06T01:50:23 --enforcementcount 0 &gt;&gt;C:\Users\stu\Documents\GitHub\eaglep3-reporting\EC\2017-05-05-refined-times.txt</v>
      </c>
      <c r="AI247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{"issue":{"subject":"","project_id":79,"tracker_id":40,"status_id":1,"priority_id":2,"assigned_to_id":23,"start_date":"2017-05-06","description":"","custom_fields":[{"id":1,"name":"Subdivision","value":"Other"},{"id":4,"name":"Milepost","value":"0.0997"},{"id":17,"name":"Train ID","value":"76-05"},{"id":16,"name":"Locomotive ID","value":"4033"},{"id":130,"name":"Impact","value":""},{"id":150,"name":"Time of Event (Mountain Time)","value":"01:50:23"},{"id":151,"name":"Denver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92"/>
        <v>start /low /b %USERPROFILE%\Documents\GitHub\eaglep3\Utilities\DownloadLogsFromS3.py --loco 4033 --day 2017-05-06</v>
      </c>
      <c r="AN247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817</v>
      </c>
      <c r="B248" s="7">
        <v>4033</v>
      </c>
      <c r="C248" s="21" t="s">
        <v>210</v>
      </c>
      <c r="D248" s="21" t="s">
        <v>863</v>
      </c>
      <c r="E248" s="13">
        <v>42860.934444444443</v>
      </c>
      <c r="F248" s="13">
        <v>42860.939930555556</v>
      </c>
      <c r="G248" s="7">
        <v>0</v>
      </c>
      <c r="H248" s="21" t="s">
        <v>959</v>
      </c>
      <c r="I248" s="13">
        <v>42860.947326388887</v>
      </c>
      <c r="J248" s="7">
        <v>0</v>
      </c>
      <c r="K248" s="92" t="str">
        <f t="shared" si="78"/>
        <v>4033/4034</v>
      </c>
      <c r="L248" s="21" t="str">
        <f>VLOOKUP(A248,'Trips&amp;Operators'!$C$1:$G$99999,5,FALSE)</f>
        <v>FORTUNATO FRANK</v>
      </c>
      <c r="M248" s="6">
        <f t="shared" si="79"/>
        <v>7.3958333305199631E-3</v>
      </c>
      <c r="N248" s="7">
        <f t="shared" si="98"/>
        <v>10.649999995948747</v>
      </c>
      <c r="O248" s="7"/>
      <c r="P248" s="7"/>
      <c r="Q248" s="22"/>
      <c r="R248" s="190"/>
      <c r="S248" s="196">
        <f t="shared" si="96"/>
        <v>0</v>
      </c>
      <c r="T248" s="190" t="e">
        <f t="shared" si="80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81"/>
        <v>https://d0f6bd738d7f1b3e5a7ca70fe4ff75f0.us-east-1.aws.found.io/app/kibana#/discover/Steve-Slow-Train-Analysis-(2080s-and-2083s)?_g=(refreshInterval:(display:Off,pause:!f,section:0,value:0),time:(from:'2017-05-05T21:25:36-0600',mode:absolute,to:'2017-05-05T23:44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8" s="192" t="str">
        <f t="shared" si="82"/>
        <v>Y</v>
      </c>
      <c r="X248" s="192" t="e">
        <f t="shared" si="95"/>
        <v>#VALUE!</v>
      </c>
      <c r="Y248" s="192">
        <f t="shared" si="83"/>
        <v>23.299399999999999</v>
      </c>
      <c r="Z248" s="192">
        <f t="shared" si="97"/>
        <v>19.188099999999999</v>
      </c>
      <c r="AA248" s="192">
        <f t="shared" si="85"/>
        <v>4.1113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86"/>
        <v>76-05</v>
      </c>
      <c r="AE248" s="80" t="str">
        <f t="shared" si="87"/>
        <v>aws s3 cp s3://rtdc.mdm.uploadarchive.raw/RTDC4033/ "%USERPROFILE%\AppData\Local\Temp\OnboardLogs"\RTDC4033\2017-05-05 --exclude "*" --recursive --include "*20170505*" &amp; "%USERPROFILE%\Documents\GitHub\mrs-test-scripts\Headless Mode &amp; Sideloading\WalkAndUnGZ.bat" "%USERPROFILE%\AppData\Local\Temp\OnboardLogs"\RTDC4033\2017-05-05 &amp; 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</v>
      </c>
      <c r="AF248" s="77" t="str">
        <f t="shared" si="88"/>
        <v>"C:\Program Files (x86)\AstroGrep\AstroGrep.exe" /e /r /s /spath="%USERPROFILE%\AppData\Local\Temp\OnboardLogs" /stypes="app*4033*20170506*" /stext=" 04:.+((SYSTEM_STATE.+slice.+state.+changed )|(ment ac)|(multiple cpu faults)|(system.+state.+changed )|(\[timeout)|(PRM\|1\|D)|(kpr)|(kdp)|(train st.+moving)|(\|lc)|(penalty))"</v>
      </c>
      <c r="AG248" s="1" t="str">
        <f t="shared" si="89"/>
        <v>Other</v>
      </c>
      <c r="AH248" s="81" t="str">
        <f t="shared" si="90"/>
        <v>"%USERPROFILE%\Documents\GitHub\eaglep3\Utilities\RefineRTDCRunTimes.py" --tripid 76-05 --locoid 4033 --swversion DE.1.0.9.0 --startMP 204:232994 --initTime 2017-05-05T22:25:36 --startdatetime 2017-05-05T22:33:30 --delay 0 --endMP 204:191881 --enddatetime 2017-05-05T22:44:09 --enforcementcount 0 &gt;&gt;C:\Users\stu\Documents\GitHub\eaglep3-reporting\EC\2017-05-05-refined-times.txt</v>
      </c>
      <c r="AI248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{"issue":{"subject":"","project_id":79,"tracker_id":40,"status_id":1,"priority_id":2,"assigned_to_id":23,"start_date":"2017-05-05","description":"","custom_fields":[{"id":1,"name":"Subdivision","value":"Other"},{"id":4,"name":"Milepost","value":"19.1881"},{"id":17,"name":"Train ID","value":"76-05"},{"id":16,"name":"Locomotive ID","value":"4033"},{"id":130,"name":"Impact","value":""},{"id":150,"name":"Time of Event (Mountain Time)","value":"22:44:09"},{"id":151,"name":"Denver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92"/>
        <v>start /low /b %USERPROFILE%\Documents\GitHub\eaglep3\Utilities\DownloadLogsFromS3.py --loco 4033 --day 2017-05-05</v>
      </c>
      <c r="AN248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04:44:09"},{"id":29,"name":"Sharepoint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817</v>
      </c>
      <c r="B249" s="7">
        <v>4033</v>
      </c>
      <c r="C249" s="21" t="s">
        <v>210</v>
      </c>
      <c r="D249" s="21" t="s">
        <v>863</v>
      </c>
      <c r="E249" s="13">
        <v>42861.00377314815</v>
      </c>
      <c r="F249" s="13">
        <v>42861.046111111114</v>
      </c>
      <c r="G249" s="7">
        <v>1</v>
      </c>
      <c r="H249" s="21" t="s">
        <v>960</v>
      </c>
      <c r="I249" s="13">
        <v>42861.076655092591</v>
      </c>
      <c r="J249" s="7">
        <v>0</v>
      </c>
      <c r="K249" s="92" t="str">
        <f t="shared" si="78"/>
        <v>4033/4034</v>
      </c>
      <c r="L249" s="21" t="str">
        <f>VLOOKUP(A249,'Trips&amp;Operators'!$C$1:$G$99999,5,FALSE)</f>
        <v>FORTUNATO FRANK</v>
      </c>
      <c r="M249" s="6">
        <f t="shared" si="79"/>
        <v>3.0543981476512272E-2</v>
      </c>
      <c r="N249" s="7">
        <f t="shared" si="98"/>
        <v>43.983333326177672</v>
      </c>
      <c r="O249" s="7"/>
      <c r="P249" s="7"/>
      <c r="Q249" s="22"/>
      <c r="R249" s="190"/>
      <c r="S249" s="196">
        <f t="shared" si="96"/>
        <v>0</v>
      </c>
      <c r="T249" s="190" t="e">
        <f t="shared" si="80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81"/>
        <v>https://d0f6bd738d7f1b3e5a7ca70fe4ff75f0.us-east-1.aws.found.io/app/kibana#/discover/Steve-Slow-Train-Analysis-(2080s-and-2083s)?_g=(refreshInterval:(display:Off,pause:!f,section:0,value:0),time:(from:'2017-05-05T23:05:26-0600',mode:absolute,to:'2017-05-06T02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9" s="192" t="str">
        <f t="shared" si="82"/>
        <v>N</v>
      </c>
      <c r="X249" s="192" t="e">
        <f t="shared" ref="X249:X263" si="99">VALUE(LEFT(AD249,4))-VALUE(LEFT(AD248,4))</f>
        <v>#VALUE!</v>
      </c>
      <c r="Y249" s="192">
        <f t="shared" si="83"/>
        <v>23.299399999999999</v>
      </c>
      <c r="Z249" s="192">
        <f t="shared" si="97"/>
        <v>15.4009</v>
      </c>
      <c r="AA249" s="192">
        <f t="shared" si="85"/>
        <v>7.8984999999999985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86"/>
        <v>76-05</v>
      </c>
      <c r="AE249" s="80" t="str">
        <f t="shared" si="87"/>
        <v>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 &amp; 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</v>
      </c>
      <c r="AF249" s="77" t="str">
        <f t="shared" si="88"/>
        <v>"C:\Program Files (x86)\AstroGrep\AstroGrep.exe" /e /r /s /spath="%USERPROFILE%\AppData\Local\Temp\OnboardLogs" /stypes="app*4033*20170506*" /stext=" 07:.+((SYSTEM_STATE.+slice.+state.+changed )|(ment ac)|(multiple cpu faults)|(system.+state.+changed )|(\[timeout)|(PRM\|1\|D)|(kpr)|(kdp)|(train st.+moving)|(\|lc)|(penalty))"</v>
      </c>
      <c r="AG249" s="1" t="str">
        <f t="shared" si="89"/>
        <v>Other</v>
      </c>
      <c r="AH249" s="81" t="str">
        <f t="shared" si="90"/>
        <v>"%USERPROFILE%\Documents\GitHub\eaglep3\Utilities\RefineRTDCRunTimes.py" --tripid 76-05 --locoid 4033 --swversion DE.1.0.9.0 --startMP 204:232994 --initTime 2017-05-06T00:05:26 --startdatetime 2017-05-06T01:06:24 --delay 1 --endMP 204:154009 --enddatetime 2017-05-06T01:50:23 --enforcementcount 0 &gt;&gt;C:\Users\stu\Documents\GitHub\eaglep3-reporting\EC\2017-05-05-refined-times.txt</v>
      </c>
      <c r="AI249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{"issue":{"subject":"","project_id":79,"tracker_id":40,"status_id":1,"priority_id":2,"assigned_to_id":23,"start_date":"2017-05-06","description":"","custom_fields":[{"id":1,"name":"Subdivision","value":"Other"},{"id":4,"name":"Milepost","value":"15.4009"},{"id":17,"name":"Train ID","value":"76-05"},{"id":16,"name":"Locomotive ID","value":"4033"},{"id":130,"name":"Impact","value":""},{"id":150,"name":"Time of Event (Mountain Time)","value":"01:50:23"},{"id":151,"name":"Denver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92"/>
        <v>start /low /b %USERPROFILE%\Documents\GitHub\eaglep3\Utilities\DownloadLogsFromS3.py --loco 4033 --day 2017-05-06</v>
      </c>
      <c r="AN249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817</v>
      </c>
      <c r="B250" s="7">
        <v>4033</v>
      </c>
      <c r="C250" s="21" t="s">
        <v>210</v>
      </c>
      <c r="D250" s="21" t="s">
        <v>870</v>
      </c>
      <c r="E250" s="13">
        <v>42860.973252314812</v>
      </c>
      <c r="F250" s="13">
        <v>42861.006249999999</v>
      </c>
      <c r="G250" s="7">
        <v>1</v>
      </c>
      <c r="H250" s="21" t="s">
        <v>961</v>
      </c>
      <c r="I250" s="13">
        <v>42861.025983796295</v>
      </c>
      <c r="J250" s="7">
        <v>0</v>
      </c>
      <c r="K250" s="92" t="str">
        <f t="shared" si="78"/>
        <v>4033/4034</v>
      </c>
      <c r="L250" s="21" t="str">
        <f>VLOOKUP(A250,'Trips&amp;Operators'!$C$1:$G$99999,5,FALSE)</f>
        <v>FORTUNATO FRANK</v>
      </c>
      <c r="M250" s="6">
        <f t="shared" si="79"/>
        <v>1.9733796296350192E-2</v>
      </c>
      <c r="N250" s="7">
        <f t="shared" si="98"/>
        <v>28.416666666744277</v>
      </c>
      <c r="O250" s="7"/>
      <c r="P250" s="7"/>
      <c r="Q250" s="22"/>
      <c r="R250" s="190"/>
      <c r="S250" s="196">
        <f t="shared" si="96"/>
        <v>0</v>
      </c>
      <c r="T250" s="190" t="e">
        <f t="shared" si="80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81"/>
        <v>https://d0f6bd738d7f1b3e5a7ca70fe4ff75f0.us-east-1.aws.found.io/app/kibana#/discover/Steve-Slow-Train-Analysis-(2080s-and-2083s)?_g=(refreshInterval:(display:Off,pause:!f,section:0,value:0),time:(from:'2017-05-05T22:21:29-0600',mode:absolute,to:'2017-05-06T01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50" s="192" t="str">
        <f t="shared" si="82"/>
        <v>Y</v>
      </c>
      <c r="X250" s="192" t="e">
        <f t="shared" si="99"/>
        <v>#VALUE!</v>
      </c>
      <c r="Y250" s="192">
        <f t="shared" si="83"/>
        <v>23.299600000000002</v>
      </c>
      <c r="Z250" s="192">
        <f t="shared" si="97"/>
        <v>19.340800000000002</v>
      </c>
      <c r="AA250" s="192">
        <f t="shared" si="85"/>
        <v>3.9588000000000001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86"/>
        <v>76-05</v>
      </c>
      <c r="AE250" s="80" t="str">
        <f t="shared" si="87"/>
        <v>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 &amp; 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</v>
      </c>
      <c r="AF250" s="77" t="str">
        <f t="shared" si="88"/>
        <v>"C:\Program Files (x86)\AstroGrep\AstroGrep.exe" /e /r /s /spath="%USERPROFILE%\AppData\Local\Temp\OnboardLogs" /stypes="app*4033*20170506*" /stext=" 06:.+((SYSTEM_STATE.+slice.+state.+changed )|(ment ac)|(multiple cpu faults)|(system.+state.+changed )|(\[timeout)|(PRM\|1\|D)|(kpr)|(kdp)|(train st.+moving)|(\|lc)|(penalty))"</v>
      </c>
      <c r="AG250" s="1" t="str">
        <f t="shared" si="89"/>
        <v>Other</v>
      </c>
      <c r="AH250" s="81" t="str">
        <f t="shared" si="90"/>
        <v>"%USERPROFILE%\Documents\GitHub\eaglep3\Utilities\RefineRTDCRunTimes.py" --tripid 76-05 --locoid 4033 --swversion DE.1.0.9.0 --startMP 204:232996 --initTime 2017-05-05T23:21:29 --startdatetime 2017-05-06T00:09:00 --delay 1 --endMP 204:193408 --enddatetime 2017-05-06T00:37:25 --enforcementcount 0 &gt;&gt;C:\Users\stu\Documents\GitHub\eaglep3-reporting\EC\2017-05-05-refined-times.txt</v>
      </c>
      <c r="AI250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{"issue":{"subject":"","project_id":79,"tracker_id":40,"status_id":1,"priority_id":2,"assigned_to_id":23,"start_date":"2017-05-06","description":"","custom_fields":[{"id":1,"name":"Subdivision","value":"Other"},{"id":4,"name":"Milepost","value":"19.3408"},{"id":17,"name":"Train ID","value":"76-05"},{"id":16,"name":"Locomotive ID","value":"4033"},{"id":130,"name":"Impact","value":""},{"id":150,"name":"Time of Event (Mountain Time)","value":"00:37:25"},{"id":151,"name":"Denver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92"/>
        <v>start /low /b %USERPROFILE%\Documents\GitHub\eaglep3\Utilities\DownloadLogsFromS3.py --loco 4033 --day 2017-05-06</v>
      </c>
      <c r="AN250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627</v>
      </c>
      <c r="B251" s="7">
        <v>4034</v>
      </c>
      <c r="C251" s="21" t="s">
        <v>210</v>
      </c>
      <c r="D251" s="21" t="s">
        <v>962</v>
      </c>
      <c r="E251" s="13">
        <v>42860.851157407407</v>
      </c>
      <c r="F251" s="13">
        <v>42860.950636574074</v>
      </c>
      <c r="G251" s="7">
        <v>1</v>
      </c>
      <c r="H251" s="21" t="s">
        <v>499</v>
      </c>
      <c r="I251" s="13">
        <v>42860.952719907407</v>
      </c>
      <c r="J251" s="7">
        <v>0</v>
      </c>
      <c r="K251" s="92" t="str">
        <f t="shared" si="78"/>
        <v>4033/4034</v>
      </c>
      <c r="L251" s="21" t="str">
        <f>VLOOKUP(A251,'Trips&amp;Operators'!$C$1:$G$99999,5,FALSE)</f>
        <v>FORTUNATO FRANK</v>
      </c>
      <c r="M251" s="6">
        <f t="shared" si="79"/>
        <v>2.0833333328482695E-3</v>
      </c>
      <c r="N251" s="7">
        <f t="shared" si="98"/>
        <v>2.9999999993015081</v>
      </c>
      <c r="O251" s="7"/>
      <c r="P251" s="7"/>
      <c r="Q251" s="22"/>
      <c r="R251" s="190"/>
      <c r="S251" s="196">
        <f t="shared" si="96"/>
        <v>0</v>
      </c>
      <c r="T251" s="190" t="e">
        <f t="shared" si="80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81"/>
        <v>https://d0f6bd738d7f1b3e5a7ca70fe4ff75f0.us-east-1.aws.found.io/app/kibana#/discover/Steve-Slow-Train-Analysis-(2080s-and-2083s)?_g=(refreshInterval:(display:Off,pause:!f,section:0,value:0),time:(from:'2017-05-05T19:25:40-0600',mode:absolute,to:'2017-05-05T23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1" s="192" t="str">
        <f t="shared" si="82"/>
        <v>N</v>
      </c>
      <c r="X251" s="192" t="e">
        <f t="shared" si="99"/>
        <v>#VALUE!</v>
      </c>
      <c r="Y251" s="192">
        <f t="shared" si="83"/>
        <v>0.12139999999999999</v>
      </c>
      <c r="Z251" s="192">
        <f t="shared" si="97"/>
        <v>23.3306</v>
      </c>
      <c r="AA251" s="192">
        <f t="shared" si="85"/>
        <v>23.209199999999999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86"/>
        <v>77-05</v>
      </c>
      <c r="AE251" s="80" t="str">
        <f t="shared" si="87"/>
        <v>aws s3 cp s3://rtdc.mdm.uploadarchive.raw/RTDC4034/ "%USERPROFILE%\AppData\Local\Temp\OnboardLogs"\RTDC4034\2017-05-05 --exclude "*" --recursive --include "*20170505*" &amp; "%USERPROFILE%\Documents\GitHub\mrs-test-scripts\Headless Mode &amp; Sideloading\WalkAndUnGZ.bat" "%USERPROFILE%\AppData\Local\Temp\OnboardLogs"\RTDC4034\2017-05-05 &amp; 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</v>
      </c>
      <c r="AF251" s="77" t="str">
        <f t="shared" si="88"/>
        <v>"C:\Program Files (x86)\AstroGrep\AstroGrep.exe" /e /r /s /spath="%USERPROFILE%\AppData\Local\Temp\OnboardLogs" /stypes="app*4034*20170506*" /stext=" 04:.+((SYSTEM_STATE.+slice.+state.+changed )|(ment ac)|(multiple cpu faults)|(system.+state.+changed )|(\[timeout)|(PRM\|1\|D)|(kpr)|(kdp)|(train st.+moving)|(\|lc)|(penalty))"</v>
      </c>
      <c r="AG251" s="1" t="str">
        <f t="shared" si="89"/>
        <v>Other</v>
      </c>
      <c r="AH251" s="81" t="str">
        <f t="shared" si="90"/>
        <v>"%USERPROFILE%\Documents\GitHub\eaglep3\Utilities\RefineRTDCRunTimes.py" --tripid 77-05 --locoid 4034 --swversion DE.1.0.9.0 --startMP 204:1214 --initTime 2017-05-05T20:25:40 --startdatetime 2017-05-05T22:48:55 --delay 1 --endMP 204:233306 --enddatetime 2017-05-05T22:51:55 --enforcementcount 0 &gt;&gt;C:\Users\stu\Documents\GitHub\eaglep3-reporting\EC\2017-05-05-refined-times.txt</v>
      </c>
      <c r="AI251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{"issue":{"subject":"","project_id":79,"tracker_id":40,"status_id":1,"priority_id":2,"assigned_to_id":23,"start_date":"2017-05-05","description":"","custom_fields":[{"id":1,"name":"Subdivision","value":"Other"},{"id":4,"name":"Milepost","value":"23.3306"},{"id":17,"name":"Train ID","value":"77-05"},{"id":16,"name":"Locomotive ID","value":"4034"},{"id":130,"name":"Impact","value":""},{"id":150,"name":"Time of Event (Mountain Time)","value":"22:51:55"},{"id":151,"name":"Denver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92"/>
        <v>start /low /b %USERPROFILE%\Documents\GitHub\eaglep3\Utilities\DownloadLogsFromS3.py --loco 4034 --day 2017-05-05</v>
      </c>
      <c r="AN251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627</v>
      </c>
      <c r="B252" s="7">
        <v>4034</v>
      </c>
      <c r="C252" s="21" t="s">
        <v>210</v>
      </c>
      <c r="D252" s="21" t="s">
        <v>963</v>
      </c>
      <c r="E252" s="13">
        <v>42860.85769675926</v>
      </c>
      <c r="F252" s="13">
        <v>42860.950636574074</v>
      </c>
      <c r="G252" s="7">
        <v>1</v>
      </c>
      <c r="H252" s="21" t="s">
        <v>499</v>
      </c>
      <c r="I252" s="13">
        <v>42860.952719907407</v>
      </c>
      <c r="J252" s="7">
        <v>0</v>
      </c>
      <c r="K252" s="92" t="str">
        <f t="shared" si="78"/>
        <v>4033/4034</v>
      </c>
      <c r="L252" s="21" t="str">
        <f>VLOOKUP(A252,'Trips&amp;Operators'!$C$1:$G$99999,5,FALSE)</f>
        <v>FORTUNATO FRANK</v>
      </c>
      <c r="M252" s="6">
        <f t="shared" si="79"/>
        <v>2.0833333328482695E-3</v>
      </c>
      <c r="N252" s="7">
        <f t="shared" si="98"/>
        <v>2.9999999993015081</v>
      </c>
      <c r="O252" s="7"/>
      <c r="P252" s="7"/>
      <c r="Q252" s="22"/>
      <c r="R252" s="190"/>
      <c r="S252" s="196">
        <f t="shared" si="96"/>
        <v>0</v>
      </c>
      <c r="T252" s="190" t="e">
        <f t="shared" si="80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81"/>
        <v>https://d0f6bd738d7f1b3e5a7ca70fe4ff75f0.us-east-1.aws.found.io/app/kibana#/discover/Steve-Slow-Train-Analysis-(2080s-and-2083s)?_g=(refreshInterval:(display:Off,pause:!f,section:0,value:0),time:(from:'2017-05-05T19:35:05-0600',mode:absolute,to:'2017-05-05T23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2" s="192" t="str">
        <f t="shared" si="82"/>
        <v>N</v>
      </c>
      <c r="X252" s="192" t="e">
        <f t="shared" si="99"/>
        <v>#VALUE!</v>
      </c>
      <c r="Y252" s="192">
        <f t="shared" si="83"/>
        <v>0.1222</v>
      </c>
      <c r="Z252" s="192">
        <f t="shared" si="97"/>
        <v>23.3306</v>
      </c>
      <c r="AA252" s="192">
        <f t="shared" si="85"/>
        <v>23.208400000000001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86"/>
        <v>77-05</v>
      </c>
      <c r="AE252" s="80" t="str">
        <f t="shared" si="87"/>
        <v>aws s3 cp s3://rtdc.mdm.uploadarchive.raw/RTDC4034/ "%USERPROFILE%\AppData\Local\Temp\OnboardLogs"\RTDC4034\2017-05-05 --exclude "*" --recursive --include "*20170505*" &amp; "%USERPROFILE%\Documents\GitHub\mrs-test-scripts\Headless Mode &amp; Sideloading\WalkAndUnGZ.bat" "%USERPROFILE%\AppData\Local\Temp\OnboardLogs"\RTDC4034\2017-05-05 &amp; 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</v>
      </c>
      <c r="AF252" s="77" t="str">
        <f t="shared" si="88"/>
        <v>"C:\Program Files (x86)\AstroGrep\AstroGrep.exe" /e /r /s /spath="%USERPROFILE%\AppData\Local\Temp\OnboardLogs" /stypes="app*4034*20170506*" /stext=" 04:.+((SYSTEM_STATE.+slice.+state.+changed )|(ment ac)|(multiple cpu faults)|(system.+state.+changed )|(\[timeout)|(PRM\|1\|D)|(kpr)|(kdp)|(train st.+moving)|(\|lc)|(penalty))"</v>
      </c>
      <c r="AG252" s="1" t="str">
        <f t="shared" si="89"/>
        <v>Other</v>
      </c>
      <c r="AH252" s="81" t="str">
        <f t="shared" si="90"/>
        <v>"%USERPROFILE%\Documents\GitHub\eaglep3\Utilities\RefineRTDCRunTimes.py" --tripid 77-05 --locoid 4034 --swversion DE.1.0.9.0 --startMP 204:1222 --initTime 2017-05-05T20:35:05 --startdatetime 2017-05-05T22:48:55 --delay 1 --endMP 204:233306 --enddatetime 2017-05-05T22:51:55 --enforcementcount 0 &gt;&gt;C:\Users\stu\Documents\GitHub\eaglep3-reporting\EC\2017-05-05-refined-times.txt</v>
      </c>
      <c r="AI25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{"issue":{"subject":"","project_id":79,"tracker_id":40,"status_id":1,"priority_id":2,"assigned_to_id":23,"start_date":"2017-05-05","description":"","custom_fields":[{"id":1,"name":"Subdivision","value":"Other"},{"id":4,"name":"Milepost","value":"23.3306"},{"id":17,"name":"Train ID","value":"77-05"},{"id":16,"name":"Locomotive ID","value":"4034"},{"id":130,"name":"Impact","value":""},{"id":150,"name":"Time of Event (Mountain Time)","value":"22:51:55"},{"id":151,"name":"Denver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92"/>
        <v>start /low /b %USERPROFILE%\Documents\GitHub\eaglep3\Utilities\DownloadLogsFromS3.py --loco 4034 --day 2017-05-05</v>
      </c>
      <c r="AN252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627</v>
      </c>
      <c r="B253" s="7">
        <v>4034</v>
      </c>
      <c r="C253" s="21" t="s">
        <v>210</v>
      </c>
      <c r="D253" s="21" t="s">
        <v>964</v>
      </c>
      <c r="E253" s="13">
        <v>42861.0784375</v>
      </c>
      <c r="F253" s="13">
        <v>42861.082939814813</v>
      </c>
      <c r="G253" s="7">
        <v>1</v>
      </c>
      <c r="H253" s="21" t="s">
        <v>409</v>
      </c>
      <c r="I253" s="13">
        <v>42861.093912037039</v>
      </c>
      <c r="J253" s="7">
        <v>0</v>
      </c>
      <c r="K253" s="92" t="str">
        <f t="shared" si="78"/>
        <v>4033/4034</v>
      </c>
      <c r="L253" s="21" t="str">
        <f>VLOOKUP(A253,'Trips&amp;Operators'!$C$1:$G$99999,5,FALSE)</f>
        <v>FORTUNATO FRANK</v>
      </c>
      <c r="M253" s="6">
        <f t="shared" si="79"/>
        <v>1.0972222225973383E-2</v>
      </c>
      <c r="N253" s="7">
        <f t="shared" si="98"/>
        <v>15.800000005401671</v>
      </c>
      <c r="O253" s="7"/>
      <c r="P253" s="7"/>
      <c r="Q253" s="22"/>
      <c r="R253" s="190"/>
      <c r="S253" s="196">
        <f t="shared" si="96"/>
        <v>0</v>
      </c>
      <c r="T253" s="190" t="e">
        <f t="shared" si="80"/>
        <v>#VALUE!</v>
      </c>
      <c r="U253" s="190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1" t="str">
        <f t="shared" si="81"/>
        <v>https://d0f6bd738d7f1b3e5a7ca70fe4ff75f0.us-east-1.aws.found.io/app/kibana#/discover/Steve-Slow-Train-Analysis-(2080s-and-2083s)?_g=(refreshInterval:(display:Off,pause:!f,section:0,value:0),time:(from:'2017-05-06T00:52:57-0600',mode:absolute,to:'2017-05-06T03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3" s="192" t="str">
        <f t="shared" si="82"/>
        <v>Y</v>
      </c>
      <c r="X253" s="192" t="e">
        <f t="shared" si="99"/>
        <v>#VALUE!</v>
      </c>
      <c r="Y253" s="192">
        <f t="shared" si="83"/>
        <v>0.1305</v>
      </c>
      <c r="Z253" s="192">
        <f t="shared" si="97"/>
        <v>2.3346</v>
      </c>
      <c r="AA253" s="192">
        <f t="shared" si="85"/>
        <v>2.2040999999999999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86"/>
        <v>77-05</v>
      </c>
      <c r="AE253" s="80" t="str">
        <f t="shared" si="87"/>
        <v>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 &amp; 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</v>
      </c>
      <c r="AF253" s="77" t="str">
        <f t="shared" si="88"/>
        <v>"C:\Program Files (x86)\AstroGrep\AstroGrep.exe" /e /r /s /spath="%USERPROFILE%\AppData\Local\Temp\OnboardLogs" /stypes="app*4034*20170506*" /stext=" 08:.+((SYSTEM_STATE.+slice.+state.+changed )|(ment ac)|(multiple cpu faults)|(system.+state.+changed )|(\[timeout)|(PRM\|1\|D)|(kpr)|(kdp)|(train st.+moving)|(\|lc)|(penalty))"</v>
      </c>
      <c r="AG253" s="1" t="str">
        <f t="shared" si="89"/>
        <v>Other</v>
      </c>
      <c r="AH253" s="81" t="str">
        <f t="shared" si="90"/>
        <v>"%USERPROFILE%\Documents\GitHub\eaglep3\Utilities\RefineRTDCRunTimes.py" --tripid 77-05 --locoid 4034 --swversion DE.1.0.9.0 --startMP 204:1305 --initTime 2017-05-06T01:52:57 --startdatetime 2017-05-06T01:59:26 --delay 1 --endMP 300:23346 --enddatetime 2017-05-06T02:15:14 --enforcementcount 0 &gt;&gt;C:\Users\stu\Documents\GitHub\eaglep3-reporting\EC\2017-05-05-refined-times.txt</v>
      </c>
      <c r="AI253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ID","value":"77-05"},{"id":16,"name":"Locomotive ID","value":"4034"},{"id":130,"name":"Impact","value":""},{"id":150,"name":"Time of Event (Mountain Time)","value":"02:15:14"},{"id":151,"name":"Denver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92"/>
        <v>start /low /b %USERPROFILE%\Documents\GitHub\eaglep3\Utilities\DownloadLogsFromS3.py --loco 4034 --day 2017-05-06</v>
      </c>
      <c r="AN253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08:15:14"},{"id":29,"name":"Sharepoint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627</v>
      </c>
      <c r="B254" s="7">
        <v>4034</v>
      </c>
      <c r="C254" s="21" t="s">
        <v>210</v>
      </c>
      <c r="D254" s="21" t="s">
        <v>965</v>
      </c>
      <c r="E254" s="13">
        <v>42861.026782407411</v>
      </c>
      <c r="F254" s="13">
        <v>42861.028703703705</v>
      </c>
      <c r="G254" s="7">
        <v>1</v>
      </c>
      <c r="H254" s="21" t="s">
        <v>501</v>
      </c>
      <c r="I254" s="13">
        <v>42861.042581018519</v>
      </c>
      <c r="J254" s="7">
        <v>0</v>
      </c>
      <c r="K254" s="92" t="str">
        <f t="shared" si="78"/>
        <v>4033/4034</v>
      </c>
      <c r="L254" s="21" t="str">
        <f>VLOOKUP(A254,'Trips&amp;Operators'!$C$1:$G$99999,5,FALSE)</f>
        <v>FORTUNATO FRANK</v>
      </c>
      <c r="M254" s="6">
        <f t="shared" si="79"/>
        <v>1.3877314813726116E-2</v>
      </c>
      <c r="N254" s="7">
        <f t="shared" si="98"/>
        <v>19.983333331765607</v>
      </c>
      <c r="O254" s="7"/>
      <c r="P254" s="7"/>
      <c r="Q254" s="22"/>
      <c r="R254" s="190"/>
      <c r="S254" s="196">
        <f t="shared" si="96"/>
        <v>0</v>
      </c>
      <c r="T254" s="190" t="e">
        <f t="shared" si="80"/>
        <v>#VALUE!</v>
      </c>
      <c r="U254" s="190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1" t="str">
        <f t="shared" si="81"/>
        <v>https://d0f6bd738d7f1b3e5a7ca70fe4ff75f0.us-east-1.aws.found.io/app/kibana#/discover/Steve-Slow-Train-Analysis-(2080s-and-2083s)?_g=(refreshInterval:(display:Off,pause:!f,section:0,value:0),time:(from:'2017-05-05T23:38:34-0600',mode:absolute,to:'2017-05-06T02:01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4" s="192" t="str">
        <f t="shared" si="82"/>
        <v>N</v>
      </c>
      <c r="X254" s="192" t="e">
        <f t="shared" si="99"/>
        <v>#VALUE!</v>
      </c>
      <c r="Y254" s="192">
        <f t="shared" si="83"/>
        <v>15.4269</v>
      </c>
      <c r="Z254" s="192">
        <f t="shared" si="97"/>
        <v>23.329699999999999</v>
      </c>
      <c r="AA254" s="192">
        <f t="shared" si="85"/>
        <v>7.9027999999999992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86"/>
        <v>77-05</v>
      </c>
      <c r="AE254" s="80" t="str">
        <f t="shared" si="87"/>
        <v>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 &amp; 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</v>
      </c>
      <c r="AF254" s="77" t="str">
        <f t="shared" si="88"/>
        <v>"C:\Program Files (x86)\AstroGrep\AstroGrep.exe" /e /r /s /spath="%USERPROFILE%\AppData\Local\Temp\OnboardLogs" /stypes="app*4034*20170506*" /stext=" 07:.+((SYSTEM_STATE.+slice.+state.+changed )|(ment ac)|(multiple cpu faults)|(system.+state.+changed )|(\[timeout)|(PRM\|1\|D)|(kpr)|(kdp)|(train st.+moving)|(\|lc)|(penalty))"</v>
      </c>
      <c r="AG254" s="1" t="str">
        <f t="shared" si="89"/>
        <v>Other</v>
      </c>
      <c r="AH254" s="81" t="str">
        <f t="shared" si="90"/>
        <v>"%USERPROFILE%\Documents\GitHub\eaglep3\Utilities\RefineRTDCRunTimes.py" --tripid 77-05 --locoid 4034 --swversion DE.1.0.9.0 --startMP 204:154269 --initTime 2017-05-06T00:38:34 --startdatetime 2017-05-06T00:41:20 --delay 1 --endMP 204:233297 --enddatetime 2017-05-06T01:01:19 --enforcementcount 0 &gt;&gt;C:\Users\stu\Documents\GitHub\eaglep3-reporting\EC\2017-05-05-refined-times.txt</v>
      </c>
      <c r="AI254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{"issue":{"subject":"","project_id":79,"tracker_id":40,"status_id":1,"priority_id":2,"assigned_to_id":23,"start_date":"2017-05-06","description":"","custom_fields":[{"id":1,"name":"Subdivision","value":"Other"},{"id":4,"name":"Milepost","value":"23.3297"},{"id":17,"name":"Train ID","value":"77-05"},{"id":16,"name":"Locomotive ID","value":"4034"},{"id":130,"name":"Impact","value":""},{"id":150,"name":"Time of Event (Mountain Time)","value":"01:01:19"},{"id":151,"name":"Denver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92"/>
        <v>start /low /b %USERPROFILE%\Documents\GitHub\eaglep3\Utilities\DownloadLogsFromS3.py --loco 4034 --day 2017-05-06</v>
      </c>
      <c r="AN254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07:01:19"},{"id":29,"name":"Sharepoint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627</v>
      </c>
      <c r="B255" s="7">
        <v>4034</v>
      </c>
      <c r="C255" s="21" t="s">
        <v>210</v>
      </c>
      <c r="D255" s="21" t="s">
        <v>966</v>
      </c>
      <c r="E255" s="13">
        <v>42860.948460648149</v>
      </c>
      <c r="F255" s="13">
        <v>42860.950636574074</v>
      </c>
      <c r="G255" s="7">
        <v>0</v>
      </c>
      <c r="H255" s="21" t="s">
        <v>967</v>
      </c>
      <c r="I255" s="13">
        <v>42860.952719907407</v>
      </c>
      <c r="J255" s="7">
        <v>0</v>
      </c>
      <c r="K255" s="92" t="str">
        <f t="shared" si="78"/>
        <v>4033/4034</v>
      </c>
      <c r="L255" s="21" t="str">
        <f>VLOOKUP(A255,'Trips&amp;Operators'!$C$1:$G$99999,5,FALSE)</f>
        <v>FORTUNATO FRANK</v>
      </c>
      <c r="M255" s="6">
        <f t="shared" si="79"/>
        <v>2.0833333328482695E-3</v>
      </c>
      <c r="N255" s="7">
        <f t="shared" si="98"/>
        <v>2.9999999993015081</v>
      </c>
      <c r="O255" s="7"/>
      <c r="P255" s="7"/>
      <c r="Q255" s="22"/>
      <c r="R255" s="190"/>
      <c r="S255" s="196">
        <f t="shared" si="96"/>
        <v>0</v>
      </c>
      <c r="T255" s="190" t="e">
        <f t="shared" si="80"/>
        <v>#VALUE!</v>
      </c>
      <c r="U255" s="190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1" t="str">
        <f t="shared" si="81"/>
        <v>https://d0f6bd738d7f1b3e5a7ca70fe4ff75f0.us-east-1.aws.found.io/app/kibana#/discover/Steve-Slow-Train-Analysis-(2080s-and-2083s)?_g=(refreshInterval:(display:Off,pause:!f,section:0,value:0),time:(from:'2017-05-05T21:45:47-0600',mode:absolute,to:'2017-05-05T23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5" s="192" t="str">
        <f t="shared" si="82"/>
        <v>Y</v>
      </c>
      <c r="X255" s="192" t="e">
        <f t="shared" si="99"/>
        <v>#VALUE!</v>
      </c>
      <c r="Y255" s="192">
        <f t="shared" si="83"/>
        <v>19.220600000000001</v>
      </c>
      <c r="Z255" s="192">
        <f t="shared" si="97"/>
        <v>19.7806</v>
      </c>
      <c r="AA255" s="192">
        <f t="shared" si="85"/>
        <v>0.55999999999999872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86"/>
        <v>77-05</v>
      </c>
      <c r="AE255" s="80" t="str">
        <f t="shared" si="87"/>
        <v>aws s3 cp s3://rtdc.mdm.uploadarchive.raw/RTDC4034/ "%USERPROFILE%\AppData\Local\Temp\OnboardLogs"\RTDC4034\2017-05-05 --exclude "*" --recursive --include "*20170505*" &amp; "%USERPROFILE%\Documents\GitHub\mrs-test-scripts\Headless Mode &amp; Sideloading\WalkAndUnGZ.bat" "%USERPROFILE%\AppData\Local\Temp\OnboardLogs"\RTDC4034\2017-05-05 &amp; 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</v>
      </c>
      <c r="AF255" s="77" t="str">
        <f t="shared" si="88"/>
        <v>"C:\Program Files (x86)\AstroGrep\AstroGrep.exe" /e /r /s /spath="%USERPROFILE%\AppData\Local\Temp\OnboardLogs" /stypes="app*4034*20170506*" /stext=" 04:.+((SYSTEM_STATE.+slice.+state.+changed )|(ment ac)|(multiple cpu faults)|(system.+state.+changed )|(\[timeout)|(PRM\|1\|D)|(kpr)|(kdp)|(train st.+moving)|(\|lc)|(penalty))"</v>
      </c>
      <c r="AG255" s="1" t="str">
        <f t="shared" si="89"/>
        <v>Other</v>
      </c>
      <c r="AH255" s="81" t="str">
        <f t="shared" si="90"/>
        <v>"%USERPROFILE%\Documents\GitHub\eaglep3\Utilities\RefineRTDCRunTimes.py" --tripid 77-05 --locoid 4034 --swversion DE.1.0.9.0 --startMP 204:192206 --initTime 2017-05-05T22:45:47 --startdatetime 2017-05-05T22:48:55 --delay 0 --endMP 204:197806 --enddatetime 2017-05-05T22:51:55 --enforcementcount 0 &gt;&gt;C:\Users\stu\Documents\GitHub\eaglep3-reporting\EC\2017-05-05-refined-times.txt</v>
      </c>
      <c r="AI255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{"issue":{"subject":"","project_id":79,"tracker_id":40,"status_id":1,"priority_id":2,"assigned_to_id":23,"start_date":"2017-05-05","description":"","custom_fields":[{"id":1,"name":"Subdivision","value":"Other"},{"id":4,"name":"Milepost","value":"19.7806"},{"id":17,"name":"Train ID","value":"77-05"},{"id":16,"name":"Locomotive ID","value":"4034"},{"id":130,"name":"Impact","value":""},{"id":150,"name":"Time of Event (Mountain Time)","value":"22:51:55"},{"id":151,"name":"Denver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92"/>
        <v>start /low /b %USERPROFILE%\Documents\GitHub\eaglep3\Utilities\DownloadLogsFromS3.py --loco 4034 --day 2017-05-05</v>
      </c>
      <c r="AN255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627</v>
      </c>
      <c r="B256" s="7">
        <v>4034</v>
      </c>
      <c r="C256" s="21" t="s">
        <v>210</v>
      </c>
      <c r="D256" s="21" t="s">
        <v>968</v>
      </c>
      <c r="E256" s="13">
        <v>42860.988703703704</v>
      </c>
      <c r="F256" s="13">
        <v>42860.990046296298</v>
      </c>
      <c r="G256" s="7">
        <v>1</v>
      </c>
      <c r="H256" s="21" t="s">
        <v>412</v>
      </c>
      <c r="I256" s="13">
        <v>42861.002789351849</v>
      </c>
      <c r="J256" s="7">
        <v>0</v>
      </c>
      <c r="K256" s="92" t="str">
        <f t="shared" si="78"/>
        <v>4033/4034</v>
      </c>
      <c r="L256" s="21" t="str">
        <f>VLOOKUP(A256,'Trips&amp;Operators'!$C$1:$G$99999,5,FALSE)</f>
        <v>FORTUNATO FRANK</v>
      </c>
      <c r="M256" s="6">
        <f t="shared" si="79"/>
        <v>1.2743055551254656E-2</v>
      </c>
      <c r="N256" s="7">
        <f t="shared" si="98"/>
        <v>18.349999993806705</v>
      </c>
      <c r="O256" s="7"/>
      <c r="P256" s="7"/>
      <c r="Q256" s="22"/>
      <c r="R256" s="190"/>
      <c r="S256" s="196">
        <f t="shared" si="96"/>
        <v>0</v>
      </c>
      <c r="T256" s="190" t="e">
        <f t="shared" si="80"/>
        <v>#VALUE!</v>
      </c>
      <c r="U256" s="190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1" t="str">
        <f t="shared" si="81"/>
        <v>https://d0f6bd738d7f1b3e5a7ca70fe4ff75f0.us-east-1.aws.found.io/app/kibana#/discover/Steve-Slow-Train-Analysis-(2080s-and-2083s)?_g=(refreshInterval:(display:Off,pause:!f,section:0,value:0),time:(from:'2017-05-05T22:43:44-0600',mode:absolute,to:'2017-05-06T01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6" s="192" t="str">
        <f t="shared" si="82"/>
        <v>Y</v>
      </c>
      <c r="X256" s="192" t="e">
        <f t="shared" si="99"/>
        <v>#VALUE!</v>
      </c>
      <c r="Y256" s="192">
        <f t="shared" si="83"/>
        <v>19.374500000000001</v>
      </c>
      <c r="Z256" s="192">
        <f t="shared" si="97"/>
        <v>23.331399999999999</v>
      </c>
      <c r="AA256" s="192">
        <f t="shared" si="85"/>
        <v>3.9568999999999974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86"/>
        <v>77-05</v>
      </c>
      <c r="AE256" s="80" t="str">
        <f t="shared" si="87"/>
        <v>aws s3 cp s3://rtdc.mdm.uploadarchive.raw/RTDC4034/ "%USERPROFILE%\AppData\Local\Temp\OnboardLogs"\RTDC4034\2017-05-05 --exclude "*" --recursive --include "*20170505*" &amp; "%USERPROFILE%\Documents\GitHub\mrs-test-scripts\Headless Mode &amp; Sideloading\WalkAndUnGZ.bat" "%USERPROFILE%\AppData\Local\Temp\OnboardLogs"\RTDC4034\2017-05-05 &amp; 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</v>
      </c>
      <c r="AF256" s="77" t="str">
        <f t="shared" si="88"/>
        <v>"C:\Program Files (x86)\AstroGrep\AstroGrep.exe" /e /r /s /spath="%USERPROFILE%\AppData\Local\Temp\OnboardLogs" /stypes="app*4034*20170506*" /stext=" 06:.+((SYSTEM_STATE.+slice.+state.+changed )|(ment ac)|(multiple cpu faults)|(system.+state.+changed )|(\[timeout)|(PRM\|1\|D)|(kpr)|(kdp)|(train st.+moving)|(\|lc)|(penalty))"</v>
      </c>
      <c r="AG256" s="1" t="str">
        <f t="shared" si="89"/>
        <v>Other</v>
      </c>
      <c r="AH256" s="81" t="str">
        <f t="shared" si="90"/>
        <v>"%USERPROFILE%\Documents\GitHub\eaglep3\Utilities\RefineRTDCRunTimes.py" --tripid 77-05 --locoid 4034 --swversion DE.1.0.9.0 --startMP 204:193745 --initTime 2017-05-05T23:43:44 --startdatetime 2017-05-05T23:45:40 --delay 1 --endMP 204:233314 --enddatetime 2017-05-06T00:04:01 --enforcementcount 0 &gt;&gt;C:\Users\stu\Documents\GitHub\eaglep3-reporting\EC\2017-05-05-refined-times.txt</v>
      </c>
      <c r="AI256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{"issue":{"subject":"","project_id":79,"tracker_id":40,"status_id":1,"priority_id":2,"assigned_to_id":23,"start_date":"2017-05-06","description":"","custom_fields":[{"id":1,"name":"Subdivision","value":"Other"},{"id":4,"name":"Milepost","value":"23.3314"},{"id":17,"name":"Train ID","value":"77-05"},{"id":16,"name":"Locomotive ID","value":"4034"},{"id":130,"name":"Impact","value":""},{"id":150,"name":"Time of Event (Mountain Time)","value":"00:04:01"},{"id":151,"name":"Denver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92"/>
        <v>start /low /b %USERPROFILE%\Documents\GitHub\eaglep3\Utilities\DownloadLogsFromS3.py --loco 4034 --day 2017-05-05</v>
      </c>
      <c r="AN256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818</v>
      </c>
      <c r="B257" s="7">
        <v>4061</v>
      </c>
      <c r="C257" s="21" t="s">
        <v>210</v>
      </c>
      <c r="D257" s="21" t="s">
        <v>969</v>
      </c>
      <c r="E257" s="13">
        <v>42861.025069444448</v>
      </c>
      <c r="F257" s="13">
        <v>42861.028252314813</v>
      </c>
      <c r="G257" s="7">
        <v>1</v>
      </c>
      <c r="H257" s="21" t="s">
        <v>970</v>
      </c>
      <c r="I257" s="13">
        <v>42861.071620370371</v>
      </c>
      <c r="J257" s="7">
        <v>0</v>
      </c>
      <c r="K257" s="92" t="str">
        <f t="shared" si="78"/>
        <v>4061/4062</v>
      </c>
      <c r="L257" s="21" t="str">
        <f>VLOOKUP(A257,'Trips&amp;Operators'!$C$1:$G$99999,5,FALSE)</f>
        <v>SULLIVAN BRANDON</v>
      </c>
      <c r="M257" s="6">
        <f t="shared" si="79"/>
        <v>4.3368055557948537E-2</v>
      </c>
      <c r="N257" s="7">
        <f t="shared" si="98"/>
        <v>62.450000003445894</v>
      </c>
      <c r="O257" s="7"/>
      <c r="P257" s="7"/>
      <c r="Q257" s="22"/>
      <c r="R257" s="190"/>
      <c r="S257" s="196">
        <f t="shared" si="96"/>
        <v>0</v>
      </c>
      <c r="T257" s="190" t="e">
        <f t="shared" si="80"/>
        <v>#VALUE!</v>
      </c>
      <c r="U257" s="190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1" t="str">
        <f t="shared" si="81"/>
        <v>https://d0f6bd738d7f1b3e5a7ca70fe4ff75f0.us-east-1.aws.found.io/app/kibana#/discover/Steve-Slow-Train-Analysis-(2080s-and-2083s)?_g=(refreshInterval:(display:Off,pause:!f,section:0,value:0),time:(from:'2017-05-05T23:36:06-0600',mode:absolute,to:'2017-05-06T02:43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7" s="192" t="str">
        <f t="shared" si="82"/>
        <v>N</v>
      </c>
      <c r="X257" s="192" t="e">
        <f t="shared" si="99"/>
        <v>#VALUE!</v>
      </c>
      <c r="Y257" s="192">
        <f t="shared" si="83"/>
        <v>23.264099999999999</v>
      </c>
      <c r="Z257" s="192">
        <f t="shared" si="97"/>
        <v>7.1900000000000006E-2</v>
      </c>
      <c r="AA257" s="192">
        <f t="shared" si="85"/>
        <v>23.1922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86"/>
        <v>78-05</v>
      </c>
      <c r="AE257" s="80" t="str">
        <f t="shared" si="87"/>
        <v>aws s3 cp s3://rtdc.mdm.uploadarchive.raw/RTDC4061/ "%USERPROFILE%\AppData\Local\Temp\OnboardLogs"\RTDC4061\2017-05-06 --exclude "*" --recursive --include "*20170506*" &amp; "%USERPROFILE%\Documents\GitHub\mrs-test-scripts\Headless Mode &amp; Sideloading\WalkAndUnGZ.bat" "%USERPROFILE%\AppData\Local\Temp\OnboardLogs"\RTDC4061\2017-05-06 &amp; aws s3 cp s3://rtdc.mdm.uploadarchive.raw/RTDC4061/ "%USERPROFILE%\AppData\Local\Temp\OnboardLogs"\RTDC4061\2017-05-07 --exclude "*" --recursive --include "*20170507*" &amp; "%USERPROFILE%\Documents\GitHub\mrs-test-scripts\Headless Mode &amp; Sideloading\WalkAndUnGZ.bat" "%USERPROFILE%\AppData\Local\Temp\OnboardLogs"\RTDC4061\2017-05-07</v>
      </c>
      <c r="AF257" s="77" t="str">
        <f t="shared" si="88"/>
        <v>"C:\Program Files (x86)\AstroGrep\AstroGrep.exe" /e /r /s /spath="%USERPROFILE%\AppData\Local\Temp\OnboardLogs" /stypes="app*4061*20170506*" /stext=" 07:.+((SYSTEM_STATE.+slice.+state.+changed )|(ment ac)|(multiple cpu faults)|(system.+state.+changed )|(\[timeout)|(PRM\|1\|D)|(kpr)|(kdp)|(train st.+moving)|(\|lc)|(penalty))"</v>
      </c>
      <c r="AG257" s="1" t="str">
        <f t="shared" si="89"/>
        <v>Other</v>
      </c>
      <c r="AH257" s="81" t="str">
        <f t="shared" si="90"/>
        <v>"%USERPROFILE%\Documents\GitHub\eaglep3\Utilities\RefineRTDCRunTimes.py" --tripid 78-05 --locoid 4061 --swversion DE.1.0.9.0 --startMP 204:232641 --initTime 2017-05-06T00:36:06 --startdatetime 2017-05-06T00:40:41 --delay 1 --endMP 204:719 --enddatetime 2017-05-06T01:43:08 --enforcementcount 0 &gt;&gt;C:\Users\stu\Documents\GitHub\eaglep3-reporting\EC\2017-05-05-refined-times.txt</v>
      </c>
      <c r="AI257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{"issue":{"subject":"","project_id":79,"tracker_id":40,"status_id":1,"priority_id":2,"assigned_to_id":23,"start_date":"2017-05-06","description":"","custom_fields":[{"id":1,"name":"Subdivision","value":"Other"},{"id":4,"name":"Milepost","value":"0.0719"},{"id":17,"name":"Train ID","value":"78-05"},{"id":16,"name":"Locomotive ID","value":"4061"},{"id":130,"name":"Impact","value":""},{"id":150,"name":"Time of Event (Mountain Time)","value":"01:43:08"},{"id":151,"name":"Denver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92"/>
        <v>start /low /b %USERPROFILE%\Documents\GitHub\eaglep3\Utilities\DownloadLogsFromS3.py --loco 4061 --day 2017-05-06</v>
      </c>
      <c r="AN257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07:43:08"},{"id":29,"name":"Sharepoint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818</v>
      </c>
      <c r="B258" s="7">
        <v>4061</v>
      </c>
      <c r="C258" s="21" t="s">
        <v>210</v>
      </c>
      <c r="D258" s="21" t="s">
        <v>971</v>
      </c>
      <c r="E258" s="13">
        <v>42860.923275462963</v>
      </c>
      <c r="F258" s="13">
        <v>42860.925081018519</v>
      </c>
      <c r="G258" s="7">
        <v>1</v>
      </c>
      <c r="H258" s="21" t="s">
        <v>403</v>
      </c>
      <c r="I258" s="13">
        <v>42860.964039351849</v>
      </c>
      <c r="J258" s="7">
        <v>0</v>
      </c>
      <c r="K258" s="92" t="str">
        <f t="shared" si="78"/>
        <v>4061/4062</v>
      </c>
      <c r="L258" s="21" t="str">
        <f>VLOOKUP(A258,'Trips&amp;Operators'!$C$1:$G$99999,5,FALSE)</f>
        <v>SULLIVAN BRANDON</v>
      </c>
      <c r="M258" s="6">
        <f t="shared" si="79"/>
        <v>3.8958333330811001E-2</v>
      </c>
      <c r="N258" s="7">
        <f t="shared" si="98"/>
        <v>56.099999996367842</v>
      </c>
      <c r="O258" s="7"/>
      <c r="P258" s="7"/>
      <c r="Q258" s="22"/>
      <c r="R258" s="190"/>
      <c r="S258" s="196">
        <f t="shared" si="96"/>
        <v>0</v>
      </c>
      <c r="T258" s="190" t="e">
        <f t="shared" si="80"/>
        <v>#VALUE!</v>
      </c>
      <c r="U258" s="190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1" t="str">
        <f t="shared" si="81"/>
        <v>https://d0f6bd738d7f1b3e5a7ca70fe4ff75f0.us-east-1.aws.found.io/app/kibana#/discover/Steve-Slow-Train-Analysis-(2080s-and-2083s)?_g=(refreshInterval:(display:Off,pause:!f,section:0,value:0),time:(from:'2017-05-05T21:09:31-0600',mode:absolute,to:'2017-05-06T00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8" s="192" t="str">
        <f t="shared" si="82"/>
        <v>N</v>
      </c>
      <c r="X258" s="192" t="e">
        <f t="shared" si="99"/>
        <v>#VALUE!</v>
      </c>
      <c r="Y258" s="192">
        <f t="shared" si="83"/>
        <v>23.267199999999999</v>
      </c>
      <c r="Z258" s="192">
        <f t="shared" si="97"/>
        <v>1.49E-2</v>
      </c>
      <c r="AA258" s="192">
        <f t="shared" si="85"/>
        <v>23.252299999999998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86"/>
        <v>78-05</v>
      </c>
      <c r="AE258" s="80" t="str">
        <f t="shared" si="87"/>
        <v>aws s3 cp s3://rtdc.mdm.uploadarchive.raw/RTDC4061/ "%USERPROFILE%\AppData\Local\Temp\OnboardLogs"\RTDC4061\2017-05-05 --exclude "*" --recursive --include "*20170505*" &amp; "%USERPROFILE%\Documents\GitHub\mrs-test-scripts\Headless Mode &amp; Sideloading\WalkAndUnGZ.bat" "%USERPROFILE%\AppData\Local\Temp\OnboardLogs"\RTDC4061\2017-05-05 &amp; aws s3 cp s3://rtdc.mdm.uploadarchive.raw/RTDC4061/ "%USERPROFILE%\AppData\Local\Temp\OnboardLogs"\RTDC4061\2017-05-06 --exclude "*" --recursive --include "*20170506*" &amp; "%USERPROFILE%\Documents\GitHub\mrs-test-scripts\Headless Mode &amp; Sideloading\WalkAndUnGZ.bat" "%USERPROFILE%\AppData\Local\Temp\OnboardLogs"\RTDC4061\2017-05-06</v>
      </c>
      <c r="AF258" s="77" t="str">
        <f t="shared" si="88"/>
        <v>"C:\Program Files (x86)\AstroGrep\AstroGrep.exe" /e /r /s /spath="%USERPROFILE%\AppData\Local\Temp\OnboardLogs" /stypes="app*4061*20170506*" /stext=" 05:.+((SYSTEM_STATE.+slice.+state.+changed )|(ment ac)|(multiple cpu faults)|(system.+state.+changed )|(\[timeout)|(PRM\|1\|D)|(kpr)|(kdp)|(train st.+moving)|(\|lc)|(penalty))"</v>
      </c>
      <c r="AG258" s="1" t="str">
        <f t="shared" si="89"/>
        <v>Other</v>
      </c>
      <c r="AH258" s="81" t="str">
        <f t="shared" si="90"/>
        <v>"%USERPROFILE%\Documents\GitHub\eaglep3\Utilities\RefineRTDCRunTimes.py" --tripid 78-05 --locoid 4061 --swversion DE.1.0.9.0 --startMP 204:232672 --initTime 2017-05-05T22:09:31 --startdatetime 2017-05-05T22:12:07 --delay 1 --endMP 204:149 --enddatetime 2017-05-05T23:08:13 --enforcementcount 0 &gt;&gt;C:\Users\stu\Documents\GitHub\eaglep3-reporting\EC\2017-05-05-refined-times.txt</v>
      </c>
      <c r="AI258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{"issue":{"subject":"","project_id":79,"tracker_id":40,"status_id":1,"priority_id":2,"assigned_to_id":23,"start_date":"2017-05-05","description":"","custom_fields":[{"id":1,"name":"Subdivision","value":"Other"},{"id":4,"name":"Milepost","value":"0.0149"},{"id":17,"name":"Train ID","value":"78-05"},{"id":16,"name":"Locomotive ID","value":"4061"},{"id":130,"name":"Impact","value":""},{"id":150,"name":"Time of Event (Mountain Time)","value":"23:08:13"},{"id":151,"name":"Denver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92"/>
        <v>start /low /b %USERPROFILE%\Documents\GitHub\eaglep3\Utilities\DownloadLogsFromS3.py --loco 4061 --day 2017-05-05</v>
      </c>
      <c r="AN258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05:08:13"},{"id":29,"name":"Sharepoint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818</v>
      </c>
      <c r="B259" s="7">
        <v>4061</v>
      </c>
      <c r="C259" s="21" t="s">
        <v>210</v>
      </c>
      <c r="D259" s="21" t="s">
        <v>972</v>
      </c>
      <c r="E259" s="13">
        <v>42860.840590277781</v>
      </c>
      <c r="F259" s="13">
        <v>42860.8437962963</v>
      </c>
      <c r="G259" s="7">
        <v>4</v>
      </c>
      <c r="H259" s="21" t="s">
        <v>403</v>
      </c>
      <c r="I259" s="13">
        <v>42860.844236111108</v>
      </c>
      <c r="J259" s="7">
        <v>0</v>
      </c>
      <c r="K259" s="92" t="str">
        <f t="shared" si="78"/>
        <v>4061/4062</v>
      </c>
      <c r="L259" s="21" t="str">
        <f>VLOOKUP(A259,'Trips&amp;Operators'!$C$1:$G$99999,5,FALSE)</f>
        <v>SULLIVAN BRANDON</v>
      </c>
      <c r="M259" s="6">
        <f t="shared" si="79"/>
        <v>4.3981480848742649E-4</v>
      </c>
      <c r="N259" s="7">
        <f t="shared" si="98"/>
        <v>0.63333332422189415</v>
      </c>
      <c r="O259" s="7"/>
      <c r="P259" s="7"/>
      <c r="Q259" s="22"/>
      <c r="R259" s="190"/>
      <c r="S259" s="196">
        <f t="shared" si="96"/>
        <v>0</v>
      </c>
      <c r="T259" s="190" t="e">
        <f t="shared" si="80"/>
        <v>#VALUE!</v>
      </c>
      <c r="U259" s="190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1" t="str">
        <f t="shared" si="81"/>
        <v>https://d0f6bd738d7f1b3e5a7ca70fe4ff75f0.us-east-1.aws.found.io/app/kibana#/discover/Steve-Slow-Train-Analysis-(2080s-and-2083s)?_g=(refreshInterval:(display:Off,pause:!f,section:0,value:0),time:(from:'2017-05-05T19:10:27-0600',mode:absolute,to:'2017-05-05T21:15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9" s="192" t="str">
        <f t="shared" si="82"/>
        <v>Y</v>
      </c>
      <c r="X259" s="192" t="e">
        <f t="shared" si="99"/>
        <v>#VALUE!</v>
      </c>
      <c r="Y259" s="192">
        <f t="shared" si="83"/>
        <v>2.3210999999999999</v>
      </c>
      <c r="Z259" s="192">
        <f t="shared" si="97"/>
        <v>1.49E-2</v>
      </c>
      <c r="AA259" s="192">
        <f t="shared" si="85"/>
        <v>2.3062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86"/>
        <v>78-05</v>
      </c>
      <c r="AE259" s="80" t="str">
        <f t="shared" si="87"/>
        <v>aws s3 cp s3://rtdc.mdm.uploadarchive.raw/RTDC4061/ "%USERPROFILE%\AppData\Local\Temp\OnboardLogs"\RTDC4061\2017-05-05 --exclude "*" --recursive --include "*20170505*" &amp; "%USERPROFILE%\Documents\GitHub\mrs-test-scripts\Headless Mode &amp; Sideloading\WalkAndUnGZ.bat" "%USERPROFILE%\AppData\Local\Temp\OnboardLogs"\RTDC4061\2017-05-05 &amp; aws s3 cp s3://rtdc.mdm.uploadarchive.raw/RTDC4061/ "%USERPROFILE%\AppData\Local\Temp\OnboardLogs"\RTDC4061\2017-05-06 --exclude "*" --recursive --include "*20170506*" &amp; "%USERPROFILE%\Documents\GitHub\mrs-test-scripts\Headless Mode &amp; Sideloading\WalkAndUnGZ.bat" "%USERPROFILE%\AppData\Local\Temp\OnboardLogs"\RTDC4061\2017-05-06</v>
      </c>
      <c r="AF259" s="77" t="str">
        <f t="shared" si="88"/>
        <v>"C:\Program Files (x86)\AstroGrep\AstroGrep.exe" /e /r /s /spath="%USERPROFILE%\AppData\Local\Temp\OnboardLogs" /stypes="app*4061*20170506*" /stext=" 02:.+((SYSTEM_STATE.+slice.+state.+changed )|(ment ac)|(multiple cpu faults)|(system.+state.+changed )|(\[timeout)|(PRM\|1\|D)|(kpr)|(kdp)|(train st.+moving)|(\|lc)|(penalty))"</v>
      </c>
      <c r="AG259" s="1" t="str">
        <f t="shared" si="89"/>
        <v>Other</v>
      </c>
      <c r="AH259" s="81" t="str">
        <f t="shared" si="90"/>
        <v>"%USERPROFILE%\Documents\GitHub\eaglep3\Utilities\RefineRTDCRunTimes.py" --tripid 78-05 --locoid 4061 --swversion DE.1.0.9.0 --startMP 300:23211 --initTime 2017-05-05T20:10:27 --startdatetime 2017-05-05T20:15:04 --delay 4 --endMP 204:149 --enddatetime 2017-05-05T20:15:42 --enforcementcount 0 &gt;&gt;C:\Users\stu\Documents\GitHub\eaglep3-reporting\EC\2017-05-05-refined-times.txt</v>
      </c>
      <c r="AI259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{"issue":{"subject":"","project_id":79,"tracker_id":40,"status_id":1,"priority_id":2,"assigned_to_id":23,"start_date":"2017-05-05","description":"","custom_fields":[{"id":1,"name":"Subdivision","value":"Other"},{"id":4,"name":"Milepost","value":"0.0149"},{"id":17,"name":"Train ID","value":"78-05"},{"id":16,"name":"Locomotive ID","value":"4061"},{"id":130,"name":"Impact","value":""},{"id":150,"name":"Time of Event (Mountain Time)","value":"20:15:42"},{"id":151,"name":"Denver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92"/>
        <v>start /low /b %USERPROFILE%\Documents\GitHub\eaglep3\Utilities\DownloadLogsFromS3.py --loco 4061 --day 2017-05-05</v>
      </c>
      <c r="AN259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02:15:42"},{"id":29,"name":"Sharepoint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2" t="s">
        <v>625</v>
      </c>
      <c r="B260" s="7">
        <v>4060</v>
      </c>
      <c r="C260" s="21" t="s">
        <v>210</v>
      </c>
      <c r="D260" s="21" t="s">
        <v>973</v>
      </c>
      <c r="E260" s="13">
        <v>42861.078136574077</v>
      </c>
      <c r="F260" s="13">
        <v>42861.080462962964</v>
      </c>
      <c r="G260" s="7">
        <v>2</v>
      </c>
      <c r="H260" s="21" t="s">
        <v>409</v>
      </c>
      <c r="I260" s="13">
        <v>42861.085902777777</v>
      </c>
      <c r="J260" s="7">
        <v>0</v>
      </c>
      <c r="K260" s="92" t="str">
        <f t="shared" si="78"/>
        <v>4059/4060</v>
      </c>
      <c r="L260" s="21" t="str">
        <f>VLOOKUP(A260,'Trips&amp;Operators'!$C$1:$G$99999,5,FALSE)</f>
        <v>SULLIVAN BRANDON</v>
      </c>
      <c r="M260" s="6">
        <f t="shared" si="79"/>
        <v>5.4398148131440394E-3</v>
      </c>
      <c r="N260" s="7">
        <f t="shared" si="98"/>
        <v>7.8333333309274167</v>
      </c>
      <c r="O260" s="7"/>
      <c r="P260" s="7"/>
      <c r="Q260" s="22"/>
      <c r="R260" s="190"/>
      <c r="S260" s="196">
        <f t="shared" si="96"/>
        <v>0</v>
      </c>
      <c r="T260" s="190" t="e">
        <f t="shared" si="80"/>
        <v>#VALUE!</v>
      </c>
      <c r="U260" s="190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91" t="str">
        <f t="shared" si="81"/>
        <v>https://d0f6bd738d7f1b3e5a7ca70fe4ff75f0.us-east-1.aws.found.io/app/kibana#/discover/Steve-Slow-Train-Analysis-(2080s-and-2083s)?_g=(refreshInterval:(display:Off,pause:!f,section:0,value:0),time:(from:'2017-05-06T00:52:31-0600',mode:absolute,to:'2017-05-06T03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60" s="192" t="str">
        <f t="shared" si="82"/>
        <v>Y</v>
      </c>
      <c r="X260" s="192" t="e">
        <f t="shared" si="99"/>
        <v>#VALUE!</v>
      </c>
      <c r="Y260" s="192">
        <f t="shared" si="83"/>
        <v>0.12859999999999999</v>
      </c>
      <c r="Z260" s="192">
        <f t="shared" si="97"/>
        <v>2.3346</v>
      </c>
      <c r="AA260" s="192">
        <f t="shared" si="85"/>
        <v>2.206</v>
      </c>
      <c r="AB260" s="57" t="e">
        <f>VLOOKUP(A260,Enforcements!$C$7:$K$13,8,0)</f>
        <v>#N/A</v>
      </c>
      <c r="AC260" s="53" t="e">
        <f>VLOOKUP(A260,Enforcements!$C$7:$E$13,3,0)</f>
        <v>#N/A</v>
      </c>
      <c r="AD260" s="54" t="str">
        <f t="shared" si="86"/>
        <v>79-05</v>
      </c>
      <c r="AE260" s="80" t="str">
        <f t="shared" si="87"/>
        <v>aws s3 cp s3://rtdc.mdm.uploadarchive.raw/RTDC4060/ "%USERPROFILE%\AppData\Local\Temp\OnboardLogs"\RTDC4060\2017-05-06 --exclude "*" --recursive --include "*20170506*" &amp; "%USERPROFILE%\Documents\GitHub\mrs-test-scripts\Headless Mode &amp; Sideloading\WalkAndUnGZ.bat" "%USERPROFILE%\AppData\Local\Temp\OnboardLogs"\RTDC4060\2017-05-06 &amp; aws s3 cp s3://rtdc.mdm.uploadarchive.raw/RTDC4060/ "%USERPROFILE%\AppData\Local\Temp\OnboardLogs"\RTDC4060\2017-05-07 --exclude "*" --recursive --include "*20170507*" &amp; "%USERPROFILE%\Documents\GitHub\mrs-test-scripts\Headless Mode &amp; Sideloading\WalkAndUnGZ.bat" "%USERPROFILE%\AppData\Local\Temp\OnboardLogs"\RTDC4060\2017-05-07</v>
      </c>
      <c r="AF260" s="77" t="str">
        <f t="shared" si="88"/>
        <v>"C:\Program Files (x86)\AstroGrep\AstroGrep.exe" /e /r /s /spath="%USERPROFILE%\AppData\Local\Temp\OnboardLogs" /stypes="app*4060*20170506*" /stext=" 08:.+((SYSTEM_STATE.+slice.+state.+changed )|(ment ac)|(multiple cpu faults)|(system.+state.+changed )|(\[timeout)|(PRM\|1\|D)|(kpr)|(kdp)|(train st.+moving)|(\|lc)|(penalty))"</v>
      </c>
      <c r="AG260" s="1" t="str">
        <f t="shared" si="89"/>
        <v>Other</v>
      </c>
      <c r="AH260" s="81" t="str">
        <f t="shared" si="90"/>
        <v>"%USERPROFILE%\Documents\GitHub\eaglep3\Utilities\RefineRTDCRunTimes.py" --tripid 79-05 --locoid 4060 --swversion DE.1.0.9.0 --startMP 204:1286 --initTime 2017-05-06T01:52:31 --startdatetime 2017-05-06T01:55:52 --delay 2 --endMP 300:23346 --enddatetime 2017-05-06T02:03:42 --enforcementcount 0 &gt;&gt;C:\Users\stu\Documents\GitHub\eaglep3-reporting\EC\2017-05-05-refined-times.txt</v>
      </c>
      <c r="AI260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ID","value":"79-05"},{"id":16,"name":"Locomotive ID","value":"4060"},{"id":130,"name":"Impact","value":""},{"id":150,"name":"Time of Event (Mountain Time)","value":"02:03:42"},{"id":151,"name":"Denver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5" t="str">
        <f t="shared" si="92"/>
        <v>start /low /b %USERPROFILE%\Documents\GitHub\eaglep3\Utilities\DownloadLogsFromS3.py --loco 4060 --day 2017-05-06</v>
      </c>
      <c r="AN260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 s="32" t="s">
        <v>625</v>
      </c>
      <c r="B261" s="7">
        <v>4060</v>
      </c>
      <c r="C261" s="21" t="s">
        <v>210</v>
      </c>
      <c r="D261" s="21" t="s">
        <v>974</v>
      </c>
      <c r="E261" s="13">
        <v>42860.997615740744</v>
      </c>
      <c r="F261" s="13">
        <v>42860.998888888891</v>
      </c>
      <c r="G261" s="7">
        <v>0</v>
      </c>
      <c r="H261" s="21" t="s">
        <v>548</v>
      </c>
      <c r="I261" s="13">
        <v>42861.022916666669</v>
      </c>
      <c r="J261" s="7">
        <v>0</v>
      </c>
      <c r="K261" s="92" t="str">
        <f t="shared" si="78"/>
        <v>4059/4060</v>
      </c>
      <c r="L261" s="21" t="str">
        <f>VLOOKUP(A261,'Trips&amp;Operators'!$C$1:$G$99999,5,FALSE)</f>
        <v>SULLIVAN BRANDON</v>
      </c>
      <c r="M261" s="6">
        <f t="shared" si="79"/>
        <v>2.4027777777519077E-2</v>
      </c>
      <c r="N261" s="7">
        <f t="shared" si="98"/>
        <v>34.599999999627471</v>
      </c>
      <c r="O261" s="7"/>
      <c r="P261" s="7"/>
      <c r="Q261" s="22"/>
      <c r="R261" s="190"/>
      <c r="S261" s="196">
        <f t="shared" si="96"/>
        <v>0</v>
      </c>
      <c r="T261" s="190" t="e">
        <f t="shared" si="80"/>
        <v>#VALUE!</v>
      </c>
      <c r="U261" s="190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91" t="str">
        <f t="shared" si="81"/>
        <v>https://d0f6bd738d7f1b3e5a7ca70fe4ff75f0.us-east-1.aws.found.io/app/kibana#/discover/Steve-Slow-Train-Analysis-(2080s-and-2083s)?_g=(refreshInterval:(display:Off,pause:!f,section:0,value:0),time:(from:'2017-05-05T22:56:34-0600',mode:absolute,to:'2017-05-06T01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61" s="192" t="str">
        <f t="shared" si="82"/>
        <v>N</v>
      </c>
      <c r="X261" s="192" t="e">
        <f t="shared" si="99"/>
        <v>#VALUE!</v>
      </c>
      <c r="Y261" s="192">
        <f t="shared" si="83"/>
        <v>6.4782999999999999</v>
      </c>
      <c r="Z261" s="192">
        <f t="shared" si="97"/>
        <v>23.328099999999999</v>
      </c>
      <c r="AA261" s="192">
        <f t="shared" si="85"/>
        <v>16.849799999999998</v>
      </c>
      <c r="AB261" s="57" t="e">
        <f>VLOOKUP(A261,Enforcements!$C$7:$K$13,8,0)</f>
        <v>#N/A</v>
      </c>
      <c r="AC261" s="53" t="e">
        <f>VLOOKUP(A261,Enforcements!$C$7:$E$13,3,0)</f>
        <v>#N/A</v>
      </c>
      <c r="AD261" s="54" t="str">
        <f t="shared" si="86"/>
        <v>79-05</v>
      </c>
      <c r="AE261" s="80" t="str">
        <f t="shared" si="87"/>
        <v>aws s3 cp s3://rtdc.mdm.uploadarchive.raw/RTDC4060/ "%USERPROFILE%\AppData\Local\Temp\OnboardLogs"\RTDC4060\2017-05-05 --exclude "*" --recursive --include "*20170505*" &amp; "%USERPROFILE%\Documents\GitHub\mrs-test-scripts\Headless Mode &amp; Sideloading\WalkAndUnGZ.bat" "%USERPROFILE%\AppData\Local\Temp\OnboardLogs"\RTDC4060\2017-05-05 &amp; aws s3 cp s3://rtdc.mdm.uploadarchive.raw/RTDC4060/ "%USERPROFILE%\AppData\Local\Temp\OnboardLogs"\RTDC4060\2017-05-06 --exclude "*" --recursive --include "*20170506*" &amp; "%USERPROFILE%\Documents\GitHub\mrs-test-scripts\Headless Mode &amp; Sideloading\WalkAndUnGZ.bat" "%USERPROFILE%\AppData\Local\Temp\OnboardLogs"\RTDC4060\2017-05-06</v>
      </c>
      <c r="AF261" s="77" t="str">
        <f t="shared" si="88"/>
        <v>"C:\Program Files (x86)\AstroGrep\AstroGrep.exe" /e /r /s /spath="%USERPROFILE%\AppData\Local\Temp\OnboardLogs" /stypes="app*4060*20170506*" /stext=" 06:.+((SYSTEM_STATE.+slice.+state.+changed )|(ment ac)|(multiple cpu faults)|(system.+state.+changed )|(\[timeout)|(PRM\|1\|D)|(kpr)|(kdp)|(train st.+moving)|(\|lc)|(penalty))"</v>
      </c>
      <c r="AG261" s="1" t="str">
        <f t="shared" si="89"/>
        <v>Other</v>
      </c>
      <c r="AH261" s="81" t="str">
        <f t="shared" si="90"/>
        <v>"%USERPROFILE%\Documents\GitHub\eaglep3\Utilities\RefineRTDCRunTimes.py" --tripid 79-05 --locoid 4060 --swversion DE.1.0.9.0 --startMP 204:64783 --initTime 2017-05-05T23:56:34 --startdatetime 2017-05-05T23:58:24 --delay 0 --endMP 204:233281 --enddatetime 2017-05-06T00:33:00 --enforcementcount 0 &gt;&gt;C:\Users\stu\Documents\GitHub\eaglep3-reporting\EC\2017-05-05-refined-times.txt</v>
      </c>
      <c r="AI261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{"issue":{"subject":"","project_id":79,"tracker_id":40,"status_id":1,"priority_id":2,"assigned_to_id":23,"start_date":"2017-05-06","description":"","custom_fields":[{"id":1,"name":"Subdivision","value":"Other"},{"id":4,"name":"Milepost","value":"23.3281"},{"id":17,"name":"Train ID","value":"79-05"},{"id":16,"name":"Locomotive ID","value":"4060"},{"id":130,"name":"Impact","value":""},{"id":150,"name":"Time of Event (Mountain Time)","value":"00:33:00"},{"id":151,"name":"Denver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5" t="str">
        <f t="shared" si="92"/>
        <v>start /low /b %USERPROFILE%\Documents\GitHub\eaglep3\Utilities\DownloadLogsFromS3.py --loco 4060 --day 2017-05-05</v>
      </c>
      <c r="AN261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2" spans="1:40" x14ac:dyDescent="0.25">
      <c r="A262" s="32" t="s">
        <v>625</v>
      </c>
      <c r="B262" s="7">
        <v>4060</v>
      </c>
      <c r="C262" s="21" t="s">
        <v>210</v>
      </c>
      <c r="D262" s="21" t="s">
        <v>975</v>
      </c>
      <c r="E262" s="13">
        <v>42860.852870370371</v>
      </c>
      <c r="F262" s="13">
        <v>42860.8830787037</v>
      </c>
      <c r="G262" s="7">
        <v>1</v>
      </c>
      <c r="H262" s="21" t="s">
        <v>470</v>
      </c>
      <c r="I262" s="13">
        <v>42860.91673611111</v>
      </c>
      <c r="J262" s="7">
        <v>0</v>
      </c>
      <c r="K262" s="92" t="str">
        <f t="shared" si="78"/>
        <v>4059/4060</v>
      </c>
      <c r="L262" s="21" t="str">
        <f>VLOOKUP(A262,'Trips&amp;Operators'!$C$1:$G$99999,5,FALSE)</f>
        <v>SULLIVAN BRANDON</v>
      </c>
      <c r="M262" s="6">
        <f t="shared" si="79"/>
        <v>3.365740740991896E-2</v>
      </c>
      <c r="N262" s="7">
        <f t="shared" si="98"/>
        <v>48.466666670283303</v>
      </c>
      <c r="O262" s="7"/>
      <c r="P262" s="7"/>
      <c r="Q262" s="22"/>
      <c r="R262" s="190"/>
      <c r="S262" s="196">
        <f t="shared" si="96"/>
        <v>0</v>
      </c>
      <c r="T262" s="190" t="e">
        <f t="shared" si="80"/>
        <v>#VALUE!</v>
      </c>
      <c r="U262" s="190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1" t="str">
        <f t="shared" si="81"/>
        <v>https://d0f6bd738d7f1b3e5a7ca70fe4ff75f0.us-east-1.aws.found.io/app/kibana#/discover/Steve-Slow-Train-Analysis-(2080s-and-2083s)?_g=(refreshInterval:(display:Off,pause:!f,section:0,value:0),time:(from:'2017-05-05T19:28:08-0600',mode:absolute,to:'2017-05-05T23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62" s="192" t="str">
        <f t="shared" si="82"/>
        <v>N</v>
      </c>
      <c r="X262" s="192" t="e">
        <f t="shared" si="99"/>
        <v>#VALUE!</v>
      </c>
      <c r="Y262" s="192">
        <f t="shared" si="83"/>
        <v>7.2999999999999995E-2</v>
      </c>
      <c r="Z262" s="192">
        <f t="shared" si="97"/>
        <v>23.328900000000001</v>
      </c>
      <c r="AA262" s="192">
        <f t="shared" si="85"/>
        <v>23.2559</v>
      </c>
      <c r="AB262" s="57" t="e">
        <f>VLOOKUP(A262,Enforcements!$C$7:$K$13,8,0)</f>
        <v>#N/A</v>
      </c>
      <c r="AC262" s="53" t="e">
        <f>VLOOKUP(A262,Enforcements!$C$7:$E$13,3,0)</f>
        <v>#N/A</v>
      </c>
      <c r="AD262" s="54" t="str">
        <f t="shared" si="86"/>
        <v>79-05</v>
      </c>
      <c r="AE262" s="80" t="str">
        <f t="shared" si="87"/>
        <v>aws s3 cp s3://rtdc.mdm.uploadarchive.raw/RTDC4060/ "%USERPROFILE%\AppData\Local\Temp\OnboardLogs"\RTDC4060\2017-05-05 --exclude "*" --recursive --include "*20170505*" &amp; "%USERPROFILE%\Documents\GitHub\mrs-test-scripts\Headless Mode &amp; Sideloading\WalkAndUnGZ.bat" "%USERPROFILE%\AppData\Local\Temp\OnboardLogs"\RTDC4060\2017-05-05 &amp; aws s3 cp s3://rtdc.mdm.uploadarchive.raw/RTDC4060/ "%USERPROFILE%\AppData\Local\Temp\OnboardLogs"\RTDC4060\2017-05-06 --exclude "*" --recursive --include "*20170506*" &amp; "%USERPROFILE%\Documents\GitHub\mrs-test-scripts\Headless Mode &amp; Sideloading\WalkAndUnGZ.bat" "%USERPROFILE%\AppData\Local\Temp\OnboardLogs"\RTDC4060\2017-05-06</v>
      </c>
      <c r="AF262" s="77" t="str">
        <f t="shared" si="88"/>
        <v>"C:\Program Files (x86)\AstroGrep\AstroGrep.exe" /e /r /s /spath="%USERPROFILE%\AppData\Local\Temp\OnboardLogs" /stypes="app*4060*20170506*" /stext=" 04:.+((SYSTEM_STATE.+slice.+state.+changed )|(ment ac)|(multiple cpu faults)|(system.+state.+changed )|(\[timeout)|(PRM\|1\|D)|(kpr)|(kdp)|(train st.+moving)|(\|lc)|(penalty))"</v>
      </c>
      <c r="AG262" s="1" t="str">
        <f t="shared" si="89"/>
        <v>Other</v>
      </c>
      <c r="AH262" s="81" t="str">
        <f t="shared" si="90"/>
        <v>"%USERPROFILE%\Documents\GitHub\eaglep3\Utilities\RefineRTDCRunTimes.py" --tripid 79-05 --locoid 4060 --swversion DE.1.0.9.0 --startMP 204:730 --initTime 2017-05-05T20:28:08 --startdatetime 2017-05-05T21:11:38 --delay 1 --endMP 204:233289 --enddatetime 2017-05-05T22:00:06 --enforcementcount 0 &gt;&gt;C:\Users\stu\Documents\GitHub\eaglep3-reporting\EC\2017-05-05-refined-times.txt</v>
      </c>
      <c r="AI262" s="99" t="str">
        <f t="shared" si="91"/>
        <v>echo {"issue":{"subject":"","project_id":79,"tracker_id":40,"status_id":1,"priority_id":2,"assigned_to_id":23,"start_date":"2017-05-05","description":"","custom_fields":[{"id":1,"name":"Subdivision","value":"Other"},{"id":4,"name":"Milepost","value":"23.3289"},{"id":17,"name":"Train ID","value":"79-05"},{"id":16,"name":"Locomotive ID","value":"4060"},{"id":130,"name":"Impact","value":""},{"id":150,"name":"Time of Event (Mountain Time)","value":"22:00:06"},{"id":151,"name":"Denver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5" t="str">
        <f t="shared" si="92"/>
        <v>start /low /b %USERPROFILE%\Documents\GitHub\eaglep3\Utilities\DownloadLogsFromS3.py --loco 4060 --day 2017-05-05</v>
      </c>
      <c r="AN262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04:00:06"},{"id":29,"name":"Sharepoint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3" spans="1:40" x14ac:dyDescent="0.25">
      <c r="A263" s="32" t="s">
        <v>625</v>
      </c>
      <c r="B263" s="7">
        <v>4060</v>
      </c>
      <c r="C263" s="21" t="s">
        <v>210</v>
      </c>
      <c r="D263" s="21" t="s">
        <v>976</v>
      </c>
      <c r="E263" s="13">
        <v>42860.981006944443</v>
      </c>
      <c r="F263" s="13">
        <v>42860.998888888891</v>
      </c>
      <c r="G263" s="7">
        <v>1</v>
      </c>
      <c r="H263" s="21" t="s">
        <v>977</v>
      </c>
      <c r="I263" s="13">
        <v>42861.022916666669</v>
      </c>
      <c r="J263" s="7">
        <v>0</v>
      </c>
      <c r="K263" s="92" t="str">
        <f t="shared" si="78"/>
        <v>4059/4060</v>
      </c>
      <c r="L263" s="21" t="str">
        <f>VLOOKUP(A263,'Trips&amp;Operators'!$C$1:$G$99999,5,FALSE)</f>
        <v>SULLIVAN BRANDON</v>
      </c>
      <c r="M263" s="6">
        <f t="shared" si="79"/>
        <v>2.4027777777519077E-2</v>
      </c>
      <c r="N263" s="7">
        <f t="shared" si="98"/>
        <v>34.599999999627471</v>
      </c>
      <c r="O263" s="7"/>
      <c r="P263" s="7"/>
      <c r="Q263" s="22"/>
      <c r="R263" s="190"/>
      <c r="S263" s="196">
        <f t="shared" si="96"/>
        <v>0</v>
      </c>
      <c r="T263" s="190" t="e">
        <f t="shared" si="80"/>
        <v>#VALUE!</v>
      </c>
      <c r="U263" s="190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1" t="str">
        <f t="shared" si="81"/>
        <v>https://d0f6bd738d7f1b3e5a7ca70fe4ff75f0.us-east-1.aws.found.io/app/kibana#/discover/Steve-Slow-Train-Analysis-(2080s-and-2083s)?_g=(refreshInterval:(display:Off,pause:!f,section:0,value:0),time:(from:'2017-05-05T22:32:39-0600',mode:absolute,to:'2017-05-06T01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63" s="192" t="str">
        <f t="shared" si="82"/>
        <v>Y</v>
      </c>
      <c r="X263" s="192" t="e">
        <f t="shared" si="99"/>
        <v>#VALUE!</v>
      </c>
      <c r="Y263" s="192">
        <f t="shared" si="83"/>
        <v>7.5499999999999998E-2</v>
      </c>
      <c r="Z263" s="192">
        <f t="shared" si="97"/>
        <v>1.0827</v>
      </c>
      <c r="AA263" s="192">
        <f t="shared" si="85"/>
        <v>1.0072000000000001</v>
      </c>
      <c r="AB263" s="57" t="e">
        <f>VLOOKUP(A263,Enforcements!$C$7:$K$13,8,0)</f>
        <v>#N/A</v>
      </c>
      <c r="AC263" s="53" t="e">
        <f>VLOOKUP(A263,Enforcements!$C$7:$E$13,3,0)</f>
        <v>#N/A</v>
      </c>
      <c r="AD263" s="54" t="str">
        <f t="shared" si="86"/>
        <v>79-05</v>
      </c>
      <c r="AE263" s="80" t="str">
        <f t="shared" si="87"/>
        <v>aws s3 cp s3://rtdc.mdm.uploadarchive.raw/RTDC4060/ "%USERPROFILE%\AppData\Local\Temp\OnboardLogs"\RTDC4060\2017-05-05 --exclude "*" --recursive --include "*20170505*" &amp; "%USERPROFILE%\Documents\GitHub\mrs-test-scripts\Headless Mode &amp; Sideloading\WalkAndUnGZ.bat" "%USERPROFILE%\AppData\Local\Temp\OnboardLogs"\RTDC4060\2017-05-05 &amp; aws s3 cp s3://rtdc.mdm.uploadarchive.raw/RTDC4060/ "%USERPROFILE%\AppData\Local\Temp\OnboardLogs"\RTDC4060\2017-05-06 --exclude "*" --recursive --include "*20170506*" &amp; "%USERPROFILE%\Documents\GitHub\mrs-test-scripts\Headless Mode &amp; Sideloading\WalkAndUnGZ.bat" "%USERPROFILE%\AppData\Local\Temp\OnboardLogs"\RTDC4060\2017-05-06</v>
      </c>
      <c r="AF263" s="77" t="str">
        <f t="shared" si="88"/>
        <v>"C:\Program Files (x86)\AstroGrep\AstroGrep.exe" /e /r /s /spath="%USERPROFILE%\AppData\Local\Temp\OnboardLogs" /stypes="app*4060*20170506*" /stext=" 06:.+((SYSTEM_STATE.+slice.+state.+changed )|(ment ac)|(multiple cpu faults)|(system.+state.+changed )|(\[timeout)|(PRM\|1\|D)|(kpr)|(kdp)|(train st.+moving)|(\|lc)|(penalty))"</v>
      </c>
      <c r="AG263" s="1" t="str">
        <f t="shared" si="89"/>
        <v>Other</v>
      </c>
      <c r="AH263" s="81" t="str">
        <f t="shared" si="90"/>
        <v>"%USERPROFILE%\Documents\GitHub\eaglep3\Utilities\RefineRTDCRunTimes.py" --tripid 79-05 --locoid 4060 --swversion DE.1.0.9.0 --startMP 204:755 --initTime 2017-05-05T23:32:39 --startdatetime 2017-05-05T23:58:24 --delay 1 --endMP 204:10827 --enddatetime 2017-05-06T00:33:00 --enforcementcount 0 &gt;&gt;C:\Users\stu\Documents\GitHub\eaglep3-reporting\EC\2017-05-05-refined-times.txt</v>
      </c>
      <c r="AI263" s="99" t="str">
        <f t="shared" si="91"/>
        <v>echo {"issue":{"subject":"","project_id":79,"tracker_id":40,"status_id":1,"priority_id":2,"assigned_to_id":23,"start_date":"2017-05-06","description":"","custom_fields":[{"id":1,"name":"Subdivision","value":"Other"},{"id":4,"name":"Milepost","value":"1.0827"},{"id":17,"name":"Train ID","value":"79-05"},{"id":16,"name":"Locomotive ID","value":"4060"},{"id":130,"name":"Impact","value":""},{"id":150,"name":"Time of Event (Mountain Time)","value":"00:33:00"},{"id":151,"name":"Denver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5" t="str">
        <f t="shared" si="92"/>
        <v>start /low /b %USERPROFILE%\Documents\GitHub\eaglep3\Utilities\DownloadLogsFromS3.py --loco 4060 --day 2017-05-05</v>
      </c>
      <c r="AN263" s="154" t="str">
        <f t="shared" si="9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06:33:00"},{"id":29,"name":"Sharepoint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4" spans="1:4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4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4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4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4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4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4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4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</sheetData>
  <autoFilter ref="A12:AG265"/>
  <sortState ref="A13:AH200">
    <sortCondition ref="AG13:AG200"/>
    <sortCondition ref="AD13:AD200"/>
  </sortState>
  <mergeCells count="1">
    <mergeCell ref="A11:P11"/>
  </mergeCells>
  <conditionalFormatting sqref="W11:W12 W272:X1048576 W13:X263">
    <cfRule type="cellIs" dxfId="10" priority="401" operator="equal">
      <formula>"Y"</formula>
    </cfRule>
  </conditionalFormatting>
  <conditionalFormatting sqref="X272:X1048576 X13:X263">
    <cfRule type="cellIs" dxfId="9" priority="384" operator="greaterThan">
      <formula>1</formula>
    </cfRule>
  </conditionalFormatting>
  <conditionalFormatting sqref="X272:X1048576 X12:X263">
    <cfRule type="cellIs" dxfId="8" priority="381" operator="equal">
      <formula>0</formula>
    </cfRule>
  </conditionalFormatting>
  <conditionalFormatting sqref="A13:S263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A13:S263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AK13:AK263</xm:sqref>
        </x14:dataValidation>
        <x14:dataValidation type="list" allowBlank="1" showInputMessage="1" showErrorMessage="1">
          <x14:formula1>
            <xm:f>'Redmine List Values'!$C$2:$C$15</xm:f>
          </x14:formula1>
          <xm:sqref>AL13:AL263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9" zoomScaleNormal="100" workbookViewId="0">
      <selection activeCell="P40" sqref="P40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COUNTIF($O$7:$O$291,"=Y")</f>
        <v>3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COUNTA($O$7:$O$291)-O2</f>
        <v>36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- 2017-05-05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42860.275659722225</v>
      </c>
      <c r="B7" s="30" t="s">
        <v>532</v>
      </c>
      <c r="C7" s="30" t="s">
        <v>594</v>
      </c>
      <c r="D7" s="30" t="s">
        <v>49</v>
      </c>
      <c r="E7" s="30" t="s">
        <v>191</v>
      </c>
      <c r="F7" s="42">
        <v>0</v>
      </c>
      <c r="G7" s="42">
        <v>234</v>
      </c>
      <c r="H7" s="42">
        <v>26868</v>
      </c>
      <c r="I7" s="42">
        <v>27204</v>
      </c>
      <c r="J7" s="30" t="s">
        <v>192</v>
      </c>
      <c r="K7" s="42">
        <v>27053</v>
      </c>
      <c r="L7" s="134" t="s">
        <v>50</v>
      </c>
      <c r="M7" s="135">
        <f t="shared" ref="M7:M45" si="0">CONVERT((I7-K7)/10000,"mi","ft")*IF(L7="Increasing Mileposts (1)",-1,1)</f>
        <v>-79.727999999999994</v>
      </c>
      <c r="N7" s="136" t="str">
        <f>VLOOKUP(C7,'Trips&amp;Operators'!$C$1:$G$99999,5,FALSE)</f>
        <v>LOZA FIDEL</v>
      </c>
      <c r="O7" s="207" t="s">
        <v>184</v>
      </c>
      <c r="P7" s="137" t="s">
        <v>461</v>
      </c>
      <c r="Q7" s="30"/>
      <c r="R7" s="84" t="str">
        <f>IF(VLOOKUP(C7,'Train Runs'!$A$13:$AE$9941,1,1)=C7,VLOOKUP(C7,'Train Runs'!$A$13:$AE$9941,31,1),NA())</f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S7" s="87" t="str">
        <f>VLOOKUP(C7,'Train Runs'!$A$13:$AE$9941,22,0)</f>
        <v>https://d0f6bd738d7f1b3e5a7ca70fe4ff75f0.us-east-1.aws.found.io/app/kibana#/discover/Steve-Slow-Train-Analysis-(2080s-and-2083s)?_g=(refreshInterval:(display:Off,pause:!f,section:0,value:0),time:(from:'2017-05-05T05:25:30-0600',mode:absolute,to:'2017-05-05T08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89" t="str">
        <f t="shared" ref="T7:T4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/stypes="*4044*201705051*" /stext=" 12:.+((SYSTEM_STATE.+slice.+state.+changed )|(ment ac)|(multiple cpu faults)|(system.+state.+changed )|(\[timeout)|(PRM\|1\|D)|(kpr)|(kdp)|(train st.+moving)|(\|lc)|(penalty))"</v>
      </c>
      <c r="U7" s="9" t="str">
        <f t="shared" ref="U7:U45" si="2">MID(B7,13,4)</f>
        <v>4044</v>
      </c>
      <c r="V7" s="31">
        <f t="shared" ref="V7:V45" si="3">A7-utc_offset/24</f>
        <v>42860.525659722225</v>
      </c>
      <c r="W7" s="45" t="str">
        <f t="shared" ref="W7:W45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5" si="5">IF(AND(E7="TRACK WARRANT AUTHORITY",G7&lt;10),"OMIT","KEEP")</f>
        <v>KEEP</v>
      </c>
      <c r="Y7" s="99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arrival","project_id":79,"tracker_id":40,"status_id":1,"priority_id":2,"assigned_to_id":23,"start_date":"2017-05-05","description":"","custom_fields":[{"id":1,"name":"Subdivision","value":"EC"},{"id":4,"name":"Milepost","value":"2.7053"},{"id":17,"name":"Train ID","value":"123-05"},{"id":16,"name":"Locomotive ID","value":"4044"},{"id":130,"name":"Impact","value":""},{"id":150,"name":"Time of Event (Mountain Time)","value":"06:36:57"},{"id":151,"name":"Denver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5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/cygdrive/c/Users/stu/AppData/Local/Temp/OnboardLogs/RTDC4044 --include="*4044*201705051*"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"%USERPROFILE%\AppData\Local\Temp\OnboardLogs"\RTDC4044\*4044*201705051* &gt;&gt; 2017-05-05-SliceDisagreementCheck.txt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4044 --day 2017-05-05</v>
      </c>
    </row>
    <row r="8" spans="1:32" s="1" customFormat="1" x14ac:dyDescent="0.25">
      <c r="A8" s="31">
        <v>42860.745740740742</v>
      </c>
      <c r="B8" s="30" t="s">
        <v>355</v>
      </c>
      <c r="C8" s="30" t="s">
        <v>618</v>
      </c>
      <c r="D8" s="30" t="s">
        <v>49</v>
      </c>
      <c r="E8" s="30" t="s">
        <v>191</v>
      </c>
      <c r="F8" s="42">
        <v>0</v>
      </c>
      <c r="G8" s="42">
        <v>191</v>
      </c>
      <c r="H8" s="42">
        <v>26998</v>
      </c>
      <c r="I8" s="42">
        <v>27202</v>
      </c>
      <c r="J8" s="30" t="s">
        <v>192</v>
      </c>
      <c r="K8" s="42">
        <v>27053</v>
      </c>
      <c r="L8" s="134" t="s">
        <v>50</v>
      </c>
      <c r="M8" s="135">
        <f t="shared" si="0"/>
        <v>-78.671999999999997</v>
      </c>
      <c r="N8" s="136" t="str">
        <f>VLOOKUP(C8,'Trips&amp;Operators'!$C$1:$G$99999,5,FALSE)</f>
        <v>STORY SAMANTHA</v>
      </c>
      <c r="O8" s="207" t="s">
        <v>184</v>
      </c>
      <c r="P8" s="137" t="s">
        <v>461</v>
      </c>
      <c r="Q8" s="30"/>
      <c r="R8" s="84" t="str">
        <f>IF(VLOOKUP(C8,'Train Runs'!$A$13:$AE$9941,1,1)=C8,VLOOKUP(C8,'Train Runs'!$A$13:$AE$9941,31,1),NA())</f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S8" s="87" t="str">
        <f>VLOOKUP(C8,'Train Runs'!$A$13:$AE$9941,22,0)</f>
        <v>https://d0f6bd738d7f1b3e5a7ca70fe4ff75f0.us-east-1.aws.found.io/app/kibana#/discover/Steve-Slow-Train-Analysis-(2080s-and-2083s)?_g=(refreshInterval:(display:Off,pause:!f,section:0,value:0),time:(from:'2017-05-05T16:39:56-0600',mode:absolute,to:'2017-05-05T19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8" s="89" t="str">
        <f t="shared" si="1"/>
        <v>"C:\Program Files (x86)\AstroGrep\AstroGrep.exe" /e /r /s /spath="%USERPROFILE%\AppData\Local\Temp\OnboardLogs" /stypes="*4022*201705052*"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4022</v>
      </c>
      <c r="V8" s="31">
        <f t="shared" si="3"/>
        <v>42860.995740740742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arrival","project_id":79,"tracker_id":40,"status_id":1,"priority_id":2,"assigned_to_id":23,"start_date":"2017-05-05","description":"","custom_fields":[{"id":1,"name":"Subdivision","value":"EC"},{"id":4,"name":"Milepost","value":"2.7053"},{"id":17,"name":"Train ID","value":"213-05"},{"id":16,"name":"Locomotive ID","value":"4022"},{"id":130,"name":"Impact","value":""},{"id":150,"name":"Time of Event (Mountain Time)","value":"17:53:52"},{"id":151,"name":"Denver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/cygdrive/c/Users/stu/AppData/Local/Temp/OnboardLogs/RTDC4022 --include="*4022*201705052*"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"%USERPROFILE%\AppData\Local\Temp\OnboardLogs"\RTDC4022\*4022*201705052* &gt;&gt; 2017-05-05-SliceDisagreementCheck.txt</v>
      </c>
      <c r="AE8" s="148" t="str">
        <f t="shared" ref="AE8:AE45" si="9">"start /low /b "&amp;dls3logs&amp;" --loco "&amp;U8&amp;" --day "&amp;TEXT(V8,"YYYY-MM-DD")</f>
        <v>start /low /b %USERPROFILE%\Documents\GitHub\eaglep3\Utilities\DownloadLogsFromS3.py --loco 4022 --day 2017-05-05</v>
      </c>
    </row>
    <row r="9" spans="1:32" s="1" customFormat="1" x14ac:dyDescent="0.25">
      <c r="A9" s="31">
        <v>42860.816990740743</v>
      </c>
      <c r="B9" s="30" t="s">
        <v>355</v>
      </c>
      <c r="C9" s="30" t="s">
        <v>620</v>
      </c>
      <c r="D9" s="30" t="s">
        <v>49</v>
      </c>
      <c r="E9" s="30" t="s">
        <v>191</v>
      </c>
      <c r="F9" s="42">
        <v>0</v>
      </c>
      <c r="G9" s="42">
        <v>177</v>
      </c>
      <c r="H9" s="42">
        <v>27019</v>
      </c>
      <c r="I9" s="42">
        <v>27234</v>
      </c>
      <c r="J9" s="30" t="s">
        <v>192</v>
      </c>
      <c r="K9" s="42">
        <v>27053</v>
      </c>
      <c r="L9" s="134" t="s">
        <v>50</v>
      </c>
      <c r="M9" s="135">
        <f t="shared" si="0"/>
        <v>-95.567999999999998</v>
      </c>
      <c r="N9" s="136" t="str">
        <f>VLOOKUP(C9,'Trips&amp;Operators'!$C$1:$G$99999,5,FALSE)</f>
        <v>STORY SAMANTHA</v>
      </c>
      <c r="O9" s="207" t="s">
        <v>184</v>
      </c>
      <c r="P9" s="137" t="s">
        <v>461</v>
      </c>
      <c r="Q9" s="30"/>
      <c r="R9" s="84" t="str">
        <f>IF(VLOOKUP(C9,'Train Runs'!$A$13:$AE$9941,1,1)=C9,VLOOKUP(C9,'Train Runs'!$A$13:$AE$9941,31,1),NA())</f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S9" s="87" t="str">
        <f>VLOOKUP(C9,'Train Runs'!$A$13:$AE$9941,22,0)</f>
        <v>https://d0f6bd738d7f1b3e5a7ca70fe4ff75f0.us-east-1.aws.found.io/app/kibana#/discover/Steve-Slow-Train-Analysis-(2080s-and-2083s)?_g=(refreshInterval:(display:Off,pause:!f,section:0,value:0),time:(from:'2017-05-05T18:25:06-0600',mode:absolute,to:'2017-05-05T21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9" s="89" t="str">
        <f t="shared" si="1"/>
        <v>"C:\Program Files (x86)\AstroGrep\AstroGrep.exe" /e /r /s /spath="%USERPROFILE%\AppData\Local\Temp\OnboardLogs" /stypes="*4022*201705060*"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4022</v>
      </c>
      <c r="V9" s="31">
        <f t="shared" si="3"/>
        <v>42861.066990740743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arrival","project_id":79,"tracker_id":40,"status_id":1,"priority_id":2,"assigned_to_id":23,"start_date":"2017-05-05","description":"","custom_fields":[{"id":1,"name":"Subdivision","value":"EC"},{"id":4,"name":"Milepost","value":"2.7053"},{"id":17,"name":"Train ID","value":"223-05"},{"id":16,"name":"Locomotive ID","value":"4022"},{"id":130,"name":"Impact","value":""},{"id":150,"name":"Time of Event (Mountain Time)","value":"19:36:28"},{"id":151,"name":"Denver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/cygdrive/c/Users/stu/AppData/Local/Temp/OnboardLogs/RTDC4022 --include="*4022*201705060*"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"%USERPROFILE%\AppData\Local\Temp\OnboardLogs"\RTDC4022\*4022*201705060* &gt;&gt; 2017-05-05-SliceDisagreementCheck.txt</v>
      </c>
      <c r="AE9" s="148" t="str">
        <f t="shared" si="9"/>
        <v>start /low /b %USERPROFILE%\Documents\GitHub\eaglep3\Utilities\DownloadLogsFromS3.py --loco 4022 --day 2017-05-06</v>
      </c>
    </row>
    <row r="10" spans="1:32" s="1" customFormat="1" x14ac:dyDescent="0.25">
      <c r="A10" s="31">
        <v>42860.877349537041</v>
      </c>
      <c r="B10" s="30" t="s">
        <v>354</v>
      </c>
      <c r="C10" s="30" t="s">
        <v>623</v>
      </c>
      <c r="D10" s="30" t="s">
        <v>49</v>
      </c>
      <c r="E10" s="30" t="s">
        <v>191</v>
      </c>
      <c r="F10" s="42">
        <v>0</v>
      </c>
      <c r="G10" s="42">
        <v>115</v>
      </c>
      <c r="H10" s="42">
        <v>27364</v>
      </c>
      <c r="I10" s="42">
        <v>27252</v>
      </c>
      <c r="J10" s="30" t="s">
        <v>192</v>
      </c>
      <c r="K10" s="42">
        <v>27350</v>
      </c>
      <c r="L10" s="134" t="s">
        <v>51</v>
      </c>
      <c r="M10" s="135">
        <f t="shared" si="0"/>
        <v>-51.744</v>
      </c>
      <c r="N10" s="136" t="str">
        <f>VLOOKUP(C10,'Trips&amp;Operators'!$C$1:$G$99999,5,FALSE)</f>
        <v>STORY SAMANTHA</v>
      </c>
      <c r="O10" s="207" t="s">
        <v>184</v>
      </c>
      <c r="P10" s="137" t="s">
        <v>461</v>
      </c>
      <c r="Q10" s="30"/>
      <c r="R10" s="84" t="str">
        <f>IF(VLOOKUP(C10,'Train Runs'!$A$13:$AE$9941,1,1)=C10,VLOOKUP(C10,'Train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10" s="87" t="str">
        <f>VLOOKUP(C10,'Train Runs'!$A$13:$AE$9941,22,0)</f>
        <v>https://d0f6bd738d7f1b3e5a7ca70fe4ff75f0.us-east-1.aws.found.io/app/kibana#/discover/Steve-Slow-Train-Analysis-(2080s-and-2083s)?_g=(refreshInterval:(display:Off,pause:!f,section:0,value:0),time:(from:'2017-05-05T19:08:26-0600',mode:absolute,to:'2017-05-05T22:11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89" t="str">
        <f t="shared" si="1"/>
        <v>"C:\Program Files (x86)\AstroGrep\AstroGrep.exe" /e /r /s /spath="%USERPROFILE%\AppData\Local\Temp\OnboardLogs" /stypes="*4021*201705060*" /stext=" 03:.+((SYSTEM_STATE.+slice.+state.+changed )|(ment ac)|(multiple cpu faults)|(system.+state.+changed )|(\[timeout)|(PRM\|1\|D)|(kpr)|(kdp)|(train st.+moving)|(\|lc)|(penalty))"</v>
      </c>
      <c r="U10" s="9" t="str">
        <f t="shared" si="2"/>
        <v>4021</v>
      </c>
      <c r="V10" s="31">
        <f t="shared" si="3"/>
        <v>42861.127349537041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arrival","project_id":79,"tracker_id":40,"status_id":1,"priority_id":2,"assigned_to_id":23,"start_date":"2017-05-05","description":"","custom_fields":[{"id":1,"name":"Subdivision","value":"EC"},{"id":4,"name":"Milepost","value":"2.735"},{"id":17,"name":"Train ID","value":"224-05"},{"id":16,"name":"Locomotive ID","value":"4021"},{"id":130,"name":"Impact","value":""},{"id":150,"name":"Time of Event (Mountain Time)","value":"21:03:23"},{"id":151,"name":"Denver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/cygdrive/c/Users/stu/AppData/Local/Temp/OnboardLogs/RTDC4021 --include="*4021*201705060*"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"%USERPROFILE%\AppData\Local\Temp\OnboardLogs"\RTDC4021\*4021*201705060* &gt;&gt; 2017-05-05-SliceDisagreementCheck.txt</v>
      </c>
      <c r="AE10" s="148" t="str">
        <f t="shared" si="9"/>
        <v>start /low /b %USERPROFILE%\Documents\GitHub\eaglep3\Utilities\DownloadLogsFromS3.py --loco 4021 --day 2017-05-06</v>
      </c>
    </row>
    <row r="11" spans="1:32" s="1" customFormat="1" x14ac:dyDescent="0.25">
      <c r="A11" s="31">
        <v>42860.402337962965</v>
      </c>
      <c r="B11" s="30" t="s">
        <v>199</v>
      </c>
      <c r="C11" s="30" t="s">
        <v>602</v>
      </c>
      <c r="D11" s="30" t="s">
        <v>98</v>
      </c>
      <c r="E11" s="30" t="s">
        <v>191</v>
      </c>
      <c r="F11" s="42">
        <v>420</v>
      </c>
      <c r="G11" s="42">
        <v>471</v>
      </c>
      <c r="H11" s="42">
        <v>33249</v>
      </c>
      <c r="I11" s="42">
        <v>34637</v>
      </c>
      <c r="J11" s="30" t="s">
        <v>192</v>
      </c>
      <c r="K11" s="42">
        <v>33137</v>
      </c>
      <c r="L11" s="134" t="s">
        <v>50</v>
      </c>
      <c r="M11" s="135">
        <f t="shared" si="0"/>
        <v>-792</v>
      </c>
      <c r="N11" s="136" t="str">
        <f>VLOOKUP(C11,'Trips&amp;Operators'!$C$1:$G$99999,5,FALSE)</f>
        <v>ROBINSON KADDIBA</v>
      </c>
      <c r="O11" s="207" t="s">
        <v>184</v>
      </c>
      <c r="P11" s="137" t="s">
        <v>461</v>
      </c>
      <c r="Q11" s="30"/>
      <c r="R11" s="84" t="str">
        <f>IF(VLOOKUP(C11,'Train Runs'!$A$13:$AE$9941,1,1)=C11,VLOOKUP(C11,'Train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11" s="87" t="str">
        <f>VLOOKUP(C11,'Train Runs'!$A$13:$AE$9941,22,0)</f>
        <v>https://d0f6bd738d7f1b3e5a7ca70fe4ff75f0.us-east-1.aws.found.io/app/kibana#/discover/Steve-Slow-Train-Analysis-(2080s-and-2083s)?_g=(refreshInterval:(display:Off,pause:!f,section:0,value:0),time:(from:'2017-05-05T08:23:15-0600',mode:absolute,to:'2017-05-05T11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1" s="89" t="str">
        <f t="shared" si="1"/>
        <v>"C:\Program Files (x86)\AstroGrep\AstroGrep.exe" /e /r /s /spath="%USERPROFILE%\AppData\Local\Temp\OnboardLogs" /stypes="*4030*201705051*"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4030</v>
      </c>
      <c r="V11" s="31">
        <f t="shared" si="3"/>
        <v>42860.652337962965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arrival","project_id":79,"tracker_id":40,"status_id":1,"priority_id":2,"assigned_to_id":23,"start_date":"2017-05-05","description":"","custom_fields":[{"id":1,"name":"Subdivision","value":"EC"},{"id":4,"name":"Milepost","value":"3.3137"},{"id":17,"name":"Train ID","value":"147-05"},{"id":16,"name":"Locomotive ID","value":"4030"},{"id":130,"name":"Impact","value":""},{"id":150,"name":"Time of Event (Mountain Time)","value":"09:39:22"},{"id":151,"name":"Denver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/cygdrive/c/Users/stu/AppData/Local/Temp/OnboardLogs/RTDC4030 --include="*4030*201705051*"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"%USERPROFILE%\AppData\Local\Temp\OnboardLogs"\RTDC4030\*4030*201705051* &gt;&gt; 2017-05-05-SliceDisagreementCheck.txt</v>
      </c>
      <c r="AE11" s="148" t="str">
        <f t="shared" si="9"/>
        <v>start /low /b %USERPROFILE%\Documents\GitHub\eaglep3\Utilities\DownloadLogsFromS3.py --loco 4030 --day 2017-05-05</v>
      </c>
    </row>
    <row r="12" spans="1:32" s="1" customFormat="1" x14ac:dyDescent="0.25">
      <c r="A12" s="31">
        <v>42860.331805555557</v>
      </c>
      <c r="B12" s="30" t="s">
        <v>199</v>
      </c>
      <c r="C12" s="30" t="s">
        <v>597</v>
      </c>
      <c r="D12" s="30" t="s">
        <v>49</v>
      </c>
      <c r="E12" s="30" t="s">
        <v>191</v>
      </c>
      <c r="F12" s="42">
        <v>440</v>
      </c>
      <c r="G12" s="42">
        <v>492</v>
      </c>
      <c r="H12" s="42">
        <v>57403</v>
      </c>
      <c r="I12" s="42">
        <v>58921</v>
      </c>
      <c r="J12" s="30" t="s">
        <v>192</v>
      </c>
      <c r="K12" s="42">
        <v>58783</v>
      </c>
      <c r="L12" s="134" t="s">
        <v>50</v>
      </c>
      <c r="M12" s="135">
        <f t="shared" si="0"/>
        <v>-72.864000000000004</v>
      </c>
      <c r="N12" s="136" t="str">
        <f>VLOOKUP(C12,'Trips&amp;Operators'!$C$1:$G$99999,5,FALSE)</f>
        <v>ROBINSON KADDIBA</v>
      </c>
      <c r="O12" s="207" t="s">
        <v>184</v>
      </c>
      <c r="P12" s="137" t="s">
        <v>461</v>
      </c>
      <c r="Q12" s="30"/>
      <c r="R12" s="84" t="str">
        <f>IF(VLOOKUP(C12,'Train Runs'!$A$13:$AE$9941,1,1)=C12,VLOOKUP(C12,'Train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12" s="87" t="str">
        <f>VLOOKUP(C12,'Train Runs'!$A$13:$AE$9941,22,0)</f>
        <v>https://d0f6bd738d7f1b3e5a7ca70fe4ff75f0.us-east-1.aws.found.io/app/kibana#/discover/Steve-Slow-Train-Analysis-(2080s-and-2083s)?_g=(refreshInterval:(display:Off,pause:!f,section:0,value:0),time:(from:'2017-05-05T06:37:25-0600',mode:absolute,to:'2017-05-05T09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89" t="str">
        <f t="shared" si="1"/>
        <v>"C:\Program Files (x86)\AstroGrep\AstroGrep.exe" /e /r /s /spath="%USERPROFILE%\AppData\Local\Temp\OnboardLogs" /stypes="*4030*201705051*"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4030</v>
      </c>
      <c r="V12" s="31">
        <f t="shared" si="3"/>
        <v>42860.581805555557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arrival","project_id":79,"tracker_id":40,"status_id":1,"priority_id":2,"assigned_to_id":23,"start_date":"2017-05-05","description":"","custom_fields":[{"id":1,"name":"Subdivision","value":"EC"},{"id":4,"name":"Milepost","value":"5.8783"},{"id":17,"name":"Train ID","value":"133-05"},{"id":16,"name":"Locomotive ID","value":"4030"},{"id":130,"name":"Impact","value":""},{"id":150,"name":"Time of Event (Mountain Time)","value":"07:57:48"},{"id":151,"name":"Denver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/cygdrive/c/Users/stu/AppData/Local/Temp/OnboardLogs/RTDC4030 --include="*4030*201705051*"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"%USERPROFILE%\AppData\Local\Temp\OnboardLogs"\RTDC4030\*4030*201705051* &gt;&gt; 2017-05-05-SliceDisagreementCheck.txt</v>
      </c>
      <c r="AE12" s="148" t="str">
        <f t="shared" si="9"/>
        <v>start /low /b %USERPROFILE%\Documents\GitHub\eaglep3\Utilities\DownloadLogsFromS3.py --loco 4030 --day 2017-05-05</v>
      </c>
    </row>
    <row r="13" spans="1:32" s="1" customFormat="1" x14ac:dyDescent="0.25">
      <c r="A13" s="31">
        <v>42860.750671296293</v>
      </c>
      <c r="B13" s="30" t="s">
        <v>355</v>
      </c>
      <c r="C13" s="30" t="s">
        <v>618</v>
      </c>
      <c r="D13" s="30" t="s">
        <v>49</v>
      </c>
      <c r="E13" s="30" t="s">
        <v>191</v>
      </c>
      <c r="F13" s="42">
        <v>320</v>
      </c>
      <c r="G13" s="42">
        <v>497</v>
      </c>
      <c r="H13" s="42">
        <v>61897</v>
      </c>
      <c r="I13" s="42">
        <v>63227</v>
      </c>
      <c r="J13" s="30" t="s">
        <v>192</v>
      </c>
      <c r="K13" s="42">
        <v>63069</v>
      </c>
      <c r="L13" s="134" t="s">
        <v>50</v>
      </c>
      <c r="M13" s="135">
        <f t="shared" si="0"/>
        <v>-83.424000000000007</v>
      </c>
      <c r="N13" s="136" t="str">
        <f>VLOOKUP(C13,'Trips&amp;Operators'!$C$1:$G$99999,5,FALSE)</f>
        <v>STORY SAMANTHA</v>
      </c>
      <c r="O13" s="207" t="s">
        <v>184</v>
      </c>
      <c r="P13" s="137" t="s">
        <v>461</v>
      </c>
      <c r="Q13" s="30"/>
      <c r="R13" s="84" t="str">
        <f>IF(VLOOKUP(C13,'Train Runs'!$A$13:$AE$9941,1,1)=C13,VLOOKUP(C13,'Train Runs'!$A$13:$AE$9941,31,1),NA())</f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S13" s="87" t="str">
        <f>VLOOKUP(C13,'Train Runs'!$A$13:$AE$9941,22,0)</f>
        <v>https://d0f6bd738d7f1b3e5a7ca70fe4ff75f0.us-east-1.aws.found.io/app/kibana#/discover/Steve-Slow-Train-Analysis-(2080s-and-2083s)?_g=(refreshInterval:(display:Off,pause:!f,section:0,value:0),time:(from:'2017-05-05T16:39:56-0600',mode:absolute,to:'2017-05-05T19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3" s="89" t="str">
        <f t="shared" si="1"/>
        <v>"C:\Program Files (x86)\AstroGrep\AstroGrep.exe" /e /r /s /spath="%USERPROFILE%\AppData\Local\Temp\OnboardLogs" /stypes="*4022*201705060*" /stext=" 00:.+((SYSTEM_STATE.+slice.+state.+changed )|(ment ac)|(multiple cpu faults)|(system.+state.+changed )|(\[timeout)|(PRM\|1\|D)|(kpr)|(kdp)|(train st.+moving)|(\|lc)|(penalty))"</v>
      </c>
      <c r="U13" s="9" t="str">
        <f t="shared" si="2"/>
        <v>4022</v>
      </c>
      <c r="V13" s="31">
        <f t="shared" si="3"/>
        <v>42861.000671296293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arrival","project_id":79,"tracker_id":40,"status_id":1,"priority_id":2,"assigned_to_id":23,"start_date":"2017-05-05","description":"","custom_fields":[{"id":1,"name":"Subdivision","value":"EC"},{"id":4,"name":"Milepost","value":"6.3069"},{"id":17,"name":"Train ID","value":"213-05"},{"id":16,"name":"Locomotive ID","value":"4022"},{"id":130,"name":"Impact","value":""},{"id":150,"name":"Time of Event (Mountain Time)","value":"18:00:58"},{"id":151,"name":"Denver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/cygdrive/c/Users/stu/AppData/Local/Temp/OnboardLogs/RTDC4022 --include="*4022*201705060*"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"%USERPROFILE%\AppData\Local\Temp\OnboardLogs"\RTDC4022\*4022*201705060* &gt;&gt; 2017-05-05-SliceDisagreementCheck.txt</v>
      </c>
      <c r="AE13" s="148" t="str">
        <f t="shared" si="9"/>
        <v>start /low /b %USERPROFILE%\Documents\GitHub\eaglep3\Utilities\DownloadLogsFromS3.py --loco 4022 --day 2017-05-06</v>
      </c>
    </row>
    <row r="14" spans="1:32" x14ac:dyDescent="0.25">
      <c r="A14" s="31">
        <v>42860.373749999999</v>
      </c>
      <c r="B14" s="30" t="s">
        <v>407</v>
      </c>
      <c r="C14" s="30" t="s">
        <v>601</v>
      </c>
      <c r="D14" s="30" t="s">
        <v>49</v>
      </c>
      <c r="E14" s="30" t="s">
        <v>191</v>
      </c>
      <c r="F14" s="42">
        <v>430</v>
      </c>
      <c r="G14" s="42">
        <v>504</v>
      </c>
      <c r="H14" s="42">
        <v>62056</v>
      </c>
      <c r="I14" s="42">
        <v>63927</v>
      </c>
      <c r="J14" s="30" t="s">
        <v>192</v>
      </c>
      <c r="K14" s="42">
        <v>63069</v>
      </c>
      <c r="L14" s="134" t="s">
        <v>50</v>
      </c>
      <c r="M14" s="135">
        <f t="shared" si="0"/>
        <v>-453.024</v>
      </c>
      <c r="N14" s="136" t="str">
        <f>VLOOKUP(C14,'Trips&amp;Operators'!$C$1:$G$99999,5,FALSE)</f>
        <v>BADERTSCHER DIANE</v>
      </c>
      <c r="O14" s="207" t="s">
        <v>184</v>
      </c>
      <c r="P14" s="137" t="s">
        <v>461</v>
      </c>
      <c r="Q14" s="30"/>
      <c r="R14" s="84" t="str">
        <f>IF(VLOOKUP(C14,'Train Runs'!$A$13:$AE$9941,1,1)=C14,VLOOKUP(C14,'Train Runs'!$A$13:$AE$9941,31,1),NA())</f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S14" s="87" t="str">
        <f>VLOOKUP(C14,'Train Runs'!$A$13:$AE$9941,22,0)</f>
        <v>https://d0f6bd738d7f1b3e5a7ca70fe4ff75f0.us-east-1.aws.found.io/app/kibana#/discover/Steve-Slow-Train-Analysis-(2080s-and-2083s)?_g=(refreshInterval:(display:Off,pause:!f,section:0,value:0),time:(from:'2017-05-05T07:39:12-0600',mode:absolute,to:'2017-05-05T10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89" t="str">
        <f t="shared" si="1"/>
        <v>"C:\Program Files (x86)\AstroGrep\AstroGrep.exe" /e /r /s /spath="%USERPROFILE%\AppData\Local\Temp\OnboardLogs" /stypes="*4040*201705051*"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4040</v>
      </c>
      <c r="V14" s="31">
        <f t="shared" si="3"/>
        <v>42860.623749999999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arrival","project_id":79,"tracker_id":40,"status_id":1,"priority_id":2,"assigned_to_id":23,"start_date":"2017-05-05","description":"","custom_fields":[{"id":1,"name":"Subdivision","value":"EC"},{"id":4,"name":"Milepost","value":"6.3069"},{"id":17,"name":"Train ID","value":"141-05"},{"id":16,"name":"Locomotive ID","value":"4040"},{"id":130,"name":"Impact","value":""},{"id":150,"name":"Time of Event (Mountain Time)","value":"08:58:12"},{"id":151,"name":"Denver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/cygdrive/c/Users/stu/AppData/Local/Temp/OnboardLogs/RTDC4040 --include="*4040*201705051*"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"%USERPROFILE%\AppData\Local\Temp\OnboardLogs"\RTDC4040\*4040*201705051* &gt;&gt; 2017-05-05-SliceDisagreementCheck.txt</v>
      </c>
      <c r="AE14" s="148" t="str">
        <f t="shared" si="9"/>
        <v>start /low /b %USERPROFILE%\Documents\GitHub\eaglep3\Utilities\DownloadLogsFromS3.py --loco 4040 --day 2017-05-05</v>
      </c>
      <c r="AF14" s="1"/>
    </row>
    <row r="15" spans="1:32" x14ac:dyDescent="0.25">
      <c r="A15" s="31">
        <v>42860.741909722223</v>
      </c>
      <c r="B15" s="30" t="s">
        <v>358</v>
      </c>
      <c r="C15" s="30" t="s">
        <v>617</v>
      </c>
      <c r="D15" s="30" t="s">
        <v>49</v>
      </c>
      <c r="E15" s="30" t="s">
        <v>191</v>
      </c>
      <c r="F15" s="42">
        <v>0</v>
      </c>
      <c r="G15" s="42">
        <v>682</v>
      </c>
      <c r="H15" s="42">
        <v>67100</v>
      </c>
      <c r="I15" s="42">
        <v>64539</v>
      </c>
      <c r="J15" s="30" t="s">
        <v>192</v>
      </c>
      <c r="K15" s="42">
        <v>63309</v>
      </c>
      <c r="L15" s="134" t="s">
        <v>51</v>
      </c>
      <c r="M15" s="135">
        <f t="shared" si="0"/>
        <v>649.44000000000005</v>
      </c>
      <c r="N15" s="136" t="str">
        <f>VLOOKUP(C15,'Trips&amp;Operators'!$C$1:$G$99999,5,FALSE)</f>
        <v>ROMERO CHAD</v>
      </c>
      <c r="O15" s="207" t="s">
        <v>184</v>
      </c>
      <c r="P15" s="137" t="s">
        <v>461</v>
      </c>
      <c r="Q15" s="30"/>
      <c r="R15" s="84" t="str">
        <f>IF(VLOOKUP(C15,'Train Runs'!$A$13:$AE$9941,1,1)=C15,VLOOKUP(C15,'Train Runs'!$A$13:$AE$9941,31,1),NA())</f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S15" s="87" t="str">
        <f>VLOOKUP(C15,'Train Runs'!$A$13:$AE$9941,22,0)</f>
        <v>https://d0f6bd738d7f1b3e5a7ca70fe4ff75f0.us-east-1.aws.found.io/app/kibana#/discover/Steve-Slow-Train-Analysis-(2080s-and-2083s)?_g=(refreshInterval:(display:Off,pause:!f,section:0,value:0),time:(from:'2017-05-05T16:07:52-0600',mode:absolute,to:'2017-05-05T19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9" t="str">
        <f t="shared" si="1"/>
        <v>"C:\Program Files (x86)\AstroGrep\AstroGrep.exe" /e /r /s /spath="%USERPROFILE%\AppData\Local\Temp\OnboardLogs" /stypes="*4029*201705052*"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4029</v>
      </c>
      <c r="V15" s="31">
        <f t="shared" si="3"/>
        <v>42860.991909722223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arrival","project_id":79,"tracker_id":40,"status_id":1,"priority_id":2,"assigned_to_id":23,"start_date":"2017-05-05","description":"","custom_fields":[{"id":1,"name":"Subdivision","value":"EC"},{"id":4,"name":"Milepost","value":"6.3309"},{"id":17,"name":"Train ID","value":"204-05"},{"id":16,"name":"Locomotive ID","value":"4029"},{"id":130,"name":"Impact","value":""},{"id":150,"name":"Time of Event (Mountain Time)","value":"17:48:21"},{"id":151,"name":"Denver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/cygdrive/c/Users/stu/AppData/Local/Temp/OnboardLogs/RTDC4029 --include="*4029*201705052*"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"%USERPROFILE%\AppData\Local\Temp\OnboardLogs"\RTDC4029\*4029*201705052* &gt;&gt; 2017-05-05-SliceDisagreementCheck.txt</v>
      </c>
      <c r="AE15" s="148" t="str">
        <f t="shared" si="9"/>
        <v>start /low /b %USERPROFILE%\Documents\GitHub\eaglep3\Utilities\DownloadLogsFromS3.py --loco 4029 --day 2017-05-05</v>
      </c>
      <c r="AF15" s="1"/>
    </row>
    <row r="16" spans="1:32" x14ac:dyDescent="0.25">
      <c r="A16" s="31">
        <v>42860.871990740743</v>
      </c>
      <c r="B16" s="30" t="s">
        <v>354</v>
      </c>
      <c r="C16" s="30" t="s">
        <v>623</v>
      </c>
      <c r="D16" s="30" t="s">
        <v>49</v>
      </c>
      <c r="E16" s="30" t="s">
        <v>191</v>
      </c>
      <c r="F16" s="42">
        <v>70</v>
      </c>
      <c r="G16" s="42">
        <v>124</v>
      </c>
      <c r="H16" s="42">
        <v>63921</v>
      </c>
      <c r="I16" s="42">
        <v>63705</v>
      </c>
      <c r="J16" s="30" t="s">
        <v>192</v>
      </c>
      <c r="K16" s="42">
        <v>63309</v>
      </c>
      <c r="L16" s="134" t="s">
        <v>51</v>
      </c>
      <c r="M16" s="135">
        <f t="shared" si="0"/>
        <v>209.08799999999999</v>
      </c>
      <c r="N16" s="136" t="str">
        <f>VLOOKUP(C16,'Trips&amp;Operators'!$C$1:$G$99999,5,FALSE)</f>
        <v>STORY SAMANTHA</v>
      </c>
      <c r="O16" s="207" t="s">
        <v>184</v>
      </c>
      <c r="P16" s="137" t="s">
        <v>461</v>
      </c>
      <c r="Q16" s="30"/>
      <c r="R16" s="84" t="str">
        <f>IF(VLOOKUP(C16,'Train Runs'!$A$13:$AE$9941,1,1)=C16,VLOOKUP(C16,'Train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16" s="87" t="str">
        <f>VLOOKUP(C16,'Train Runs'!$A$13:$AE$9941,22,0)</f>
        <v>https://d0f6bd738d7f1b3e5a7ca70fe4ff75f0.us-east-1.aws.found.io/app/kibana#/discover/Steve-Slow-Train-Analysis-(2080s-and-2083s)?_g=(refreshInterval:(display:Off,pause:!f,section:0,value:0),time:(from:'2017-05-05T19:08:26-0600',mode:absolute,to:'2017-05-05T22:11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89" t="str">
        <f t="shared" si="1"/>
        <v>"C:\Program Files (x86)\AstroGrep\AstroGrep.exe" /e /r /s /spath="%USERPROFILE%\AppData\Local\Temp\OnboardLogs" /stypes="*4021*201705060*" /stext=" 02:.+((SYSTEM_STATE.+slice.+state.+changed )|(ment ac)|(multiple cpu faults)|(system.+state.+changed )|(\[timeout)|(PRM\|1\|D)|(kpr)|(kdp)|(train st.+moving)|(\|lc)|(penalty))"</v>
      </c>
      <c r="U16" s="9" t="str">
        <f t="shared" si="2"/>
        <v>4021</v>
      </c>
      <c r="V16" s="31">
        <f t="shared" si="3"/>
        <v>42861.121990740743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arrival","project_id":79,"tracker_id":40,"status_id":1,"priority_id":2,"assigned_to_id":23,"start_date":"2017-05-05","description":"","custom_fields":[{"id":1,"name":"Subdivision","value":"EC"},{"id":4,"name":"Milepost","value":"6.3309"},{"id":17,"name":"Train ID","value":"224-05"},{"id":16,"name":"Locomotive ID","value":"4021"},{"id":130,"name":"Impact","value":""},{"id":150,"name":"Time of Event (Mountain Time)","value":"20:55:40"},{"id":151,"name":"Denver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/cygdrive/c/Users/stu/AppData/Local/Temp/OnboardLogs/RTDC4021 --include="*4021*201705060*"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"%USERPROFILE%\AppData\Local\Temp\OnboardLogs"\RTDC4021\*4021*201705060* &gt;&gt; 2017-05-05-SliceDisagreementCheck.txt</v>
      </c>
      <c r="AE16" s="148" t="str">
        <f t="shared" si="9"/>
        <v>start /low /b %USERPROFILE%\Documents\GitHub\eaglep3\Utilities\DownloadLogsFromS3.py --loco 4021 --day 2017-05-06</v>
      </c>
      <c r="AF16" s="1"/>
    </row>
    <row r="17" spans="1:32" x14ac:dyDescent="0.25">
      <c r="A17" s="31">
        <v>42860.509641203702</v>
      </c>
      <c r="B17" s="30" t="s">
        <v>526</v>
      </c>
      <c r="C17" s="30" t="s">
        <v>605</v>
      </c>
      <c r="D17" s="30" t="s">
        <v>49</v>
      </c>
      <c r="E17" s="30" t="s">
        <v>191</v>
      </c>
      <c r="F17" s="42">
        <v>0</v>
      </c>
      <c r="G17" s="42">
        <v>396</v>
      </c>
      <c r="H17" s="42">
        <v>109351</v>
      </c>
      <c r="I17" s="42">
        <v>108257</v>
      </c>
      <c r="J17" s="30" t="s">
        <v>192</v>
      </c>
      <c r="K17" s="42">
        <v>109135</v>
      </c>
      <c r="L17" s="134" t="s">
        <v>51</v>
      </c>
      <c r="M17" s="135">
        <f t="shared" si="0"/>
        <v>-463.584</v>
      </c>
      <c r="N17" s="136" t="str">
        <f>VLOOKUP(C17,'Trips&amp;Operators'!$C$1:$G$99999,5,FALSE)</f>
        <v>LOPES KIMBERLY</v>
      </c>
      <c r="O17" s="207" t="s">
        <v>184</v>
      </c>
      <c r="P17" s="137" t="s">
        <v>461</v>
      </c>
      <c r="Q17" s="30"/>
      <c r="R17" s="84" t="str">
        <f>IF(VLOOKUP(C17,'Train Runs'!$A$13:$AE$9941,1,1)=C17,VLOOKUP(C17,'Train Runs'!$A$13:$AE$9941,31,1),NA())</f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S17" s="87" t="str">
        <f>VLOOKUP(C17,'Train Runs'!$A$13:$AE$9941,22,0)</f>
        <v>https://d0f6bd738d7f1b3e5a7ca70fe4ff75f0.us-east-1.aws.found.io/app/kibana#/discover/Steve-Slow-Train-Analysis-(2080s-and-2083s)?_g=(refreshInterval:(display:Off,pause:!f,section:0,value:0),time:(from:'2017-05-05T10:51:26-0600',mode:absolute,to:'2017-05-05T13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89" t="str">
        <f t="shared" si="1"/>
        <v>"C:\Program Files (x86)\AstroGrep\AstroGrep.exe" /e /r /s /spath="%USERPROFILE%\AppData\Local\Temp\OnboardLogs" /stypes="*4041*201705051*" /stext=" 18:.+((SYSTEM_STATE.+slice.+state.+changed )|(ment ac)|(multiple cpu faults)|(system.+state.+changed )|(\[timeout)|(PRM\|1\|D)|(kpr)|(kdp)|(train st.+moving)|(\|lc)|(penalty))"</v>
      </c>
      <c r="U17" s="9" t="str">
        <f t="shared" si="2"/>
        <v>4041</v>
      </c>
      <c r="V17" s="31">
        <f t="shared" si="3"/>
        <v>42860.759641203702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arrival","project_id":79,"tracker_id":40,"status_id":1,"priority_id":2,"assigned_to_id":23,"start_date":"2017-05-05","description":"","custom_fields":[{"id":1,"name":"Subdivision","value":"EC"},{"id":4,"name":"Milepost","value":"10.9135"},{"id":17,"name":"Train ID","value":"160-05"},{"id":16,"name":"Locomotive ID","value":"4041"},{"id":130,"name":"Impact","value":""},{"id":150,"name":"Time of Event (Mountain Time)","value":"12:13:53"},{"id":151,"name":"Denver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/cygdrive/c/Users/stu/AppData/Local/Temp/OnboardLogs/RTDC4041 --include="*4041*201705051*"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"%USERPROFILE%\AppData\Local\Temp\OnboardLogs"\RTDC4041\*4041*201705051* &gt;&gt; 2017-05-05-SliceDisagreementCheck.txt</v>
      </c>
      <c r="AE17" s="148" t="str">
        <f t="shared" si="9"/>
        <v>start /low /b %USERPROFILE%\Documents\GitHub\eaglep3\Utilities\DownloadLogsFromS3.py --loco 4041 --day 2017-05-05</v>
      </c>
      <c r="AF17" s="1"/>
    </row>
    <row r="18" spans="1:32" x14ac:dyDescent="0.25">
      <c r="A18" s="31">
        <v>42860.927222222221</v>
      </c>
      <c r="B18" s="30" t="s">
        <v>350</v>
      </c>
      <c r="C18" s="30" t="s">
        <v>624</v>
      </c>
      <c r="D18" s="30" t="s">
        <v>49</v>
      </c>
      <c r="E18" s="30" t="s">
        <v>191</v>
      </c>
      <c r="F18" s="42">
        <v>340</v>
      </c>
      <c r="G18" s="42">
        <v>446</v>
      </c>
      <c r="H18" s="42">
        <v>110354</v>
      </c>
      <c r="I18" s="42">
        <v>109007</v>
      </c>
      <c r="J18" s="30" t="s">
        <v>192</v>
      </c>
      <c r="K18" s="42">
        <v>109135</v>
      </c>
      <c r="L18" s="134" t="s">
        <v>51</v>
      </c>
      <c r="M18" s="135">
        <f t="shared" si="0"/>
        <v>-67.584000000000003</v>
      </c>
      <c r="N18" s="136" t="str">
        <f>VLOOKUP(C18,'Trips&amp;Operators'!$C$1:$G$99999,5,FALSE)</f>
        <v>BROWN JACOB</v>
      </c>
      <c r="O18" s="207" t="s">
        <v>184</v>
      </c>
      <c r="P18" s="137" t="s">
        <v>461</v>
      </c>
      <c r="Q18" s="30"/>
      <c r="R18" s="84" t="str">
        <f>IF(VLOOKUP(C18,'Train Runs'!$A$13:$AE$9941,1,1)=C18,VLOOKUP(C18,'Train Runs'!$A$13:$AE$9941,31,1),NA())</f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S18" s="87" t="str">
        <f>VLOOKUP(C18,'Train Runs'!$A$13:$AE$9941,22,0)</f>
        <v>https://d0f6bd738d7f1b3e5a7ca70fe4ff75f0.us-east-1.aws.found.io/app/kibana#/discover/Steve-Slow-Train-Analysis-(2080s-and-2083s)?_g=(refreshInterval:(display:Off,pause:!f,section:0,value:0),time:(from:'2017-05-05T20:53:34-0600',mode:absolute,to:'2017-05-05T23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89" t="str">
        <f t="shared" si="1"/>
        <v>"C:\Program Files (x86)\AstroGrep\AstroGrep.exe" /e /r /s /spath="%USERPROFILE%\AppData\Local\Temp\OnboardLogs" /stypes="*4027*201705060*" /stext=" 04:.+((SYSTEM_STATE.+slice.+state.+changed )|(ment ac)|(multiple cpu faults)|(system.+state.+changed )|(\[timeout)|(PRM\|1\|D)|(kpr)|(kdp)|(train st.+moving)|(\|lc)|(penalty))"</v>
      </c>
      <c r="U18" s="9" t="str">
        <f t="shared" si="2"/>
        <v>4027</v>
      </c>
      <c r="V18" s="31">
        <f t="shared" si="3"/>
        <v>42861.177222222221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arrival","project_id":79,"tracker_id":40,"status_id":1,"priority_id":2,"assigned_to_id":23,"start_date":"2017-05-05","description":"","custom_fields":[{"id":1,"name":"Subdivision","value":"EC"},{"id":4,"name":"Milepost","value":"10.9135"},{"id":17,"name":"Train ID","value":"230-05"},{"id":16,"name":"Locomotive ID","value":"4027"},{"id":130,"name":"Impact","value":""},{"id":150,"name":"Time of Event (Mountain Time)","value":"22:15:12"},{"id":151,"name":"Denver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/cygdrive/c/Users/stu/AppData/Local/Temp/OnboardLogs/RTDC4027 --include="*4027*201705060*"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"%USERPROFILE%\AppData\Local\Temp\OnboardLogs"\RTDC4027\*4027*201705060* &gt;&gt; 2017-05-05-SliceDisagreementCheck.txt</v>
      </c>
      <c r="AE18" s="148" t="str">
        <f t="shared" si="9"/>
        <v>start /low /b %USERPROFILE%\Documents\GitHub\eaglep3\Utilities\DownloadLogsFromS3.py --loco 4027 --day 2017-05-06</v>
      </c>
      <c r="AF18" s="1"/>
    </row>
    <row r="19" spans="1:32" x14ac:dyDescent="0.25">
      <c r="A19" s="31">
        <v>42860.728402777779</v>
      </c>
      <c r="B19" s="30" t="s">
        <v>526</v>
      </c>
      <c r="C19" s="30" t="s">
        <v>615</v>
      </c>
      <c r="D19" s="30" t="s">
        <v>49</v>
      </c>
      <c r="E19" s="30" t="s">
        <v>191</v>
      </c>
      <c r="F19" s="42">
        <v>350</v>
      </c>
      <c r="G19" s="42">
        <v>423</v>
      </c>
      <c r="H19" s="42">
        <v>110384</v>
      </c>
      <c r="I19" s="42">
        <v>109092</v>
      </c>
      <c r="J19" s="30" t="s">
        <v>192</v>
      </c>
      <c r="K19" s="42">
        <v>109135</v>
      </c>
      <c r="L19" s="134" t="s">
        <v>51</v>
      </c>
      <c r="M19" s="135">
        <f t="shared" si="0"/>
        <v>-22.704000000000001</v>
      </c>
      <c r="N19" s="136" t="str">
        <f>VLOOKUP(C19,'Trips&amp;Operators'!$C$1:$G$99999,5,FALSE)</f>
        <v>LOPES KIMBERLY</v>
      </c>
      <c r="O19" s="207" t="s">
        <v>184</v>
      </c>
      <c r="P19" s="137" t="s">
        <v>461</v>
      </c>
      <c r="Q19" s="30"/>
      <c r="R19" s="84" t="str">
        <f>IF(VLOOKUP(C19,'Train Runs'!$A$13:$AE$9941,1,1)=C19,VLOOKUP(C19,'Train Runs'!$A$13:$AE$9941,31,1),NA())</f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S19" s="87" t="str">
        <f>VLOOKUP(C19,'Train Runs'!$A$13:$AE$9941,22,0)</f>
        <v>https://d0f6bd738d7f1b3e5a7ca70fe4ff75f0.us-east-1.aws.found.io/app/kibana#/discover/Steve-Slow-Train-Analysis-(2080s-and-2083s)?_g=(refreshInterval:(display:Off,pause:!f,section:0,value:0),time:(from:'2017-05-05T16:05:55-0600',mode:absolute,to:'2017-05-05T18:28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89" t="str">
        <f t="shared" si="1"/>
        <v>"C:\Program Files (x86)\AstroGrep\AstroGrep.exe" /e /r /s /spath="%USERPROFILE%\AppData\Local\Temp\OnboardLogs" /stypes="*4041*201705052*" /stext=" 23:.+((SYSTEM_STATE.+slice.+state.+changed )|(ment ac)|(multiple cpu faults)|(system.+state.+changed )|(\[timeout)|(PRM\|1\|D)|(kpr)|(kdp)|(train st.+moving)|(\|lc)|(penalty))"</v>
      </c>
      <c r="U19" s="9" t="str">
        <f t="shared" si="2"/>
        <v>4041</v>
      </c>
      <c r="V19" s="31">
        <f t="shared" si="3"/>
        <v>42860.978402777779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{"issue":{"subject":"Early arrival","project_id":79,"tracker_id":40,"status_id":1,"priority_id":2,"assigned_to_id":23,"start_date":"2017-05-05","description":"","custom_fields":[{"id":1,"name":"Subdivision","value":"EC"},{"id":4,"name":"Milepost","value":"10.9135"},{"id":17,"name":"Train ID","value":"202-05"},{"id":16,"name":"Locomotive ID","value":"4041"},{"id":130,"name":"Impact","value":""},{"id":150,"name":"Time of Event (Mountain Time)","value":"17:28:54"},{"id":151,"name":"Denver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/cygdrive/c/Users/stu/AppData/Local/Temp/OnboardLogs/RTDC4041 --include="*4041*201705052*"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"%USERPROFILE%\AppData\Local\Temp\OnboardLogs"\RTDC4041\*4041*201705052* &gt;&gt; 2017-05-05-SliceDisagreementCheck.txt</v>
      </c>
      <c r="AE19" s="148" t="str">
        <f t="shared" si="9"/>
        <v>start /low /b %USERPROFILE%\Documents\GitHub\eaglep3\Utilities\DownloadLogsFromS3.py --loco 4041 --day 2017-05-05</v>
      </c>
      <c r="AF19" s="1"/>
    </row>
    <row r="20" spans="1:32" x14ac:dyDescent="0.25">
      <c r="A20" s="31">
        <v>42860.669317129628</v>
      </c>
      <c r="B20" s="30" t="s">
        <v>355</v>
      </c>
      <c r="C20" s="30" t="s">
        <v>613</v>
      </c>
      <c r="D20" s="30" t="s">
        <v>49</v>
      </c>
      <c r="E20" s="30" t="s">
        <v>208</v>
      </c>
      <c r="F20" s="42">
        <v>400</v>
      </c>
      <c r="G20" s="42">
        <v>594</v>
      </c>
      <c r="H20" s="42">
        <v>14345</v>
      </c>
      <c r="I20" s="42">
        <v>17666</v>
      </c>
      <c r="J20" s="30" t="s">
        <v>209</v>
      </c>
      <c r="K20" s="42">
        <v>17867</v>
      </c>
      <c r="L20" s="134" t="s">
        <v>50</v>
      </c>
      <c r="M20" s="135">
        <f t="shared" si="0"/>
        <v>106.128</v>
      </c>
      <c r="N20" s="136" t="str">
        <f>VLOOKUP(C20,'Trips&amp;Operators'!$C$1:$G$99999,5,FALSE)</f>
        <v>MOSES BRADLEY</v>
      </c>
      <c r="O20" s="207" t="s">
        <v>184</v>
      </c>
      <c r="P20" s="137"/>
      <c r="Q20" s="30"/>
      <c r="R20" s="84" t="str">
        <f>IF(VLOOKUP(C20,'Train Runs'!$A$13:$AE$9941,1,1)=C20,VLOOKUP(C20,'Train Runs'!$A$13:$AE$9941,31,1),NA())</f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S20" s="87" t="str">
        <f>VLOOKUP(C20,'Train Runs'!$A$13:$AE$9941,22,0)</f>
        <v>https://d0f6bd738d7f1b3e5a7ca70fe4ff75f0.us-east-1.aws.found.io/app/kibana#/discover/Steve-Slow-Train-Analysis-(2080s-and-2083s)?_g=(refreshInterval:(display:Off,pause:!f,section:0,value:0),time:(from:'2017-05-05T14:57:43-0600',mode:absolute,to:'2017-05-05T17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0" s="89" t="str">
        <f t="shared" si="1"/>
        <v>"C:\Program Files (x86)\AstroGrep\AstroGrep.exe" /e /r /s /spath="%USERPROFILE%\AppData\Local\Temp\OnboardLogs" /stypes="*4022*201705052*"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4022</v>
      </c>
      <c r="V20" s="31">
        <f t="shared" si="3"/>
        <v>42860.919317129628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{"issue":{"subject":"","project_id":79,"tracker_id":40,"status_id":1,"priority_id":2,"assigned_to_id":23,"start_date":"2017-05-05","description":"","custom_fields":[{"id":1,"name":"Subdivision","value":"EC"},{"id":4,"name":"Milepost","value":"1.7867"},{"id":17,"name":"Train ID","value":"199-05"},{"id":16,"name":"Locomotive ID","value":"4022"},{"id":130,"name":"Impact","value":""},{"id":150,"name":"Time of Event (Mountain Time)","value":"16:03:49"},{"id":151,"name":"Denver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/cygdrive/c/Users/stu/AppData/Local/Temp/OnboardLogs/RTDC4022 --include="*4022*201705052*"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"%USERPROFILE%\AppData\Local\Temp\OnboardLogs"\RTDC4022\*4022*201705052* &gt;&gt; 2017-05-05-SliceDisagreementCheck.txt</v>
      </c>
      <c r="AE20" s="148" t="str">
        <f t="shared" si="9"/>
        <v>start /low /b %USERPROFILE%\Documents\GitHub\eaglep3\Utilities\DownloadLogsFromS3.py --loco 4022 --day 2017-05-05</v>
      </c>
      <c r="AF20" s="1"/>
    </row>
    <row r="21" spans="1:32" x14ac:dyDescent="0.25">
      <c r="A21" s="31">
        <v>42860.294583333336</v>
      </c>
      <c r="B21" s="30" t="s">
        <v>358</v>
      </c>
      <c r="C21" s="30" t="s">
        <v>595</v>
      </c>
      <c r="D21" s="30" t="s">
        <v>98</v>
      </c>
      <c r="E21" s="30" t="s">
        <v>208</v>
      </c>
      <c r="F21" s="42">
        <v>700</v>
      </c>
      <c r="G21" s="42">
        <v>750</v>
      </c>
      <c r="H21" s="42">
        <v>171080</v>
      </c>
      <c r="I21" s="42">
        <v>168047</v>
      </c>
      <c r="J21" s="30" t="s">
        <v>209</v>
      </c>
      <c r="K21" s="42">
        <v>183829</v>
      </c>
      <c r="L21" s="134" t="s">
        <v>51</v>
      </c>
      <c r="M21" s="135">
        <f t="shared" si="0"/>
        <v>-8332.8960000000006</v>
      </c>
      <c r="N21" s="136" t="str">
        <f>VLOOKUP(C21,'Trips&amp;Operators'!$C$1:$G$99999,5,FALSE)</f>
        <v>ROBINSON KADDIBA</v>
      </c>
      <c r="O21" s="207" t="s">
        <v>184</v>
      </c>
      <c r="P21" s="137"/>
      <c r="Q21" s="30"/>
      <c r="R21" s="84" t="str">
        <f>IF(VLOOKUP(C21,'Train Runs'!$A$13:$AE$9941,1,1)=C21,VLOOKUP(C21,'Train Runs'!$A$13:$AE$9941,31,1),NA())</f>
        <v>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 &amp; aws s3 cp s3://rtdc.mdm.uploadarchive.raw/RTDC4029/ "%USERPROFILE%\AppData\Local\Temp\OnboardLogs"\RTDC4029\2017-05-06 --exclude "*" --recursive --include "*20170506*" &amp; "%USERPROFILE%\Documents\GitHub\mrs-test-scripts\Headless Mode &amp; Sideloading\WalkAndUnGZ.bat" "%USERPROFILE%\AppData\Local\Temp\OnboardLogs"\RTDC4029\2017-05-06</v>
      </c>
      <c r="S21" s="87" t="str">
        <f>VLOOKUP(C21,'Train Runs'!$A$13:$AE$9941,22,0)</f>
        <v>https://d0f6bd738d7f1b3e5a7ca70fe4ff75f0.us-east-1.aws.found.io/app/kibana#/discover/Steve-Slow-Train-Analysis-(2080s-and-2083s)?_g=(refreshInterval:(display:Off,pause:!f,section:0,value:0),time:(from:'2017-05-05T05:53:57-0600',mode:absolute,to:'2017-05-05T08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89" t="str">
        <f t="shared" si="1"/>
        <v>"C:\Program Files (x86)\AstroGrep\AstroGrep.exe" /e /r /s /spath="%USERPROFILE%\AppData\Local\Temp\OnboardLogs" /stypes="*4029*201705051*"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4029</v>
      </c>
      <c r="V21" s="31">
        <f t="shared" si="3"/>
        <v>42860.544583333336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{"issue":{"subject":"","project_id":79,"tracker_id":40,"status_id":1,"priority_id":2,"assigned_to_id":23,"start_date":"2017-05-05","description":"","custom_fields":[{"id":1,"name":"Subdivision","value":"EC"},{"id":4,"name":"Milepost","value":"18.3829"},{"id":17,"name":"Train ID","value":"120-05"},{"id":16,"name":"Locomotive ID","value":"4029"},{"id":130,"name":"Impact","value":""},{"id":150,"name":"Time of Event (Mountain Time)","value":"07:04:12"},{"id":151,"name":"Denver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/cygdrive/c/Users/stu/AppData/Local/Temp/OnboardLogs/RTDC4029 --include="*4029*201705051*"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"%USERPROFILE%\AppData\Local\Temp\OnboardLogs"\RTDC4029\*4029*201705051* &gt;&gt; 2017-05-05-SliceDisagreementCheck.txt</v>
      </c>
      <c r="AE21" s="148" t="str">
        <f t="shared" si="9"/>
        <v>start /low /b %USERPROFILE%\Documents\GitHub\eaglep3\Utilities\DownloadLogsFromS3.py --loco 4029 --day 2017-05-05</v>
      </c>
      <c r="AF21" s="1"/>
    </row>
    <row r="22" spans="1:32" x14ac:dyDescent="0.25">
      <c r="A22" s="31">
        <v>42861.002418981479</v>
      </c>
      <c r="B22" s="30" t="s">
        <v>355</v>
      </c>
      <c r="C22" s="30" t="s">
        <v>628</v>
      </c>
      <c r="D22" s="30" t="s">
        <v>49</v>
      </c>
      <c r="E22" s="30" t="s">
        <v>208</v>
      </c>
      <c r="F22" s="42">
        <v>550</v>
      </c>
      <c r="G22" s="42">
        <v>787</v>
      </c>
      <c r="H22" s="42">
        <v>218074</v>
      </c>
      <c r="I22" s="42">
        <v>221861</v>
      </c>
      <c r="J22" s="30" t="s">
        <v>209</v>
      </c>
      <c r="K22" s="42">
        <v>222090</v>
      </c>
      <c r="L22" s="134" t="s">
        <v>50</v>
      </c>
      <c r="M22" s="135">
        <f t="shared" si="0"/>
        <v>120.91200000000001</v>
      </c>
      <c r="N22" s="136" t="str">
        <f>VLOOKUP(C22,'Trips&amp;Operators'!$C$1:$G$99999,5,FALSE)</f>
        <v>STORY SAMANTHA</v>
      </c>
      <c r="O22" s="207" t="s">
        <v>184</v>
      </c>
      <c r="P22" s="137"/>
      <c r="Q22" s="30"/>
      <c r="R22" s="84" t="str">
        <f>IF(VLOOKUP(C22,'Train Runs'!$A$13:$AE$9941,1,1)=C22,VLOOKUP(C22,'Train Runs'!$A$13:$AE$9941,31,1),NA())</f>
        <v>aws s3 cp s3://rtdc.mdm.uploadarchive.raw/RTDC4022/ "%USERPROFILE%\AppData\Local\Temp\OnboardLogs"\RTDC4022\2017-05-05 --exclude "*" --recursive --include "*20170505*" &amp; "%USERPROFILE%\Documents\GitHub\mrs-test-scripts\Headless Mode &amp; Sideloading\WalkAndUnGZ.bat" "%USERPROFILE%\AppData\Local\Temp\OnboardLogs"\RTDC4022\2017-05-05 &amp; aws s3 cp s3://rtdc.mdm.uploadarchive.raw/RTDC4022/ "%USERPROFILE%\AppData\Local\Temp\OnboardLogs"\RTDC4022\2017-05-06 --exclude "*" --recursive --include "*20170506*" &amp; "%USERPROFILE%\Documents\GitHub\mrs-test-scripts\Headless Mode &amp; Sideloading\WalkAndUnGZ.bat" "%USERPROFILE%\AppData\Local\Temp\OnboardLogs"\RTDC4022\2017-05-06</v>
      </c>
      <c r="S22" s="87" t="str">
        <f>VLOOKUP(C22,'Train Runs'!$A$13:$AE$9941,22,0)</f>
        <v>https://d0f6bd738d7f1b3e5a7ca70fe4ff75f0.us-east-1.aws.found.io/app/kibana#/discover/Steve-Slow-Train-Analysis-(2080s-and-2083s)?_g=(refreshInterval:(display:Off,pause:!f,section:0,value:0),time:(from:'2017-05-05T22:19:38-0600',mode:absolute,to:'2017-05-06T01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2" s="89" t="str">
        <f t="shared" si="1"/>
        <v>"C:\Program Files (x86)\AstroGrep\AstroGrep.exe" /e /r /s /spath="%USERPROFILE%\AppData\Local\Temp\OnboardLogs" /stypes="*4022*201705060*" /stext=" 06:.+((SYSTEM_STATE.+slice.+state.+changed )|(ment ac)|(multiple cpu faults)|(system.+state.+changed )|(\[timeout)|(PRM\|1\|D)|(kpr)|(kdp)|(train st.+moving)|(\|lc)|(penalty))"</v>
      </c>
      <c r="U22" s="9" t="str">
        <f t="shared" si="2"/>
        <v>4022</v>
      </c>
      <c r="V22" s="31">
        <f t="shared" si="3"/>
        <v>42861.252418981479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{"issue":{"subject":"","project_id":79,"tracker_id":40,"status_id":1,"priority_id":2,"assigned_to_id":23,"start_date":"2017-05-06","description":"","custom_fields":[{"id":1,"name":"Subdivision","value":"EC"},{"id":4,"name":"Milepost","value":"22.209"},{"id":17,"name":"Train ID","value":"239-05"},{"id":16,"name":"Locomotive ID","value":"4022"},{"id":130,"name":"Impact","value":""},{"id":150,"name":"Time of Event (Mountain Time)","value":"00:03:29"},{"id":151,"name":"Denver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/cygdrive/c/Users/stu/AppData/Local/Temp/OnboardLogs/RTDC4022 --include="*4022*201705060*"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"%USERPROFILE%\AppData\Local\Temp\OnboardLogs"\RTDC4022\*4022*201705060* &gt;&gt; 2017-05-05-SliceDisagreementCheck.txt</v>
      </c>
      <c r="AE22" s="148" t="str">
        <f t="shared" si="9"/>
        <v>start /low /b %USERPROFILE%\Documents\GitHub\eaglep3\Utilities\DownloadLogsFromS3.py --loco 4022 --day 2017-05-06</v>
      </c>
      <c r="AF22" s="1"/>
    </row>
    <row r="23" spans="1:32" x14ac:dyDescent="0.25">
      <c r="A23" s="31">
        <v>42860.260891203703</v>
      </c>
      <c r="B23" s="30" t="s">
        <v>592</v>
      </c>
      <c r="C23" s="30" t="s">
        <v>593</v>
      </c>
      <c r="D23" s="30" t="s">
        <v>49</v>
      </c>
      <c r="E23" s="30" t="s">
        <v>481</v>
      </c>
      <c r="F23" s="42">
        <v>0</v>
      </c>
      <c r="G23" s="42">
        <v>126</v>
      </c>
      <c r="H23" s="42">
        <v>956</v>
      </c>
      <c r="I23" s="42">
        <v>1091</v>
      </c>
      <c r="J23" s="30" t="s">
        <v>482</v>
      </c>
      <c r="K23" s="42">
        <v>1692</v>
      </c>
      <c r="L23" s="134" t="s">
        <v>50</v>
      </c>
      <c r="M23" s="135">
        <f t="shared" si="0"/>
        <v>317.32799999999997</v>
      </c>
      <c r="N23" s="136" t="str">
        <f>VLOOKUP(C23,'Trips&amp;Operators'!$C$1:$G$99999,5,FALSE)</f>
        <v>STARKS ANGELINA</v>
      </c>
      <c r="O23" s="207" t="s">
        <v>184</v>
      </c>
      <c r="P23" s="137" t="s">
        <v>1052</v>
      </c>
      <c r="Q23" s="30"/>
      <c r="R23" s="84" t="str">
        <f>IF(VLOOKUP(C23,'Train Runs'!$A$13:$AE$9941,1,1)=C23,VLOOKUP(C23,'Train Runs'!$A$13:$AE$9941,31,1),NA())</f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S23" s="87" t="str">
        <f>VLOOKUP(C23,'Train Runs'!$A$13:$AE$9941,22,0)</f>
        <v>https://d0f6bd738d7f1b3e5a7ca70fe4ff75f0.us-east-1.aws.found.io/app/kibana#/discover/Steve-Slow-Train-Analysis-(2080s-and-2083s)?_g=(refreshInterval:(display:Off,pause:!f,section:0,value:0),time:(from:'2017-05-05T05:11:15-0600',mode:absolute,to:'2017-05-05T07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89" t="str">
        <f t="shared" si="1"/>
        <v>"C:\Program Files (x86)\AstroGrep\AstroGrep.exe" /e /r /s /spath="%USERPROFILE%\AppData\Local\Temp\OnboardLogs" /stypes="*4008*201705051*" /stext=" 12:.+((SYSTEM_STATE.+slice.+state.+changed )|(ment ac)|(multiple cpu faults)|(system.+state.+changed )|(\[timeout)|(PRM\|1\|D)|(kpr)|(kdp)|(train st.+moving)|(\|lc)|(penalty))"</v>
      </c>
      <c r="U23" s="9" t="str">
        <f t="shared" si="2"/>
        <v>4008</v>
      </c>
      <c r="V23" s="31">
        <f t="shared" si="3"/>
        <v>42860.510891203703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{"issue":{"subject":"Selected wrong track","project_id":79,"tracker_id":40,"status_id":1,"priority_id":2,"assigned_to_id":23,"start_date":"2017-05-05","description":"","custom_fields":[{"id":1,"name":"Subdivision","value":"EC"},{"id":4,"name":"Milepost","value":"0.1692"},{"id":17,"name":"Train ID","value":"121-05"},{"id":16,"name":"Locomotive ID","value":"4008"},{"id":130,"name":"Impact","value":""},{"id":150,"name":"Time of Event (Mountain Time)","value":"06:15:41"},{"id":151,"name":"Denver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/cygdrive/c/Users/stu/AppData/Local/Temp/OnboardLogs/RTDC4008 --include="*4008*201705051*"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"%USERPROFILE%\AppData\Local\Temp\OnboardLogs"\RTDC4008\*4008*201705051* &gt;&gt; 2017-05-05-SliceDisagreementCheck.txt</v>
      </c>
      <c r="AE23" s="148" t="str">
        <f t="shared" si="9"/>
        <v>start /low /b %USERPROFILE%\Documents\GitHub\eaglep3\Utilities\DownloadLogsFromS3.py --loco 4008 --day 2017-05-05</v>
      </c>
      <c r="AF23" s="1"/>
    </row>
    <row r="24" spans="1:32" x14ac:dyDescent="0.25">
      <c r="A24" s="31">
        <v>42860.396226851852</v>
      </c>
      <c r="B24" s="30" t="s">
        <v>199</v>
      </c>
      <c r="C24" s="30" t="s">
        <v>602</v>
      </c>
      <c r="D24" s="30" t="s">
        <v>49</v>
      </c>
      <c r="E24" s="30" t="s">
        <v>481</v>
      </c>
      <c r="F24" s="42">
        <v>0</v>
      </c>
      <c r="G24" s="42">
        <v>128</v>
      </c>
      <c r="H24" s="42">
        <v>874</v>
      </c>
      <c r="I24" s="42">
        <v>1122</v>
      </c>
      <c r="J24" s="30" t="s">
        <v>482</v>
      </c>
      <c r="K24" s="42">
        <v>1692</v>
      </c>
      <c r="L24" s="134" t="s">
        <v>50</v>
      </c>
      <c r="M24" s="135">
        <f t="shared" si="0"/>
        <v>300.95999999999998</v>
      </c>
      <c r="N24" s="136" t="str">
        <f>VLOOKUP(C24,'Trips&amp;Operators'!$C$1:$G$99999,5,FALSE)</f>
        <v>ROBINSON KADDIBA</v>
      </c>
      <c r="O24" s="207" t="s">
        <v>184</v>
      </c>
      <c r="P24" s="137" t="s">
        <v>1053</v>
      </c>
      <c r="Q24" s="30"/>
      <c r="R24" s="84" t="str">
        <f>IF(VLOOKUP(C24,'Train Runs'!$A$13:$AE$9941,1,1)=C24,VLOOKUP(C24,'Train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24" s="87" t="str">
        <f>VLOOKUP(C24,'Train Runs'!$A$13:$AE$9941,22,0)</f>
        <v>https://d0f6bd738d7f1b3e5a7ca70fe4ff75f0.us-east-1.aws.found.io/app/kibana#/discover/Steve-Slow-Train-Analysis-(2080s-and-2083s)?_g=(refreshInterval:(display:Off,pause:!f,section:0,value:0),time:(from:'2017-05-05T08:23:15-0600',mode:absolute,to:'2017-05-05T11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89" t="str">
        <f t="shared" si="1"/>
        <v>"C:\Program Files (x86)\AstroGrep\AstroGrep.exe" /e /r /s /spath="%USERPROFILE%\AppData\Local\Temp\OnboardLogs" /stypes="*4030*201705051*"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4030</v>
      </c>
      <c r="V24" s="31">
        <f t="shared" si="3"/>
        <v>42860.646226851852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{"issue":{"subject":"DUS 4N STOP","project_id":79,"tracker_id":40,"status_id":1,"priority_id":2,"assigned_to_id":23,"start_date":"2017-05-05","description":"","custom_fields":[{"id":1,"name":"Subdivision","value":"EC"},{"id":4,"name":"Milepost","value":"0.1692"},{"id":17,"name":"Train ID","value":"147-05"},{"id":16,"name":"Locomotive ID","value":"4030"},{"id":130,"name":"Impact","value":""},{"id":150,"name":"Time of Event (Mountain Time)","value":"09:30:34"},{"id":151,"name":"Denver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/cygdrive/c/Users/stu/AppData/Local/Temp/OnboardLogs/RTDC4030 --include="*4030*201705051*"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"%USERPROFILE%\AppData\Local\Temp\OnboardLogs"\RTDC4030\*4030*201705051* &gt;&gt; 2017-05-05-SliceDisagreementCheck.txt</v>
      </c>
      <c r="AE24" s="148" t="str">
        <f t="shared" si="9"/>
        <v>start /low /b %USERPROFILE%\Documents\GitHub\eaglep3\Utilities\DownloadLogsFromS3.py --loco 4030 --day 2017-05-05</v>
      </c>
      <c r="AF24" s="1"/>
    </row>
    <row r="25" spans="1:32" x14ac:dyDescent="0.25">
      <c r="A25" s="31">
        <v>42860.406747685185</v>
      </c>
      <c r="B25" s="30" t="s">
        <v>592</v>
      </c>
      <c r="C25" s="30" t="s">
        <v>603</v>
      </c>
      <c r="D25" s="30" t="s">
        <v>49</v>
      </c>
      <c r="E25" s="30" t="s">
        <v>481</v>
      </c>
      <c r="F25" s="42">
        <v>0</v>
      </c>
      <c r="G25" s="42">
        <v>134</v>
      </c>
      <c r="H25" s="42">
        <v>1041</v>
      </c>
      <c r="I25" s="42">
        <v>1196</v>
      </c>
      <c r="J25" s="30" t="s">
        <v>482</v>
      </c>
      <c r="K25" s="42">
        <v>1692</v>
      </c>
      <c r="L25" s="134" t="s">
        <v>50</v>
      </c>
      <c r="M25" s="135">
        <f t="shared" si="0"/>
        <v>261.88799999999998</v>
      </c>
      <c r="N25" s="136" t="str">
        <f>VLOOKUP(C25,'Trips&amp;Operators'!$C$1:$G$99999,5,FALSE)</f>
        <v>STARKS ANGELINA</v>
      </c>
      <c r="O25" s="207" t="s">
        <v>184</v>
      </c>
      <c r="P25" s="137" t="s">
        <v>1052</v>
      </c>
      <c r="Q25" s="30"/>
      <c r="R25" s="84" t="str">
        <f>IF(VLOOKUP(C25,'Train Runs'!$A$13:$AE$9941,1,1)=C25,VLOOKUP(C25,'Train Runs'!$A$13:$AE$9941,31,1),NA())</f>
        <v>aws s3 cp s3://rtdc.mdm.uploadarchive.raw/RTDC4008/ "%USERPROFILE%\AppData\Local\Temp\OnboardLogs"\RTDC4008\2017-05-05 --exclude "*" --recursive --include "*20170505*" &amp; "%USERPROFILE%\Documents\GitHub\mrs-test-scripts\Headless Mode &amp; Sideloading\WalkAndUnGZ.bat" "%USERPROFILE%\AppData\Local\Temp\OnboardLogs"\RTDC4008\2017-05-05 &amp; 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</v>
      </c>
      <c r="S25" s="87" t="str">
        <f>VLOOKUP(C25,'Train Runs'!$A$13:$AE$9941,22,0)</f>
        <v>https://d0f6bd738d7f1b3e5a7ca70fe4ff75f0.us-east-1.aws.found.io/app/kibana#/discover/Steve-Slow-Train-Analysis-(2080s-and-2083s)?_g=(refreshInterval:(display:Off,pause:!f,section:0,value:0),time:(from:'2017-05-05T08:41:15-0600',mode:absolute,to:'2017-05-05T11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5" s="89" t="str">
        <f t="shared" si="1"/>
        <v>"C:\Program Files (x86)\AstroGrep\AstroGrep.exe" /e /r /s /spath="%USERPROFILE%\AppData\Local\Temp\OnboardLogs" /stypes="*4008*201705051*" /stext=" 15:.+((SYSTEM_STATE.+slice.+state.+changed )|(ment ac)|(multiple cpu faults)|(system.+state.+changed )|(\[timeout)|(PRM\|1\|D)|(kpr)|(kdp)|(train st.+moving)|(\|lc)|(penalty))"</v>
      </c>
      <c r="U25" s="9" t="str">
        <f t="shared" si="2"/>
        <v>4008</v>
      </c>
      <c r="V25" s="31">
        <f t="shared" si="3"/>
        <v>42860.656747685185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{"issue":{"subject":"Selected wrong track","project_id":79,"tracker_id":40,"status_id":1,"priority_id":2,"assigned_to_id":23,"start_date":"2017-05-05","description":"","custom_fields":[{"id":1,"name":"Subdivision","value":"EC"},{"id":4,"name":"Milepost","value":"0.1692"},{"id":17,"name":"Train ID","value":"149-05"},{"id":16,"name":"Locomotive ID","value":"4008"},{"id":130,"name":"Impact","value":""},{"id":150,"name":"Time of Event (Mountain Time)","value":"09:45:43"},{"id":151,"name":"Denver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/cygdrive/c/Users/stu/AppData/Local/Temp/OnboardLogs/RTDC4008 --include="*4008*201705051*"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"%USERPROFILE%\AppData\Local\Temp\OnboardLogs"\RTDC4008\*4008*201705051* &gt;&gt; 2017-05-05-SliceDisagreementCheck.txt</v>
      </c>
      <c r="AE25" s="148" t="str">
        <f t="shared" si="9"/>
        <v>start /low /b %USERPROFILE%\Documents\GitHub\eaglep3\Utilities\DownloadLogsFromS3.py --loco 4008 --day 2017-05-05</v>
      </c>
      <c r="AF25" s="1"/>
    </row>
    <row r="26" spans="1:32" x14ac:dyDescent="0.25">
      <c r="A26" s="31">
        <v>42860.613240740742</v>
      </c>
      <c r="B26" s="30" t="s">
        <v>433</v>
      </c>
      <c r="C26" s="30" t="s">
        <v>609</v>
      </c>
      <c r="D26" s="30" t="s">
        <v>49</v>
      </c>
      <c r="E26" s="30" t="s">
        <v>481</v>
      </c>
      <c r="F26" s="42">
        <v>0</v>
      </c>
      <c r="G26" s="42">
        <v>320</v>
      </c>
      <c r="H26" s="42">
        <v>63632</v>
      </c>
      <c r="I26" s="42">
        <v>64224</v>
      </c>
      <c r="J26" s="30" t="s">
        <v>482</v>
      </c>
      <c r="K26" s="42">
        <v>63995</v>
      </c>
      <c r="L26" s="134" t="s">
        <v>50</v>
      </c>
      <c r="M26" s="135">
        <f t="shared" si="0"/>
        <v>-120.91200000000001</v>
      </c>
      <c r="N26" s="136" t="str">
        <f>VLOOKUP(C26,'Trips&amp;Operators'!$C$1:$G$99999,5,FALSE)</f>
        <v>LOPES KIMBERLY</v>
      </c>
      <c r="O26" s="207" t="s">
        <v>485</v>
      </c>
      <c r="P26" s="137" t="s">
        <v>525</v>
      </c>
      <c r="Q26" s="30"/>
      <c r="R26" s="84" t="str">
        <f>IF(VLOOKUP(C26,'Train Runs'!$A$13:$AE$9941,1,1)=C26,VLOOKUP(C26,'Train Runs'!$A$13:$AE$9941,31,1),NA())</f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S26" s="87" t="str">
        <f>VLOOKUP(C26,'Train Runs'!$A$13:$AE$9941,22,0)</f>
        <v>https://d0f6bd738d7f1b3e5a7ca70fe4ff75f0.us-east-1.aws.found.io/app/kibana#/discover/Steve-Slow-Train-Analysis-(2080s-and-2083s)?_g=(refreshInterval:(display:Off,pause:!f,section:0,value:0),time:(from:'2017-05-05T13:57:35-0600',mode:absolute,to:'2017-05-05T16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9" t="str">
        <f t="shared" si="1"/>
        <v>"C:\Program Files (x86)\AstroGrep\AstroGrep.exe" /e /r /s /spath="%USERPROFILE%\AppData\Local\Temp\OnboardLogs" /stypes="*4042*201705052*"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42860.863240740742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drop","project_id":79,"tracker_id":40,"status_id":1,"priority_id":2,"assigned_to_id":23,"start_date":"2017-05-05","description":"","custom_fields":[{"id":1,"name":"Subdivision","value":"EC"},{"id":4,"name":"Milepost","value":"6.3995"},{"id":17,"name":"Train ID","value":"187-05"},{"id":16,"name":"Locomotive ID","value":"4042"},{"id":130,"name":"Impact","value":""},{"id":150,"name":"Time of Event (Mountain Time)","value":"14:43:04"},{"id":151,"name":"Denver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/cygdrive/c/Users/stu/AppData/Local/Temp/OnboardLogs/RTDC4042 --include="*4042*201705052*"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"%USERPROFILE%\AppData\Local\Temp\OnboardLogs"\RTDC4042\*4042*201705052* &gt;&gt; 2017-05-05-SliceDisagreementCheck.txt</v>
      </c>
      <c r="AE26" s="148" t="str">
        <f t="shared" si="9"/>
        <v>start /low /b %USERPROFILE%\Documents\GitHub\eaglep3\Utilities\DownloadLogsFromS3.py --loco 4042 --day 2017-05-05</v>
      </c>
      <c r="AF26" s="1"/>
    </row>
    <row r="27" spans="1:32" x14ac:dyDescent="0.25">
      <c r="A27" s="31">
        <v>42860.848020833335</v>
      </c>
      <c r="B27" s="30" t="s">
        <v>350</v>
      </c>
      <c r="C27" s="30" t="s">
        <v>621</v>
      </c>
      <c r="D27" s="30" t="s">
        <v>98</v>
      </c>
      <c r="E27" s="30" t="s">
        <v>481</v>
      </c>
      <c r="F27" s="42">
        <v>200</v>
      </c>
      <c r="G27" s="42">
        <v>279</v>
      </c>
      <c r="H27" s="42">
        <v>83142</v>
      </c>
      <c r="I27" s="42">
        <v>82197</v>
      </c>
      <c r="J27" s="30" t="s">
        <v>482</v>
      </c>
      <c r="K27" s="42">
        <v>87902</v>
      </c>
      <c r="L27" s="134" t="s">
        <v>51</v>
      </c>
      <c r="M27" s="135">
        <f t="shared" si="0"/>
        <v>-3012.24</v>
      </c>
      <c r="N27" s="136" t="str">
        <f>VLOOKUP(C27,'Trips&amp;Operators'!$C$1:$G$99999,5,FALSE)</f>
        <v>BROWN JACOB</v>
      </c>
      <c r="O27" s="207" t="s">
        <v>184</v>
      </c>
      <c r="P27" s="137" t="s">
        <v>1054</v>
      </c>
      <c r="Q27" s="30"/>
      <c r="R27" s="84" t="str">
        <f>IF(VLOOKUP(C27,'Train Runs'!$A$13:$AE$9941,1,1)=C27,VLOOKUP(C27,'Train Runs'!$A$13:$AE$9941,31,1),NA())</f>
        <v>aws s3 cp s3://rtdc.mdm.uploadarchive.raw/RTDC4027/ "%USERPROFILE%\AppData\Local\Temp\OnboardLogs"\RTDC4027\2017-05-05 --exclude "*" --recursive --include "*20170505*" &amp; "%USERPROFILE%\Documents\GitHub\mrs-test-scripts\Headless Mode &amp; Sideloading\WalkAndUnGZ.bat" "%USERPROFILE%\AppData\Local\Temp\OnboardLogs"\RTDC4027\2017-05-05 &amp; aws s3 cp s3://rtdc.mdm.uploadarchive.raw/RTDC4027/ "%USERPROFILE%\AppData\Local\Temp\OnboardLogs"\RTDC4027\2017-05-06 --exclude "*" --recursive --include "*20170506*" &amp; "%USERPROFILE%\Documents\GitHub\mrs-test-scripts\Headless Mode &amp; Sideloading\WalkAndUnGZ.bat" "%USERPROFILE%\AppData\Local\Temp\OnboardLogs"\RTDC4027\2017-05-06</v>
      </c>
      <c r="S27" s="87" t="str">
        <f>VLOOKUP(C27,'Train Runs'!$A$13:$AE$9941,22,0)</f>
        <v>https://d0f6bd738d7f1b3e5a7ca70fe4ff75f0.us-east-1.aws.found.io/app/kibana#/discover/Steve-Slow-Train-Analysis-(2080s-and-2083s)?_g=(refreshInterval:(display:Off,pause:!f,section:0,value:0),time:(from:'2017-05-05T18:51:54-0600',mode:absolute,to:'2017-05-05T21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7" s="89" t="str">
        <f t="shared" si="1"/>
        <v>"C:\Program Files (x86)\AstroGrep\AstroGrep.exe" /e /r /s /spath="%USERPROFILE%\AppData\Local\Temp\OnboardLogs" /stypes="*4027*201705060*" /stext=" 02:.+((SYSTEM_STATE.+slice.+state.+changed )|(ment ac)|(multiple cpu faults)|(system.+state.+changed )|(\[timeout)|(PRM\|1\|D)|(kpr)|(kdp)|(train st.+moving)|(\|lc)|(penalty))"</v>
      </c>
      <c r="U27" s="9" t="str">
        <f t="shared" si="2"/>
        <v>4027</v>
      </c>
      <c r="V27" s="31">
        <f t="shared" si="3"/>
        <v>42861.098020833335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Overspeed","project_id":79,"tracker_id":40,"status_id":1,"priority_id":2,"assigned_to_id":23,"start_date":"2017-05-05","description":"","custom_fields":[{"id":1,"name":"Subdivision","value":"EC"},{"id":4,"name":"Milepost","value":"8.7902"},{"id":17,"name":"Train ID","value":"222-05"},{"id":16,"name":"Locomotive ID","value":"4027"},{"id":130,"name":"Impact","value":""},{"id":150,"name":"Time of Event (Mountain Time)","value":"20:21:09"},{"id":151,"name":"Denver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/cygdrive/c/Users/stu/AppData/Local/Temp/OnboardLogs/RTDC4027 --include="*4027*201705060*"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"%USERPROFILE%\AppData\Local\Temp\OnboardLogs"\RTDC4027\*4027*201705060* &gt;&gt; 2017-05-05-SliceDisagreementCheck.txt</v>
      </c>
      <c r="AE27" s="148" t="str">
        <f t="shared" si="9"/>
        <v>start /low /b %USERPROFILE%\Documents\GitHub\eaglep3\Utilities\DownloadLogsFromS3.py --loco 4027 --day 2017-05-06</v>
      </c>
      <c r="AF27" s="1"/>
    </row>
    <row r="28" spans="1:32" x14ac:dyDescent="0.25">
      <c r="A28" s="31">
        <v>42860.62228009259</v>
      </c>
      <c r="B28" s="30" t="s">
        <v>433</v>
      </c>
      <c r="C28" s="30" t="s">
        <v>609</v>
      </c>
      <c r="D28" s="30" t="s">
        <v>49</v>
      </c>
      <c r="E28" s="30" t="s">
        <v>610</v>
      </c>
      <c r="F28" s="42">
        <v>0</v>
      </c>
      <c r="G28" s="42">
        <v>567</v>
      </c>
      <c r="H28" s="42">
        <v>122427</v>
      </c>
      <c r="I28" s="42">
        <v>124399</v>
      </c>
      <c r="J28" s="30" t="s">
        <v>611</v>
      </c>
      <c r="K28" s="42">
        <v>126678</v>
      </c>
      <c r="L28" s="134" t="s">
        <v>50</v>
      </c>
      <c r="M28" s="135">
        <f t="shared" si="0"/>
        <v>1203.3119999999999</v>
      </c>
      <c r="N28" s="136" t="str">
        <f>VLOOKUP(C28,'Trips&amp;Operators'!$C$1:$G$99999,5,FALSE)</f>
        <v>LOPES KIMBERLY</v>
      </c>
      <c r="O28" s="207" t="s">
        <v>485</v>
      </c>
      <c r="P28" s="137" t="s">
        <v>525</v>
      </c>
      <c r="Q28" s="30"/>
      <c r="R28" s="84" t="str">
        <f>IF(VLOOKUP(C28,'Train Runs'!$A$13:$AE$9941,1,1)=C28,VLOOKUP(C28,'Train Runs'!$A$13:$AE$9941,31,1),NA())</f>
        <v>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 &amp; 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</v>
      </c>
      <c r="S28" s="87" t="str">
        <f>VLOOKUP(C28,'Train Runs'!$A$13:$AE$9941,22,0)</f>
        <v>https://d0f6bd738d7f1b3e5a7ca70fe4ff75f0.us-east-1.aws.found.io/app/kibana#/discover/Steve-Slow-Train-Analysis-(2080s-and-2083s)?_g=(refreshInterval:(display:Off,pause:!f,section:0,value:0),time:(from:'2017-05-05T13:57:35-0600',mode:absolute,to:'2017-05-05T16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8" s="89" t="str">
        <f t="shared" si="1"/>
        <v>"C:\Program Files (x86)\AstroGrep\AstroGrep.exe" /e /r /s /spath="%USERPROFILE%\AppData\Local\Temp\OnboardLogs" /stypes="*4042*201705052*"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4042</v>
      </c>
      <c r="V28" s="31">
        <f t="shared" si="3"/>
        <v>42860.87228009259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{"issue":{"subject":"Wi-MAX data drop","project_id":79,"tracker_id":40,"status_id":1,"priority_id":2,"assigned_to_id":23,"start_date":"2017-05-05","description":"","custom_fields":[{"id":1,"name":"Subdivision","value":"EC"},{"id":4,"name":"Milepost","value":"12.6678"},{"id":17,"name":"Train ID","value":"187-05"},{"id":16,"name":"Locomotive ID","value":"4042"},{"id":130,"name":"Impact","value":""},{"id":150,"name":"Time of Event (Mountain Time)","value":"14:56:05"},{"id":151,"name":"Denver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/cygdrive/c/Users/stu/AppData/Local/Temp/OnboardLogs/RTDC4042 --include="*4042*201705052*"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"%USERPROFILE%\AppData\Local\Temp\OnboardLogs"\RTDC4042\*4042*201705052* &gt;&gt; 2017-05-05-SliceDisagreementCheck.txt</v>
      </c>
      <c r="AE28" s="148" t="str">
        <f t="shared" si="9"/>
        <v>start /low /b %USERPROFILE%\Documents\GitHub\eaglep3\Utilities\DownloadLogsFromS3.py --loco 4042 --day 2017-05-05</v>
      </c>
      <c r="AF28" s="1"/>
    </row>
    <row r="29" spans="1:32" x14ac:dyDescent="0.25">
      <c r="A29" s="31">
        <v>42861.066250000003</v>
      </c>
      <c r="B29" s="30" t="s">
        <v>349</v>
      </c>
      <c r="C29" s="30" t="s">
        <v>629</v>
      </c>
      <c r="D29" s="30" t="s">
        <v>49</v>
      </c>
      <c r="E29" s="30" t="s">
        <v>610</v>
      </c>
      <c r="F29" s="42">
        <v>0</v>
      </c>
      <c r="G29" s="42">
        <v>659</v>
      </c>
      <c r="H29" s="42">
        <v>214739</v>
      </c>
      <c r="I29" s="42">
        <v>217678</v>
      </c>
      <c r="J29" s="30" t="s">
        <v>611</v>
      </c>
      <c r="K29" s="42">
        <v>217106</v>
      </c>
      <c r="L29" s="134" t="s">
        <v>50</v>
      </c>
      <c r="M29" s="135">
        <f t="shared" si="0"/>
        <v>-302.01600000000002</v>
      </c>
      <c r="N29" s="136" t="str">
        <f>VLOOKUP(C29,'Trips&amp;Operators'!$C$1:$G$99999,5,FALSE)</f>
        <v>BROWN JACOB</v>
      </c>
      <c r="O29" s="207" t="s">
        <v>485</v>
      </c>
      <c r="P29" s="137" t="s">
        <v>525</v>
      </c>
      <c r="Q29" s="30"/>
      <c r="R29" s="84" t="str">
        <f>IF(VLOOKUP(C29,'Train Runs'!$A$13:$AE$9941,1,1)=C29,VLOOKUP(C29,'Train Runs'!$A$13:$AE$9941,31,1),NA())</f>
        <v>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 &amp; 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</v>
      </c>
      <c r="S29" s="87" t="str">
        <f>VLOOKUP(C29,'Train Runs'!$A$13:$AE$9941,22,0)</f>
        <v>https://d0f6bd738d7f1b3e5a7ca70fe4ff75f0.us-east-1.aws.found.io/app/kibana#/discover/Steve-Slow-Train-Analysis-(2080s-and-2083s)?_g=(refreshInterval:(display:Off,pause:!f,section:0,value:0),time:(from:'2017-05-05T23:54:57-0600',mode:absolute,to:'2017-05-06T02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9" s="89" t="str">
        <f t="shared" si="1"/>
        <v>"C:\Program Files (x86)\AstroGrep\AstroGrep.exe" /e /r /s /spath="%USERPROFILE%\AppData\Local\Temp\OnboardLogs" /stypes="*4028*201705060*" /stext=" 07:.+((SYSTEM_STATE.+slice.+state.+changed )|(ment ac)|(multiple cpu faults)|(system.+state.+changed )|(\[timeout)|(PRM\|1\|D)|(kpr)|(kdp)|(train st.+moving)|(\|lc)|(penalty))"</v>
      </c>
      <c r="U29" s="9" t="str">
        <f t="shared" si="2"/>
        <v>4028</v>
      </c>
      <c r="V29" s="31">
        <f t="shared" si="3"/>
        <v>42861.316250000003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{"issue":{"subject":"Wi-MAX data drop","project_id":79,"tracker_id":40,"status_id":1,"priority_id":2,"assigned_to_id":23,"start_date":"2017-05-06","description":"","custom_fields":[{"id":1,"name":"Subdivision","value":"EC"},{"id":4,"name":"Milepost","value":"21.7106"},{"id":17,"name":"Train ID","value":"245-05"},{"id":16,"name":"Locomotive ID","value":"4028"},{"id":130,"name":"Impact","value":""},{"id":150,"name":"Time of Event (Mountain Time)","value":"01:35:24"},{"id":151,"name":"Denver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/cygdrive/c/Users/stu/AppData/Local/Temp/OnboardLogs/RTDC4028 --include="*4028*201705060*"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"%USERPROFILE%\AppData\Local\Temp\OnboardLogs"\RTDC4028\*4028*201705060* &gt;&gt; 2017-05-05-SliceDisagreementCheck.txt</v>
      </c>
      <c r="AE29" s="148" t="str">
        <f t="shared" si="9"/>
        <v>start /low /b %USERPROFILE%\Documents\GitHub\eaglep3\Utilities\DownloadLogsFromS3.py --loco 4028 --day 2017-05-06</v>
      </c>
      <c r="AF29" s="1"/>
    </row>
    <row r="30" spans="1:32" x14ac:dyDescent="0.25">
      <c r="A30" s="31">
        <v>42860.306122685186</v>
      </c>
      <c r="B30" s="30" t="s">
        <v>526</v>
      </c>
      <c r="C30" s="30" t="s">
        <v>596</v>
      </c>
      <c r="D30" s="30" t="s">
        <v>49</v>
      </c>
      <c r="E30" s="30" t="s">
        <v>185</v>
      </c>
      <c r="F30" s="42">
        <v>0</v>
      </c>
      <c r="G30" s="42">
        <v>56</v>
      </c>
      <c r="H30" s="42">
        <v>198</v>
      </c>
      <c r="I30" s="42">
        <v>136</v>
      </c>
      <c r="J30" s="30" t="s">
        <v>186</v>
      </c>
      <c r="K30" s="42">
        <v>1</v>
      </c>
      <c r="L30" s="134" t="s">
        <v>51</v>
      </c>
      <c r="M30" s="135">
        <f t="shared" si="0"/>
        <v>71.28</v>
      </c>
      <c r="N30" s="136" t="str">
        <f>VLOOKUP(C30,'Trips&amp;Operators'!$C$1:$G$99999,5,FALSE)</f>
        <v>DAVIS WENDY</v>
      </c>
      <c r="O30" s="207" t="s">
        <v>184</v>
      </c>
      <c r="P30" s="137"/>
      <c r="Q30" s="30"/>
      <c r="R30" s="84" t="str">
        <f>IF(VLOOKUP(C30,'Train Runs'!$A$13:$AE$9941,1,1)=C30,VLOOKUP(C30,'Train Runs'!$A$13:$AE$9941,31,1),NA())</f>
        <v>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 &amp; 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</v>
      </c>
      <c r="S30" s="87" t="str">
        <f>VLOOKUP(C30,'Train Runs'!$A$13:$AE$9941,22,0)</f>
        <v>https://d0f6bd738d7f1b3e5a7ca70fe4ff75f0.us-east-1.aws.found.io/app/kibana#/discover/Steve-Slow-Train-Analysis-(2080s-and-2083s)?_g=(refreshInterval:(display:Off,pause:!f,section:0,value:0),time:(from:'2017-05-05T05:35:27-0600',mode:absolute,to:'2017-05-05T08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0" s="89" t="str">
        <f t="shared" si="1"/>
        <v>"C:\Program Files (x86)\AstroGrep\AstroGrep.exe" /e /r /s /spath="%USERPROFILE%\AppData\Local\Temp\OnboardLogs" /stypes="*4041*201705051*"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4041</v>
      </c>
      <c r="V30" s="31">
        <f t="shared" si="3"/>
        <v>42860.556122685186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{"issue":{"subject":"","project_id":79,"tracker_id":40,"status_id":1,"priority_id":2,"assigned_to_id":23,"start_date":"2017-05-05","description":"","custom_fields":[{"id":1,"name":"Subdivision","value":"EC"},{"id":4,"name":"Milepost","value":"0.0001"},{"id":17,"name":"Train ID","value":"118-05"},{"id":16,"name":"Locomotive ID","value":"4041"},{"id":130,"name":"Impact","value":""},{"id":150,"name":"Time of Event (Mountain Time)","value":"07:20:49"},{"id":151,"name":"Denver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/cygdrive/c/Users/stu/AppData/Local/Temp/OnboardLogs/RTDC4041 --include="*4041*201705051*"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"%USERPROFILE%\AppData\Local\Temp\OnboardLogs"\RTDC4041\*4041*201705051* &gt;&gt; 2017-05-05-SliceDisagreementCheck.txt</v>
      </c>
      <c r="AE30" s="148" t="str">
        <f t="shared" si="9"/>
        <v>start /low /b %USERPROFILE%\Documents\GitHub\eaglep3\Utilities\DownloadLogsFromS3.py --loco 4041 --day 2017-05-05</v>
      </c>
      <c r="AF30" s="1"/>
    </row>
    <row r="31" spans="1:32" x14ac:dyDescent="0.25">
      <c r="A31" s="31">
        <v>42860.369062500002</v>
      </c>
      <c r="B31" s="30" t="s">
        <v>354</v>
      </c>
      <c r="C31" s="30" t="s">
        <v>598</v>
      </c>
      <c r="D31" s="30" t="s">
        <v>49</v>
      </c>
      <c r="E31" s="30" t="s">
        <v>185</v>
      </c>
      <c r="F31" s="42">
        <v>0</v>
      </c>
      <c r="G31" s="42">
        <v>43</v>
      </c>
      <c r="H31" s="42">
        <v>145</v>
      </c>
      <c r="I31" s="42">
        <v>123</v>
      </c>
      <c r="J31" s="30" t="s">
        <v>186</v>
      </c>
      <c r="K31" s="42">
        <v>1</v>
      </c>
      <c r="L31" s="134" t="s">
        <v>51</v>
      </c>
      <c r="M31" s="135">
        <f t="shared" si="0"/>
        <v>64.415999999999997</v>
      </c>
      <c r="N31" s="136" t="str">
        <f>VLOOKUP(C31,'Trips&amp;Operators'!$C$1:$G$99999,5,FALSE)</f>
        <v>LAMAR NEKESHA</v>
      </c>
      <c r="O31" s="207" t="s">
        <v>184</v>
      </c>
      <c r="P31" s="137"/>
      <c r="Q31" s="30"/>
      <c r="R31" s="84" t="str">
        <f>IF(VLOOKUP(C31,'Train Runs'!$A$13:$AE$9941,1,1)=C31,VLOOKUP(C31,'Train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31" s="87" t="str">
        <f>VLOOKUP(C31,'Train Runs'!$A$13:$AE$9941,22,0)</f>
        <v>https://d0f6bd738d7f1b3e5a7ca70fe4ff75f0.us-east-1.aws.found.io/app/kibana#/discover/Steve-Slow-Train-Analysis-(2080s-and-2083s)?_g=(refreshInterval:(display:Off,pause:!f,section:0,value:0),time:(from:'2017-05-05T06:53:44-0600',mode:absolute,to:'2017-05-05T09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1" s="89" t="str">
        <f t="shared" si="1"/>
        <v>"C:\Program Files (x86)\AstroGrep\AstroGrep.exe" /e /r /s /spath="%USERPROFILE%\AppData\Local\Temp\OnboardLogs" /stypes="*4021*201705051*" /stext=" 14:.+((SYSTEM_STATE.+slice.+state.+changed )|(ment ac)|(multiple cpu faults)|(system.+state.+changed )|(\[timeout)|(PRM\|1\|D)|(kpr)|(kdp)|(train st.+moving)|(\|lc)|(penalty))"</v>
      </c>
      <c r="U31" s="9" t="str">
        <f t="shared" si="2"/>
        <v>4021</v>
      </c>
      <c r="V31" s="31">
        <f t="shared" si="3"/>
        <v>42860.619062500002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{"issue":{"subject":"","project_id":79,"tracker_id":40,"status_id":1,"priority_id":2,"assigned_to_id":23,"start_date":"2017-05-05","description":"","custom_fields":[{"id":1,"name":"Subdivision","value":"EC"},{"id":4,"name":"Milepost","value":"0.0001"},{"id":17,"name":"Train ID","value":"130-05"},{"id":16,"name":"Locomotive ID","value":"4021"},{"id":130,"name":"Impact","value":""},{"id":150,"name":"Time of Event (Mountain Time)","value":"08:51:27"},{"id":151,"name":"Denver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/cygdrive/c/Users/stu/AppData/Local/Temp/OnboardLogs/RTDC4021 --include="*4021*201705051*"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"%USERPROFILE%\AppData\Local\Temp\OnboardLogs"\RTDC4021\*4021*201705051* &gt;&gt; 2017-05-05-SliceDisagreementCheck.txt</v>
      </c>
      <c r="AE31" s="148" t="str">
        <f t="shared" si="9"/>
        <v>start /low /b %USERPROFILE%\Documents\GitHub\eaglep3\Utilities\DownloadLogsFromS3.py --loco 4021 --day 2017-05-05</v>
      </c>
      <c r="AF31" s="1"/>
    </row>
    <row r="32" spans="1:32" x14ac:dyDescent="0.25">
      <c r="A32" s="31">
        <v>42860.589675925927</v>
      </c>
      <c r="B32" s="30" t="s">
        <v>354</v>
      </c>
      <c r="C32" s="30" t="s">
        <v>607</v>
      </c>
      <c r="D32" s="30" t="s">
        <v>49</v>
      </c>
      <c r="E32" s="30" t="s">
        <v>185</v>
      </c>
      <c r="F32" s="42">
        <v>0</v>
      </c>
      <c r="G32" s="42">
        <v>89</v>
      </c>
      <c r="H32" s="42">
        <v>311</v>
      </c>
      <c r="I32" s="42">
        <v>218</v>
      </c>
      <c r="J32" s="30" t="s">
        <v>186</v>
      </c>
      <c r="K32" s="42">
        <v>1</v>
      </c>
      <c r="L32" s="134" t="s">
        <v>51</v>
      </c>
      <c r="M32" s="135">
        <f t="shared" si="0"/>
        <v>114.57599999999999</v>
      </c>
      <c r="N32" s="136" t="str">
        <f>VLOOKUP(C32,'Trips&amp;Operators'!$C$1:$G$99999,5,FALSE)</f>
        <v>MOSES BRADLEY</v>
      </c>
      <c r="O32" s="207" t="s">
        <v>184</v>
      </c>
      <c r="P32" s="137"/>
      <c r="Q32" s="30"/>
      <c r="R32" s="84" t="str">
        <f>IF(VLOOKUP(C32,'Train Runs'!$A$13:$AE$9941,1,1)=C32,VLOOKUP(C32,'Train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32" s="87" t="str">
        <f>VLOOKUP(C32,'Train Runs'!$A$13:$AE$9941,22,0)</f>
        <v>https://d0f6bd738d7f1b3e5a7ca70fe4ff75f0.us-east-1.aws.found.io/app/kibana#/discover/Steve-Slow-Train-Analysis-(2080s-and-2083s)?_g=(refreshInterval:(display:Off,pause:!f,section:0,value:0),time:(from:'2017-05-05T12:18:55-0600',mode:absolute,to:'2017-05-05T15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2" s="89" t="str">
        <f t="shared" si="1"/>
        <v>"C:\Program Files (x86)\AstroGrep\AstroGrep.exe" /e /r /s /spath="%USERPROFILE%\AppData\Local\Temp\OnboardLogs" /stypes="*4021*201705052*"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4021</v>
      </c>
      <c r="V32" s="31">
        <f t="shared" si="3"/>
        <v>42860.839675925927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{"issue":{"subject":"","project_id":79,"tracker_id":40,"status_id":1,"priority_id":2,"assigned_to_id":23,"start_date":"2017-05-05","description":"","custom_fields":[{"id":1,"name":"Subdivision","value":"EC"},{"id":4,"name":"Milepost","value":"0.0001"},{"id":17,"name":"Train ID","value":"172-05"},{"id":16,"name":"Locomotive ID","value":"4021"},{"id":130,"name":"Impact","value":""},{"id":150,"name":"Time of Event (Mountain Time)","value":"14:09:08"},{"id":151,"name":"Denver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/cygdrive/c/Users/stu/AppData/Local/Temp/OnboardLogs/RTDC4021 --include="*4021*201705052*"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"%USERPROFILE%\AppData\Local\Temp\OnboardLogs"\RTDC4021\*4021*201705052* &gt;&gt; 2017-05-05-SliceDisagreementCheck.txt</v>
      </c>
      <c r="AE32" s="148" t="str">
        <f t="shared" si="9"/>
        <v>start /low /b %USERPROFILE%\Documents\GitHub\eaglep3\Utilities\DownloadLogsFromS3.py --loco 4021 --day 2017-05-05</v>
      </c>
      <c r="AF32" s="1"/>
    </row>
    <row r="33" spans="1:32" x14ac:dyDescent="0.25">
      <c r="A33" s="31">
        <v>42860.732569444444</v>
      </c>
      <c r="B33" s="30" t="s">
        <v>354</v>
      </c>
      <c r="C33" s="30" t="s">
        <v>616</v>
      </c>
      <c r="D33" s="30" t="s">
        <v>49</v>
      </c>
      <c r="E33" s="30" t="s">
        <v>185</v>
      </c>
      <c r="F33" s="42">
        <v>0</v>
      </c>
      <c r="G33" s="42">
        <v>37</v>
      </c>
      <c r="H33" s="42">
        <v>139</v>
      </c>
      <c r="I33" s="42">
        <v>114</v>
      </c>
      <c r="J33" s="30" t="s">
        <v>186</v>
      </c>
      <c r="K33" s="42">
        <v>1</v>
      </c>
      <c r="L33" s="134" t="s">
        <v>51</v>
      </c>
      <c r="M33" s="135">
        <f t="shared" si="0"/>
        <v>59.664000000000001</v>
      </c>
      <c r="N33" s="136" t="str">
        <f>VLOOKUP(C33,'Trips&amp;Operators'!$C$1:$G$99999,5,FALSE)</f>
        <v>MOSES BRADLEY</v>
      </c>
      <c r="O33" s="207" t="s">
        <v>184</v>
      </c>
      <c r="P33" s="137"/>
      <c r="Q33" s="30"/>
      <c r="R33" s="84" t="str">
        <f>IF(VLOOKUP(C33,'Train Runs'!$A$13:$AE$9941,1,1)=C33,VLOOKUP(C33,'Train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33" s="87" t="str">
        <f>VLOOKUP(C33,'Train Runs'!$A$13:$AE$9941,22,0)</f>
        <v>https://d0f6bd738d7f1b3e5a7ca70fe4ff75f0.us-east-1.aws.found.io/app/kibana#/discover/Steve-Slow-Train-Analysis-(2080s-and-2083s)?_g=(refreshInterval:(display:Off,pause:!f,section:0,value:0),time:(from:'2017-05-05T15:49:58-0600',mode:absolute,to:'2017-05-05T18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3" s="89" t="str">
        <f t="shared" si="1"/>
        <v>"C:\Program Files (x86)\AstroGrep\AstroGrep.exe" /e /r /s /spath="%USERPROFILE%\AppData\Local\Temp\OnboardLogs" /stypes="*4021*201705052*" /stext=" 23:.+((SYSTEM_STATE.+slice.+state.+changed )|(ment ac)|(multiple cpu faults)|(system.+state.+changed )|(\[timeout)|(PRM\|1\|D)|(kpr)|(kdp)|(train st.+moving)|(\|lc)|(penalty))"</v>
      </c>
      <c r="U33" s="9" t="str">
        <f t="shared" si="2"/>
        <v>4021</v>
      </c>
      <c r="V33" s="31">
        <f t="shared" si="3"/>
        <v>42860.982569444444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{"issue":{"subject":"","project_id":79,"tracker_id":40,"status_id":1,"priority_id":2,"assigned_to_id":23,"start_date":"2017-05-05","description":"","custom_fields":[{"id":1,"name":"Subdivision","value":"EC"},{"id":4,"name":"Milepost","value":"0.0001"},{"id":17,"name":"Train ID","value":"200-05"},{"id":16,"name":"Locomotive ID","value":"4021"},{"id":130,"name":"Impact","value":""},{"id":150,"name":"Time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/cygdrive/c/Users/stu/AppData/Local/Temp/OnboardLogs/RTDC4021 --include="*4021*201705052*"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"%USERPROFILE%\AppData\Local\Temp\OnboardLogs"\RTDC4021\*4021*201705052* &gt;&gt; 2017-05-05-SliceDisagreementCheck.txt</v>
      </c>
      <c r="AE33" s="148" t="str">
        <f t="shared" si="9"/>
        <v>start /low /b %USERPROFILE%\Documents\GitHub\eaglep3\Utilities\DownloadLogsFromS3.py --loco 4021 --day 2017-05-05</v>
      </c>
      <c r="AF33" s="1"/>
    </row>
    <row r="34" spans="1:32" x14ac:dyDescent="0.25">
      <c r="A34" s="31">
        <v>42860.883032407408</v>
      </c>
      <c r="B34" s="30" t="s">
        <v>354</v>
      </c>
      <c r="C34" s="30" t="s">
        <v>623</v>
      </c>
      <c r="D34" s="30" t="s">
        <v>49</v>
      </c>
      <c r="E34" s="30" t="s">
        <v>185</v>
      </c>
      <c r="F34" s="42">
        <v>0</v>
      </c>
      <c r="G34" s="42">
        <v>41</v>
      </c>
      <c r="H34" s="42">
        <v>161</v>
      </c>
      <c r="I34" s="42">
        <v>132</v>
      </c>
      <c r="J34" s="30" t="s">
        <v>186</v>
      </c>
      <c r="K34" s="42">
        <v>1</v>
      </c>
      <c r="L34" s="134" t="s">
        <v>51</v>
      </c>
      <c r="M34" s="135">
        <f t="shared" si="0"/>
        <v>69.168000000000006</v>
      </c>
      <c r="N34" s="136" t="str">
        <f>VLOOKUP(C34,'Trips&amp;Operators'!$C$1:$G$99999,5,FALSE)</f>
        <v>STORY SAMANTHA</v>
      </c>
      <c r="O34" s="207" t="s">
        <v>184</v>
      </c>
      <c r="P34" s="137"/>
      <c r="Q34" s="30"/>
      <c r="R34" s="84" t="str">
        <f>IF(VLOOKUP(C34,'Train Runs'!$A$13:$AE$9941,1,1)=C34,VLOOKUP(C34,'Train Runs'!$A$13:$AE$9941,31,1),NA())</f>
        <v>aws s3 cp s3://rtdc.mdm.uploadarchive.raw/RTDC4021/ "%USERPROFILE%\AppData\Local\Temp\OnboardLogs"\RTDC4021\2017-05-05 --exclude "*" --recursive --include "*20170505*" &amp; "%USERPROFILE%\Documents\GitHub\mrs-test-scripts\Headless Mode &amp; Sideloading\WalkAndUnGZ.bat" "%USERPROFILE%\AppData\Local\Temp\OnboardLogs"\RTDC4021\2017-05-05 &amp; aws s3 cp s3://rtdc.mdm.uploadarchive.raw/RTDC4021/ "%USERPROFILE%\AppData\Local\Temp\OnboardLogs"\RTDC4021\2017-05-06 --exclude "*" --recursive --include "*20170506*" &amp; "%USERPROFILE%\Documents\GitHub\mrs-test-scripts\Headless Mode &amp; Sideloading\WalkAndUnGZ.bat" "%USERPROFILE%\AppData\Local\Temp\OnboardLogs"\RTDC4021\2017-05-06</v>
      </c>
      <c r="S34" s="87" t="str">
        <f>VLOOKUP(C34,'Train Runs'!$A$13:$AE$9941,22,0)</f>
        <v>https://d0f6bd738d7f1b3e5a7ca70fe4ff75f0.us-east-1.aws.found.io/app/kibana#/discover/Steve-Slow-Train-Analysis-(2080s-and-2083s)?_g=(refreshInterval:(display:Off,pause:!f,section:0,value:0),time:(from:'2017-05-05T19:08:26-0600',mode:absolute,to:'2017-05-05T22:11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4" s="89" t="str">
        <f t="shared" si="1"/>
        <v>"C:\Program Files (x86)\AstroGrep\AstroGrep.exe" /e /r /s /spath="%USERPROFILE%\AppData\Local\Temp\OnboardLogs" /stypes="*4021*201705060*" /stext=" 03:.+((SYSTEM_STATE.+slice.+state.+changed )|(ment ac)|(multiple cpu faults)|(system.+state.+changed )|(\[timeout)|(PRM\|1\|D)|(kpr)|(kdp)|(train st.+moving)|(\|lc)|(penalty))"</v>
      </c>
      <c r="U34" s="9" t="str">
        <f t="shared" si="2"/>
        <v>4021</v>
      </c>
      <c r="V34" s="31">
        <f t="shared" si="3"/>
        <v>42861.133032407408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{"issue":{"subject":"","project_id":79,"tracker_id":40,"status_id":1,"priority_id":2,"assigned_to_id":23,"start_date":"2017-05-05","description":"","custom_fields":[{"id":1,"name":"Subdivision","value":"EC"},{"id":4,"name":"Milepost","value":"0.0001"},{"id":17,"name":"Train ID","value":"224-05"},{"id":16,"name":"Locomotive ID","value":"4021"},{"id":130,"name":"Impact","value":""},{"id":150,"name":"Time of Event (Mountain Time)","value":"21:11:34"},{"id":151,"name":"Denver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/cygdrive/c/Users/stu/AppData/Local/Temp/OnboardLogs/RTDC4021 --include="*4021*201705060*"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"%USERPROFILE%\AppData\Local\Temp\OnboardLogs"\RTDC4021\*4021*201705060* &gt;&gt; 2017-05-05-SliceDisagreementCheck.txt</v>
      </c>
      <c r="AE34" s="148" t="str">
        <f t="shared" si="9"/>
        <v>start /low /b %USERPROFILE%\Documents\GitHub\eaglep3\Utilities\DownloadLogsFromS3.py --loco 4021 --day 2017-05-06</v>
      </c>
      <c r="AF34" s="1"/>
    </row>
    <row r="35" spans="1:32" x14ac:dyDescent="0.25">
      <c r="A35" s="31">
        <v>42860.513726851852</v>
      </c>
      <c r="B35" s="30" t="s">
        <v>532</v>
      </c>
      <c r="C35" s="30" t="s">
        <v>606</v>
      </c>
      <c r="D35" s="30" t="s">
        <v>49</v>
      </c>
      <c r="E35" s="30" t="s">
        <v>185</v>
      </c>
      <c r="F35" s="42">
        <v>0</v>
      </c>
      <c r="G35" s="42">
        <v>160</v>
      </c>
      <c r="H35" s="42">
        <v>232760</v>
      </c>
      <c r="I35" s="42">
        <v>232986</v>
      </c>
      <c r="J35" s="30" t="s">
        <v>186</v>
      </c>
      <c r="K35" s="42">
        <v>233491</v>
      </c>
      <c r="L35" s="134" t="s">
        <v>50</v>
      </c>
      <c r="M35" s="135">
        <f t="shared" si="0"/>
        <v>266.64</v>
      </c>
      <c r="N35" s="136" t="str">
        <f>VLOOKUP(C35,'Trips&amp;Operators'!$C$1:$G$99999,5,FALSE)</f>
        <v>BRUDER RICHARD</v>
      </c>
      <c r="O35" s="207" t="s">
        <v>184</v>
      </c>
      <c r="P35" s="137"/>
      <c r="Q35" s="30"/>
      <c r="R35" s="84" t="str">
        <f>IF(VLOOKUP(C35,'Train Runs'!$A$13:$AE$9941,1,1)=C35,VLOOKUP(C35,'Train Runs'!$A$13:$AE$9941,31,1),NA())</f>
        <v>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 &amp; 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</v>
      </c>
      <c r="S35" s="87" t="str">
        <f>VLOOKUP(C35,'Train Runs'!$A$13:$AE$9941,22,0)</f>
        <v>https://d0f6bd738d7f1b3e5a7ca70fe4ff75f0.us-east-1.aws.found.io/app/kibana#/discover/Steve-Slow-Train-Analysis-(2080s-and-2083s)?_g=(refreshInterval:(display:Off,pause:!f,section:0,value:0),time:(from:'2017-05-05T10:40:02-0600',mode:absolute,to:'2017-05-05T13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5" s="89" t="str">
        <f t="shared" si="1"/>
        <v>"C:\Program Files (x86)\AstroGrep\AstroGrep.exe" /e /r /s /spath="%USERPROFILE%\AppData\Local\Temp\OnboardLogs" /stypes="*4044*201705051*" /stext=" 18:.+((SYSTEM_STATE.+slice.+state.+changed )|(ment ac)|(multiple cpu faults)|(system.+state.+changed )|(\[timeout)|(PRM\|1\|D)|(kpr)|(kdp)|(train st.+moving)|(\|lc)|(penalty))"</v>
      </c>
      <c r="U35" s="9" t="str">
        <f t="shared" si="2"/>
        <v>4044</v>
      </c>
      <c r="V35" s="31">
        <f t="shared" si="3"/>
        <v>42860.763726851852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{"issue":{"subject":"","project_id":79,"tracker_id":40,"status_id":1,"priority_id":2,"assigned_to_id":23,"start_date":"2017-05-05","description":"","custom_fields":[{"id":1,"name":"Subdivision","value":"EC"},{"id":4,"name":"Milepost","value":"23.3491"},{"id":17,"name":"Train ID","value":"165-05"},{"id":16,"name":"Locomotive ID","value":"4044"},{"id":130,"name":"Impact","value":""},{"id":150,"name":"Time of Event (Mountain Time)","value":"12:19:46"},{"id":151,"name":"Denver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/cygdrive/c/Users/stu/AppData/Local/Temp/OnboardLogs/RTDC4044 --include="*4044*201705051*"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"%USERPROFILE%\AppData\Local\Temp\OnboardLogs"\RTDC4044\*4044*201705051* &gt;&gt; 2017-05-05-SliceDisagreementCheck.txt</v>
      </c>
      <c r="AE35" s="148" t="str">
        <f t="shared" si="9"/>
        <v>start /low /b %USERPROFILE%\Documents\GitHub\eaglep3\Utilities\DownloadLogsFromS3.py --loco 4044 --day 2017-05-05</v>
      </c>
      <c r="AF35" s="1"/>
    </row>
    <row r="36" spans="1:32" x14ac:dyDescent="0.25">
      <c r="A36" s="31">
        <v>42860.610810185186</v>
      </c>
      <c r="B36" s="30" t="s">
        <v>407</v>
      </c>
      <c r="C36" s="30" t="s">
        <v>608</v>
      </c>
      <c r="D36" s="30" t="s">
        <v>49</v>
      </c>
      <c r="E36" s="30" t="s">
        <v>185</v>
      </c>
      <c r="F36" s="42">
        <v>0</v>
      </c>
      <c r="G36" s="42">
        <v>93</v>
      </c>
      <c r="H36" s="42">
        <v>233079</v>
      </c>
      <c r="I36" s="42">
        <v>233170</v>
      </c>
      <c r="J36" s="30" t="s">
        <v>186</v>
      </c>
      <c r="K36" s="42">
        <v>233491</v>
      </c>
      <c r="L36" s="134" t="s">
        <v>50</v>
      </c>
      <c r="M36" s="135">
        <f t="shared" si="0"/>
        <v>169.48799999999997</v>
      </c>
      <c r="N36" s="136" t="str">
        <f>VLOOKUP(C36,'Trips&amp;Operators'!$C$1:$G$99999,5,FALSE)</f>
        <v>BRANDNER MELINDA</v>
      </c>
      <c r="O36" s="207" t="s">
        <v>184</v>
      </c>
      <c r="P36" s="137"/>
      <c r="Q36" s="30"/>
      <c r="R36" s="84" t="str">
        <f>IF(VLOOKUP(C36,'Train Runs'!$A$13:$AE$9941,1,1)=C36,VLOOKUP(C36,'Train Runs'!$A$13:$AE$9941,31,1),NA())</f>
        <v>aws s3 cp s3://rtdc.mdm.uploadarchive.raw/RTDC4040/ "%USERPROFILE%\AppData\Local\Temp\OnboardLogs"\RTDC4040\2017-05-05 --exclude "*" --recursive --include "*20170505*" &amp; "%USERPROFILE%\Documents\GitHub\mrs-test-scripts\Headless Mode &amp; Sideloading\WalkAndUnGZ.bat" "%USERPROFILE%\AppData\Local\Temp\OnboardLogs"\RTDC4040\2017-05-05 &amp; aws s3 cp s3://rtdc.mdm.uploadarchive.raw/RTDC4040/ "%USERPROFILE%\AppData\Local\Temp\OnboardLogs"\RTDC4040\2017-05-06 --exclude "*" --recursive --include "*20170506*" &amp; "%USERPROFILE%\Documents\GitHub\mrs-test-scripts\Headless Mode &amp; Sideloading\WalkAndUnGZ.bat" "%USERPROFILE%\AppData\Local\Temp\OnboardLogs"\RTDC4040\2017-05-06</v>
      </c>
      <c r="S36" s="87" t="str">
        <f>VLOOKUP(C36,'Train Runs'!$A$13:$AE$9941,22,0)</f>
        <v>https://d0f6bd738d7f1b3e5a7ca70fe4ff75f0.us-east-1.aws.found.io/app/kibana#/discover/Steve-Slow-Train-Analysis-(2080s-and-2083s)?_g=(refreshInterval:(display:Off,pause:!f,section:0,value:0),time:(from:'2017-05-05T12:59:57-0600',mode:absolute,to:'2017-05-05T15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6" s="89" t="str">
        <f t="shared" si="1"/>
        <v>"C:\Program Files (x86)\AstroGrep\AstroGrep.exe" /e /r /s /spath="%USERPROFILE%\AppData\Local\Temp\OnboardLogs" /stypes="*4040*201705052*"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4040</v>
      </c>
      <c r="V36" s="31">
        <f t="shared" si="3"/>
        <v>42860.860810185186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{"issue":{"subject":"","project_id":79,"tracker_id":40,"status_id":1,"priority_id":2,"assigned_to_id":23,"start_date":"2017-05-05","description":"","custom_fields":[{"id":1,"name":"Subdivision","value":"EC"},{"id":4,"name":"Milepost","value":"23.3491"},{"id":17,"name":"Train ID","value":"183-05"},{"id":16,"name":"Locomotive ID","value":"4040"},{"id":130,"name":"Impact","value":""},{"id":150,"name":"Time of Event (Mountain Time)","value":"14:39:34"},{"id":151,"name":"Denver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/cygdrive/c/Users/stu/AppData/Local/Temp/OnboardLogs/RTDC4040 --include="*4040*201705052*"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"%USERPROFILE%\AppData\Local\Temp\OnboardLogs"\RTDC4040\*4040*201705052* &gt;&gt; 2017-05-05-SliceDisagreementCheck.txt</v>
      </c>
      <c r="AE36" s="148" t="str">
        <f t="shared" si="9"/>
        <v>start /low /b %USERPROFILE%\Documents\GitHub\eaglep3\Utilities\DownloadLogsFromS3.py --loco 4040 --day 2017-05-05</v>
      </c>
      <c r="AF36" s="1"/>
    </row>
    <row r="37" spans="1:32" x14ac:dyDescent="0.25">
      <c r="A37" s="31">
        <v>42860.641111111108</v>
      </c>
      <c r="B37" s="30" t="s">
        <v>199</v>
      </c>
      <c r="C37" s="30" t="s">
        <v>612</v>
      </c>
      <c r="D37" s="30" t="s">
        <v>49</v>
      </c>
      <c r="E37" s="30" t="s">
        <v>185</v>
      </c>
      <c r="F37" s="42">
        <v>0</v>
      </c>
      <c r="G37" s="42">
        <v>43</v>
      </c>
      <c r="H37" s="42">
        <v>233289</v>
      </c>
      <c r="I37" s="42">
        <v>233322</v>
      </c>
      <c r="J37" s="30" t="s">
        <v>186</v>
      </c>
      <c r="K37" s="42">
        <v>233491</v>
      </c>
      <c r="L37" s="134" t="s">
        <v>50</v>
      </c>
      <c r="M37" s="135">
        <f t="shared" si="0"/>
        <v>89.231999999999985</v>
      </c>
      <c r="N37" s="136" t="str">
        <f>VLOOKUP(C37,'Trips&amp;Operators'!$C$1:$G$99999,5,FALSE)</f>
        <v>DELGADO DIANAH</v>
      </c>
      <c r="O37" s="207" t="s">
        <v>184</v>
      </c>
      <c r="P37" s="137"/>
      <c r="Q37" s="30"/>
      <c r="R37" s="84" t="str">
        <f>IF(VLOOKUP(C37,'Train Runs'!$A$13:$AE$9941,1,1)=C37,VLOOKUP(C37,'Train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37" s="87" t="str">
        <f>VLOOKUP(C37,'Train Runs'!$A$13:$AE$9941,22,0)</f>
        <v>https://d0f6bd738d7f1b3e5a7ca70fe4ff75f0.us-east-1.aws.found.io/app/kibana#/discover/Steve-Slow-Train-Analysis-(2080s-and-2083s)?_g=(refreshInterval:(display:Off,pause:!f,section:0,value:0),time:(from:'2017-05-05T13:36:57-0600',mode:absolute,to:'2017-05-05T16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7" s="89" t="str">
        <f t="shared" si="1"/>
        <v>"C:\Program Files (x86)\AstroGrep\AstroGrep.exe" /e /r /s /spath="%USERPROFILE%\AppData\Local\Temp\OnboardLogs" /stypes="*4030*201705052*"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4030</v>
      </c>
      <c r="V37" s="31">
        <f t="shared" si="3"/>
        <v>42860.891111111108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{"issue":{"subject":"","project_id":79,"tracker_id":40,"status_id":1,"priority_id":2,"assigned_to_id":23,"start_date":"2017-05-05","description":"","custom_fields":[{"id":1,"name":"Subdivision","value":"EC"},{"id":4,"name":"Milepost","value":"23.3491"},{"id":17,"name":"Train ID","value":"189-05"},{"id":16,"name":"Locomotive ID","value":"4030"},{"id":130,"name":"Impact","value":""},{"id":150,"name":"Time of Event (Mountain Time)","value":"15:23:12"},{"id":151,"name":"Denver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/cygdrive/c/Users/stu/AppData/Local/Temp/OnboardLogs/RTDC4030 --include="*4030*201705052*"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"%USERPROFILE%\AppData\Local\Temp\OnboardLogs"\RTDC4030\*4030*201705052* &gt;&gt; 2017-05-05-SliceDisagreementCheck.txt</v>
      </c>
      <c r="AE37" s="148" t="str">
        <f t="shared" si="9"/>
        <v>start /low /b %USERPROFILE%\Documents\GitHub\eaglep3\Utilities\DownloadLogsFromS3.py --loco 4030 --day 2017-05-05</v>
      </c>
      <c r="AF37" s="1"/>
    </row>
    <row r="38" spans="1:32" x14ac:dyDescent="0.25">
      <c r="A38" s="31">
        <v>42860.785694444443</v>
      </c>
      <c r="B38" s="30" t="s">
        <v>199</v>
      </c>
      <c r="C38" s="30" t="s">
        <v>619</v>
      </c>
      <c r="D38" s="30" t="s">
        <v>49</v>
      </c>
      <c r="E38" s="30" t="s">
        <v>185</v>
      </c>
      <c r="F38" s="42">
        <v>0</v>
      </c>
      <c r="G38" s="42">
        <v>33</v>
      </c>
      <c r="H38" s="42">
        <v>233412</v>
      </c>
      <c r="I38" s="42">
        <v>233437</v>
      </c>
      <c r="J38" s="30" t="s">
        <v>186</v>
      </c>
      <c r="K38" s="42">
        <v>233491</v>
      </c>
      <c r="L38" s="134" t="s">
        <v>50</v>
      </c>
      <c r="M38" s="135">
        <f t="shared" si="0"/>
        <v>28.512</v>
      </c>
      <c r="N38" s="136" t="str">
        <f>VLOOKUP(C38,'Trips&amp;Operators'!$C$1:$G$99999,5,FALSE)</f>
        <v>STAMBAUGH JAMES</v>
      </c>
      <c r="O38" s="207" t="s">
        <v>184</v>
      </c>
      <c r="P38" s="137"/>
      <c r="Q38" s="30"/>
      <c r="R38" s="84" t="str">
        <f>IF(VLOOKUP(C38,'Train Runs'!$A$13:$AE$9941,1,1)=C38,VLOOKUP(C38,'Train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38" s="87" t="str">
        <f>VLOOKUP(C38,'Train Runs'!$A$13:$AE$9941,22,0)</f>
        <v>https://d0f6bd738d7f1b3e5a7ca70fe4ff75f0.us-east-1.aws.found.io/app/kibana#/discover/Steve-Slow-Train-Analysis-(2080s-and-2083s)?_g=(refreshInterval:(display:Off,pause:!f,section:0,value:0),time:(from:'2017-05-05T17:07:54-0600',mode:absolute,to:'2017-05-05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8" s="89" t="str">
        <f t="shared" si="1"/>
        <v>"C:\Program Files (x86)\AstroGrep\AstroGrep.exe" /e /r /s /spath="%USERPROFILE%\AppData\Local\Temp\OnboardLogs" /stypes="*4030*201705060*"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4030</v>
      </c>
      <c r="V38" s="31">
        <f t="shared" si="3"/>
        <v>42861.035694444443</v>
      </c>
      <c r="W38" s="45" t="str">
        <f t="shared" si="4"/>
        <v>EC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{"issue":{"subject":"","project_id":79,"tracker_id":40,"status_id":1,"priority_id":2,"assigned_to_id":23,"start_date":"2017-05-05","description":"","custom_fields":[{"id":1,"name":"Subdivision","value":"EC"},{"id":4,"name":"Milepost","value":"23.3491"},{"id":17,"name":"Train ID","value":"217-05"},{"id":16,"name":"Locomotive ID","value":"4030"},{"id":130,"name":"Impact","value":""},{"id":150,"name":"Time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/cygdrive/c/Users/stu/AppData/Local/Temp/OnboardLogs/RTDC4030 --include="*4030*201705060*"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"%USERPROFILE%\AppData\Local\Temp\OnboardLogs"\RTDC4030\*4030*201705060* &gt;&gt; 2017-05-05-SliceDisagreementCheck.txt</v>
      </c>
      <c r="AE38" s="148" t="str">
        <f t="shared" si="9"/>
        <v>start /low /b %USERPROFILE%\Documents\GitHub\eaglep3\Utilities\DownloadLogsFromS3.py --loco 4030 --day 2017-05-06</v>
      </c>
      <c r="AF38" s="1"/>
    </row>
    <row r="39" spans="1:32" x14ac:dyDescent="0.25">
      <c r="A39" s="31">
        <v>42860.857939814814</v>
      </c>
      <c r="B39" s="30" t="s">
        <v>199</v>
      </c>
      <c r="C39" s="30" t="s">
        <v>622</v>
      </c>
      <c r="D39" s="30" t="s">
        <v>49</v>
      </c>
      <c r="E39" s="30" t="s">
        <v>185</v>
      </c>
      <c r="F39" s="42">
        <v>0</v>
      </c>
      <c r="G39" s="42">
        <v>51</v>
      </c>
      <c r="H39" s="42">
        <v>233408</v>
      </c>
      <c r="I39" s="42">
        <v>233445</v>
      </c>
      <c r="J39" s="30" t="s">
        <v>186</v>
      </c>
      <c r="K39" s="42">
        <v>233491</v>
      </c>
      <c r="L39" s="134" t="s">
        <v>50</v>
      </c>
      <c r="M39" s="135">
        <f t="shared" si="0"/>
        <v>24.288</v>
      </c>
      <c r="N39" s="136" t="str">
        <f>VLOOKUP(C39,'Trips&amp;Operators'!$C$1:$G$99999,5,FALSE)</f>
        <v>STAMBAUGH JAMES</v>
      </c>
      <c r="O39" s="207" t="s">
        <v>184</v>
      </c>
      <c r="P39" s="137"/>
      <c r="Q39" s="30"/>
      <c r="R39" s="84" t="str">
        <f>IF(VLOOKUP(C39,'Train Runs'!$A$13:$AE$9941,1,1)=C39,VLOOKUP(C39,'Train Runs'!$A$13:$AE$9941,31,1),NA())</f>
        <v>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 &amp; 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</v>
      </c>
      <c r="S39" s="87" t="str">
        <f>VLOOKUP(C39,'Train Runs'!$A$13:$AE$9941,22,0)</f>
        <v>https://d0f6bd738d7f1b3e5a7ca70fe4ff75f0.us-east-1.aws.found.io/app/kibana#/discover/Steve-Slow-Train-Analysis-(2080s-and-2083s)?_g=(refreshInterval:(display:Off,pause:!f,section:0,value:0),time:(from:'2017-05-05T18:51:54-0600',mode:absolute,to:'2017-05-05T21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9" s="89" t="str">
        <f t="shared" si="1"/>
        <v>"C:\Program Files (x86)\AstroGrep\AstroGrep.exe" /e /r /s /spath="%USERPROFILE%\AppData\Local\Temp\OnboardLogs" /stypes="*4030*201705060*" /stext=" 02:.+((SYSTEM_STATE.+slice.+state.+changed )|(ment ac)|(multiple cpu faults)|(system.+state.+changed )|(\[timeout)|(PRM\|1\|D)|(kpr)|(kdp)|(train st.+moving)|(\|lc)|(penalty))"</v>
      </c>
      <c r="U39" s="9" t="str">
        <f t="shared" si="2"/>
        <v>4030</v>
      </c>
      <c r="V39" s="31">
        <f t="shared" si="3"/>
        <v>42861.107939814814</v>
      </c>
      <c r="W39" s="45" t="str">
        <f t="shared" si="4"/>
        <v>EC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{"issue":{"subject":"","project_id":79,"tracker_id":40,"status_id":1,"priority_id":2,"assigned_to_id":23,"start_date":"2017-05-05","description":"","custom_fields":[{"id":1,"name":"Subdivision","value":"EC"},{"id":4,"name":"Milepost","value":"23.3491"},{"id":17,"name":"Train ID","value":"225-05"},{"id":16,"name":"Locomotive ID","value":"4030"},{"id":130,"name":"Impact","value":""},{"id":150,"name":"Time of Event (Mountain Time)","value":"20:35:26"},{"id":151,"name":"Denver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/cygdrive/c/Users/stu/AppData/Local/Temp/OnboardLogs/RTDC4030 --include="*4030*201705060*"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"%USERPROFILE%\AppData\Local\Temp\OnboardLogs"\RTDC4030\*4030*201705060* &gt;&gt; 2017-05-05-SliceDisagreementCheck.txt</v>
      </c>
      <c r="AE39" s="148" t="str">
        <f t="shared" si="9"/>
        <v>start /low /b %USERPROFILE%\Documents\GitHub\eaglep3\Utilities\DownloadLogsFromS3.py --loco 4030 --day 2017-05-06</v>
      </c>
      <c r="AF39" s="1"/>
    </row>
    <row r="40" spans="1:32" x14ac:dyDescent="0.25">
      <c r="A40" s="31">
        <v>42860.485648148147</v>
      </c>
      <c r="B40" s="30" t="s">
        <v>599</v>
      </c>
      <c r="C40" s="30" t="s">
        <v>604</v>
      </c>
      <c r="D40" s="30" t="s">
        <v>98</v>
      </c>
      <c r="E40" s="30" t="s">
        <v>481</v>
      </c>
      <c r="F40" s="42">
        <v>0</v>
      </c>
      <c r="G40" s="42">
        <v>65</v>
      </c>
      <c r="H40" s="42">
        <v>58338</v>
      </c>
      <c r="I40" s="42">
        <v>58295</v>
      </c>
      <c r="J40" s="30" t="s">
        <v>482</v>
      </c>
      <c r="K40" s="42">
        <v>58472</v>
      </c>
      <c r="L40" s="134" t="s">
        <v>51</v>
      </c>
      <c r="M40" s="135">
        <f t="shared" si="0"/>
        <v>-93.456000000000003</v>
      </c>
      <c r="N40" s="136" t="str">
        <f>VLOOKUP(C40,'Trips&amp;Operators'!$C$1:$G$99999,5,FALSE)</f>
        <v>DE LA ROSA ALEX</v>
      </c>
      <c r="O40" s="207" t="s">
        <v>184</v>
      </c>
      <c r="P40" s="137" t="s">
        <v>1055</v>
      </c>
      <c r="Q40" s="30"/>
      <c r="R40" s="84" t="e">
        <f>IF(VLOOKUP(C40,'Train Runs'!$A$13:$AE$9941,1,1)=C40,VLOOKUP(C40,'Train Runs'!$A$13:$AE$9941,31,1),NA())</f>
        <v>#N/A</v>
      </c>
      <c r="S40" s="87" t="str">
        <f>VLOOKUP(C40,'Train Runs'!$A$13:$AE$9941,22,0)</f>
        <v>https://d0f6bd738d7f1b3e5a7ca70fe4ff75f0.us-east-1.aws.found.io/app/kibana#/discover/Steve-Slow-Train-Analysis-(2080s-and-2083s)?_g=(refreshInterval:(display:Off,pause:!f,section:0,value:0),time:(from:'2017-05-05T10:47:43-0600',mode:absolute,to:'2017-05-05T13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89" t="str">
        <f t="shared" si="1"/>
        <v>"C:\Program Files (x86)\AstroGrep\AstroGrep.exe" /e /r /s /spath="%USERPROFILE%\AppData\Local\Temp\OnboardLogs" /stypes="*4011*201705051*" /stext=" 17:.+((SYSTEM_STATE.+slice.+state.+changed )|(ment ac)|(multiple cpu faults)|(system.+state.+changed )|(\[timeout)|(PRM\|1\|D)|(kpr)|(kdp)|(train st.+moving)|(\|lc)|(penalty))"</v>
      </c>
      <c r="U40" s="9" t="str">
        <f t="shared" si="2"/>
        <v>4011</v>
      </c>
      <c r="V40" s="31">
        <f t="shared" si="3"/>
        <v>42860.735648148147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{"issue":{"subject":"Went active too close to signal","project_id":79,"tracker_id":40,"status_id":1,"priority_id":2,"assigned_to_id":23,"start_date":"2017-05-05","description":"","custom_fields":[{"id":1,"name":"Subdivision","value":"NW"},{"id":4,"name":"Milepost","value":"5.8472"},{"id":17,"name":"Train ID","value":"818-05"},{"id":16,"name":"Locomotive ID","value":"4011"},{"id":130,"name":"Impact","value":""},{"id":150,"name":"Time of Event (Mountain Time)","value":"11:39:20"},{"id":151,"name":"Denver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/cygdrive/c/Users/stu/AppData/Local/Temp/OnboardLogs/RTDC4011 --include="*4011*201705051*"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"%USERPROFILE%\AppData\Local\Temp\OnboardLogs"\RTDC4011\*4011*201705051* &gt;&gt; 2017-05-05-SliceDisagreementCheck.txt</v>
      </c>
      <c r="AE40" s="148" t="str">
        <f t="shared" si="9"/>
        <v>start /low /b %USERPROFILE%\Documents\GitHub\eaglep3\Utilities\DownloadLogsFromS3.py --loco 4011 --day 2017-05-05</v>
      </c>
      <c r="AF40" s="1"/>
    </row>
    <row r="41" spans="1:32" x14ac:dyDescent="0.25">
      <c r="A41" s="31">
        <v>42860.371134259258</v>
      </c>
      <c r="B41" s="30" t="s">
        <v>599</v>
      </c>
      <c r="C41" s="30" t="s">
        <v>600</v>
      </c>
      <c r="D41" s="30" t="s">
        <v>49</v>
      </c>
      <c r="E41" s="30" t="s">
        <v>185</v>
      </c>
      <c r="F41" s="42">
        <v>0</v>
      </c>
      <c r="G41" s="42">
        <v>53</v>
      </c>
      <c r="H41" s="42">
        <v>727</v>
      </c>
      <c r="I41" s="42">
        <v>696</v>
      </c>
      <c r="J41" s="30" t="s">
        <v>186</v>
      </c>
      <c r="K41" s="42">
        <v>575</v>
      </c>
      <c r="L41" s="134" t="s">
        <v>51</v>
      </c>
      <c r="M41" s="135">
        <f t="shared" si="0"/>
        <v>63.887999999999998</v>
      </c>
      <c r="N41" s="136" t="str">
        <f>VLOOKUP(C41,'Trips&amp;Operators'!$C$1:$G$99999,5,FALSE)</f>
        <v>DE LA ROSA ALEX</v>
      </c>
      <c r="O41" s="207" t="s">
        <v>184</v>
      </c>
      <c r="P41" s="137"/>
      <c r="Q41" s="30"/>
      <c r="R41" s="84" t="e">
        <f>IF(VLOOKUP(C41,'Train Runs'!$A$13:$AE$9941,1,1)=C41,VLOOKUP(C41,'Train Runs'!$A$13:$AE$9941,31,1),NA())</f>
        <v>#N/A</v>
      </c>
      <c r="S41" s="87" t="str">
        <f>VLOOKUP(C41,'Train Runs'!$A$13:$AE$9941,22,0)</f>
        <v>https://d0f6bd738d7f1b3e5a7ca70fe4ff75f0.us-east-1.aws.found.io/app/kibana#/discover/Steve-Slow-Train-Analysis-(2080s-and-2083s)?_g=(refreshInterval:(display:Off,pause:!f,section:0,value:0),time:(from:'2017-05-05T07:37:49-0600',mode:absolute,to:'2017-05-05T09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1" s="89" t="str">
        <f t="shared" si="1"/>
        <v>"C:\Program Files (x86)\AstroGrep\AstroGrep.exe" /e /r /s /spath="%USERPROFILE%\AppData\Local\Temp\OnboardLogs" /stypes="*4011*201705051*" /stext=" 14:.+((SYSTEM_STATE.+slice.+state.+changed )|(ment ac)|(multiple cpu faults)|(system.+state.+changed )|(\[timeout)|(PRM\|1\|D)|(kpr)|(kdp)|(train st.+moving)|(\|lc)|(penalty))"</v>
      </c>
      <c r="U41" s="9" t="str">
        <f t="shared" si="2"/>
        <v>4011</v>
      </c>
      <c r="V41" s="31">
        <f t="shared" si="3"/>
        <v>42860.621134259258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{"issue":{"subject":"","project_id":79,"tracker_id":40,"status_id":1,"priority_id":2,"assigned_to_id":23,"start_date":"2017-05-05","description":"","custom_fields":[{"id":1,"name":"Subdivision","value":"NW"},{"id":4,"name":"Milepost","value":"0.0575"},{"id":17,"name":"Train ID","value":"812-05"},{"id":16,"name":"Locomotive ID","value":"4011"},{"id":130,"name":"Impact","value":""},{"id":150,"name":"Time of Event (Mountain Time)","value":"08:54:26"},{"id":151,"name":"Denver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/cygdrive/c/Users/stu/AppData/Local/Temp/OnboardLogs/RTDC4011 --include="*4011*201705051*"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"%USERPROFILE%\AppData\Local\Temp\OnboardLogs"\RTDC4011\*4011*201705051* &gt;&gt; 2017-05-05-SliceDisagreementCheck.txt</v>
      </c>
      <c r="AE41" s="148" t="str">
        <f t="shared" si="9"/>
        <v>start /low /b %USERPROFILE%\Documents\GitHub\eaglep3\Utilities\DownloadLogsFromS3.py --loco 4011 --day 2017-05-05</v>
      </c>
      <c r="AF41" s="1"/>
    </row>
    <row r="42" spans="1:32" x14ac:dyDescent="0.25">
      <c r="A42" s="31">
        <v>42860.691388888888</v>
      </c>
      <c r="B42" s="30" t="s">
        <v>357</v>
      </c>
      <c r="C42" s="30" t="s">
        <v>614</v>
      </c>
      <c r="D42" s="30" t="s">
        <v>49</v>
      </c>
      <c r="E42" s="30" t="s">
        <v>185</v>
      </c>
      <c r="F42" s="42">
        <v>0</v>
      </c>
      <c r="G42" s="42">
        <v>63</v>
      </c>
      <c r="H42" s="42">
        <v>58869</v>
      </c>
      <c r="I42" s="42">
        <v>58926</v>
      </c>
      <c r="J42" s="30" t="s">
        <v>186</v>
      </c>
      <c r="K42" s="42">
        <v>59048</v>
      </c>
      <c r="L42" s="134" t="s">
        <v>50</v>
      </c>
      <c r="M42" s="135">
        <f t="shared" si="0"/>
        <v>64.415999999999997</v>
      </c>
      <c r="N42" s="136" t="str">
        <f>VLOOKUP(C42,'Trips&amp;Operators'!$C$1:$G$99999,5,FALSE)</f>
        <v>ZEWDU DEREJE</v>
      </c>
      <c r="O42" s="207" t="s">
        <v>184</v>
      </c>
      <c r="P42" s="137"/>
      <c r="Q42" s="30"/>
      <c r="R42" s="84" t="e">
        <f>IF(VLOOKUP(C42,'Train Runs'!$A$13:$AE$9941,1,1)=C42,VLOOKUP(C42,'Train Runs'!$A$13:$AE$9941,31,1),NA())</f>
        <v>#N/A</v>
      </c>
      <c r="S42" s="87" t="str">
        <f>VLOOKUP(C42,'Train Runs'!$A$13:$AE$9941,22,0)</f>
        <v>https://d0f6bd738d7f1b3e5a7ca70fe4ff75f0.us-east-1.aws.found.io/app/kibana#/discover/Steve-Slow-Train-Analysis-(2080s-and-2083s)?_g=(refreshInterval:(display:Off,pause:!f,section:0,value:0),time:(from:'2017-05-05T15:02:27-0600',mode:absolute,to:'2017-05-05T17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2" s="89" t="str">
        <f t="shared" si="1"/>
        <v>"C:\Program Files (x86)\AstroGrep\AstroGrep.exe" /e /r /s /spath="%USERPROFILE%\AppData\Local\Temp\OnboardLogs" /stypes="*4012*201705052*" /stext=" 22:.+((SYSTEM_STATE.+slice.+state.+changed )|(ment ac)|(multiple cpu faults)|(system.+state.+changed )|(\[timeout)|(PRM\|1\|D)|(kpr)|(kdp)|(train st.+moving)|(\|lc)|(penalty))"</v>
      </c>
      <c r="U42" s="9" t="str">
        <f t="shared" si="2"/>
        <v>4012</v>
      </c>
      <c r="V42" s="31">
        <f t="shared" si="3"/>
        <v>42860.941388888888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{"issue":{"subject":"","project_id":79,"tracker_id":40,"status_id":1,"priority_id":2,"assigned_to_id":23,"start_date":"2017-05-05","description":"","custom_fields":[{"id":1,"name":"Subdivision","value":"NW"},{"id":4,"name":"Milepost","value":"5.9048"},{"id":17,"name":"Train ID","value":"829-05"},{"id":16,"name":"Locomotive ID","value":"4012"},{"id":130,"name":"Impact","value":""},{"id":150,"name":"Time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/cygdrive/c/Users/stu/AppData/Local/Temp/OnboardLogs/RTDC4012 --include="*4012*201705052*"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"%USERPROFILE%\AppData\Local\Temp\OnboardLogs"\RTDC4012\*4012*201705052* &gt;&gt; 2017-05-05-SliceDisagreementCheck.txt</v>
      </c>
      <c r="AE42" s="148" t="str">
        <f t="shared" si="9"/>
        <v>start /low /b %USERPROFILE%\Documents\GitHub\eaglep3\Utilities\DownloadLogsFromS3.py --loco 4012 --day 2017-05-05</v>
      </c>
      <c r="AF42" s="1"/>
    </row>
    <row r="43" spans="1:32" x14ac:dyDescent="0.25">
      <c r="A43" s="31">
        <v>42860.99145833333</v>
      </c>
      <c r="B43" s="30" t="s">
        <v>626</v>
      </c>
      <c r="C43" s="30" t="s">
        <v>627</v>
      </c>
      <c r="D43" s="30" t="s">
        <v>49</v>
      </c>
      <c r="E43" s="30" t="s">
        <v>481</v>
      </c>
      <c r="F43" s="42">
        <v>0</v>
      </c>
      <c r="G43" s="42">
        <v>81</v>
      </c>
      <c r="H43" s="42">
        <v>197997</v>
      </c>
      <c r="I43" s="42">
        <v>198082</v>
      </c>
      <c r="J43" s="30" t="s">
        <v>482</v>
      </c>
      <c r="K43" s="42">
        <v>198242</v>
      </c>
      <c r="L43" s="134" t="s">
        <v>50</v>
      </c>
      <c r="M43" s="135">
        <f t="shared" si="0"/>
        <v>84.48</v>
      </c>
      <c r="N43" s="136" t="str">
        <f>VLOOKUP(C43,'Trips&amp;Operators'!$C$1:$G$99999,5,FALSE)</f>
        <v>FORTUNATO FRANK</v>
      </c>
      <c r="O43" s="207" t="s">
        <v>184</v>
      </c>
      <c r="P43" s="137"/>
      <c r="Q43" s="30"/>
      <c r="R43" s="84" t="e">
        <f>IF(VLOOKUP(C43,'Train Runs'!$A$13:$AE$9941,1,1)=C43,VLOOKUP(C43,'Train Runs'!$A$13:$AE$9941,31,1),NA())</f>
        <v>#N/A</v>
      </c>
      <c r="S43" s="87" t="str">
        <f>VLOOKUP(C43,'Train Runs'!$A$13:$AE$9941,22,0)</f>
        <v>https://d0f6bd738d7f1b3e5a7ca70fe4ff75f0.us-east-1.aws.found.io/app/kibana#/discover/Steve-Slow-Train-Analysis-(2080s-and-2083s)?_g=(refreshInterval:(display:Off,pause:!f,section:0,value:0),time:(from:'2017-05-05T19:25:40-0600',mode:absolute,to:'2017-05-05T23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43" s="89" t="str">
        <f t="shared" si="1"/>
        <v>"C:\Program Files (x86)\AstroGrep\AstroGrep.exe" /e /r /s /spath="%USERPROFILE%\AppData\Local\Temp\OnboardLogs" /stypes="*4034*201705060*" /stext=" 05:.+((SYSTEM_STATE.+slice.+state.+changed )|(ment ac)|(multiple cpu faults)|(system.+state.+changed )|(\[timeout)|(PRM\|1\|D)|(kpr)|(kdp)|(train st.+moving)|(\|lc)|(penalty))"</v>
      </c>
      <c r="U43" s="9" t="str">
        <f t="shared" si="2"/>
        <v>4034</v>
      </c>
      <c r="V43" s="31">
        <f t="shared" si="3"/>
        <v>42861.24145833333</v>
      </c>
      <c r="W43" s="45" t="str">
        <f t="shared" si="4"/>
        <v>Other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{"issue":{"subject":"","project_id":79,"tracker_id":40,"status_id":1,"priority_id":2,"assigned_to_id":23,"start_date":"2017-05-05","description":"","custom_fields":[{"id":1,"name":"Subdivision","value":"Other"},{"id":4,"name":"Milepost","value":"19.8242"},{"id":17,"name":"Train ID","value":"77-05"},{"id":16,"name":"Locomotive ID","value":"4034"},{"id":130,"name":"Impact","value":""},{"id":150,"name":"Time of Event (Mountain Time)","value":"23:47:42"},{"id":151,"name":"Denver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/cygdrive/c/Users/stu/AppData/Local/Temp/OnboardLogs/RTDC4034 --include="*4034*201705060*"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"%USERPROFILE%\AppData\Local\Temp\OnboardLogs"\RTDC4034\*4034*201705060* &gt;&gt; 2017-05-05-SliceDisagreementCheck.txt</v>
      </c>
      <c r="AE43" s="148" t="str">
        <f t="shared" si="9"/>
        <v>start /low /b %USERPROFILE%\Documents\GitHub\eaglep3\Utilities\DownloadLogsFromS3.py --loco 4034 --day 2017-05-06</v>
      </c>
      <c r="AF43" s="1"/>
    </row>
    <row r="44" spans="1:32" x14ac:dyDescent="0.25">
      <c r="A44" s="31">
        <v>42860.985972222225</v>
      </c>
      <c r="B44" s="30" t="s">
        <v>434</v>
      </c>
      <c r="C44" s="30" t="s">
        <v>625</v>
      </c>
      <c r="D44" s="30" t="s">
        <v>49</v>
      </c>
      <c r="E44" s="30" t="s">
        <v>610</v>
      </c>
      <c r="F44" s="42">
        <v>0</v>
      </c>
      <c r="G44" s="42">
        <v>332</v>
      </c>
      <c r="H44" s="42">
        <v>10211</v>
      </c>
      <c r="I44" s="42">
        <v>10867</v>
      </c>
      <c r="J44" s="30" t="s">
        <v>611</v>
      </c>
      <c r="K44" s="42">
        <v>10800</v>
      </c>
      <c r="L44" s="134" t="s">
        <v>50</v>
      </c>
      <c r="M44" s="135">
        <f t="shared" si="0"/>
        <v>-35.375999999999998</v>
      </c>
      <c r="N44" s="136" t="str">
        <f>VLOOKUP(C44,'Trips&amp;Operators'!$C$1:$G$99999,5,FALSE)</f>
        <v>SULLIVAN BRANDON</v>
      </c>
      <c r="O44" s="207" t="s">
        <v>184</v>
      </c>
      <c r="P44" s="137"/>
      <c r="Q44" s="30"/>
      <c r="R44" s="84" t="e">
        <f>IF(VLOOKUP(C44,'Train Runs'!$A$13:$AE$9941,1,1)=C44,VLOOKUP(C44,'Train Runs'!$A$13:$AE$9941,31,1),NA())</f>
        <v>#N/A</v>
      </c>
      <c r="S44" s="87" t="str">
        <f>VLOOKUP(C44,'Train Runs'!$A$13:$AE$9941,22,0)</f>
        <v>https://d0f6bd738d7f1b3e5a7ca70fe4ff75f0.us-east-1.aws.found.io/app/kibana#/discover/Steve-Slow-Train-Analysis-(2080s-and-2083s)?_g=(refreshInterval:(display:Off,pause:!f,section:0,value:0),time:(from:'2017-05-06T00:52:31-0600',mode:absolute,to:'2017-05-06T03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44" s="89" t="str">
        <f t="shared" si="1"/>
        <v>"C:\Program Files (x86)\AstroGrep\AstroGrep.exe" /e /r /s /spath="%USERPROFILE%\AppData\Local\Temp\OnboardLogs" /stypes="*4060*201705060*" /stext=" 05:.+((SYSTEM_STATE.+slice.+state.+changed )|(ment ac)|(multiple cpu faults)|(system.+state.+changed )|(\[timeout)|(PRM\|1\|D)|(kpr)|(kdp)|(train st.+moving)|(\|lc)|(penalty))"</v>
      </c>
      <c r="U44" s="9" t="str">
        <f t="shared" si="2"/>
        <v>4060</v>
      </c>
      <c r="V44" s="31">
        <f t="shared" si="3"/>
        <v>42861.235972222225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{"issue":{"subject":"","project_id":79,"tracker_id":40,"status_id":1,"priority_id":2,"assigned_to_id":23,"start_date":"2017-05-05","description":"","custom_fields":[{"id":1,"name":"Subdivision","value":"Other"},{"id":4,"name":"Milepost","value":"1.08"},{"id":17,"name":"Train ID","value":"79-05"},{"id":16,"name":"Locomotive ID","value":"4060"},{"id":130,"name":"Impact","value":""},{"id":150,"name":"Time of Event (Mountain Time)","value":"23:39:48"},{"id":151,"name":"Denver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/cygdrive/c/Users/stu/AppData/Local/Temp/OnboardLogs/RTDC4060 --include="*4060*201705060*"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"%USERPROFILE%\AppData\Local\Temp\OnboardLogs"\RTDC4060\*4060*201705060* &gt;&gt; 2017-05-05-SliceDisagreementCheck.txt</v>
      </c>
      <c r="AE44" s="148" t="str">
        <f t="shared" si="9"/>
        <v>start /low /b %USERPROFILE%\Documents\GitHub\eaglep3\Utilities\DownloadLogsFromS3.py --loco 4060 --day 2017-05-06</v>
      </c>
      <c r="AF44" s="1"/>
    </row>
    <row r="45" spans="1:32" x14ac:dyDescent="0.25">
      <c r="A45" s="31">
        <v>42860.137569444443</v>
      </c>
      <c r="B45" s="30" t="s">
        <v>383</v>
      </c>
      <c r="C45" s="30" t="s">
        <v>591</v>
      </c>
      <c r="D45" s="30" t="s">
        <v>49</v>
      </c>
      <c r="E45" s="30" t="s">
        <v>185</v>
      </c>
      <c r="F45" s="42">
        <v>0</v>
      </c>
      <c r="G45" s="42">
        <v>42</v>
      </c>
      <c r="H45" s="42">
        <v>146</v>
      </c>
      <c r="I45" s="42">
        <v>108</v>
      </c>
      <c r="J45" s="30" t="s">
        <v>186</v>
      </c>
      <c r="K45" s="42">
        <v>1</v>
      </c>
      <c r="L45" s="134" t="s">
        <v>51</v>
      </c>
      <c r="M45" s="135">
        <f t="shared" si="0"/>
        <v>56.496000000000002</v>
      </c>
      <c r="N45" s="136" t="str">
        <f>VLOOKUP(C45,'Trips&amp;Operators'!$C$1:$G$99999,5,FALSE)</f>
        <v>MENGES BRAD</v>
      </c>
      <c r="O45" s="207" t="s">
        <v>184</v>
      </c>
      <c r="P45" s="137"/>
      <c r="Q45" s="30"/>
      <c r="R45" s="84" t="e">
        <f>IF(VLOOKUP(C45,'Train Runs'!$A$13:$AE$9941,1,1)=C45,VLOOKUP(C45,'Train Runs'!$A$13:$AE$9941,31,1),NA())</f>
        <v>#N/A</v>
      </c>
      <c r="S45" s="87" t="str">
        <f>VLOOKUP(C45,'Train Runs'!$A$13:$AE$9941,22,0)</f>
        <v>https://d0f6bd738d7f1b3e5a7ca70fe4ff75f0.us-east-1.aws.found.io/app/kibana#/discover/Steve-Slow-Train-Analysis-(2080s-and-2083s)?_g=(refreshInterval:(display:Off,pause:!f,section:0,value:0),time:(from:'2017-05-05T01:58:35-0600',mode:absolute,to:'2017-05-05T04:18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5" s="89" t="str">
        <f t="shared" si="1"/>
        <v>"C:\Program Files (x86)\AstroGrep\AstroGrep.exe" /e /r /s /spath="%USERPROFILE%\AppData\Local\Temp\OnboardLogs" /stypes="*4045*201705050*" /stext=" 09:.+((SYSTEM_STATE.+slice.+state.+changed )|(ment ac)|(multiple cpu faults)|(system.+state.+changed )|(\[timeout)|(PRM\|1\|D)|(kpr)|(kdp)|(train st.+moving)|(\|lc)|(penalty))"</v>
      </c>
      <c r="U45" s="9" t="str">
        <f t="shared" si="2"/>
        <v>4045</v>
      </c>
      <c r="V45" s="31">
        <f t="shared" si="3"/>
        <v>42860.387569444443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{"issue":{"subject":"","project_id":79,"tracker_id":40,"status_id":1,"priority_id":2,"assigned_to_id":23,"start_date":"2017-05-05","description":"","custom_fields":[{"id":1,"name":"Subdivision","value":"Other"},{"id":4,"name":"Milepost","value":"0.0001"},{"id":17,"name":"Train ID","value":"58-05"},{"id":16,"name":"Locomotive ID","value":"4045"},{"id":130,"name":"Impact","value":""},{"id":150,"name":"Time of Event (Mountain Time)","value":"03:18:06"},{"id":151,"name":"Denver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/cygdrive/c/Users/stu/AppData/Local/Temp/OnboardLogs/RTDC4045 --include="*4045*201705050*"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"%USERPROFILE%\AppData\Local\Temp\OnboardLogs"\RTDC4045\*4045*201705050* &gt;&gt; 2017-05-05-SliceDisagreementCheck.txt</v>
      </c>
      <c r="AE45" s="148" t="str">
        <f t="shared" si="9"/>
        <v>start /low /b %USERPROFILE%\Documents\GitHub\eaglep3\Utilities\DownloadLogsFromS3.py --loco 4045 --day 2017-05-05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</sheetData>
  <autoFilter ref="A6:AC63">
    <sortState ref="A7:AC65">
      <sortCondition ref="W7:W47"/>
      <sortCondition ref="E7:E47"/>
      <sortCondition ref="K7:K47"/>
      <sortCondition ref="F7:F4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4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2017-05-05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-05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" s="30" t="e">
        <f>VLOOKUP(B3,'Train Runs'!$A$13:$A$99938,1,FALSE)</f>
        <v>#N/A</v>
      </c>
    </row>
    <row r="4" spans="1:10" x14ac:dyDescent="0.25">
      <c r="A4" s="190"/>
      <c r="B4" s="42" t="str">
        <f>A4&amp;"-"&amp;IF(DAY(Variables!$A$2)&lt;10,0,"")&amp;DAY(Variables!$A$2)</f>
        <v>-05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" s="30" t="e">
        <f>VLOOKUP(B4,'Train Runs'!$A$13:$A$99938,1,FALSE)</f>
        <v>#N/A</v>
      </c>
    </row>
    <row r="5" spans="1:10" x14ac:dyDescent="0.25">
      <c r="A5" s="190"/>
      <c r="B5" s="42" t="str">
        <f>A5&amp;"-"&amp;IF(DAY(Variables!$A$2)&lt;10,0,"")&amp;DAY(Variables!$A$2)</f>
        <v>-05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Runs'!$A$13:$A$99938,1,FALSE)</f>
        <v>#N/A</v>
      </c>
    </row>
    <row r="6" spans="1:10" x14ac:dyDescent="0.25">
      <c r="A6" s="190"/>
      <c r="B6" s="42" t="str">
        <f>A6&amp;"-"&amp;IF(DAY(Variables!$A$2)&lt;10,0,"")&amp;DAY(Variables!$A$2)</f>
        <v>-05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Runs'!$A$13:$A$99938,1,FALSE)</f>
        <v>#N/A</v>
      </c>
    </row>
    <row r="7" spans="1:10" x14ac:dyDescent="0.25">
      <c r="A7" s="190"/>
      <c r="B7" s="42" t="str">
        <f>A7&amp;"-"&amp;IF(DAY(Variables!$A$2)&lt;10,0,"")&amp;DAY(Variables!$A$2)</f>
        <v>-05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Runs'!$A$13:$A$99938,1,FALSE)</f>
        <v>#N/A</v>
      </c>
    </row>
    <row r="8" spans="1:10" x14ac:dyDescent="0.25">
      <c r="A8" s="190"/>
      <c r="B8" s="42" t="str">
        <f>A8&amp;"-"&amp;IF(DAY(Variables!$A$2)&lt;10,0,"")&amp;DAY(Variables!$A$2)</f>
        <v>-05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Runs'!$A$13:$A$99938,1,FALSE)</f>
        <v>#N/A</v>
      </c>
    </row>
    <row r="9" spans="1:10" x14ac:dyDescent="0.25">
      <c r="A9" s="190"/>
      <c r="B9" s="42" t="str">
        <f>A9&amp;"-"&amp;IF(DAY(Variables!$A$2)&lt;10,0,"")&amp;DAY(Variables!$A$2)</f>
        <v>-05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Runs'!$A$13:$A$99938,1,FALSE)</f>
        <v>#N/A</v>
      </c>
    </row>
    <row r="10" spans="1:10" x14ac:dyDescent="0.25">
      <c r="A10" s="190"/>
      <c r="B10" s="42" t="str">
        <f>A10&amp;"-"&amp;IF(DAY(Variables!$A$2)&lt;10,0,"")&amp;DAY(Variables!$A$2)</f>
        <v>-05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Runs'!$A$13:$A$99938,1,FALSE)</f>
        <v>#N/A</v>
      </c>
    </row>
    <row r="11" spans="1:10" x14ac:dyDescent="0.25">
      <c r="A11" s="190"/>
      <c r="B11" s="42"/>
      <c r="C11" s="138"/>
      <c r="D11" s="156"/>
      <c r="E11" s="30"/>
      <c r="F11" s="21"/>
      <c r="G11" s="21"/>
      <c r="H11" s="29"/>
      <c r="I11" s="45"/>
      <c r="J11" s="30"/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 t="str">
        <f>A72&amp;"-"&amp;IF(DAY(Variables!$A$2)&lt;10,0,"")&amp;DAY(Variables!$A$2)</f>
        <v>-05</v>
      </c>
      <c r="C72" s="138"/>
      <c r="D72" s="156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5" t="str">
        <f t="shared" ref="I72:I8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2" s="30" t="e">
        <f>VLOOKUP(B72,'Train Runs'!$A$13:$A$99938,1,FALSE)</f>
        <v>#N/A</v>
      </c>
    </row>
    <row r="73" spans="1:10" x14ac:dyDescent="0.25">
      <c r="A73" s="190"/>
      <c r="B73" s="42" t="str">
        <f>A73&amp;"-"&amp;IF(DAY(Variables!$A$2)&lt;10,0,"")&amp;DAY(Variables!$A$2)</f>
        <v>-05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3" s="30" t="e">
        <f>VLOOKUP(B73,'Train Runs'!$A$13:$A$99938,1,FALSE)</f>
        <v>#N/A</v>
      </c>
    </row>
    <row r="74" spans="1:10" x14ac:dyDescent="0.25">
      <c r="A74" s="190"/>
      <c r="B74" s="42" t="str">
        <f>A74&amp;"-"&amp;IF(DAY(Variables!$A$2)&lt;10,0,"")&amp;DAY(Variables!$A$2)</f>
        <v>-05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4" s="30" t="e">
        <f>VLOOKUP(B74,'Train Runs'!$A$13:$A$99938,1,FALSE)</f>
        <v>#N/A</v>
      </c>
    </row>
    <row r="75" spans="1:10" x14ac:dyDescent="0.25">
      <c r="A75" s="190"/>
      <c r="B75" s="42" t="str">
        <f>A75&amp;"-"&amp;IF(DAY(Variables!$A$2)&lt;10,0,"")&amp;DAY(Variables!$A$2)</f>
        <v>-05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5" s="30" t="e">
        <f>VLOOKUP(B75,'Train Runs'!$A$13:$A$99938,1,FALSE)</f>
        <v>#N/A</v>
      </c>
    </row>
    <row r="76" spans="1:10" x14ac:dyDescent="0.25">
      <c r="A76" s="190"/>
      <c r="B76" s="42" t="str">
        <f>A76&amp;"-"&amp;IF(DAY(Variables!$A$2)&lt;10,0,"")&amp;DAY(Variables!$A$2)</f>
        <v>-05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6" s="30" t="e">
        <f>VLOOKUP(B76,'Train Runs'!$A$13:$A$99938,1,FALSE)</f>
        <v>#N/A</v>
      </c>
    </row>
    <row r="77" spans="1:10" x14ac:dyDescent="0.25">
      <c r="A77" s="190"/>
      <c r="B77" s="42" t="str">
        <f>A77&amp;"-"&amp;IF(DAY(Variables!$A$2)&lt;10,0,"")&amp;DAY(Variables!$A$2)</f>
        <v>-05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7" s="30" t="e">
        <f>VLOOKUP(B77,'Train Runs'!$A$13:$A$99938,1,FALSE)</f>
        <v>#N/A</v>
      </c>
    </row>
    <row r="78" spans="1:10" x14ac:dyDescent="0.25">
      <c r="A78" s="190"/>
      <c r="B78" s="42" t="str">
        <f>A78&amp;"-"&amp;IF(DAY(Variables!$A$2)&lt;10,0,"")&amp;DAY(Variables!$A$2)</f>
        <v>-05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8" s="30" t="e">
        <f>VLOOKUP(B78,'Train Runs'!$A$13:$A$99938,1,FALSE)</f>
        <v>#N/A</v>
      </c>
    </row>
    <row r="79" spans="1:10" x14ac:dyDescent="0.25">
      <c r="A79" s="190"/>
      <c r="B79" s="42" t="str">
        <f>A79&amp;"-"&amp;IF(DAY(Variables!$A$2)&lt;10,0,"")&amp;DAY(Variables!$A$2)</f>
        <v>-05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9" s="30" t="e">
        <f>VLOOKUP(B79,'Train Runs'!$A$13:$A$99938,1,FALSE)</f>
        <v>#N/A</v>
      </c>
    </row>
    <row r="80" spans="1:10" x14ac:dyDescent="0.25">
      <c r="A80" s="190"/>
      <c r="B80" s="42" t="str">
        <f>A80&amp;"-"&amp;IF(DAY(Variables!$A$2)&lt;10,0,"")&amp;DAY(Variables!$A$2)</f>
        <v>-05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0" s="30" t="e">
        <f>VLOOKUP(B80,'Train Runs'!$A$13:$A$99938,1,FALSE)</f>
        <v>#N/A</v>
      </c>
    </row>
    <row r="81" spans="1:10" x14ac:dyDescent="0.25">
      <c r="A81" s="190"/>
      <c r="B81" s="42" t="str">
        <f>A81&amp;"-"&amp;IF(DAY(Variables!$A$2)&lt;10,0,"")&amp;DAY(Variables!$A$2)</f>
        <v>-05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1" s="30" t="e">
        <f>VLOOKUP(B81,'Train Runs'!$A$13:$A$99938,1,FALSE)</f>
        <v>#N/A</v>
      </c>
    </row>
  </sheetData>
  <autoFilter ref="A2:J8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7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42860.039479166669</v>
      </c>
      <c r="B2" s="20" t="s">
        <v>410</v>
      </c>
      <c r="C2" s="20" t="s">
        <v>537</v>
      </c>
      <c r="D2" s="141">
        <v>1810000</v>
      </c>
      <c r="E2" s="20" t="s">
        <v>369</v>
      </c>
      <c r="F2" s="20" t="s">
        <v>193</v>
      </c>
      <c r="G2" s="8" t="str">
        <f>E2&amp;" "&amp;F2</f>
        <v>NEWELL JAMES</v>
      </c>
    </row>
    <row r="3" spans="1:7" x14ac:dyDescent="0.25">
      <c r="A3" s="8">
        <v>42860.062118055554</v>
      </c>
      <c r="B3" s="20" t="s">
        <v>417</v>
      </c>
      <c r="C3" s="20" t="s">
        <v>397</v>
      </c>
      <c r="D3" s="141">
        <v>1810000</v>
      </c>
      <c r="E3" s="20" t="s">
        <v>369</v>
      </c>
      <c r="F3" s="20" t="s">
        <v>193</v>
      </c>
      <c r="G3" s="8" t="str">
        <f t="shared" ref="G3:G66" si="0">E3&amp;" "&amp;F3</f>
        <v>NEWELL JAMES</v>
      </c>
    </row>
    <row r="4" spans="1:7" x14ac:dyDescent="0.25">
      <c r="A4" s="8">
        <v>42860.06287037037</v>
      </c>
      <c r="B4" s="20" t="s">
        <v>490</v>
      </c>
      <c r="C4" s="20" t="s">
        <v>399</v>
      </c>
      <c r="D4" s="141">
        <v>3000000</v>
      </c>
      <c r="E4" s="20" t="s">
        <v>495</v>
      </c>
      <c r="F4" s="20" t="s">
        <v>466</v>
      </c>
      <c r="G4" s="8" t="str">
        <f t="shared" si="0"/>
        <v>FORTUNATO FRANK</v>
      </c>
    </row>
    <row r="5" spans="1:7" x14ac:dyDescent="0.25">
      <c r="A5" s="8">
        <v>42860.064768518518</v>
      </c>
      <c r="B5" s="20" t="s">
        <v>389</v>
      </c>
      <c r="C5" s="20" t="s">
        <v>400</v>
      </c>
      <c r="D5" s="141">
        <v>2150000</v>
      </c>
      <c r="E5" s="20" t="s">
        <v>347</v>
      </c>
      <c r="F5" s="20" t="s">
        <v>348</v>
      </c>
      <c r="G5" s="8" t="str">
        <f t="shared" si="0"/>
        <v>SWANSON BRYCE</v>
      </c>
    </row>
    <row r="6" spans="1:7" x14ac:dyDescent="0.25">
      <c r="A6" s="8">
        <v>42860.083287037036</v>
      </c>
      <c r="B6" s="20" t="s">
        <v>410</v>
      </c>
      <c r="C6" s="20" t="s">
        <v>538</v>
      </c>
      <c r="D6" s="141">
        <v>1810000</v>
      </c>
      <c r="E6" s="20" t="s">
        <v>369</v>
      </c>
      <c r="F6" s="20" t="s">
        <v>193</v>
      </c>
      <c r="G6" s="8" t="str">
        <f t="shared" si="0"/>
        <v>NEWELL JAMES</v>
      </c>
    </row>
    <row r="7" spans="1:7" x14ac:dyDescent="0.25">
      <c r="A7" s="8">
        <v>42860.086180555554</v>
      </c>
      <c r="B7" s="20" t="s">
        <v>483</v>
      </c>
      <c r="C7" s="20" t="s">
        <v>539</v>
      </c>
      <c r="D7" s="141">
        <v>2270000</v>
      </c>
      <c r="E7" s="20" t="s">
        <v>206</v>
      </c>
      <c r="F7" s="20" t="s">
        <v>207</v>
      </c>
      <c r="G7" s="8" t="str">
        <f t="shared" si="0"/>
        <v>BROWN JACOB</v>
      </c>
    </row>
    <row r="8" spans="1:7" x14ac:dyDescent="0.25">
      <c r="A8" s="8">
        <v>42860.094108796293</v>
      </c>
      <c r="B8" s="20" t="s">
        <v>417</v>
      </c>
      <c r="C8" s="20" t="s">
        <v>540</v>
      </c>
      <c r="D8" s="141">
        <v>1810000</v>
      </c>
      <c r="E8" s="20" t="s">
        <v>369</v>
      </c>
      <c r="F8" s="20" t="s">
        <v>193</v>
      </c>
      <c r="G8" s="8" t="str">
        <f t="shared" si="0"/>
        <v>NEWELL JAMES</v>
      </c>
    </row>
    <row r="9" spans="1:7" ht="15.75" thickBot="1" x14ac:dyDescent="0.3">
      <c r="A9" s="24">
        <v>42860.100208333337</v>
      </c>
      <c r="B9" s="20" t="s">
        <v>390</v>
      </c>
      <c r="C9" s="20" t="s">
        <v>541</v>
      </c>
      <c r="D9" s="141">
        <v>2150000</v>
      </c>
      <c r="E9" s="20" t="s">
        <v>347</v>
      </c>
      <c r="F9" s="20" t="s">
        <v>348</v>
      </c>
      <c r="G9" s="8" t="str">
        <f t="shared" si="0"/>
        <v>SWANSON BRYCE</v>
      </c>
    </row>
    <row r="10" spans="1:7" x14ac:dyDescent="0.25">
      <c r="A10" s="8">
        <v>42860.1091087963</v>
      </c>
      <c r="B10" s="20" t="s">
        <v>389</v>
      </c>
      <c r="C10" s="20" t="s">
        <v>542</v>
      </c>
      <c r="D10" s="141">
        <v>2150000</v>
      </c>
      <c r="E10" s="20" t="s">
        <v>347</v>
      </c>
      <c r="F10" s="20" t="s">
        <v>348</v>
      </c>
      <c r="G10" s="8" t="str">
        <f t="shared" si="0"/>
        <v>SWANSON BRYCE</v>
      </c>
    </row>
    <row r="11" spans="1:7" x14ac:dyDescent="0.25">
      <c r="A11" s="8">
        <v>42860.118622685186</v>
      </c>
      <c r="B11" s="20" t="s">
        <v>630</v>
      </c>
      <c r="C11" s="20" t="s">
        <v>631</v>
      </c>
      <c r="D11" s="141">
        <v>2550000</v>
      </c>
      <c r="E11" s="20" t="s">
        <v>486</v>
      </c>
      <c r="F11" s="20" t="s">
        <v>487</v>
      </c>
      <c r="G11" s="8" t="str">
        <f t="shared" si="0"/>
        <v>BADERTSCHER DIANE</v>
      </c>
    </row>
    <row r="12" spans="1:7" x14ac:dyDescent="0.25">
      <c r="A12" s="8">
        <v>42860.122777777775</v>
      </c>
      <c r="B12" s="20" t="s">
        <v>410</v>
      </c>
      <c r="C12" s="20" t="s">
        <v>632</v>
      </c>
      <c r="D12" s="141">
        <v>1810000</v>
      </c>
      <c r="E12" s="20" t="s">
        <v>369</v>
      </c>
      <c r="F12" s="20" t="s">
        <v>193</v>
      </c>
      <c r="G12" s="8" t="str">
        <f t="shared" si="0"/>
        <v>NEWELL JAMES</v>
      </c>
    </row>
    <row r="13" spans="1:7" x14ac:dyDescent="0.25">
      <c r="A13" s="8">
        <v>42860.125694444447</v>
      </c>
      <c r="B13" s="20" t="s">
        <v>383</v>
      </c>
      <c r="C13" s="20" t="s">
        <v>591</v>
      </c>
      <c r="D13" s="141">
        <v>3020000</v>
      </c>
      <c r="E13" s="20" t="s">
        <v>633</v>
      </c>
      <c r="F13" s="20" t="s">
        <v>634</v>
      </c>
      <c r="G13" s="8" t="str">
        <f t="shared" si="0"/>
        <v>MENGES BRAD</v>
      </c>
    </row>
    <row r="14" spans="1:7" x14ac:dyDescent="0.25">
      <c r="A14" s="8">
        <v>42860.127395833333</v>
      </c>
      <c r="B14" s="20" t="s">
        <v>490</v>
      </c>
      <c r="C14" s="20" t="s">
        <v>635</v>
      </c>
      <c r="D14" s="141">
        <v>2270000</v>
      </c>
      <c r="E14" s="20" t="s">
        <v>206</v>
      </c>
      <c r="F14" s="20" t="s">
        <v>207</v>
      </c>
      <c r="G14" s="8" t="str">
        <f t="shared" si="0"/>
        <v>BROWN JACOB</v>
      </c>
    </row>
    <row r="15" spans="1:7" x14ac:dyDescent="0.25">
      <c r="A15" s="8">
        <v>42860.133032407408</v>
      </c>
      <c r="B15" s="20" t="s">
        <v>469</v>
      </c>
      <c r="C15" s="20" t="s">
        <v>636</v>
      </c>
      <c r="D15" s="141">
        <v>2550000</v>
      </c>
      <c r="E15" s="20" t="s">
        <v>486</v>
      </c>
      <c r="F15" s="20" t="s">
        <v>487</v>
      </c>
      <c r="G15" s="8" t="str">
        <f t="shared" si="0"/>
        <v>BADERTSCHER DIANE</v>
      </c>
    </row>
    <row r="16" spans="1:7" x14ac:dyDescent="0.25">
      <c r="A16" s="8">
        <v>42860.139247685183</v>
      </c>
      <c r="B16" s="20" t="s">
        <v>526</v>
      </c>
      <c r="C16" s="20" t="s">
        <v>637</v>
      </c>
      <c r="D16" s="141">
        <v>1990000</v>
      </c>
      <c r="E16" s="20" t="s">
        <v>638</v>
      </c>
      <c r="F16" s="20" t="s">
        <v>639</v>
      </c>
      <c r="G16" s="8" t="str">
        <f t="shared" si="0"/>
        <v>DAVIS WENDY</v>
      </c>
    </row>
    <row r="17" spans="1:7" x14ac:dyDescent="0.25">
      <c r="A17" s="8">
        <v>42860.14366898148</v>
      </c>
      <c r="B17" s="20" t="s">
        <v>353</v>
      </c>
      <c r="C17" s="20" t="s">
        <v>640</v>
      </c>
      <c r="D17" s="141">
        <v>3020000</v>
      </c>
      <c r="E17" s="20" t="s">
        <v>633</v>
      </c>
      <c r="F17" s="20" t="s">
        <v>634</v>
      </c>
      <c r="G17" s="8" t="str">
        <f t="shared" si="0"/>
        <v>MENGES BRAD</v>
      </c>
    </row>
    <row r="18" spans="1:7" x14ac:dyDescent="0.25">
      <c r="A18" s="8">
        <v>42860.150659722225</v>
      </c>
      <c r="B18" s="20" t="s">
        <v>355</v>
      </c>
      <c r="C18" s="20" t="s">
        <v>641</v>
      </c>
      <c r="D18" s="141">
        <v>1990000</v>
      </c>
      <c r="E18" s="20" t="s">
        <v>638</v>
      </c>
      <c r="F18" s="20" t="s">
        <v>639</v>
      </c>
      <c r="G18" s="8" t="str">
        <f t="shared" si="0"/>
        <v>DAVIS WENDY</v>
      </c>
    </row>
    <row r="19" spans="1:7" x14ac:dyDescent="0.25">
      <c r="A19" s="8">
        <v>42860.159722222219</v>
      </c>
      <c r="B19" s="20" t="s">
        <v>350</v>
      </c>
      <c r="C19" s="20" t="s">
        <v>642</v>
      </c>
      <c r="D19" s="141">
        <v>2140000</v>
      </c>
      <c r="E19" s="20" t="s">
        <v>528</v>
      </c>
      <c r="F19" s="20" t="s">
        <v>529</v>
      </c>
      <c r="G19" s="8" t="str">
        <f t="shared" si="0"/>
        <v>ROBINSON KADDIBA</v>
      </c>
    </row>
    <row r="20" spans="1:7" x14ac:dyDescent="0.25">
      <c r="A20" s="8">
        <v>42860.170798611114</v>
      </c>
      <c r="B20" s="20" t="s">
        <v>630</v>
      </c>
      <c r="C20" s="20" t="s">
        <v>643</v>
      </c>
      <c r="D20" s="141">
        <v>2550000</v>
      </c>
      <c r="E20" s="20" t="s">
        <v>486</v>
      </c>
      <c r="F20" s="20" t="s">
        <v>487</v>
      </c>
      <c r="G20" s="8" t="str">
        <f t="shared" si="0"/>
        <v>BADERTSCHER DIANE</v>
      </c>
    </row>
    <row r="21" spans="1:7" x14ac:dyDescent="0.25">
      <c r="A21" s="8">
        <v>42860.174062500002</v>
      </c>
      <c r="B21" s="20" t="s">
        <v>644</v>
      </c>
      <c r="C21" s="20" t="s">
        <v>645</v>
      </c>
      <c r="D21" s="141">
        <v>1110000</v>
      </c>
      <c r="E21" s="20" t="s">
        <v>442</v>
      </c>
      <c r="F21" s="20" t="s">
        <v>443</v>
      </c>
      <c r="G21" s="8" t="str">
        <f t="shared" si="0"/>
        <v>STARKS ANGELINA</v>
      </c>
    </row>
    <row r="22" spans="1:7" x14ac:dyDescent="0.25">
      <c r="A22" s="26">
        <v>42860.175254629627</v>
      </c>
      <c r="B22" s="20" t="s">
        <v>644</v>
      </c>
      <c r="C22" s="20" t="s">
        <v>645</v>
      </c>
      <c r="D22" s="141">
        <v>1110000</v>
      </c>
      <c r="E22" s="20" t="s">
        <v>442</v>
      </c>
      <c r="F22" s="20" t="s">
        <v>443</v>
      </c>
      <c r="G22" s="8" t="str">
        <f t="shared" si="0"/>
        <v>STARKS ANGELINA</v>
      </c>
    </row>
    <row r="23" spans="1:7" x14ac:dyDescent="0.25">
      <c r="A23" s="8">
        <v>42860.17931712963</v>
      </c>
      <c r="B23" s="20" t="s">
        <v>199</v>
      </c>
      <c r="C23" s="20" t="s">
        <v>646</v>
      </c>
      <c r="D23" s="141">
        <v>1090000</v>
      </c>
      <c r="E23" s="20" t="s">
        <v>448</v>
      </c>
      <c r="F23" s="20" t="s">
        <v>196</v>
      </c>
      <c r="G23" s="8" t="str">
        <f t="shared" si="0"/>
        <v>SPECTOR MICHAEL</v>
      </c>
    </row>
    <row r="24" spans="1:7" x14ac:dyDescent="0.25">
      <c r="A24" s="8">
        <v>42860.184606481482</v>
      </c>
      <c r="B24" s="20" t="s">
        <v>527</v>
      </c>
      <c r="C24" s="20" t="s">
        <v>647</v>
      </c>
      <c r="D24" s="141">
        <v>890000</v>
      </c>
      <c r="E24" s="20" t="s">
        <v>464</v>
      </c>
      <c r="F24" s="20" t="s">
        <v>465</v>
      </c>
      <c r="G24" s="8" t="str">
        <f t="shared" si="0"/>
        <v>LOZA FIDEL</v>
      </c>
    </row>
    <row r="25" spans="1:7" x14ac:dyDescent="0.25">
      <c r="A25" s="8">
        <v>42860.18650462963</v>
      </c>
      <c r="B25" s="20" t="s">
        <v>592</v>
      </c>
      <c r="C25" s="20" t="s">
        <v>648</v>
      </c>
      <c r="D25" s="141">
        <v>1110000</v>
      </c>
      <c r="E25" s="20" t="s">
        <v>442</v>
      </c>
      <c r="F25" s="20" t="s">
        <v>443</v>
      </c>
      <c r="G25" s="8" t="str">
        <f t="shared" si="0"/>
        <v>STARKS ANGELINA</v>
      </c>
    </row>
    <row r="26" spans="1:7" x14ac:dyDescent="0.25">
      <c r="A26" s="8">
        <v>42860.192754629628</v>
      </c>
      <c r="B26" s="20" t="s">
        <v>526</v>
      </c>
      <c r="C26" s="20" t="s">
        <v>649</v>
      </c>
      <c r="D26" s="141">
        <v>1990000</v>
      </c>
      <c r="E26" s="20" t="s">
        <v>638</v>
      </c>
      <c r="F26" s="20" t="s">
        <v>639</v>
      </c>
      <c r="G26" s="8" t="str">
        <f t="shared" si="0"/>
        <v>DAVIS WENDY</v>
      </c>
    </row>
    <row r="27" spans="1:7" x14ac:dyDescent="0.25">
      <c r="A27" s="8">
        <v>42860.19604166667</v>
      </c>
      <c r="B27" s="20" t="s">
        <v>532</v>
      </c>
      <c r="C27" s="20" t="s">
        <v>650</v>
      </c>
      <c r="D27" s="141">
        <v>890000</v>
      </c>
      <c r="E27" s="20" t="s">
        <v>464</v>
      </c>
      <c r="F27" s="20" t="s">
        <v>465</v>
      </c>
      <c r="G27" s="8" t="str">
        <f t="shared" si="0"/>
        <v>LOZA FIDEL</v>
      </c>
    </row>
    <row r="28" spans="1:7" x14ac:dyDescent="0.25">
      <c r="A28" s="8">
        <v>42860.198344907411</v>
      </c>
      <c r="B28" s="20" t="s">
        <v>651</v>
      </c>
      <c r="C28" s="20" t="s">
        <v>652</v>
      </c>
      <c r="D28" s="141">
        <v>1100000</v>
      </c>
      <c r="E28" s="20" t="s">
        <v>488</v>
      </c>
      <c r="F28" s="20" t="s">
        <v>489</v>
      </c>
      <c r="G28" s="8" t="str">
        <f t="shared" si="0"/>
        <v>GEBRETEKLE DAGNEW</v>
      </c>
    </row>
    <row r="29" spans="1:7" x14ac:dyDescent="0.25">
      <c r="A29" s="8">
        <v>42860.205567129633</v>
      </c>
      <c r="B29" s="20" t="s">
        <v>469</v>
      </c>
      <c r="C29" s="20" t="s">
        <v>653</v>
      </c>
      <c r="D29" s="141">
        <v>3120000</v>
      </c>
      <c r="E29" s="20" t="s">
        <v>444</v>
      </c>
      <c r="F29" s="20" t="s">
        <v>445</v>
      </c>
      <c r="G29" s="8" t="str">
        <f t="shared" si="0"/>
        <v>THOMPSON LESTER</v>
      </c>
    </row>
    <row r="30" spans="1:7" x14ac:dyDescent="0.25">
      <c r="A30" s="8">
        <v>42860.209513888891</v>
      </c>
      <c r="B30" s="20" t="s">
        <v>407</v>
      </c>
      <c r="C30" s="20" t="s">
        <v>654</v>
      </c>
      <c r="D30" s="141">
        <v>2550000</v>
      </c>
      <c r="E30" s="20" t="s">
        <v>486</v>
      </c>
      <c r="F30" s="20" t="s">
        <v>487</v>
      </c>
      <c r="G30" s="8" t="str">
        <f t="shared" si="0"/>
        <v>BADERTSCHER DIANE</v>
      </c>
    </row>
    <row r="31" spans="1:7" x14ac:dyDescent="0.25">
      <c r="A31" s="8">
        <v>42860.209594907406</v>
      </c>
      <c r="B31" s="20" t="s">
        <v>655</v>
      </c>
      <c r="C31" s="20" t="s">
        <v>656</v>
      </c>
      <c r="D31" s="141">
        <v>1100000</v>
      </c>
      <c r="E31" s="20" t="s">
        <v>488</v>
      </c>
      <c r="F31" s="20" t="s">
        <v>489</v>
      </c>
      <c r="G31" s="8" t="str">
        <f t="shared" si="0"/>
        <v>GEBRETEKLE DAGNEW</v>
      </c>
    </row>
    <row r="32" spans="1:7" x14ac:dyDescent="0.25">
      <c r="A32" s="8">
        <v>42860.211180555554</v>
      </c>
      <c r="B32" s="20" t="s">
        <v>407</v>
      </c>
      <c r="C32" s="20" t="s">
        <v>654</v>
      </c>
      <c r="D32" s="141">
        <v>2550000</v>
      </c>
      <c r="E32" s="20" t="s">
        <v>486</v>
      </c>
      <c r="F32" s="20" t="s">
        <v>487</v>
      </c>
      <c r="G32" s="8" t="str">
        <f t="shared" si="0"/>
        <v>BADERTSCHER DIANE</v>
      </c>
    </row>
    <row r="33" spans="1:7" x14ac:dyDescent="0.25">
      <c r="A33" s="8">
        <v>42860.212187500001</v>
      </c>
      <c r="B33" s="20" t="s">
        <v>407</v>
      </c>
      <c r="C33" s="20" t="s">
        <v>654</v>
      </c>
      <c r="D33" s="141">
        <v>2550000</v>
      </c>
      <c r="E33" s="20" t="s">
        <v>486</v>
      </c>
      <c r="F33" s="20" t="s">
        <v>487</v>
      </c>
      <c r="G33" s="8" t="str">
        <f t="shared" si="0"/>
        <v>BADERTSCHER DIANE</v>
      </c>
    </row>
    <row r="34" spans="1:7" x14ac:dyDescent="0.25">
      <c r="A34" s="8">
        <v>42860.214861111112</v>
      </c>
      <c r="B34" s="20" t="s">
        <v>350</v>
      </c>
      <c r="C34" s="20" t="s">
        <v>657</v>
      </c>
      <c r="D34" s="141">
        <v>1090000</v>
      </c>
      <c r="E34" s="20" t="s">
        <v>448</v>
      </c>
      <c r="F34" s="20" t="s">
        <v>196</v>
      </c>
      <c r="G34" s="8" t="str">
        <f t="shared" si="0"/>
        <v>SPECTOR MICHAEL</v>
      </c>
    </row>
    <row r="35" spans="1:7" x14ac:dyDescent="0.25">
      <c r="A35" s="8">
        <v>42860.222974537035</v>
      </c>
      <c r="B35" s="20" t="s">
        <v>644</v>
      </c>
      <c r="C35" s="20" t="s">
        <v>658</v>
      </c>
      <c r="D35" s="141">
        <v>1110000</v>
      </c>
      <c r="E35" s="20" t="s">
        <v>442</v>
      </c>
      <c r="F35" s="20" t="s">
        <v>443</v>
      </c>
      <c r="G35" s="8" t="str">
        <f t="shared" si="0"/>
        <v>STARKS ANGELINA</v>
      </c>
    </row>
    <row r="36" spans="1:7" x14ac:dyDescent="0.25">
      <c r="A36" s="8">
        <v>42860.227106481485</v>
      </c>
      <c r="B36" s="20" t="s">
        <v>355</v>
      </c>
      <c r="C36" s="20" t="s">
        <v>659</v>
      </c>
      <c r="D36" s="141">
        <v>3090000</v>
      </c>
      <c r="E36" s="20" t="s">
        <v>446</v>
      </c>
      <c r="F36" s="20" t="s">
        <v>447</v>
      </c>
      <c r="G36" s="8" t="str">
        <f t="shared" si="0"/>
        <v>LAMAR NEKESHA</v>
      </c>
    </row>
    <row r="37" spans="1:7" x14ac:dyDescent="0.25">
      <c r="A37" s="8">
        <v>42860.227407407408</v>
      </c>
      <c r="B37" s="20" t="s">
        <v>651</v>
      </c>
      <c r="C37" s="20" t="s">
        <v>660</v>
      </c>
      <c r="D37" s="141">
        <v>1100000</v>
      </c>
      <c r="E37" s="20" t="s">
        <v>488</v>
      </c>
      <c r="F37" s="20" t="s">
        <v>489</v>
      </c>
      <c r="G37" s="8" t="str">
        <f t="shared" si="0"/>
        <v>GEBRETEKLE DAGNEW</v>
      </c>
    </row>
    <row r="38" spans="1:7" x14ac:dyDescent="0.25">
      <c r="A38" s="8">
        <v>42860.234409722223</v>
      </c>
      <c r="B38" s="20" t="s">
        <v>527</v>
      </c>
      <c r="C38" s="20" t="s">
        <v>661</v>
      </c>
      <c r="D38" s="141">
        <v>890000</v>
      </c>
      <c r="E38" s="20" t="s">
        <v>464</v>
      </c>
      <c r="F38" s="20" t="s">
        <v>465</v>
      </c>
      <c r="G38" s="8" t="str">
        <f t="shared" si="0"/>
        <v>LOZA FIDEL</v>
      </c>
    </row>
    <row r="39" spans="1:7" x14ac:dyDescent="0.25">
      <c r="A39" s="8">
        <v>42860.237013888887</v>
      </c>
      <c r="B39" s="20" t="s">
        <v>433</v>
      </c>
      <c r="C39" s="20" t="s">
        <v>662</v>
      </c>
      <c r="D39" s="141">
        <v>1990000</v>
      </c>
      <c r="E39" s="20" t="s">
        <v>638</v>
      </c>
      <c r="F39" s="20" t="s">
        <v>639</v>
      </c>
      <c r="G39" s="8" t="str">
        <f t="shared" si="0"/>
        <v>DAVIS WENDY</v>
      </c>
    </row>
    <row r="40" spans="1:7" x14ac:dyDescent="0.25">
      <c r="A40" s="8">
        <v>42860.244467592594</v>
      </c>
      <c r="B40" s="25" t="s">
        <v>463</v>
      </c>
      <c r="C40" s="20" t="s">
        <v>663</v>
      </c>
      <c r="D40" s="141">
        <v>3120000</v>
      </c>
      <c r="E40" s="20" t="s">
        <v>444</v>
      </c>
      <c r="F40" s="20" t="s">
        <v>445</v>
      </c>
      <c r="G40" s="8" t="str">
        <f t="shared" si="0"/>
        <v>THOMPSON LESTER</v>
      </c>
    </row>
    <row r="41" spans="1:7" x14ac:dyDescent="0.25">
      <c r="A41" s="8">
        <v>42860.245995370373</v>
      </c>
      <c r="B41" s="20" t="s">
        <v>599</v>
      </c>
      <c r="C41" s="20" t="s">
        <v>664</v>
      </c>
      <c r="D41" s="141">
        <v>1780000</v>
      </c>
      <c r="E41" s="20" t="s">
        <v>467</v>
      </c>
      <c r="F41" s="20" t="s">
        <v>468</v>
      </c>
      <c r="G41" s="8" t="str">
        <f t="shared" si="0"/>
        <v>DE LA ROSA ALEX</v>
      </c>
    </row>
    <row r="42" spans="1:7" x14ac:dyDescent="0.25">
      <c r="A42" s="8">
        <v>42860.247708333336</v>
      </c>
      <c r="B42" s="20" t="s">
        <v>199</v>
      </c>
      <c r="C42" s="20" t="s">
        <v>665</v>
      </c>
      <c r="D42" s="141">
        <v>2140000</v>
      </c>
      <c r="E42" s="20" t="s">
        <v>528</v>
      </c>
      <c r="F42" s="20" t="s">
        <v>529</v>
      </c>
      <c r="G42" s="8" t="str">
        <f t="shared" si="0"/>
        <v>ROBINSON KADDIBA</v>
      </c>
    </row>
    <row r="43" spans="1:7" x14ac:dyDescent="0.25">
      <c r="A43" s="8">
        <v>42860.247835648152</v>
      </c>
      <c r="B43" s="20" t="s">
        <v>349</v>
      </c>
      <c r="C43" s="20" t="s">
        <v>538</v>
      </c>
      <c r="D43" s="141">
        <v>1140000</v>
      </c>
      <c r="E43" s="20" t="s">
        <v>666</v>
      </c>
      <c r="F43" s="20" t="s">
        <v>667</v>
      </c>
      <c r="G43" s="8" t="str">
        <f t="shared" si="0"/>
        <v>YOUNG ELIZABETH</v>
      </c>
    </row>
    <row r="44" spans="1:7" x14ac:dyDescent="0.25">
      <c r="A44" s="8">
        <v>42860.248333333337</v>
      </c>
      <c r="B44" s="20" t="s">
        <v>630</v>
      </c>
      <c r="C44" s="20" t="s">
        <v>668</v>
      </c>
      <c r="D44" s="141">
        <v>2550000</v>
      </c>
      <c r="E44" s="20" t="s">
        <v>486</v>
      </c>
      <c r="F44" s="20" t="s">
        <v>487</v>
      </c>
      <c r="G44" s="8" t="str">
        <f t="shared" si="0"/>
        <v>BADERTSCHER DIANE</v>
      </c>
    </row>
    <row r="45" spans="1:7" x14ac:dyDescent="0.25">
      <c r="A45" s="8">
        <v>42860.255740740744</v>
      </c>
      <c r="B45" s="20" t="s">
        <v>350</v>
      </c>
      <c r="C45" s="20" t="s">
        <v>538</v>
      </c>
      <c r="D45" s="141">
        <v>1140000</v>
      </c>
      <c r="E45" s="20" t="s">
        <v>666</v>
      </c>
      <c r="F45" s="20" t="s">
        <v>667</v>
      </c>
      <c r="G45" s="8" t="str">
        <f t="shared" si="0"/>
        <v>YOUNG ELIZABETH</v>
      </c>
    </row>
    <row r="46" spans="1:7" x14ac:dyDescent="0.25">
      <c r="A46" s="8">
        <v>42860.255891203706</v>
      </c>
      <c r="B46" s="20" t="s">
        <v>655</v>
      </c>
      <c r="C46" s="20" t="s">
        <v>669</v>
      </c>
      <c r="D46" s="141">
        <v>1100000</v>
      </c>
      <c r="E46" s="20" t="s">
        <v>488</v>
      </c>
      <c r="F46" s="20" t="s">
        <v>489</v>
      </c>
      <c r="G46" s="8" t="str">
        <f t="shared" si="0"/>
        <v>GEBRETEKLE DAGNEW</v>
      </c>
    </row>
    <row r="47" spans="1:7" x14ac:dyDescent="0.25">
      <c r="A47" s="8">
        <v>42860.258333333331</v>
      </c>
      <c r="B47" s="20" t="s">
        <v>592</v>
      </c>
      <c r="C47" s="20" t="s">
        <v>593</v>
      </c>
      <c r="D47" s="141">
        <v>1110000</v>
      </c>
      <c r="E47" s="20" t="s">
        <v>442</v>
      </c>
      <c r="F47" s="20" t="s">
        <v>443</v>
      </c>
      <c r="G47" s="8" t="str">
        <f t="shared" si="0"/>
        <v>STARKS ANGELINA</v>
      </c>
    </row>
    <row r="48" spans="1:7" x14ac:dyDescent="0.25">
      <c r="A48" s="8">
        <v>42860.262141203704</v>
      </c>
      <c r="B48" s="20" t="s">
        <v>357</v>
      </c>
      <c r="C48" s="20" t="s">
        <v>670</v>
      </c>
      <c r="D48" s="141">
        <v>1780000</v>
      </c>
      <c r="E48" s="20" t="s">
        <v>467</v>
      </c>
      <c r="F48" s="20" t="s">
        <v>468</v>
      </c>
      <c r="G48" s="8" t="str">
        <f t="shared" si="0"/>
        <v>DE LA ROSA ALEX</v>
      </c>
    </row>
    <row r="49" spans="1:7" x14ac:dyDescent="0.25">
      <c r="A49" s="8">
        <v>42860.264826388891</v>
      </c>
      <c r="B49" s="20" t="s">
        <v>354</v>
      </c>
      <c r="C49" s="20" t="s">
        <v>671</v>
      </c>
      <c r="D49" s="141">
        <v>3090000</v>
      </c>
      <c r="E49" s="20" t="s">
        <v>446</v>
      </c>
      <c r="F49" s="20" t="s">
        <v>447</v>
      </c>
      <c r="G49" s="8" t="str">
        <f t="shared" si="0"/>
        <v>LAMAR NEKESHA</v>
      </c>
    </row>
    <row r="50" spans="1:7" x14ac:dyDescent="0.25">
      <c r="A50" s="8">
        <v>42860.268067129633</v>
      </c>
      <c r="B50" s="20" t="s">
        <v>532</v>
      </c>
      <c r="C50" s="20" t="s">
        <v>594</v>
      </c>
      <c r="D50" s="141">
        <v>890000</v>
      </c>
      <c r="E50" s="20" t="s">
        <v>464</v>
      </c>
      <c r="F50" s="20" t="s">
        <v>465</v>
      </c>
      <c r="G50" s="8" t="str">
        <f t="shared" si="0"/>
        <v>LOZA FIDEL</v>
      </c>
    </row>
    <row r="51" spans="1:7" x14ac:dyDescent="0.25">
      <c r="A51" s="8">
        <v>42860.27070601852</v>
      </c>
      <c r="B51" s="20" t="s">
        <v>651</v>
      </c>
      <c r="C51" s="20" t="s">
        <v>672</v>
      </c>
      <c r="D51" s="141">
        <v>1100000</v>
      </c>
      <c r="E51" s="20" t="s">
        <v>488</v>
      </c>
      <c r="F51" s="20" t="s">
        <v>489</v>
      </c>
      <c r="G51" s="8" t="str">
        <f t="shared" si="0"/>
        <v>GEBRETEKLE DAGNEW</v>
      </c>
    </row>
    <row r="52" spans="1:7" x14ac:dyDescent="0.25">
      <c r="A52" s="8">
        <v>42860.274988425925</v>
      </c>
      <c r="B52" s="20" t="s">
        <v>526</v>
      </c>
      <c r="C52" s="20" t="s">
        <v>596</v>
      </c>
      <c r="D52" s="141">
        <v>1990000</v>
      </c>
      <c r="E52" s="20" t="s">
        <v>638</v>
      </c>
      <c r="F52" s="20" t="s">
        <v>639</v>
      </c>
      <c r="G52" s="8" t="str">
        <f t="shared" si="0"/>
        <v>DAVIS WENDY</v>
      </c>
    </row>
    <row r="53" spans="1:7" x14ac:dyDescent="0.25">
      <c r="A53" s="8">
        <v>42860.275636574072</v>
      </c>
      <c r="B53" s="20" t="s">
        <v>599</v>
      </c>
      <c r="C53" s="20" t="s">
        <v>673</v>
      </c>
      <c r="D53" s="141">
        <v>1780000</v>
      </c>
      <c r="E53" s="20" t="s">
        <v>467</v>
      </c>
      <c r="F53" s="20" t="s">
        <v>468</v>
      </c>
      <c r="G53" s="8" t="str">
        <f t="shared" si="0"/>
        <v>DE LA ROSA ALEX</v>
      </c>
    </row>
    <row r="54" spans="1:7" x14ac:dyDescent="0.25">
      <c r="A54" s="8">
        <v>42860.276643518519</v>
      </c>
      <c r="B54" s="20" t="s">
        <v>469</v>
      </c>
      <c r="C54" s="20" t="s">
        <v>674</v>
      </c>
      <c r="D54" s="141">
        <v>3120000</v>
      </c>
      <c r="E54" s="20" t="s">
        <v>444</v>
      </c>
      <c r="F54" s="20" t="s">
        <v>445</v>
      </c>
      <c r="G54" s="8" t="str">
        <f t="shared" si="0"/>
        <v>THOMPSON LESTER</v>
      </c>
    </row>
    <row r="55" spans="1:7" x14ac:dyDescent="0.25">
      <c r="A55" s="8">
        <v>42860.287280092591</v>
      </c>
      <c r="B55" s="20" t="s">
        <v>358</v>
      </c>
      <c r="C55" s="20" t="s">
        <v>595</v>
      </c>
      <c r="D55" s="141">
        <v>2140000</v>
      </c>
      <c r="E55" s="20" t="s">
        <v>528</v>
      </c>
      <c r="F55" s="20" t="s">
        <v>529</v>
      </c>
      <c r="G55" s="8" t="str">
        <f t="shared" si="0"/>
        <v>ROBINSON KADDIBA</v>
      </c>
    </row>
    <row r="56" spans="1:7" x14ac:dyDescent="0.25">
      <c r="A56" s="8">
        <v>42860.287905092591</v>
      </c>
      <c r="B56" s="20" t="s">
        <v>358</v>
      </c>
      <c r="C56" s="20" t="s">
        <v>595</v>
      </c>
      <c r="D56" s="141">
        <v>2140000</v>
      </c>
      <c r="E56" s="20" t="s">
        <v>528</v>
      </c>
      <c r="F56" s="20" t="s">
        <v>529</v>
      </c>
      <c r="G56" s="8" t="str">
        <f t="shared" si="0"/>
        <v>ROBINSON KADDIBA</v>
      </c>
    </row>
    <row r="57" spans="1:7" x14ac:dyDescent="0.25">
      <c r="A57" s="8">
        <v>42860.288391203707</v>
      </c>
      <c r="B57" s="20" t="s">
        <v>407</v>
      </c>
      <c r="C57" s="20" t="s">
        <v>675</v>
      </c>
      <c r="D57" s="141">
        <v>2550000</v>
      </c>
      <c r="E57" s="20" t="s">
        <v>486</v>
      </c>
      <c r="F57" s="20" t="s">
        <v>487</v>
      </c>
      <c r="G57" s="8" t="str">
        <f t="shared" si="0"/>
        <v>BADERTSCHER DIANE</v>
      </c>
    </row>
    <row r="58" spans="1:7" x14ac:dyDescent="0.25">
      <c r="A58" s="8">
        <v>42860.292847222219</v>
      </c>
      <c r="B58" s="20" t="s">
        <v>644</v>
      </c>
      <c r="C58" s="20" t="s">
        <v>676</v>
      </c>
      <c r="D58" s="141">
        <v>1110000</v>
      </c>
      <c r="E58" s="20" t="s">
        <v>442</v>
      </c>
      <c r="F58" s="20" t="s">
        <v>443</v>
      </c>
      <c r="G58" s="8" t="str">
        <f t="shared" si="0"/>
        <v>STARKS ANGELINA</v>
      </c>
    </row>
    <row r="59" spans="1:7" x14ac:dyDescent="0.25">
      <c r="A59" s="8">
        <v>42860.296759259261</v>
      </c>
      <c r="B59" s="20" t="s">
        <v>655</v>
      </c>
      <c r="C59" s="20" t="s">
        <v>677</v>
      </c>
      <c r="D59" s="141">
        <v>1100000</v>
      </c>
      <c r="E59" s="20" t="s">
        <v>488</v>
      </c>
      <c r="F59" s="20" t="s">
        <v>489</v>
      </c>
      <c r="G59" s="8" t="str">
        <f t="shared" si="0"/>
        <v>GEBRETEKLE DAGNEW</v>
      </c>
    </row>
    <row r="60" spans="1:7" x14ac:dyDescent="0.25">
      <c r="A60" s="8">
        <v>42860.297418981485</v>
      </c>
      <c r="B60" s="20" t="s">
        <v>355</v>
      </c>
      <c r="C60" s="20" t="s">
        <v>678</v>
      </c>
      <c r="D60" s="141">
        <v>3090000</v>
      </c>
      <c r="E60" s="20" t="s">
        <v>446</v>
      </c>
      <c r="F60" s="20" t="s">
        <v>447</v>
      </c>
      <c r="G60" s="8" t="str">
        <f t="shared" si="0"/>
        <v>LAMAR NEKESHA</v>
      </c>
    </row>
    <row r="61" spans="1:7" x14ac:dyDescent="0.25">
      <c r="A61" s="8">
        <v>42860.300694444442</v>
      </c>
      <c r="B61" s="20" t="s">
        <v>357</v>
      </c>
      <c r="C61" s="20" t="s">
        <v>679</v>
      </c>
      <c r="D61" s="141">
        <v>1780000</v>
      </c>
      <c r="E61" s="20" t="s">
        <v>467</v>
      </c>
      <c r="F61" s="20" t="s">
        <v>468</v>
      </c>
      <c r="G61" s="8" t="str">
        <f t="shared" si="0"/>
        <v>DE LA ROSA ALEX</v>
      </c>
    </row>
    <row r="62" spans="1:7" x14ac:dyDescent="0.25">
      <c r="A62" s="8">
        <v>42860.307708333334</v>
      </c>
      <c r="B62" s="20" t="s">
        <v>527</v>
      </c>
      <c r="C62" s="20" t="s">
        <v>680</v>
      </c>
      <c r="D62" s="141">
        <v>890000</v>
      </c>
      <c r="E62" s="20" t="s">
        <v>464</v>
      </c>
      <c r="F62" s="20" t="s">
        <v>465</v>
      </c>
      <c r="G62" s="8" t="str">
        <f t="shared" si="0"/>
        <v>LOZA FIDEL</v>
      </c>
    </row>
    <row r="63" spans="1:7" x14ac:dyDescent="0.25">
      <c r="A63" s="8">
        <v>42860.307824074072</v>
      </c>
      <c r="B63" s="20" t="s">
        <v>433</v>
      </c>
      <c r="C63" s="20" t="s">
        <v>681</v>
      </c>
      <c r="D63" s="141">
        <v>1990000</v>
      </c>
      <c r="E63" s="20" t="s">
        <v>638</v>
      </c>
      <c r="F63" s="20" t="s">
        <v>639</v>
      </c>
      <c r="G63" s="8" t="str">
        <f t="shared" si="0"/>
        <v>DAVIS WENDY</v>
      </c>
    </row>
    <row r="64" spans="1:7" x14ac:dyDescent="0.25">
      <c r="A64" s="26">
        <v>42860.312685185185</v>
      </c>
      <c r="B64" s="20" t="s">
        <v>651</v>
      </c>
      <c r="C64" s="20" t="s">
        <v>682</v>
      </c>
      <c r="D64" s="141">
        <v>1100000</v>
      </c>
      <c r="E64" s="20" t="s">
        <v>488</v>
      </c>
      <c r="F64" s="20" t="s">
        <v>489</v>
      </c>
      <c r="G64" s="8" t="str">
        <f t="shared" si="0"/>
        <v>GEBRETEKLE DAGNEW</v>
      </c>
    </row>
    <row r="65" spans="1:7" x14ac:dyDescent="0.25">
      <c r="A65" s="8">
        <v>42860.317280092589</v>
      </c>
      <c r="B65" s="20" t="s">
        <v>463</v>
      </c>
      <c r="C65" s="20" t="s">
        <v>683</v>
      </c>
      <c r="D65" s="141">
        <v>3120000</v>
      </c>
      <c r="E65" s="20" t="s">
        <v>444</v>
      </c>
      <c r="F65" s="20" t="s">
        <v>445</v>
      </c>
      <c r="G65" s="8" t="str">
        <f t="shared" si="0"/>
        <v>THOMPSON LESTER</v>
      </c>
    </row>
    <row r="66" spans="1:7" x14ac:dyDescent="0.25">
      <c r="A66" s="8">
        <v>42860.317453703705</v>
      </c>
      <c r="B66" s="20" t="s">
        <v>599</v>
      </c>
      <c r="C66" s="20" t="s">
        <v>684</v>
      </c>
      <c r="D66" s="141">
        <v>1780000</v>
      </c>
      <c r="E66" s="20" t="s">
        <v>467</v>
      </c>
      <c r="F66" s="20" t="s">
        <v>468</v>
      </c>
      <c r="G66" s="8" t="str">
        <f t="shared" si="0"/>
        <v>DE LA ROSA ALEX</v>
      </c>
    </row>
    <row r="67" spans="1:7" x14ac:dyDescent="0.25">
      <c r="A67" s="8">
        <v>42860.318067129629</v>
      </c>
      <c r="B67" s="20" t="s">
        <v>199</v>
      </c>
      <c r="C67" s="20" t="s">
        <v>597</v>
      </c>
      <c r="D67" s="141">
        <v>2140000</v>
      </c>
      <c r="E67" s="20" t="s">
        <v>528</v>
      </c>
      <c r="F67" s="20" t="s">
        <v>529</v>
      </c>
      <c r="G67" s="8" t="str">
        <f t="shared" ref="G67:G130" si="1">E67&amp;" "&amp;F67</f>
        <v>ROBINSON KADDIBA</v>
      </c>
    </row>
    <row r="68" spans="1:7" x14ac:dyDescent="0.25">
      <c r="A68" s="8">
        <v>42860.324837962966</v>
      </c>
      <c r="B68" s="20" t="s">
        <v>630</v>
      </c>
      <c r="C68" s="20" t="s">
        <v>685</v>
      </c>
      <c r="D68" s="141">
        <v>2550000</v>
      </c>
      <c r="E68" s="20" t="s">
        <v>486</v>
      </c>
      <c r="F68" s="20" t="s">
        <v>487</v>
      </c>
      <c r="G68" s="8" t="str">
        <f t="shared" si="1"/>
        <v>BADERTSCHER DIANE</v>
      </c>
    </row>
    <row r="69" spans="1:7" x14ac:dyDescent="0.25">
      <c r="A69" s="8">
        <v>42860.329282407409</v>
      </c>
      <c r="B69" s="20" t="s">
        <v>354</v>
      </c>
      <c r="C69" s="20" t="s">
        <v>598</v>
      </c>
      <c r="D69" s="141">
        <v>3090000</v>
      </c>
      <c r="E69" s="20" t="s">
        <v>446</v>
      </c>
      <c r="F69" s="20" t="s">
        <v>447</v>
      </c>
      <c r="G69" s="8" t="str">
        <f t="shared" si="1"/>
        <v>LAMAR NEKESHA</v>
      </c>
    </row>
    <row r="70" spans="1:7" x14ac:dyDescent="0.25">
      <c r="A70" s="8">
        <v>42860.330462962964</v>
      </c>
      <c r="B70" s="20" t="s">
        <v>592</v>
      </c>
      <c r="C70" s="20" t="s">
        <v>686</v>
      </c>
      <c r="D70" s="141">
        <v>1110000</v>
      </c>
      <c r="E70" s="20" t="s">
        <v>442</v>
      </c>
      <c r="F70" s="20" t="s">
        <v>443</v>
      </c>
      <c r="G70" s="8" t="str">
        <f t="shared" si="1"/>
        <v>STARKS ANGELINA</v>
      </c>
    </row>
    <row r="71" spans="1:7" x14ac:dyDescent="0.25">
      <c r="A71" s="8">
        <v>42860.332789351851</v>
      </c>
      <c r="B71" s="20" t="s">
        <v>592</v>
      </c>
      <c r="C71" s="20" t="s">
        <v>686</v>
      </c>
      <c r="D71" s="141">
        <v>1110000</v>
      </c>
      <c r="E71" s="20" t="s">
        <v>442</v>
      </c>
      <c r="F71" s="20" t="s">
        <v>443</v>
      </c>
      <c r="G71" s="8" t="str">
        <f t="shared" si="1"/>
        <v>STARKS ANGELINA</v>
      </c>
    </row>
    <row r="72" spans="1:7" x14ac:dyDescent="0.25">
      <c r="A72" s="8">
        <v>42860.338622685187</v>
      </c>
      <c r="B72" s="20" t="s">
        <v>655</v>
      </c>
      <c r="C72" s="20" t="s">
        <v>687</v>
      </c>
      <c r="D72" s="141">
        <v>1100000</v>
      </c>
      <c r="E72" s="20" t="s">
        <v>488</v>
      </c>
      <c r="F72" s="20" t="s">
        <v>489</v>
      </c>
      <c r="G72" s="8" t="str">
        <f t="shared" si="1"/>
        <v>GEBRETEKLE DAGNEW</v>
      </c>
    </row>
    <row r="73" spans="1:7" x14ac:dyDescent="0.25">
      <c r="A73" s="8">
        <v>42860.340995370374</v>
      </c>
      <c r="B73" s="20" t="s">
        <v>532</v>
      </c>
      <c r="C73" s="20" t="s">
        <v>688</v>
      </c>
      <c r="D73" s="141">
        <v>890000</v>
      </c>
      <c r="E73" s="20" t="s">
        <v>464</v>
      </c>
      <c r="F73" s="20" t="s">
        <v>465</v>
      </c>
      <c r="G73" s="8" t="str">
        <f t="shared" si="1"/>
        <v>LOZA FIDEL</v>
      </c>
    </row>
    <row r="74" spans="1:7" x14ac:dyDescent="0.25">
      <c r="A74" s="8">
        <v>42860.345081018517</v>
      </c>
      <c r="B74" s="20" t="s">
        <v>357</v>
      </c>
      <c r="C74" s="20" t="s">
        <v>689</v>
      </c>
      <c r="D74" s="141">
        <v>1780000</v>
      </c>
      <c r="E74" s="20" t="s">
        <v>467</v>
      </c>
      <c r="F74" s="20" t="s">
        <v>468</v>
      </c>
      <c r="G74" s="8" t="str">
        <f t="shared" si="1"/>
        <v>DE LA ROSA ALEX</v>
      </c>
    </row>
    <row r="75" spans="1:7" x14ac:dyDescent="0.25">
      <c r="A75" s="8">
        <v>42860.350393518522</v>
      </c>
      <c r="B75" s="20" t="s">
        <v>526</v>
      </c>
      <c r="C75" s="20" t="s">
        <v>690</v>
      </c>
      <c r="D75" s="141">
        <v>1990000</v>
      </c>
      <c r="E75" s="20" t="s">
        <v>638</v>
      </c>
      <c r="F75" s="20" t="s">
        <v>639</v>
      </c>
      <c r="G75" s="8" t="str">
        <f t="shared" si="1"/>
        <v>DAVIS WENDY</v>
      </c>
    </row>
    <row r="76" spans="1:7" x14ac:dyDescent="0.25">
      <c r="A76" s="8">
        <v>42860.351539351854</v>
      </c>
      <c r="B76" s="20" t="s">
        <v>469</v>
      </c>
      <c r="C76" s="20" t="s">
        <v>691</v>
      </c>
      <c r="D76" s="141">
        <v>3120000</v>
      </c>
      <c r="E76" s="20" t="s">
        <v>444</v>
      </c>
      <c r="F76" s="20" t="s">
        <v>445</v>
      </c>
      <c r="G76" s="8" t="str">
        <f t="shared" si="1"/>
        <v>THOMPSON LESTER</v>
      </c>
    </row>
    <row r="77" spans="1:7" x14ac:dyDescent="0.25">
      <c r="A77" s="8">
        <v>42860.353634259256</v>
      </c>
      <c r="B77" s="20" t="s">
        <v>651</v>
      </c>
      <c r="C77" s="20" t="s">
        <v>692</v>
      </c>
      <c r="D77" s="141">
        <v>1100000</v>
      </c>
      <c r="E77" s="20" t="s">
        <v>488</v>
      </c>
      <c r="F77" s="20" t="s">
        <v>489</v>
      </c>
      <c r="G77" s="8" t="str">
        <f t="shared" si="1"/>
        <v>GEBRETEKLE DAGNEW</v>
      </c>
    </row>
    <row r="78" spans="1:7" x14ac:dyDescent="0.25">
      <c r="A78" s="8">
        <v>42860.355763888889</v>
      </c>
      <c r="B78" s="20" t="s">
        <v>358</v>
      </c>
      <c r="C78" s="20" t="s">
        <v>693</v>
      </c>
      <c r="D78" s="141">
        <v>2140000</v>
      </c>
      <c r="E78" s="20" t="s">
        <v>528</v>
      </c>
      <c r="F78" s="20" t="s">
        <v>529</v>
      </c>
      <c r="G78" s="8" t="str">
        <f t="shared" si="1"/>
        <v>ROBINSON KADDIBA</v>
      </c>
    </row>
    <row r="79" spans="1:7" x14ac:dyDescent="0.25">
      <c r="A79" s="8">
        <v>42860.360092592593</v>
      </c>
      <c r="B79" s="20" t="s">
        <v>599</v>
      </c>
      <c r="C79" s="20" t="s">
        <v>600</v>
      </c>
      <c r="D79" s="141">
        <v>1780000</v>
      </c>
      <c r="E79" s="20" t="s">
        <v>467</v>
      </c>
      <c r="F79" s="20" t="s">
        <v>468</v>
      </c>
      <c r="G79" s="8" t="str">
        <f t="shared" si="1"/>
        <v>DE LA ROSA ALEX</v>
      </c>
    </row>
    <row r="80" spans="1:7" x14ac:dyDescent="0.25">
      <c r="A80" s="8">
        <v>42860.360972222225</v>
      </c>
      <c r="B80" s="20" t="s">
        <v>407</v>
      </c>
      <c r="C80" s="20" t="s">
        <v>601</v>
      </c>
      <c r="D80" s="141">
        <v>2550000</v>
      </c>
      <c r="E80" s="20" t="s">
        <v>486</v>
      </c>
      <c r="F80" s="20" t="s">
        <v>487</v>
      </c>
      <c r="G80" s="8" t="str">
        <f t="shared" si="1"/>
        <v>BADERTSCHER DIANE</v>
      </c>
    </row>
    <row r="81" spans="1:7" x14ac:dyDescent="0.25">
      <c r="A81" s="8">
        <v>42860.366493055553</v>
      </c>
      <c r="B81" s="20" t="s">
        <v>644</v>
      </c>
      <c r="C81" s="20" t="s">
        <v>694</v>
      </c>
      <c r="D81" s="141">
        <v>1110000</v>
      </c>
      <c r="E81" s="20" t="s">
        <v>442</v>
      </c>
      <c r="F81" s="20" t="s">
        <v>443</v>
      </c>
      <c r="G81" s="8" t="str">
        <f t="shared" si="1"/>
        <v>STARKS ANGELINA</v>
      </c>
    </row>
    <row r="82" spans="1:7" x14ac:dyDescent="0.25">
      <c r="A82" s="8">
        <v>42860.371099537035</v>
      </c>
      <c r="B82" s="20" t="s">
        <v>355</v>
      </c>
      <c r="C82" s="20" t="s">
        <v>695</v>
      </c>
      <c r="D82" s="141">
        <v>3090000</v>
      </c>
      <c r="E82" s="20" t="s">
        <v>446</v>
      </c>
      <c r="F82" s="20" t="s">
        <v>447</v>
      </c>
      <c r="G82" s="8" t="str">
        <f t="shared" si="1"/>
        <v>LAMAR NEKESHA</v>
      </c>
    </row>
    <row r="83" spans="1:7" x14ac:dyDescent="0.25">
      <c r="A83" s="8">
        <v>42860.380162037036</v>
      </c>
      <c r="B83" s="20" t="s">
        <v>527</v>
      </c>
      <c r="C83" s="20" t="s">
        <v>696</v>
      </c>
      <c r="D83" s="141">
        <v>890000</v>
      </c>
      <c r="E83" s="20" t="s">
        <v>464</v>
      </c>
      <c r="F83" s="20" t="s">
        <v>465</v>
      </c>
      <c r="G83" s="8" t="str">
        <f t="shared" si="1"/>
        <v>LOZA FIDEL</v>
      </c>
    </row>
    <row r="84" spans="1:7" x14ac:dyDescent="0.25">
      <c r="A84" s="8">
        <v>42860.382002314815</v>
      </c>
      <c r="B84" s="20" t="s">
        <v>433</v>
      </c>
      <c r="C84" s="20" t="s">
        <v>697</v>
      </c>
      <c r="D84" s="141">
        <v>1990000</v>
      </c>
      <c r="E84" s="20" t="s">
        <v>638</v>
      </c>
      <c r="F84" s="20" t="s">
        <v>639</v>
      </c>
      <c r="G84" s="8" t="str">
        <f t="shared" si="1"/>
        <v>DAVIS WENDY</v>
      </c>
    </row>
    <row r="85" spans="1:7" x14ac:dyDescent="0.25">
      <c r="A85" s="8">
        <v>42860.386562500003</v>
      </c>
      <c r="B85" s="20" t="s">
        <v>357</v>
      </c>
      <c r="C85" s="20" t="s">
        <v>698</v>
      </c>
      <c r="D85" s="141">
        <v>1780000</v>
      </c>
      <c r="E85" s="20" t="s">
        <v>467</v>
      </c>
      <c r="F85" s="20" t="s">
        <v>468</v>
      </c>
      <c r="G85" s="8" t="str">
        <f t="shared" si="1"/>
        <v>DE LA ROSA ALEX</v>
      </c>
    </row>
    <row r="86" spans="1:7" x14ac:dyDescent="0.25">
      <c r="A86" s="8">
        <v>42860.389432870368</v>
      </c>
      <c r="B86" s="20" t="s">
        <v>463</v>
      </c>
      <c r="C86" s="20" t="s">
        <v>699</v>
      </c>
      <c r="D86" s="141">
        <v>3120000</v>
      </c>
      <c r="E86" s="20" t="s">
        <v>444</v>
      </c>
      <c r="F86" s="20" t="s">
        <v>445</v>
      </c>
      <c r="G86" s="8" t="str">
        <f t="shared" si="1"/>
        <v>THOMPSON LESTER</v>
      </c>
    </row>
    <row r="87" spans="1:7" x14ac:dyDescent="0.25">
      <c r="A87" s="8">
        <v>42860.391469907408</v>
      </c>
      <c r="B87" s="20" t="s">
        <v>199</v>
      </c>
      <c r="C87" s="20" t="s">
        <v>602</v>
      </c>
      <c r="D87" s="141">
        <v>2140000</v>
      </c>
      <c r="E87" s="20" t="s">
        <v>528</v>
      </c>
      <c r="F87" s="20" t="s">
        <v>529</v>
      </c>
      <c r="G87" s="8" t="str">
        <f t="shared" si="1"/>
        <v>ROBINSON KADDIBA</v>
      </c>
    </row>
    <row r="88" spans="1:7" x14ac:dyDescent="0.25">
      <c r="A88" s="8">
        <v>42860.399155092593</v>
      </c>
      <c r="B88" s="20" t="s">
        <v>630</v>
      </c>
      <c r="C88" s="20" t="s">
        <v>700</v>
      </c>
      <c r="D88" s="141">
        <v>2550000</v>
      </c>
      <c r="E88" s="20" t="s">
        <v>486</v>
      </c>
      <c r="F88" s="20" t="s">
        <v>487</v>
      </c>
      <c r="G88" s="8" t="str">
        <f t="shared" si="1"/>
        <v>BADERTSCHER DIANE</v>
      </c>
    </row>
    <row r="89" spans="1:7" x14ac:dyDescent="0.25">
      <c r="A89" s="8">
        <v>42860.400127314817</v>
      </c>
      <c r="B89" s="20" t="s">
        <v>599</v>
      </c>
      <c r="C89" s="20" t="s">
        <v>701</v>
      </c>
      <c r="D89" s="141">
        <v>1780000</v>
      </c>
      <c r="E89" s="20" t="s">
        <v>467</v>
      </c>
      <c r="F89" s="20" t="s">
        <v>468</v>
      </c>
      <c r="G89" s="8" t="str">
        <f t="shared" si="1"/>
        <v>DE LA ROSA ALEX</v>
      </c>
    </row>
    <row r="90" spans="1:7" x14ac:dyDescent="0.25">
      <c r="A90" s="8">
        <v>42860.404328703706</v>
      </c>
      <c r="B90" s="20" t="s">
        <v>592</v>
      </c>
      <c r="C90" s="20" t="s">
        <v>603</v>
      </c>
      <c r="D90" s="141">
        <v>1110000</v>
      </c>
      <c r="E90" s="20" t="s">
        <v>442</v>
      </c>
      <c r="F90" s="20" t="s">
        <v>443</v>
      </c>
      <c r="G90" s="8" t="str">
        <f t="shared" si="1"/>
        <v>STARKS ANGELINA</v>
      </c>
    </row>
    <row r="91" spans="1:7" x14ac:dyDescent="0.25">
      <c r="A91" s="8">
        <v>42860.406550925924</v>
      </c>
      <c r="B91" s="20" t="s">
        <v>354</v>
      </c>
      <c r="C91" s="20" t="s">
        <v>702</v>
      </c>
      <c r="D91" s="141">
        <v>3090000</v>
      </c>
      <c r="E91" s="20" t="s">
        <v>446</v>
      </c>
      <c r="F91" s="20" t="s">
        <v>447</v>
      </c>
      <c r="G91" s="8" t="str">
        <f t="shared" si="1"/>
        <v>LAMAR NEKESHA</v>
      </c>
    </row>
    <row r="92" spans="1:7" x14ac:dyDescent="0.25">
      <c r="A92" s="8">
        <v>42860.413599537038</v>
      </c>
      <c r="B92" s="20" t="s">
        <v>532</v>
      </c>
      <c r="C92" s="20" t="s">
        <v>703</v>
      </c>
      <c r="D92" s="141">
        <v>890000</v>
      </c>
      <c r="E92" s="20" t="s">
        <v>464</v>
      </c>
      <c r="F92" s="20" t="s">
        <v>465</v>
      </c>
      <c r="G92" s="8" t="str">
        <f t="shared" si="1"/>
        <v>LOZA FIDEL</v>
      </c>
    </row>
    <row r="93" spans="1:7" x14ac:dyDescent="0.25">
      <c r="A93" s="8">
        <v>42860.421643518515</v>
      </c>
      <c r="B93" s="20" t="s">
        <v>526</v>
      </c>
      <c r="C93" s="20" t="s">
        <v>704</v>
      </c>
      <c r="D93" s="141">
        <v>1990000</v>
      </c>
      <c r="E93" s="20" t="s">
        <v>638</v>
      </c>
      <c r="F93" s="20" t="s">
        <v>639</v>
      </c>
      <c r="G93" s="8" t="str">
        <f t="shared" si="1"/>
        <v>DAVIS WENDY</v>
      </c>
    </row>
    <row r="94" spans="1:7" x14ac:dyDescent="0.25">
      <c r="A94" s="8">
        <v>42860.423194444447</v>
      </c>
      <c r="B94" s="20" t="s">
        <v>469</v>
      </c>
      <c r="C94" s="20" t="s">
        <v>705</v>
      </c>
      <c r="D94" s="141">
        <v>3120000</v>
      </c>
      <c r="E94" s="20" t="s">
        <v>444</v>
      </c>
      <c r="F94" s="20" t="s">
        <v>445</v>
      </c>
      <c r="G94" s="8" t="str">
        <f t="shared" si="1"/>
        <v>THOMPSON LESTER</v>
      </c>
    </row>
    <row r="95" spans="1:7" x14ac:dyDescent="0.25">
      <c r="A95" s="8">
        <v>42860.428391203706</v>
      </c>
      <c r="B95" s="20" t="s">
        <v>357</v>
      </c>
      <c r="C95" s="20" t="s">
        <v>706</v>
      </c>
      <c r="D95" s="141">
        <v>1780000</v>
      </c>
      <c r="E95" s="20" t="s">
        <v>467</v>
      </c>
      <c r="F95" s="20" t="s">
        <v>468</v>
      </c>
      <c r="G95" s="8" t="str">
        <f t="shared" si="1"/>
        <v>DE LA ROSA ALEX</v>
      </c>
    </row>
    <row r="96" spans="1:7" x14ac:dyDescent="0.25">
      <c r="A96" s="8">
        <v>42860.432210648149</v>
      </c>
      <c r="B96" s="20" t="s">
        <v>358</v>
      </c>
      <c r="C96" s="20" t="s">
        <v>707</v>
      </c>
      <c r="D96" s="141">
        <v>2140000</v>
      </c>
      <c r="E96" s="20" t="s">
        <v>528</v>
      </c>
      <c r="F96" s="20" t="s">
        <v>529</v>
      </c>
      <c r="G96" s="8" t="str">
        <f t="shared" si="1"/>
        <v>ROBINSON KADDIBA</v>
      </c>
    </row>
    <row r="97" spans="1:7" x14ac:dyDescent="0.25">
      <c r="A97" s="8">
        <v>42860.433993055558</v>
      </c>
      <c r="B97" s="20" t="s">
        <v>644</v>
      </c>
      <c r="C97" s="20" t="s">
        <v>708</v>
      </c>
      <c r="D97" s="141">
        <v>1110000</v>
      </c>
      <c r="E97" s="20" t="s">
        <v>442</v>
      </c>
      <c r="F97" s="20" t="s">
        <v>443</v>
      </c>
      <c r="G97" s="8" t="str">
        <f t="shared" si="1"/>
        <v>STARKS ANGELINA</v>
      </c>
    </row>
    <row r="98" spans="1:7" x14ac:dyDescent="0.25">
      <c r="A98" s="8">
        <v>42860.434062499997</v>
      </c>
      <c r="B98" s="20" t="s">
        <v>407</v>
      </c>
      <c r="C98" s="20" t="s">
        <v>709</v>
      </c>
      <c r="D98" s="141">
        <v>1100000</v>
      </c>
      <c r="E98" s="20" t="s">
        <v>488</v>
      </c>
      <c r="F98" s="20" t="s">
        <v>489</v>
      </c>
      <c r="G98" s="8" t="str">
        <f t="shared" si="1"/>
        <v>GEBRETEKLE DAGNEW</v>
      </c>
    </row>
    <row r="99" spans="1:7" x14ac:dyDescent="0.25">
      <c r="A99" s="8">
        <v>42860.434270833335</v>
      </c>
      <c r="B99" s="20" t="s">
        <v>414</v>
      </c>
      <c r="C99" s="20" t="s">
        <v>710</v>
      </c>
      <c r="D99" s="141">
        <v>2480000</v>
      </c>
      <c r="E99" s="20" t="s">
        <v>535</v>
      </c>
      <c r="F99" s="20" t="s">
        <v>536</v>
      </c>
      <c r="G99" s="8" t="str">
        <f t="shared" si="1"/>
        <v>WHITED DUSTIN</v>
      </c>
    </row>
    <row r="100" spans="1:7" x14ac:dyDescent="0.25">
      <c r="A100" s="8">
        <v>42860.43513888889</v>
      </c>
      <c r="B100" s="20" t="s">
        <v>414</v>
      </c>
      <c r="C100" s="20" t="s">
        <v>710</v>
      </c>
      <c r="D100" s="141">
        <v>2480000</v>
      </c>
      <c r="E100" s="20" t="s">
        <v>535</v>
      </c>
      <c r="F100" s="20" t="s">
        <v>536</v>
      </c>
      <c r="G100" s="8" t="str">
        <f t="shared" si="1"/>
        <v>WHITED DUSTIN</v>
      </c>
    </row>
    <row r="101" spans="1:7" x14ac:dyDescent="0.25">
      <c r="A101" s="8">
        <v>42860.436585648145</v>
      </c>
      <c r="B101" s="20" t="s">
        <v>414</v>
      </c>
      <c r="C101" s="20" t="s">
        <v>710</v>
      </c>
      <c r="D101" s="141">
        <v>2480000</v>
      </c>
      <c r="E101" s="20" t="s">
        <v>535</v>
      </c>
      <c r="F101" s="20" t="s">
        <v>536</v>
      </c>
      <c r="G101" s="8" t="str">
        <f t="shared" si="1"/>
        <v>WHITED DUSTIN</v>
      </c>
    </row>
    <row r="102" spans="1:7" x14ac:dyDescent="0.25">
      <c r="A102" s="8">
        <v>42860.442037037035</v>
      </c>
      <c r="B102" s="20" t="s">
        <v>599</v>
      </c>
      <c r="C102" s="20" t="s">
        <v>711</v>
      </c>
      <c r="D102" s="141">
        <v>1780000</v>
      </c>
      <c r="E102" s="20" t="s">
        <v>467</v>
      </c>
      <c r="F102" s="20" t="s">
        <v>468</v>
      </c>
      <c r="G102" s="8" t="str">
        <f t="shared" si="1"/>
        <v>DE LA ROSA ALEX</v>
      </c>
    </row>
    <row r="103" spans="1:7" x14ac:dyDescent="0.25">
      <c r="A103" s="8">
        <v>42860.444212962961</v>
      </c>
      <c r="B103" s="20" t="s">
        <v>355</v>
      </c>
      <c r="C103" s="20" t="s">
        <v>712</v>
      </c>
      <c r="D103" s="141">
        <v>3090000</v>
      </c>
      <c r="E103" s="20" t="s">
        <v>446</v>
      </c>
      <c r="F103" s="20" t="s">
        <v>447</v>
      </c>
      <c r="G103" s="8" t="str">
        <f t="shared" si="1"/>
        <v>LAMAR NEKESHA</v>
      </c>
    </row>
    <row r="104" spans="1:7" x14ac:dyDescent="0.25">
      <c r="A104" s="8">
        <v>42860.452615740738</v>
      </c>
      <c r="B104" s="20" t="s">
        <v>527</v>
      </c>
      <c r="C104" s="20" t="s">
        <v>713</v>
      </c>
      <c r="D104" s="141">
        <v>890000</v>
      </c>
      <c r="E104" s="20" t="s">
        <v>464</v>
      </c>
      <c r="F104" s="20" t="s">
        <v>465</v>
      </c>
      <c r="G104" s="8" t="str">
        <f t="shared" si="1"/>
        <v>LOZA FIDEL</v>
      </c>
    </row>
    <row r="105" spans="1:7" x14ac:dyDescent="0.25">
      <c r="A105" s="8">
        <v>42860.455023148148</v>
      </c>
      <c r="B105" s="20" t="s">
        <v>433</v>
      </c>
      <c r="C105" s="20" t="s">
        <v>714</v>
      </c>
      <c r="D105" s="141">
        <v>2440000</v>
      </c>
      <c r="E105" s="20" t="s">
        <v>715</v>
      </c>
      <c r="F105" s="20" t="s">
        <v>716</v>
      </c>
      <c r="G105" s="8" t="str">
        <f t="shared" si="1"/>
        <v>LOPES KIMBERLY</v>
      </c>
    </row>
    <row r="106" spans="1:7" x14ac:dyDescent="0.25">
      <c r="A106" s="8">
        <v>42860.463182870371</v>
      </c>
      <c r="B106" s="20" t="s">
        <v>463</v>
      </c>
      <c r="C106" s="20" t="s">
        <v>717</v>
      </c>
      <c r="D106" s="141">
        <v>3120000</v>
      </c>
      <c r="E106" s="20" t="s">
        <v>444</v>
      </c>
      <c r="F106" s="20" t="s">
        <v>445</v>
      </c>
      <c r="G106" s="8" t="str">
        <f t="shared" si="1"/>
        <v>THOMPSON LESTER</v>
      </c>
    </row>
    <row r="107" spans="1:7" x14ac:dyDescent="0.25">
      <c r="A107" s="8">
        <v>42860.463831018518</v>
      </c>
      <c r="B107" s="20" t="s">
        <v>199</v>
      </c>
      <c r="C107" s="20" t="s">
        <v>718</v>
      </c>
      <c r="D107" s="141">
        <v>2470000</v>
      </c>
      <c r="E107" s="20" t="s">
        <v>719</v>
      </c>
      <c r="F107" s="20" t="s">
        <v>720</v>
      </c>
      <c r="G107" s="8" t="str">
        <f t="shared" si="1"/>
        <v>ROMERO CHAD</v>
      </c>
    </row>
    <row r="108" spans="1:7" x14ac:dyDescent="0.25">
      <c r="A108" s="8">
        <v>42860.467546296299</v>
      </c>
      <c r="B108" s="20" t="s">
        <v>401</v>
      </c>
      <c r="C108" s="20" t="s">
        <v>721</v>
      </c>
      <c r="D108" s="141">
        <v>2140000</v>
      </c>
      <c r="E108" s="20" t="s">
        <v>528</v>
      </c>
      <c r="F108" s="20" t="s">
        <v>529</v>
      </c>
      <c r="G108" s="8" t="str">
        <f t="shared" si="1"/>
        <v>ROBINSON KADDIBA</v>
      </c>
    </row>
    <row r="109" spans="1:7" x14ac:dyDescent="0.25">
      <c r="A109" s="8">
        <v>42860.468182870369</v>
      </c>
      <c r="B109" s="20" t="s">
        <v>401</v>
      </c>
      <c r="C109" s="20" t="s">
        <v>721</v>
      </c>
      <c r="D109" s="141">
        <v>2140000</v>
      </c>
      <c r="E109" s="20" t="s">
        <v>528</v>
      </c>
      <c r="F109" s="20" t="s">
        <v>529</v>
      </c>
      <c r="G109" s="8" t="str">
        <f t="shared" si="1"/>
        <v>ROBINSON KADDIBA</v>
      </c>
    </row>
    <row r="110" spans="1:7" x14ac:dyDescent="0.25">
      <c r="A110" s="8">
        <v>42860.468819444446</v>
      </c>
      <c r="B110" s="20" t="s">
        <v>401</v>
      </c>
      <c r="C110" s="20" t="s">
        <v>721</v>
      </c>
      <c r="D110" s="141">
        <v>2140000</v>
      </c>
      <c r="E110" s="20" t="s">
        <v>528</v>
      </c>
      <c r="F110" s="20" t="s">
        <v>529</v>
      </c>
      <c r="G110" s="8" t="str">
        <f t="shared" si="1"/>
        <v>ROBINSON KADDIBA</v>
      </c>
    </row>
    <row r="111" spans="1:7" x14ac:dyDescent="0.25">
      <c r="A111" s="8">
        <v>42860.470833333333</v>
      </c>
      <c r="B111" s="20" t="s">
        <v>357</v>
      </c>
      <c r="C111" s="20" t="s">
        <v>722</v>
      </c>
      <c r="D111" s="141">
        <v>1780000</v>
      </c>
      <c r="E111" s="20" t="s">
        <v>467</v>
      </c>
      <c r="F111" s="20" t="s">
        <v>468</v>
      </c>
      <c r="G111" s="8" t="str">
        <f t="shared" si="1"/>
        <v>DE LA ROSA ALEX</v>
      </c>
    </row>
    <row r="112" spans="1:7" x14ac:dyDescent="0.25">
      <c r="A112" s="8">
        <v>42860.473252314812</v>
      </c>
      <c r="B112" s="20" t="s">
        <v>630</v>
      </c>
      <c r="C112" s="20" t="s">
        <v>723</v>
      </c>
      <c r="D112" s="141">
        <v>1100000</v>
      </c>
      <c r="E112" s="20" t="s">
        <v>488</v>
      </c>
      <c r="F112" s="20" t="s">
        <v>489</v>
      </c>
      <c r="G112" s="8" t="str">
        <f t="shared" si="1"/>
        <v>GEBRETEKLE DAGNEW</v>
      </c>
    </row>
    <row r="113" spans="1:7" x14ac:dyDescent="0.25">
      <c r="A113" s="8">
        <v>42860.477152777778</v>
      </c>
      <c r="B113" s="20" t="s">
        <v>592</v>
      </c>
      <c r="C113" s="20" t="s">
        <v>724</v>
      </c>
      <c r="D113" s="141">
        <v>930000</v>
      </c>
      <c r="E113" s="20" t="s">
        <v>449</v>
      </c>
      <c r="F113" s="20" t="s">
        <v>450</v>
      </c>
      <c r="G113" s="8" t="str">
        <f t="shared" si="1"/>
        <v>CLARK KATHLEEN</v>
      </c>
    </row>
    <row r="114" spans="1:7" x14ac:dyDescent="0.25">
      <c r="A114" s="8">
        <v>42860.484166666669</v>
      </c>
      <c r="B114" s="20" t="s">
        <v>599</v>
      </c>
      <c r="C114" s="20" t="s">
        <v>604</v>
      </c>
      <c r="D114" s="141">
        <v>1780000</v>
      </c>
      <c r="E114" s="20" t="s">
        <v>467</v>
      </c>
      <c r="F114" s="20" t="s">
        <v>468</v>
      </c>
      <c r="G114" s="8" t="str">
        <f t="shared" si="1"/>
        <v>DE LA ROSA ALEX</v>
      </c>
    </row>
    <row r="115" spans="1:7" x14ac:dyDescent="0.25">
      <c r="A115" s="8">
        <v>42860.485000000001</v>
      </c>
      <c r="B115" s="20" t="s">
        <v>354</v>
      </c>
      <c r="C115" s="20" t="s">
        <v>725</v>
      </c>
      <c r="D115" s="141">
        <v>3090000</v>
      </c>
      <c r="E115" s="20" t="s">
        <v>446</v>
      </c>
      <c r="F115" s="20" t="s">
        <v>447</v>
      </c>
      <c r="G115" s="8" t="str">
        <f t="shared" si="1"/>
        <v>LAMAR NEKESHA</v>
      </c>
    </row>
    <row r="116" spans="1:7" x14ac:dyDescent="0.25">
      <c r="A116" s="8">
        <v>42860.486724537041</v>
      </c>
      <c r="B116" s="20" t="s">
        <v>532</v>
      </c>
      <c r="C116" s="20" t="s">
        <v>606</v>
      </c>
      <c r="D116" s="141">
        <v>1770000</v>
      </c>
      <c r="E116" s="20" t="s">
        <v>493</v>
      </c>
      <c r="F116" s="20" t="s">
        <v>494</v>
      </c>
      <c r="G116" s="8" t="str">
        <f t="shared" si="1"/>
        <v>BRUDER RICHARD</v>
      </c>
    </row>
    <row r="117" spans="1:7" x14ac:dyDescent="0.25">
      <c r="A117" s="8">
        <v>42860.491956018515</v>
      </c>
      <c r="B117" s="20" t="s">
        <v>599</v>
      </c>
      <c r="C117" s="20" t="s">
        <v>604</v>
      </c>
      <c r="D117" s="141">
        <v>1780000</v>
      </c>
      <c r="E117" s="20" t="s">
        <v>467</v>
      </c>
      <c r="F117" s="20" t="s">
        <v>468</v>
      </c>
      <c r="G117" s="8" t="str">
        <f t="shared" si="1"/>
        <v>DE LA ROSA ALEX</v>
      </c>
    </row>
    <row r="118" spans="1:7" x14ac:dyDescent="0.25">
      <c r="A118" s="8">
        <v>42860.494687500002</v>
      </c>
      <c r="B118" s="20" t="s">
        <v>526</v>
      </c>
      <c r="C118" s="20" t="s">
        <v>605</v>
      </c>
      <c r="D118" s="141">
        <v>2440000</v>
      </c>
      <c r="E118" s="20" t="s">
        <v>715</v>
      </c>
      <c r="F118" s="20" t="s">
        <v>716</v>
      </c>
      <c r="G118" s="8" t="str">
        <f t="shared" si="1"/>
        <v>LOPES KIMBERLY</v>
      </c>
    </row>
    <row r="119" spans="1:7" x14ac:dyDescent="0.25">
      <c r="A119" s="8">
        <v>42860.495497685188</v>
      </c>
      <c r="B119" s="20" t="s">
        <v>358</v>
      </c>
      <c r="C119" s="20" t="s">
        <v>726</v>
      </c>
      <c r="D119" s="141">
        <v>2470000</v>
      </c>
      <c r="E119" s="20" t="s">
        <v>719</v>
      </c>
      <c r="F119" s="20" t="s">
        <v>720</v>
      </c>
      <c r="G119" s="8" t="str">
        <f t="shared" si="1"/>
        <v>ROMERO CHAD</v>
      </c>
    </row>
    <row r="120" spans="1:7" x14ac:dyDescent="0.25">
      <c r="A120" s="8">
        <v>42860.498310185183</v>
      </c>
      <c r="B120" s="20" t="s">
        <v>469</v>
      </c>
      <c r="C120" s="20" t="s">
        <v>727</v>
      </c>
      <c r="D120" s="141">
        <v>3030000</v>
      </c>
      <c r="E120" s="20" t="s">
        <v>451</v>
      </c>
      <c r="F120" s="20" t="s">
        <v>411</v>
      </c>
      <c r="G120" s="8" t="str">
        <f t="shared" si="1"/>
        <v>BIRENBAUM THOMAS</v>
      </c>
    </row>
    <row r="121" spans="1:7" x14ac:dyDescent="0.25">
      <c r="A121" s="8">
        <v>42860.505995370368</v>
      </c>
      <c r="B121" s="20" t="s">
        <v>407</v>
      </c>
      <c r="C121" s="20" t="s">
        <v>728</v>
      </c>
      <c r="D121" s="141">
        <v>2360000</v>
      </c>
      <c r="E121" s="20" t="s">
        <v>533</v>
      </c>
      <c r="F121" s="20" t="s">
        <v>534</v>
      </c>
      <c r="G121" s="8" t="str">
        <f t="shared" si="1"/>
        <v>BRANDNER MELINDA</v>
      </c>
    </row>
    <row r="122" spans="1:7" x14ac:dyDescent="0.25">
      <c r="A122" s="8">
        <v>42860.512870370374</v>
      </c>
      <c r="B122" s="25" t="s">
        <v>357</v>
      </c>
      <c r="C122" s="20" t="s">
        <v>729</v>
      </c>
      <c r="D122" s="141">
        <v>1780000</v>
      </c>
      <c r="E122" s="20" t="s">
        <v>467</v>
      </c>
      <c r="F122" s="20" t="s">
        <v>468</v>
      </c>
      <c r="G122" s="8" t="str">
        <f t="shared" si="1"/>
        <v>DE LA ROSA ALEX</v>
      </c>
    </row>
    <row r="123" spans="1:7" x14ac:dyDescent="0.25">
      <c r="A123" s="8">
        <v>42860.513877314814</v>
      </c>
      <c r="B123" s="20" t="s">
        <v>644</v>
      </c>
      <c r="C123" s="20" t="s">
        <v>730</v>
      </c>
      <c r="D123" s="141">
        <v>930000</v>
      </c>
      <c r="E123" s="20" t="s">
        <v>449</v>
      </c>
      <c r="F123" s="20" t="s">
        <v>450</v>
      </c>
      <c r="G123" s="8" t="str">
        <f t="shared" si="1"/>
        <v>CLARK KATHLEEN</v>
      </c>
    </row>
    <row r="124" spans="1:7" x14ac:dyDescent="0.25">
      <c r="A124" s="8">
        <v>42860.519201388888</v>
      </c>
      <c r="B124" s="20" t="s">
        <v>355</v>
      </c>
      <c r="C124" s="20" t="s">
        <v>731</v>
      </c>
      <c r="D124" s="141">
        <v>2040000</v>
      </c>
      <c r="E124" s="20" t="s">
        <v>491</v>
      </c>
      <c r="F124" s="20" t="s">
        <v>492</v>
      </c>
      <c r="G124" s="8" t="str">
        <f t="shared" si="1"/>
        <v>MOSES BRADLEY</v>
      </c>
    </row>
    <row r="125" spans="1:7" x14ac:dyDescent="0.25">
      <c r="A125" s="8">
        <v>42860.524189814816</v>
      </c>
      <c r="B125" s="20" t="s">
        <v>527</v>
      </c>
      <c r="C125" s="20" t="s">
        <v>732</v>
      </c>
      <c r="D125" s="141">
        <v>1770000</v>
      </c>
      <c r="E125" s="20" t="s">
        <v>493</v>
      </c>
      <c r="F125" s="20" t="s">
        <v>494</v>
      </c>
      <c r="G125" s="8" t="str">
        <f t="shared" si="1"/>
        <v>BRUDER RICHARD</v>
      </c>
    </row>
    <row r="126" spans="1:7" x14ac:dyDescent="0.25">
      <c r="A126" s="8">
        <v>42860.525543981479</v>
      </c>
      <c r="B126" s="20" t="s">
        <v>599</v>
      </c>
      <c r="C126" s="20" t="s">
        <v>733</v>
      </c>
      <c r="D126" s="141">
        <v>1780000</v>
      </c>
      <c r="E126" s="20" t="s">
        <v>467</v>
      </c>
      <c r="F126" s="20" t="s">
        <v>468</v>
      </c>
      <c r="G126" s="8" t="str">
        <f t="shared" si="1"/>
        <v>DE LA ROSA ALEX</v>
      </c>
    </row>
    <row r="127" spans="1:7" x14ac:dyDescent="0.25">
      <c r="A127" s="8">
        <v>42860.527268518519</v>
      </c>
      <c r="B127" s="20" t="s">
        <v>433</v>
      </c>
      <c r="C127" s="20" t="s">
        <v>734</v>
      </c>
      <c r="D127" s="141">
        <v>2540000</v>
      </c>
      <c r="E127" s="20" t="s">
        <v>735</v>
      </c>
      <c r="F127" s="20" t="s">
        <v>736</v>
      </c>
      <c r="G127" s="8" t="str">
        <f t="shared" si="1"/>
        <v>MCREYNOLDS KYLE</v>
      </c>
    </row>
    <row r="128" spans="1:7" x14ac:dyDescent="0.25">
      <c r="A128" s="8">
        <v>42860.535243055558</v>
      </c>
      <c r="B128" s="20" t="s">
        <v>463</v>
      </c>
      <c r="C128" s="20" t="s">
        <v>737</v>
      </c>
      <c r="D128" s="141">
        <v>3030000</v>
      </c>
      <c r="E128" s="20" t="s">
        <v>451</v>
      </c>
      <c r="F128" s="20" t="s">
        <v>411</v>
      </c>
      <c r="G128" s="8" t="str">
        <f t="shared" si="1"/>
        <v>BIRENBAUM THOMAS</v>
      </c>
    </row>
    <row r="129" spans="1:7" x14ac:dyDescent="0.25">
      <c r="A129" s="8">
        <v>42860.535277777781</v>
      </c>
      <c r="B129" s="20" t="s">
        <v>199</v>
      </c>
      <c r="C129" s="20" t="s">
        <v>738</v>
      </c>
      <c r="D129" s="141">
        <v>2370000</v>
      </c>
      <c r="E129" s="20" t="s">
        <v>739</v>
      </c>
      <c r="F129" s="20" t="s">
        <v>740</v>
      </c>
      <c r="G129" s="8" t="str">
        <f t="shared" si="1"/>
        <v>DELGADO DIANAH</v>
      </c>
    </row>
    <row r="130" spans="1:7" x14ac:dyDescent="0.25">
      <c r="A130" s="8">
        <v>42860.543888888889</v>
      </c>
      <c r="B130" s="20" t="s">
        <v>630</v>
      </c>
      <c r="C130" s="20" t="s">
        <v>741</v>
      </c>
      <c r="D130" s="141">
        <v>2360000</v>
      </c>
      <c r="E130" s="20" t="s">
        <v>533</v>
      </c>
      <c r="F130" s="20" t="s">
        <v>534</v>
      </c>
      <c r="G130" s="8" t="str">
        <f t="shared" si="1"/>
        <v>BRANDNER MELINDA</v>
      </c>
    </row>
    <row r="131" spans="1:7" x14ac:dyDescent="0.25">
      <c r="A131" s="8">
        <v>42860.548715277779</v>
      </c>
      <c r="B131" s="20" t="s">
        <v>592</v>
      </c>
      <c r="C131" s="20" t="s">
        <v>742</v>
      </c>
      <c r="D131" s="141">
        <v>930000</v>
      </c>
      <c r="E131" s="20" t="s">
        <v>449</v>
      </c>
      <c r="F131" s="20" t="s">
        <v>450</v>
      </c>
      <c r="G131" s="8" t="str">
        <f t="shared" ref="G131:G194" si="2">E131&amp;" "&amp;F131</f>
        <v>CLARK KATHLEEN</v>
      </c>
    </row>
    <row r="132" spans="1:7" x14ac:dyDescent="0.25">
      <c r="A132" s="8">
        <v>42860.551689814813</v>
      </c>
      <c r="B132" s="20" t="s">
        <v>357</v>
      </c>
      <c r="C132" s="20" t="s">
        <v>743</v>
      </c>
      <c r="D132" s="141">
        <v>3130000</v>
      </c>
      <c r="E132" s="20" t="s">
        <v>452</v>
      </c>
      <c r="F132" s="20" t="s">
        <v>453</v>
      </c>
      <c r="G132" s="8" t="str">
        <f t="shared" si="2"/>
        <v>ZEWDU DEREJE</v>
      </c>
    </row>
    <row r="133" spans="1:7" x14ac:dyDescent="0.25">
      <c r="A133" s="8">
        <v>42860.55537037037</v>
      </c>
      <c r="B133" s="20" t="s">
        <v>354</v>
      </c>
      <c r="C133" s="20" t="s">
        <v>607</v>
      </c>
      <c r="D133" s="141">
        <v>2040000</v>
      </c>
      <c r="E133" s="20" t="s">
        <v>491</v>
      </c>
      <c r="F133" s="20" t="s">
        <v>492</v>
      </c>
      <c r="G133" s="8" t="str">
        <f t="shared" si="2"/>
        <v>MOSES BRADLEY</v>
      </c>
    </row>
    <row r="134" spans="1:7" x14ac:dyDescent="0.25">
      <c r="A134" s="8">
        <v>42860.558831018519</v>
      </c>
      <c r="B134" s="20" t="s">
        <v>532</v>
      </c>
      <c r="C134" s="20" t="s">
        <v>744</v>
      </c>
      <c r="D134" s="141">
        <v>1770000</v>
      </c>
      <c r="E134" s="20" t="s">
        <v>493</v>
      </c>
      <c r="F134" s="20" t="s">
        <v>494</v>
      </c>
      <c r="G134" s="8" t="str">
        <f t="shared" si="2"/>
        <v>BRUDER RICHARD</v>
      </c>
    </row>
    <row r="135" spans="1:7" x14ac:dyDescent="0.25">
      <c r="A135" s="8">
        <v>42860.561006944445</v>
      </c>
      <c r="B135" s="20" t="s">
        <v>526</v>
      </c>
      <c r="C135" s="20" t="s">
        <v>745</v>
      </c>
      <c r="D135" s="141">
        <v>2540000</v>
      </c>
      <c r="E135" s="20" t="s">
        <v>735</v>
      </c>
      <c r="F135" s="20" t="s">
        <v>736</v>
      </c>
      <c r="G135" s="8" t="str">
        <f t="shared" si="2"/>
        <v>MCREYNOLDS KYLE</v>
      </c>
    </row>
    <row r="136" spans="1:7" x14ac:dyDescent="0.25">
      <c r="A136" s="8">
        <v>42860.567407407405</v>
      </c>
      <c r="B136" s="20" t="s">
        <v>599</v>
      </c>
      <c r="C136" s="20" t="s">
        <v>746</v>
      </c>
      <c r="D136" s="141">
        <v>3130000</v>
      </c>
      <c r="E136" s="20" t="s">
        <v>452</v>
      </c>
      <c r="F136" s="20" t="s">
        <v>453</v>
      </c>
      <c r="G136" s="8" t="str">
        <f t="shared" si="2"/>
        <v>ZEWDU DEREJE</v>
      </c>
    </row>
    <row r="137" spans="1:7" x14ac:dyDescent="0.25">
      <c r="A137" s="8">
        <v>42860.572500000002</v>
      </c>
      <c r="B137" s="20" t="s">
        <v>349</v>
      </c>
      <c r="C137" s="20" t="s">
        <v>747</v>
      </c>
      <c r="D137" s="141">
        <v>3030000</v>
      </c>
      <c r="E137" s="20" t="s">
        <v>451</v>
      </c>
      <c r="F137" s="20" t="s">
        <v>411</v>
      </c>
      <c r="G137" s="8" t="str">
        <f t="shared" si="2"/>
        <v>BIRENBAUM THOMAS</v>
      </c>
    </row>
    <row r="138" spans="1:7" x14ac:dyDescent="0.25">
      <c r="A138" s="8">
        <v>42860.574513888889</v>
      </c>
      <c r="B138" s="20" t="s">
        <v>358</v>
      </c>
      <c r="C138" s="20" t="s">
        <v>748</v>
      </c>
      <c r="D138" s="141">
        <v>2370000</v>
      </c>
      <c r="E138" s="20" t="s">
        <v>739</v>
      </c>
      <c r="F138" s="20" t="s">
        <v>740</v>
      </c>
      <c r="G138" s="8" t="str">
        <f t="shared" si="2"/>
        <v>DELGADO DIANAH</v>
      </c>
    </row>
    <row r="139" spans="1:7" x14ac:dyDescent="0.25">
      <c r="A139" s="8">
        <v>42860.577743055554</v>
      </c>
      <c r="B139" s="20" t="s">
        <v>469</v>
      </c>
      <c r="C139" s="20" t="s">
        <v>749</v>
      </c>
      <c r="D139" s="141">
        <v>2260000</v>
      </c>
      <c r="E139" s="20" t="s">
        <v>530</v>
      </c>
      <c r="F139" s="20" t="s">
        <v>531</v>
      </c>
      <c r="G139" s="8" t="str">
        <f t="shared" si="2"/>
        <v>ARVIDSON DANIEL</v>
      </c>
    </row>
    <row r="140" spans="1:7" x14ac:dyDescent="0.25">
      <c r="A140" s="8">
        <v>42860.58090277778</v>
      </c>
      <c r="B140" s="20" t="s">
        <v>407</v>
      </c>
      <c r="C140" s="20" t="s">
        <v>741</v>
      </c>
      <c r="D140" s="141">
        <v>2360000</v>
      </c>
      <c r="E140" s="20" t="s">
        <v>533</v>
      </c>
      <c r="F140" s="20" t="s">
        <v>534</v>
      </c>
      <c r="G140" s="8" t="str">
        <f t="shared" si="2"/>
        <v>BRANDNER MELINDA</v>
      </c>
    </row>
    <row r="141" spans="1:7" x14ac:dyDescent="0.25">
      <c r="A141" s="8">
        <v>42860.581655092596</v>
      </c>
      <c r="B141" s="20" t="s">
        <v>463</v>
      </c>
      <c r="C141" s="20" t="s">
        <v>749</v>
      </c>
      <c r="D141" s="141">
        <v>2260000</v>
      </c>
      <c r="E141" s="20" t="s">
        <v>530</v>
      </c>
      <c r="F141" s="20" t="s">
        <v>531</v>
      </c>
      <c r="G141" s="8" t="str">
        <f t="shared" si="2"/>
        <v>ARVIDSON DANIEL</v>
      </c>
    </row>
    <row r="142" spans="1:7" x14ac:dyDescent="0.25">
      <c r="A142" s="8">
        <v>42860.581863425927</v>
      </c>
      <c r="B142" s="20" t="s">
        <v>407</v>
      </c>
      <c r="C142" s="20" t="s">
        <v>741</v>
      </c>
      <c r="D142" s="141">
        <v>2360000</v>
      </c>
      <c r="E142" s="20" t="s">
        <v>533</v>
      </c>
      <c r="F142" s="20" t="s">
        <v>534</v>
      </c>
      <c r="G142" s="8" t="str">
        <f t="shared" si="2"/>
        <v>BRANDNER MELINDA</v>
      </c>
    </row>
    <row r="143" spans="1:7" x14ac:dyDescent="0.25">
      <c r="A143" s="8">
        <v>42860.583715277775</v>
      </c>
      <c r="B143" s="20" t="s">
        <v>407</v>
      </c>
      <c r="C143" s="20" t="s">
        <v>608</v>
      </c>
      <c r="D143" s="141">
        <v>2360000</v>
      </c>
      <c r="E143" s="20" t="s">
        <v>533</v>
      </c>
      <c r="F143" s="20" t="s">
        <v>534</v>
      </c>
      <c r="G143" s="8" t="str">
        <f t="shared" si="2"/>
        <v>BRANDNER MELINDA</v>
      </c>
    </row>
    <row r="144" spans="1:7" x14ac:dyDescent="0.25">
      <c r="A144" s="8">
        <v>42860.584027777775</v>
      </c>
      <c r="B144" s="20" t="s">
        <v>357</v>
      </c>
      <c r="C144" s="20" t="s">
        <v>750</v>
      </c>
      <c r="D144" s="141">
        <v>3130000</v>
      </c>
      <c r="E144" s="20" t="s">
        <v>452</v>
      </c>
      <c r="F144" s="20" t="s">
        <v>453</v>
      </c>
      <c r="G144" s="8" t="str">
        <f t="shared" si="2"/>
        <v>ZEWDU DEREJE</v>
      </c>
    </row>
    <row r="145" spans="1:7" x14ac:dyDescent="0.25">
      <c r="A145" s="8">
        <v>42860.586909722224</v>
      </c>
      <c r="B145" s="20" t="s">
        <v>644</v>
      </c>
      <c r="C145" s="20" t="s">
        <v>751</v>
      </c>
      <c r="D145" s="141">
        <v>930000</v>
      </c>
      <c r="E145" s="20" t="s">
        <v>449</v>
      </c>
      <c r="F145" s="20" t="s">
        <v>450</v>
      </c>
      <c r="G145" s="8" t="str">
        <f t="shared" si="2"/>
        <v>CLARK KATHLEEN</v>
      </c>
    </row>
    <row r="146" spans="1:7" x14ac:dyDescent="0.25">
      <c r="A146" s="8">
        <v>42860.591412037036</v>
      </c>
      <c r="B146" s="20" t="s">
        <v>355</v>
      </c>
      <c r="C146" s="20" t="s">
        <v>752</v>
      </c>
      <c r="D146" s="141">
        <v>2040000</v>
      </c>
      <c r="E146" s="20" t="s">
        <v>491</v>
      </c>
      <c r="F146" s="20" t="s">
        <v>492</v>
      </c>
      <c r="G146" s="8" t="str">
        <f t="shared" si="2"/>
        <v>MOSES BRADLEY</v>
      </c>
    </row>
    <row r="147" spans="1:7" x14ac:dyDescent="0.25">
      <c r="A147" s="8">
        <v>42860.594340277778</v>
      </c>
      <c r="B147" s="20" t="s">
        <v>527</v>
      </c>
      <c r="C147" s="20" t="s">
        <v>753</v>
      </c>
      <c r="D147" s="141">
        <v>1770000</v>
      </c>
      <c r="E147" s="20" t="s">
        <v>493</v>
      </c>
      <c r="F147" s="20" t="s">
        <v>494</v>
      </c>
      <c r="G147" s="8" t="str">
        <f t="shared" si="2"/>
        <v>BRUDER RICHARD</v>
      </c>
    </row>
    <row r="148" spans="1:7" x14ac:dyDescent="0.25">
      <c r="A148" s="8">
        <v>42860.600555555553</v>
      </c>
      <c r="B148" s="20" t="s">
        <v>433</v>
      </c>
      <c r="C148" s="20" t="s">
        <v>609</v>
      </c>
      <c r="D148" s="141">
        <v>2440000</v>
      </c>
      <c r="E148" s="20" t="s">
        <v>715</v>
      </c>
      <c r="F148" s="20" t="s">
        <v>716</v>
      </c>
      <c r="G148" s="8" t="str">
        <f t="shared" si="2"/>
        <v>LOPES KIMBERLY</v>
      </c>
    </row>
    <row r="149" spans="1:7" x14ac:dyDescent="0.25">
      <c r="A149" s="8">
        <v>42860.605428240742</v>
      </c>
      <c r="B149" s="20" t="s">
        <v>350</v>
      </c>
      <c r="C149" s="20" t="s">
        <v>754</v>
      </c>
      <c r="D149" s="141">
        <v>3030000</v>
      </c>
      <c r="E149" s="20" t="s">
        <v>451</v>
      </c>
      <c r="F149" s="20" t="s">
        <v>411</v>
      </c>
      <c r="G149" s="8" t="str">
        <f t="shared" si="2"/>
        <v>BIRENBAUM THOMAS</v>
      </c>
    </row>
    <row r="150" spans="1:7" x14ac:dyDescent="0.25">
      <c r="A150" s="8">
        <v>42860.608958333331</v>
      </c>
      <c r="B150" s="20" t="s">
        <v>599</v>
      </c>
      <c r="C150" s="20" t="s">
        <v>755</v>
      </c>
      <c r="D150" s="141">
        <v>3130000</v>
      </c>
      <c r="E150" s="20" t="s">
        <v>452</v>
      </c>
      <c r="F150" s="20" t="s">
        <v>453</v>
      </c>
      <c r="G150" s="8" t="str">
        <f t="shared" si="2"/>
        <v>ZEWDU DEREJE</v>
      </c>
    </row>
    <row r="151" spans="1:7" x14ac:dyDescent="0.25">
      <c r="A151" s="8">
        <v>42860.609907407408</v>
      </c>
      <c r="B151" s="20" t="s">
        <v>199</v>
      </c>
      <c r="C151" s="20" t="s">
        <v>612</v>
      </c>
      <c r="D151" s="141">
        <v>2370000</v>
      </c>
      <c r="E151" s="20" t="s">
        <v>739</v>
      </c>
      <c r="F151" s="20" t="s">
        <v>740</v>
      </c>
      <c r="G151" s="8" t="str">
        <f t="shared" si="2"/>
        <v>DELGADO DIANAH</v>
      </c>
    </row>
    <row r="152" spans="1:7" x14ac:dyDescent="0.25">
      <c r="A152" s="8">
        <v>42860.618622685186</v>
      </c>
      <c r="B152" s="20" t="s">
        <v>433</v>
      </c>
      <c r="C152" s="20" t="s">
        <v>609</v>
      </c>
      <c r="D152" s="141">
        <v>2440000</v>
      </c>
      <c r="E152" s="20" t="s">
        <v>715</v>
      </c>
      <c r="F152" s="20" t="s">
        <v>716</v>
      </c>
      <c r="G152" s="8" t="str">
        <f t="shared" si="2"/>
        <v>LOPES KIMBERLY</v>
      </c>
    </row>
    <row r="153" spans="1:7" x14ac:dyDescent="0.25">
      <c r="A153" s="8">
        <v>42860.619837962964</v>
      </c>
      <c r="B153" s="20" t="s">
        <v>630</v>
      </c>
      <c r="C153" s="20" t="s">
        <v>756</v>
      </c>
      <c r="D153" s="141">
        <v>2360000</v>
      </c>
      <c r="E153" s="20" t="s">
        <v>533</v>
      </c>
      <c r="F153" s="20" t="s">
        <v>534</v>
      </c>
      <c r="G153" s="8" t="str">
        <f t="shared" si="2"/>
        <v>BRANDNER MELINDA</v>
      </c>
    </row>
    <row r="154" spans="1:7" x14ac:dyDescent="0.25">
      <c r="A154" s="8">
        <v>42860.622627314813</v>
      </c>
      <c r="B154" s="20" t="s">
        <v>592</v>
      </c>
      <c r="C154" s="20" t="s">
        <v>757</v>
      </c>
      <c r="D154" s="141">
        <v>2480000</v>
      </c>
      <c r="E154" s="20" t="s">
        <v>535</v>
      </c>
      <c r="F154" s="20" t="s">
        <v>536</v>
      </c>
      <c r="G154" s="8" t="str">
        <f t="shared" si="2"/>
        <v>WHITED DUSTIN</v>
      </c>
    </row>
    <row r="155" spans="1:7" x14ac:dyDescent="0.25">
      <c r="A155" s="8">
        <v>42860.623622685183</v>
      </c>
      <c r="B155" s="20" t="s">
        <v>433</v>
      </c>
      <c r="C155" s="20" t="s">
        <v>609</v>
      </c>
      <c r="D155" s="141">
        <v>2440000</v>
      </c>
      <c r="E155" s="20" t="s">
        <v>715</v>
      </c>
      <c r="F155" s="20" t="s">
        <v>716</v>
      </c>
      <c r="G155" s="8" t="str">
        <f t="shared" si="2"/>
        <v>LOPES KIMBERLY</v>
      </c>
    </row>
    <row r="156" spans="1:7" x14ac:dyDescent="0.25">
      <c r="A156" s="8">
        <v>42860.625405092593</v>
      </c>
      <c r="B156" s="20" t="s">
        <v>357</v>
      </c>
      <c r="C156" s="20" t="s">
        <v>758</v>
      </c>
      <c r="D156" s="141">
        <v>3130000</v>
      </c>
      <c r="E156" s="20" t="s">
        <v>452</v>
      </c>
      <c r="F156" s="20" t="s">
        <v>453</v>
      </c>
      <c r="G156" s="8" t="str">
        <f t="shared" si="2"/>
        <v>ZEWDU DEREJE</v>
      </c>
    </row>
    <row r="157" spans="1:7" x14ac:dyDescent="0.25">
      <c r="A157" s="8">
        <v>42860.629374999997</v>
      </c>
      <c r="B157" s="20" t="s">
        <v>354</v>
      </c>
      <c r="C157" s="20" t="s">
        <v>759</v>
      </c>
      <c r="D157" s="141">
        <v>2040000</v>
      </c>
      <c r="E157" s="20" t="s">
        <v>491</v>
      </c>
      <c r="F157" s="20" t="s">
        <v>492</v>
      </c>
      <c r="G157" s="8" t="str">
        <f t="shared" si="2"/>
        <v>MOSES BRADLEY</v>
      </c>
    </row>
    <row r="158" spans="1:7" x14ac:dyDescent="0.25">
      <c r="A158" s="8">
        <v>42860.632025462961</v>
      </c>
      <c r="B158" s="20" t="s">
        <v>532</v>
      </c>
      <c r="C158" s="20" t="s">
        <v>760</v>
      </c>
      <c r="D158" s="141">
        <v>1770000</v>
      </c>
      <c r="E158" s="20" t="s">
        <v>493</v>
      </c>
      <c r="F158" s="20" t="s">
        <v>494</v>
      </c>
      <c r="G158" s="8" t="str">
        <f t="shared" si="2"/>
        <v>BRUDER RICHARD</v>
      </c>
    </row>
    <row r="159" spans="1:7" x14ac:dyDescent="0.25">
      <c r="A159" s="8">
        <v>42860.639722222222</v>
      </c>
      <c r="B159" s="20" t="s">
        <v>655</v>
      </c>
      <c r="C159" s="20" t="s">
        <v>761</v>
      </c>
      <c r="D159" s="141">
        <v>2230000</v>
      </c>
      <c r="E159" s="20" t="s">
        <v>356</v>
      </c>
      <c r="F159" s="20" t="s">
        <v>196</v>
      </c>
      <c r="G159" s="8" t="str">
        <f t="shared" si="2"/>
        <v>SMITH MICHAEL</v>
      </c>
    </row>
    <row r="160" spans="1:7" x14ac:dyDescent="0.25">
      <c r="A160" s="8">
        <v>42860.641875000001</v>
      </c>
      <c r="B160" s="20" t="s">
        <v>526</v>
      </c>
      <c r="C160" s="20" t="s">
        <v>762</v>
      </c>
      <c r="D160" s="141">
        <v>2440000</v>
      </c>
      <c r="E160" s="20" t="s">
        <v>715</v>
      </c>
      <c r="F160" s="20" t="s">
        <v>716</v>
      </c>
      <c r="G160" s="8" t="str">
        <f t="shared" si="2"/>
        <v>LOPES KIMBERLY</v>
      </c>
    </row>
    <row r="161" spans="1:7" x14ac:dyDescent="0.25">
      <c r="A161" s="8">
        <v>42860.642962962964</v>
      </c>
      <c r="B161" s="20" t="s">
        <v>349</v>
      </c>
      <c r="C161" s="20" t="s">
        <v>763</v>
      </c>
      <c r="D161" s="141">
        <v>3030000</v>
      </c>
      <c r="E161" s="20" t="s">
        <v>451</v>
      </c>
      <c r="F161" s="20" t="s">
        <v>411</v>
      </c>
      <c r="G161" s="8" t="str">
        <f t="shared" si="2"/>
        <v>BIRENBAUM THOMAS</v>
      </c>
    </row>
    <row r="162" spans="1:7" x14ac:dyDescent="0.25">
      <c r="A162" s="8">
        <v>42860.644837962966</v>
      </c>
      <c r="B162" s="20" t="s">
        <v>469</v>
      </c>
      <c r="C162" s="20" t="s">
        <v>764</v>
      </c>
      <c r="D162" s="141">
        <v>2260000</v>
      </c>
      <c r="E162" s="20" t="s">
        <v>530</v>
      </c>
      <c r="F162" s="20" t="s">
        <v>531</v>
      </c>
      <c r="G162" s="8" t="str">
        <f t="shared" si="2"/>
        <v>ARVIDSON DANIEL</v>
      </c>
    </row>
    <row r="163" spans="1:7" x14ac:dyDescent="0.25">
      <c r="A163" s="8">
        <v>42860.646064814813</v>
      </c>
      <c r="B163" s="20" t="s">
        <v>358</v>
      </c>
      <c r="C163" s="20" t="s">
        <v>765</v>
      </c>
      <c r="D163" s="141">
        <v>2370000</v>
      </c>
      <c r="E163" s="20" t="s">
        <v>739</v>
      </c>
      <c r="F163" s="20" t="s">
        <v>740</v>
      </c>
      <c r="G163" s="8" t="str">
        <f t="shared" si="2"/>
        <v>DELGADO DIANAH</v>
      </c>
    </row>
    <row r="164" spans="1:7" x14ac:dyDescent="0.25">
      <c r="A164" s="8">
        <v>42860.648553240739</v>
      </c>
      <c r="B164" s="20" t="s">
        <v>463</v>
      </c>
      <c r="C164" s="20" t="s">
        <v>764</v>
      </c>
      <c r="D164" s="141">
        <v>2260000</v>
      </c>
      <c r="E164" s="20" t="s">
        <v>530</v>
      </c>
      <c r="F164" s="20" t="s">
        <v>531</v>
      </c>
      <c r="G164" s="8" t="str">
        <f t="shared" si="2"/>
        <v>ARVIDSON DANIEL</v>
      </c>
    </row>
    <row r="165" spans="1:7" x14ac:dyDescent="0.25">
      <c r="A165" s="8">
        <v>42860.650347222225</v>
      </c>
      <c r="B165" s="20" t="s">
        <v>599</v>
      </c>
      <c r="C165" s="20" t="s">
        <v>766</v>
      </c>
      <c r="D165" s="141">
        <v>3130000</v>
      </c>
      <c r="E165" s="20" t="s">
        <v>452</v>
      </c>
      <c r="F165" s="20" t="s">
        <v>453</v>
      </c>
      <c r="G165" s="8" t="str">
        <f t="shared" si="2"/>
        <v>ZEWDU DEREJE</v>
      </c>
    </row>
    <row r="166" spans="1:7" x14ac:dyDescent="0.25">
      <c r="A166" s="8">
        <v>42860.651817129627</v>
      </c>
      <c r="B166" s="20" t="s">
        <v>651</v>
      </c>
      <c r="C166" s="20" t="s">
        <v>767</v>
      </c>
      <c r="D166" s="141">
        <v>2230000</v>
      </c>
      <c r="E166" s="20" t="s">
        <v>356</v>
      </c>
      <c r="F166" s="20" t="s">
        <v>196</v>
      </c>
      <c r="G166" s="8" t="str">
        <f t="shared" si="2"/>
        <v>SMITH MICHAEL</v>
      </c>
    </row>
    <row r="167" spans="1:7" x14ac:dyDescent="0.25">
      <c r="A167" s="8">
        <v>42860.654641203706</v>
      </c>
      <c r="B167" s="20" t="s">
        <v>469</v>
      </c>
      <c r="C167" s="20" t="s">
        <v>768</v>
      </c>
      <c r="D167" s="141">
        <v>2260000</v>
      </c>
      <c r="E167" s="20" t="s">
        <v>530</v>
      </c>
      <c r="F167" s="20" t="s">
        <v>531</v>
      </c>
      <c r="G167" s="8" t="str">
        <f t="shared" si="2"/>
        <v>ARVIDSON DANIEL</v>
      </c>
    </row>
    <row r="168" spans="1:7" x14ac:dyDescent="0.25">
      <c r="A168" s="8">
        <v>42860.658958333333</v>
      </c>
      <c r="B168" s="20" t="s">
        <v>644</v>
      </c>
      <c r="C168" s="20" t="s">
        <v>769</v>
      </c>
      <c r="D168" s="141">
        <v>2480000</v>
      </c>
      <c r="E168" s="20" t="s">
        <v>535</v>
      </c>
      <c r="F168" s="20" t="s">
        <v>536</v>
      </c>
      <c r="G168" s="8" t="str">
        <f t="shared" si="2"/>
        <v>WHITED DUSTIN</v>
      </c>
    </row>
    <row r="169" spans="1:7" x14ac:dyDescent="0.25">
      <c r="A169" s="8">
        <v>42860.66547453704</v>
      </c>
      <c r="B169" s="20" t="s">
        <v>355</v>
      </c>
      <c r="C169" s="20" t="s">
        <v>613</v>
      </c>
      <c r="D169" s="141">
        <v>2040000</v>
      </c>
      <c r="E169" s="20" t="s">
        <v>491</v>
      </c>
      <c r="F169" s="20" t="s">
        <v>492</v>
      </c>
      <c r="G169" s="8" t="str">
        <f t="shared" si="2"/>
        <v>MOSES BRADLEY</v>
      </c>
    </row>
    <row r="170" spans="1:7" x14ac:dyDescent="0.25">
      <c r="A170" s="8">
        <v>42860.668749999997</v>
      </c>
      <c r="B170" s="20" t="s">
        <v>527</v>
      </c>
      <c r="C170" s="20" t="s">
        <v>770</v>
      </c>
      <c r="D170" s="141">
        <v>1770000</v>
      </c>
      <c r="E170" s="20" t="s">
        <v>493</v>
      </c>
      <c r="F170" s="20" t="s">
        <v>494</v>
      </c>
      <c r="G170" s="8" t="str">
        <f t="shared" si="2"/>
        <v>BRUDER RICHARD</v>
      </c>
    </row>
    <row r="171" spans="1:7" x14ac:dyDescent="0.25">
      <c r="A171" s="8">
        <v>42860.669108796297</v>
      </c>
      <c r="B171" s="20" t="s">
        <v>357</v>
      </c>
      <c r="C171" s="20" t="s">
        <v>614</v>
      </c>
      <c r="D171" s="141">
        <v>3130000</v>
      </c>
      <c r="E171" s="20" t="s">
        <v>452</v>
      </c>
      <c r="F171" s="20" t="s">
        <v>453</v>
      </c>
      <c r="G171" s="8" t="str">
        <f t="shared" si="2"/>
        <v>ZEWDU DEREJE</v>
      </c>
    </row>
    <row r="172" spans="1:7" x14ac:dyDescent="0.25">
      <c r="A172" s="8">
        <v>42860.672881944447</v>
      </c>
      <c r="B172" s="20" t="s">
        <v>655</v>
      </c>
      <c r="C172" s="20" t="s">
        <v>771</v>
      </c>
      <c r="D172" s="141">
        <v>2230000</v>
      </c>
      <c r="E172" s="20" t="s">
        <v>356</v>
      </c>
      <c r="F172" s="20" t="s">
        <v>196</v>
      </c>
      <c r="G172" s="8" t="str">
        <f t="shared" si="2"/>
        <v>SMITH MICHAEL</v>
      </c>
    </row>
    <row r="173" spans="1:7" x14ac:dyDescent="0.25">
      <c r="A173" s="8">
        <v>42860.67291666667</v>
      </c>
      <c r="B173" s="20" t="s">
        <v>433</v>
      </c>
      <c r="C173" s="20" t="s">
        <v>772</v>
      </c>
      <c r="D173" s="141">
        <v>2440000</v>
      </c>
      <c r="E173" s="20" t="s">
        <v>715</v>
      </c>
      <c r="F173" s="20" t="s">
        <v>716</v>
      </c>
      <c r="G173" s="8" t="str">
        <f t="shared" si="2"/>
        <v>LOPES KIMBERLY</v>
      </c>
    </row>
    <row r="174" spans="1:7" x14ac:dyDescent="0.25">
      <c r="A174" s="8">
        <v>42860.681469907409</v>
      </c>
      <c r="B174" s="20" t="s">
        <v>350</v>
      </c>
      <c r="C174" s="20" t="s">
        <v>773</v>
      </c>
      <c r="D174" s="141">
        <v>3030000</v>
      </c>
      <c r="E174" s="20" t="s">
        <v>451</v>
      </c>
      <c r="F174" s="20" t="s">
        <v>411</v>
      </c>
      <c r="G174" s="8" t="str">
        <f t="shared" si="2"/>
        <v>BIRENBAUM THOMAS</v>
      </c>
    </row>
    <row r="175" spans="1:7" x14ac:dyDescent="0.25">
      <c r="A175" s="8">
        <v>42860.684895833336</v>
      </c>
      <c r="B175" s="20" t="s">
        <v>199</v>
      </c>
      <c r="C175" s="20" t="s">
        <v>774</v>
      </c>
      <c r="D175" s="141">
        <v>2470000</v>
      </c>
      <c r="E175" s="20" t="s">
        <v>719</v>
      </c>
      <c r="F175" s="20" t="s">
        <v>720</v>
      </c>
      <c r="G175" s="8" t="str">
        <f t="shared" si="2"/>
        <v>ROMERO CHAD</v>
      </c>
    </row>
    <row r="176" spans="1:7" x14ac:dyDescent="0.25">
      <c r="A176" s="8">
        <v>42860.692569444444</v>
      </c>
      <c r="B176" s="20" t="s">
        <v>463</v>
      </c>
      <c r="C176" s="20" t="s">
        <v>775</v>
      </c>
      <c r="D176" s="141">
        <v>2260000</v>
      </c>
      <c r="E176" s="20" t="s">
        <v>530</v>
      </c>
      <c r="F176" s="20" t="s">
        <v>531</v>
      </c>
      <c r="G176" s="8" t="str">
        <f t="shared" si="2"/>
        <v>ARVIDSON DANIEL</v>
      </c>
    </row>
    <row r="177" spans="1:7" x14ac:dyDescent="0.25">
      <c r="A177" s="8">
        <v>42860.693148148152</v>
      </c>
      <c r="B177" s="20" t="s">
        <v>463</v>
      </c>
      <c r="C177" s="20" t="s">
        <v>775</v>
      </c>
      <c r="D177" s="141">
        <v>2260000</v>
      </c>
      <c r="E177" s="20" t="s">
        <v>530</v>
      </c>
      <c r="F177" s="20" t="s">
        <v>531</v>
      </c>
      <c r="G177" s="8" t="str">
        <f t="shared" si="2"/>
        <v>ARVIDSON DANIEL</v>
      </c>
    </row>
    <row r="178" spans="1:7" x14ac:dyDescent="0.25">
      <c r="A178" s="8">
        <v>42860.693240740744</v>
      </c>
      <c r="B178" s="20" t="s">
        <v>599</v>
      </c>
      <c r="C178" s="20" t="s">
        <v>776</v>
      </c>
      <c r="D178" s="141">
        <v>3130000</v>
      </c>
      <c r="E178" s="20" t="s">
        <v>452</v>
      </c>
      <c r="F178" s="20" t="s">
        <v>453</v>
      </c>
      <c r="G178" s="8" t="str">
        <f t="shared" si="2"/>
        <v>ZEWDU DEREJE</v>
      </c>
    </row>
    <row r="179" spans="1:7" x14ac:dyDescent="0.25">
      <c r="A179" s="8">
        <v>42860.693993055553</v>
      </c>
      <c r="B179" s="20" t="s">
        <v>463</v>
      </c>
      <c r="C179" s="20" t="s">
        <v>775</v>
      </c>
      <c r="D179" s="141">
        <v>2260000</v>
      </c>
      <c r="E179" s="20" t="s">
        <v>530</v>
      </c>
      <c r="F179" s="20" t="s">
        <v>531</v>
      </c>
      <c r="G179" s="8" t="str">
        <f t="shared" si="2"/>
        <v>ARVIDSON DANIEL</v>
      </c>
    </row>
    <row r="180" spans="1:7" x14ac:dyDescent="0.25">
      <c r="A180" s="8">
        <v>42860.694351851853</v>
      </c>
      <c r="B180" s="20" t="s">
        <v>592</v>
      </c>
      <c r="C180" s="20" t="s">
        <v>777</v>
      </c>
      <c r="D180" s="141">
        <v>930000</v>
      </c>
      <c r="E180" s="20" t="s">
        <v>449</v>
      </c>
      <c r="F180" s="20" t="s">
        <v>450</v>
      </c>
      <c r="G180" s="8" t="str">
        <f t="shared" si="2"/>
        <v>CLARK KATHLEEN</v>
      </c>
    </row>
    <row r="181" spans="1:7" x14ac:dyDescent="0.25">
      <c r="A181" s="8">
        <v>42860.695833333331</v>
      </c>
      <c r="B181" s="20" t="s">
        <v>651</v>
      </c>
      <c r="C181" s="20" t="s">
        <v>778</v>
      </c>
      <c r="D181" s="141">
        <v>2230000</v>
      </c>
      <c r="E181" s="20" t="s">
        <v>356</v>
      </c>
      <c r="F181" s="20" t="s">
        <v>196</v>
      </c>
      <c r="G181" s="8" t="str">
        <f t="shared" si="2"/>
        <v>SMITH MICHAEL</v>
      </c>
    </row>
    <row r="182" spans="1:7" x14ac:dyDescent="0.25">
      <c r="A182" s="8">
        <v>42860.701689814814</v>
      </c>
      <c r="B182" s="20" t="s">
        <v>354</v>
      </c>
      <c r="C182" s="20" t="s">
        <v>616</v>
      </c>
      <c r="D182" s="141">
        <v>2040000</v>
      </c>
      <c r="E182" s="20" t="s">
        <v>491</v>
      </c>
      <c r="F182" s="20" t="s">
        <v>492</v>
      </c>
      <c r="G182" s="8" t="str">
        <f t="shared" si="2"/>
        <v>MOSES BRADLEY</v>
      </c>
    </row>
    <row r="183" spans="1:7" x14ac:dyDescent="0.25">
      <c r="A183" s="8">
        <v>42860.705520833333</v>
      </c>
      <c r="B183" s="20" t="s">
        <v>532</v>
      </c>
      <c r="C183" s="20" t="s">
        <v>779</v>
      </c>
      <c r="D183" s="141">
        <v>1770000</v>
      </c>
      <c r="E183" s="20" t="s">
        <v>493</v>
      </c>
      <c r="F183" s="20" t="s">
        <v>494</v>
      </c>
      <c r="G183" s="8" t="str">
        <f t="shared" si="2"/>
        <v>BRUDER RICHARD</v>
      </c>
    </row>
    <row r="184" spans="1:7" x14ac:dyDescent="0.25">
      <c r="A184" s="8">
        <v>42860.712719907409</v>
      </c>
      <c r="B184" s="20" t="s">
        <v>526</v>
      </c>
      <c r="C184" s="20" t="s">
        <v>615</v>
      </c>
      <c r="D184" s="141">
        <v>2440000</v>
      </c>
      <c r="E184" s="20" t="s">
        <v>715</v>
      </c>
      <c r="F184" s="20" t="s">
        <v>716</v>
      </c>
      <c r="G184" s="8" t="str">
        <f t="shared" si="2"/>
        <v>LOPES KIMBERLY</v>
      </c>
    </row>
    <row r="185" spans="1:7" x14ac:dyDescent="0.25">
      <c r="A185" s="8">
        <v>42860.714282407411</v>
      </c>
      <c r="B185" s="20" t="s">
        <v>358</v>
      </c>
      <c r="C185" s="20" t="s">
        <v>617</v>
      </c>
      <c r="D185" s="141">
        <v>2470000</v>
      </c>
      <c r="E185" s="20" t="s">
        <v>719</v>
      </c>
      <c r="F185" s="20" t="s">
        <v>720</v>
      </c>
      <c r="G185" s="8" t="str">
        <f t="shared" si="2"/>
        <v>ROMERO CHAD</v>
      </c>
    </row>
    <row r="186" spans="1:7" x14ac:dyDescent="0.25">
      <c r="A186" s="8">
        <v>42860.714444444442</v>
      </c>
      <c r="B186" s="20" t="s">
        <v>655</v>
      </c>
      <c r="C186" s="20" t="s">
        <v>780</v>
      </c>
      <c r="D186" s="141">
        <v>2230000</v>
      </c>
      <c r="E186" s="20" t="s">
        <v>356</v>
      </c>
      <c r="F186" s="20" t="s">
        <v>196</v>
      </c>
      <c r="G186" s="8" t="str">
        <f t="shared" si="2"/>
        <v>SMITH MICHAEL</v>
      </c>
    </row>
    <row r="187" spans="1:7" x14ac:dyDescent="0.25">
      <c r="A187" s="8">
        <v>42860.715451388889</v>
      </c>
      <c r="B187" s="20" t="s">
        <v>407</v>
      </c>
      <c r="C187" s="20" t="s">
        <v>781</v>
      </c>
      <c r="D187" s="141">
        <v>2370000</v>
      </c>
      <c r="E187" s="20" t="s">
        <v>739</v>
      </c>
      <c r="F187" s="20" t="s">
        <v>740</v>
      </c>
      <c r="G187" s="8" t="str">
        <f t="shared" si="2"/>
        <v>DELGADO DIANAH</v>
      </c>
    </row>
    <row r="188" spans="1:7" x14ac:dyDescent="0.25">
      <c r="A188" s="8">
        <v>42860.716932870368</v>
      </c>
      <c r="B188" s="20" t="s">
        <v>357</v>
      </c>
      <c r="C188" s="20" t="s">
        <v>782</v>
      </c>
      <c r="D188" s="141">
        <v>3130000</v>
      </c>
      <c r="E188" s="20" t="s">
        <v>452</v>
      </c>
      <c r="F188" s="20" t="s">
        <v>453</v>
      </c>
      <c r="G188" s="8" t="str">
        <f t="shared" si="2"/>
        <v>ZEWDU DEREJE</v>
      </c>
    </row>
    <row r="189" spans="1:7" x14ac:dyDescent="0.25">
      <c r="A189" s="8">
        <v>42860.717233796298</v>
      </c>
      <c r="B189" s="20" t="s">
        <v>349</v>
      </c>
      <c r="C189" s="20" t="s">
        <v>783</v>
      </c>
      <c r="D189" s="141">
        <v>3030000</v>
      </c>
      <c r="E189" s="20" t="s">
        <v>451</v>
      </c>
      <c r="F189" s="20" t="s">
        <v>411</v>
      </c>
      <c r="G189" s="8" t="str">
        <f t="shared" si="2"/>
        <v>BIRENBAUM THOMAS</v>
      </c>
    </row>
    <row r="190" spans="1:7" x14ac:dyDescent="0.25">
      <c r="A190" s="8">
        <v>42860.72515046296</v>
      </c>
      <c r="B190" s="20" t="s">
        <v>469</v>
      </c>
      <c r="C190" s="20" t="s">
        <v>784</v>
      </c>
      <c r="D190" s="141">
        <v>2360000</v>
      </c>
      <c r="E190" s="20" t="s">
        <v>533</v>
      </c>
      <c r="F190" s="20" t="s">
        <v>534</v>
      </c>
      <c r="G190" s="8" t="str">
        <f t="shared" si="2"/>
        <v>BRANDNER MELINDA</v>
      </c>
    </row>
    <row r="191" spans="1:7" x14ac:dyDescent="0.25">
      <c r="A191" s="8">
        <v>42860.733032407406</v>
      </c>
      <c r="B191" s="20" t="s">
        <v>644</v>
      </c>
      <c r="C191" s="20" t="s">
        <v>785</v>
      </c>
      <c r="D191" s="141">
        <v>930000</v>
      </c>
      <c r="E191" s="20" t="s">
        <v>449</v>
      </c>
      <c r="F191" s="20" t="s">
        <v>450</v>
      </c>
      <c r="G191" s="8" t="str">
        <f t="shared" si="2"/>
        <v>CLARK KATHLEEN</v>
      </c>
    </row>
    <row r="192" spans="1:7" x14ac:dyDescent="0.25">
      <c r="A192" s="8">
        <v>42860.734224537038</v>
      </c>
      <c r="B192" s="20" t="s">
        <v>599</v>
      </c>
      <c r="C192" s="20" t="s">
        <v>786</v>
      </c>
      <c r="D192" s="141">
        <v>3130000</v>
      </c>
      <c r="E192" s="20" t="s">
        <v>452</v>
      </c>
      <c r="F192" s="20" t="s">
        <v>453</v>
      </c>
      <c r="G192" s="8" t="str">
        <f t="shared" si="2"/>
        <v>ZEWDU DEREJE</v>
      </c>
    </row>
    <row r="193" spans="1:7" x14ac:dyDescent="0.25">
      <c r="A193" s="8">
        <v>42860.735949074071</v>
      </c>
      <c r="B193" s="20" t="s">
        <v>651</v>
      </c>
      <c r="C193" s="20" t="s">
        <v>787</v>
      </c>
      <c r="D193" s="141">
        <v>2230000</v>
      </c>
      <c r="E193" s="20" t="s">
        <v>356</v>
      </c>
      <c r="F193" s="20" t="s">
        <v>196</v>
      </c>
      <c r="G193" s="8" t="str">
        <f t="shared" si="2"/>
        <v>SMITH MICHAEL</v>
      </c>
    </row>
    <row r="194" spans="1:7" x14ac:dyDescent="0.25">
      <c r="A194" s="8">
        <v>42860.736759259256</v>
      </c>
      <c r="B194" s="20" t="s">
        <v>355</v>
      </c>
      <c r="C194" s="20" t="s">
        <v>618</v>
      </c>
      <c r="D194" s="141">
        <v>1740000</v>
      </c>
      <c r="E194" s="20" t="s">
        <v>370</v>
      </c>
      <c r="F194" s="20" t="s">
        <v>371</v>
      </c>
      <c r="G194" s="8" t="str">
        <f t="shared" si="2"/>
        <v>STORY SAMANTHA</v>
      </c>
    </row>
    <row r="195" spans="1:7" x14ac:dyDescent="0.25">
      <c r="A195" s="8">
        <v>42860.743622685186</v>
      </c>
      <c r="B195" s="20" t="s">
        <v>527</v>
      </c>
      <c r="C195" s="20" t="s">
        <v>788</v>
      </c>
      <c r="D195" s="141">
        <v>1770000</v>
      </c>
      <c r="E195" s="20" t="s">
        <v>493</v>
      </c>
      <c r="F195" s="20" t="s">
        <v>494</v>
      </c>
      <c r="G195" s="8" t="str">
        <f t="shared" ref="G195:G258" si="3">E195&amp;" "&amp;F195</f>
        <v>BRUDER RICHARD</v>
      </c>
    </row>
    <row r="196" spans="1:7" x14ac:dyDescent="0.25">
      <c r="A196" s="8">
        <v>42860.743668981479</v>
      </c>
      <c r="B196" s="20" t="s">
        <v>407</v>
      </c>
      <c r="C196" s="20" t="s">
        <v>789</v>
      </c>
      <c r="D196" s="141">
        <v>2040000</v>
      </c>
      <c r="E196" s="20" t="s">
        <v>491</v>
      </c>
      <c r="F196" s="20" t="s">
        <v>492</v>
      </c>
      <c r="G196" s="8" t="str">
        <f t="shared" si="3"/>
        <v>MOSES BRADLEY</v>
      </c>
    </row>
    <row r="197" spans="1:7" x14ac:dyDescent="0.25">
      <c r="A197" s="8">
        <v>42860.744039351855</v>
      </c>
      <c r="B197" s="20" t="s">
        <v>374</v>
      </c>
      <c r="C197" s="20" t="s">
        <v>790</v>
      </c>
      <c r="D197" s="141">
        <v>2680000</v>
      </c>
      <c r="E197" s="20" t="s">
        <v>386</v>
      </c>
      <c r="F197" s="20" t="s">
        <v>387</v>
      </c>
      <c r="G197" s="8" t="str">
        <f t="shared" si="3"/>
        <v>DUNCAN SHEILA</v>
      </c>
    </row>
    <row r="198" spans="1:7" x14ac:dyDescent="0.25">
      <c r="A198" s="8">
        <v>42860.745532407411</v>
      </c>
      <c r="B198" s="20" t="s">
        <v>484</v>
      </c>
      <c r="C198" s="20" t="s">
        <v>791</v>
      </c>
      <c r="D198" s="141">
        <v>2260000</v>
      </c>
      <c r="E198" s="20" t="s">
        <v>530</v>
      </c>
      <c r="F198" s="20" t="s">
        <v>531</v>
      </c>
      <c r="G198" s="8" t="str">
        <f t="shared" si="3"/>
        <v>ARVIDSON DANIEL</v>
      </c>
    </row>
    <row r="199" spans="1:7" x14ac:dyDescent="0.25">
      <c r="A199" s="8">
        <v>42860.750335648147</v>
      </c>
      <c r="B199" s="20" t="s">
        <v>414</v>
      </c>
      <c r="C199" s="20" t="s">
        <v>792</v>
      </c>
      <c r="D199" s="141">
        <v>2150000</v>
      </c>
      <c r="E199" s="20" t="s">
        <v>347</v>
      </c>
      <c r="F199" s="20" t="s">
        <v>348</v>
      </c>
      <c r="G199" s="8" t="str">
        <f t="shared" si="3"/>
        <v>SWANSON BRYCE</v>
      </c>
    </row>
    <row r="200" spans="1:7" x14ac:dyDescent="0.25">
      <c r="A200" s="8">
        <v>42860.751701388886</v>
      </c>
      <c r="B200" s="20" t="s">
        <v>433</v>
      </c>
      <c r="C200" s="20" t="s">
        <v>793</v>
      </c>
      <c r="D200" s="141">
        <v>2560000</v>
      </c>
      <c r="E200" s="20" t="s">
        <v>794</v>
      </c>
      <c r="F200" s="20" t="s">
        <v>411</v>
      </c>
      <c r="G200" s="8" t="str">
        <f t="shared" si="3"/>
        <v>MACDONALD THOMAS</v>
      </c>
    </row>
    <row r="201" spans="1:7" x14ac:dyDescent="0.25">
      <c r="A201" s="8">
        <v>42860.754548611112</v>
      </c>
      <c r="B201" s="20" t="s">
        <v>357</v>
      </c>
      <c r="C201" s="20" t="s">
        <v>795</v>
      </c>
      <c r="D201" s="141">
        <v>3130000</v>
      </c>
      <c r="E201" s="20" t="s">
        <v>452</v>
      </c>
      <c r="F201" s="20" t="s">
        <v>453</v>
      </c>
      <c r="G201" s="8" t="str">
        <f t="shared" si="3"/>
        <v>ZEWDU DEREJE</v>
      </c>
    </row>
    <row r="202" spans="1:7" x14ac:dyDescent="0.25">
      <c r="A202" s="26">
        <v>42860.754618055558</v>
      </c>
      <c r="B202" s="20" t="s">
        <v>350</v>
      </c>
      <c r="C202" s="20" t="s">
        <v>796</v>
      </c>
      <c r="D202" s="141">
        <v>3030000</v>
      </c>
      <c r="E202" s="20" t="s">
        <v>451</v>
      </c>
      <c r="F202" s="20" t="s">
        <v>411</v>
      </c>
      <c r="G202" s="8" t="str">
        <f t="shared" si="3"/>
        <v>BIRENBAUM THOMAS</v>
      </c>
    </row>
    <row r="203" spans="1:7" x14ac:dyDescent="0.25">
      <c r="A203" s="8">
        <v>42860.756481481483</v>
      </c>
      <c r="B203" s="20" t="s">
        <v>199</v>
      </c>
      <c r="C203" s="20" t="s">
        <v>619</v>
      </c>
      <c r="D203" s="141">
        <v>2000000</v>
      </c>
      <c r="E203" s="20" t="s">
        <v>351</v>
      </c>
      <c r="F203" s="20" t="s">
        <v>193</v>
      </c>
      <c r="G203" s="8" t="str">
        <f t="shared" si="3"/>
        <v>STAMBAUGH JAMES</v>
      </c>
    </row>
    <row r="204" spans="1:7" x14ac:dyDescent="0.25">
      <c r="A204" s="8">
        <v>42860.756620370368</v>
      </c>
      <c r="B204" s="20" t="s">
        <v>655</v>
      </c>
      <c r="C204" s="20" t="s">
        <v>797</v>
      </c>
      <c r="D204" s="141">
        <v>2230000</v>
      </c>
      <c r="E204" s="20" t="s">
        <v>356</v>
      </c>
      <c r="F204" s="20" t="s">
        <v>196</v>
      </c>
      <c r="G204" s="8" t="str">
        <f t="shared" si="3"/>
        <v>SMITH MICHAEL</v>
      </c>
    </row>
    <row r="205" spans="1:7" x14ac:dyDescent="0.25">
      <c r="A205" s="8">
        <v>42860.764884259261</v>
      </c>
      <c r="B205" s="20" t="s">
        <v>463</v>
      </c>
      <c r="C205" s="20" t="s">
        <v>798</v>
      </c>
      <c r="D205" s="141">
        <v>2360000</v>
      </c>
      <c r="E205" s="20" t="s">
        <v>533</v>
      </c>
      <c r="F205" s="20" t="s">
        <v>534</v>
      </c>
      <c r="G205" s="8" t="str">
        <f t="shared" si="3"/>
        <v>BRANDNER MELINDA</v>
      </c>
    </row>
    <row r="206" spans="1:7" x14ac:dyDescent="0.25">
      <c r="A206" s="8">
        <v>42860.767418981479</v>
      </c>
      <c r="B206" s="20" t="s">
        <v>592</v>
      </c>
      <c r="C206" s="20" t="s">
        <v>799</v>
      </c>
      <c r="D206" s="141">
        <v>2150000</v>
      </c>
      <c r="E206" s="20" t="s">
        <v>347</v>
      </c>
      <c r="F206" s="20" t="s">
        <v>348</v>
      </c>
      <c r="G206" s="8" t="str">
        <f t="shared" si="3"/>
        <v>SWANSON BRYCE</v>
      </c>
    </row>
    <row r="207" spans="1:7" x14ac:dyDescent="0.25">
      <c r="A207" s="8">
        <v>42860.769641203704</v>
      </c>
      <c r="B207" s="20" t="s">
        <v>401</v>
      </c>
      <c r="C207" s="20" t="s">
        <v>800</v>
      </c>
      <c r="D207" s="141">
        <v>930000</v>
      </c>
      <c r="E207" s="20" t="s">
        <v>449</v>
      </c>
      <c r="F207" s="20" t="s">
        <v>450</v>
      </c>
      <c r="G207" s="8" t="str">
        <f t="shared" si="3"/>
        <v>CLARK KATHLEEN</v>
      </c>
    </row>
    <row r="208" spans="1:7" x14ac:dyDescent="0.25">
      <c r="A208" s="8">
        <v>42860.774513888886</v>
      </c>
      <c r="B208" s="20" t="s">
        <v>354</v>
      </c>
      <c r="C208" s="20" t="s">
        <v>801</v>
      </c>
      <c r="D208" s="141">
        <v>1740000</v>
      </c>
      <c r="E208" s="20" t="s">
        <v>370</v>
      </c>
      <c r="F208" s="20" t="s">
        <v>371</v>
      </c>
      <c r="G208" s="8" t="str">
        <f t="shared" si="3"/>
        <v>STORY SAMANTHA</v>
      </c>
    </row>
    <row r="209" spans="1:7" x14ac:dyDescent="0.25">
      <c r="A209" s="8">
        <v>42860.775821759256</v>
      </c>
      <c r="B209" s="20" t="s">
        <v>599</v>
      </c>
      <c r="C209" s="20" t="s">
        <v>802</v>
      </c>
      <c r="D209" s="141">
        <v>3130000</v>
      </c>
      <c r="E209" s="20" t="s">
        <v>452</v>
      </c>
      <c r="F209" s="20" t="s">
        <v>453</v>
      </c>
      <c r="G209" s="8" t="str">
        <f t="shared" si="3"/>
        <v>ZEWDU DEREJE</v>
      </c>
    </row>
    <row r="210" spans="1:7" x14ac:dyDescent="0.25">
      <c r="A210" s="8">
        <v>42860.776365740741</v>
      </c>
      <c r="B210" s="20" t="s">
        <v>532</v>
      </c>
      <c r="C210" s="20" t="s">
        <v>803</v>
      </c>
      <c r="D210" s="141">
        <v>1770000</v>
      </c>
      <c r="E210" s="20" t="s">
        <v>493</v>
      </c>
      <c r="F210" s="20" t="s">
        <v>494</v>
      </c>
      <c r="G210" s="8" t="str">
        <f t="shared" si="3"/>
        <v>BRUDER RICHARD</v>
      </c>
    </row>
    <row r="211" spans="1:7" x14ac:dyDescent="0.25">
      <c r="A211" s="8">
        <v>42860.778622685182</v>
      </c>
      <c r="B211" s="20" t="s">
        <v>651</v>
      </c>
      <c r="C211" s="20" t="s">
        <v>804</v>
      </c>
      <c r="D211" s="141">
        <v>2230000</v>
      </c>
      <c r="E211" s="20" t="s">
        <v>356</v>
      </c>
      <c r="F211" s="20" t="s">
        <v>196</v>
      </c>
      <c r="G211" s="8" t="str">
        <f t="shared" si="3"/>
        <v>SMITH MICHAEL</v>
      </c>
    </row>
    <row r="212" spans="1:7" x14ac:dyDescent="0.25">
      <c r="A212" s="8">
        <v>42860.787546296298</v>
      </c>
      <c r="B212" s="20" t="s">
        <v>630</v>
      </c>
      <c r="C212" s="20" t="s">
        <v>805</v>
      </c>
      <c r="D212" s="141">
        <v>2040000</v>
      </c>
      <c r="E212" s="20" t="s">
        <v>491</v>
      </c>
      <c r="F212" s="20" t="s">
        <v>492</v>
      </c>
      <c r="G212" s="8" t="str">
        <f t="shared" si="3"/>
        <v>MOSES BRADLEY</v>
      </c>
    </row>
    <row r="213" spans="1:7" x14ac:dyDescent="0.25">
      <c r="A213" s="8">
        <v>42860.788831018515</v>
      </c>
      <c r="B213" s="20" t="s">
        <v>349</v>
      </c>
      <c r="C213" s="20" t="s">
        <v>806</v>
      </c>
      <c r="D213" s="141">
        <v>2270000</v>
      </c>
      <c r="E213" s="20" t="s">
        <v>206</v>
      </c>
      <c r="F213" s="20" t="s">
        <v>207</v>
      </c>
      <c r="G213" s="8" t="str">
        <f t="shared" si="3"/>
        <v>BROWN JACOB</v>
      </c>
    </row>
    <row r="214" spans="1:7" x14ac:dyDescent="0.25">
      <c r="A214" s="8">
        <v>42860.79351851852</v>
      </c>
      <c r="B214" s="20" t="s">
        <v>358</v>
      </c>
      <c r="C214" s="20" t="s">
        <v>807</v>
      </c>
      <c r="D214" s="141">
        <v>2000000</v>
      </c>
      <c r="E214" s="20" t="s">
        <v>351</v>
      </c>
      <c r="F214" s="20" t="s">
        <v>193</v>
      </c>
      <c r="G214" s="8" t="str">
        <f t="shared" si="3"/>
        <v>STAMBAUGH JAMES</v>
      </c>
    </row>
    <row r="215" spans="1:7" x14ac:dyDescent="0.25">
      <c r="A215" s="8">
        <v>42860.794571759259</v>
      </c>
      <c r="B215" s="20" t="s">
        <v>357</v>
      </c>
      <c r="C215" s="20" t="s">
        <v>808</v>
      </c>
      <c r="D215" s="141">
        <v>3130000</v>
      </c>
      <c r="E215" s="20" t="s">
        <v>452</v>
      </c>
      <c r="F215" s="20" t="s">
        <v>453</v>
      </c>
      <c r="G215" s="8" t="str">
        <f t="shared" si="3"/>
        <v>ZEWDU DEREJE</v>
      </c>
    </row>
    <row r="216" spans="1:7" x14ac:dyDescent="0.25">
      <c r="A216" s="8">
        <v>42860.798935185187</v>
      </c>
      <c r="B216" s="20" t="s">
        <v>469</v>
      </c>
      <c r="C216" s="20" t="s">
        <v>809</v>
      </c>
      <c r="D216" s="141">
        <v>2360000</v>
      </c>
      <c r="E216" s="20" t="s">
        <v>533</v>
      </c>
      <c r="F216" s="20" t="s">
        <v>534</v>
      </c>
      <c r="G216" s="8" t="str">
        <f t="shared" si="3"/>
        <v>BRANDNER MELINDA</v>
      </c>
    </row>
    <row r="217" spans="1:7" x14ac:dyDescent="0.25">
      <c r="A217" s="8">
        <v>42860.799398148149</v>
      </c>
      <c r="B217" s="20" t="s">
        <v>644</v>
      </c>
      <c r="C217" s="20" t="s">
        <v>810</v>
      </c>
      <c r="D217" s="141">
        <v>2150000</v>
      </c>
      <c r="E217" s="20" t="s">
        <v>347</v>
      </c>
      <c r="F217" s="20" t="s">
        <v>348</v>
      </c>
      <c r="G217" s="8" t="str">
        <f t="shared" si="3"/>
        <v>SWANSON BRYCE</v>
      </c>
    </row>
    <row r="218" spans="1:7" x14ac:dyDescent="0.25">
      <c r="A218" s="8">
        <v>42860.800451388888</v>
      </c>
      <c r="B218" s="20" t="s">
        <v>655</v>
      </c>
      <c r="C218" s="20" t="s">
        <v>811</v>
      </c>
      <c r="D218" s="141">
        <v>2230000</v>
      </c>
      <c r="E218" s="20" t="s">
        <v>356</v>
      </c>
      <c r="F218" s="20" t="s">
        <v>196</v>
      </c>
      <c r="G218" s="8" t="str">
        <f t="shared" si="3"/>
        <v>SMITH MICHAEL</v>
      </c>
    </row>
    <row r="219" spans="1:7" x14ac:dyDescent="0.25">
      <c r="A219" s="8">
        <v>42860.809398148151</v>
      </c>
      <c r="B219" s="20" t="s">
        <v>355</v>
      </c>
      <c r="C219" s="20" t="s">
        <v>620</v>
      </c>
      <c r="D219" s="141">
        <v>1740000</v>
      </c>
      <c r="E219" s="20" t="s">
        <v>370</v>
      </c>
      <c r="F219" s="20" t="s">
        <v>371</v>
      </c>
      <c r="G219" s="8" t="str">
        <f t="shared" si="3"/>
        <v>STORY SAMANTHA</v>
      </c>
    </row>
    <row r="220" spans="1:7" x14ac:dyDescent="0.25">
      <c r="A220" s="8">
        <v>42860.817488425928</v>
      </c>
      <c r="B220" s="20" t="s">
        <v>599</v>
      </c>
      <c r="C220" s="20" t="s">
        <v>812</v>
      </c>
      <c r="D220" s="141">
        <v>3130000</v>
      </c>
      <c r="E220" s="20" t="s">
        <v>452</v>
      </c>
      <c r="F220" s="20" t="s">
        <v>453</v>
      </c>
      <c r="G220" s="8" t="str">
        <f t="shared" si="3"/>
        <v>ZEWDU DEREJE</v>
      </c>
    </row>
    <row r="221" spans="1:7" x14ac:dyDescent="0.25">
      <c r="A221" s="8">
        <v>42860.818657407406</v>
      </c>
      <c r="B221" s="20" t="s">
        <v>407</v>
      </c>
      <c r="C221" s="20" t="s">
        <v>813</v>
      </c>
      <c r="D221" s="141">
        <v>2040000</v>
      </c>
      <c r="E221" s="20" t="s">
        <v>491</v>
      </c>
      <c r="F221" s="20" t="s">
        <v>492</v>
      </c>
      <c r="G221" s="8" t="str">
        <f t="shared" si="3"/>
        <v>MOSES BRADLEY</v>
      </c>
    </row>
    <row r="222" spans="1:7" x14ac:dyDescent="0.25">
      <c r="A222" s="8">
        <v>42860.828067129631</v>
      </c>
      <c r="B222" s="20" t="s">
        <v>199</v>
      </c>
      <c r="C222" s="20" t="s">
        <v>622</v>
      </c>
      <c r="D222" s="141">
        <v>2000000</v>
      </c>
      <c r="E222" s="20" t="s">
        <v>351</v>
      </c>
      <c r="F222" s="20" t="s">
        <v>193</v>
      </c>
      <c r="G222" s="8" t="str">
        <f t="shared" si="3"/>
        <v>STAMBAUGH JAMES</v>
      </c>
    </row>
    <row r="223" spans="1:7" x14ac:dyDescent="0.25">
      <c r="A223" s="8">
        <v>42860.828182870369</v>
      </c>
      <c r="B223" s="20" t="s">
        <v>350</v>
      </c>
      <c r="C223" s="20" t="s">
        <v>621</v>
      </c>
      <c r="D223" s="141">
        <v>2270000</v>
      </c>
      <c r="E223" s="20" t="s">
        <v>206</v>
      </c>
      <c r="F223" s="20" t="s">
        <v>207</v>
      </c>
      <c r="G223" s="8" t="str">
        <f t="shared" si="3"/>
        <v>BROWN JACOB</v>
      </c>
    </row>
    <row r="224" spans="1:7" x14ac:dyDescent="0.25">
      <c r="A224" s="8">
        <v>42860.833819444444</v>
      </c>
      <c r="B224" t="s">
        <v>357</v>
      </c>
      <c r="C224" t="s">
        <v>814</v>
      </c>
      <c r="D224" s="141">
        <v>3130000</v>
      </c>
      <c r="E224" t="s">
        <v>452</v>
      </c>
      <c r="F224" s="20" t="s">
        <v>453</v>
      </c>
      <c r="G224" s="8" t="str">
        <f t="shared" si="3"/>
        <v>ZEWDU DEREJE</v>
      </c>
    </row>
    <row r="225" spans="1:7" x14ac:dyDescent="0.25">
      <c r="A225" s="8">
        <v>42860.835358796299</v>
      </c>
      <c r="B225" t="s">
        <v>357</v>
      </c>
      <c r="C225" t="s">
        <v>815</v>
      </c>
      <c r="D225" s="141">
        <v>3130000</v>
      </c>
      <c r="E225" t="s">
        <v>452</v>
      </c>
      <c r="F225" s="20" t="s">
        <v>453</v>
      </c>
      <c r="G225" s="8" t="str">
        <f t="shared" si="3"/>
        <v>ZEWDU DEREJE</v>
      </c>
    </row>
    <row r="226" spans="1:7" x14ac:dyDescent="0.25">
      <c r="A226" s="8">
        <v>42860.835763888892</v>
      </c>
      <c r="B226" t="s">
        <v>816</v>
      </c>
      <c r="C226" t="s">
        <v>817</v>
      </c>
      <c r="D226" s="141">
        <v>3000000</v>
      </c>
      <c r="E226" t="s">
        <v>495</v>
      </c>
      <c r="F226" s="20" t="s">
        <v>466</v>
      </c>
      <c r="G226" s="8" t="str">
        <f t="shared" si="3"/>
        <v>FORTUNATO FRANK</v>
      </c>
    </row>
    <row r="227" spans="1:7" x14ac:dyDescent="0.25">
      <c r="A227" s="8">
        <v>42860.839490740742</v>
      </c>
      <c r="B227" t="s">
        <v>354</v>
      </c>
      <c r="C227" t="s">
        <v>623</v>
      </c>
      <c r="D227" s="141">
        <v>1740000</v>
      </c>
      <c r="E227" t="s">
        <v>370</v>
      </c>
      <c r="F227" s="20" t="s">
        <v>371</v>
      </c>
      <c r="G227" s="8" t="str">
        <f t="shared" si="3"/>
        <v>STORY SAMANTHA</v>
      </c>
    </row>
    <row r="228" spans="1:7" x14ac:dyDescent="0.25">
      <c r="A228" s="8">
        <v>42860.841122685182</v>
      </c>
      <c r="B228" t="s">
        <v>427</v>
      </c>
      <c r="C228" t="s">
        <v>818</v>
      </c>
      <c r="D228" s="141">
        <v>3010000</v>
      </c>
      <c r="E228" t="s">
        <v>819</v>
      </c>
      <c r="F228" s="20" t="s">
        <v>820</v>
      </c>
      <c r="G228" s="8" t="str">
        <f t="shared" si="3"/>
        <v>SULLIVAN BRANDON</v>
      </c>
    </row>
    <row r="229" spans="1:7" x14ac:dyDescent="0.25">
      <c r="A229" s="8">
        <v>42860.842719907407</v>
      </c>
      <c r="B229" t="s">
        <v>592</v>
      </c>
      <c r="C229" t="s">
        <v>821</v>
      </c>
      <c r="D229" s="141">
        <v>2150000</v>
      </c>
      <c r="E229" t="s">
        <v>347</v>
      </c>
      <c r="F229" s="20" t="s">
        <v>348</v>
      </c>
      <c r="G229" s="8" t="str">
        <f t="shared" si="3"/>
        <v>SWANSON BRYCE</v>
      </c>
    </row>
    <row r="230" spans="1:7" x14ac:dyDescent="0.25">
      <c r="A230" s="8">
        <v>42860.847175925926</v>
      </c>
      <c r="B230" t="s">
        <v>350</v>
      </c>
      <c r="C230" t="s">
        <v>621</v>
      </c>
      <c r="D230" s="141">
        <v>2270000</v>
      </c>
      <c r="E230" t="s">
        <v>206</v>
      </c>
      <c r="F230" s="20" t="s">
        <v>207</v>
      </c>
      <c r="G230" s="8" t="str">
        <f t="shared" si="3"/>
        <v>BROWN JACOB</v>
      </c>
    </row>
    <row r="231" spans="1:7" x14ac:dyDescent="0.25">
      <c r="A231" s="8">
        <v>42860.849363425928</v>
      </c>
      <c r="B231" t="s">
        <v>626</v>
      </c>
      <c r="C231" t="s">
        <v>627</v>
      </c>
      <c r="D231" s="141">
        <v>3000000</v>
      </c>
      <c r="E231" t="s">
        <v>495</v>
      </c>
      <c r="F231" s="20" t="s">
        <v>466</v>
      </c>
      <c r="G231" s="8" t="str">
        <f t="shared" si="3"/>
        <v>FORTUNATO FRANK</v>
      </c>
    </row>
    <row r="232" spans="1:7" x14ac:dyDescent="0.25">
      <c r="A232" s="8">
        <v>42860.8515162037</v>
      </c>
      <c r="B232" t="s">
        <v>626</v>
      </c>
      <c r="C232" t="s">
        <v>627</v>
      </c>
      <c r="D232" s="141">
        <v>3000000</v>
      </c>
      <c r="E232" t="s">
        <v>495</v>
      </c>
      <c r="F232" s="20" t="s">
        <v>466</v>
      </c>
      <c r="G232" s="8" t="str">
        <f t="shared" si="3"/>
        <v>FORTUNATO FRANK</v>
      </c>
    </row>
    <row r="233" spans="1:7" x14ac:dyDescent="0.25">
      <c r="A233" s="8">
        <v>42860.853854166664</v>
      </c>
      <c r="B233" t="s">
        <v>434</v>
      </c>
      <c r="C233" t="s">
        <v>625</v>
      </c>
      <c r="D233" s="141">
        <v>3010000</v>
      </c>
      <c r="E233" t="s">
        <v>819</v>
      </c>
      <c r="F233" s="20" t="s">
        <v>820</v>
      </c>
      <c r="G233" s="8" t="str">
        <f t="shared" si="3"/>
        <v>SULLIVAN BRANDON</v>
      </c>
    </row>
    <row r="234" spans="1:7" x14ac:dyDescent="0.25">
      <c r="A234" s="8">
        <v>42860.858020833337</v>
      </c>
      <c r="B234" t="s">
        <v>626</v>
      </c>
      <c r="C234" t="s">
        <v>627</v>
      </c>
      <c r="D234" s="141">
        <v>3000000</v>
      </c>
      <c r="E234" t="s">
        <v>495</v>
      </c>
      <c r="F234" s="20" t="s">
        <v>466</v>
      </c>
      <c r="G234" s="8" t="str">
        <f t="shared" si="3"/>
        <v>FORTUNATO FRANK</v>
      </c>
    </row>
    <row r="235" spans="1:7" x14ac:dyDescent="0.25">
      <c r="A235" s="8">
        <v>42860.86041666667</v>
      </c>
      <c r="B235" t="s">
        <v>599</v>
      </c>
      <c r="C235" t="s">
        <v>814</v>
      </c>
      <c r="D235" s="141">
        <v>3130000</v>
      </c>
      <c r="E235" t="s">
        <v>452</v>
      </c>
      <c r="F235" s="20" t="s">
        <v>453</v>
      </c>
      <c r="G235" s="8" t="str">
        <f t="shared" si="3"/>
        <v>ZEWDU DEREJE</v>
      </c>
    </row>
    <row r="236" spans="1:7" x14ac:dyDescent="0.25">
      <c r="A236" s="8">
        <v>42860.868900462963</v>
      </c>
      <c r="B236" t="s">
        <v>358</v>
      </c>
      <c r="C236" t="s">
        <v>822</v>
      </c>
      <c r="D236" s="141">
        <v>2000000</v>
      </c>
      <c r="E236" t="s">
        <v>351</v>
      </c>
      <c r="F236" s="20" t="s">
        <v>193</v>
      </c>
      <c r="G236" s="8" t="str">
        <f t="shared" si="3"/>
        <v>STAMBAUGH JAMES</v>
      </c>
    </row>
    <row r="237" spans="1:7" x14ac:dyDescent="0.25">
      <c r="A237" s="8">
        <v>42860.873217592591</v>
      </c>
      <c r="B237" t="s">
        <v>349</v>
      </c>
      <c r="C237" t="s">
        <v>823</v>
      </c>
      <c r="D237" s="141">
        <v>2270000</v>
      </c>
      <c r="E237" t="s">
        <v>206</v>
      </c>
      <c r="F237" s="20" t="s">
        <v>207</v>
      </c>
      <c r="G237" s="8" t="str">
        <f t="shared" si="3"/>
        <v>BROWN JACOB</v>
      </c>
    </row>
    <row r="238" spans="1:7" x14ac:dyDescent="0.25">
      <c r="A238" s="8">
        <v>42860.885520833333</v>
      </c>
      <c r="B238" t="s">
        <v>357</v>
      </c>
      <c r="C238" t="s">
        <v>824</v>
      </c>
      <c r="D238" s="141">
        <v>2230000</v>
      </c>
      <c r="E238" t="s">
        <v>356</v>
      </c>
      <c r="F238" s="20" t="s">
        <v>196</v>
      </c>
      <c r="G238" s="8" t="str">
        <f t="shared" si="3"/>
        <v>SMITH MICHAEL</v>
      </c>
    </row>
    <row r="239" spans="1:7" x14ac:dyDescent="0.25">
      <c r="A239" s="8">
        <v>42860.88559027778</v>
      </c>
      <c r="B239" t="s">
        <v>355</v>
      </c>
      <c r="C239" t="s">
        <v>825</v>
      </c>
      <c r="D239" s="141">
        <v>2680000</v>
      </c>
      <c r="E239" t="s">
        <v>386</v>
      </c>
      <c r="F239" s="20" t="s">
        <v>387</v>
      </c>
      <c r="G239" s="8" t="str">
        <f t="shared" si="3"/>
        <v>DUNCAN SHEILA</v>
      </c>
    </row>
    <row r="240" spans="1:7" x14ac:dyDescent="0.25">
      <c r="A240" s="8">
        <v>42860.886076388888</v>
      </c>
      <c r="B240" t="s">
        <v>644</v>
      </c>
      <c r="C240" t="s">
        <v>826</v>
      </c>
      <c r="D240" s="141">
        <v>2150000</v>
      </c>
      <c r="E240" t="s">
        <v>347</v>
      </c>
      <c r="F240" s="20" t="s">
        <v>348</v>
      </c>
      <c r="G240" s="8" t="str">
        <f t="shared" si="3"/>
        <v>SWANSON BRYCE</v>
      </c>
    </row>
    <row r="241" spans="1:7" x14ac:dyDescent="0.25">
      <c r="A241" s="8">
        <v>42860.901516203703</v>
      </c>
      <c r="B241" t="s">
        <v>599</v>
      </c>
      <c r="C241" t="s">
        <v>827</v>
      </c>
      <c r="D241" s="141">
        <v>2230000</v>
      </c>
      <c r="E241" t="s">
        <v>356</v>
      </c>
      <c r="F241" s="20" t="s">
        <v>196</v>
      </c>
      <c r="G241" s="8" t="str">
        <f t="shared" si="3"/>
        <v>SMITH MICHAEL</v>
      </c>
    </row>
    <row r="242" spans="1:7" x14ac:dyDescent="0.25">
      <c r="A242" s="8">
        <v>42860.902187500003</v>
      </c>
      <c r="B242" t="s">
        <v>199</v>
      </c>
      <c r="C242" t="s">
        <v>828</v>
      </c>
      <c r="D242" s="141">
        <v>2000000</v>
      </c>
      <c r="E242" t="s">
        <v>351</v>
      </c>
      <c r="F242" s="20" t="s">
        <v>193</v>
      </c>
      <c r="G242" s="8" t="str">
        <f t="shared" si="3"/>
        <v>STAMBAUGH JAMES</v>
      </c>
    </row>
    <row r="243" spans="1:7" x14ac:dyDescent="0.25">
      <c r="A243" s="8">
        <v>42860.912546296298</v>
      </c>
      <c r="B243" t="s">
        <v>350</v>
      </c>
      <c r="C243" t="s">
        <v>624</v>
      </c>
      <c r="D243" s="141">
        <v>2270000</v>
      </c>
      <c r="E243" t="s">
        <v>206</v>
      </c>
      <c r="F243" s="20" t="s">
        <v>207</v>
      </c>
      <c r="G243" s="8" t="str">
        <f t="shared" si="3"/>
        <v>BROWN JACOB</v>
      </c>
    </row>
    <row r="244" spans="1:7" x14ac:dyDescent="0.25">
      <c r="A244" s="8">
        <v>42860.915092592593</v>
      </c>
      <c r="B244" t="s">
        <v>357</v>
      </c>
      <c r="C244" t="s">
        <v>829</v>
      </c>
      <c r="D244" s="141">
        <v>2230000</v>
      </c>
      <c r="E244" t="s">
        <v>356</v>
      </c>
      <c r="F244" s="20" t="s">
        <v>196</v>
      </c>
      <c r="G244" s="8" t="str">
        <f t="shared" si="3"/>
        <v>SMITH MICHAEL</v>
      </c>
    </row>
    <row r="245" spans="1:7" x14ac:dyDescent="0.25">
      <c r="A245" s="8">
        <v>42860.923750000002</v>
      </c>
      <c r="B245" t="s">
        <v>427</v>
      </c>
      <c r="C245" t="s">
        <v>818</v>
      </c>
      <c r="D245" s="141">
        <v>3010000</v>
      </c>
      <c r="E245" t="s">
        <v>819</v>
      </c>
      <c r="F245" s="20" t="s">
        <v>820</v>
      </c>
      <c r="G245" s="8" t="str">
        <f t="shared" si="3"/>
        <v>SULLIVAN BRANDON</v>
      </c>
    </row>
    <row r="246" spans="1:7" x14ac:dyDescent="0.25">
      <c r="A246" s="8">
        <v>42860.928437499999</v>
      </c>
      <c r="B246" t="s">
        <v>592</v>
      </c>
      <c r="C246" t="s">
        <v>830</v>
      </c>
      <c r="D246" s="141">
        <v>2150000</v>
      </c>
      <c r="E246" t="s">
        <v>347</v>
      </c>
      <c r="F246" s="20" t="s">
        <v>348</v>
      </c>
      <c r="G246" s="8" t="str">
        <f t="shared" si="3"/>
        <v>SWANSON BRYCE</v>
      </c>
    </row>
    <row r="247" spans="1:7" x14ac:dyDescent="0.25">
      <c r="A247" s="8">
        <v>42860.929282407407</v>
      </c>
      <c r="B247" t="s">
        <v>354</v>
      </c>
      <c r="C247" t="s">
        <v>831</v>
      </c>
      <c r="D247" s="141">
        <v>2680000</v>
      </c>
      <c r="E247" t="s">
        <v>386</v>
      </c>
      <c r="F247" s="20" t="s">
        <v>387</v>
      </c>
      <c r="G247" s="8" t="str">
        <f t="shared" si="3"/>
        <v>DUNCAN SHEILA</v>
      </c>
    </row>
    <row r="248" spans="1:7" x14ac:dyDescent="0.25">
      <c r="A248" s="8">
        <v>42860.93476851852</v>
      </c>
      <c r="B248" t="s">
        <v>816</v>
      </c>
      <c r="C248" t="s">
        <v>817</v>
      </c>
      <c r="D248" s="141">
        <v>3000000</v>
      </c>
      <c r="E248" t="s">
        <v>495</v>
      </c>
      <c r="F248" s="20" t="s">
        <v>466</v>
      </c>
      <c r="G248" s="8" t="str">
        <f t="shared" si="3"/>
        <v>FORTUNATO FRANK</v>
      </c>
    </row>
    <row r="249" spans="1:7" x14ac:dyDescent="0.25">
      <c r="A249" s="8">
        <v>42860.942731481482</v>
      </c>
      <c r="B249" t="s">
        <v>599</v>
      </c>
      <c r="C249" t="s">
        <v>832</v>
      </c>
      <c r="D249" s="141">
        <v>2230000</v>
      </c>
      <c r="E249" t="s">
        <v>356</v>
      </c>
      <c r="F249" s="20" t="s">
        <v>196</v>
      </c>
      <c r="G249" s="8" t="str">
        <f t="shared" si="3"/>
        <v>SMITH MICHAEL</v>
      </c>
    </row>
    <row r="250" spans="1:7" x14ac:dyDescent="0.25">
      <c r="A250" s="8">
        <v>42860.948796296296</v>
      </c>
      <c r="B250" t="s">
        <v>626</v>
      </c>
      <c r="C250" t="s">
        <v>627</v>
      </c>
      <c r="D250" s="141">
        <v>3000000</v>
      </c>
      <c r="E250" t="s">
        <v>495</v>
      </c>
      <c r="F250" s="20" t="s">
        <v>466</v>
      </c>
      <c r="G250" s="8" t="str">
        <f t="shared" si="3"/>
        <v>FORTUNATO FRANK</v>
      </c>
    </row>
    <row r="251" spans="1:7" x14ac:dyDescent="0.25">
      <c r="A251" s="8">
        <v>42860.952951388892</v>
      </c>
      <c r="B251" t="s">
        <v>358</v>
      </c>
      <c r="C251" t="s">
        <v>833</v>
      </c>
      <c r="D251" s="141">
        <v>2000000</v>
      </c>
      <c r="E251" t="s">
        <v>351</v>
      </c>
      <c r="F251" s="20" t="s">
        <v>193</v>
      </c>
      <c r="G251" s="8" t="str">
        <f t="shared" si="3"/>
        <v>STAMBAUGH JAMES</v>
      </c>
    </row>
    <row r="252" spans="1:7" x14ac:dyDescent="0.25">
      <c r="A252" s="8">
        <v>42860.955983796295</v>
      </c>
      <c r="B252" t="s">
        <v>349</v>
      </c>
      <c r="C252" t="s">
        <v>834</v>
      </c>
      <c r="D252" s="141">
        <v>2270000</v>
      </c>
      <c r="E252" t="s">
        <v>206</v>
      </c>
      <c r="F252" s="20" t="s">
        <v>207</v>
      </c>
      <c r="G252" s="8" t="str">
        <f t="shared" si="3"/>
        <v>BROWN JACOB</v>
      </c>
    </row>
    <row r="253" spans="1:7" x14ac:dyDescent="0.25">
      <c r="A253" s="8">
        <v>42860.96607638889</v>
      </c>
      <c r="B253" t="s">
        <v>644</v>
      </c>
      <c r="C253" t="s">
        <v>835</v>
      </c>
      <c r="D253" s="141">
        <v>2150000</v>
      </c>
      <c r="E253" t="s">
        <v>347</v>
      </c>
      <c r="F253" s="20" t="s">
        <v>348</v>
      </c>
      <c r="G253" s="8" t="str">
        <f t="shared" si="3"/>
        <v>SWANSON BRYCE</v>
      </c>
    </row>
    <row r="254" spans="1:7" x14ac:dyDescent="0.25">
      <c r="A254" s="8">
        <v>42860.972615740742</v>
      </c>
      <c r="B254" t="s">
        <v>355</v>
      </c>
      <c r="C254" t="s">
        <v>628</v>
      </c>
      <c r="D254" s="141">
        <v>1740000</v>
      </c>
      <c r="E254" t="s">
        <v>370</v>
      </c>
      <c r="F254" s="20" t="s">
        <v>371</v>
      </c>
      <c r="G254" s="8" t="str">
        <f t="shared" si="3"/>
        <v>STORY SAMANTHA</v>
      </c>
    </row>
    <row r="255" spans="1:7" x14ac:dyDescent="0.25">
      <c r="A255" s="8">
        <v>42860.973564814813</v>
      </c>
      <c r="B255" t="s">
        <v>816</v>
      </c>
      <c r="C255" t="s">
        <v>817</v>
      </c>
      <c r="D255" s="141">
        <v>3000000</v>
      </c>
      <c r="E255" t="s">
        <v>495</v>
      </c>
      <c r="F255" s="20" t="s">
        <v>466</v>
      </c>
      <c r="G255" s="8" t="str">
        <f t="shared" si="3"/>
        <v>FORTUNATO FRANK</v>
      </c>
    </row>
    <row r="256" spans="1:7" x14ac:dyDescent="0.25">
      <c r="A256" s="8">
        <v>42860.981296296297</v>
      </c>
      <c r="B256" t="s">
        <v>434</v>
      </c>
      <c r="C256" t="s">
        <v>625</v>
      </c>
      <c r="D256" s="141">
        <v>3010000</v>
      </c>
      <c r="E256" t="s">
        <v>819</v>
      </c>
      <c r="F256" s="20" t="s">
        <v>820</v>
      </c>
      <c r="G256" s="8" t="str">
        <f t="shared" si="3"/>
        <v>SULLIVAN BRANDON</v>
      </c>
    </row>
    <row r="257" spans="1:7" x14ac:dyDescent="0.25">
      <c r="A257" s="8">
        <v>42860.989016203705</v>
      </c>
      <c r="B257" t="s">
        <v>626</v>
      </c>
      <c r="C257" t="s">
        <v>627</v>
      </c>
      <c r="D257" s="141">
        <v>3000000</v>
      </c>
      <c r="E257" t="s">
        <v>495</v>
      </c>
      <c r="F257" s="20" t="s">
        <v>466</v>
      </c>
      <c r="G257" s="8" t="str">
        <f t="shared" si="3"/>
        <v>FORTUNATO FRANK</v>
      </c>
    </row>
    <row r="258" spans="1:7" x14ac:dyDescent="0.25">
      <c r="A258" s="8">
        <v>42860.995138888888</v>
      </c>
      <c r="B258" t="s">
        <v>350</v>
      </c>
      <c r="C258" t="s">
        <v>836</v>
      </c>
      <c r="D258" s="141">
        <v>2270000</v>
      </c>
      <c r="E258" t="s">
        <v>206</v>
      </c>
      <c r="F258" s="20" t="s">
        <v>207</v>
      </c>
      <c r="G258" s="8" t="str">
        <f t="shared" si="3"/>
        <v>BROWN JACOB</v>
      </c>
    </row>
    <row r="259" spans="1:7" x14ac:dyDescent="0.25">
      <c r="A259" s="8">
        <v>42860.99722222222</v>
      </c>
      <c r="B259" t="s">
        <v>199</v>
      </c>
      <c r="C259" t="s">
        <v>837</v>
      </c>
      <c r="D259" s="141">
        <v>2000000</v>
      </c>
      <c r="E259" t="s">
        <v>351</v>
      </c>
      <c r="F259" s="20" t="s">
        <v>193</v>
      </c>
      <c r="G259" s="8" t="str">
        <f t="shared" ref="G259:G322" si="4">E259&amp;" "&amp;F259</f>
        <v>STAMBAUGH JAMES</v>
      </c>
    </row>
    <row r="260" spans="1:7" x14ac:dyDescent="0.25">
      <c r="A260" s="8">
        <v>42860.997835648152</v>
      </c>
      <c r="B260" t="s">
        <v>434</v>
      </c>
      <c r="C260" t="s">
        <v>625</v>
      </c>
      <c r="D260" s="141">
        <v>3010000</v>
      </c>
      <c r="E260" t="s">
        <v>819</v>
      </c>
      <c r="F260" s="20" t="s">
        <v>820</v>
      </c>
      <c r="G260" s="8" t="str">
        <f t="shared" si="4"/>
        <v>SULLIVAN BRANDON</v>
      </c>
    </row>
    <row r="261" spans="1:7" x14ac:dyDescent="0.25">
      <c r="A261" s="8">
        <v>42861.004108796296</v>
      </c>
      <c r="B261" t="s">
        <v>816</v>
      </c>
      <c r="C261" t="s">
        <v>817</v>
      </c>
      <c r="D261" s="141">
        <v>3000000</v>
      </c>
      <c r="E261" t="s">
        <v>495</v>
      </c>
      <c r="F261" s="20" t="s">
        <v>466</v>
      </c>
      <c r="G261" s="8" t="str">
        <f t="shared" si="4"/>
        <v>FORTUNATO FRANK</v>
      </c>
    </row>
    <row r="262" spans="1:7" x14ac:dyDescent="0.25">
      <c r="A262" s="8">
        <v>42861.007071759261</v>
      </c>
      <c r="B262" t="s">
        <v>592</v>
      </c>
      <c r="C262" t="s">
        <v>838</v>
      </c>
      <c r="D262" s="141">
        <v>2150000</v>
      </c>
      <c r="E262" t="s">
        <v>347</v>
      </c>
      <c r="F262" s="20" t="s">
        <v>348</v>
      </c>
      <c r="G262" s="8" t="str">
        <f t="shared" si="4"/>
        <v>SWANSON BRYCE</v>
      </c>
    </row>
    <row r="263" spans="1:7" x14ac:dyDescent="0.25">
      <c r="A263" s="8">
        <v>42861.011678240742</v>
      </c>
      <c r="B263" t="s">
        <v>354</v>
      </c>
      <c r="C263" t="s">
        <v>839</v>
      </c>
      <c r="D263" s="141">
        <v>1740000</v>
      </c>
      <c r="E263" t="s">
        <v>370</v>
      </c>
      <c r="F263" s="20" t="s">
        <v>371</v>
      </c>
      <c r="G263" s="8" t="str">
        <f t="shared" si="4"/>
        <v>STORY SAMANTHA</v>
      </c>
    </row>
    <row r="264" spans="1:7" x14ac:dyDescent="0.25">
      <c r="A264" s="8">
        <v>42861.025416666664</v>
      </c>
      <c r="B264" t="s">
        <v>427</v>
      </c>
      <c r="C264" t="s">
        <v>818</v>
      </c>
      <c r="D264" s="141">
        <v>3010000</v>
      </c>
      <c r="E264" t="s">
        <v>819</v>
      </c>
      <c r="F264" s="20" t="s">
        <v>820</v>
      </c>
      <c r="G264" s="8" t="str">
        <f t="shared" si="4"/>
        <v>SULLIVAN BRANDON</v>
      </c>
    </row>
    <row r="265" spans="1:7" x14ac:dyDescent="0.25">
      <c r="A265" s="8">
        <v>42861.027094907404</v>
      </c>
      <c r="B265" t="s">
        <v>626</v>
      </c>
      <c r="C265" t="s">
        <v>627</v>
      </c>
      <c r="D265" s="141">
        <v>3000000</v>
      </c>
      <c r="E265" t="s">
        <v>495</v>
      </c>
      <c r="F265" s="20" t="s">
        <v>466</v>
      </c>
      <c r="G265" s="8" t="str">
        <f t="shared" si="4"/>
        <v>FORTUNATO FRANK</v>
      </c>
    </row>
    <row r="266" spans="1:7" x14ac:dyDescent="0.25">
      <c r="A266" s="8">
        <v>42861.035462962966</v>
      </c>
      <c r="B266" t="s">
        <v>358</v>
      </c>
      <c r="C266" t="s">
        <v>840</v>
      </c>
      <c r="D266" s="141">
        <v>2000000</v>
      </c>
      <c r="E266" t="s">
        <v>351</v>
      </c>
      <c r="F266" s="20" t="s">
        <v>193</v>
      </c>
      <c r="G266" s="8" t="str">
        <f t="shared" si="4"/>
        <v>STAMBAUGH JAMES</v>
      </c>
    </row>
    <row r="267" spans="1:7" x14ac:dyDescent="0.25">
      <c r="A267" s="8">
        <v>42861.038518518515</v>
      </c>
      <c r="B267" t="s">
        <v>349</v>
      </c>
      <c r="C267" t="s">
        <v>629</v>
      </c>
      <c r="D267" s="141">
        <v>2270000</v>
      </c>
      <c r="E267" t="s">
        <v>206</v>
      </c>
      <c r="F267" s="20" t="s">
        <v>207</v>
      </c>
      <c r="G267" s="8" t="str">
        <f t="shared" si="4"/>
        <v>BROWN JACOB</v>
      </c>
    </row>
    <row r="268" spans="1:7" x14ac:dyDescent="0.25">
      <c r="A268" s="8">
        <v>42861.044004629628</v>
      </c>
      <c r="B268" t="s">
        <v>816</v>
      </c>
      <c r="C268" t="s">
        <v>817</v>
      </c>
      <c r="D268" s="141">
        <v>3000000</v>
      </c>
      <c r="E268" t="s">
        <v>495</v>
      </c>
      <c r="F268" s="20" t="s">
        <v>466</v>
      </c>
      <c r="G268" s="8" t="str">
        <f t="shared" si="4"/>
        <v>FORTUNATO FRANK</v>
      </c>
    </row>
    <row r="269" spans="1:7" x14ac:dyDescent="0.25">
      <c r="A269" s="8">
        <v>42861.050416666665</v>
      </c>
      <c r="B269" t="s">
        <v>355</v>
      </c>
      <c r="C269" t="s">
        <v>841</v>
      </c>
      <c r="D269" s="141">
        <v>1740000</v>
      </c>
      <c r="E269" t="s">
        <v>370</v>
      </c>
      <c r="F269" s="20" t="s">
        <v>371</v>
      </c>
      <c r="G269" s="8" t="str">
        <f t="shared" si="4"/>
        <v>STORY SAMANTHA</v>
      </c>
    </row>
    <row r="270" spans="1:7" x14ac:dyDescent="0.25">
      <c r="A270" s="8">
        <v>42861.058217592596</v>
      </c>
      <c r="B270" t="s">
        <v>644</v>
      </c>
      <c r="C270" t="s">
        <v>842</v>
      </c>
      <c r="D270" s="141">
        <v>2150000</v>
      </c>
      <c r="E270" t="s">
        <v>347</v>
      </c>
      <c r="F270" s="20" t="s">
        <v>348</v>
      </c>
      <c r="G270" s="8" t="str">
        <f t="shared" si="4"/>
        <v>SWANSON BRYCE</v>
      </c>
    </row>
    <row r="271" spans="1:7" x14ac:dyDescent="0.25">
      <c r="A271" s="8">
        <v>42861.076099537036</v>
      </c>
      <c r="B271" t="s">
        <v>199</v>
      </c>
      <c r="C271" t="s">
        <v>843</v>
      </c>
      <c r="D271" s="141">
        <v>2000000</v>
      </c>
      <c r="E271" t="s">
        <v>351</v>
      </c>
      <c r="F271" s="20" t="s">
        <v>193</v>
      </c>
      <c r="G271" s="8" t="str">
        <f t="shared" si="4"/>
        <v>STAMBAUGH JAMES</v>
      </c>
    </row>
    <row r="272" spans="1:7" x14ac:dyDescent="0.25">
      <c r="A272" s="8">
        <v>42861.078344907408</v>
      </c>
      <c r="B272" t="s">
        <v>350</v>
      </c>
      <c r="C272" t="s">
        <v>844</v>
      </c>
      <c r="D272" s="141">
        <v>2270000</v>
      </c>
      <c r="E272" t="s">
        <v>206</v>
      </c>
      <c r="F272" s="20" t="s">
        <v>207</v>
      </c>
      <c r="G272" s="8" t="str">
        <f t="shared" si="4"/>
        <v>BROWN JACOB</v>
      </c>
    </row>
    <row r="273" spans="1:7" x14ac:dyDescent="0.25">
      <c r="A273" s="8">
        <v>42861.078738425924</v>
      </c>
      <c r="B273" t="s">
        <v>626</v>
      </c>
      <c r="C273" t="s">
        <v>627</v>
      </c>
      <c r="D273" s="141">
        <v>3000000</v>
      </c>
      <c r="E273" t="s">
        <v>495</v>
      </c>
      <c r="F273" s="20" t="s">
        <v>466</v>
      </c>
      <c r="G273" s="8" t="str">
        <f t="shared" si="4"/>
        <v>FORTUNATO FRANK</v>
      </c>
    </row>
    <row r="274" spans="1:7" x14ac:dyDescent="0.25">
      <c r="A274" s="8">
        <v>42861.079097222224</v>
      </c>
      <c r="B274" t="s">
        <v>434</v>
      </c>
      <c r="C274" t="s">
        <v>625</v>
      </c>
      <c r="D274" s="141">
        <v>3010000</v>
      </c>
      <c r="E274" t="s">
        <v>819</v>
      </c>
      <c r="F274" s="20" t="s">
        <v>820</v>
      </c>
      <c r="G274" s="8" t="str">
        <f t="shared" si="4"/>
        <v>SULLIVAN BRANDON</v>
      </c>
    </row>
    <row r="275" spans="1:7" x14ac:dyDescent="0.25">
      <c r="A275" s="8">
        <v>42861.092893518522</v>
      </c>
      <c r="B275" t="s">
        <v>592</v>
      </c>
      <c r="C275" t="s">
        <v>845</v>
      </c>
      <c r="D275" s="141">
        <v>2150000</v>
      </c>
      <c r="E275" t="s">
        <v>347</v>
      </c>
      <c r="F275" s="20" t="s">
        <v>348</v>
      </c>
      <c r="G275" s="8" t="str">
        <f t="shared" si="4"/>
        <v>SWANSON BRYCE</v>
      </c>
    </row>
    <row r="276" spans="1:7" x14ac:dyDescent="0.25">
      <c r="A276" s="8">
        <v>42861.11142361111</v>
      </c>
      <c r="B276" t="s">
        <v>349</v>
      </c>
      <c r="C276" t="s">
        <v>846</v>
      </c>
      <c r="D276" s="141">
        <v>2270000</v>
      </c>
      <c r="E276" t="s">
        <v>206</v>
      </c>
      <c r="F276" s="20" t="s">
        <v>207</v>
      </c>
      <c r="G276" s="8" t="str">
        <f t="shared" si="4"/>
        <v>BROWN JACOB</v>
      </c>
    </row>
    <row r="277" spans="1:7" x14ac:dyDescent="0.25">
      <c r="A277" s="8">
        <v>42830.023252314815</v>
      </c>
      <c r="B277" t="s">
        <v>355</v>
      </c>
      <c r="C277" t="s">
        <v>393</v>
      </c>
      <c r="D277" s="141">
        <v>2680000</v>
      </c>
      <c r="E277" t="s">
        <v>386</v>
      </c>
      <c r="F277" s="20" t="s">
        <v>387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354</v>
      </c>
      <c r="C278" t="s">
        <v>394</v>
      </c>
      <c r="D278" s="141">
        <v>2680000</v>
      </c>
      <c r="E278" t="s">
        <v>386</v>
      </c>
      <c r="F278" s="20" t="s">
        <v>387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373</v>
      </c>
      <c r="C279" t="s">
        <v>395</v>
      </c>
      <c r="D279" s="141">
        <v>1800000</v>
      </c>
      <c r="E279" t="s">
        <v>367</v>
      </c>
      <c r="F279" s="20" t="s">
        <v>368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382</v>
      </c>
      <c r="C280" t="s">
        <v>396</v>
      </c>
      <c r="D280" s="141">
        <v>1740000</v>
      </c>
      <c r="E280" t="s">
        <v>370</v>
      </c>
      <c r="F280" s="20" t="s">
        <v>371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383</v>
      </c>
      <c r="C281" t="s">
        <v>397</v>
      </c>
      <c r="D281" s="141">
        <v>2970000</v>
      </c>
      <c r="E281" t="s">
        <v>391</v>
      </c>
      <c r="F281" s="20" t="s">
        <v>392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389</v>
      </c>
      <c r="C282" t="s">
        <v>398</v>
      </c>
      <c r="D282" s="141">
        <v>1810000</v>
      </c>
      <c r="E282" t="s">
        <v>369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379</v>
      </c>
      <c r="C283" t="s">
        <v>399</v>
      </c>
      <c r="D283" s="141">
        <v>1740000</v>
      </c>
      <c r="E283" t="s">
        <v>370</v>
      </c>
      <c r="F283" s="20" t="s">
        <v>371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355</v>
      </c>
      <c r="C284" t="s">
        <v>393</v>
      </c>
      <c r="D284" s="141">
        <v>2680000</v>
      </c>
      <c r="E284" t="s">
        <v>386</v>
      </c>
      <c r="F284" s="20" t="s">
        <v>387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355</v>
      </c>
      <c r="C285" t="s">
        <v>393</v>
      </c>
      <c r="D285" s="141">
        <v>2680000</v>
      </c>
      <c r="E285" t="s">
        <v>386</v>
      </c>
      <c r="F285" s="20" t="s">
        <v>387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353</v>
      </c>
      <c r="C286" t="s">
        <v>400</v>
      </c>
      <c r="D286" s="141">
        <v>2970000</v>
      </c>
      <c r="E286" t="s">
        <v>391</v>
      </c>
      <c r="F286" s="20" t="s">
        <v>392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359</v>
      </c>
      <c r="D287" s="141">
        <v>2230000</v>
      </c>
      <c r="E287" t="s">
        <v>356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352</v>
      </c>
      <c r="C288" t="s">
        <v>360</v>
      </c>
      <c r="D288" s="141">
        <v>2000000</v>
      </c>
      <c r="E288" t="s">
        <v>351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357</v>
      </c>
      <c r="C289" t="s">
        <v>361</v>
      </c>
      <c r="D289" s="141">
        <v>2150000</v>
      </c>
      <c r="E289" t="s">
        <v>347</v>
      </c>
      <c r="F289" s="20" t="s">
        <v>348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357</v>
      </c>
      <c r="C290" t="s">
        <v>361</v>
      </c>
      <c r="D290" s="141">
        <v>2150000</v>
      </c>
      <c r="E290" t="s">
        <v>347</v>
      </c>
      <c r="F290" s="20" t="s">
        <v>348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357</v>
      </c>
      <c r="C291" t="s">
        <v>361</v>
      </c>
      <c r="D291" s="141">
        <v>2150000</v>
      </c>
      <c r="E291" t="s">
        <v>347</v>
      </c>
      <c r="F291" s="20" t="s">
        <v>348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358</v>
      </c>
      <c r="C292" t="s">
        <v>362</v>
      </c>
      <c r="D292" s="141">
        <v>2230000</v>
      </c>
      <c r="E292" t="s">
        <v>356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349</v>
      </c>
      <c r="C293" t="s">
        <v>363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349</v>
      </c>
      <c r="C294" t="s">
        <v>363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349</v>
      </c>
      <c r="C295" t="s">
        <v>363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355</v>
      </c>
      <c r="C296" t="s">
        <v>364</v>
      </c>
      <c r="D296" s="141">
        <v>2150000</v>
      </c>
      <c r="E296" t="s">
        <v>347</v>
      </c>
      <c r="F296" s="20" t="s">
        <v>348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350</v>
      </c>
      <c r="C297" t="s">
        <v>365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163</v>
      </c>
      <c r="K1" s="201" t="s">
        <v>161</v>
      </c>
      <c r="L1" s="201" t="s">
        <v>156</v>
      </c>
      <c r="M1" s="201" t="s">
        <v>166</v>
      </c>
      <c r="N1" s="201" t="s">
        <v>160</v>
      </c>
      <c r="O1" s="201" t="s">
        <v>167</v>
      </c>
      <c r="P1" s="201" t="s">
        <v>164</v>
      </c>
      <c r="Q1"/>
      <c r="R1"/>
    </row>
    <row r="2" spans="1:18" x14ac:dyDescent="0.25">
      <c r="A2" s="168">
        <v>54.87</v>
      </c>
      <c r="B2" s="168">
        <v>0</v>
      </c>
      <c r="C2" s="168">
        <v>38.43</v>
      </c>
      <c r="D2" s="8">
        <v>42860</v>
      </c>
      <c r="E2" s="168">
        <v>0.54</v>
      </c>
      <c r="F2" s="168" t="s">
        <v>847</v>
      </c>
      <c r="G2" s="168">
        <v>324.51</v>
      </c>
      <c r="H2" s="168">
        <v>0</v>
      </c>
      <c r="I2" s="168">
        <v>0</v>
      </c>
      <c r="J2" s="168">
        <v>1019.26</v>
      </c>
      <c r="K2" s="168" t="s">
        <v>848</v>
      </c>
      <c r="L2" s="168">
        <v>54.87</v>
      </c>
      <c r="M2" s="168">
        <v>1493964000</v>
      </c>
      <c r="N2" s="168">
        <v>1.1000000000000001</v>
      </c>
      <c r="O2" s="168">
        <v>148</v>
      </c>
      <c r="P2" s="168">
        <v>2.71</v>
      </c>
      <c r="Q2"/>
      <c r="R2"/>
    </row>
    <row r="3" spans="1:18" x14ac:dyDescent="0.25">
      <c r="A3" s="168">
        <v>51.35</v>
      </c>
      <c r="B3" s="168">
        <v>0</v>
      </c>
      <c r="C3" s="168">
        <v>36.840000000000003</v>
      </c>
      <c r="D3" s="8">
        <v>42860.041666666664</v>
      </c>
      <c r="E3" s="168">
        <v>0.56999999999999995</v>
      </c>
      <c r="F3" s="168" t="s">
        <v>847</v>
      </c>
      <c r="G3" s="168">
        <v>323.56</v>
      </c>
      <c r="H3" s="168">
        <v>0</v>
      </c>
      <c r="I3" s="168">
        <v>0</v>
      </c>
      <c r="J3" s="168">
        <v>1019.17</v>
      </c>
      <c r="K3" s="168" t="s">
        <v>848</v>
      </c>
      <c r="L3" s="168">
        <v>51.35</v>
      </c>
      <c r="M3" s="168">
        <v>1493967600</v>
      </c>
      <c r="N3" s="168">
        <v>1.1000000000000001</v>
      </c>
      <c r="O3" s="168">
        <v>157</v>
      </c>
      <c r="P3" s="168">
        <v>2.95</v>
      </c>
      <c r="Q3"/>
      <c r="R3"/>
    </row>
    <row r="4" spans="1:18" x14ac:dyDescent="0.25">
      <c r="A4" s="168">
        <v>49.47</v>
      </c>
      <c r="B4" s="168">
        <v>0.01</v>
      </c>
      <c r="C4" s="168">
        <v>36.75</v>
      </c>
      <c r="D4" s="8">
        <v>42860.083333333336</v>
      </c>
      <c r="E4" s="168">
        <v>0.61</v>
      </c>
      <c r="F4" s="168" t="s">
        <v>847</v>
      </c>
      <c r="G4" s="168">
        <v>322.61</v>
      </c>
      <c r="H4" s="168">
        <v>0</v>
      </c>
      <c r="I4" s="168">
        <v>0</v>
      </c>
      <c r="J4" s="168">
        <v>1019.08</v>
      </c>
      <c r="K4" s="168" t="s">
        <v>848</v>
      </c>
      <c r="L4" s="168">
        <v>49.47</v>
      </c>
      <c r="M4" s="168">
        <v>1493971200</v>
      </c>
      <c r="N4" s="168">
        <v>1.1000000000000001</v>
      </c>
      <c r="O4" s="168">
        <v>175</v>
      </c>
      <c r="P4" s="168">
        <v>2.17</v>
      </c>
      <c r="Q4"/>
      <c r="R4"/>
    </row>
    <row r="5" spans="1:18" x14ac:dyDescent="0.25">
      <c r="A5" s="168">
        <v>47.66</v>
      </c>
      <c r="B5" s="168">
        <v>0.01</v>
      </c>
      <c r="C5" s="168">
        <v>36.03</v>
      </c>
      <c r="D5" s="8">
        <v>42860.125</v>
      </c>
      <c r="E5" s="168">
        <v>0.64</v>
      </c>
      <c r="F5" s="168" t="s">
        <v>847</v>
      </c>
      <c r="G5" s="168">
        <v>321.66000000000003</v>
      </c>
      <c r="H5" s="168">
        <v>0</v>
      </c>
      <c r="I5" s="168">
        <v>0</v>
      </c>
      <c r="J5" s="168">
        <v>1018.97</v>
      </c>
      <c r="K5" s="168" t="s">
        <v>848</v>
      </c>
      <c r="L5" s="168">
        <v>47.66</v>
      </c>
      <c r="M5" s="168">
        <v>1493974800</v>
      </c>
      <c r="N5" s="168">
        <v>1.1000000000000001</v>
      </c>
      <c r="O5" s="168">
        <v>181</v>
      </c>
      <c r="P5" s="168">
        <v>2.5299999999999998</v>
      </c>
      <c r="Q5"/>
      <c r="R5"/>
    </row>
    <row r="6" spans="1:18" x14ac:dyDescent="0.25">
      <c r="A6" s="168">
        <v>47.03</v>
      </c>
      <c r="B6" s="168">
        <v>0.01</v>
      </c>
      <c r="C6" s="168">
        <v>35.479999999999997</v>
      </c>
      <c r="D6" s="8">
        <v>42860.166666666664</v>
      </c>
      <c r="E6" s="168">
        <v>0.64</v>
      </c>
      <c r="F6" s="168" t="s">
        <v>847</v>
      </c>
      <c r="G6" s="168">
        <v>321.47000000000003</v>
      </c>
      <c r="H6" s="168">
        <v>0</v>
      </c>
      <c r="I6" s="168">
        <v>0</v>
      </c>
      <c r="J6" s="168">
        <v>1018.9</v>
      </c>
      <c r="K6" s="168" t="s">
        <v>848</v>
      </c>
      <c r="L6" s="168">
        <v>47.03</v>
      </c>
      <c r="M6" s="168">
        <v>1493978400</v>
      </c>
      <c r="N6" s="168">
        <v>1.1000000000000001</v>
      </c>
      <c r="O6" s="168">
        <v>176</v>
      </c>
      <c r="P6" s="168">
        <v>2.4900000000000002</v>
      </c>
      <c r="Q6"/>
      <c r="R6"/>
    </row>
    <row r="7" spans="1:18" x14ac:dyDescent="0.25">
      <c r="A7" s="168">
        <v>46.38</v>
      </c>
      <c r="B7" s="168">
        <v>0</v>
      </c>
      <c r="C7" s="168">
        <v>34.99</v>
      </c>
      <c r="D7" s="8">
        <v>42860.208333333336</v>
      </c>
      <c r="E7" s="168">
        <v>0.64</v>
      </c>
      <c r="F7" s="168" t="s">
        <v>847</v>
      </c>
      <c r="G7" s="168">
        <v>321.58999999999997</v>
      </c>
      <c r="H7" s="168">
        <v>0</v>
      </c>
      <c r="I7" s="168">
        <v>0</v>
      </c>
      <c r="J7" s="168">
        <v>1018.82</v>
      </c>
      <c r="K7" s="168" t="s">
        <v>848</v>
      </c>
      <c r="L7" s="168">
        <v>46.38</v>
      </c>
      <c r="M7" s="168">
        <v>1493982000</v>
      </c>
      <c r="N7" s="168">
        <v>1.1000000000000001</v>
      </c>
      <c r="O7" s="168">
        <v>178</v>
      </c>
      <c r="P7" s="168">
        <v>2.93</v>
      </c>
      <c r="Q7"/>
      <c r="R7"/>
    </row>
    <row r="8" spans="1:18" x14ac:dyDescent="0.25">
      <c r="A8" s="168">
        <v>45.27</v>
      </c>
      <c r="B8" s="168">
        <v>0.06</v>
      </c>
      <c r="C8" s="168">
        <v>33.659999999999997</v>
      </c>
      <c r="D8" s="8">
        <v>42860.25</v>
      </c>
      <c r="E8" s="168">
        <v>0.64</v>
      </c>
      <c r="F8" s="168" t="s">
        <v>847</v>
      </c>
      <c r="G8" s="168">
        <v>321.70999999999998</v>
      </c>
      <c r="H8" s="168">
        <v>0</v>
      </c>
      <c r="I8" s="168">
        <v>0</v>
      </c>
      <c r="J8" s="168">
        <v>1018.51</v>
      </c>
      <c r="K8" s="168" t="s">
        <v>848</v>
      </c>
      <c r="L8" s="168">
        <v>45.27</v>
      </c>
      <c r="M8" s="168">
        <v>1493985600</v>
      </c>
      <c r="N8" s="168">
        <v>1.1000000000000001</v>
      </c>
      <c r="O8" s="168">
        <v>190</v>
      </c>
      <c r="P8" s="168">
        <v>2.5499999999999998</v>
      </c>
      <c r="Q8"/>
      <c r="R8"/>
    </row>
    <row r="9" spans="1:18" x14ac:dyDescent="0.25">
      <c r="A9" s="168">
        <v>48.91</v>
      </c>
      <c r="B9" s="168">
        <v>0.06</v>
      </c>
      <c r="C9" s="168">
        <v>35.61</v>
      </c>
      <c r="D9" s="8">
        <v>42860.291666666664</v>
      </c>
      <c r="E9" s="168">
        <v>0.6</v>
      </c>
      <c r="F9" s="168" t="s">
        <v>847</v>
      </c>
      <c r="G9" s="168">
        <v>321.77999999999997</v>
      </c>
      <c r="H9" s="168">
        <v>0</v>
      </c>
      <c r="I9" s="168">
        <v>0</v>
      </c>
      <c r="J9" s="168">
        <v>1017.66</v>
      </c>
      <c r="K9" s="168" t="s">
        <v>848</v>
      </c>
      <c r="L9" s="168">
        <v>48.91</v>
      </c>
      <c r="M9" s="168">
        <v>1493989200</v>
      </c>
      <c r="N9" s="168">
        <v>1.1000000000000001</v>
      </c>
      <c r="O9" s="168">
        <v>214</v>
      </c>
      <c r="P9" s="168">
        <v>2.8</v>
      </c>
      <c r="Q9"/>
      <c r="R9"/>
    </row>
    <row r="10" spans="1:18" x14ac:dyDescent="0.25">
      <c r="A10" s="168">
        <v>54.53</v>
      </c>
      <c r="B10" s="168">
        <v>0.06</v>
      </c>
      <c r="C10" s="168">
        <v>35.49</v>
      </c>
      <c r="D10" s="8">
        <v>42860.333333333336</v>
      </c>
      <c r="E10" s="168">
        <v>0.48</v>
      </c>
      <c r="F10" s="168" t="s">
        <v>847</v>
      </c>
      <c r="G10" s="168">
        <v>321.83999999999997</v>
      </c>
      <c r="H10" s="168">
        <v>0</v>
      </c>
      <c r="I10" s="168">
        <v>0</v>
      </c>
      <c r="J10" s="168">
        <v>1016.48</v>
      </c>
      <c r="K10" s="168" t="s">
        <v>848</v>
      </c>
      <c r="L10" s="168">
        <v>54.53</v>
      </c>
      <c r="M10" s="168">
        <v>1493992800</v>
      </c>
      <c r="N10" s="168">
        <v>1.1000000000000001</v>
      </c>
      <c r="O10" s="168">
        <v>204</v>
      </c>
      <c r="P10" s="168">
        <v>2.3199999999999998</v>
      </c>
      <c r="Q10"/>
      <c r="R10"/>
    </row>
    <row r="11" spans="1:18" x14ac:dyDescent="0.25">
      <c r="A11" s="168">
        <v>61.27</v>
      </c>
      <c r="B11" s="168">
        <v>0.06</v>
      </c>
      <c r="C11" s="168">
        <v>36.950000000000003</v>
      </c>
      <c r="D11" s="8">
        <v>42860.375</v>
      </c>
      <c r="E11" s="168">
        <v>0.4</v>
      </c>
      <c r="F11" s="168" t="s">
        <v>847</v>
      </c>
      <c r="G11" s="168">
        <v>321.81</v>
      </c>
      <c r="H11" s="168">
        <v>0</v>
      </c>
      <c r="I11" s="168">
        <v>0</v>
      </c>
      <c r="J11" s="168">
        <v>1015.34</v>
      </c>
      <c r="K11" s="168" t="s">
        <v>848</v>
      </c>
      <c r="L11" s="168">
        <v>61.27</v>
      </c>
      <c r="M11" s="168">
        <v>1493996400</v>
      </c>
      <c r="N11" s="168">
        <v>1.1000000000000001</v>
      </c>
      <c r="O11" s="168">
        <v>215</v>
      </c>
      <c r="P11" s="168">
        <v>7.0000000000000007E-2</v>
      </c>
      <c r="Q11"/>
      <c r="R11"/>
    </row>
    <row r="12" spans="1:18" x14ac:dyDescent="0.25">
      <c r="A12" s="168">
        <v>66.97</v>
      </c>
      <c r="B12" s="168">
        <v>0.12</v>
      </c>
      <c r="C12" s="168">
        <v>37.130000000000003</v>
      </c>
      <c r="D12" s="8">
        <v>42860.416666666664</v>
      </c>
      <c r="E12" s="168">
        <v>0.33</v>
      </c>
      <c r="F12" s="168" t="s">
        <v>847</v>
      </c>
      <c r="G12" s="168">
        <v>321.60000000000002</v>
      </c>
      <c r="H12" s="168">
        <v>0</v>
      </c>
      <c r="I12" s="168">
        <v>0</v>
      </c>
      <c r="J12" s="168">
        <v>1014.5</v>
      </c>
      <c r="K12" s="168" t="s">
        <v>848</v>
      </c>
      <c r="L12" s="168">
        <v>66.97</v>
      </c>
      <c r="M12" s="168">
        <v>1494000000</v>
      </c>
      <c r="N12" s="168">
        <v>1.1000000000000001</v>
      </c>
      <c r="O12" s="168">
        <v>138</v>
      </c>
      <c r="P12" s="168">
        <v>0.71</v>
      </c>
      <c r="Q12"/>
      <c r="R12"/>
    </row>
    <row r="13" spans="1:18" x14ac:dyDescent="0.25">
      <c r="A13" s="168">
        <v>70.989999999999995</v>
      </c>
      <c r="B13" s="168">
        <v>0.14000000000000001</v>
      </c>
      <c r="C13" s="168">
        <v>36.729999999999997</v>
      </c>
      <c r="D13" s="8">
        <v>42860.458333333336</v>
      </c>
      <c r="E13" s="168">
        <v>0.28999999999999998</v>
      </c>
      <c r="F13" s="168" t="s">
        <v>847</v>
      </c>
      <c r="G13" s="168">
        <v>321.27999999999997</v>
      </c>
      <c r="H13" s="168">
        <v>0</v>
      </c>
      <c r="I13" s="168">
        <v>0</v>
      </c>
      <c r="J13" s="168">
        <v>1013.85</v>
      </c>
      <c r="K13" s="168" t="s">
        <v>848</v>
      </c>
      <c r="L13" s="168">
        <v>70.989999999999995</v>
      </c>
      <c r="M13" s="168">
        <v>1494003600</v>
      </c>
      <c r="N13" s="168">
        <v>1.1000000000000001</v>
      </c>
      <c r="O13" s="168">
        <v>111</v>
      </c>
      <c r="P13" s="168">
        <v>1.19</v>
      </c>
      <c r="Q13"/>
      <c r="R13"/>
    </row>
    <row r="14" spans="1:18" x14ac:dyDescent="0.25">
      <c r="A14" s="168">
        <v>75</v>
      </c>
      <c r="B14" s="168">
        <v>0.15</v>
      </c>
      <c r="C14" s="168">
        <v>35.93</v>
      </c>
      <c r="D14" s="8">
        <v>42860.5</v>
      </c>
      <c r="E14" s="168">
        <v>0.24</v>
      </c>
      <c r="F14" s="168" t="s">
        <v>847</v>
      </c>
      <c r="G14" s="168">
        <v>320.95999999999998</v>
      </c>
      <c r="H14" s="168">
        <v>0</v>
      </c>
      <c r="I14" s="168">
        <v>0</v>
      </c>
      <c r="J14" s="168">
        <v>1013.21</v>
      </c>
      <c r="K14" s="168" t="s">
        <v>848</v>
      </c>
      <c r="L14" s="168">
        <v>75</v>
      </c>
      <c r="M14" s="168">
        <v>1494007200</v>
      </c>
      <c r="N14" s="168">
        <v>1.1000000000000001</v>
      </c>
      <c r="O14" s="168">
        <v>48</v>
      </c>
      <c r="P14" s="168">
        <v>3.33</v>
      </c>
      <c r="Q14"/>
      <c r="R14"/>
    </row>
    <row r="15" spans="1:18" x14ac:dyDescent="0.25">
      <c r="A15" s="168">
        <v>76.5</v>
      </c>
      <c r="B15" s="168">
        <v>0.21</v>
      </c>
      <c r="C15" s="168">
        <v>34.54</v>
      </c>
      <c r="D15" s="8">
        <v>42860.541666666664</v>
      </c>
      <c r="E15" s="168">
        <v>0.22</v>
      </c>
      <c r="F15" s="168" t="s">
        <v>496</v>
      </c>
      <c r="G15" s="168">
        <v>320.57</v>
      </c>
      <c r="H15" s="168">
        <v>0</v>
      </c>
      <c r="I15" s="168">
        <v>0</v>
      </c>
      <c r="J15" s="168">
        <v>1012.52</v>
      </c>
      <c r="K15" s="168" t="s">
        <v>497</v>
      </c>
      <c r="L15" s="168">
        <v>76.5</v>
      </c>
      <c r="M15" s="168">
        <v>1494010800</v>
      </c>
      <c r="N15" s="168"/>
      <c r="O15" s="168">
        <v>60</v>
      </c>
      <c r="P15" s="168">
        <v>4.47</v>
      </c>
      <c r="Q15"/>
      <c r="R15"/>
    </row>
    <row r="16" spans="1:18" x14ac:dyDescent="0.25">
      <c r="A16" s="168">
        <v>79.569999999999993</v>
      </c>
      <c r="B16" s="168">
        <v>0.26</v>
      </c>
      <c r="C16" s="168">
        <v>32.72</v>
      </c>
      <c r="D16" s="8">
        <v>42860.583333333336</v>
      </c>
      <c r="E16" s="168">
        <v>0.18</v>
      </c>
      <c r="F16" s="168" t="s">
        <v>847</v>
      </c>
      <c r="G16" s="168">
        <v>320.18</v>
      </c>
      <c r="H16" s="168">
        <v>0</v>
      </c>
      <c r="I16" s="168">
        <v>0</v>
      </c>
      <c r="J16" s="168">
        <v>1011.81</v>
      </c>
      <c r="K16" s="168" t="s">
        <v>848</v>
      </c>
      <c r="L16" s="168">
        <v>79.569999999999993</v>
      </c>
      <c r="M16" s="168">
        <v>1494014400</v>
      </c>
      <c r="N16" s="168">
        <v>1.1000000000000001</v>
      </c>
      <c r="O16" s="168">
        <v>52</v>
      </c>
      <c r="P16" s="168">
        <v>3.15</v>
      </c>
      <c r="Q16"/>
      <c r="R16"/>
    </row>
    <row r="17" spans="1:18" x14ac:dyDescent="0.25">
      <c r="A17" s="168">
        <v>78.64</v>
      </c>
      <c r="B17" s="168">
        <v>0.3</v>
      </c>
      <c r="C17" s="168">
        <v>31.6</v>
      </c>
      <c r="D17" s="8">
        <v>42860.625</v>
      </c>
      <c r="E17" s="168">
        <v>0.17</v>
      </c>
      <c r="F17" s="168" t="s">
        <v>849</v>
      </c>
      <c r="G17" s="168">
        <v>320.01</v>
      </c>
      <c r="H17" s="168">
        <v>0</v>
      </c>
      <c r="I17" s="168">
        <v>0</v>
      </c>
      <c r="J17" s="168">
        <v>1011.12</v>
      </c>
      <c r="K17" s="168" t="s">
        <v>850</v>
      </c>
      <c r="L17" s="168">
        <v>80.33</v>
      </c>
      <c r="M17" s="168">
        <v>1494018000</v>
      </c>
      <c r="N17" s="168">
        <v>3</v>
      </c>
      <c r="O17" s="168">
        <v>54</v>
      </c>
      <c r="P17" s="168">
        <v>3.98</v>
      </c>
      <c r="Q17"/>
      <c r="R17"/>
    </row>
    <row r="18" spans="1:18" x14ac:dyDescent="0.25">
      <c r="A18" s="168">
        <v>78.760000000000005</v>
      </c>
      <c r="B18" s="168">
        <v>0.28999999999999998</v>
      </c>
      <c r="C18" s="168">
        <v>31.77</v>
      </c>
      <c r="D18" s="8">
        <v>42860.666666666664</v>
      </c>
      <c r="E18" s="168">
        <v>0.17</v>
      </c>
      <c r="F18" s="168" t="s">
        <v>849</v>
      </c>
      <c r="G18" s="168">
        <v>320.27999999999997</v>
      </c>
      <c r="H18" s="168">
        <v>0</v>
      </c>
      <c r="I18" s="168">
        <v>0</v>
      </c>
      <c r="J18" s="168">
        <v>1010.3</v>
      </c>
      <c r="K18" s="168" t="s">
        <v>850</v>
      </c>
      <c r="L18" s="168">
        <v>80.52</v>
      </c>
      <c r="M18" s="168">
        <v>1494021600</v>
      </c>
      <c r="N18" s="168">
        <v>2.97</v>
      </c>
      <c r="O18" s="168">
        <v>57</v>
      </c>
      <c r="P18" s="168">
        <v>3.93</v>
      </c>
      <c r="Q18"/>
      <c r="R18"/>
    </row>
    <row r="19" spans="1:18" x14ac:dyDescent="0.25">
      <c r="A19" s="168">
        <v>79.7</v>
      </c>
      <c r="B19" s="168">
        <v>0.28000000000000003</v>
      </c>
      <c r="C19" s="168">
        <v>31.57</v>
      </c>
      <c r="D19" s="8">
        <v>42860.708333333336</v>
      </c>
      <c r="E19" s="168">
        <v>0.17</v>
      </c>
      <c r="F19" s="168" t="s">
        <v>849</v>
      </c>
      <c r="G19" s="168">
        <v>320.79000000000002</v>
      </c>
      <c r="H19" s="168">
        <v>0</v>
      </c>
      <c r="I19" s="168">
        <v>0</v>
      </c>
      <c r="J19" s="168">
        <v>1009.64</v>
      </c>
      <c r="K19" s="168" t="s">
        <v>850</v>
      </c>
      <c r="L19" s="168">
        <v>79.7</v>
      </c>
      <c r="M19" s="168">
        <v>1494025200</v>
      </c>
      <c r="N19" s="168">
        <v>3.45</v>
      </c>
      <c r="O19" s="168">
        <v>79</v>
      </c>
      <c r="P19" s="168">
        <v>4.1100000000000003</v>
      </c>
      <c r="Q19"/>
      <c r="R19"/>
    </row>
    <row r="20" spans="1:18" x14ac:dyDescent="0.25">
      <c r="A20" s="168">
        <v>78.5</v>
      </c>
      <c r="B20" s="168">
        <v>0.23</v>
      </c>
      <c r="C20" s="168">
        <v>30.66</v>
      </c>
      <c r="D20" s="8">
        <v>42860.75</v>
      </c>
      <c r="E20" s="168">
        <v>0.17</v>
      </c>
      <c r="F20" s="168" t="s">
        <v>496</v>
      </c>
      <c r="G20" s="168">
        <v>321.12</v>
      </c>
      <c r="H20" s="168">
        <v>0</v>
      </c>
      <c r="I20" s="168">
        <v>0</v>
      </c>
      <c r="J20" s="168">
        <v>1009.42</v>
      </c>
      <c r="K20" s="168" t="s">
        <v>497</v>
      </c>
      <c r="L20" s="168">
        <v>78.5</v>
      </c>
      <c r="M20" s="168">
        <v>1494028800</v>
      </c>
      <c r="N20" s="168">
        <v>3.59</v>
      </c>
      <c r="O20" s="168">
        <v>81</v>
      </c>
      <c r="P20" s="168">
        <v>4.5999999999999996</v>
      </c>
      <c r="Q20"/>
      <c r="R20"/>
    </row>
    <row r="21" spans="1:18" x14ac:dyDescent="0.25">
      <c r="A21" s="168">
        <v>75.25</v>
      </c>
      <c r="B21" s="168">
        <v>0.08</v>
      </c>
      <c r="C21" s="168">
        <v>30.87</v>
      </c>
      <c r="D21" s="8">
        <v>42860.791666666664</v>
      </c>
      <c r="E21" s="168">
        <v>0.2</v>
      </c>
      <c r="F21" s="168" t="s">
        <v>496</v>
      </c>
      <c r="G21" s="168">
        <v>321.10000000000002</v>
      </c>
      <c r="H21" s="168">
        <v>0</v>
      </c>
      <c r="I21" s="168">
        <v>0</v>
      </c>
      <c r="J21" s="168">
        <v>1009.78</v>
      </c>
      <c r="K21" s="168" t="s">
        <v>497</v>
      </c>
      <c r="L21" s="168">
        <v>75.25</v>
      </c>
      <c r="M21" s="168">
        <v>1494032400</v>
      </c>
      <c r="N21" s="168">
        <v>3.91</v>
      </c>
      <c r="O21" s="168">
        <v>105</v>
      </c>
      <c r="P21" s="168">
        <v>4.3099999999999996</v>
      </c>
      <c r="Q21"/>
      <c r="R21"/>
    </row>
    <row r="22" spans="1:18" x14ac:dyDescent="0.25">
      <c r="A22" s="168">
        <v>70.56</v>
      </c>
      <c r="B22" s="168">
        <v>0.12</v>
      </c>
      <c r="C22" s="168">
        <v>32.44</v>
      </c>
      <c r="D22" s="8">
        <v>42860.833333333336</v>
      </c>
      <c r="E22" s="168">
        <v>0.24</v>
      </c>
      <c r="F22" s="168" t="s">
        <v>498</v>
      </c>
      <c r="G22" s="168">
        <v>320.91000000000003</v>
      </c>
      <c r="H22" s="168">
        <v>0</v>
      </c>
      <c r="I22" s="168">
        <v>0</v>
      </c>
      <c r="J22" s="168">
        <v>1010.77</v>
      </c>
      <c r="K22" s="168" t="s">
        <v>497</v>
      </c>
      <c r="L22" s="168">
        <v>70.56</v>
      </c>
      <c r="M22" s="168">
        <v>1494036000</v>
      </c>
      <c r="N22" s="168">
        <v>10</v>
      </c>
      <c r="O22" s="168">
        <v>110</v>
      </c>
      <c r="P22" s="168">
        <v>3.07</v>
      </c>
      <c r="Q22"/>
      <c r="R22"/>
    </row>
    <row r="23" spans="1:18" x14ac:dyDescent="0.25">
      <c r="A23" s="168">
        <v>66.3</v>
      </c>
      <c r="B23" s="168">
        <v>0.14000000000000001</v>
      </c>
      <c r="C23" s="168">
        <v>33.39</v>
      </c>
      <c r="D23" s="8">
        <v>42860.875</v>
      </c>
      <c r="E23" s="168">
        <v>0.28999999999999998</v>
      </c>
      <c r="F23" s="168" t="s">
        <v>498</v>
      </c>
      <c r="G23" s="168">
        <v>320.67</v>
      </c>
      <c r="H23" s="168">
        <v>0</v>
      </c>
      <c r="I23" s="168">
        <v>0</v>
      </c>
      <c r="J23" s="168">
        <v>1011.66</v>
      </c>
      <c r="K23" s="168" t="s">
        <v>497</v>
      </c>
      <c r="L23" s="168">
        <v>66.3</v>
      </c>
      <c r="M23" s="168">
        <v>1494039600</v>
      </c>
      <c r="N23" s="168">
        <v>5.61</v>
      </c>
      <c r="O23" s="168">
        <v>122</v>
      </c>
      <c r="P23" s="168">
        <v>3.5</v>
      </c>
      <c r="Q23"/>
      <c r="R23"/>
    </row>
    <row r="24" spans="1:18" x14ac:dyDescent="0.25">
      <c r="A24" s="168">
        <v>64.2</v>
      </c>
      <c r="B24" s="168">
        <v>0.1</v>
      </c>
      <c r="C24" s="168">
        <v>34.42</v>
      </c>
      <c r="D24" s="8">
        <v>42860.916666666664</v>
      </c>
      <c r="E24" s="168">
        <v>0.33</v>
      </c>
      <c r="F24" s="168" t="s">
        <v>498</v>
      </c>
      <c r="G24" s="168">
        <v>320.52999999999997</v>
      </c>
      <c r="H24" s="168">
        <v>0</v>
      </c>
      <c r="I24" s="168">
        <v>0</v>
      </c>
      <c r="J24" s="168">
        <v>1011.99</v>
      </c>
      <c r="K24" s="168" t="s">
        <v>497</v>
      </c>
      <c r="L24" s="168">
        <v>64.2</v>
      </c>
      <c r="M24" s="168">
        <v>1494043200</v>
      </c>
      <c r="N24" s="168">
        <v>3.88</v>
      </c>
      <c r="O24" s="168">
        <v>152</v>
      </c>
      <c r="P24" s="168">
        <v>2.78</v>
      </c>
      <c r="Q24"/>
      <c r="R24"/>
    </row>
    <row r="25" spans="1:18" x14ac:dyDescent="0.25">
      <c r="A25" s="168">
        <v>60.51</v>
      </c>
      <c r="B25" s="168">
        <v>0.03</v>
      </c>
      <c r="C25" s="168">
        <v>33.89</v>
      </c>
      <c r="D25" s="8">
        <v>42860.958333333336</v>
      </c>
      <c r="E25" s="168">
        <v>0.37</v>
      </c>
      <c r="F25" s="168" t="s">
        <v>498</v>
      </c>
      <c r="G25" s="168">
        <v>320.35000000000002</v>
      </c>
      <c r="H25" s="168">
        <v>0</v>
      </c>
      <c r="I25" s="168">
        <v>0</v>
      </c>
      <c r="J25" s="168">
        <v>1012.07</v>
      </c>
      <c r="K25" s="168" t="s">
        <v>497</v>
      </c>
      <c r="L25" s="168">
        <v>60.51</v>
      </c>
      <c r="M25" s="168">
        <v>1494046800</v>
      </c>
      <c r="N25" s="168">
        <v>2.97</v>
      </c>
      <c r="O25" s="168">
        <v>172</v>
      </c>
      <c r="P25" s="168">
        <v>3.47</v>
      </c>
      <c r="Q25"/>
      <c r="R25"/>
    </row>
    <row r="26" spans="1:18" x14ac:dyDescent="0.25">
      <c r="A26" s="168">
        <v>58.45</v>
      </c>
      <c r="B26" s="168">
        <v>0</v>
      </c>
      <c r="C26" s="168">
        <v>36.17</v>
      </c>
      <c r="D26" s="8">
        <v>42861</v>
      </c>
      <c r="E26" s="168">
        <v>0.43</v>
      </c>
      <c r="F26" s="168" t="s">
        <v>498</v>
      </c>
      <c r="G26" s="168">
        <v>319.82</v>
      </c>
      <c r="H26" s="168">
        <v>0</v>
      </c>
      <c r="I26" s="168">
        <v>0</v>
      </c>
      <c r="J26" s="168">
        <v>1012.06</v>
      </c>
      <c r="K26" s="168" t="s">
        <v>497</v>
      </c>
      <c r="L26" s="168">
        <v>58.45</v>
      </c>
      <c r="M26" s="168">
        <v>1494050400</v>
      </c>
      <c r="N26" s="168">
        <v>2.64</v>
      </c>
      <c r="O26" s="168">
        <v>171</v>
      </c>
      <c r="P26" s="168">
        <v>3.4</v>
      </c>
      <c r="Q26"/>
      <c r="R26"/>
    </row>
    <row r="27" spans="1:18" x14ac:dyDescent="0.25">
      <c r="A27" s="168">
        <v>55.8</v>
      </c>
      <c r="B27" s="168">
        <v>0.01</v>
      </c>
      <c r="C27" s="168">
        <v>35.700000000000003</v>
      </c>
      <c r="D27" s="8">
        <v>42861.041666666664</v>
      </c>
      <c r="E27" s="168">
        <v>0.47</v>
      </c>
      <c r="F27" s="168" t="s">
        <v>498</v>
      </c>
      <c r="G27" s="168">
        <v>318.48</v>
      </c>
      <c r="H27" s="168">
        <v>0</v>
      </c>
      <c r="I27" s="168">
        <v>0</v>
      </c>
      <c r="J27" s="168">
        <v>1011.99</v>
      </c>
      <c r="K27" s="168" t="s">
        <v>497</v>
      </c>
      <c r="L27" s="168">
        <v>55.8</v>
      </c>
      <c r="M27" s="168">
        <v>1494054000</v>
      </c>
      <c r="N27" s="168">
        <v>2.6</v>
      </c>
      <c r="O27" s="168">
        <v>177</v>
      </c>
      <c r="P27" s="168">
        <v>2.4900000000000002</v>
      </c>
      <c r="Q27"/>
      <c r="R27"/>
    </row>
    <row r="28" spans="1:18" x14ac:dyDescent="0.25">
      <c r="A28" s="168">
        <v>55.02</v>
      </c>
      <c r="B28" s="168">
        <v>0.01</v>
      </c>
      <c r="C28" s="168">
        <v>36.68</v>
      </c>
      <c r="D28" s="8">
        <v>42861.083333333336</v>
      </c>
      <c r="E28" s="168">
        <v>0.5</v>
      </c>
      <c r="F28" s="168" t="s">
        <v>498</v>
      </c>
      <c r="G28" s="168">
        <v>317.14999999999998</v>
      </c>
      <c r="H28" s="168">
        <v>0</v>
      </c>
      <c r="I28" s="168">
        <v>0</v>
      </c>
      <c r="J28" s="168">
        <v>1011.9</v>
      </c>
      <c r="K28" s="168" t="s">
        <v>497</v>
      </c>
      <c r="L28" s="168">
        <v>55.02</v>
      </c>
      <c r="M28" s="168">
        <v>1494057600</v>
      </c>
      <c r="N28" s="168">
        <v>2.57</v>
      </c>
      <c r="O28" s="168">
        <v>166</v>
      </c>
      <c r="P28" s="168">
        <v>2.57</v>
      </c>
      <c r="Q28"/>
      <c r="R28"/>
    </row>
    <row r="29" spans="1:18" x14ac:dyDescent="0.25">
      <c r="A29" s="168">
        <v>53.6</v>
      </c>
      <c r="B29" s="168">
        <v>0.01</v>
      </c>
      <c r="C29" s="168">
        <v>36.72</v>
      </c>
      <c r="D29" s="8">
        <v>42861.125</v>
      </c>
      <c r="E29" s="168">
        <v>0.53</v>
      </c>
      <c r="F29" s="168" t="s">
        <v>498</v>
      </c>
      <c r="G29" s="168">
        <v>315.82</v>
      </c>
      <c r="H29" s="168">
        <v>0</v>
      </c>
      <c r="I29" s="168">
        <v>0</v>
      </c>
      <c r="J29" s="168">
        <v>1011.81</v>
      </c>
      <c r="K29" s="168" t="s">
        <v>497</v>
      </c>
      <c r="L29" s="168">
        <v>53.6</v>
      </c>
      <c r="M29" s="168">
        <v>1494061200</v>
      </c>
      <c r="N29" s="168">
        <v>10</v>
      </c>
      <c r="O29" s="168">
        <v>215</v>
      </c>
      <c r="P29" s="168">
        <v>2.29</v>
      </c>
      <c r="Q29"/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342</v>
      </c>
      <c r="U1" s="159"/>
      <c r="V1" s="159"/>
      <c r="W1" s="159"/>
      <c r="X1" s="159"/>
    </row>
    <row r="2" spans="1:24" ht="15.75" thickBot="1" x14ac:dyDescent="0.3">
      <c r="A2" s="12">
        <v>42860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343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344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345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346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1034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1035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1036</v>
      </c>
      <c r="J20" s="143" t="s">
        <v>87</v>
      </c>
      <c r="M20" s="157" t="s">
        <v>462</v>
      </c>
      <c r="N20" s="157" t="s">
        <v>341</v>
      </c>
      <c r="T20" s="158"/>
      <c r="U20" s="158"/>
      <c r="V20" s="158"/>
      <c r="W20" s="158"/>
      <c r="X20" s="158"/>
    </row>
    <row r="21" spans="3:24" x14ac:dyDescent="0.25">
      <c r="C21" t="s">
        <v>1037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1038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1039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1040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1041</v>
      </c>
      <c r="J25" s="143" t="s">
        <v>150</v>
      </c>
      <c r="M25" s="157" t="b">
        <v>1</v>
      </c>
    </row>
    <row r="26" spans="3:24" x14ac:dyDescent="0.25">
      <c r="C26" t="s">
        <v>1042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C:\Users\stu\Documents\GitHub\eaglep3-reporting\EC\2017-05-05-refined-times.txt</v>
      </c>
    </row>
    <row r="27" spans="3:24" x14ac:dyDescent="0.25">
      <c r="C27" t="s">
        <v>1043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C:\Users\stu\Documents\GitHub\eaglep3-reporting\EC\2017-05-05-Enforcements.txt</v>
      </c>
    </row>
    <row r="28" spans="3:24" x14ac:dyDescent="0.25">
      <c r="C28" t="s">
        <v>1044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C:\Users\stu\Documents\GitHub\eaglep3-reporting\EC\2017-05-05-Runs-refined.txt</v>
      </c>
    </row>
    <row r="29" spans="3:24" x14ac:dyDescent="0.25">
      <c r="C29" t="s">
        <v>1045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C:\Users\stu\Documents\GitHub\eaglep3-reporting\EC\2017-05-05-Trips.txt</v>
      </c>
    </row>
    <row r="30" spans="3:24" x14ac:dyDescent="0.25">
      <c r="C30" t="s">
        <v>1046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C:\Users\stu\Documents\GitHub\eaglep3-reporting\EC\2017-05-05-Weather.txt</v>
      </c>
    </row>
    <row r="31" spans="3:24" x14ac:dyDescent="0.25">
      <c r="C31" t="s">
        <v>1047</v>
      </c>
      <c r="J31" s="143" t="s">
        <v>201</v>
      </c>
      <c r="M31" s="157" t="s">
        <v>202</v>
      </c>
    </row>
    <row r="32" spans="3:24" x14ac:dyDescent="0.25">
      <c r="C32" t="s">
        <v>1048</v>
      </c>
    </row>
    <row r="33" spans="3:3" x14ac:dyDescent="0.25">
      <c r="C33" t="s">
        <v>1049</v>
      </c>
    </row>
    <row r="34" spans="3:3" x14ac:dyDescent="0.25">
      <c r="C34" t="s">
        <v>1050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377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378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2017-05-09T15:34:54Z</dcterms:modified>
</cp:coreProperties>
</file>