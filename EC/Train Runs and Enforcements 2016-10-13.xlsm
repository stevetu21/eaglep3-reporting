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Enforcements!$A$6:$AC$66</definedName>
    <definedName name="_xlnm._FilterDatabase" localSheetId="2" hidden="1">'Missing Trips'!$B$2:$I$2</definedName>
    <definedName name="_xlnm._FilterDatabase" localSheetId="0" hidden="1">'Train Runs'!$A$12:$AG$257</definedName>
    <definedName name="_xlnm._FilterDatabase" localSheetId="3" hidden="1">'Trips&amp;Operators'!$A$1:$E$211</definedName>
    <definedName name="astrogrep_path">Variables!$M$18</definedName>
    <definedName name="Denver_Train_Runs_04122016" localSheetId="0">'Train Runs'!$A$12:$J$70</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31" i="1" l="1"/>
  <c r="X132" i="1"/>
  <c r="K131" i="1"/>
  <c r="L131" i="1"/>
  <c r="M131" i="1"/>
  <c r="V131" i="1"/>
  <c r="AA131" i="1"/>
  <c r="AB131" i="1"/>
  <c r="AC131" i="1"/>
  <c r="AD131" i="1"/>
  <c r="T131" i="1" s="1"/>
  <c r="AE131" i="1"/>
  <c r="AF131" i="1"/>
  <c r="AH131" i="1"/>
  <c r="X181" i="1"/>
  <c r="X182" i="1"/>
  <c r="X183" i="1"/>
  <c r="X184" i="1"/>
  <c r="X185" i="1"/>
  <c r="K152" i="1"/>
  <c r="L152" i="1"/>
  <c r="M152" i="1"/>
  <c r="N152" i="1" s="1"/>
  <c r="V152" i="1"/>
  <c r="AA152" i="1"/>
  <c r="AB152" i="1"/>
  <c r="AC152" i="1"/>
  <c r="AD152" i="1"/>
  <c r="AG152" i="1" s="1"/>
  <c r="AE152" i="1"/>
  <c r="AF152" i="1"/>
  <c r="AH152" i="1"/>
  <c r="K110" i="1"/>
  <c r="L110" i="1"/>
  <c r="M110" i="1"/>
  <c r="N110" i="1" s="1"/>
  <c r="V110" i="1"/>
  <c r="AA110" i="1"/>
  <c r="AB110" i="1"/>
  <c r="AC110" i="1"/>
  <c r="AD110" i="1"/>
  <c r="T110" i="1" s="1"/>
  <c r="AE110" i="1"/>
  <c r="AF110" i="1"/>
  <c r="AH110" i="1"/>
  <c r="X178" i="1"/>
  <c r="X101" i="1"/>
  <c r="K154" i="1"/>
  <c r="M154" i="1"/>
  <c r="N154" i="1" s="1"/>
  <c r="V154" i="1"/>
  <c r="S9" i="3" s="1"/>
  <c r="AB154" i="1"/>
  <c r="AC154" i="1"/>
  <c r="AD154" i="1"/>
  <c r="AG154" i="1" s="1"/>
  <c r="AE154" i="1"/>
  <c r="R9" i="3" s="1"/>
  <c r="AF154" i="1"/>
  <c r="AH154" i="1"/>
  <c r="K14" i="1"/>
  <c r="L14" i="1"/>
  <c r="M14" i="1"/>
  <c r="N14" i="1" s="1"/>
  <c r="V14" i="1"/>
  <c r="Y14" i="1"/>
  <c r="Z14" i="1"/>
  <c r="AB14" i="1"/>
  <c r="AC14" i="1"/>
  <c r="AD14" i="1"/>
  <c r="T14" i="1" s="1"/>
  <c r="AE14" i="1"/>
  <c r="AF14" i="1"/>
  <c r="AH14" i="1"/>
  <c r="K15" i="1"/>
  <c r="L15" i="1"/>
  <c r="M15" i="1"/>
  <c r="N15" i="1" s="1"/>
  <c r="V15" i="1"/>
  <c r="Y15" i="1"/>
  <c r="Z15" i="1"/>
  <c r="AB15" i="1"/>
  <c r="AC15" i="1"/>
  <c r="AD15" i="1"/>
  <c r="T15" i="1" s="1"/>
  <c r="AE15" i="1"/>
  <c r="AF15" i="1"/>
  <c r="AH15" i="1"/>
  <c r="K16" i="1"/>
  <c r="L16" i="1"/>
  <c r="M16" i="1"/>
  <c r="N16" i="1" s="1"/>
  <c r="V16" i="1"/>
  <c r="Y16" i="1"/>
  <c r="Z16" i="1"/>
  <c r="AB16" i="1"/>
  <c r="AC16" i="1"/>
  <c r="AD16" i="1"/>
  <c r="T16" i="1" s="1"/>
  <c r="AE16" i="1"/>
  <c r="AF16" i="1"/>
  <c r="AH16" i="1"/>
  <c r="K17" i="1"/>
  <c r="L17" i="1"/>
  <c r="M17" i="1"/>
  <c r="N17" i="1" s="1"/>
  <c r="V17" i="1"/>
  <c r="Y17" i="1"/>
  <c r="Z17" i="1"/>
  <c r="AB17" i="1"/>
  <c r="AC17" i="1"/>
  <c r="AD17" i="1"/>
  <c r="T17" i="1" s="1"/>
  <c r="AE17" i="1"/>
  <c r="AF17" i="1"/>
  <c r="AH17" i="1"/>
  <c r="K18" i="1"/>
  <c r="L18" i="1"/>
  <c r="M18" i="1"/>
  <c r="N18" i="1" s="1"/>
  <c r="V18" i="1"/>
  <c r="Y18" i="1"/>
  <c r="Z18" i="1"/>
  <c r="AB18" i="1"/>
  <c r="AC18" i="1"/>
  <c r="AD18" i="1"/>
  <c r="T18" i="1" s="1"/>
  <c r="AE18" i="1"/>
  <c r="AF18" i="1"/>
  <c r="AH18" i="1"/>
  <c r="K19" i="1"/>
  <c r="L19" i="1"/>
  <c r="M19" i="1"/>
  <c r="N19" i="1" s="1"/>
  <c r="V19" i="1"/>
  <c r="Y19" i="1"/>
  <c r="Z19" i="1"/>
  <c r="AB19" i="1"/>
  <c r="AC19" i="1"/>
  <c r="AD19" i="1"/>
  <c r="T19" i="1" s="1"/>
  <c r="AE19" i="1"/>
  <c r="AF19" i="1"/>
  <c r="AH19" i="1"/>
  <c r="K20" i="1"/>
  <c r="L20" i="1"/>
  <c r="M20" i="1"/>
  <c r="N20" i="1" s="1"/>
  <c r="V20" i="1"/>
  <c r="Y20" i="1"/>
  <c r="Z20" i="1"/>
  <c r="AB20" i="1"/>
  <c r="AC20" i="1"/>
  <c r="AD20" i="1"/>
  <c r="AE20" i="1"/>
  <c r="AF20" i="1"/>
  <c r="AH20" i="1"/>
  <c r="K21" i="1"/>
  <c r="L21" i="1"/>
  <c r="M21" i="1"/>
  <c r="N21" i="1" s="1"/>
  <c r="V21" i="1"/>
  <c r="Y21" i="1"/>
  <c r="Z21" i="1"/>
  <c r="AB21" i="1"/>
  <c r="AC21" i="1"/>
  <c r="AD21" i="1"/>
  <c r="T21" i="1" s="1"/>
  <c r="AE21" i="1"/>
  <c r="AF21" i="1"/>
  <c r="AH21" i="1"/>
  <c r="K22" i="1"/>
  <c r="L22" i="1"/>
  <c r="M22" i="1"/>
  <c r="N22" i="1" s="1"/>
  <c r="V22" i="1"/>
  <c r="Y22" i="1"/>
  <c r="Z22" i="1"/>
  <c r="AB22" i="1"/>
  <c r="AC22" i="1"/>
  <c r="AD22" i="1"/>
  <c r="T22" i="1" s="1"/>
  <c r="AE22" i="1"/>
  <c r="AF22" i="1"/>
  <c r="AH22" i="1"/>
  <c r="K23" i="1"/>
  <c r="L23" i="1"/>
  <c r="M23" i="1"/>
  <c r="N23" i="1" s="1"/>
  <c r="V23" i="1"/>
  <c r="Y23" i="1"/>
  <c r="Z23" i="1"/>
  <c r="AB23" i="1"/>
  <c r="AC23" i="1"/>
  <c r="AD23" i="1"/>
  <c r="T23" i="1" s="1"/>
  <c r="AE23" i="1"/>
  <c r="AF23" i="1"/>
  <c r="AH23" i="1"/>
  <c r="K24" i="1"/>
  <c r="L24" i="1"/>
  <c r="M24" i="1"/>
  <c r="N24" i="1" s="1"/>
  <c r="V24" i="1"/>
  <c r="Y24" i="1"/>
  <c r="Z24" i="1"/>
  <c r="AB24" i="1"/>
  <c r="AC24" i="1"/>
  <c r="AD24" i="1"/>
  <c r="T24" i="1" s="1"/>
  <c r="AE24" i="1"/>
  <c r="AF24" i="1"/>
  <c r="AH24" i="1"/>
  <c r="K25" i="1"/>
  <c r="L25" i="1"/>
  <c r="M25" i="1"/>
  <c r="N25" i="1" s="1"/>
  <c r="V25" i="1"/>
  <c r="Y25" i="1"/>
  <c r="Z25" i="1"/>
  <c r="AB25" i="1"/>
  <c r="AC25" i="1"/>
  <c r="AD25" i="1"/>
  <c r="AE25" i="1"/>
  <c r="AF25" i="1"/>
  <c r="AH25" i="1"/>
  <c r="K26" i="1"/>
  <c r="L26" i="1"/>
  <c r="M26" i="1"/>
  <c r="N26" i="1" s="1"/>
  <c r="V26" i="1"/>
  <c r="Y26" i="1"/>
  <c r="Z26" i="1"/>
  <c r="AB26" i="1"/>
  <c r="AC26" i="1"/>
  <c r="AD26" i="1"/>
  <c r="T26" i="1" s="1"/>
  <c r="AE26" i="1"/>
  <c r="AF26" i="1"/>
  <c r="AH26" i="1"/>
  <c r="K27" i="1"/>
  <c r="L27" i="1"/>
  <c r="M27" i="1"/>
  <c r="N27" i="1" s="1"/>
  <c r="V27" i="1"/>
  <c r="Y27" i="1"/>
  <c r="Z27" i="1"/>
  <c r="AB27" i="1"/>
  <c r="AC27" i="1"/>
  <c r="AD27" i="1"/>
  <c r="T27" i="1" s="1"/>
  <c r="AE27" i="1"/>
  <c r="AF27" i="1"/>
  <c r="AH27" i="1"/>
  <c r="K28" i="1"/>
  <c r="L28" i="1"/>
  <c r="M28" i="1"/>
  <c r="N28" i="1" s="1"/>
  <c r="V28" i="1"/>
  <c r="S25" i="3" s="1"/>
  <c r="Y28" i="1"/>
  <c r="Z28" i="1"/>
  <c r="AB28" i="1"/>
  <c r="AC28" i="1"/>
  <c r="AD28" i="1"/>
  <c r="X28" i="1" s="1"/>
  <c r="AE28" i="1"/>
  <c r="AF28" i="1"/>
  <c r="AH28" i="1"/>
  <c r="K29" i="1"/>
  <c r="L29" i="1"/>
  <c r="M29" i="1"/>
  <c r="N29" i="1" s="1"/>
  <c r="V29" i="1"/>
  <c r="S36" i="3" s="1"/>
  <c r="Y29" i="1"/>
  <c r="Z29" i="1"/>
  <c r="AB29" i="1"/>
  <c r="AC29" i="1"/>
  <c r="AD29" i="1"/>
  <c r="AE29" i="1"/>
  <c r="R37" i="3" s="1"/>
  <c r="AF29" i="1"/>
  <c r="AH29" i="1"/>
  <c r="K30" i="1"/>
  <c r="L30" i="1"/>
  <c r="M30" i="1"/>
  <c r="N30" i="1" s="1"/>
  <c r="V30" i="1"/>
  <c r="Y30" i="1"/>
  <c r="Z30" i="1"/>
  <c r="AB30" i="1"/>
  <c r="AC30" i="1"/>
  <c r="AD30" i="1"/>
  <c r="T30" i="1" s="1"/>
  <c r="AE30" i="1"/>
  <c r="AF30" i="1"/>
  <c r="AH30" i="1"/>
  <c r="K31" i="1"/>
  <c r="L31" i="1"/>
  <c r="M31" i="1"/>
  <c r="N31" i="1" s="1"/>
  <c r="V31" i="1"/>
  <c r="S14" i="3" s="1"/>
  <c r="Y31" i="1"/>
  <c r="Z31" i="1"/>
  <c r="AB31" i="1"/>
  <c r="AC31" i="1"/>
  <c r="AD31" i="1"/>
  <c r="AE31" i="1"/>
  <c r="R14" i="3" s="1"/>
  <c r="AF31" i="1"/>
  <c r="AH31" i="1"/>
  <c r="K32" i="1"/>
  <c r="L32" i="1"/>
  <c r="M32" i="1"/>
  <c r="N32" i="1" s="1"/>
  <c r="V32" i="1"/>
  <c r="Y32" i="1"/>
  <c r="Z32" i="1"/>
  <c r="AB32" i="1"/>
  <c r="AC32" i="1"/>
  <c r="AD32" i="1"/>
  <c r="T32" i="1" s="1"/>
  <c r="AE32" i="1"/>
  <c r="AF32" i="1"/>
  <c r="AH32" i="1"/>
  <c r="K33" i="1"/>
  <c r="L33" i="1"/>
  <c r="M33" i="1"/>
  <c r="N33" i="1" s="1"/>
  <c r="V33" i="1"/>
  <c r="Y33" i="1"/>
  <c r="Z33" i="1"/>
  <c r="AA33" i="1" s="1"/>
  <c r="W33" i="1" s="1"/>
  <c r="AB33" i="1"/>
  <c r="AC33" i="1"/>
  <c r="AD33" i="1"/>
  <c r="AG33" i="1" s="1"/>
  <c r="AE33" i="1"/>
  <c r="AF33" i="1"/>
  <c r="AH33" i="1"/>
  <c r="K34" i="1"/>
  <c r="L34" i="1"/>
  <c r="M34" i="1"/>
  <c r="N34" i="1" s="1"/>
  <c r="V34" i="1"/>
  <c r="Y34" i="1"/>
  <c r="Z34" i="1"/>
  <c r="AA34" i="1" s="1"/>
  <c r="AB34" i="1"/>
  <c r="AC34" i="1"/>
  <c r="AD34" i="1"/>
  <c r="T34" i="1" s="1"/>
  <c r="AE34" i="1"/>
  <c r="AF34" i="1"/>
  <c r="AH34" i="1"/>
  <c r="K35" i="1"/>
  <c r="L35" i="1"/>
  <c r="M35" i="1"/>
  <c r="N35" i="1" s="1"/>
  <c r="V35" i="1"/>
  <c r="Y35" i="1"/>
  <c r="Z35" i="1"/>
  <c r="AA35" i="1" s="1"/>
  <c r="AB35" i="1"/>
  <c r="AC35" i="1"/>
  <c r="AD35" i="1"/>
  <c r="T35" i="1" s="1"/>
  <c r="AE35" i="1"/>
  <c r="AF35" i="1"/>
  <c r="AH35" i="1"/>
  <c r="K36" i="1"/>
  <c r="L36" i="1"/>
  <c r="M36" i="1"/>
  <c r="N36" i="1" s="1"/>
  <c r="V36" i="1"/>
  <c r="Y36" i="1"/>
  <c r="Z36" i="1"/>
  <c r="AB36" i="1"/>
  <c r="AC36" i="1"/>
  <c r="AD36" i="1"/>
  <c r="T36" i="1" s="1"/>
  <c r="AE36" i="1"/>
  <c r="AF36" i="1"/>
  <c r="AH36" i="1"/>
  <c r="K37" i="1"/>
  <c r="L37" i="1"/>
  <c r="M37" i="1"/>
  <c r="N37" i="1" s="1"/>
  <c r="V37" i="1"/>
  <c r="Y37" i="1"/>
  <c r="Z37" i="1"/>
  <c r="AB37" i="1"/>
  <c r="AC37" i="1"/>
  <c r="AD37" i="1"/>
  <c r="T37" i="1" s="1"/>
  <c r="AE37" i="1"/>
  <c r="AF37" i="1"/>
  <c r="AH37" i="1"/>
  <c r="K38" i="1"/>
  <c r="L38" i="1"/>
  <c r="M38" i="1"/>
  <c r="N38" i="1" s="1"/>
  <c r="V38" i="1"/>
  <c r="Y38" i="1"/>
  <c r="Z38" i="1"/>
  <c r="AB38" i="1"/>
  <c r="AC38" i="1"/>
  <c r="AD38" i="1"/>
  <c r="T38" i="1" s="1"/>
  <c r="AE38" i="1"/>
  <c r="AF38" i="1"/>
  <c r="AH38" i="1"/>
  <c r="K39" i="1"/>
  <c r="L39" i="1"/>
  <c r="M39" i="1"/>
  <c r="N39" i="1" s="1"/>
  <c r="V39" i="1"/>
  <c r="Y39" i="1"/>
  <c r="Z39" i="1"/>
  <c r="AB39" i="1"/>
  <c r="AC39" i="1"/>
  <c r="AD39" i="1"/>
  <c r="AE39" i="1"/>
  <c r="AF39" i="1"/>
  <c r="AH39" i="1"/>
  <c r="K40" i="1"/>
  <c r="L40" i="1"/>
  <c r="M40" i="1"/>
  <c r="N40" i="1" s="1"/>
  <c r="V40" i="1"/>
  <c r="Y40" i="1"/>
  <c r="Z40" i="1"/>
  <c r="AA40" i="1" s="1"/>
  <c r="AB40" i="1"/>
  <c r="AC40" i="1"/>
  <c r="AD40" i="1"/>
  <c r="T40" i="1" s="1"/>
  <c r="AE40" i="1"/>
  <c r="AF40" i="1"/>
  <c r="AH40" i="1"/>
  <c r="K41" i="1"/>
  <c r="L41" i="1"/>
  <c r="M41" i="1"/>
  <c r="N41" i="1" s="1"/>
  <c r="V41" i="1"/>
  <c r="Y41" i="1"/>
  <c r="Z41" i="1"/>
  <c r="AI41" i="1" s="1"/>
  <c r="AB41" i="1"/>
  <c r="AC41" i="1"/>
  <c r="AD41" i="1"/>
  <c r="AG41" i="1" s="1"/>
  <c r="AE41" i="1"/>
  <c r="AF41" i="1"/>
  <c r="AH41" i="1"/>
  <c r="K42" i="1"/>
  <c r="L42" i="1"/>
  <c r="M42" i="1"/>
  <c r="N42" i="1" s="1"/>
  <c r="V42" i="1"/>
  <c r="S26" i="3" s="1"/>
  <c r="Y42" i="1"/>
  <c r="Z42" i="1"/>
  <c r="AB42" i="1"/>
  <c r="AC42" i="1"/>
  <c r="AD42" i="1"/>
  <c r="T42" i="1" s="1"/>
  <c r="AE42" i="1"/>
  <c r="R26" i="3" s="1"/>
  <c r="AF42" i="1"/>
  <c r="AH42" i="1"/>
  <c r="K43" i="1"/>
  <c r="L43" i="1"/>
  <c r="M43" i="1"/>
  <c r="N43" i="1" s="1"/>
  <c r="V43" i="1"/>
  <c r="S38" i="3" s="1"/>
  <c r="Y43" i="1"/>
  <c r="Z43" i="1"/>
  <c r="AB43" i="1"/>
  <c r="AC43" i="1"/>
  <c r="AD43" i="1"/>
  <c r="T43" i="1" s="1"/>
  <c r="AE43" i="1"/>
  <c r="AF43" i="1"/>
  <c r="AH43" i="1"/>
  <c r="K44" i="1"/>
  <c r="L44" i="1"/>
  <c r="M44" i="1"/>
  <c r="N44" i="1" s="1"/>
  <c r="V44" i="1"/>
  <c r="Y44" i="1"/>
  <c r="Z44" i="1"/>
  <c r="AB44" i="1"/>
  <c r="AC44" i="1"/>
  <c r="AD44" i="1"/>
  <c r="T44" i="1" s="1"/>
  <c r="AE44" i="1"/>
  <c r="AF44" i="1"/>
  <c r="AH44" i="1"/>
  <c r="K45" i="1"/>
  <c r="L45" i="1"/>
  <c r="M45" i="1"/>
  <c r="N45" i="1" s="1"/>
  <c r="V45" i="1"/>
  <c r="Y45" i="1"/>
  <c r="Z45" i="1"/>
  <c r="AB45" i="1"/>
  <c r="AC45" i="1"/>
  <c r="AD45" i="1"/>
  <c r="T45" i="1" s="1"/>
  <c r="AE45" i="1"/>
  <c r="AF45" i="1"/>
  <c r="AH45" i="1"/>
  <c r="K46" i="1"/>
  <c r="L46" i="1"/>
  <c r="M46" i="1"/>
  <c r="N46" i="1" s="1"/>
  <c r="V46" i="1"/>
  <c r="S28" i="3" s="1"/>
  <c r="Y46" i="1"/>
  <c r="Z46" i="1"/>
  <c r="AB46" i="1"/>
  <c r="AC46" i="1"/>
  <c r="AD46" i="1"/>
  <c r="T46" i="1" s="1"/>
  <c r="AE46" i="1"/>
  <c r="R27" i="3" s="1"/>
  <c r="AF46" i="1"/>
  <c r="AH46" i="1"/>
  <c r="K47" i="1"/>
  <c r="L47" i="1"/>
  <c r="M47" i="1"/>
  <c r="N47" i="1" s="1"/>
  <c r="V47" i="1"/>
  <c r="Y47" i="1"/>
  <c r="Z47" i="1"/>
  <c r="AB47" i="1"/>
  <c r="AC47" i="1"/>
  <c r="AD47" i="1"/>
  <c r="AE47" i="1"/>
  <c r="AF47" i="1"/>
  <c r="AH47" i="1"/>
  <c r="K48" i="1"/>
  <c r="L48" i="1"/>
  <c r="M48" i="1"/>
  <c r="N48" i="1" s="1"/>
  <c r="V48" i="1"/>
  <c r="Y48" i="1"/>
  <c r="Z48" i="1"/>
  <c r="AA48" i="1" s="1"/>
  <c r="AB48" i="1"/>
  <c r="AC48" i="1"/>
  <c r="AD48" i="1"/>
  <c r="T48" i="1" s="1"/>
  <c r="AE48" i="1"/>
  <c r="AF48" i="1"/>
  <c r="AH48" i="1"/>
  <c r="K49" i="1"/>
  <c r="L49" i="1"/>
  <c r="M49" i="1"/>
  <c r="N49" i="1" s="1"/>
  <c r="V49" i="1"/>
  <c r="Y49" i="1"/>
  <c r="Z49" i="1"/>
  <c r="AB49" i="1"/>
  <c r="AC49" i="1"/>
  <c r="AD49" i="1"/>
  <c r="X49" i="1" s="1"/>
  <c r="AE49" i="1"/>
  <c r="AF49" i="1"/>
  <c r="AH49" i="1"/>
  <c r="K50" i="1"/>
  <c r="L50" i="1"/>
  <c r="M50" i="1"/>
  <c r="N50" i="1" s="1"/>
  <c r="V50" i="1"/>
  <c r="Y50" i="1"/>
  <c r="Z50" i="1"/>
  <c r="AA50" i="1" s="1"/>
  <c r="W50" i="1" s="1"/>
  <c r="AB50" i="1"/>
  <c r="AC50" i="1"/>
  <c r="AD50" i="1"/>
  <c r="AG50" i="1" s="1"/>
  <c r="AE50" i="1"/>
  <c r="AF50" i="1"/>
  <c r="AH50" i="1"/>
  <c r="K51" i="1"/>
  <c r="L51" i="1"/>
  <c r="M51" i="1"/>
  <c r="N51" i="1" s="1"/>
  <c r="V51" i="1"/>
  <c r="Y51" i="1"/>
  <c r="Z51" i="1"/>
  <c r="AA51" i="1" s="1"/>
  <c r="AB51" i="1"/>
  <c r="AC51" i="1"/>
  <c r="AD51" i="1"/>
  <c r="T51" i="1" s="1"/>
  <c r="AE51" i="1"/>
  <c r="R8" i="3" s="1"/>
  <c r="AF51" i="1"/>
  <c r="AH51" i="1"/>
  <c r="K52" i="1"/>
  <c r="L52" i="1"/>
  <c r="M52" i="1"/>
  <c r="N52" i="1" s="1"/>
  <c r="V52" i="1"/>
  <c r="Y52" i="1"/>
  <c r="Z52" i="1"/>
  <c r="AA52" i="1" s="1"/>
  <c r="AB52" i="1"/>
  <c r="AC52" i="1"/>
  <c r="AD52" i="1"/>
  <c r="T52" i="1" s="1"/>
  <c r="AE52" i="1"/>
  <c r="AF52" i="1"/>
  <c r="AH52" i="1"/>
  <c r="K53" i="1"/>
  <c r="L53" i="1"/>
  <c r="M53" i="1"/>
  <c r="N53" i="1" s="1"/>
  <c r="V53" i="1"/>
  <c r="S7" i="3" s="1"/>
  <c r="Y53" i="1"/>
  <c r="Z53" i="1"/>
  <c r="AB53" i="1"/>
  <c r="AC53" i="1"/>
  <c r="AD53" i="1"/>
  <c r="AG53" i="1" s="1"/>
  <c r="AE53" i="1"/>
  <c r="R7" i="3" s="1"/>
  <c r="AF53" i="1"/>
  <c r="AH53" i="1"/>
  <c r="K54" i="1"/>
  <c r="L54" i="1"/>
  <c r="M54" i="1"/>
  <c r="N54" i="1" s="1"/>
  <c r="V54" i="1"/>
  <c r="S30" i="3" s="1"/>
  <c r="Y54" i="1"/>
  <c r="Z54" i="1"/>
  <c r="AB54" i="1"/>
  <c r="AC54" i="1"/>
  <c r="AD54" i="1"/>
  <c r="AE54" i="1"/>
  <c r="R30" i="3" s="1"/>
  <c r="AF54" i="1"/>
  <c r="AH54" i="1"/>
  <c r="K55" i="1"/>
  <c r="L55" i="1"/>
  <c r="M55" i="1"/>
  <c r="N55" i="1" s="1"/>
  <c r="V55" i="1"/>
  <c r="Y55" i="1"/>
  <c r="Z55" i="1"/>
  <c r="AB55" i="1"/>
  <c r="AC55" i="1"/>
  <c r="AD55" i="1"/>
  <c r="T55" i="1" s="1"/>
  <c r="AE55" i="1"/>
  <c r="AF55" i="1"/>
  <c r="AH55" i="1"/>
  <c r="K56" i="1"/>
  <c r="L56" i="1"/>
  <c r="M56" i="1"/>
  <c r="N56" i="1" s="1"/>
  <c r="V56" i="1"/>
  <c r="Y56" i="1"/>
  <c r="Z56" i="1"/>
  <c r="AB56" i="1"/>
  <c r="AC56" i="1"/>
  <c r="AD56" i="1"/>
  <c r="T56" i="1" s="1"/>
  <c r="AE56" i="1"/>
  <c r="AF56" i="1"/>
  <c r="AH56" i="1"/>
  <c r="K57" i="1"/>
  <c r="L57" i="1"/>
  <c r="M57" i="1"/>
  <c r="N57" i="1" s="1"/>
  <c r="V57" i="1"/>
  <c r="S39" i="3" s="1"/>
  <c r="Y57" i="1"/>
  <c r="Z57" i="1"/>
  <c r="AB57" i="1"/>
  <c r="AC57" i="1"/>
  <c r="AD57" i="1"/>
  <c r="AG57" i="1" s="1"/>
  <c r="AE57" i="1"/>
  <c r="R39" i="3" s="1"/>
  <c r="AF57" i="1"/>
  <c r="AH57" i="1"/>
  <c r="K58" i="1"/>
  <c r="L58" i="1"/>
  <c r="M58" i="1"/>
  <c r="N58" i="1" s="1"/>
  <c r="V58" i="1"/>
  <c r="S10" i="3" s="1"/>
  <c r="Y58" i="1"/>
  <c r="Z58" i="1"/>
  <c r="AB58" i="1"/>
  <c r="AC58" i="1"/>
  <c r="AD58" i="1"/>
  <c r="AE58" i="1"/>
  <c r="R10" i="3" s="1"/>
  <c r="AF58" i="1"/>
  <c r="AH58" i="1"/>
  <c r="K59" i="1"/>
  <c r="L59" i="1"/>
  <c r="M59" i="1"/>
  <c r="N59" i="1" s="1"/>
  <c r="V59" i="1"/>
  <c r="Y59" i="1"/>
  <c r="Z59" i="1"/>
  <c r="AB59" i="1"/>
  <c r="AC59" i="1"/>
  <c r="AD59" i="1"/>
  <c r="T59" i="1" s="1"/>
  <c r="AE59" i="1"/>
  <c r="AF59" i="1"/>
  <c r="AH59" i="1"/>
  <c r="K60" i="1"/>
  <c r="L60" i="1"/>
  <c r="M60" i="1"/>
  <c r="N60" i="1" s="1"/>
  <c r="V60" i="1"/>
  <c r="S11" i="3" s="1"/>
  <c r="Y60" i="1"/>
  <c r="Z60" i="1"/>
  <c r="AB60" i="1"/>
  <c r="AC60" i="1"/>
  <c r="AD60" i="1"/>
  <c r="T60" i="1" s="1"/>
  <c r="AE60" i="1"/>
  <c r="AF60" i="1"/>
  <c r="AH60" i="1"/>
  <c r="K61" i="1"/>
  <c r="L61" i="1"/>
  <c r="M61" i="1"/>
  <c r="N61" i="1" s="1"/>
  <c r="V61" i="1"/>
  <c r="Y61" i="1"/>
  <c r="Z61" i="1"/>
  <c r="AB61" i="1"/>
  <c r="AC61" i="1"/>
  <c r="AD61" i="1"/>
  <c r="AG61" i="1" s="1"/>
  <c r="AE61" i="1"/>
  <c r="AF61" i="1"/>
  <c r="AH61" i="1"/>
  <c r="K62" i="1"/>
  <c r="L62" i="1"/>
  <c r="M62" i="1"/>
  <c r="N62" i="1" s="1"/>
  <c r="V62" i="1"/>
  <c r="Y62" i="1"/>
  <c r="Z62" i="1"/>
  <c r="AB62" i="1"/>
  <c r="AC62" i="1"/>
  <c r="AD62" i="1"/>
  <c r="X62" i="1" s="1"/>
  <c r="AE62" i="1"/>
  <c r="AF62" i="1"/>
  <c r="AH62" i="1"/>
  <c r="K63" i="1"/>
  <c r="L63" i="1"/>
  <c r="M63" i="1"/>
  <c r="N63" i="1" s="1"/>
  <c r="V63" i="1"/>
  <c r="Y63" i="1"/>
  <c r="Z63" i="1"/>
  <c r="AB63" i="1"/>
  <c r="AC63" i="1"/>
  <c r="AD63" i="1"/>
  <c r="T63" i="1" s="1"/>
  <c r="AE63" i="1"/>
  <c r="AF63" i="1"/>
  <c r="AH63" i="1"/>
  <c r="K64" i="1"/>
  <c r="L64" i="1"/>
  <c r="M64" i="1"/>
  <c r="N64" i="1" s="1"/>
  <c r="V64" i="1"/>
  <c r="Y64" i="1"/>
  <c r="Z64" i="1"/>
  <c r="AB64" i="1"/>
  <c r="AC64" i="1"/>
  <c r="AD64" i="1"/>
  <c r="AE64" i="1"/>
  <c r="AF64" i="1"/>
  <c r="AH64" i="1"/>
  <c r="K65" i="1"/>
  <c r="L65" i="1"/>
  <c r="M65" i="1"/>
  <c r="N65" i="1" s="1"/>
  <c r="V65" i="1"/>
  <c r="S40" i="3" s="1"/>
  <c r="Y65" i="1"/>
  <c r="Z65" i="1"/>
  <c r="AB65" i="1"/>
  <c r="AC65" i="1"/>
  <c r="AD65" i="1"/>
  <c r="T65" i="1" s="1"/>
  <c r="AE65" i="1"/>
  <c r="AF65" i="1"/>
  <c r="AH65" i="1"/>
  <c r="K66" i="1"/>
  <c r="L66" i="1"/>
  <c r="M66" i="1"/>
  <c r="N66" i="1" s="1"/>
  <c r="V66" i="1"/>
  <c r="S16" i="3" s="1"/>
  <c r="Y66" i="1"/>
  <c r="Z66" i="1"/>
  <c r="AB66" i="1"/>
  <c r="AC66" i="1"/>
  <c r="AD66" i="1"/>
  <c r="AG66" i="1" s="1"/>
  <c r="AE66" i="1"/>
  <c r="R16" i="3" s="1"/>
  <c r="AF66" i="1"/>
  <c r="AH66" i="1"/>
  <c r="K67" i="1"/>
  <c r="L67" i="1"/>
  <c r="M67" i="1"/>
  <c r="N67" i="1" s="1"/>
  <c r="V67" i="1"/>
  <c r="Y67" i="1"/>
  <c r="Z67" i="1"/>
  <c r="AB67" i="1"/>
  <c r="AC67" i="1"/>
  <c r="AD67" i="1"/>
  <c r="T67" i="1" s="1"/>
  <c r="AE67" i="1"/>
  <c r="AF67" i="1"/>
  <c r="AH67" i="1"/>
  <c r="K68" i="1"/>
  <c r="L68" i="1"/>
  <c r="M68" i="1"/>
  <c r="N68" i="1" s="1"/>
  <c r="V68" i="1"/>
  <c r="S12" i="3" s="1"/>
  <c r="Y68" i="1"/>
  <c r="Z68" i="1"/>
  <c r="AB68" i="1"/>
  <c r="AC68" i="1"/>
  <c r="AD68" i="1"/>
  <c r="T68" i="1" s="1"/>
  <c r="AE68" i="1"/>
  <c r="R19" i="3" s="1"/>
  <c r="AF68" i="1"/>
  <c r="AH68" i="1"/>
  <c r="K69" i="1"/>
  <c r="L69" i="1"/>
  <c r="M69" i="1"/>
  <c r="N69" i="1" s="1"/>
  <c r="V69" i="1"/>
  <c r="Y69" i="1"/>
  <c r="Z69" i="1"/>
  <c r="AB69" i="1"/>
  <c r="AC69" i="1"/>
  <c r="AD69" i="1"/>
  <c r="T69" i="1" s="1"/>
  <c r="AE69" i="1"/>
  <c r="AF69" i="1"/>
  <c r="AH69" i="1"/>
  <c r="K70" i="1"/>
  <c r="L70" i="1"/>
  <c r="M70" i="1"/>
  <c r="N70" i="1" s="1"/>
  <c r="V70" i="1"/>
  <c r="Y70" i="1"/>
  <c r="Z70" i="1"/>
  <c r="AB70" i="1"/>
  <c r="AC70" i="1"/>
  <c r="AD70" i="1"/>
  <c r="AE70" i="1"/>
  <c r="AF70" i="1"/>
  <c r="AH70" i="1"/>
  <c r="K71" i="1"/>
  <c r="L71" i="1"/>
  <c r="M71" i="1"/>
  <c r="N71" i="1" s="1"/>
  <c r="V71" i="1"/>
  <c r="Y71" i="1"/>
  <c r="Z71" i="1"/>
  <c r="AB71" i="1"/>
  <c r="AC71" i="1"/>
  <c r="AD71" i="1"/>
  <c r="T71" i="1" s="1"/>
  <c r="AE71" i="1"/>
  <c r="AF71" i="1"/>
  <c r="AH71" i="1"/>
  <c r="K72" i="1"/>
  <c r="L72" i="1"/>
  <c r="M72" i="1"/>
  <c r="N72" i="1" s="1"/>
  <c r="V72" i="1"/>
  <c r="Y72" i="1"/>
  <c r="Z72" i="1"/>
  <c r="AB72" i="1"/>
  <c r="AC72" i="1"/>
  <c r="AD72" i="1"/>
  <c r="AE72" i="1"/>
  <c r="AF72" i="1"/>
  <c r="AH72" i="1"/>
  <c r="K73" i="1"/>
  <c r="L73" i="1"/>
  <c r="M73" i="1"/>
  <c r="N73" i="1" s="1"/>
  <c r="V73" i="1"/>
  <c r="Y73" i="1"/>
  <c r="Z73" i="1"/>
  <c r="AB73" i="1"/>
  <c r="AC73" i="1"/>
  <c r="AD73" i="1"/>
  <c r="AE73" i="1"/>
  <c r="AF73" i="1"/>
  <c r="AH73" i="1"/>
  <c r="K74" i="1"/>
  <c r="L74" i="1"/>
  <c r="M74" i="1"/>
  <c r="N74" i="1" s="1"/>
  <c r="V74" i="1"/>
  <c r="Y74" i="1"/>
  <c r="Z74" i="1"/>
  <c r="AA74" i="1" s="1"/>
  <c r="AB74" i="1"/>
  <c r="AC74" i="1"/>
  <c r="AD74" i="1"/>
  <c r="AG74" i="1" s="1"/>
  <c r="AE74" i="1"/>
  <c r="AF74" i="1"/>
  <c r="AH74" i="1"/>
  <c r="K75" i="1"/>
  <c r="L75" i="1"/>
  <c r="M75" i="1"/>
  <c r="P75" i="1" s="1"/>
  <c r="V75" i="1"/>
  <c r="Y75" i="1"/>
  <c r="Z75" i="1"/>
  <c r="AB75" i="1"/>
  <c r="AC75" i="1"/>
  <c r="AD75" i="1"/>
  <c r="T75" i="1" s="1"/>
  <c r="AE75" i="1"/>
  <c r="AF75" i="1"/>
  <c r="AH75" i="1"/>
  <c r="K76" i="1"/>
  <c r="L76" i="1"/>
  <c r="M76" i="1"/>
  <c r="N76" i="1" s="1"/>
  <c r="V76" i="1"/>
  <c r="Y76" i="1"/>
  <c r="Z76" i="1"/>
  <c r="AB76" i="1"/>
  <c r="AC76" i="1"/>
  <c r="AD76" i="1"/>
  <c r="AG76" i="1" s="1"/>
  <c r="AE76" i="1"/>
  <c r="AF76" i="1"/>
  <c r="AH76" i="1"/>
  <c r="K77" i="1"/>
  <c r="L77" i="1"/>
  <c r="M77" i="1"/>
  <c r="N77" i="1" s="1"/>
  <c r="V77" i="1"/>
  <c r="Y77" i="1"/>
  <c r="Z77" i="1"/>
  <c r="AB77" i="1"/>
  <c r="AC77" i="1"/>
  <c r="AD77" i="1"/>
  <c r="T77" i="1" s="1"/>
  <c r="AE77" i="1"/>
  <c r="AF77" i="1"/>
  <c r="AH77" i="1"/>
  <c r="K78" i="1"/>
  <c r="L78" i="1"/>
  <c r="M78" i="1"/>
  <c r="N78" i="1" s="1"/>
  <c r="V78" i="1"/>
  <c r="Y78" i="1"/>
  <c r="Z78" i="1"/>
  <c r="AB78" i="1"/>
  <c r="AC78" i="1"/>
  <c r="AD78" i="1"/>
  <c r="T78" i="1" s="1"/>
  <c r="AE78" i="1"/>
  <c r="AF78" i="1"/>
  <c r="AH78" i="1"/>
  <c r="K79" i="1"/>
  <c r="L79" i="1"/>
  <c r="M79" i="1"/>
  <c r="N79" i="1" s="1"/>
  <c r="V79" i="1"/>
  <c r="Y79" i="1"/>
  <c r="Z79" i="1"/>
  <c r="AB79" i="1"/>
  <c r="AC79" i="1"/>
  <c r="AD79" i="1"/>
  <c r="T79" i="1" s="1"/>
  <c r="AE79" i="1"/>
  <c r="AF79" i="1"/>
  <c r="AH79" i="1"/>
  <c r="K80" i="1"/>
  <c r="L80" i="1"/>
  <c r="M80" i="1"/>
  <c r="N80" i="1" s="1"/>
  <c r="V80" i="1"/>
  <c r="Y80" i="1"/>
  <c r="Z80" i="1"/>
  <c r="AB80" i="1"/>
  <c r="AC80" i="1"/>
  <c r="AD80" i="1"/>
  <c r="X80" i="1" s="1"/>
  <c r="AE80" i="1"/>
  <c r="AF80" i="1"/>
  <c r="AH80" i="1"/>
  <c r="K81" i="1"/>
  <c r="L81" i="1"/>
  <c r="M81" i="1"/>
  <c r="N81" i="1" s="1"/>
  <c r="V81" i="1"/>
  <c r="S29" i="3" s="1"/>
  <c r="Y81" i="1"/>
  <c r="Z81" i="1"/>
  <c r="AB81" i="1"/>
  <c r="AC81" i="1"/>
  <c r="AD81" i="1"/>
  <c r="AE81" i="1"/>
  <c r="R29" i="3" s="1"/>
  <c r="AF81" i="1"/>
  <c r="AH81" i="1"/>
  <c r="K82" i="1"/>
  <c r="L82" i="1"/>
  <c r="M82" i="1"/>
  <c r="N82" i="1" s="1"/>
  <c r="V82" i="1"/>
  <c r="Y82" i="1"/>
  <c r="Z82" i="1"/>
  <c r="AB82" i="1"/>
  <c r="AC82" i="1"/>
  <c r="AD82" i="1"/>
  <c r="AE82" i="1"/>
  <c r="AF82" i="1"/>
  <c r="AH82" i="1"/>
  <c r="K83" i="1"/>
  <c r="L83" i="1"/>
  <c r="M83" i="1"/>
  <c r="N83" i="1" s="1"/>
  <c r="V83" i="1"/>
  <c r="S17" i="3" s="1"/>
  <c r="Y83" i="1"/>
  <c r="Z83" i="1"/>
  <c r="AB83" i="1"/>
  <c r="AC83" i="1"/>
  <c r="AD83" i="1"/>
  <c r="AE83" i="1"/>
  <c r="R17" i="3" s="1"/>
  <c r="AF83" i="1"/>
  <c r="AH83" i="1"/>
  <c r="K84" i="1"/>
  <c r="L84" i="1"/>
  <c r="M84" i="1"/>
  <c r="N84" i="1" s="1"/>
  <c r="V84" i="1"/>
  <c r="Y84" i="1"/>
  <c r="Z84" i="1"/>
  <c r="AB84" i="1"/>
  <c r="AC84" i="1"/>
  <c r="AD84" i="1"/>
  <c r="T84" i="1" s="1"/>
  <c r="AE84" i="1"/>
  <c r="AF84" i="1"/>
  <c r="AH84" i="1"/>
  <c r="K85" i="1"/>
  <c r="L85" i="1"/>
  <c r="M85" i="1"/>
  <c r="N85" i="1" s="1"/>
  <c r="V85" i="1"/>
  <c r="Y85" i="1"/>
  <c r="Z85" i="1"/>
  <c r="AB85" i="1"/>
  <c r="AC85" i="1"/>
  <c r="AD85" i="1"/>
  <c r="AE85" i="1"/>
  <c r="AF85" i="1"/>
  <c r="AH85" i="1"/>
  <c r="K86" i="1"/>
  <c r="L86" i="1"/>
  <c r="M86" i="1"/>
  <c r="N86" i="1" s="1"/>
  <c r="V86" i="1"/>
  <c r="Y86" i="1"/>
  <c r="Z86" i="1"/>
  <c r="AB86" i="1"/>
  <c r="AC86" i="1"/>
  <c r="AD86" i="1"/>
  <c r="AG86" i="1" s="1"/>
  <c r="AE86" i="1"/>
  <c r="AF86" i="1"/>
  <c r="AH86" i="1"/>
  <c r="K87" i="1"/>
  <c r="L87" i="1"/>
  <c r="M87" i="1"/>
  <c r="N87" i="1" s="1"/>
  <c r="V87" i="1"/>
  <c r="Y87" i="1"/>
  <c r="Z87" i="1"/>
  <c r="AB87" i="1"/>
  <c r="AC87" i="1"/>
  <c r="AD87" i="1"/>
  <c r="AG87" i="1" s="1"/>
  <c r="AE87" i="1"/>
  <c r="AF87" i="1"/>
  <c r="AH87" i="1"/>
  <c r="K88" i="1"/>
  <c r="L88" i="1"/>
  <c r="M88" i="1"/>
  <c r="N88" i="1" s="1"/>
  <c r="V88" i="1"/>
  <c r="Y88" i="1"/>
  <c r="Z88" i="1"/>
  <c r="AB88" i="1"/>
  <c r="AC88" i="1"/>
  <c r="AD88" i="1"/>
  <c r="AG88" i="1" s="1"/>
  <c r="AE88" i="1"/>
  <c r="AF88" i="1"/>
  <c r="AH88" i="1"/>
  <c r="K89" i="1"/>
  <c r="L89" i="1"/>
  <c r="M89" i="1"/>
  <c r="N89" i="1" s="1"/>
  <c r="V89" i="1"/>
  <c r="Y89" i="1"/>
  <c r="Z89" i="1"/>
  <c r="AB89" i="1"/>
  <c r="AC89" i="1"/>
  <c r="AD89" i="1"/>
  <c r="T89" i="1" s="1"/>
  <c r="AE89" i="1"/>
  <c r="AF89" i="1"/>
  <c r="AH89" i="1"/>
  <c r="K90" i="1"/>
  <c r="L90" i="1"/>
  <c r="M90" i="1"/>
  <c r="N90" i="1" s="1"/>
  <c r="V90" i="1"/>
  <c r="Y90" i="1"/>
  <c r="Z90" i="1"/>
  <c r="AB90" i="1"/>
  <c r="AC90" i="1"/>
  <c r="AD90" i="1"/>
  <c r="T90" i="1" s="1"/>
  <c r="AE90" i="1"/>
  <c r="AF90" i="1"/>
  <c r="AH90" i="1"/>
  <c r="K91" i="1"/>
  <c r="L91" i="1"/>
  <c r="M91" i="1"/>
  <c r="N91" i="1" s="1"/>
  <c r="V91" i="1"/>
  <c r="Y91" i="1"/>
  <c r="Z91" i="1"/>
  <c r="AA91" i="1" s="1"/>
  <c r="AB91" i="1"/>
  <c r="AC91" i="1"/>
  <c r="AD91" i="1"/>
  <c r="AE91" i="1"/>
  <c r="AF91" i="1"/>
  <c r="AH91" i="1"/>
  <c r="K92" i="1"/>
  <c r="L92" i="1"/>
  <c r="M92" i="1"/>
  <c r="N92" i="1" s="1"/>
  <c r="V92" i="1"/>
  <c r="Y92" i="1"/>
  <c r="Z92" i="1"/>
  <c r="AB92" i="1"/>
  <c r="AC92" i="1"/>
  <c r="AD92" i="1"/>
  <c r="AG92" i="1" s="1"/>
  <c r="AE92" i="1"/>
  <c r="AF92" i="1"/>
  <c r="AH92" i="1"/>
  <c r="K93" i="1"/>
  <c r="L93" i="1"/>
  <c r="M93" i="1"/>
  <c r="N93" i="1" s="1"/>
  <c r="V93" i="1"/>
  <c r="Y93" i="1"/>
  <c r="Z93" i="1"/>
  <c r="AB93" i="1"/>
  <c r="AC93" i="1"/>
  <c r="AD93" i="1"/>
  <c r="T93" i="1" s="1"/>
  <c r="AE93" i="1"/>
  <c r="AF93" i="1"/>
  <c r="AH93" i="1"/>
  <c r="K94" i="1"/>
  <c r="L94" i="1"/>
  <c r="M94" i="1"/>
  <c r="N94" i="1" s="1"/>
  <c r="V94" i="1"/>
  <c r="Y94" i="1"/>
  <c r="Z94" i="1"/>
  <c r="AB94" i="1"/>
  <c r="AC94" i="1"/>
  <c r="AD94" i="1"/>
  <c r="T94" i="1" s="1"/>
  <c r="AE94" i="1"/>
  <c r="AF94" i="1"/>
  <c r="AH94" i="1"/>
  <c r="K95" i="1"/>
  <c r="L95" i="1"/>
  <c r="M95" i="1"/>
  <c r="N95" i="1" s="1"/>
  <c r="V95" i="1"/>
  <c r="Y95" i="1"/>
  <c r="Z95" i="1"/>
  <c r="AB95" i="1"/>
  <c r="AC95" i="1"/>
  <c r="AD95" i="1"/>
  <c r="AG95" i="1" s="1"/>
  <c r="AE95" i="1"/>
  <c r="AF95" i="1"/>
  <c r="AH95" i="1"/>
  <c r="K96" i="1"/>
  <c r="L96" i="1"/>
  <c r="M96" i="1"/>
  <c r="N96" i="1" s="1"/>
  <c r="V96" i="1"/>
  <c r="Y96" i="1"/>
  <c r="Z96" i="1"/>
  <c r="AA96" i="1" s="1"/>
  <c r="AB96" i="1"/>
  <c r="AC96" i="1"/>
  <c r="AD96" i="1"/>
  <c r="AG96" i="1" s="1"/>
  <c r="AE96" i="1"/>
  <c r="AF96" i="1"/>
  <c r="AH96" i="1"/>
  <c r="K97" i="1"/>
  <c r="L97" i="1"/>
  <c r="M97" i="1"/>
  <c r="N97" i="1" s="1"/>
  <c r="V97" i="1"/>
  <c r="Y97" i="1"/>
  <c r="Z97" i="1"/>
  <c r="AA97" i="1" s="1"/>
  <c r="AB97" i="1"/>
  <c r="AC97" i="1"/>
  <c r="AD97" i="1"/>
  <c r="T97" i="1" s="1"/>
  <c r="AE97" i="1"/>
  <c r="AF97" i="1"/>
  <c r="AH97" i="1"/>
  <c r="K98" i="1"/>
  <c r="L98" i="1"/>
  <c r="M98" i="1"/>
  <c r="N98" i="1" s="1"/>
  <c r="V98" i="1"/>
  <c r="Y98" i="1"/>
  <c r="Z98" i="1"/>
  <c r="AB98" i="1"/>
  <c r="AC98" i="1"/>
  <c r="AD98" i="1"/>
  <c r="T98" i="1" s="1"/>
  <c r="AE98" i="1"/>
  <c r="AF98" i="1"/>
  <c r="AH98" i="1"/>
  <c r="K99" i="1"/>
  <c r="L99" i="1"/>
  <c r="M99" i="1"/>
  <c r="N99" i="1" s="1"/>
  <c r="V99" i="1"/>
  <c r="Y99" i="1"/>
  <c r="Z99" i="1"/>
  <c r="AB99" i="1"/>
  <c r="AC99" i="1"/>
  <c r="AD99" i="1"/>
  <c r="AG99" i="1" s="1"/>
  <c r="AE99" i="1"/>
  <c r="AF99" i="1"/>
  <c r="AH99" i="1"/>
  <c r="K100" i="1"/>
  <c r="L100" i="1"/>
  <c r="M100" i="1"/>
  <c r="N100" i="1" s="1"/>
  <c r="V100" i="1"/>
  <c r="S32" i="3" s="1"/>
  <c r="Y100" i="1"/>
  <c r="Z100" i="1"/>
  <c r="AB100" i="1"/>
  <c r="AC100" i="1"/>
  <c r="AD100" i="1"/>
  <c r="T100" i="1" s="1"/>
  <c r="AE100" i="1"/>
  <c r="R32" i="3" s="1"/>
  <c r="AF100" i="1"/>
  <c r="AH100" i="1"/>
  <c r="K101" i="1"/>
  <c r="L101" i="1"/>
  <c r="M101" i="1"/>
  <c r="N101" i="1" s="1"/>
  <c r="V101" i="1"/>
  <c r="Y101" i="1"/>
  <c r="Z101" i="1"/>
  <c r="AB101" i="1"/>
  <c r="AC101" i="1"/>
  <c r="AD101" i="1"/>
  <c r="AG101" i="1" s="1"/>
  <c r="AE101" i="1"/>
  <c r="AF101" i="1"/>
  <c r="AH101" i="1"/>
  <c r="K102" i="1"/>
  <c r="L102" i="1"/>
  <c r="M102" i="1"/>
  <c r="N102" i="1" s="1"/>
  <c r="V102" i="1"/>
  <c r="Y102" i="1"/>
  <c r="Z102" i="1"/>
  <c r="AB102" i="1"/>
  <c r="AC102" i="1"/>
  <c r="AD102" i="1"/>
  <c r="AG102" i="1" s="1"/>
  <c r="AE102" i="1"/>
  <c r="AF102" i="1"/>
  <c r="AH102" i="1"/>
  <c r="K103" i="1"/>
  <c r="L103" i="1"/>
  <c r="M103" i="1"/>
  <c r="N103" i="1" s="1"/>
  <c r="V103" i="1"/>
  <c r="Y103" i="1"/>
  <c r="Z103" i="1"/>
  <c r="AB103" i="1"/>
  <c r="AC103" i="1"/>
  <c r="AD103" i="1"/>
  <c r="AG103" i="1" s="1"/>
  <c r="AE103" i="1"/>
  <c r="AF103" i="1"/>
  <c r="AH103" i="1"/>
  <c r="K104" i="1"/>
  <c r="L104" i="1"/>
  <c r="M104" i="1"/>
  <c r="N104" i="1" s="1"/>
  <c r="V104" i="1"/>
  <c r="Y104" i="1"/>
  <c r="Z104" i="1"/>
  <c r="AB104" i="1"/>
  <c r="AC104" i="1"/>
  <c r="AD104" i="1"/>
  <c r="T104" i="1" s="1"/>
  <c r="AE104" i="1"/>
  <c r="AF104" i="1"/>
  <c r="AH104" i="1"/>
  <c r="K105" i="1"/>
  <c r="L105" i="1"/>
  <c r="M105" i="1"/>
  <c r="N105" i="1" s="1"/>
  <c r="V105" i="1"/>
  <c r="Y105" i="1"/>
  <c r="Z105" i="1"/>
  <c r="AB105" i="1"/>
  <c r="AC105" i="1"/>
  <c r="AD105" i="1"/>
  <c r="T105" i="1" s="1"/>
  <c r="AE105" i="1"/>
  <c r="AF105" i="1"/>
  <c r="AH105" i="1"/>
  <c r="K106" i="1"/>
  <c r="L106" i="1"/>
  <c r="M106" i="1"/>
  <c r="N106" i="1" s="1"/>
  <c r="V106" i="1"/>
  <c r="Y106" i="1"/>
  <c r="Z106" i="1"/>
  <c r="AA106" i="1" s="1"/>
  <c r="AB106" i="1"/>
  <c r="AC106" i="1"/>
  <c r="AD106" i="1"/>
  <c r="AG106" i="1" s="1"/>
  <c r="AE106" i="1"/>
  <c r="AF106" i="1"/>
  <c r="AH106" i="1"/>
  <c r="K107" i="1"/>
  <c r="L107" i="1"/>
  <c r="M107" i="1"/>
  <c r="N107" i="1" s="1"/>
  <c r="V107" i="1"/>
  <c r="Y107" i="1"/>
  <c r="Z107" i="1"/>
  <c r="AB107" i="1"/>
  <c r="AC107" i="1"/>
  <c r="AD107" i="1"/>
  <c r="AG107" i="1" s="1"/>
  <c r="AE107" i="1"/>
  <c r="AF107" i="1"/>
  <c r="AH107" i="1"/>
  <c r="K108" i="1"/>
  <c r="L108" i="1"/>
  <c r="M108" i="1"/>
  <c r="P108" i="1" s="1"/>
  <c r="V108" i="1"/>
  <c r="Y108" i="1"/>
  <c r="Z108" i="1"/>
  <c r="AB108" i="1"/>
  <c r="AC108" i="1"/>
  <c r="AD108" i="1"/>
  <c r="T108" i="1" s="1"/>
  <c r="AE108" i="1"/>
  <c r="AF108" i="1"/>
  <c r="AH108" i="1"/>
  <c r="K109" i="1"/>
  <c r="L109" i="1"/>
  <c r="M109" i="1"/>
  <c r="N109" i="1" s="1"/>
  <c r="V109" i="1"/>
  <c r="Y109" i="1"/>
  <c r="Z109" i="1"/>
  <c r="AB109" i="1"/>
  <c r="AC109" i="1"/>
  <c r="AD109" i="1"/>
  <c r="T109" i="1" s="1"/>
  <c r="AE109" i="1"/>
  <c r="AF109" i="1"/>
  <c r="AH109" i="1"/>
  <c r="K111" i="1"/>
  <c r="L111" i="1"/>
  <c r="M111" i="1"/>
  <c r="N111" i="1" s="1"/>
  <c r="V111" i="1"/>
  <c r="Y111" i="1"/>
  <c r="Z111" i="1"/>
  <c r="AB111" i="1"/>
  <c r="AC111" i="1"/>
  <c r="AD111" i="1"/>
  <c r="AG111" i="1" s="1"/>
  <c r="AE111" i="1"/>
  <c r="AF111" i="1"/>
  <c r="AH111" i="1"/>
  <c r="K112" i="1"/>
  <c r="L112" i="1"/>
  <c r="M112" i="1"/>
  <c r="N112" i="1" s="1"/>
  <c r="V112" i="1"/>
  <c r="Y112" i="1"/>
  <c r="Z112" i="1"/>
  <c r="AB112" i="1"/>
  <c r="AC112" i="1"/>
  <c r="AD112" i="1"/>
  <c r="AG112" i="1" s="1"/>
  <c r="AE112" i="1"/>
  <c r="AF112" i="1"/>
  <c r="AH112" i="1"/>
  <c r="K113" i="1"/>
  <c r="L113" i="1"/>
  <c r="M113" i="1"/>
  <c r="N113" i="1" s="1"/>
  <c r="V113" i="1"/>
  <c r="Y113" i="1"/>
  <c r="Z113" i="1"/>
  <c r="AB113" i="1"/>
  <c r="AC113" i="1"/>
  <c r="AD113" i="1"/>
  <c r="T113" i="1" s="1"/>
  <c r="AE113" i="1"/>
  <c r="AF113" i="1"/>
  <c r="AH113" i="1"/>
  <c r="K114" i="1"/>
  <c r="L114" i="1"/>
  <c r="M114" i="1"/>
  <c r="N114" i="1" s="1"/>
  <c r="V114" i="1"/>
  <c r="Y114" i="1"/>
  <c r="Z114" i="1"/>
  <c r="AB114" i="1"/>
  <c r="AC114" i="1"/>
  <c r="AD114" i="1"/>
  <c r="AE114" i="1"/>
  <c r="AF114" i="1"/>
  <c r="AH114" i="1"/>
  <c r="K115" i="1"/>
  <c r="L115" i="1"/>
  <c r="M115" i="1"/>
  <c r="N115" i="1" s="1"/>
  <c r="V115" i="1"/>
  <c r="Y115" i="1"/>
  <c r="Z115" i="1"/>
  <c r="AB115" i="1"/>
  <c r="AC115" i="1"/>
  <c r="AD115" i="1"/>
  <c r="T115" i="1" s="1"/>
  <c r="AE115" i="1"/>
  <c r="AF115" i="1"/>
  <c r="AH115" i="1"/>
  <c r="K116" i="1"/>
  <c r="L116" i="1"/>
  <c r="M116" i="1"/>
  <c r="N116" i="1" s="1"/>
  <c r="V116" i="1"/>
  <c r="Y116" i="1"/>
  <c r="Z116" i="1"/>
  <c r="AB116" i="1"/>
  <c r="AC116" i="1"/>
  <c r="AD116" i="1"/>
  <c r="AE116" i="1"/>
  <c r="AF116" i="1"/>
  <c r="AH116" i="1"/>
  <c r="K117" i="1"/>
  <c r="L117" i="1"/>
  <c r="M117" i="1"/>
  <c r="N117" i="1" s="1"/>
  <c r="V117" i="1"/>
  <c r="S13" i="3" s="1"/>
  <c r="Y117" i="1"/>
  <c r="Z117" i="1"/>
  <c r="AB117" i="1"/>
  <c r="AC117" i="1"/>
  <c r="AD117" i="1"/>
  <c r="AE117" i="1"/>
  <c r="R13" i="3" s="1"/>
  <c r="AF117" i="1"/>
  <c r="AH117" i="1"/>
  <c r="K118" i="1"/>
  <c r="L118" i="1"/>
  <c r="M118" i="1"/>
  <c r="N118" i="1" s="1"/>
  <c r="V118" i="1"/>
  <c r="Y118" i="1"/>
  <c r="Z118" i="1"/>
  <c r="AB118" i="1"/>
  <c r="AC118" i="1"/>
  <c r="AD118" i="1"/>
  <c r="T118" i="1" s="1"/>
  <c r="AE118" i="1"/>
  <c r="AF118" i="1"/>
  <c r="AH118" i="1"/>
  <c r="K119" i="1"/>
  <c r="L119" i="1"/>
  <c r="M119" i="1"/>
  <c r="N119" i="1" s="1"/>
  <c r="V119" i="1"/>
  <c r="Y119" i="1"/>
  <c r="Z119" i="1"/>
  <c r="AB119" i="1"/>
  <c r="AC119" i="1"/>
  <c r="AD119" i="1"/>
  <c r="AG119" i="1" s="1"/>
  <c r="AE119" i="1"/>
  <c r="R15" i="3" s="1"/>
  <c r="AF119" i="1"/>
  <c r="AH119" i="1"/>
  <c r="K120" i="1"/>
  <c r="L120" i="1"/>
  <c r="M120" i="1"/>
  <c r="N120" i="1" s="1"/>
  <c r="V120" i="1"/>
  <c r="Y120" i="1"/>
  <c r="Z120" i="1"/>
  <c r="AB120" i="1"/>
  <c r="AC120" i="1"/>
  <c r="AD120" i="1"/>
  <c r="AG120" i="1" s="1"/>
  <c r="AE120" i="1"/>
  <c r="AF120" i="1"/>
  <c r="AH120" i="1"/>
  <c r="K121" i="1"/>
  <c r="L121" i="1"/>
  <c r="M121" i="1"/>
  <c r="N121" i="1" s="1"/>
  <c r="V121" i="1"/>
  <c r="Y121" i="1"/>
  <c r="Z121" i="1"/>
  <c r="AB121" i="1"/>
  <c r="AC121" i="1"/>
  <c r="AD121" i="1"/>
  <c r="AG121" i="1" s="1"/>
  <c r="AE121" i="1"/>
  <c r="AF121" i="1"/>
  <c r="AH121" i="1"/>
  <c r="K122" i="1"/>
  <c r="L122" i="1"/>
  <c r="M122" i="1"/>
  <c r="N122" i="1" s="1"/>
  <c r="V122" i="1"/>
  <c r="Y122" i="1"/>
  <c r="Z122" i="1"/>
  <c r="AB122" i="1"/>
  <c r="AC122" i="1"/>
  <c r="AD122" i="1"/>
  <c r="AE122" i="1"/>
  <c r="AF122" i="1"/>
  <c r="AH122" i="1"/>
  <c r="K123" i="1"/>
  <c r="L123" i="1"/>
  <c r="M123" i="1"/>
  <c r="N123" i="1" s="1"/>
  <c r="V123" i="1"/>
  <c r="Y123" i="1"/>
  <c r="Z123" i="1"/>
  <c r="AB123" i="1"/>
  <c r="AC123" i="1"/>
  <c r="AD123" i="1"/>
  <c r="T123" i="1" s="1"/>
  <c r="AE123" i="1"/>
  <c r="AF123" i="1"/>
  <c r="AH123" i="1"/>
  <c r="K124" i="1"/>
  <c r="L124" i="1"/>
  <c r="M124" i="1"/>
  <c r="N124" i="1" s="1"/>
  <c r="V124" i="1"/>
  <c r="Y124" i="1"/>
  <c r="Z124" i="1"/>
  <c r="AB124" i="1"/>
  <c r="AC124" i="1"/>
  <c r="AD124" i="1"/>
  <c r="AE124" i="1"/>
  <c r="AF124" i="1"/>
  <c r="AH124" i="1"/>
  <c r="K125" i="1"/>
  <c r="L125" i="1"/>
  <c r="M125" i="1"/>
  <c r="N125" i="1" s="1"/>
  <c r="V125" i="1"/>
  <c r="Y125" i="1"/>
  <c r="Z125" i="1"/>
  <c r="AB125" i="1"/>
  <c r="AC125" i="1"/>
  <c r="AD125" i="1"/>
  <c r="T125" i="1" s="1"/>
  <c r="AE125" i="1"/>
  <c r="AF125" i="1"/>
  <c r="AH125" i="1"/>
  <c r="K126" i="1"/>
  <c r="L126" i="1"/>
  <c r="M126" i="1"/>
  <c r="N126" i="1" s="1"/>
  <c r="V126" i="1"/>
  <c r="Y126" i="1"/>
  <c r="Z126" i="1"/>
  <c r="AB126" i="1"/>
  <c r="AC126" i="1"/>
  <c r="AD126" i="1"/>
  <c r="AE126" i="1"/>
  <c r="R20" i="3" s="1"/>
  <c r="AF126" i="1"/>
  <c r="AH126" i="1"/>
  <c r="K127" i="1"/>
  <c r="L127" i="1"/>
  <c r="M127" i="1"/>
  <c r="N127" i="1" s="1"/>
  <c r="V127" i="1"/>
  <c r="Y127" i="1"/>
  <c r="Z127" i="1"/>
  <c r="AB127" i="1"/>
  <c r="AC127" i="1"/>
  <c r="AD127" i="1"/>
  <c r="X127" i="1" s="1"/>
  <c r="AE127" i="1"/>
  <c r="R33" i="3" s="1"/>
  <c r="AF127" i="1"/>
  <c r="AH127" i="1"/>
  <c r="K128" i="1"/>
  <c r="L128" i="1"/>
  <c r="M128" i="1"/>
  <c r="N128" i="1" s="1"/>
  <c r="V128" i="1"/>
  <c r="Y128" i="1"/>
  <c r="Z128" i="1"/>
  <c r="AB128" i="1"/>
  <c r="AC128" i="1"/>
  <c r="AD128" i="1"/>
  <c r="T128" i="1" s="1"/>
  <c r="AE128" i="1"/>
  <c r="AF128" i="1"/>
  <c r="AH128" i="1"/>
  <c r="K129" i="1"/>
  <c r="L129" i="1"/>
  <c r="M129" i="1"/>
  <c r="N129" i="1" s="1"/>
  <c r="V129" i="1"/>
  <c r="Y129" i="1"/>
  <c r="Z129" i="1"/>
  <c r="AB129" i="1"/>
  <c r="AC129" i="1"/>
  <c r="AD129" i="1"/>
  <c r="T129" i="1" s="1"/>
  <c r="AE129" i="1"/>
  <c r="AF129" i="1"/>
  <c r="AH129" i="1"/>
  <c r="K130" i="1"/>
  <c r="L130" i="1"/>
  <c r="M130" i="1"/>
  <c r="N130" i="1" s="1"/>
  <c r="V130" i="1"/>
  <c r="Y130" i="1"/>
  <c r="Z130" i="1"/>
  <c r="AB130" i="1"/>
  <c r="AC130" i="1"/>
  <c r="AD130" i="1"/>
  <c r="T130" i="1" s="1"/>
  <c r="AE130" i="1"/>
  <c r="AF130" i="1"/>
  <c r="AH130" i="1"/>
  <c r="K132" i="1"/>
  <c r="L132" i="1"/>
  <c r="M132" i="1"/>
  <c r="N132" i="1" s="1"/>
  <c r="V132" i="1"/>
  <c r="Y132" i="1"/>
  <c r="Z132" i="1"/>
  <c r="AB132" i="1"/>
  <c r="AC132" i="1"/>
  <c r="AD132" i="1"/>
  <c r="AE132" i="1"/>
  <c r="AF132" i="1"/>
  <c r="AH132" i="1"/>
  <c r="K133" i="1"/>
  <c r="L133" i="1"/>
  <c r="M133" i="1"/>
  <c r="N133" i="1" s="1"/>
  <c r="V133" i="1"/>
  <c r="Y133" i="1"/>
  <c r="Z133" i="1"/>
  <c r="AB133" i="1"/>
  <c r="AC133" i="1"/>
  <c r="AD133" i="1"/>
  <c r="T133" i="1" s="1"/>
  <c r="AE133" i="1"/>
  <c r="AF133" i="1"/>
  <c r="AH133" i="1"/>
  <c r="K134" i="1"/>
  <c r="L134" i="1"/>
  <c r="M134" i="1"/>
  <c r="N134" i="1" s="1"/>
  <c r="V134" i="1"/>
  <c r="Y134" i="1"/>
  <c r="Z134" i="1"/>
  <c r="AB134" i="1"/>
  <c r="AC134" i="1"/>
  <c r="AD134" i="1"/>
  <c r="T134" i="1" s="1"/>
  <c r="AE134" i="1"/>
  <c r="AF134" i="1"/>
  <c r="AH134" i="1"/>
  <c r="K135" i="1"/>
  <c r="L135" i="1"/>
  <c r="M135" i="1"/>
  <c r="N135" i="1" s="1"/>
  <c r="V135" i="1"/>
  <c r="Y135" i="1"/>
  <c r="Z135" i="1"/>
  <c r="AB135" i="1"/>
  <c r="AC135" i="1"/>
  <c r="AD135" i="1"/>
  <c r="T135" i="1" s="1"/>
  <c r="AE135" i="1"/>
  <c r="AF135" i="1"/>
  <c r="AH135" i="1"/>
  <c r="K136" i="1"/>
  <c r="L136" i="1"/>
  <c r="M136" i="1"/>
  <c r="N136" i="1" s="1"/>
  <c r="V136" i="1"/>
  <c r="Y136" i="1"/>
  <c r="Z136" i="1"/>
  <c r="AB136" i="1"/>
  <c r="AC136" i="1"/>
  <c r="AD136" i="1"/>
  <c r="AE136" i="1"/>
  <c r="AF136" i="1"/>
  <c r="AH136" i="1"/>
  <c r="K137" i="1"/>
  <c r="L137" i="1"/>
  <c r="M137" i="1"/>
  <c r="N137" i="1" s="1"/>
  <c r="V137" i="1"/>
  <c r="Y137" i="1"/>
  <c r="Z137" i="1"/>
  <c r="AB137" i="1"/>
  <c r="AC137" i="1"/>
  <c r="AD137" i="1"/>
  <c r="AE137" i="1"/>
  <c r="AF137" i="1"/>
  <c r="AH137" i="1"/>
  <c r="K138" i="1"/>
  <c r="L138" i="1"/>
  <c r="M138" i="1"/>
  <c r="N138" i="1" s="1"/>
  <c r="V138" i="1"/>
  <c r="Y138" i="1"/>
  <c r="Z138" i="1"/>
  <c r="AB138" i="1"/>
  <c r="AC138" i="1"/>
  <c r="AD138" i="1"/>
  <c r="T138" i="1" s="1"/>
  <c r="AE138" i="1"/>
  <c r="AF138" i="1"/>
  <c r="AH138" i="1"/>
  <c r="K139" i="1"/>
  <c r="L139" i="1"/>
  <c r="M139" i="1"/>
  <c r="N139" i="1" s="1"/>
  <c r="V139" i="1"/>
  <c r="Y139" i="1"/>
  <c r="Z139" i="1"/>
  <c r="AB139" i="1"/>
  <c r="AC139" i="1"/>
  <c r="AD139" i="1"/>
  <c r="T139" i="1" s="1"/>
  <c r="AE139" i="1"/>
  <c r="AF139" i="1"/>
  <c r="AH139" i="1"/>
  <c r="K140" i="1"/>
  <c r="L140" i="1"/>
  <c r="M140" i="1"/>
  <c r="N140" i="1" s="1"/>
  <c r="V140" i="1"/>
  <c r="Y140" i="1"/>
  <c r="Z140" i="1"/>
  <c r="AB140" i="1"/>
  <c r="AC140" i="1"/>
  <c r="AD140" i="1"/>
  <c r="X140" i="1" s="1"/>
  <c r="AE140" i="1"/>
  <c r="AF140" i="1"/>
  <c r="AH140" i="1"/>
  <c r="K141" i="1"/>
  <c r="L141" i="1"/>
  <c r="M141" i="1"/>
  <c r="N141" i="1" s="1"/>
  <c r="V141" i="1"/>
  <c r="Y141" i="1"/>
  <c r="Z141" i="1"/>
  <c r="AB141" i="1"/>
  <c r="AC141" i="1"/>
  <c r="AD141" i="1"/>
  <c r="X141" i="1" s="1"/>
  <c r="AE141" i="1"/>
  <c r="AF141" i="1"/>
  <c r="AH141" i="1"/>
  <c r="K142" i="1"/>
  <c r="L142" i="1"/>
  <c r="M142" i="1"/>
  <c r="N142" i="1" s="1"/>
  <c r="V142" i="1"/>
  <c r="Y142" i="1"/>
  <c r="Z142" i="1"/>
  <c r="AB142" i="1"/>
  <c r="AC142" i="1"/>
  <c r="AD142" i="1"/>
  <c r="T142" i="1" s="1"/>
  <c r="AE142" i="1"/>
  <c r="AF142" i="1"/>
  <c r="AH142" i="1"/>
  <c r="K143" i="1"/>
  <c r="L143" i="1"/>
  <c r="M143" i="1"/>
  <c r="P143" i="1" s="1"/>
  <c r="V143" i="1"/>
  <c r="S23" i="3" s="1"/>
  <c r="Y143" i="1"/>
  <c r="Z143" i="1"/>
  <c r="AB143" i="1"/>
  <c r="AC143" i="1"/>
  <c r="AD143" i="1"/>
  <c r="T143" i="1" s="1"/>
  <c r="AE143" i="1"/>
  <c r="R23" i="3" s="1"/>
  <c r="AF143" i="1"/>
  <c r="AH143" i="1"/>
  <c r="K144" i="1"/>
  <c r="L144" i="1"/>
  <c r="M144" i="1"/>
  <c r="N144" i="1" s="1"/>
  <c r="V144" i="1"/>
  <c r="Y144" i="1"/>
  <c r="Z144" i="1"/>
  <c r="AB144" i="1"/>
  <c r="AC144" i="1"/>
  <c r="AD144" i="1"/>
  <c r="AE144" i="1"/>
  <c r="AF144" i="1"/>
  <c r="AH144" i="1"/>
  <c r="K145" i="1"/>
  <c r="L145" i="1"/>
  <c r="M145" i="1"/>
  <c r="N145" i="1" s="1"/>
  <c r="V145" i="1"/>
  <c r="S34" i="3" s="1"/>
  <c r="Y145" i="1"/>
  <c r="Z145" i="1"/>
  <c r="AB145" i="1"/>
  <c r="AC145" i="1"/>
  <c r="AD145" i="1"/>
  <c r="T145" i="1" s="1"/>
  <c r="AE145" i="1"/>
  <c r="R34" i="3" s="1"/>
  <c r="AF145" i="1"/>
  <c r="AH145" i="1"/>
  <c r="K146" i="1"/>
  <c r="L146" i="1"/>
  <c r="M146" i="1"/>
  <c r="N146" i="1" s="1"/>
  <c r="V146" i="1"/>
  <c r="Y146" i="1"/>
  <c r="Z146" i="1"/>
  <c r="AB146" i="1"/>
  <c r="AC146" i="1"/>
  <c r="AD146" i="1"/>
  <c r="T146" i="1" s="1"/>
  <c r="AE146" i="1"/>
  <c r="AF146" i="1"/>
  <c r="AH146" i="1"/>
  <c r="K147" i="1"/>
  <c r="L147" i="1"/>
  <c r="M147" i="1"/>
  <c r="N147" i="1" s="1"/>
  <c r="V147" i="1"/>
  <c r="Y147" i="1"/>
  <c r="Z147" i="1"/>
  <c r="AB147" i="1"/>
  <c r="AC147" i="1"/>
  <c r="AD147" i="1"/>
  <c r="T147" i="1" s="1"/>
  <c r="AE147" i="1"/>
  <c r="R35" i="3" s="1"/>
  <c r="AF147" i="1"/>
  <c r="AH147" i="1"/>
  <c r="K148" i="1"/>
  <c r="L148" i="1"/>
  <c r="M148" i="1"/>
  <c r="P148" i="1" s="1"/>
  <c r="V148" i="1"/>
  <c r="S22" i="3" s="1"/>
  <c r="Y148" i="1"/>
  <c r="Z148" i="1"/>
  <c r="AB148" i="1"/>
  <c r="AC148" i="1"/>
  <c r="AD148" i="1"/>
  <c r="AE148" i="1"/>
  <c r="R22" i="3" s="1"/>
  <c r="AF148" i="1"/>
  <c r="AH148" i="1"/>
  <c r="K149" i="1"/>
  <c r="L149" i="1"/>
  <c r="M149" i="1"/>
  <c r="N149" i="1" s="1"/>
  <c r="V149" i="1"/>
  <c r="Y149" i="1"/>
  <c r="Z149" i="1"/>
  <c r="AB149" i="1"/>
  <c r="AC149" i="1"/>
  <c r="AD149" i="1"/>
  <c r="T149" i="1" s="1"/>
  <c r="AE149" i="1"/>
  <c r="AF149" i="1"/>
  <c r="AH149" i="1"/>
  <c r="K150" i="1"/>
  <c r="L150" i="1"/>
  <c r="M150" i="1"/>
  <c r="N150" i="1" s="1"/>
  <c r="V150" i="1"/>
  <c r="Y150" i="1"/>
  <c r="Z150" i="1"/>
  <c r="AB150" i="1"/>
  <c r="AC150" i="1"/>
  <c r="AD150" i="1"/>
  <c r="T150" i="1" s="1"/>
  <c r="AE150" i="1"/>
  <c r="AF150" i="1"/>
  <c r="AH150" i="1"/>
  <c r="K151" i="1"/>
  <c r="L151" i="1"/>
  <c r="M151" i="1"/>
  <c r="N151" i="1" s="1"/>
  <c r="V151" i="1"/>
  <c r="Y151" i="1"/>
  <c r="Z151" i="1"/>
  <c r="AB151" i="1"/>
  <c r="AC151" i="1"/>
  <c r="AD151" i="1"/>
  <c r="AE151" i="1"/>
  <c r="AF151" i="1"/>
  <c r="AH151" i="1"/>
  <c r="K153" i="1"/>
  <c r="L153" i="1"/>
  <c r="M153" i="1"/>
  <c r="N153" i="1" s="1"/>
  <c r="V153" i="1"/>
  <c r="Y153" i="1"/>
  <c r="Z153" i="1"/>
  <c r="AB153" i="1"/>
  <c r="AC153" i="1"/>
  <c r="AD153" i="1"/>
  <c r="X153" i="1" s="1"/>
  <c r="AE153" i="1"/>
  <c r="AF153" i="1"/>
  <c r="AH153" i="1"/>
  <c r="K155" i="1"/>
  <c r="L155" i="1"/>
  <c r="M155" i="1"/>
  <c r="N155" i="1" s="1"/>
  <c r="V155" i="1"/>
  <c r="Y155" i="1"/>
  <c r="Z155" i="1"/>
  <c r="AB155" i="1"/>
  <c r="AC155" i="1"/>
  <c r="AD155" i="1"/>
  <c r="AG155" i="1" s="1"/>
  <c r="AE155" i="1"/>
  <c r="AF155" i="1"/>
  <c r="AH155" i="1"/>
  <c r="K156" i="1"/>
  <c r="L156" i="1"/>
  <c r="M156" i="1"/>
  <c r="N156" i="1" s="1"/>
  <c r="V156" i="1"/>
  <c r="Y156" i="1"/>
  <c r="Z156" i="1"/>
  <c r="AB156" i="1"/>
  <c r="AC156" i="1"/>
  <c r="AD156" i="1"/>
  <c r="T156" i="1" s="1"/>
  <c r="AE156" i="1"/>
  <c r="AF156" i="1"/>
  <c r="AH156" i="1"/>
  <c r="K203" i="1"/>
  <c r="L203" i="1"/>
  <c r="M203" i="1"/>
  <c r="N203" i="1" s="1"/>
  <c r="V203" i="1"/>
  <c r="Y203" i="1"/>
  <c r="Z203" i="1"/>
  <c r="AB203" i="1"/>
  <c r="AC203" i="1"/>
  <c r="AD203" i="1"/>
  <c r="T203" i="1" s="1"/>
  <c r="AE203" i="1"/>
  <c r="AF203" i="1"/>
  <c r="AH157" i="1"/>
  <c r="K204" i="1"/>
  <c r="L204" i="1"/>
  <c r="M204" i="1"/>
  <c r="N204" i="1" s="1"/>
  <c r="V204" i="1"/>
  <c r="Y204" i="1"/>
  <c r="Z204" i="1"/>
  <c r="AB204" i="1"/>
  <c r="AC204" i="1"/>
  <c r="AD204" i="1"/>
  <c r="X204" i="1" s="1"/>
  <c r="AE204" i="1"/>
  <c r="AF204" i="1"/>
  <c r="AH158" i="1"/>
  <c r="K205" i="1"/>
  <c r="L205" i="1"/>
  <c r="M205" i="1"/>
  <c r="N205" i="1" s="1"/>
  <c r="V205" i="1"/>
  <c r="Y205" i="1"/>
  <c r="Z205" i="1"/>
  <c r="AB205" i="1"/>
  <c r="AC205" i="1"/>
  <c r="AD205" i="1"/>
  <c r="X205" i="1" s="1"/>
  <c r="AE205" i="1"/>
  <c r="AF205" i="1"/>
  <c r="AH159" i="1"/>
  <c r="K206" i="1"/>
  <c r="L206" i="1"/>
  <c r="M206" i="1"/>
  <c r="N206" i="1" s="1"/>
  <c r="V206" i="1"/>
  <c r="S58" i="3" s="1"/>
  <c r="Y206" i="1"/>
  <c r="Z206" i="1"/>
  <c r="AB206" i="1"/>
  <c r="AC206" i="1"/>
  <c r="AD206" i="1"/>
  <c r="T206" i="1" s="1"/>
  <c r="AE206" i="1"/>
  <c r="R58" i="3" s="1"/>
  <c r="AF206" i="1"/>
  <c r="AH160" i="1"/>
  <c r="K207" i="1"/>
  <c r="L207" i="1"/>
  <c r="M207" i="1"/>
  <c r="N207" i="1" s="1"/>
  <c r="V207" i="1"/>
  <c r="Y207" i="1"/>
  <c r="Z207" i="1"/>
  <c r="AB207" i="1"/>
  <c r="AC207" i="1"/>
  <c r="AD207" i="1"/>
  <c r="AE207" i="1"/>
  <c r="AF207" i="1"/>
  <c r="AH161" i="1"/>
  <c r="K208" i="1"/>
  <c r="L208" i="1"/>
  <c r="M208" i="1"/>
  <c r="N208" i="1" s="1"/>
  <c r="V208" i="1"/>
  <c r="Y208" i="1"/>
  <c r="Z208" i="1"/>
  <c r="AB208" i="1"/>
  <c r="AC208" i="1"/>
  <c r="AD208" i="1"/>
  <c r="AE208" i="1"/>
  <c r="AF208" i="1"/>
  <c r="AH162" i="1"/>
  <c r="K209" i="1"/>
  <c r="L209" i="1"/>
  <c r="M209" i="1"/>
  <c r="N209" i="1" s="1"/>
  <c r="V209" i="1"/>
  <c r="Y209" i="1"/>
  <c r="Z209" i="1"/>
  <c r="AB209" i="1"/>
  <c r="AC209" i="1"/>
  <c r="AD209" i="1"/>
  <c r="AG209" i="1" s="1"/>
  <c r="AE209" i="1"/>
  <c r="AF209" i="1"/>
  <c r="AH163" i="1"/>
  <c r="K210" i="1"/>
  <c r="L210" i="1"/>
  <c r="M210" i="1"/>
  <c r="N210" i="1" s="1"/>
  <c r="V210" i="1"/>
  <c r="Y210" i="1"/>
  <c r="Z210" i="1"/>
  <c r="AB210" i="1"/>
  <c r="AC210" i="1"/>
  <c r="AD210" i="1"/>
  <c r="T210" i="1" s="1"/>
  <c r="AE210" i="1"/>
  <c r="AF210" i="1"/>
  <c r="AH164" i="1"/>
  <c r="K211" i="1"/>
  <c r="L211" i="1"/>
  <c r="M211" i="1"/>
  <c r="N211" i="1" s="1"/>
  <c r="V211" i="1"/>
  <c r="Y211" i="1"/>
  <c r="Z211" i="1"/>
  <c r="AB211" i="1"/>
  <c r="AC211" i="1"/>
  <c r="AD211" i="1"/>
  <c r="T211" i="1" s="1"/>
  <c r="AE211" i="1"/>
  <c r="AF211" i="1"/>
  <c r="AH165" i="1"/>
  <c r="K212" i="1"/>
  <c r="L212" i="1"/>
  <c r="M212" i="1"/>
  <c r="N212" i="1" s="1"/>
  <c r="V212" i="1"/>
  <c r="Y212" i="1"/>
  <c r="Z212" i="1"/>
  <c r="AB212" i="1"/>
  <c r="AC212" i="1"/>
  <c r="AD212" i="1"/>
  <c r="T212" i="1" s="1"/>
  <c r="AE212" i="1"/>
  <c r="AF212" i="1"/>
  <c r="AH166" i="1"/>
  <c r="K213" i="1"/>
  <c r="L213" i="1"/>
  <c r="M213" i="1"/>
  <c r="N213" i="1" s="1"/>
  <c r="V213" i="1"/>
  <c r="Y213" i="1"/>
  <c r="Z213" i="1"/>
  <c r="AB213" i="1"/>
  <c r="AC213" i="1"/>
  <c r="AD213" i="1"/>
  <c r="X213" i="1" s="1"/>
  <c r="AE213" i="1"/>
  <c r="AF213" i="1"/>
  <c r="AH167" i="1"/>
  <c r="K214" i="1"/>
  <c r="L214" i="1"/>
  <c r="M214" i="1"/>
  <c r="N214" i="1" s="1"/>
  <c r="V214" i="1"/>
  <c r="Y214" i="1"/>
  <c r="Z214" i="1"/>
  <c r="AB214" i="1"/>
  <c r="AC214" i="1"/>
  <c r="AD214" i="1"/>
  <c r="T214" i="1" s="1"/>
  <c r="AE214" i="1"/>
  <c r="AF214" i="1"/>
  <c r="AH168" i="1"/>
  <c r="K221" i="1"/>
  <c r="L221" i="1"/>
  <c r="M221" i="1"/>
  <c r="N221" i="1" s="1"/>
  <c r="V221" i="1"/>
  <c r="S57" i="3" s="1"/>
  <c r="Y221" i="1"/>
  <c r="Z221" i="1"/>
  <c r="AB221" i="1"/>
  <c r="AC221" i="1"/>
  <c r="AD221" i="1"/>
  <c r="AE221" i="1"/>
  <c r="R57" i="3" s="1"/>
  <c r="AF221" i="1"/>
  <c r="AH169" i="1"/>
  <c r="K222" i="1"/>
  <c r="L222" i="1"/>
  <c r="M222" i="1"/>
  <c r="N222" i="1" s="1"/>
  <c r="V222" i="1"/>
  <c r="Y222" i="1"/>
  <c r="Z222" i="1"/>
  <c r="AB222" i="1"/>
  <c r="AC222" i="1"/>
  <c r="AD222" i="1"/>
  <c r="AE222" i="1"/>
  <c r="AF222" i="1"/>
  <c r="AH170" i="1"/>
  <c r="K223" i="1"/>
  <c r="L223" i="1"/>
  <c r="M223" i="1"/>
  <c r="N223" i="1" s="1"/>
  <c r="V223" i="1"/>
  <c r="Y223" i="1"/>
  <c r="Z223" i="1"/>
  <c r="AB223" i="1"/>
  <c r="AC223" i="1"/>
  <c r="AD223" i="1"/>
  <c r="AG223" i="1" s="1"/>
  <c r="AE223" i="1"/>
  <c r="AF223" i="1"/>
  <c r="AH171" i="1"/>
  <c r="K224" i="1"/>
  <c r="L224" i="1"/>
  <c r="M224" i="1"/>
  <c r="N224" i="1" s="1"/>
  <c r="V224" i="1"/>
  <c r="Y224" i="1"/>
  <c r="Z224" i="1"/>
  <c r="AB224" i="1"/>
  <c r="AC224" i="1"/>
  <c r="AD224" i="1"/>
  <c r="T224" i="1" s="1"/>
  <c r="AE224" i="1"/>
  <c r="AF224" i="1"/>
  <c r="AH172" i="1"/>
  <c r="K225" i="1"/>
  <c r="L225" i="1"/>
  <c r="M225" i="1"/>
  <c r="N225" i="1" s="1"/>
  <c r="V225" i="1"/>
  <c r="Y225" i="1"/>
  <c r="Z225" i="1"/>
  <c r="AB225" i="1"/>
  <c r="AC225" i="1"/>
  <c r="AD225" i="1"/>
  <c r="T225" i="1" s="1"/>
  <c r="AE225" i="1"/>
  <c r="AF225" i="1"/>
  <c r="AH173" i="1"/>
  <c r="K226" i="1"/>
  <c r="L226" i="1"/>
  <c r="M226" i="1"/>
  <c r="N226" i="1" s="1"/>
  <c r="V226" i="1"/>
  <c r="Y226" i="1"/>
  <c r="Z226" i="1"/>
  <c r="AB226" i="1"/>
  <c r="AC226" i="1"/>
  <c r="AD226" i="1"/>
  <c r="X226" i="1" s="1"/>
  <c r="AE226" i="1"/>
  <c r="AF226" i="1"/>
  <c r="AH174" i="1"/>
  <c r="K157" i="1"/>
  <c r="L157" i="1"/>
  <c r="M157" i="1"/>
  <c r="N157" i="1" s="1"/>
  <c r="V157" i="1"/>
  <c r="Y157" i="1"/>
  <c r="Z157" i="1"/>
  <c r="AB157" i="1"/>
  <c r="AC157" i="1"/>
  <c r="AD157" i="1"/>
  <c r="AE157" i="1"/>
  <c r="AF157" i="1"/>
  <c r="AH175" i="1"/>
  <c r="K158" i="1"/>
  <c r="L158" i="1"/>
  <c r="M158" i="1"/>
  <c r="N158" i="1" s="1"/>
  <c r="V158" i="1"/>
  <c r="Y158" i="1"/>
  <c r="Z158" i="1"/>
  <c r="AB158" i="1"/>
  <c r="AC158" i="1"/>
  <c r="AD158" i="1"/>
  <c r="T158" i="1" s="1"/>
  <c r="AE158" i="1"/>
  <c r="AF158" i="1"/>
  <c r="AH176" i="1"/>
  <c r="K159" i="1"/>
  <c r="L159" i="1"/>
  <c r="M159" i="1"/>
  <c r="N159" i="1" s="1"/>
  <c r="V159" i="1"/>
  <c r="Y159" i="1"/>
  <c r="Z159" i="1"/>
  <c r="AB159" i="1"/>
  <c r="AC159" i="1"/>
  <c r="AD159" i="1"/>
  <c r="AE159" i="1"/>
  <c r="AF159" i="1"/>
  <c r="AH177" i="1"/>
  <c r="K160" i="1"/>
  <c r="L160" i="1"/>
  <c r="M160" i="1"/>
  <c r="N160" i="1" s="1"/>
  <c r="V160" i="1"/>
  <c r="Y160" i="1"/>
  <c r="Z160" i="1"/>
  <c r="AB160" i="1"/>
  <c r="AC160" i="1"/>
  <c r="AD160" i="1"/>
  <c r="AE160" i="1"/>
  <c r="AF160" i="1"/>
  <c r="AH178" i="1"/>
  <c r="K161" i="1"/>
  <c r="L161" i="1"/>
  <c r="M161" i="1"/>
  <c r="N161" i="1" s="1"/>
  <c r="V161" i="1"/>
  <c r="Y161" i="1"/>
  <c r="Z161" i="1"/>
  <c r="AB161" i="1"/>
  <c r="AC161" i="1"/>
  <c r="AD161" i="1"/>
  <c r="AG161" i="1" s="1"/>
  <c r="AE161" i="1"/>
  <c r="AF161" i="1"/>
  <c r="AH179" i="1"/>
  <c r="K162" i="1"/>
  <c r="L162" i="1"/>
  <c r="M162" i="1"/>
  <c r="N162" i="1" s="1"/>
  <c r="V162" i="1"/>
  <c r="Y162" i="1"/>
  <c r="Z162" i="1"/>
  <c r="AB162" i="1"/>
  <c r="AC162" i="1"/>
  <c r="AD162" i="1"/>
  <c r="T162" i="1" s="1"/>
  <c r="AE162" i="1"/>
  <c r="AF162" i="1"/>
  <c r="AH180" i="1"/>
  <c r="K163" i="1"/>
  <c r="L163" i="1"/>
  <c r="M163" i="1"/>
  <c r="N163" i="1" s="1"/>
  <c r="V163" i="1"/>
  <c r="S48" i="3" s="1"/>
  <c r="Y163" i="1"/>
  <c r="Z163" i="1"/>
  <c r="AB163" i="1"/>
  <c r="AC163" i="1"/>
  <c r="AD163" i="1"/>
  <c r="T163" i="1" s="1"/>
  <c r="AE163" i="1"/>
  <c r="R48" i="3" s="1"/>
  <c r="AF163" i="1"/>
  <c r="K164" i="1"/>
  <c r="L164" i="1"/>
  <c r="M164" i="1"/>
  <c r="N164" i="1" s="1"/>
  <c r="V164" i="1"/>
  <c r="S46" i="3" s="1"/>
  <c r="Y164" i="1"/>
  <c r="Z164" i="1"/>
  <c r="AB164" i="1"/>
  <c r="AC164" i="1"/>
  <c r="AD164" i="1"/>
  <c r="AG164" i="1" s="1"/>
  <c r="AE164" i="1"/>
  <c r="R46" i="3" s="1"/>
  <c r="AF164" i="1"/>
  <c r="AH181" i="1"/>
  <c r="K165" i="1"/>
  <c r="L165" i="1"/>
  <c r="M165" i="1"/>
  <c r="N165" i="1" s="1"/>
  <c r="V165" i="1"/>
  <c r="S49" i="3" s="1"/>
  <c r="Y165" i="1"/>
  <c r="Z165" i="1"/>
  <c r="AB165" i="1"/>
  <c r="AC165" i="1"/>
  <c r="AD165" i="1"/>
  <c r="T165" i="1" s="1"/>
  <c r="AE165" i="1"/>
  <c r="R49" i="3" s="1"/>
  <c r="AF165" i="1"/>
  <c r="AH182" i="1"/>
  <c r="K166" i="1"/>
  <c r="L166" i="1"/>
  <c r="M166" i="1"/>
  <c r="N166" i="1" s="1"/>
  <c r="V166" i="1"/>
  <c r="Y166" i="1"/>
  <c r="Z166" i="1"/>
  <c r="AB166" i="1"/>
  <c r="AC166" i="1"/>
  <c r="AD166" i="1"/>
  <c r="AE166" i="1"/>
  <c r="AF166" i="1"/>
  <c r="AH183" i="1"/>
  <c r="K167" i="1"/>
  <c r="L167" i="1"/>
  <c r="M167" i="1"/>
  <c r="N167" i="1" s="1"/>
  <c r="V167" i="1"/>
  <c r="S50" i="3" s="1"/>
  <c r="Y167" i="1"/>
  <c r="Z167" i="1"/>
  <c r="AB167" i="1"/>
  <c r="AC167" i="1"/>
  <c r="AD167" i="1"/>
  <c r="T167" i="1" s="1"/>
  <c r="AE167" i="1"/>
  <c r="R50" i="3" s="1"/>
  <c r="AF167" i="1"/>
  <c r="AH184" i="1"/>
  <c r="K168" i="1"/>
  <c r="L168" i="1"/>
  <c r="M168" i="1"/>
  <c r="N168" i="1" s="1"/>
  <c r="V168" i="1"/>
  <c r="Y168" i="1"/>
  <c r="Z168" i="1"/>
  <c r="AB168" i="1"/>
  <c r="AC168" i="1"/>
  <c r="AD168" i="1"/>
  <c r="T168" i="1" s="1"/>
  <c r="AE168" i="1"/>
  <c r="AF168" i="1"/>
  <c r="AH185" i="1"/>
  <c r="K169" i="1"/>
  <c r="L169" i="1"/>
  <c r="M169" i="1"/>
  <c r="N169" i="1" s="1"/>
  <c r="V169" i="1"/>
  <c r="Y169" i="1"/>
  <c r="Z169" i="1"/>
  <c r="AB169" i="1"/>
  <c r="AC169" i="1"/>
  <c r="AD169" i="1"/>
  <c r="X169" i="1" s="1"/>
  <c r="AE169" i="1"/>
  <c r="R45" i="3" s="1"/>
  <c r="AF169" i="1"/>
  <c r="AH186" i="1"/>
  <c r="K170" i="1"/>
  <c r="L170" i="1"/>
  <c r="M170" i="1"/>
  <c r="N170" i="1" s="1"/>
  <c r="V170" i="1"/>
  <c r="Y170" i="1"/>
  <c r="Z170" i="1"/>
  <c r="AB170" i="1"/>
  <c r="AC170" i="1"/>
  <c r="AD170" i="1"/>
  <c r="AE170" i="1"/>
  <c r="AF170" i="1"/>
  <c r="AH187" i="1"/>
  <c r="K171" i="1"/>
  <c r="L171" i="1"/>
  <c r="M171" i="1"/>
  <c r="N171" i="1" s="1"/>
  <c r="V171" i="1"/>
  <c r="Y171" i="1"/>
  <c r="Z171" i="1"/>
  <c r="AB171" i="1"/>
  <c r="AC171" i="1"/>
  <c r="AD171" i="1"/>
  <c r="AE171" i="1"/>
  <c r="AF171" i="1"/>
  <c r="AH188" i="1"/>
  <c r="K172" i="1"/>
  <c r="L172" i="1"/>
  <c r="M172" i="1"/>
  <c r="N172" i="1" s="1"/>
  <c r="V172" i="1"/>
  <c r="Y172" i="1"/>
  <c r="Z172" i="1"/>
  <c r="AB172" i="1"/>
  <c r="AC172" i="1"/>
  <c r="AD172" i="1"/>
  <c r="AG172" i="1" s="1"/>
  <c r="AE172" i="1"/>
  <c r="AF172" i="1"/>
  <c r="AH189" i="1"/>
  <c r="K173" i="1"/>
  <c r="L173" i="1"/>
  <c r="M173" i="1"/>
  <c r="N173" i="1" s="1"/>
  <c r="V173" i="1"/>
  <c r="Y173" i="1"/>
  <c r="Z173" i="1"/>
  <c r="AB173" i="1"/>
  <c r="AC173" i="1"/>
  <c r="AD173" i="1"/>
  <c r="AE173" i="1"/>
  <c r="AF173" i="1"/>
  <c r="AH190" i="1"/>
  <c r="K174" i="1"/>
  <c r="L174" i="1"/>
  <c r="M174" i="1"/>
  <c r="N174" i="1" s="1"/>
  <c r="V174" i="1"/>
  <c r="S42" i="3" s="1"/>
  <c r="Y174" i="1"/>
  <c r="Z174" i="1"/>
  <c r="AB174" i="1"/>
  <c r="AC174" i="1"/>
  <c r="AD174" i="1"/>
  <c r="AG174" i="1" s="1"/>
  <c r="AE174" i="1"/>
  <c r="R42" i="3" s="1"/>
  <c r="AF174" i="1"/>
  <c r="AH191" i="1"/>
  <c r="K175" i="1"/>
  <c r="L175" i="1"/>
  <c r="M175" i="1"/>
  <c r="N175" i="1" s="1"/>
  <c r="V175" i="1"/>
  <c r="S47" i="3" s="1"/>
  <c r="Y175" i="1"/>
  <c r="Z175" i="1"/>
  <c r="AB175" i="1"/>
  <c r="AC175" i="1"/>
  <c r="AD175" i="1"/>
  <c r="AG175" i="1" s="1"/>
  <c r="AE175" i="1"/>
  <c r="R47" i="3" s="1"/>
  <c r="AF175" i="1"/>
  <c r="AH192" i="1"/>
  <c r="K176" i="1"/>
  <c r="L176" i="1"/>
  <c r="M176" i="1"/>
  <c r="N176" i="1" s="1"/>
  <c r="V176" i="1"/>
  <c r="S43" i="3" s="1"/>
  <c r="Y176" i="1"/>
  <c r="Z176" i="1"/>
  <c r="AB176" i="1"/>
  <c r="AC176" i="1"/>
  <c r="AD176" i="1"/>
  <c r="AE176" i="1"/>
  <c r="R43" i="3" s="1"/>
  <c r="AF176" i="1"/>
  <c r="AH193" i="1"/>
  <c r="K177" i="1"/>
  <c r="L177" i="1"/>
  <c r="M177" i="1"/>
  <c r="N177" i="1" s="1"/>
  <c r="V177" i="1"/>
  <c r="Y177" i="1"/>
  <c r="Z177" i="1"/>
  <c r="AB177" i="1"/>
  <c r="AC177" i="1"/>
  <c r="AD177" i="1"/>
  <c r="AE177" i="1"/>
  <c r="AF177" i="1"/>
  <c r="AH194" i="1"/>
  <c r="K178" i="1"/>
  <c r="L178" i="1"/>
  <c r="M178" i="1"/>
  <c r="N178" i="1" s="1"/>
  <c r="V178" i="1"/>
  <c r="Y178" i="1"/>
  <c r="Z178" i="1"/>
  <c r="AB178" i="1"/>
  <c r="AC178" i="1"/>
  <c r="AD178" i="1"/>
  <c r="T178" i="1" s="1"/>
  <c r="AE178" i="1"/>
  <c r="AF178" i="1"/>
  <c r="AH195" i="1"/>
  <c r="K179" i="1"/>
  <c r="L179" i="1"/>
  <c r="M179" i="1"/>
  <c r="N179" i="1" s="1"/>
  <c r="V179" i="1"/>
  <c r="Y179" i="1"/>
  <c r="Z179" i="1"/>
  <c r="AB179" i="1"/>
  <c r="AC179" i="1"/>
  <c r="AD179" i="1"/>
  <c r="AG179" i="1" s="1"/>
  <c r="AE179" i="1"/>
  <c r="AF179" i="1"/>
  <c r="AH196" i="1"/>
  <c r="K180" i="1"/>
  <c r="L180" i="1"/>
  <c r="M180" i="1"/>
  <c r="N180" i="1" s="1"/>
  <c r="V180" i="1"/>
  <c r="Y180" i="1"/>
  <c r="Z180" i="1"/>
  <c r="AB180" i="1"/>
  <c r="AC180" i="1"/>
  <c r="AD180" i="1"/>
  <c r="T180" i="1" s="1"/>
  <c r="AE180" i="1"/>
  <c r="AF180" i="1"/>
  <c r="AH197" i="1"/>
  <c r="AH198" i="1"/>
  <c r="K181" i="1"/>
  <c r="L181" i="1"/>
  <c r="M181" i="1"/>
  <c r="N181" i="1" s="1"/>
  <c r="V181" i="1"/>
  <c r="Y181" i="1"/>
  <c r="Z181" i="1"/>
  <c r="AB181" i="1"/>
  <c r="AC181" i="1"/>
  <c r="AD181" i="1"/>
  <c r="AG181" i="1" s="1"/>
  <c r="AE181" i="1"/>
  <c r="AF181" i="1"/>
  <c r="AH199" i="1"/>
  <c r="K182" i="1"/>
  <c r="L182" i="1"/>
  <c r="M182" i="1"/>
  <c r="N182" i="1" s="1"/>
  <c r="V182" i="1"/>
  <c r="Y182" i="1"/>
  <c r="Z182" i="1"/>
  <c r="AB182" i="1"/>
  <c r="AC182" i="1"/>
  <c r="AD182" i="1"/>
  <c r="AG182" i="1" s="1"/>
  <c r="AE182" i="1"/>
  <c r="AF182" i="1"/>
  <c r="AH200" i="1"/>
  <c r="K183" i="1"/>
  <c r="L183" i="1"/>
  <c r="M183" i="1"/>
  <c r="N183" i="1" s="1"/>
  <c r="V183" i="1"/>
  <c r="Y183" i="1"/>
  <c r="Z183" i="1"/>
  <c r="AB183" i="1"/>
  <c r="AC183" i="1"/>
  <c r="AD183" i="1"/>
  <c r="AE183" i="1"/>
  <c r="AF183" i="1"/>
  <c r="AH201" i="1"/>
  <c r="K184" i="1"/>
  <c r="L184" i="1"/>
  <c r="M184" i="1"/>
  <c r="N184" i="1" s="1"/>
  <c r="V184" i="1"/>
  <c r="Y184" i="1"/>
  <c r="Z184" i="1"/>
  <c r="AB184" i="1"/>
  <c r="AC184" i="1"/>
  <c r="AD184" i="1"/>
  <c r="AE184" i="1"/>
  <c r="AF184" i="1"/>
  <c r="AH202" i="1"/>
  <c r="K185" i="1"/>
  <c r="L185" i="1"/>
  <c r="M185" i="1"/>
  <c r="N185" i="1" s="1"/>
  <c r="V185" i="1"/>
  <c r="S55" i="3" s="1"/>
  <c r="Y185" i="1"/>
  <c r="Z185" i="1"/>
  <c r="AB185" i="1"/>
  <c r="AC185" i="1"/>
  <c r="AD185" i="1"/>
  <c r="AE185" i="1"/>
  <c r="AF185" i="1"/>
  <c r="AH203" i="1"/>
  <c r="K186" i="1"/>
  <c r="L186" i="1"/>
  <c r="M186" i="1"/>
  <c r="N186" i="1" s="1"/>
  <c r="V186" i="1"/>
  <c r="Y186" i="1"/>
  <c r="Z186" i="1"/>
  <c r="AB186" i="1"/>
  <c r="AC186" i="1"/>
  <c r="AD186" i="1"/>
  <c r="AG186" i="1" s="1"/>
  <c r="AE186" i="1"/>
  <c r="AF186" i="1"/>
  <c r="AH204" i="1"/>
  <c r="K187" i="1"/>
  <c r="L187" i="1"/>
  <c r="M187" i="1"/>
  <c r="N187" i="1" s="1"/>
  <c r="V187" i="1"/>
  <c r="Y187" i="1"/>
  <c r="Z187" i="1"/>
  <c r="AB187" i="1"/>
  <c r="AC187" i="1"/>
  <c r="AD187" i="1"/>
  <c r="T187" i="1" s="1"/>
  <c r="AE187" i="1"/>
  <c r="AF187" i="1"/>
  <c r="AH205" i="1"/>
  <c r="K188" i="1"/>
  <c r="L188" i="1"/>
  <c r="M188" i="1"/>
  <c r="N188" i="1" s="1"/>
  <c r="V188" i="1"/>
  <c r="S52" i="3" s="1"/>
  <c r="Y188" i="1"/>
  <c r="Z188" i="1"/>
  <c r="AB188" i="1"/>
  <c r="AC188" i="1"/>
  <c r="AD188" i="1"/>
  <c r="X188" i="1" s="1"/>
  <c r="AE188" i="1"/>
  <c r="R52" i="3" s="1"/>
  <c r="AF188" i="1"/>
  <c r="AH206" i="1"/>
  <c r="K189" i="1"/>
  <c r="L189" i="1"/>
  <c r="M189" i="1"/>
  <c r="N189" i="1" s="1"/>
  <c r="V189" i="1"/>
  <c r="Y189" i="1"/>
  <c r="Z189" i="1"/>
  <c r="AB189" i="1"/>
  <c r="AC189" i="1"/>
  <c r="AD189" i="1"/>
  <c r="AG189" i="1" s="1"/>
  <c r="AE189" i="1"/>
  <c r="AF189" i="1"/>
  <c r="AH207" i="1"/>
  <c r="K190" i="1"/>
  <c r="L190" i="1"/>
  <c r="M190" i="1"/>
  <c r="N190" i="1" s="1"/>
  <c r="V190" i="1"/>
  <c r="Y190" i="1"/>
  <c r="Z190" i="1"/>
  <c r="AB190" i="1"/>
  <c r="AC190" i="1"/>
  <c r="AD190" i="1"/>
  <c r="AG190" i="1" s="1"/>
  <c r="AE190" i="1"/>
  <c r="AF190" i="1"/>
  <c r="AH208" i="1"/>
  <c r="K191" i="1"/>
  <c r="L191" i="1"/>
  <c r="M191" i="1"/>
  <c r="N191" i="1" s="1"/>
  <c r="V191" i="1"/>
  <c r="Y191" i="1"/>
  <c r="Z191" i="1"/>
  <c r="AB191" i="1"/>
  <c r="AC191" i="1"/>
  <c r="AD191" i="1"/>
  <c r="T191" i="1" s="1"/>
  <c r="AE191" i="1"/>
  <c r="AF191" i="1"/>
  <c r="AH209" i="1"/>
  <c r="K192" i="1"/>
  <c r="L192" i="1"/>
  <c r="M192" i="1"/>
  <c r="N192" i="1" s="1"/>
  <c r="V192" i="1"/>
  <c r="S53" i="3" s="1"/>
  <c r="Y192" i="1"/>
  <c r="Z192" i="1"/>
  <c r="AB192" i="1"/>
  <c r="AC192" i="1"/>
  <c r="AD192" i="1"/>
  <c r="T192" i="1" s="1"/>
  <c r="AE192" i="1"/>
  <c r="R53" i="3" s="1"/>
  <c r="AF192" i="1"/>
  <c r="AH210" i="1"/>
  <c r="K193" i="1"/>
  <c r="L193" i="1"/>
  <c r="M193" i="1"/>
  <c r="N193" i="1" s="1"/>
  <c r="V193" i="1"/>
  <c r="S44" i="3" s="1"/>
  <c r="Y193" i="1"/>
  <c r="Z193" i="1"/>
  <c r="AB193" i="1"/>
  <c r="AC193" i="1"/>
  <c r="AD193" i="1"/>
  <c r="X193" i="1" s="1"/>
  <c r="AE193" i="1"/>
  <c r="R44" i="3" s="1"/>
  <c r="AF193" i="1"/>
  <c r="AH211" i="1"/>
  <c r="K194" i="1"/>
  <c r="L194" i="1"/>
  <c r="M194" i="1"/>
  <c r="N194" i="1" s="1"/>
  <c r="V194" i="1"/>
  <c r="Y194" i="1"/>
  <c r="Z194" i="1"/>
  <c r="AB194" i="1"/>
  <c r="AC194" i="1"/>
  <c r="AD194" i="1"/>
  <c r="AG194" i="1" s="1"/>
  <c r="AE194" i="1"/>
  <c r="AF194" i="1"/>
  <c r="AH212" i="1"/>
  <c r="K195" i="1"/>
  <c r="L195" i="1"/>
  <c r="M195" i="1"/>
  <c r="N195" i="1" s="1"/>
  <c r="V195" i="1"/>
  <c r="Y195" i="1"/>
  <c r="Z195" i="1"/>
  <c r="AB195" i="1"/>
  <c r="AC195" i="1"/>
  <c r="AD195" i="1"/>
  <c r="AE195" i="1"/>
  <c r="AF195" i="1"/>
  <c r="AH213" i="1"/>
  <c r="K196" i="1"/>
  <c r="L196" i="1"/>
  <c r="M196" i="1"/>
  <c r="N196" i="1" s="1"/>
  <c r="V196" i="1"/>
  <c r="Y196" i="1"/>
  <c r="Z196" i="1"/>
  <c r="AB196" i="1"/>
  <c r="AC196" i="1"/>
  <c r="AD196" i="1"/>
  <c r="T196" i="1" s="1"/>
  <c r="AE196" i="1"/>
  <c r="AF196" i="1"/>
  <c r="AH214" i="1"/>
  <c r="K197" i="1"/>
  <c r="L197" i="1"/>
  <c r="M197" i="1"/>
  <c r="N197" i="1" s="1"/>
  <c r="V197" i="1"/>
  <c r="Y197" i="1"/>
  <c r="Z197" i="1"/>
  <c r="AB197" i="1"/>
  <c r="AC197" i="1"/>
  <c r="AD197" i="1"/>
  <c r="AG197" i="1" s="1"/>
  <c r="AE197" i="1"/>
  <c r="AF197" i="1"/>
  <c r="AH215" i="1"/>
  <c r="K198" i="1"/>
  <c r="L198" i="1"/>
  <c r="M198" i="1"/>
  <c r="N198" i="1" s="1"/>
  <c r="V198" i="1"/>
  <c r="Y198" i="1"/>
  <c r="Z198" i="1"/>
  <c r="AB198" i="1"/>
  <c r="AC198" i="1"/>
  <c r="AD198" i="1"/>
  <c r="AG198" i="1" s="1"/>
  <c r="AE198" i="1"/>
  <c r="AF198" i="1"/>
  <c r="AH216" i="1"/>
  <c r="K199" i="1"/>
  <c r="L199" i="1"/>
  <c r="M199" i="1"/>
  <c r="N199" i="1" s="1"/>
  <c r="V199" i="1"/>
  <c r="Y199" i="1"/>
  <c r="Z199" i="1"/>
  <c r="AB199" i="1"/>
  <c r="AC199" i="1"/>
  <c r="AD199" i="1"/>
  <c r="T199" i="1" s="1"/>
  <c r="AE199" i="1"/>
  <c r="AF199" i="1"/>
  <c r="AH217" i="1"/>
  <c r="K200" i="1"/>
  <c r="L200" i="1"/>
  <c r="M200" i="1"/>
  <c r="N200" i="1" s="1"/>
  <c r="V200" i="1"/>
  <c r="Y200" i="1"/>
  <c r="Z200" i="1"/>
  <c r="AB200" i="1"/>
  <c r="AC200" i="1"/>
  <c r="AD200" i="1"/>
  <c r="T200" i="1" s="1"/>
  <c r="AE200" i="1"/>
  <c r="AF200" i="1"/>
  <c r="AH218" i="1"/>
  <c r="K201" i="1"/>
  <c r="L201" i="1"/>
  <c r="M201" i="1"/>
  <c r="N201" i="1" s="1"/>
  <c r="V201" i="1"/>
  <c r="Y201" i="1"/>
  <c r="Z201" i="1"/>
  <c r="AB201" i="1"/>
  <c r="AC201" i="1"/>
  <c r="AD201" i="1"/>
  <c r="T201" i="1" s="1"/>
  <c r="AE201" i="1"/>
  <c r="AF201" i="1"/>
  <c r="AH219" i="1"/>
  <c r="K202" i="1"/>
  <c r="L202" i="1"/>
  <c r="M202" i="1"/>
  <c r="N202" i="1" s="1"/>
  <c r="V202" i="1"/>
  <c r="Y202" i="1"/>
  <c r="Z202" i="1"/>
  <c r="AB202" i="1"/>
  <c r="AC202" i="1"/>
  <c r="AD202" i="1"/>
  <c r="AE202" i="1"/>
  <c r="AF202" i="1"/>
  <c r="AH220" i="1"/>
  <c r="K215" i="1"/>
  <c r="L215" i="1"/>
  <c r="M215" i="1"/>
  <c r="N215" i="1" s="1"/>
  <c r="V215" i="1"/>
  <c r="Y215" i="1"/>
  <c r="Z215" i="1"/>
  <c r="AB215" i="1"/>
  <c r="AC215" i="1"/>
  <c r="AD215" i="1"/>
  <c r="AG215" i="1" s="1"/>
  <c r="AE215" i="1"/>
  <c r="AF215" i="1"/>
  <c r="AH221" i="1"/>
  <c r="K216" i="1"/>
  <c r="L216" i="1"/>
  <c r="M216" i="1"/>
  <c r="N216" i="1" s="1"/>
  <c r="V216" i="1"/>
  <c r="Y216" i="1"/>
  <c r="Z216" i="1"/>
  <c r="AB216" i="1"/>
  <c r="AC216" i="1"/>
  <c r="AD216" i="1"/>
  <c r="AE216" i="1"/>
  <c r="AF216" i="1"/>
  <c r="AH222" i="1"/>
  <c r="K217" i="1"/>
  <c r="L217" i="1"/>
  <c r="M217" i="1"/>
  <c r="N217" i="1" s="1"/>
  <c r="V217" i="1"/>
  <c r="Y217" i="1"/>
  <c r="Z217" i="1"/>
  <c r="AB217" i="1"/>
  <c r="AC217" i="1"/>
  <c r="AD217" i="1"/>
  <c r="AE217" i="1"/>
  <c r="AF217" i="1"/>
  <c r="AH223" i="1"/>
  <c r="K218" i="1"/>
  <c r="L218" i="1"/>
  <c r="M218" i="1"/>
  <c r="N218" i="1" s="1"/>
  <c r="V218" i="1"/>
  <c r="Y218" i="1"/>
  <c r="Z218" i="1"/>
  <c r="AB218" i="1"/>
  <c r="AC218" i="1"/>
  <c r="AD218" i="1"/>
  <c r="AE218" i="1"/>
  <c r="AF218" i="1"/>
  <c r="AH224" i="1"/>
  <c r="K219" i="1"/>
  <c r="L219" i="1"/>
  <c r="M219" i="1"/>
  <c r="N219" i="1" s="1"/>
  <c r="V219" i="1"/>
  <c r="Y219" i="1"/>
  <c r="Z219" i="1"/>
  <c r="AB219" i="1"/>
  <c r="AC219" i="1"/>
  <c r="AD219" i="1"/>
  <c r="AG219" i="1" s="1"/>
  <c r="AE219" i="1"/>
  <c r="AF219" i="1"/>
  <c r="AH225" i="1"/>
  <c r="K220" i="1"/>
  <c r="L220" i="1"/>
  <c r="M220" i="1"/>
  <c r="N220" i="1" s="1"/>
  <c r="V220" i="1"/>
  <c r="Y220" i="1"/>
  <c r="Z220" i="1"/>
  <c r="AB220" i="1"/>
  <c r="AC220" i="1"/>
  <c r="AD220" i="1"/>
  <c r="AE220" i="1"/>
  <c r="AF220" i="1"/>
  <c r="AH226" i="1"/>
  <c r="M58" i="3"/>
  <c r="N58" i="3"/>
  <c r="U58" i="3"/>
  <c r="T58" i="3" s="1"/>
  <c r="V58" i="3"/>
  <c r="W58" i="3"/>
  <c r="X58" i="3"/>
  <c r="M14" i="3"/>
  <c r="N14" i="3"/>
  <c r="U14" i="3"/>
  <c r="T14" i="3" s="1"/>
  <c r="V14" i="3"/>
  <c r="W14" i="3"/>
  <c r="X14" i="3"/>
  <c r="AC14" i="3"/>
  <c r="M36" i="3"/>
  <c r="N36" i="3"/>
  <c r="U36" i="3"/>
  <c r="AC36" i="3" s="1"/>
  <c r="V36" i="3"/>
  <c r="W36" i="3"/>
  <c r="X36" i="3"/>
  <c r="M37" i="3"/>
  <c r="N37" i="3"/>
  <c r="U37" i="3"/>
  <c r="AC37" i="3" s="1"/>
  <c r="V37" i="3"/>
  <c r="W37" i="3"/>
  <c r="X37" i="3"/>
  <c r="M25" i="3"/>
  <c r="N25" i="3"/>
  <c r="R25" i="3"/>
  <c r="U25" i="3"/>
  <c r="T25" i="3" s="1"/>
  <c r="V25" i="3"/>
  <c r="W25" i="3"/>
  <c r="X25" i="3"/>
  <c r="M46" i="3"/>
  <c r="N46" i="3"/>
  <c r="U46" i="3"/>
  <c r="T46" i="3" s="1"/>
  <c r="V46" i="3"/>
  <c r="W46" i="3"/>
  <c r="X46" i="3"/>
  <c r="AC46" i="3"/>
  <c r="M48" i="3"/>
  <c r="N48" i="3"/>
  <c r="U48" i="3"/>
  <c r="AC48" i="3" s="1"/>
  <c r="V48" i="3"/>
  <c r="W48" i="3"/>
  <c r="X48" i="3"/>
  <c r="M49" i="3"/>
  <c r="N49" i="3"/>
  <c r="U49" i="3"/>
  <c r="T49" i="3" s="1"/>
  <c r="V49" i="3"/>
  <c r="W49" i="3"/>
  <c r="X49" i="3"/>
  <c r="M18" i="3"/>
  <c r="N18" i="3"/>
  <c r="S18" i="3"/>
  <c r="U18" i="3"/>
  <c r="T18" i="3" s="1"/>
  <c r="V18" i="3"/>
  <c r="W18" i="3"/>
  <c r="X18" i="3"/>
  <c r="M38" i="3"/>
  <c r="N38" i="3"/>
  <c r="U38" i="3"/>
  <c r="T38" i="3" s="1"/>
  <c r="V38" i="3"/>
  <c r="W38" i="3"/>
  <c r="X38" i="3"/>
  <c r="AC38" i="3"/>
  <c r="M50" i="3"/>
  <c r="N50" i="3"/>
  <c r="U50" i="3"/>
  <c r="AC50" i="3" s="1"/>
  <c r="V50" i="3"/>
  <c r="W50" i="3"/>
  <c r="X50" i="3"/>
  <c r="M26" i="3"/>
  <c r="N26" i="3"/>
  <c r="U26" i="3"/>
  <c r="AC26" i="3" s="1"/>
  <c r="V26" i="3"/>
  <c r="W26" i="3"/>
  <c r="X26" i="3"/>
  <c r="M51" i="3"/>
  <c r="N51" i="3"/>
  <c r="U51" i="3"/>
  <c r="T51" i="3" s="1"/>
  <c r="V51" i="3"/>
  <c r="W51" i="3"/>
  <c r="X51" i="3"/>
  <c r="M8" i="3"/>
  <c r="N8" i="3"/>
  <c r="S8" i="3"/>
  <c r="U8" i="3"/>
  <c r="T8" i="3" s="1"/>
  <c r="V8" i="3"/>
  <c r="W8" i="3"/>
  <c r="X8" i="3"/>
  <c r="AC8" i="3"/>
  <c r="M45" i="3"/>
  <c r="N45" i="3"/>
  <c r="S45" i="3"/>
  <c r="U45" i="3"/>
  <c r="AC45" i="3" s="1"/>
  <c r="V45" i="3"/>
  <c r="W45" i="3"/>
  <c r="X45" i="3"/>
  <c r="M27" i="3"/>
  <c r="N27" i="3"/>
  <c r="S27" i="3"/>
  <c r="U27" i="3"/>
  <c r="T27" i="3" s="1"/>
  <c r="V27" i="3"/>
  <c r="W27" i="3"/>
  <c r="X27" i="3"/>
  <c r="M28" i="3"/>
  <c r="N28" i="3"/>
  <c r="U28" i="3"/>
  <c r="T28" i="3" s="1"/>
  <c r="V28" i="3"/>
  <c r="W28" i="3"/>
  <c r="X28" i="3"/>
  <c r="M7" i="3"/>
  <c r="N7" i="3"/>
  <c r="U7" i="3"/>
  <c r="T7" i="3" s="1"/>
  <c r="V7" i="3"/>
  <c r="W7" i="3"/>
  <c r="X7" i="3"/>
  <c r="AC7" i="3"/>
  <c r="M39" i="3"/>
  <c r="N39" i="3"/>
  <c r="U39" i="3"/>
  <c r="AC39" i="3" s="1"/>
  <c r="V39" i="3"/>
  <c r="W39" i="3"/>
  <c r="X39" i="3"/>
  <c r="M30" i="3"/>
  <c r="N30" i="3"/>
  <c r="U30" i="3"/>
  <c r="AC30" i="3" s="1"/>
  <c r="V30" i="3"/>
  <c r="W30" i="3"/>
  <c r="X30" i="3"/>
  <c r="M10" i="3"/>
  <c r="N10" i="3"/>
  <c r="U10" i="3"/>
  <c r="T10" i="3" s="1"/>
  <c r="V10" i="3"/>
  <c r="W10" i="3"/>
  <c r="X10" i="3"/>
  <c r="M11" i="3"/>
  <c r="N11" i="3"/>
  <c r="R11" i="3"/>
  <c r="U11" i="3"/>
  <c r="T11" i="3" s="1"/>
  <c r="V11" i="3"/>
  <c r="W11" i="3"/>
  <c r="X11" i="3"/>
  <c r="AC11" i="3"/>
  <c r="M40" i="3"/>
  <c r="N40" i="3"/>
  <c r="R40" i="3"/>
  <c r="U40" i="3"/>
  <c r="AC40" i="3" s="1"/>
  <c r="V40" i="3"/>
  <c r="W40" i="3"/>
  <c r="X40" i="3"/>
  <c r="M42" i="3"/>
  <c r="N42" i="3"/>
  <c r="U42" i="3"/>
  <c r="T42" i="3" s="1"/>
  <c r="V42" i="3"/>
  <c r="W42" i="3"/>
  <c r="X42" i="3"/>
  <c r="M19" i="3"/>
  <c r="N19" i="3"/>
  <c r="U19" i="3"/>
  <c r="T19" i="3" s="1"/>
  <c r="V19" i="3"/>
  <c r="W19" i="3"/>
  <c r="X19" i="3"/>
  <c r="M16" i="3"/>
  <c r="N16" i="3"/>
  <c r="U16" i="3"/>
  <c r="T16" i="3" s="1"/>
  <c r="V16" i="3"/>
  <c r="W16" i="3"/>
  <c r="X16" i="3"/>
  <c r="AC16" i="3"/>
  <c r="M41" i="3"/>
  <c r="N41" i="3"/>
  <c r="U41" i="3"/>
  <c r="AC41" i="3" s="1"/>
  <c r="V41" i="3"/>
  <c r="W41" i="3"/>
  <c r="X41" i="3"/>
  <c r="M47" i="3"/>
  <c r="N47" i="3"/>
  <c r="U47" i="3"/>
  <c r="AC47" i="3" s="1"/>
  <c r="V47" i="3"/>
  <c r="W47" i="3"/>
  <c r="X47" i="3"/>
  <c r="M12" i="3"/>
  <c r="N12" i="3"/>
  <c r="U12" i="3"/>
  <c r="T12" i="3" s="1"/>
  <c r="V12" i="3"/>
  <c r="W12" i="3"/>
  <c r="X12" i="3"/>
  <c r="M31" i="3"/>
  <c r="N31" i="3"/>
  <c r="U31" i="3"/>
  <c r="T31" i="3" s="1"/>
  <c r="V31" i="3"/>
  <c r="W31" i="3"/>
  <c r="X31" i="3"/>
  <c r="AC31" i="3"/>
  <c r="M43" i="3"/>
  <c r="N43" i="3"/>
  <c r="U43" i="3"/>
  <c r="AC43" i="3" s="1"/>
  <c r="V43" i="3"/>
  <c r="W43" i="3"/>
  <c r="X43" i="3"/>
  <c r="M29" i="3"/>
  <c r="N29" i="3"/>
  <c r="U29" i="3"/>
  <c r="T29" i="3" s="1"/>
  <c r="V29" i="3"/>
  <c r="W29" i="3"/>
  <c r="Y29" i="3" s="1"/>
  <c r="X29" i="3"/>
  <c r="M17" i="3"/>
  <c r="N17" i="3"/>
  <c r="U17" i="3"/>
  <c r="T17" i="3" s="1"/>
  <c r="V17" i="3"/>
  <c r="W17" i="3"/>
  <c r="X17" i="3"/>
  <c r="M32" i="3"/>
  <c r="N32" i="3"/>
  <c r="U32" i="3"/>
  <c r="T32" i="3" s="1"/>
  <c r="V32" i="3"/>
  <c r="W32" i="3"/>
  <c r="X32" i="3"/>
  <c r="AC32" i="3"/>
  <c r="M54" i="3"/>
  <c r="N54" i="3"/>
  <c r="S54" i="3"/>
  <c r="U54" i="3"/>
  <c r="AC54" i="3" s="1"/>
  <c r="V54" i="3"/>
  <c r="W54" i="3"/>
  <c r="X54" i="3"/>
  <c r="M55" i="3"/>
  <c r="N55" i="3"/>
  <c r="U55" i="3"/>
  <c r="AC55" i="3" s="1"/>
  <c r="V55" i="3"/>
  <c r="W55" i="3"/>
  <c r="X55" i="3"/>
  <c r="M57" i="3"/>
  <c r="N57" i="3"/>
  <c r="U57" i="3"/>
  <c r="T57" i="3" s="1"/>
  <c r="V57" i="3"/>
  <c r="W57" i="3"/>
  <c r="X57" i="3"/>
  <c r="M52" i="3"/>
  <c r="N52" i="3"/>
  <c r="U52" i="3"/>
  <c r="T52" i="3" s="1"/>
  <c r="V52" i="3"/>
  <c r="W52" i="3"/>
  <c r="X52" i="3"/>
  <c r="AC52" i="3"/>
  <c r="M13" i="3"/>
  <c r="N13" i="3"/>
  <c r="U13" i="3"/>
  <c r="AC13" i="3" s="1"/>
  <c r="V13" i="3"/>
  <c r="W13" i="3"/>
  <c r="X13" i="3"/>
  <c r="M15" i="3"/>
  <c r="N15" i="3"/>
  <c r="S15" i="3"/>
  <c r="U15" i="3"/>
  <c r="T15" i="3" s="1"/>
  <c r="V15" i="3"/>
  <c r="W15" i="3"/>
  <c r="X15" i="3"/>
  <c r="M20" i="3"/>
  <c r="N20" i="3"/>
  <c r="S20" i="3"/>
  <c r="U20" i="3"/>
  <c r="T20" i="3" s="1"/>
  <c r="V20" i="3"/>
  <c r="W20" i="3"/>
  <c r="X20" i="3"/>
  <c r="M53" i="3"/>
  <c r="N53" i="3"/>
  <c r="U53" i="3"/>
  <c r="T53" i="3" s="1"/>
  <c r="V53" i="3"/>
  <c r="W53" i="3"/>
  <c r="X53" i="3"/>
  <c r="AC53" i="3"/>
  <c r="M44" i="3"/>
  <c r="N44" i="3"/>
  <c r="U44" i="3"/>
  <c r="AC44" i="3" s="1"/>
  <c r="V44" i="3"/>
  <c r="W44" i="3"/>
  <c r="X44" i="3"/>
  <c r="M56" i="3"/>
  <c r="N56" i="3"/>
  <c r="U56" i="3"/>
  <c r="AC56" i="3" s="1"/>
  <c r="V56" i="3"/>
  <c r="W56" i="3"/>
  <c r="X56" i="3"/>
  <c r="M33" i="3"/>
  <c r="N33" i="3"/>
  <c r="S33" i="3"/>
  <c r="U33" i="3"/>
  <c r="T33" i="3" s="1"/>
  <c r="V33" i="3"/>
  <c r="W33" i="3"/>
  <c r="X33" i="3"/>
  <c r="M21" i="3"/>
  <c r="N21" i="3"/>
  <c r="S21" i="3"/>
  <c r="U21" i="3"/>
  <c r="T21" i="3" s="1"/>
  <c r="V21" i="3"/>
  <c r="W21" i="3"/>
  <c r="X21" i="3"/>
  <c r="AC21" i="3"/>
  <c r="M22" i="3"/>
  <c r="N22" i="3"/>
  <c r="U22" i="3"/>
  <c r="AC22" i="3" s="1"/>
  <c r="V22" i="3"/>
  <c r="W22" i="3"/>
  <c r="X22" i="3"/>
  <c r="M23" i="3"/>
  <c r="N23" i="3"/>
  <c r="U23" i="3"/>
  <c r="T23" i="3" s="1"/>
  <c r="V23" i="3"/>
  <c r="W23" i="3"/>
  <c r="X23" i="3"/>
  <c r="M34" i="3"/>
  <c r="N34" i="3"/>
  <c r="U34" i="3"/>
  <c r="T34" i="3" s="1"/>
  <c r="V34" i="3"/>
  <c r="W34" i="3"/>
  <c r="X34" i="3"/>
  <c r="M35" i="3"/>
  <c r="N35" i="3"/>
  <c r="S35" i="3"/>
  <c r="U35" i="3"/>
  <c r="T35" i="3" s="1"/>
  <c r="V35" i="3"/>
  <c r="W35" i="3"/>
  <c r="X35" i="3"/>
  <c r="AC35" i="3"/>
  <c r="M9" i="3"/>
  <c r="U9" i="3"/>
  <c r="AC9" i="3" s="1"/>
  <c r="V9" i="3"/>
  <c r="W9" i="3"/>
  <c r="X9" i="3"/>
  <c r="AG131" i="1" l="1"/>
  <c r="X131" i="1"/>
  <c r="X179" i="1"/>
  <c r="X111" i="1"/>
  <c r="AA145" i="1"/>
  <c r="X97" i="1"/>
  <c r="T152" i="1"/>
  <c r="U152" i="1" s="1"/>
  <c r="S152" i="1" s="1"/>
  <c r="X180" i="1"/>
  <c r="X152" i="1"/>
  <c r="W152" i="1"/>
  <c r="AI152" i="1"/>
  <c r="R21" i="3"/>
  <c r="AG110" i="1"/>
  <c r="X110" i="1"/>
  <c r="Y31" i="3"/>
  <c r="Y14" i="3"/>
  <c r="X100" i="1"/>
  <c r="R41" i="3"/>
  <c r="X99" i="1"/>
  <c r="X77" i="1"/>
  <c r="X98" i="1"/>
  <c r="Y21" i="3"/>
  <c r="AG199" i="1"/>
  <c r="X76" i="1"/>
  <c r="R28" i="3"/>
  <c r="X50" i="1"/>
  <c r="X75" i="1"/>
  <c r="Y35" i="3"/>
  <c r="Y41" i="3"/>
  <c r="Y50" i="3"/>
  <c r="Y49" i="3"/>
  <c r="R36" i="3"/>
  <c r="Y58" i="3"/>
  <c r="AA199" i="1"/>
  <c r="W199" i="1" s="1"/>
  <c r="AA198" i="1"/>
  <c r="X78" i="1"/>
  <c r="Y44" i="3"/>
  <c r="Y27" i="3"/>
  <c r="Y23" i="3"/>
  <c r="Y40" i="3"/>
  <c r="Y26" i="3"/>
  <c r="S37" i="3"/>
  <c r="X52" i="1"/>
  <c r="S31" i="3"/>
  <c r="AA15" i="1"/>
  <c r="AA154" i="1"/>
  <c r="W154" i="1" s="1"/>
  <c r="X51" i="1"/>
  <c r="Y18" i="3"/>
  <c r="AG15" i="1"/>
  <c r="X53" i="1"/>
  <c r="Y42" i="3"/>
  <c r="Y8" i="3"/>
  <c r="T164" i="1"/>
  <c r="Y9" i="3"/>
  <c r="Y36" i="3"/>
  <c r="AA174" i="1"/>
  <c r="AA165" i="1"/>
  <c r="R51" i="3"/>
  <c r="AA137" i="1"/>
  <c r="T140" i="1"/>
  <c r="AG118" i="1"/>
  <c r="R56" i="3"/>
  <c r="AA213" i="1"/>
  <c r="AA212" i="1"/>
  <c r="W212" i="1" s="1"/>
  <c r="AA187" i="1"/>
  <c r="AA186" i="1"/>
  <c r="W186" i="1" s="1"/>
  <c r="AA185" i="1"/>
  <c r="AA164" i="1"/>
  <c r="AA140" i="1"/>
  <c r="AG90" i="1"/>
  <c r="U90" i="1" s="1"/>
  <c r="S90" i="1" s="1"/>
  <c r="X70" i="1"/>
  <c r="AG37" i="1"/>
  <c r="AI37" i="1" s="1"/>
  <c r="X37" i="1"/>
  <c r="X154" i="1"/>
  <c r="AA201" i="1"/>
  <c r="X157" i="1"/>
  <c r="AA133" i="1"/>
  <c r="AA126" i="1"/>
  <c r="AA125" i="1"/>
  <c r="AG69" i="1"/>
  <c r="X69" i="1"/>
  <c r="AG24" i="1"/>
  <c r="U24" i="1" s="1"/>
  <c r="S24" i="1" s="1"/>
  <c r="X24" i="1"/>
  <c r="X155" i="1"/>
  <c r="T154" i="1"/>
  <c r="U154" i="1" s="1"/>
  <c r="S154" i="1" s="1"/>
  <c r="AI154" i="1"/>
  <c r="S19" i="3"/>
  <c r="S56" i="3"/>
  <c r="S51" i="3"/>
  <c r="AA169" i="1"/>
  <c r="X212" i="1"/>
  <c r="AA211" i="1"/>
  <c r="AA210" i="1"/>
  <c r="AA209" i="1"/>
  <c r="W209" i="1" s="1"/>
  <c r="T204" i="1"/>
  <c r="AA144" i="1"/>
  <c r="AA102" i="1"/>
  <c r="W102" i="1" s="1"/>
  <c r="AA87" i="1"/>
  <c r="W87" i="1" s="1"/>
  <c r="AI86" i="1"/>
  <c r="AA81" i="1"/>
  <c r="AA79" i="1"/>
  <c r="AA78" i="1"/>
  <c r="AA77" i="1"/>
  <c r="AA68" i="1"/>
  <c r="AA67" i="1"/>
  <c r="AI66" i="1"/>
  <c r="AA65" i="1"/>
  <c r="T57" i="1"/>
  <c r="U57" i="1" s="1"/>
  <c r="S57" i="1" s="1"/>
  <c r="AG35" i="1"/>
  <c r="W35" i="1" s="1"/>
  <c r="AI33" i="1"/>
  <c r="AA191" i="1"/>
  <c r="AA190" i="1"/>
  <c r="W190" i="1" s="1"/>
  <c r="X164" i="1"/>
  <c r="AA163" i="1"/>
  <c r="AA162" i="1"/>
  <c r="AA161" i="1"/>
  <c r="W161" i="1" s="1"/>
  <c r="AA157" i="1"/>
  <c r="AA225" i="1"/>
  <c r="AA224" i="1"/>
  <c r="AA204" i="1"/>
  <c r="X144" i="1"/>
  <c r="AA141" i="1"/>
  <c r="AA115" i="1"/>
  <c r="AA113" i="1"/>
  <c r="AA112" i="1"/>
  <c r="AA108" i="1"/>
  <c r="AA107" i="1"/>
  <c r="W107" i="1" s="1"/>
  <c r="U69" i="1"/>
  <c r="S69" i="1" s="1"/>
  <c r="AA60" i="1"/>
  <c r="AA59" i="1"/>
  <c r="AA58" i="1"/>
  <c r="AA57" i="1"/>
  <c r="W57" i="1" s="1"/>
  <c r="AA23" i="1"/>
  <c r="AA22" i="1"/>
  <c r="AG191" i="1"/>
  <c r="AI191" i="1" s="1"/>
  <c r="X189" i="1"/>
  <c r="T144" i="1"/>
  <c r="Y56" i="3"/>
  <c r="Y54" i="3"/>
  <c r="Y32" i="3"/>
  <c r="Y19" i="3"/>
  <c r="Y39" i="3"/>
  <c r="Y7" i="3"/>
  <c r="Y20" i="3"/>
  <c r="Y15" i="3"/>
  <c r="Y13" i="3"/>
  <c r="Y47" i="3"/>
  <c r="Y48" i="3"/>
  <c r="Y46" i="3"/>
  <c r="T172" i="1"/>
  <c r="U172" i="1" s="1"/>
  <c r="S172" i="1" s="1"/>
  <c r="AG212" i="1"/>
  <c r="AI212" i="1" s="1"/>
  <c r="AA149" i="1"/>
  <c r="AG144" i="1"/>
  <c r="AI144" i="1" s="1"/>
  <c r="AG140" i="1"/>
  <c r="AA121" i="1"/>
  <c r="W121" i="1" s="1"/>
  <c r="AI120" i="1"/>
  <c r="R31" i="3"/>
  <c r="R12" i="3"/>
  <c r="S41" i="3"/>
  <c r="AG201" i="1"/>
  <c r="AA189" i="1"/>
  <c r="AA188" i="1"/>
  <c r="AI175" i="1"/>
  <c r="AA173" i="1"/>
  <c r="AA172" i="1"/>
  <c r="W172" i="1" s="1"/>
  <c r="AA168" i="1"/>
  <c r="AA226" i="1"/>
  <c r="T226" i="1"/>
  <c r="AA205" i="1"/>
  <c r="AG204" i="1"/>
  <c r="AI204" i="1" s="1"/>
  <c r="AA203" i="1"/>
  <c r="AA156" i="1"/>
  <c r="AA155" i="1"/>
  <c r="W155" i="1" s="1"/>
  <c r="AG149" i="1"/>
  <c r="AI149" i="1" s="1"/>
  <c r="AG133" i="1"/>
  <c r="AI133" i="1" s="1"/>
  <c r="AG128" i="1"/>
  <c r="AI128" i="1" s="1"/>
  <c r="X128" i="1"/>
  <c r="AA127" i="1"/>
  <c r="T127" i="1"/>
  <c r="AG109" i="1"/>
  <c r="AI109" i="1" s="1"/>
  <c r="AA104" i="1"/>
  <c r="AA103" i="1"/>
  <c r="W103" i="1" s="1"/>
  <c r="AA80" i="1"/>
  <c r="T80" i="1"/>
  <c r="AA62" i="1"/>
  <c r="AA61" i="1"/>
  <c r="W61" i="1" s="1"/>
  <c r="T61" i="1"/>
  <c r="U61" i="1" s="1"/>
  <c r="S61" i="1" s="1"/>
  <c r="X57" i="1"/>
  <c r="AA56" i="1"/>
  <c r="AA55" i="1"/>
  <c r="AA54" i="1"/>
  <c r="AA53" i="1"/>
  <c r="W53" i="1" s="1"/>
  <c r="T53" i="1"/>
  <c r="T49" i="1"/>
  <c r="AA45" i="1"/>
  <c r="AG44" i="1"/>
  <c r="U44" i="1" s="1"/>
  <c r="S44" i="1" s="1"/>
  <c r="X44" i="1"/>
  <c r="AA43" i="1"/>
  <c r="AA42" i="1"/>
  <c r="AI215" i="1"/>
  <c r="AG168" i="1"/>
  <c r="AG226" i="1"/>
  <c r="AG145" i="1"/>
  <c r="AI145" i="1" s="1"/>
  <c r="AG127" i="1"/>
  <c r="AI127" i="1" s="1"/>
  <c r="AA98" i="1"/>
  <c r="AG80" i="1"/>
  <c r="AI74" i="1"/>
  <c r="AG62" i="1"/>
  <c r="X61" i="1"/>
  <c r="AG49" i="1"/>
  <c r="AI49" i="1" s="1"/>
  <c r="AG45" i="1"/>
  <c r="AI45" i="1" s="1"/>
  <c r="X45" i="1"/>
  <c r="AG43" i="1"/>
  <c r="U43" i="1" s="1"/>
  <c r="S43" i="1" s="1"/>
  <c r="AA41" i="1"/>
  <c r="W41" i="1" s="1"/>
  <c r="AG17" i="1"/>
  <c r="AI17" i="1" s="1"/>
  <c r="AA217" i="1"/>
  <c r="AG192" i="1"/>
  <c r="AI192" i="1" s="1"/>
  <c r="X192" i="1"/>
  <c r="AG187" i="1"/>
  <c r="W187" i="1" s="1"/>
  <c r="AA181" i="1"/>
  <c r="W181" i="1" s="1"/>
  <c r="T101" i="1"/>
  <c r="U101" i="1" s="1"/>
  <c r="S101" i="1" s="1"/>
  <c r="AA94" i="1"/>
  <c r="X74" i="1"/>
  <c r="AG68" i="1"/>
  <c r="U68" i="1" s="1"/>
  <c r="S68" i="1" s="1"/>
  <c r="AA66" i="1"/>
  <c r="W66" i="1" s="1"/>
  <c r="AG36" i="1"/>
  <c r="U36" i="1" s="1"/>
  <c r="S36" i="1" s="1"/>
  <c r="X36" i="1"/>
  <c r="AA29" i="1"/>
  <c r="AA25" i="1"/>
  <c r="AG23" i="1"/>
  <c r="AI23" i="1" s="1"/>
  <c r="T220" i="1"/>
  <c r="X220" i="1"/>
  <c r="AG220" i="1"/>
  <c r="T213" i="1"/>
  <c r="AG213" i="1"/>
  <c r="T207" i="1"/>
  <c r="AG207" i="1"/>
  <c r="AI207" i="1" s="1"/>
  <c r="U204" i="1"/>
  <c r="S204" i="1" s="1"/>
  <c r="T141" i="1"/>
  <c r="AG141" i="1"/>
  <c r="AI141" i="1" s="1"/>
  <c r="T137" i="1"/>
  <c r="AG137" i="1"/>
  <c r="AI137" i="1" s="1"/>
  <c r="T136" i="1"/>
  <c r="X136" i="1"/>
  <c r="AG136" i="1"/>
  <c r="AI136" i="1" s="1"/>
  <c r="T132" i="1"/>
  <c r="X133" i="1"/>
  <c r="AG132" i="1"/>
  <c r="AI132" i="1" s="1"/>
  <c r="T85" i="1"/>
  <c r="X85" i="1"/>
  <c r="AG85" i="1"/>
  <c r="AI85" i="1" s="1"/>
  <c r="T83" i="1"/>
  <c r="AG83" i="1"/>
  <c r="AI83" i="1" s="1"/>
  <c r="T81" i="1"/>
  <c r="X81" i="1"/>
  <c r="AG81" i="1"/>
  <c r="AI81" i="1" s="1"/>
  <c r="R18" i="3"/>
  <c r="R38" i="3"/>
  <c r="T195" i="1"/>
  <c r="AG195" i="1"/>
  <c r="AI195" i="1" s="1"/>
  <c r="T173" i="1"/>
  <c r="X174" i="1"/>
  <c r="T205" i="1"/>
  <c r="AG205" i="1"/>
  <c r="T153" i="1"/>
  <c r="AG153" i="1"/>
  <c r="T151" i="1"/>
  <c r="AG151" i="1"/>
  <c r="AI151" i="1" s="1"/>
  <c r="X148" i="1"/>
  <c r="AG148" i="1"/>
  <c r="AI148" i="1" s="1"/>
  <c r="T148" i="1"/>
  <c r="X149" i="1"/>
  <c r="T217" i="1"/>
  <c r="X217" i="1"/>
  <c r="AG217" i="1"/>
  <c r="T216" i="1"/>
  <c r="X216" i="1"/>
  <c r="AG216" i="1"/>
  <c r="AG114" i="1"/>
  <c r="T114" i="1"/>
  <c r="R54" i="3"/>
  <c r="R55" i="3"/>
  <c r="T159" i="1"/>
  <c r="AG159" i="1"/>
  <c r="AI159" i="1" s="1"/>
  <c r="AA223" i="1"/>
  <c r="W223" i="1" s="1"/>
  <c r="AI223" i="1"/>
  <c r="AA220" i="1"/>
  <c r="AI219" i="1"/>
  <c r="T183" i="1"/>
  <c r="AG183" i="1"/>
  <c r="T176" i="1"/>
  <c r="AG176" i="1"/>
  <c r="T169" i="1"/>
  <c r="AG169" i="1"/>
  <c r="W164" i="1"/>
  <c r="T157" i="1"/>
  <c r="AG157" i="1"/>
  <c r="AI157" i="1" s="1"/>
  <c r="T221" i="1"/>
  <c r="AG221" i="1"/>
  <c r="AI221" i="1" s="1"/>
  <c r="W213" i="1"/>
  <c r="T122" i="1"/>
  <c r="AG122" i="1"/>
  <c r="AI122" i="1" s="1"/>
  <c r="AG91" i="1"/>
  <c r="W91" i="1" s="1"/>
  <c r="X91" i="1"/>
  <c r="X73" i="1"/>
  <c r="T73" i="1"/>
  <c r="T29" i="1"/>
  <c r="X29" i="1"/>
  <c r="AG29" i="1"/>
  <c r="AI29" i="1" s="1"/>
  <c r="AA215" i="1"/>
  <c r="W215" i="1" s="1"/>
  <c r="AA202" i="1"/>
  <c r="AA197" i="1"/>
  <c r="W197" i="1" s="1"/>
  <c r="AA196" i="1"/>
  <c r="T188" i="1"/>
  <c r="AA183" i="1"/>
  <c r="AA182" i="1"/>
  <c r="W182" i="1" s="1"/>
  <c r="AA180" i="1"/>
  <c r="AA179" i="1"/>
  <c r="AA178" i="1"/>
  <c r="AA171" i="1"/>
  <c r="X160" i="1"/>
  <c r="X222" i="1"/>
  <c r="X208" i="1"/>
  <c r="AA148" i="1"/>
  <c r="X124" i="1"/>
  <c r="AA124" i="1"/>
  <c r="AA111" i="1"/>
  <c r="W111" i="1" s="1"/>
  <c r="T111" i="1"/>
  <c r="U111" i="1" s="1"/>
  <c r="S111" i="1" s="1"/>
  <c r="X102" i="1"/>
  <c r="X66" i="1"/>
  <c r="X41" i="1"/>
  <c r="X40" i="1"/>
  <c r="AA32" i="1"/>
  <c r="AA28" i="1"/>
  <c r="T28" i="1"/>
  <c r="AA19" i="1"/>
  <c r="AA16" i="1"/>
  <c r="AA218" i="1"/>
  <c r="AA216" i="1"/>
  <c r="AA195" i="1"/>
  <c r="AA194" i="1"/>
  <c r="W194" i="1" s="1"/>
  <c r="AA176" i="1"/>
  <c r="AA175" i="1"/>
  <c r="W175" i="1" s="1"/>
  <c r="AA167" i="1"/>
  <c r="AA166" i="1"/>
  <c r="AA147" i="1"/>
  <c r="AA136" i="1"/>
  <c r="AA132" i="1"/>
  <c r="AG123" i="1"/>
  <c r="U123" i="1" s="1"/>
  <c r="S123" i="1" s="1"/>
  <c r="X123" i="1"/>
  <c r="AA122" i="1"/>
  <c r="AA120" i="1"/>
  <c r="W120" i="1" s="1"/>
  <c r="AA119" i="1"/>
  <c r="W119" i="1" s="1"/>
  <c r="AA105" i="1"/>
  <c r="AA90" i="1"/>
  <c r="AG84" i="1"/>
  <c r="AI84" i="1" s="1"/>
  <c r="X84" i="1"/>
  <c r="AA83" i="1"/>
  <c r="AA75" i="1"/>
  <c r="AA73" i="1"/>
  <c r="AG70" i="1"/>
  <c r="AG28" i="1"/>
  <c r="AA27" i="1"/>
  <c r="AA26" i="1"/>
  <c r="AG19" i="1"/>
  <c r="AG200" i="1"/>
  <c r="AI200" i="1" s="1"/>
  <c r="X200" i="1"/>
  <c r="AA193" i="1"/>
  <c r="T193" i="1"/>
  <c r="AI186" i="1"/>
  <c r="AG185" i="1"/>
  <c r="W185" i="1" s="1"/>
  <c r="X201" i="1"/>
  <c r="X197" i="1"/>
  <c r="AG184" i="1"/>
  <c r="AI184" i="1" s="1"/>
  <c r="T184" i="1"/>
  <c r="AI155" i="1"/>
  <c r="AA219" i="1"/>
  <c r="W219" i="1" s="1"/>
  <c r="AI199" i="1"/>
  <c r="X196" i="1"/>
  <c r="AG196" i="1"/>
  <c r="AG193" i="1"/>
  <c r="AI193" i="1" s="1"/>
  <c r="T185" i="1"/>
  <c r="AI179" i="1"/>
  <c r="AG178" i="1"/>
  <c r="U178" i="1" s="1"/>
  <c r="S178" i="1" s="1"/>
  <c r="T197" i="1"/>
  <c r="U197" i="1" s="1"/>
  <c r="S197" i="1" s="1"/>
  <c r="X177" i="1"/>
  <c r="AG177" i="1"/>
  <c r="AI177" i="1" s="1"/>
  <c r="T177" i="1"/>
  <c r="T189" i="1"/>
  <c r="U189" i="1" s="1"/>
  <c r="S189" i="1" s="1"/>
  <c r="T181" i="1"/>
  <c r="U181" i="1" s="1"/>
  <c r="S181" i="1" s="1"/>
  <c r="AG180" i="1"/>
  <c r="T174" i="1"/>
  <c r="U174" i="1" s="1"/>
  <c r="S174" i="1" s="1"/>
  <c r="AG173" i="1"/>
  <c r="U173" i="1" s="1"/>
  <c r="S173" i="1" s="1"/>
  <c r="AA170" i="1"/>
  <c r="AG167" i="1"/>
  <c r="AG165" i="1"/>
  <c r="AI165" i="1" s="1"/>
  <c r="AG163" i="1"/>
  <c r="AI163" i="1" s="1"/>
  <c r="X161" i="1"/>
  <c r="AA159" i="1"/>
  <c r="AA158" i="1"/>
  <c r="AG225" i="1"/>
  <c r="AI225" i="1" s="1"/>
  <c r="X223" i="1"/>
  <c r="AA221" i="1"/>
  <c r="AA214" i="1"/>
  <c r="AG211" i="1"/>
  <c r="AI211" i="1" s="1"/>
  <c r="X209" i="1"/>
  <c r="AA207" i="1"/>
  <c r="AA206" i="1"/>
  <c r="AG203" i="1"/>
  <c r="AI203" i="1" s="1"/>
  <c r="AA151" i="1"/>
  <c r="AA150" i="1"/>
  <c r="AG147" i="1"/>
  <c r="U147" i="1" s="1"/>
  <c r="S147" i="1" s="1"/>
  <c r="X145" i="1"/>
  <c r="AA143" i="1"/>
  <c r="AA142" i="1"/>
  <c r="AG139" i="1"/>
  <c r="AI139" i="1" s="1"/>
  <c r="X137" i="1"/>
  <c r="AA135" i="1"/>
  <c r="AA134" i="1"/>
  <c r="AG130" i="1"/>
  <c r="U130" i="1" s="1"/>
  <c r="S130" i="1" s="1"/>
  <c r="T124" i="1"/>
  <c r="X121" i="1"/>
  <c r="U118" i="1"/>
  <c r="S118" i="1" s="1"/>
  <c r="AA114" i="1"/>
  <c r="AG105" i="1"/>
  <c r="AI105" i="1" s="1"/>
  <c r="T102" i="1"/>
  <c r="U102" i="1" s="1"/>
  <c r="S102" i="1" s="1"/>
  <c r="X95" i="1"/>
  <c r="AG94" i="1"/>
  <c r="AG77" i="1"/>
  <c r="W74" i="1"/>
  <c r="T72" i="1"/>
  <c r="AG72" i="1"/>
  <c r="AI72" i="1" s="1"/>
  <c r="AA70" i="1"/>
  <c r="X65" i="1"/>
  <c r="AG58" i="1"/>
  <c r="W58" i="1" s="1"/>
  <c r="T58" i="1"/>
  <c r="AI50" i="1"/>
  <c r="X21" i="1"/>
  <c r="AA200" i="1"/>
  <c r="W200" i="1" s="1"/>
  <c r="AA192" i="1"/>
  <c r="AG188" i="1"/>
  <c r="AA184" i="1"/>
  <c r="AA177" i="1"/>
  <c r="X173" i="1"/>
  <c r="X168" i="1"/>
  <c r="X165" i="1"/>
  <c r="AA160" i="1"/>
  <c r="T160" i="1"/>
  <c r="AA222" i="1"/>
  <c r="T222" i="1"/>
  <c r="AA208" i="1"/>
  <c r="T208" i="1"/>
  <c r="AA153" i="1"/>
  <c r="AG115" i="1"/>
  <c r="AI115" i="1" s="1"/>
  <c r="X115" i="1"/>
  <c r="X106" i="1"/>
  <c r="T64" i="1"/>
  <c r="AG64" i="1"/>
  <c r="AI64" i="1" s="1"/>
  <c r="U45" i="1"/>
  <c r="S45" i="1" s="1"/>
  <c r="T39" i="1"/>
  <c r="AG39" i="1"/>
  <c r="AA37" i="1"/>
  <c r="X32" i="1"/>
  <c r="X20" i="1"/>
  <c r="AG20" i="1"/>
  <c r="AI20" i="1" s="1"/>
  <c r="T20" i="1"/>
  <c r="AI190" i="1"/>
  <c r="AI182" i="1"/>
  <c r="T161" i="1"/>
  <c r="U161" i="1" s="1"/>
  <c r="S161" i="1" s="1"/>
  <c r="T223" i="1"/>
  <c r="U223" i="1" s="1"/>
  <c r="S223" i="1" s="1"/>
  <c r="T209" i="1"/>
  <c r="U209" i="1" s="1"/>
  <c r="S209" i="1" s="1"/>
  <c r="T155" i="1"/>
  <c r="U155" i="1" s="1"/>
  <c r="S155" i="1" s="1"/>
  <c r="AA146" i="1"/>
  <c r="AG143" i="1"/>
  <c r="U143" i="1" s="1"/>
  <c r="S143" i="1" s="1"/>
  <c r="AA139" i="1"/>
  <c r="AA138" i="1"/>
  <c r="AG135" i="1"/>
  <c r="U135" i="1" s="1"/>
  <c r="S135" i="1" s="1"/>
  <c r="AA130" i="1"/>
  <c r="AA129" i="1"/>
  <c r="AA128" i="1"/>
  <c r="T126" i="1"/>
  <c r="U126" i="1" s="1"/>
  <c r="S126" i="1" s="1"/>
  <c r="AG126" i="1"/>
  <c r="AG124" i="1"/>
  <c r="AI124" i="1" s="1"/>
  <c r="AI119" i="1"/>
  <c r="AA109" i="1"/>
  <c r="AG98" i="1"/>
  <c r="AA95" i="1"/>
  <c r="W95" i="1" s="1"/>
  <c r="T95" i="1"/>
  <c r="U95" i="1" s="1"/>
  <c r="S95" i="1" s="1"/>
  <c r="AA93" i="1"/>
  <c r="AA92" i="1"/>
  <c r="W92" i="1" s="1"/>
  <c r="AA85" i="1"/>
  <c r="AI70" i="1"/>
  <c r="AG54" i="1"/>
  <c r="T54" i="1"/>
  <c r="X48" i="1"/>
  <c r="T31" i="1"/>
  <c r="AG31" i="1"/>
  <c r="W189" i="1"/>
  <c r="W174" i="1"/>
  <c r="AG160" i="1"/>
  <c r="AG222" i="1"/>
  <c r="AG208" i="1"/>
  <c r="AI208" i="1" s="1"/>
  <c r="W132" i="1"/>
  <c r="T47" i="1"/>
  <c r="AG47" i="1"/>
  <c r="AI47" i="1" s="1"/>
  <c r="U37" i="1"/>
  <c r="S37" i="1" s="1"/>
  <c r="X25" i="1"/>
  <c r="AG25" i="1"/>
  <c r="T25" i="1"/>
  <c r="AA89" i="1"/>
  <c r="AA88" i="1"/>
  <c r="W88" i="1" s="1"/>
  <c r="AA86" i="1"/>
  <c r="W86" i="1" s="1"/>
  <c r="AA72" i="1"/>
  <c r="AA71" i="1"/>
  <c r="T70" i="1"/>
  <c r="AA64" i="1"/>
  <c r="AA63" i="1"/>
  <c r="T62" i="1"/>
  <c r="AA46" i="1"/>
  <c r="AA39" i="1"/>
  <c r="AA38" i="1"/>
  <c r="X33" i="1"/>
  <c r="AA31" i="1"/>
  <c r="AA30" i="1"/>
  <c r="U28" i="1"/>
  <c r="S28" i="1" s="1"/>
  <c r="AA20" i="1"/>
  <c r="X17" i="1"/>
  <c r="T74" i="1"/>
  <c r="U74" i="1" s="1"/>
  <c r="S74" i="1" s="1"/>
  <c r="T66" i="1"/>
  <c r="U66" i="1" s="1"/>
  <c r="S66" i="1" s="1"/>
  <c r="T41" i="1"/>
  <c r="U41" i="1" s="1"/>
  <c r="S41" i="1" s="1"/>
  <c r="T33" i="1"/>
  <c r="U33" i="1" s="1"/>
  <c r="S33" i="1" s="1"/>
  <c r="AA21" i="1"/>
  <c r="W15" i="1"/>
  <c r="AA14" i="1"/>
  <c r="AA123" i="1"/>
  <c r="T121" i="1"/>
  <c r="U121" i="1" s="1"/>
  <c r="S121" i="1" s="1"/>
  <c r="AA118" i="1"/>
  <c r="W118" i="1" s="1"/>
  <c r="AA116" i="1"/>
  <c r="T106" i="1"/>
  <c r="U106" i="1" s="1"/>
  <c r="S106" i="1" s="1"/>
  <c r="AA101" i="1"/>
  <c r="W101" i="1" s="1"/>
  <c r="AA100" i="1"/>
  <c r="AA99" i="1"/>
  <c r="W99" i="1" s="1"/>
  <c r="T91" i="1"/>
  <c r="AA84" i="1"/>
  <c r="AA82" i="1"/>
  <c r="AG79" i="1"/>
  <c r="W79" i="1" s="1"/>
  <c r="AA76" i="1"/>
  <c r="W76" i="1" s="1"/>
  <c r="T76" i="1"/>
  <c r="U76" i="1" s="1"/>
  <c r="S76" i="1" s="1"/>
  <c r="AG73" i="1"/>
  <c r="AA69" i="1"/>
  <c r="AG65" i="1"/>
  <c r="U65" i="1" s="1"/>
  <c r="S65" i="1" s="1"/>
  <c r="AG60" i="1"/>
  <c r="U60" i="1" s="1"/>
  <c r="S60" i="1" s="1"/>
  <c r="AG56" i="1"/>
  <c r="AG52" i="1"/>
  <c r="W52" i="1" s="1"/>
  <c r="AA49" i="1"/>
  <c r="AG48" i="1"/>
  <c r="W48" i="1" s="1"/>
  <c r="AA44" i="1"/>
  <c r="AG40" i="1"/>
  <c r="U40" i="1" s="1"/>
  <c r="S40" i="1" s="1"/>
  <c r="AA36" i="1"/>
  <c r="AG32" i="1"/>
  <c r="U32" i="1" s="1"/>
  <c r="S32" i="1" s="1"/>
  <c r="AG27" i="1"/>
  <c r="AI27" i="1" s="1"/>
  <c r="AA24" i="1"/>
  <c r="W24" i="1" s="1"/>
  <c r="AG21" i="1"/>
  <c r="AA18" i="1"/>
  <c r="AA17" i="1"/>
  <c r="AG16" i="1"/>
  <c r="T219" i="1"/>
  <c r="U219" i="1" s="1"/>
  <c r="S219" i="1" s="1"/>
  <c r="X219" i="1"/>
  <c r="U199" i="1"/>
  <c r="S199" i="1" s="1"/>
  <c r="W179" i="1"/>
  <c r="AG218" i="1"/>
  <c r="T218" i="1"/>
  <c r="X218" i="1"/>
  <c r="T215" i="1"/>
  <c r="U215" i="1" s="1"/>
  <c r="S215" i="1" s="1"/>
  <c r="X215" i="1"/>
  <c r="W198" i="1"/>
  <c r="U187" i="1"/>
  <c r="S187" i="1" s="1"/>
  <c r="AG202" i="1"/>
  <c r="AI202" i="1" s="1"/>
  <c r="T202" i="1"/>
  <c r="X202" i="1"/>
  <c r="X198" i="1"/>
  <c r="T198" i="1"/>
  <c r="U198" i="1" s="1"/>
  <c r="S198" i="1" s="1"/>
  <c r="AI213" i="1"/>
  <c r="X194" i="1"/>
  <c r="T194" i="1"/>
  <c r="U194" i="1" s="1"/>
  <c r="S194" i="1" s="1"/>
  <c r="AI209" i="1"/>
  <c r="X190" i="1"/>
  <c r="T190" i="1"/>
  <c r="U190" i="1" s="1"/>
  <c r="S190" i="1" s="1"/>
  <c r="X186" i="1"/>
  <c r="T186" i="1"/>
  <c r="U186" i="1" s="1"/>
  <c r="S186" i="1" s="1"/>
  <c r="T182" i="1"/>
  <c r="U182" i="1" s="1"/>
  <c r="S182" i="1" s="1"/>
  <c r="AI197" i="1"/>
  <c r="T179" i="1"/>
  <c r="U179" i="1" s="1"/>
  <c r="S179" i="1" s="1"/>
  <c r="X175" i="1"/>
  <c r="T175" i="1"/>
  <c r="U175" i="1" s="1"/>
  <c r="S175" i="1" s="1"/>
  <c r="T166" i="1"/>
  <c r="X166" i="1"/>
  <c r="AG166" i="1"/>
  <c r="AI166" i="1" s="1"/>
  <c r="T171" i="1"/>
  <c r="X171" i="1"/>
  <c r="U164" i="1"/>
  <c r="S164" i="1" s="1"/>
  <c r="AI218" i="1"/>
  <c r="X199" i="1"/>
  <c r="X195" i="1"/>
  <c r="X191" i="1"/>
  <c r="X187" i="1"/>
  <c r="AI198" i="1"/>
  <c r="AI194" i="1"/>
  <c r="X176" i="1"/>
  <c r="AI189" i="1"/>
  <c r="X172" i="1"/>
  <c r="AG171" i="1"/>
  <c r="AI171" i="1" s="1"/>
  <c r="T170" i="1"/>
  <c r="X170" i="1"/>
  <c r="AG170" i="1"/>
  <c r="AI121" i="1"/>
  <c r="X167" i="1"/>
  <c r="AI181" i="1"/>
  <c r="X163" i="1"/>
  <c r="AG162" i="1"/>
  <c r="W162" i="1" s="1"/>
  <c r="X159" i="1"/>
  <c r="AG158" i="1"/>
  <c r="AI158" i="1" s="1"/>
  <c r="AI174" i="1"/>
  <c r="X225" i="1"/>
  <c r="AG224" i="1"/>
  <c r="X221" i="1"/>
  <c r="AG214" i="1"/>
  <c r="X211" i="1"/>
  <c r="AG210" i="1"/>
  <c r="W210" i="1" s="1"/>
  <c r="X207" i="1"/>
  <c r="AG206" i="1"/>
  <c r="AI206" i="1" s="1"/>
  <c r="X203" i="1"/>
  <c r="AG156" i="1"/>
  <c r="X151" i="1"/>
  <c r="AG150" i="1"/>
  <c r="X147" i="1"/>
  <c r="AG146" i="1"/>
  <c r="X143" i="1"/>
  <c r="AG142" i="1"/>
  <c r="X139" i="1"/>
  <c r="AG138" i="1"/>
  <c r="X135" i="1"/>
  <c r="AG134" i="1"/>
  <c r="X130" i="1"/>
  <c r="AG129" i="1"/>
  <c r="X126" i="1"/>
  <c r="AG125" i="1"/>
  <c r="X122" i="1"/>
  <c r="AI118" i="1"/>
  <c r="AA117" i="1"/>
  <c r="AG116" i="1"/>
  <c r="T116" i="1"/>
  <c r="X116" i="1"/>
  <c r="W115" i="1"/>
  <c r="AI111" i="1"/>
  <c r="AI99" i="1"/>
  <c r="AI95" i="1"/>
  <c r="X162" i="1"/>
  <c r="X158" i="1"/>
  <c r="X224" i="1"/>
  <c r="AI169" i="1"/>
  <c r="X214" i="1"/>
  <c r="X210" i="1"/>
  <c r="AI161" i="1"/>
  <c r="X206" i="1"/>
  <c r="X156" i="1"/>
  <c r="X150" i="1"/>
  <c r="AI147" i="1"/>
  <c r="X146" i="1"/>
  <c r="X142" i="1"/>
  <c r="X138" i="1"/>
  <c r="X134" i="1"/>
  <c r="X129" i="1"/>
  <c r="X125" i="1"/>
  <c r="T117" i="1"/>
  <c r="X117" i="1"/>
  <c r="AI103" i="1"/>
  <c r="U98" i="1"/>
  <c r="S98" i="1" s="1"/>
  <c r="AI88" i="1"/>
  <c r="T119" i="1"/>
  <c r="U119" i="1" s="1"/>
  <c r="S119" i="1" s="1"/>
  <c r="X118" i="1"/>
  <c r="AG117" i="1"/>
  <c r="W112" i="1"/>
  <c r="AI107" i="1"/>
  <c r="W106" i="1"/>
  <c r="AI102" i="1"/>
  <c r="W96" i="1"/>
  <c r="AI92" i="1"/>
  <c r="AI87" i="1"/>
  <c r="T120" i="1"/>
  <c r="U120" i="1" s="1"/>
  <c r="S120" i="1" s="1"/>
  <c r="X120" i="1"/>
  <c r="X119" i="1"/>
  <c r="AI112" i="1"/>
  <c r="AI106" i="1"/>
  <c r="AI96" i="1"/>
  <c r="X112" i="1"/>
  <c r="T112" i="1"/>
  <c r="U112" i="1" s="1"/>
  <c r="S112" i="1" s="1"/>
  <c r="X107" i="1"/>
  <c r="T107" i="1"/>
  <c r="U107" i="1" s="1"/>
  <c r="S107" i="1" s="1"/>
  <c r="X103" i="1"/>
  <c r="T103" i="1"/>
  <c r="U103" i="1" s="1"/>
  <c r="S103" i="1" s="1"/>
  <c r="T99" i="1"/>
  <c r="U99" i="1" s="1"/>
  <c r="S99" i="1" s="1"/>
  <c r="X96" i="1"/>
  <c r="T96" i="1"/>
  <c r="U96" i="1" s="1"/>
  <c r="S96" i="1" s="1"/>
  <c r="X92" i="1"/>
  <c r="T92" i="1"/>
  <c r="U92" i="1" s="1"/>
  <c r="S92" i="1" s="1"/>
  <c r="X88" i="1"/>
  <c r="T88" i="1"/>
  <c r="U88" i="1" s="1"/>
  <c r="S88" i="1" s="1"/>
  <c r="T86" i="1"/>
  <c r="U86" i="1" s="1"/>
  <c r="S86" i="1" s="1"/>
  <c r="T82" i="1"/>
  <c r="X82" i="1"/>
  <c r="AG82" i="1"/>
  <c r="AI76" i="1"/>
  <c r="U105" i="1"/>
  <c r="S105" i="1" s="1"/>
  <c r="X114" i="1"/>
  <c r="AG113" i="1"/>
  <c r="X109" i="1"/>
  <c r="AG108" i="1"/>
  <c r="X105" i="1"/>
  <c r="AG104" i="1"/>
  <c r="AG100" i="1"/>
  <c r="AG97" i="1"/>
  <c r="X94" i="1"/>
  <c r="AG93" i="1"/>
  <c r="X90" i="1"/>
  <c r="AG89" i="1"/>
  <c r="X86" i="1"/>
  <c r="AI114" i="1"/>
  <c r="X113" i="1"/>
  <c r="X108" i="1"/>
  <c r="X104" i="1"/>
  <c r="AI101" i="1"/>
  <c r="X93" i="1"/>
  <c r="X89" i="1"/>
  <c r="T87" i="1"/>
  <c r="U87" i="1" s="1"/>
  <c r="S87" i="1" s="1"/>
  <c r="X87" i="1"/>
  <c r="AI61" i="1"/>
  <c r="AI57" i="1"/>
  <c r="U53" i="1"/>
  <c r="S53" i="1" s="1"/>
  <c r="AI53" i="1"/>
  <c r="X83" i="1"/>
  <c r="X79" i="1"/>
  <c r="AG78" i="1"/>
  <c r="AG75" i="1"/>
  <c r="X72" i="1"/>
  <c r="AG71" i="1"/>
  <c r="AI69" i="1"/>
  <c r="X68" i="1"/>
  <c r="AG67" i="1"/>
  <c r="AI65" i="1"/>
  <c r="X64" i="1"/>
  <c r="AG63" i="1"/>
  <c r="X60" i="1"/>
  <c r="AG59" i="1"/>
  <c r="X56" i="1"/>
  <c r="AG55" i="1"/>
  <c r="AG51" i="1"/>
  <c r="T50" i="1"/>
  <c r="U50" i="1" s="1"/>
  <c r="S50" i="1" s="1"/>
  <c r="X71" i="1"/>
  <c r="X67" i="1"/>
  <c r="X63" i="1"/>
  <c r="X59" i="1"/>
  <c r="X55" i="1"/>
  <c r="X58" i="1"/>
  <c r="X54" i="1"/>
  <c r="AA47" i="1"/>
  <c r="W47" i="1" s="1"/>
  <c r="U19" i="1"/>
  <c r="S19" i="1" s="1"/>
  <c r="X16" i="1"/>
  <c r="U15" i="1"/>
  <c r="S15" i="1" s="1"/>
  <c r="AI48" i="1"/>
  <c r="X47" i="1"/>
  <c r="AG46" i="1"/>
  <c r="X43" i="1"/>
  <c r="AG42" i="1"/>
  <c r="W42" i="1" s="1"/>
  <c r="X39" i="1"/>
  <c r="AG38" i="1"/>
  <c r="X35" i="1"/>
  <c r="AG34" i="1"/>
  <c r="X31" i="1"/>
  <c r="AG30" i="1"/>
  <c r="AI28" i="1"/>
  <c r="X27" i="1"/>
  <c r="AG26" i="1"/>
  <c r="X23" i="1"/>
  <c r="AG22" i="1"/>
  <c r="X19" i="1"/>
  <c r="AG18" i="1"/>
  <c r="X15" i="1"/>
  <c r="AG14" i="1"/>
  <c r="X46" i="1"/>
  <c r="AI43" i="1"/>
  <c r="X42" i="1"/>
  <c r="X38" i="1"/>
  <c r="X34" i="1"/>
  <c r="AI31" i="1"/>
  <c r="X30" i="1"/>
  <c r="X26" i="1"/>
  <c r="X22" i="1"/>
  <c r="AI19" i="1"/>
  <c r="X18" i="1"/>
  <c r="AI15" i="1"/>
  <c r="Y34" i="3"/>
  <c r="Y52" i="3"/>
  <c r="Y17" i="3"/>
  <c r="Y11" i="3"/>
  <c r="Y28" i="3"/>
  <c r="Y22" i="3"/>
  <c r="Y53" i="3"/>
  <c r="Y55" i="3"/>
  <c r="Y43" i="3"/>
  <c r="Y16" i="3"/>
  <c r="Y30" i="3"/>
  <c r="Y45" i="3"/>
  <c r="Y38" i="3"/>
  <c r="Y25" i="3"/>
  <c r="Y37" i="3"/>
  <c r="Y57" i="3"/>
  <c r="AC23" i="3"/>
  <c r="T56" i="3"/>
  <c r="AC15" i="3"/>
  <c r="T55" i="3"/>
  <c r="AC29" i="3"/>
  <c r="T47" i="3"/>
  <c r="AC42" i="3"/>
  <c r="T30" i="3"/>
  <c r="AC27" i="3"/>
  <c r="T26" i="3"/>
  <c r="AC49" i="3"/>
  <c r="T37" i="3"/>
  <c r="Y33" i="3"/>
  <c r="Y12" i="3"/>
  <c r="Y10" i="3"/>
  <c r="Y51" i="3"/>
  <c r="T9" i="3"/>
  <c r="AC34" i="3"/>
  <c r="T22" i="3"/>
  <c r="AC33" i="3"/>
  <c r="T44" i="3"/>
  <c r="AC20" i="3"/>
  <c r="T13" i="3"/>
  <c r="AC57" i="3"/>
  <c r="T54" i="3"/>
  <c r="AC17" i="3"/>
  <c r="T43" i="3"/>
  <c r="AC12" i="3"/>
  <c r="T41" i="3"/>
  <c r="AC19" i="3"/>
  <c r="T40" i="3"/>
  <c r="AC10" i="3"/>
  <c r="T39" i="3"/>
  <c r="AC28" i="3"/>
  <c r="T45" i="3"/>
  <c r="AC51" i="3"/>
  <c r="T50" i="3"/>
  <c r="AC18" i="3"/>
  <c r="T48" i="3"/>
  <c r="AC25" i="3"/>
  <c r="T36" i="3"/>
  <c r="AC58" i="3"/>
  <c r="M30" i="5"/>
  <c r="M29" i="5"/>
  <c r="M28" i="5"/>
  <c r="M27" i="5"/>
  <c r="AI131" i="1" l="1"/>
  <c r="U131" i="1"/>
  <c r="S131" i="1" s="1"/>
  <c r="W131" i="1"/>
  <c r="W134" i="1"/>
  <c r="W150" i="1"/>
  <c r="W37" i="1"/>
  <c r="W109" i="1"/>
  <c r="U140" i="1"/>
  <c r="S140" i="1" s="1"/>
  <c r="W141" i="1"/>
  <c r="W100" i="1"/>
  <c r="W129" i="1"/>
  <c r="W69" i="1"/>
  <c r="W114" i="1"/>
  <c r="U114" i="1"/>
  <c r="S114" i="1" s="1"/>
  <c r="AI110" i="1"/>
  <c r="U110" i="1"/>
  <c r="S110" i="1" s="1"/>
  <c r="W110" i="1"/>
  <c r="W22" i="1"/>
  <c r="W59" i="1"/>
  <c r="W93" i="1"/>
  <c r="U84" i="1"/>
  <c r="S84" i="1" s="1"/>
  <c r="AI123" i="1"/>
  <c r="U159" i="1"/>
  <c r="S159" i="1" s="1"/>
  <c r="W84" i="1"/>
  <c r="W159" i="1"/>
  <c r="AI24" i="1"/>
  <c r="W55" i="1"/>
  <c r="W151" i="1"/>
  <c r="U128" i="1"/>
  <c r="S128" i="1" s="1"/>
  <c r="W214" i="1"/>
  <c r="W123" i="1"/>
  <c r="U70" i="1"/>
  <c r="S70" i="1" s="1"/>
  <c r="W85" i="1"/>
  <c r="W165" i="1"/>
  <c r="U39" i="1"/>
  <c r="S39" i="1" s="1"/>
  <c r="AI60" i="1"/>
  <c r="U225" i="1"/>
  <c r="S225" i="1" s="1"/>
  <c r="W16" i="1"/>
  <c r="W127" i="1"/>
  <c r="U85" i="1"/>
  <c r="S85" i="1" s="1"/>
  <c r="U80" i="1"/>
  <c r="S80" i="1" s="1"/>
  <c r="AI32" i="1"/>
  <c r="U48" i="1"/>
  <c r="S48" i="1" s="1"/>
  <c r="AI130" i="1"/>
  <c r="W196" i="1"/>
  <c r="U169" i="1"/>
  <c r="S169" i="1" s="1"/>
  <c r="U183" i="1"/>
  <c r="S183" i="1" s="1"/>
  <c r="U216" i="1"/>
  <c r="S216" i="1" s="1"/>
  <c r="U153" i="1"/>
  <c r="S153" i="1" s="1"/>
  <c r="U176" i="1"/>
  <c r="S176" i="1" s="1"/>
  <c r="U213" i="1"/>
  <c r="S213" i="1" s="1"/>
  <c r="W116" i="1"/>
  <c r="W70" i="1"/>
  <c r="W167" i="1"/>
  <c r="W180" i="1"/>
  <c r="W147" i="1"/>
  <c r="W125" i="1"/>
  <c r="W44" i="1"/>
  <c r="W56" i="1"/>
  <c r="U149" i="1"/>
  <c r="S149" i="1" s="1"/>
  <c r="U157" i="1"/>
  <c r="S157" i="1" s="1"/>
  <c r="W25" i="1"/>
  <c r="W90" i="1"/>
  <c r="AI40" i="1"/>
  <c r="AI44" i="1"/>
  <c r="U79" i="1"/>
  <c r="S79" i="1" s="1"/>
  <c r="U115" i="1"/>
  <c r="S115" i="1" s="1"/>
  <c r="AI140" i="1"/>
  <c r="AI153" i="1"/>
  <c r="W140" i="1"/>
  <c r="W153" i="1"/>
  <c r="W19" i="1"/>
  <c r="W137" i="1"/>
  <c r="W201" i="1"/>
  <c r="W36" i="1"/>
  <c r="W49" i="1"/>
  <c r="W31" i="1"/>
  <c r="W188" i="1"/>
  <c r="W83" i="1"/>
  <c r="W105" i="1"/>
  <c r="W122" i="1"/>
  <c r="W216" i="1"/>
  <c r="W169" i="1"/>
  <c r="W168" i="1"/>
  <c r="W80" i="1"/>
  <c r="W192" i="1"/>
  <c r="W207" i="1"/>
  <c r="W136" i="1"/>
  <c r="U144" i="1"/>
  <c r="S144" i="1" s="1"/>
  <c r="W157" i="1"/>
  <c r="U83" i="1"/>
  <c r="S83" i="1" s="1"/>
  <c r="AI35" i="1"/>
  <c r="U52" i="1"/>
  <c r="S52" i="1" s="1"/>
  <c r="AI90" i="1"/>
  <c r="AI178" i="1"/>
  <c r="U192" i="1"/>
  <c r="S192" i="1" s="1"/>
  <c r="U72" i="1"/>
  <c r="S72" i="1" s="1"/>
  <c r="U124" i="1"/>
  <c r="S124" i="1" s="1"/>
  <c r="W148" i="1"/>
  <c r="W183" i="1"/>
  <c r="U29" i="1"/>
  <c r="S29" i="1" s="1"/>
  <c r="U221" i="1"/>
  <c r="S221" i="1" s="1"/>
  <c r="U49" i="1"/>
  <c r="S49" i="1" s="1"/>
  <c r="W204" i="1"/>
  <c r="W81" i="1"/>
  <c r="W144" i="1"/>
  <c r="W14" i="1"/>
  <c r="U35" i="1"/>
  <c r="S35" i="1" s="1"/>
  <c r="AI80" i="1"/>
  <c r="U196" i="1"/>
  <c r="S196" i="1" s="1"/>
  <c r="AI196" i="1"/>
  <c r="W60" i="1"/>
  <c r="W72" i="1"/>
  <c r="U47" i="1"/>
  <c r="S47" i="1" s="1"/>
  <c r="U145" i="1"/>
  <c r="S145" i="1" s="1"/>
  <c r="W126" i="1"/>
  <c r="U122" i="1"/>
  <c r="S122" i="1" s="1"/>
  <c r="W205" i="1"/>
  <c r="W62" i="1"/>
  <c r="W191" i="1"/>
  <c r="AI36" i="1"/>
  <c r="U109" i="1"/>
  <c r="S109" i="1" s="1"/>
  <c r="AI135" i="1"/>
  <c r="W156" i="1"/>
  <c r="AI201" i="1"/>
  <c r="W17" i="1"/>
  <c r="W128" i="1"/>
  <c r="W176" i="1"/>
  <c r="U188" i="1"/>
  <c r="S188" i="1" s="1"/>
  <c r="AI226" i="1"/>
  <c r="W38" i="1"/>
  <c r="U23" i="1"/>
  <c r="S23" i="1" s="1"/>
  <c r="U16" i="1"/>
  <c r="S16" i="1" s="1"/>
  <c r="AI79" i="1"/>
  <c r="W146" i="1"/>
  <c r="U207" i="1"/>
  <c r="S207" i="1" s="1"/>
  <c r="U180" i="1"/>
  <c r="S180" i="1" s="1"/>
  <c r="U220" i="1"/>
  <c r="S220" i="1" s="1"/>
  <c r="W27" i="1"/>
  <c r="U73" i="1"/>
  <c r="S73" i="1" s="1"/>
  <c r="W82" i="1"/>
  <c r="U17" i="1"/>
  <c r="S17" i="1" s="1"/>
  <c r="AI62" i="1"/>
  <c r="U137" i="1"/>
  <c r="S137" i="1" s="1"/>
  <c r="U222" i="1"/>
  <c r="S222" i="1" s="1"/>
  <c r="W54" i="1"/>
  <c r="U168" i="1"/>
  <c r="S168" i="1" s="1"/>
  <c r="W77" i="1"/>
  <c r="W94" i="1"/>
  <c r="U201" i="1"/>
  <c r="S201" i="1" s="1"/>
  <c r="W23" i="1"/>
  <c r="W29" i="1"/>
  <c r="W68" i="1"/>
  <c r="W133" i="1"/>
  <c r="AI39" i="1"/>
  <c r="W226" i="1"/>
  <c r="AI16" i="1"/>
  <c r="W26" i="1"/>
  <c r="AI52" i="1"/>
  <c r="AI91" i="1"/>
  <c r="W138" i="1"/>
  <c r="W224" i="1"/>
  <c r="AI185" i="1"/>
  <c r="W170" i="1"/>
  <c r="W220" i="1"/>
  <c r="U191" i="1"/>
  <c r="S191" i="1" s="1"/>
  <c r="U62" i="1"/>
  <c r="S62" i="1" s="1"/>
  <c r="U31" i="1"/>
  <c r="S31" i="1" s="1"/>
  <c r="W98" i="1"/>
  <c r="U64" i="1"/>
  <c r="S64" i="1" s="1"/>
  <c r="W184" i="1"/>
  <c r="U184" i="1"/>
  <c r="S184" i="1" s="1"/>
  <c r="U217" i="1"/>
  <c r="S217" i="1" s="1"/>
  <c r="U151" i="1"/>
  <c r="S151" i="1" s="1"/>
  <c r="U195" i="1"/>
  <c r="S195" i="1" s="1"/>
  <c r="U81" i="1"/>
  <c r="S81" i="1" s="1"/>
  <c r="U141" i="1"/>
  <c r="S141" i="1" s="1"/>
  <c r="AI56" i="1"/>
  <c r="W71" i="1"/>
  <c r="U91" i="1"/>
  <c r="S91" i="1" s="1"/>
  <c r="U139" i="1"/>
  <c r="S139" i="1" s="1"/>
  <c r="U211" i="1"/>
  <c r="S211" i="1" s="1"/>
  <c r="U177" i="1"/>
  <c r="S177" i="1" s="1"/>
  <c r="AI217" i="1"/>
  <c r="AI216" i="1"/>
  <c r="W20" i="1"/>
  <c r="W139" i="1"/>
  <c r="W225" i="1"/>
  <c r="U133" i="1"/>
  <c r="S133" i="1" s="1"/>
  <c r="U212" i="1"/>
  <c r="S212" i="1" s="1"/>
  <c r="W217" i="1"/>
  <c r="U127" i="1"/>
  <c r="S127" i="1" s="1"/>
  <c r="W43" i="1"/>
  <c r="W149" i="1"/>
  <c r="W18" i="1"/>
  <c r="U27" i="1"/>
  <c r="S27" i="1" s="1"/>
  <c r="AI68" i="1"/>
  <c r="U56" i="1"/>
  <c r="S56" i="1" s="1"/>
  <c r="AI94" i="1"/>
  <c r="U94" i="1"/>
  <c r="S94" i="1" s="1"/>
  <c r="AI98" i="1"/>
  <c r="AI126" i="1"/>
  <c r="AI143" i="1"/>
  <c r="AI162" i="1"/>
  <c r="W163" i="1"/>
  <c r="U163" i="1"/>
  <c r="S163" i="1" s="1"/>
  <c r="U200" i="1"/>
  <c r="S200" i="1" s="1"/>
  <c r="W21" i="1"/>
  <c r="W65" i="1"/>
  <c r="W211" i="1"/>
  <c r="W173" i="1"/>
  <c r="U205" i="1"/>
  <c r="S205" i="1" s="1"/>
  <c r="U148" i="1"/>
  <c r="S148" i="1" s="1"/>
  <c r="AI73" i="1"/>
  <c r="AI173" i="1"/>
  <c r="U203" i="1"/>
  <c r="S203" i="1" s="1"/>
  <c r="AI205" i="1"/>
  <c r="W64" i="1"/>
  <c r="W221" i="1"/>
  <c r="W195" i="1"/>
  <c r="U226" i="1"/>
  <c r="S226" i="1" s="1"/>
  <c r="W45" i="1"/>
  <c r="W145" i="1"/>
  <c r="W28" i="1"/>
  <c r="AI210" i="1"/>
  <c r="AI170" i="1"/>
  <c r="W39" i="1"/>
  <c r="W208" i="1"/>
  <c r="W177" i="1"/>
  <c r="U193" i="1"/>
  <c r="S193" i="1" s="1"/>
  <c r="W193" i="1"/>
  <c r="U132" i="1"/>
  <c r="S132" i="1" s="1"/>
  <c r="U136" i="1"/>
  <c r="S136" i="1" s="1"/>
  <c r="AI214" i="1"/>
  <c r="U20" i="1"/>
  <c r="S20" i="1" s="1"/>
  <c r="U165" i="1"/>
  <c r="S165" i="1" s="1"/>
  <c r="U185" i="1"/>
  <c r="S185" i="1" s="1"/>
  <c r="U25" i="1"/>
  <c r="S25" i="1" s="1"/>
  <c r="AI25" i="1"/>
  <c r="W40" i="1"/>
  <c r="W32" i="1"/>
  <c r="U58" i="1"/>
  <c r="S58" i="1" s="1"/>
  <c r="AI58" i="1"/>
  <c r="W135" i="1"/>
  <c r="W143" i="1"/>
  <c r="AI167" i="1"/>
  <c r="U167" i="1"/>
  <c r="S167" i="1" s="1"/>
  <c r="AI222" i="1"/>
  <c r="U21" i="1"/>
  <c r="S21" i="1" s="1"/>
  <c r="AI21" i="1"/>
  <c r="U208" i="1"/>
  <c r="S208" i="1" s="1"/>
  <c r="U160" i="1"/>
  <c r="S160" i="1" s="1"/>
  <c r="U54" i="1"/>
  <c r="S54" i="1" s="1"/>
  <c r="AI54" i="1"/>
  <c r="W73" i="1"/>
  <c r="W130" i="1"/>
  <c r="W203" i="1"/>
  <c r="W124" i="1"/>
  <c r="W160" i="1"/>
  <c r="W178" i="1"/>
  <c r="W171" i="1"/>
  <c r="W222" i="1"/>
  <c r="U77" i="1"/>
  <c r="S77" i="1" s="1"/>
  <c r="AI77" i="1"/>
  <c r="AI51" i="1"/>
  <c r="U51" i="1"/>
  <c r="S51" i="1" s="1"/>
  <c r="AI78" i="1"/>
  <c r="U78" i="1"/>
  <c r="S78" i="1" s="1"/>
  <c r="AI63" i="1"/>
  <c r="U63" i="1"/>
  <c r="S63" i="1" s="1"/>
  <c r="AI67" i="1"/>
  <c r="U67" i="1"/>
  <c r="S67" i="1" s="1"/>
  <c r="AI75" i="1"/>
  <c r="U75" i="1"/>
  <c r="S75" i="1" s="1"/>
  <c r="W63" i="1"/>
  <c r="U116" i="1"/>
  <c r="S116" i="1" s="1"/>
  <c r="AI116" i="1"/>
  <c r="AI187" i="1"/>
  <c r="U170" i="1"/>
  <c r="S170" i="1" s="1"/>
  <c r="U218" i="1"/>
  <c r="S218" i="1" s="1"/>
  <c r="AI224" i="1"/>
  <c r="AI55" i="1"/>
  <c r="U55" i="1"/>
  <c r="S55" i="1" s="1"/>
  <c r="AI71" i="1"/>
  <c r="U71" i="1"/>
  <c r="S71" i="1" s="1"/>
  <c r="W67" i="1"/>
  <c r="U89" i="1"/>
  <c r="S89" i="1" s="1"/>
  <c r="AI89" i="1"/>
  <c r="U97" i="1"/>
  <c r="S97" i="1" s="1"/>
  <c r="AI97" i="1"/>
  <c r="U104" i="1"/>
  <c r="S104" i="1" s="1"/>
  <c r="AI104" i="1"/>
  <c r="U113" i="1"/>
  <c r="S113" i="1" s="1"/>
  <c r="AI113" i="1"/>
  <c r="W113" i="1"/>
  <c r="W104" i="1"/>
  <c r="W117" i="1"/>
  <c r="AI183" i="1"/>
  <c r="U166" i="1"/>
  <c r="S166" i="1" s="1"/>
  <c r="AI59" i="1"/>
  <c r="U59" i="1"/>
  <c r="S59" i="1" s="1"/>
  <c r="W78" i="1"/>
  <c r="AI117" i="1"/>
  <c r="U117" i="1"/>
  <c r="S117" i="1" s="1"/>
  <c r="AI14" i="1"/>
  <c r="U14" i="1"/>
  <c r="S14" i="1" s="1"/>
  <c r="AI18" i="1"/>
  <c r="U18" i="1"/>
  <c r="S18" i="1" s="1"/>
  <c r="AI22" i="1"/>
  <c r="U22" i="1"/>
  <c r="S22" i="1" s="1"/>
  <c r="AI26" i="1"/>
  <c r="U26" i="1"/>
  <c r="S26" i="1" s="1"/>
  <c r="AI30" i="1"/>
  <c r="U30" i="1"/>
  <c r="S30" i="1" s="1"/>
  <c r="AI34" i="1"/>
  <c r="U34" i="1"/>
  <c r="S34" i="1" s="1"/>
  <c r="AI38" i="1"/>
  <c r="U38" i="1"/>
  <c r="S38" i="1" s="1"/>
  <c r="AI42" i="1"/>
  <c r="U42" i="1"/>
  <c r="S42" i="1" s="1"/>
  <c r="AI46" i="1"/>
  <c r="U46" i="1"/>
  <c r="S46" i="1" s="1"/>
  <c r="W34" i="1"/>
  <c r="W30" i="1"/>
  <c r="W46" i="1"/>
  <c r="W75" i="1"/>
  <c r="U93" i="1"/>
  <c r="S93" i="1" s="1"/>
  <c r="AI93" i="1"/>
  <c r="U100" i="1"/>
  <c r="S100" i="1" s="1"/>
  <c r="AI100" i="1"/>
  <c r="U108" i="1"/>
  <c r="S108" i="1" s="1"/>
  <c r="AI108" i="1"/>
  <c r="W51" i="1"/>
  <c r="AI82" i="1"/>
  <c r="U82" i="1"/>
  <c r="S82" i="1" s="1"/>
  <c r="W97" i="1"/>
  <c r="W108" i="1"/>
  <c r="W89" i="1"/>
  <c r="AI125" i="1"/>
  <c r="U125" i="1"/>
  <c r="S125" i="1" s="1"/>
  <c r="AI129" i="1"/>
  <c r="U129" i="1"/>
  <c r="S129" i="1" s="1"/>
  <c r="AI134" i="1"/>
  <c r="U134" i="1"/>
  <c r="S134" i="1" s="1"/>
  <c r="AI138" i="1"/>
  <c r="U138" i="1"/>
  <c r="S138" i="1" s="1"/>
  <c r="AI142" i="1"/>
  <c r="U142" i="1"/>
  <c r="S142" i="1" s="1"/>
  <c r="AI146" i="1"/>
  <c r="U146" i="1"/>
  <c r="S146" i="1" s="1"/>
  <c r="AI150" i="1"/>
  <c r="U150" i="1"/>
  <c r="S150" i="1" s="1"/>
  <c r="AI156" i="1"/>
  <c r="U156" i="1"/>
  <c r="S156" i="1" s="1"/>
  <c r="AI160" i="1"/>
  <c r="U206" i="1"/>
  <c r="S206" i="1" s="1"/>
  <c r="AI164" i="1"/>
  <c r="U210" i="1"/>
  <c r="S210" i="1" s="1"/>
  <c r="AI168" i="1"/>
  <c r="U214" i="1"/>
  <c r="S214" i="1" s="1"/>
  <c r="AI172" i="1"/>
  <c r="U224" i="1"/>
  <c r="S224" i="1" s="1"/>
  <c r="AI176" i="1"/>
  <c r="U158" i="1"/>
  <c r="S158" i="1" s="1"/>
  <c r="AI180" i="1"/>
  <c r="U162" i="1"/>
  <c r="S162" i="1" s="1"/>
  <c r="W166" i="1"/>
  <c r="AI188" i="1"/>
  <c r="U171" i="1"/>
  <c r="S171" i="1" s="1"/>
  <c r="W142" i="1"/>
  <c r="W206" i="1"/>
  <c r="W158" i="1"/>
  <c r="U202" i="1"/>
  <c r="S202" i="1" s="1"/>
  <c r="AI220" i="1"/>
  <c r="W202" i="1"/>
  <c r="W218" i="1"/>
  <c r="K24" i="6"/>
  <c r="B24" i="6"/>
  <c r="K23" i="6"/>
  <c r="B23" i="6"/>
  <c r="J23" i="6" s="1"/>
  <c r="K22" i="6"/>
  <c r="B22" i="6"/>
  <c r="I22" i="6" s="1"/>
  <c r="K21" i="6"/>
  <c r="B21" i="6"/>
  <c r="I21" i="6" s="1"/>
  <c r="K20" i="6"/>
  <c r="B20" i="6"/>
  <c r="K19" i="6"/>
  <c r="B19" i="6"/>
  <c r="J19" i="6" s="1"/>
  <c r="K18" i="6"/>
  <c r="B18" i="6"/>
  <c r="I18" i="6" s="1"/>
  <c r="K17" i="6"/>
  <c r="B17" i="6"/>
  <c r="I17" i="6" s="1"/>
  <c r="K16" i="6"/>
  <c r="B16" i="6"/>
  <c r="K15" i="6"/>
  <c r="B15" i="6"/>
  <c r="J15" i="6" s="1"/>
  <c r="K14" i="6"/>
  <c r="B14" i="6"/>
  <c r="I14" i="6" s="1"/>
  <c r="K13" i="6"/>
  <c r="B13" i="6"/>
  <c r="I13" i="6" s="1"/>
  <c r="K12" i="6"/>
  <c r="B12" i="6"/>
  <c r="K11" i="6"/>
  <c r="B11" i="6"/>
  <c r="J11" i="6" s="1"/>
  <c r="K10" i="6"/>
  <c r="B10" i="6"/>
  <c r="I10" i="6" s="1"/>
  <c r="K9" i="6"/>
  <c r="B9" i="6"/>
  <c r="I9" i="6" s="1"/>
  <c r="K8" i="6"/>
  <c r="B8" i="6"/>
  <c r="K7" i="6"/>
  <c r="B7" i="6"/>
  <c r="J7" i="6" s="1"/>
  <c r="K6" i="6"/>
  <c r="B6" i="6"/>
  <c r="I6" i="6" s="1"/>
  <c r="K5" i="6"/>
  <c r="B5" i="6"/>
  <c r="I5" i="6" s="1"/>
  <c r="K4" i="6"/>
  <c r="B4" i="6"/>
  <c r="J4" i="6" s="1"/>
  <c r="K3" i="6"/>
  <c r="B3" i="6"/>
  <c r="I3" i="6" s="1"/>
  <c r="X24" i="3"/>
  <c r="W24" i="3"/>
  <c r="V24" i="3"/>
  <c r="U24" i="3"/>
  <c r="AC24" i="3" s="1"/>
  <c r="N24" i="3"/>
  <c r="M24" i="3"/>
  <c r="AF13" i="1"/>
  <c r="AE13" i="1"/>
  <c r="R24" i="3" s="1"/>
  <c r="AD13" i="1"/>
  <c r="AC13" i="1"/>
  <c r="AB13" i="1"/>
  <c r="Z13" i="1"/>
  <c r="Y13" i="1"/>
  <c r="V13" i="1"/>
  <c r="S24" i="3" s="1"/>
  <c r="M13" i="1"/>
  <c r="P13" i="1" s="1"/>
  <c r="L13" i="1"/>
  <c r="K13" i="1"/>
  <c r="F17" i="6" l="1"/>
  <c r="T24" i="3"/>
  <c r="AA13" i="1"/>
  <c r="F21" i="6"/>
  <c r="AG13" i="1"/>
  <c r="W13" i="1" s="1"/>
  <c r="X14" i="1"/>
  <c r="Y24" i="3"/>
  <c r="J9" i="6"/>
  <c r="F13" i="6"/>
  <c r="J5" i="6"/>
  <c r="F9" i="6"/>
  <c r="J21" i="6"/>
  <c r="F5" i="6"/>
  <c r="J17" i="6"/>
  <c r="J13" i="6"/>
  <c r="I8" i="6"/>
  <c r="I12" i="6"/>
  <c r="I16" i="6"/>
  <c r="I20" i="6"/>
  <c r="I7" i="6"/>
  <c r="F8" i="6"/>
  <c r="J8" i="6"/>
  <c r="I15" i="6"/>
  <c r="F16" i="6"/>
  <c r="J16" i="6"/>
  <c r="J24" i="6"/>
  <c r="F3" i="6"/>
  <c r="J3" i="6"/>
  <c r="F6" i="6"/>
  <c r="J6" i="6"/>
  <c r="F10" i="6"/>
  <c r="J10" i="6"/>
  <c r="F14" i="6"/>
  <c r="J14" i="6"/>
  <c r="F18" i="6"/>
  <c r="J18" i="6"/>
  <c r="F22" i="6"/>
  <c r="J22" i="6"/>
  <c r="I4" i="6"/>
  <c r="I24" i="6"/>
  <c r="F4" i="6"/>
  <c r="I11" i="6"/>
  <c r="F12" i="6"/>
  <c r="J12" i="6"/>
  <c r="I19" i="6"/>
  <c r="F20" i="6"/>
  <c r="J20" i="6"/>
  <c r="I23" i="6"/>
  <c r="F24" i="6"/>
  <c r="F7" i="6"/>
  <c r="F11" i="6"/>
  <c r="F15" i="6"/>
  <c r="F19" i="6"/>
  <c r="F23" i="6"/>
  <c r="AI13" i="1"/>
  <c r="T13" i="1"/>
  <c r="X13" i="1"/>
  <c r="U13" i="1" l="1"/>
  <c r="S13" i="1" s="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3" i="6" s="1"/>
  <c r="G23" i="4"/>
  <c r="H3" i="6" s="1"/>
  <c r="F24" i="4"/>
  <c r="G24" i="4"/>
  <c r="F25" i="4"/>
  <c r="G25" i="4"/>
  <c r="F26" i="4"/>
  <c r="G4" i="6" s="1"/>
  <c r="G26" i="4"/>
  <c r="H4" i="6" s="1"/>
  <c r="F27" i="4"/>
  <c r="G27" i="4"/>
  <c r="F28" i="4"/>
  <c r="G28" i="4"/>
  <c r="F29" i="4"/>
  <c r="G29" i="4"/>
  <c r="F30" i="4"/>
  <c r="G30" i="4"/>
  <c r="F31" i="4"/>
  <c r="G7" i="6" s="1"/>
  <c r="G31" i="4"/>
  <c r="H7" i="6" s="1"/>
  <c r="F32" i="4"/>
  <c r="G32" i="4"/>
  <c r="F33" i="4"/>
  <c r="G33" i="4"/>
  <c r="F34" i="4"/>
  <c r="G9" i="6" s="1"/>
  <c r="G34" i="4"/>
  <c r="H9" i="6" s="1"/>
  <c r="F35" i="4"/>
  <c r="G35" i="4"/>
  <c r="F36" i="4"/>
  <c r="G36" i="4"/>
  <c r="F37" i="4"/>
  <c r="G6" i="6" s="1"/>
  <c r="G37" i="4"/>
  <c r="H6" i="6" s="1"/>
  <c r="F38" i="4"/>
  <c r="G5" i="6" s="1"/>
  <c r="G38" i="4"/>
  <c r="H5" i="6" s="1"/>
  <c r="F39" i="4"/>
  <c r="G10" i="6" s="1"/>
  <c r="G39" i="4"/>
  <c r="H10" i="6" s="1"/>
  <c r="F40" i="4"/>
  <c r="G40" i="4"/>
  <c r="F41" i="4"/>
  <c r="G41" i="4"/>
  <c r="F42" i="4"/>
  <c r="G42" i="4"/>
  <c r="F43" i="4"/>
  <c r="G43" i="4"/>
  <c r="F44" i="4"/>
  <c r="G8" i="6" s="1"/>
  <c r="G44" i="4"/>
  <c r="H8" i="6" s="1"/>
  <c r="F45" i="4"/>
  <c r="G13" i="6" s="1"/>
  <c r="G45" i="4"/>
  <c r="H13" i="6" s="1"/>
  <c r="F46" i="4"/>
  <c r="G46" i="4"/>
  <c r="F47" i="4"/>
  <c r="G47" i="4"/>
  <c r="F48" i="4"/>
  <c r="G48" i="4"/>
  <c r="F49" i="4"/>
  <c r="G49" i="4"/>
  <c r="F50" i="4"/>
  <c r="G11" i="6" s="1"/>
  <c r="G50" i="4"/>
  <c r="H11" i="6" s="1"/>
  <c r="F51" i="4"/>
  <c r="G51" i="4"/>
  <c r="F52" i="4"/>
  <c r="G52" i="4"/>
  <c r="F53" i="4"/>
  <c r="G12" i="6" s="1"/>
  <c r="G53" i="4"/>
  <c r="H12" i="6" s="1"/>
  <c r="F54" i="4"/>
  <c r="G15" i="6" s="1"/>
  <c r="G54" i="4"/>
  <c r="H15" i="6" s="1"/>
  <c r="F55" i="4"/>
  <c r="G55" i="4"/>
  <c r="F56" i="4"/>
  <c r="G56" i="4"/>
  <c r="F57" i="4"/>
  <c r="G57" i="4"/>
  <c r="F58" i="4"/>
  <c r="G16" i="6" s="1"/>
  <c r="G58" i="4"/>
  <c r="H16" i="6" s="1"/>
  <c r="F59" i="4"/>
  <c r="G59" i="4"/>
  <c r="F60" i="4"/>
  <c r="G14" i="6" s="1"/>
  <c r="G60" i="4"/>
  <c r="H14" i="6" s="1"/>
  <c r="F61" i="4"/>
  <c r="G61" i="4"/>
  <c r="F62" i="4"/>
  <c r="G62" i="4"/>
  <c r="F63" i="4"/>
  <c r="G63" i="4"/>
  <c r="F64" i="4"/>
  <c r="G18" i="6" s="1"/>
  <c r="G64" i="4"/>
  <c r="H18" i="6" s="1"/>
  <c r="F65" i="4"/>
  <c r="G65" i="4"/>
  <c r="F66" i="4"/>
  <c r="G66" i="4"/>
  <c r="F67" i="4"/>
  <c r="G67" i="4"/>
  <c r="F68" i="4"/>
  <c r="G68" i="4"/>
  <c r="F69" i="4"/>
  <c r="G17" i="6" s="1"/>
  <c r="G69" i="4"/>
  <c r="H17" i="6" s="1"/>
  <c r="F70" i="4"/>
  <c r="G21" i="6" s="1"/>
  <c r="G70" i="4"/>
  <c r="H21" i="6" s="1"/>
  <c r="F71" i="4"/>
  <c r="G71" i="4"/>
  <c r="F72" i="4"/>
  <c r="G72" i="4"/>
  <c r="F73" i="4"/>
  <c r="G73" i="4"/>
  <c r="F74" i="4"/>
  <c r="G19" i="6" s="1"/>
  <c r="G74" i="4"/>
  <c r="H19" i="6" s="1"/>
  <c r="F75" i="4"/>
  <c r="G22" i="6" s="1"/>
  <c r="G75" i="4"/>
  <c r="H22" i="6" s="1"/>
  <c r="F76" i="4"/>
  <c r="G20" i="6" s="1"/>
  <c r="G76" i="4"/>
  <c r="H20" i="6" s="1"/>
  <c r="F77" i="4"/>
  <c r="G77" i="4"/>
  <c r="F78" i="4"/>
  <c r="G78" i="4"/>
  <c r="F79" i="4"/>
  <c r="G79" i="4"/>
  <c r="F80" i="4"/>
  <c r="G80" i="4"/>
  <c r="F81" i="4"/>
  <c r="G81" i="4"/>
  <c r="F82" i="4"/>
  <c r="G82" i="4"/>
  <c r="F83" i="4"/>
  <c r="G83" i="4"/>
  <c r="F84" i="4"/>
  <c r="G23" i="6" s="1"/>
  <c r="G84" i="4"/>
  <c r="H23"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4" i="6" s="1"/>
  <c r="G223" i="4"/>
  <c r="H24"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M26" i="5" l="1"/>
  <c r="AH13" i="1" l="1"/>
  <c r="J7" i="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O2" i="3" l="1"/>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<sst xmlns="http://schemas.openxmlformats.org/spreadsheetml/2006/main" count="2300" uniqueCount="781">
  <si>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</si>
  <si>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</si>
  <si>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</si>
  <si>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</si>
  <si>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</si>
  <si>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</si>
  <si>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</si>
  <si>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</si>
  <si>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</si>
  <si>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</si>
  <si>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</si>
  <si>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</si>
  <si>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</si>
  <si>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</si>
  <si>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</si>
  <si>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</si>
  <si>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</si>
  <si>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</si>
  <si>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</si>
  <si>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</si>
  <si>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</si>
  <si>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</si>
  <si>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</si>
  <si>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</si>
  <si>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</si>
  <si>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</si>
  <si>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</si>
  <si>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</si>
  <si>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</si>
  <si>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</si>
  <si>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</si>
  <si>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</si>
  <si>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</si>
  <si>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</si>
  <si>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</si>
  <si>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</si>
  <si>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</si>
  <si>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</si>
  <si>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</si>
  <si>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</si>
  <si>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</si>
  <si>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</si>
  <si>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</si>
  <si>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</si>
  <si>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</si>
  <si>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</si>
  <si>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</si>
  <si>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</si>
  <si>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</si>
  <si>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</si>
  <si>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</si>
  <si>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</si>
  <si>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</si>
  <si>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</si>
  <si>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</si>
  <si>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</si>
  <si>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</si>
  <si>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</si>
  <si>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</si>
  <si>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</si>
  <si>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</si>
  <si>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</si>
  <si>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</si>
  <si>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</si>
  <si>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</si>
  <si>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</si>
  <si>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</si>
  <si>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</si>
  <si>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</si>
  <si>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</si>
  <si>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</si>
  <si>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</si>
  <si>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</si>
  <si>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</si>
  <si>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</si>
  <si>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</si>
  <si>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</si>
  <si>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</si>
  <si>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</si>
  <si>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</si>
  <si>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</si>
  <si>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</si>
  <si>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</si>
  <si>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</si>
  <si>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</si>
  <si>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</si>
  <si>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</si>
  <si>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</si>
  <si>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</si>
  <si>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</si>
  <si>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</si>
  <si>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</si>
  <si>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</si>
  <si>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</si>
  <si>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</si>
  <si>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</si>
  <si>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</si>
  <si>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</si>
  <si>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</si>
  <si>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DE.1.0.7.0</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</si>
  <si>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</si>
  <si>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</si>
  <si>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</si>
  <si>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</si>
  <si>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</si>
  <si>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</si>
  <si>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</si>
  <si>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</si>
  <si>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</si>
  <si>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</si>
  <si>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</si>
  <si>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</si>
  <si>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</si>
  <si>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</si>
  <si>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</si>
  <si>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</si>
  <si>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</si>
  <si>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</si>
  <si>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</si>
  <si>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</si>
  <si>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</si>
  <si>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</si>
  <si>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</si>
  <si>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</si>
  <si>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</si>
  <si>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</si>
  <si>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</si>
  <si>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</si>
  <si>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</si>
  <si>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</si>
  <si>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</si>
  <si>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</si>
  <si>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</si>
  <si>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</si>
  <si>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</si>
  <si>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</si>
  <si>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</si>
  <si>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</si>
  <si>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</si>
  <si>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</si>
  <si>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</si>
  <si>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</si>
  <si>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</si>
  <si>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</si>
  <si>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</si>
  <si>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</si>
  <si>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</si>
  <si>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</si>
  <si>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</si>
  <si>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</si>
  <si>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</si>
  <si>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</si>
  <si>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</si>
  <si>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</si>
  <si>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</si>
  <si>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</si>
  <si>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</si>
  <si>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</si>
  <si>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</si>
  <si>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</si>
  <si>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</si>
  <si>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</si>
  <si>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</si>
  <si>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</si>
  <si>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</si>
  <si>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</si>
  <si>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</si>
  <si>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</si>
  <si>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</si>
  <si>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</si>
  <si>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</si>
  <si>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</si>
  <si>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</si>
  <si>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</si>
  <si>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</si>
  <si>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</si>
  <si>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</si>
  <si>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</si>
  <si>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</si>
  <si>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</si>
  <si>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</si>
  <si>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</si>
  <si>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</si>
  <si>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204:233312</t>
  </si>
  <si>
    <t>Time (US/Mountain)</t>
  </si>
  <si>
    <t>Source</t>
  </si>
  <si>
    <t>Employee Identifier</t>
  </si>
  <si>
    <t>Employee Last Name</t>
  </si>
  <si>
    <t>rtdc.l.rtdc.4018:itc</t>
  </si>
  <si>
    <t>Reactive Warning (1)</t>
  </si>
  <si>
    <t>LEVERE</t>
  </si>
  <si>
    <t>:.+((SYSTEM_STATE.+slice.+state.+changed )|(ment ac)|(system.+state.+changed )|(\[timeout)|(PRM\|1\|D)|(kpr)|(kdp)|(\|lc)|(penalty))</t>
  </si>
  <si>
    <t>STURGEON</t>
  </si>
  <si>
    <t>s3://rtdc.mdm.uploadarchive.raw</t>
  </si>
  <si>
    <t>rtdc.l.rtdc.4010:itc</t>
  </si>
  <si>
    <t>rtdc.l.rtdc.4009:itc</t>
  </si>
  <si>
    <t>rtdc.l.rtdc.4003:itc</t>
  </si>
  <si>
    <t>rtdc.l.rtdc.4004:itc</t>
  </si>
  <si>
    <t>204:233297</t>
  </si>
  <si>
    <t>rtdc.l.rtdc.4008:itc</t>
  </si>
  <si>
    <t>rtdc.l.rtdc.4044:itc</t>
  </si>
  <si>
    <t>rtdc.l.rtdc.4007:itc</t>
  </si>
  <si>
    <t>YOUNG</t>
  </si>
  <si>
    <t>rtdc.l.rtdc.4046:itc</t>
  </si>
  <si>
    <t>56-06</t>
  </si>
  <si>
    <t>309-06</t>
  </si>
  <si>
    <t>244-06</t>
  </si>
  <si>
    <t>311-06</t>
  </si>
  <si>
    <t>315-06</t>
  </si>
  <si>
    <t>Y</t>
  </si>
  <si>
    <t>246-07</t>
  </si>
  <si>
    <t>311-07</t>
  </si>
  <si>
    <t>313-07</t>
  </si>
  <si>
    <t>315-07</t>
  </si>
  <si>
    <t>56-08</t>
  </si>
  <si>
    <t>62-07</t>
  </si>
  <si>
    <t>rtdc.l.rtdc.4020:itc</t>
  </si>
  <si>
    <t>rtdc.l.rtdc.4013:itc</t>
  </si>
  <si>
    <t>rtdc.l.rtdc.4038:itc</t>
  </si>
  <si>
    <t>rtdc.l.rtdc.4014:itc</t>
  </si>
  <si>
    <t>CHANDLER</t>
  </si>
  <si>
    <t>Powered by darksky [darksky.net]</t>
  </si>
  <si>
    <t>rtdc.l.rtdc.4043:itc</t>
  </si>
  <si>
    <t>Partly Cloudy</t>
  </si>
  <si>
    <t>partly-cloudy-night</t>
  </si>
  <si>
    <t>rtdc.l.rtdc.4039:itc</t>
  </si>
  <si>
    <t>COOLAHAN</t>
  </si>
  <si>
    <t>rtdc.l.rtdc.4029:itc</t>
  </si>
  <si>
    <t>BERLING</t>
  </si>
  <si>
    <t>SPECTOR</t>
  </si>
  <si>
    <t>rtdc.l.rtdc.4037:itc</t>
  </si>
  <si>
    <t>YANAI</t>
  </si>
  <si>
    <t>precipType</t>
  </si>
  <si>
    <t>rain</t>
  </si>
  <si>
    <t>rtdc.l.rtdc.4015:itc</t>
  </si>
  <si>
    <t>rtdc.l.rtdc.4032:itc</t>
  </si>
  <si>
    <t>HILLS</t>
  </si>
  <si>
    <t>rtdc.l.rtdc.4031:itc</t>
  </si>
  <si>
    <t>rtdc.l.rtdc.4053:itc</t>
  </si>
  <si>
    <t>GRASTON</t>
  </si>
  <si>
    <t>HELVIE</t>
  </si>
  <si>
    <t>BONDS</t>
  </si>
  <si>
    <t>CRAYTON</t>
  </si>
  <si>
    <t>STORY</t>
  </si>
  <si>
    <t>BRANDNER</t>
  </si>
  <si>
    <t>204:233314</t>
  </si>
  <si>
    <t>Enforcements Text</t>
  </si>
  <si>
    <t>Runs-Refined Text</t>
  </si>
  <si>
    <t>Trips Text</t>
  </si>
  <si>
    <t>Weather Text</t>
  </si>
  <si>
    <t>rtdc.l.rtdc.4026:itc</t>
  </si>
  <si>
    <t>MAELZER</t>
  </si>
  <si>
    <t>STRICKLAND</t>
  </si>
  <si>
    <t>STARKS</t>
  </si>
  <si>
    <t>GEBRETEKLE</t>
  </si>
  <si>
    <t>ROCHA</t>
  </si>
  <si>
    <t>STAMBAUGH</t>
  </si>
  <si>
    <t>DELGADO</t>
  </si>
  <si>
    <t>204:232985</t>
  </si>
  <si>
    <t>204:161</t>
  </si>
  <si>
    <t>204:154</t>
  </si>
  <si>
    <t>204:233317</t>
  </si>
  <si>
    <t>204:145</t>
  </si>
  <si>
    <t>204:750</t>
  </si>
  <si>
    <t>204:763</t>
  </si>
  <si>
    <t>204:233330</t>
  </si>
  <si>
    <t>204:458</t>
  </si>
  <si>
    <t>204:232959</t>
  </si>
  <si>
    <t>204:149</t>
  </si>
  <si>
    <t>204:233293</t>
  </si>
  <si>
    <t>204:143</t>
  </si>
  <si>
    <t>204:233286</t>
  </si>
  <si>
    <t>204:232990</t>
  </si>
  <si>
    <t>204:150</t>
  </si>
  <si>
    <t>204:233276</t>
  </si>
  <si>
    <t>204:232969</t>
  </si>
  <si>
    <t>204:447</t>
  </si>
  <si>
    <t>204:232993</t>
  </si>
  <si>
    <t>204:132</t>
  </si>
  <si>
    <t>Onboard in-route failure</t>
  </si>
  <si>
    <t>204:453</t>
  </si>
  <si>
    <t>204:233300</t>
  </si>
  <si>
    <t>204:232983</t>
  </si>
  <si>
    <t>204:163</t>
  </si>
  <si>
    <t>204:464</t>
  </si>
  <si>
    <t>204:233320</t>
  </si>
  <si>
    <t>204:232992</t>
  </si>
  <si>
    <t>204:232973</t>
  </si>
  <si>
    <t>204:455</t>
  </si>
  <si>
    <t>204:232974</t>
  </si>
  <si>
    <t>204:232982</t>
  </si>
  <si>
    <t>204:136</t>
  </si>
  <si>
    <t>204:467</t>
  </si>
  <si>
    <t>204:449</t>
  </si>
  <si>
    <t>204:233298</t>
  </si>
  <si>
    <t>204:232976</t>
  </si>
  <si>
    <t>204:134</t>
  </si>
  <si>
    <t>204:457</t>
  </si>
  <si>
    <t>204:462</t>
  </si>
  <si>
    <t>204:232978</t>
  </si>
  <si>
    <t>204:438</t>
  </si>
  <si>
    <t>204:158</t>
  </si>
  <si>
    <t>204:466</t>
  </si>
  <si>
    <t>204:233268</t>
  </si>
  <si>
    <t>204:478</t>
  </si>
  <si>
    <t>204:233295</t>
  </si>
  <si>
    <t>204:435</t>
  </si>
  <si>
    <t>204:446</t>
  </si>
  <si>
    <t>204:233004</t>
  </si>
  <si>
    <t>204:232996</t>
  </si>
  <si>
    <t>204:233299</t>
  </si>
  <si>
    <t>204:232957</t>
  </si>
  <si>
    <t>204:233000</t>
  </si>
  <si>
    <t>204:167</t>
  </si>
  <si>
    <t>204:504</t>
  </si>
  <si>
    <t>204:232989</t>
  </si>
  <si>
    <t>204:160</t>
  </si>
  <si>
    <t>204:232981</t>
  </si>
  <si>
    <t>204:232979</t>
  </si>
  <si>
    <t>204:460</t>
  </si>
  <si>
    <t>204:233306</t>
  </si>
  <si>
    <t>204:139</t>
  </si>
  <si>
    <t>204:233304</t>
  </si>
  <si>
    <t>204:233289</t>
  </si>
  <si>
    <t>204:232986</t>
  </si>
  <si>
    <t>204:233291</t>
  </si>
  <si>
    <t>204:169</t>
  </si>
  <si>
    <t>204:469</t>
  </si>
  <si>
    <t>242-12</t>
  </si>
  <si>
    <t>244-12</t>
  </si>
  <si>
    <t>300:58611</t>
  </si>
  <si>
    <t>300:58924</t>
  </si>
  <si>
    <t>300:58613</t>
  </si>
  <si>
    <t>204:1000</t>
  </si>
  <si>
    <t>300:58937</t>
  </si>
  <si>
    <t>300:58939</t>
  </si>
  <si>
    <t>204:694</t>
  </si>
  <si>
    <t>204:705</t>
  </si>
  <si>
    <t>204:978</t>
  </si>
  <si>
    <t>300:58995</t>
  </si>
  <si>
    <t>204:747</t>
  </si>
  <si>
    <t>204:698</t>
  </si>
  <si>
    <t>300:58922</t>
  </si>
  <si>
    <t>204:992</t>
  </si>
  <si>
    <t>300:58912</t>
  </si>
  <si>
    <t>300:58609</t>
  </si>
  <si>
    <t>300:23306</t>
  </si>
  <si>
    <t>309-12</t>
  </si>
  <si>
    <t>204:482</t>
  </si>
  <si>
    <t>311-12</t>
  </si>
  <si>
    <t>313-12</t>
  </si>
  <si>
    <t>204:440</t>
  </si>
  <si>
    <t>300:23060</t>
  </si>
  <si>
    <t>315-12</t>
  </si>
  <si>
    <t>300:23314</t>
  </si>
  <si>
    <t>300:58928</t>
  </si>
  <si>
    <t>300:58596</t>
  </si>
  <si>
    <t>204:451</t>
  </si>
  <si>
    <t>N</t>
  </si>
  <si>
    <t>Early arrival</t>
  </si>
  <si>
    <t>PERMANENT SPEED RESTRICTION</t>
  </si>
  <si>
    <t>Speed (6)</t>
  </si>
  <si>
    <t>rtdc.l.rtdc.4016:itc</t>
  </si>
  <si>
    <t>rtdc.l.rtdc.4017:itc</t>
  </si>
  <si>
    <t>SIGNAL</t>
  </si>
  <si>
    <t>Signal based authority (5)</t>
  </si>
  <si>
    <t>TRACK WARRANT AUTHORITY</t>
  </si>
  <si>
    <t>Form based authority (4)</t>
  </si>
  <si>
    <t>rtdc.l.rtdc.4040:itc</t>
  </si>
  <si>
    <t>rtdc.l.rtdc.4019:itc</t>
  </si>
  <si>
    <t>rtdc.l.rtdc.4028:itc</t>
  </si>
  <si>
    <t>TEMPORARY SPEED RESTRICTION</t>
  </si>
  <si>
    <t>partly-cloudy-day</t>
  </si>
  <si>
    <t>clear-night</t>
  </si>
  <si>
    <t>Clear</t>
  </si>
  <si>
    <t>Summary for DUS 2016-10-12: Partly cloudy until night.</t>
  </si>
  <si>
    <t>101-13</t>
  </si>
  <si>
    <t>306-13</t>
  </si>
  <si>
    <t>119-13</t>
  </si>
  <si>
    <t>rtdc.l.rtdc.4042:itc</t>
  </si>
  <si>
    <t>117-13</t>
  </si>
  <si>
    <t>116-13</t>
  </si>
  <si>
    <t>807-13</t>
  </si>
  <si>
    <t>806-13</t>
  </si>
  <si>
    <t>808-13</t>
  </si>
  <si>
    <t>131-13</t>
  </si>
  <si>
    <t>810-13</t>
  </si>
  <si>
    <t>130-13</t>
  </si>
  <si>
    <t>139-13</t>
  </si>
  <si>
    <t>812-13</t>
  </si>
  <si>
    <t>134-13</t>
  </si>
  <si>
    <t>rtdc.l.rtdc.4002:itc</t>
  </si>
  <si>
    <t>141-13</t>
  </si>
  <si>
    <t>145-13</t>
  </si>
  <si>
    <t>rtdc.l.rtdc.4001:itc</t>
  </si>
  <si>
    <t>142-13</t>
  </si>
  <si>
    <t>rtdc.l.rtdc.4041:itc</t>
  </si>
  <si>
    <t>146-13</t>
  </si>
  <si>
    <t>148-13</t>
  </si>
  <si>
    <t>153-13</t>
  </si>
  <si>
    <t>817-13</t>
  </si>
  <si>
    <t>156-13</t>
  </si>
  <si>
    <t>154-13</t>
  </si>
  <si>
    <t>818-13</t>
  </si>
  <si>
    <t>819-13</t>
  </si>
  <si>
    <t>169-13</t>
  </si>
  <si>
    <t>rtdc.l.rtdc.4025:itc</t>
  </si>
  <si>
    <t>171-13</t>
  </si>
  <si>
    <t>188-13</t>
  </si>
  <si>
    <t>829-13</t>
  </si>
  <si>
    <t>50-13</t>
  </si>
  <si>
    <t>832-13</t>
  </si>
  <si>
    <t>204-13</t>
  </si>
  <si>
    <t>206-13</t>
  </si>
  <si>
    <t>213-13</t>
  </si>
  <si>
    <t>836-13</t>
  </si>
  <si>
    <t>837-13</t>
  </si>
  <si>
    <t>214-13</t>
  </si>
  <si>
    <t>235-13</t>
  </si>
  <si>
    <t>230-13</t>
  </si>
  <si>
    <t>232-13</t>
  </si>
  <si>
    <t>234-13</t>
  </si>
  <si>
    <t>240-13</t>
  </si>
  <si>
    <t>rtdc.l.rtdc.4030:itc</t>
  </si>
  <si>
    <t>302-13</t>
  </si>
  <si>
    <t>304-13</t>
  </si>
  <si>
    <t>103-13</t>
  </si>
  <si>
    <t>MALAVE</t>
  </si>
  <si>
    <t>308-13</t>
  </si>
  <si>
    <t>102-13</t>
  </si>
  <si>
    <t>105-13</t>
  </si>
  <si>
    <t>107-13</t>
  </si>
  <si>
    <t>310-13</t>
  </si>
  <si>
    <t>104-13</t>
  </si>
  <si>
    <t>109-13</t>
  </si>
  <si>
    <t>901-13</t>
  </si>
  <si>
    <t>YORK</t>
  </si>
  <si>
    <t>111-13</t>
  </si>
  <si>
    <t>800-13</t>
  </si>
  <si>
    <t>106-13</t>
  </si>
  <si>
    <t>113-13</t>
  </si>
  <si>
    <t>108-13</t>
  </si>
  <si>
    <t>115-13</t>
  </si>
  <si>
    <t>SANTIZO</t>
  </si>
  <si>
    <t>801-13</t>
  </si>
  <si>
    <t>110-13</t>
  </si>
  <si>
    <t>112-13</t>
  </si>
  <si>
    <t>902-13</t>
  </si>
  <si>
    <t>802-13</t>
  </si>
  <si>
    <t>114-13</t>
  </si>
  <si>
    <t>121-13</t>
  </si>
  <si>
    <t>803-13</t>
  </si>
  <si>
    <t>123-13</t>
  </si>
  <si>
    <t>805-13</t>
  </si>
  <si>
    <t>804-13</t>
  </si>
  <si>
    <t>118-13</t>
  </si>
  <si>
    <t>125-13</t>
  </si>
  <si>
    <t>120-13</t>
  </si>
  <si>
    <t>127-13</t>
  </si>
  <si>
    <t>122-13</t>
  </si>
  <si>
    <t>129-13</t>
  </si>
  <si>
    <t>124-13</t>
  </si>
  <si>
    <t>809-13</t>
  </si>
  <si>
    <t>126-13</t>
  </si>
  <si>
    <t>133-13</t>
  </si>
  <si>
    <t>128-13</t>
  </si>
  <si>
    <t>135-13</t>
  </si>
  <si>
    <t>811-13</t>
  </si>
  <si>
    <t>137-13</t>
  </si>
  <si>
    <t>132-13</t>
  </si>
  <si>
    <t>903-13</t>
  </si>
  <si>
    <t>BARTELL</t>
  </si>
  <si>
    <t>136-13</t>
  </si>
  <si>
    <t>143-13</t>
  </si>
  <si>
    <t>813-13</t>
  </si>
  <si>
    <t>138-13</t>
  </si>
  <si>
    <t>140-13</t>
  </si>
  <si>
    <t>147-13</t>
  </si>
  <si>
    <t>814-13</t>
  </si>
  <si>
    <t>144-13</t>
  </si>
  <si>
    <t>149-13</t>
  </si>
  <si>
    <t>151-13</t>
  </si>
  <si>
    <t>815-13</t>
  </si>
  <si>
    <t>155-13</t>
  </si>
  <si>
    <t>150-13</t>
  </si>
  <si>
    <t>816-13</t>
  </si>
  <si>
    <t>157-13</t>
  </si>
  <si>
    <t>152-13</t>
  </si>
  <si>
    <t>159-13</t>
  </si>
  <si>
    <t>161-13</t>
  </si>
  <si>
    <t>SNYDER</t>
  </si>
  <si>
    <t>158-13</t>
  </si>
  <si>
    <t>163-13</t>
  </si>
  <si>
    <t>MOSES</t>
  </si>
  <si>
    <t>165-13</t>
  </si>
  <si>
    <t>NEWELL</t>
  </si>
  <si>
    <t>160-13</t>
  </si>
  <si>
    <t>167-13</t>
  </si>
  <si>
    <t>162-13</t>
  </si>
  <si>
    <t>164-13</t>
  </si>
  <si>
    <t>166-13</t>
  </si>
  <si>
    <t>173-13</t>
  </si>
  <si>
    <t>820-13</t>
  </si>
  <si>
    <t>168-13</t>
  </si>
  <si>
    <t>175-13</t>
  </si>
  <si>
    <t>821-13</t>
  </si>
  <si>
    <t>170-13</t>
  </si>
  <si>
    <t>BROWN</t>
  </si>
  <si>
    <t>177-13</t>
  </si>
  <si>
    <t>172-13</t>
  </si>
  <si>
    <t>179-13</t>
  </si>
  <si>
    <t>174-13</t>
  </si>
  <si>
    <t>822-13</t>
  </si>
  <si>
    <t>176-13</t>
  </si>
  <si>
    <t>181-13</t>
  </si>
  <si>
    <t>183-13</t>
  </si>
  <si>
    <t>178-13</t>
  </si>
  <si>
    <t>185-13</t>
  </si>
  <si>
    <t>180-13</t>
  </si>
  <si>
    <t>823-13</t>
  </si>
  <si>
    <t>187-13</t>
  </si>
  <si>
    <t>182-13</t>
  </si>
  <si>
    <t>189-13</t>
  </si>
  <si>
    <t>825-13</t>
  </si>
  <si>
    <t>824-13</t>
  </si>
  <si>
    <t>184-13</t>
  </si>
  <si>
    <t>191-13</t>
  </si>
  <si>
    <t>186-13</t>
  </si>
  <si>
    <t>193-13</t>
  </si>
  <si>
    <t>YAN-13</t>
  </si>
  <si>
    <t>904-13</t>
  </si>
  <si>
    <t>195-13</t>
  </si>
  <si>
    <t>190-13</t>
  </si>
  <si>
    <t>826-13</t>
  </si>
  <si>
    <t>197-13</t>
  </si>
  <si>
    <t>827-13</t>
  </si>
  <si>
    <t>192-13</t>
  </si>
  <si>
    <t>199-13</t>
  </si>
  <si>
    <t>194-13</t>
  </si>
  <si>
    <t>201-13</t>
  </si>
  <si>
    <t>828-13</t>
  </si>
  <si>
    <t>196-13</t>
  </si>
  <si>
    <t>203-13</t>
  </si>
  <si>
    <t>198-13</t>
  </si>
  <si>
    <t>830-13</t>
  </si>
  <si>
    <t>831-13</t>
  </si>
  <si>
    <t>205-13</t>
  </si>
  <si>
    <t>200-13</t>
  </si>
  <si>
    <t>207-13</t>
  </si>
  <si>
    <t>202-13</t>
  </si>
  <si>
    <t>209-13</t>
  </si>
  <si>
    <t>833-13</t>
  </si>
  <si>
    <t>211-13</t>
  </si>
  <si>
    <t>52-13</t>
  </si>
  <si>
    <t>MATTHEWS</t>
  </si>
  <si>
    <t>834-13</t>
  </si>
  <si>
    <t>208-13</t>
  </si>
  <si>
    <t>835-13</t>
  </si>
  <si>
    <t>215-13</t>
  </si>
  <si>
    <t>210-13</t>
  </si>
  <si>
    <t>53-13</t>
  </si>
  <si>
    <t>54-13</t>
  </si>
  <si>
    <t>217-13</t>
  </si>
  <si>
    <t>63-13</t>
  </si>
  <si>
    <t>212-13</t>
  </si>
  <si>
    <t>219-13</t>
  </si>
  <si>
    <t>rtdc.l.rtdc.4027:itc</t>
  </si>
  <si>
    <t>65-13</t>
  </si>
  <si>
    <t>838-13</t>
  </si>
  <si>
    <t>303-13</t>
  </si>
  <si>
    <t>839-13</t>
  </si>
  <si>
    <t>216-13</t>
  </si>
  <si>
    <t>221-13</t>
  </si>
  <si>
    <t>218-13</t>
  </si>
  <si>
    <t>906-13</t>
  </si>
  <si>
    <t>220-13</t>
  </si>
  <si>
    <t>841-13</t>
  </si>
  <si>
    <t>223-13</t>
  </si>
  <si>
    <t>840-13</t>
  </si>
  <si>
    <t>307-13</t>
  </si>
  <si>
    <t>222-13</t>
  </si>
  <si>
    <t>843-13</t>
  </si>
  <si>
    <t>225-13</t>
  </si>
  <si>
    <t>224-13</t>
  </si>
  <si>
    <t>227-13</t>
  </si>
  <si>
    <t>842-13</t>
  </si>
  <si>
    <t>226-13</t>
  </si>
  <si>
    <t>229-13</t>
  </si>
  <si>
    <t>228-13</t>
  </si>
  <si>
    <t>845-13</t>
  </si>
  <si>
    <t>231-13</t>
  </si>
  <si>
    <t>844-13</t>
  </si>
  <si>
    <t>233-13</t>
  </si>
  <si>
    <t>847-13</t>
  </si>
  <si>
    <t>908-13</t>
  </si>
  <si>
    <t>237-13</t>
  </si>
  <si>
    <t>236-13</t>
  </si>
  <si>
    <t>239-13</t>
  </si>
  <si>
    <t>238-13</t>
  </si>
  <si>
    <t>241-13</t>
  </si>
  <si>
    <t>243-13</t>
  </si>
  <si>
    <t>309-13</t>
  </si>
  <si>
    <t>242-13</t>
  </si>
  <si>
    <t>313-13</t>
  </si>
  <si>
    <t>315-13</t>
  </si>
  <si>
    <t>clear-day</t>
  </si>
  <si>
    <t>204:735</t>
  </si>
  <si>
    <t>204:126326</t>
  </si>
  <si>
    <t>204:232754</t>
  </si>
  <si>
    <t>204:766</t>
  </si>
  <si>
    <t>204:233311</t>
  </si>
  <si>
    <t>204:232669</t>
  </si>
  <si>
    <t>204:872</t>
  </si>
  <si>
    <t>204:232651</t>
  </si>
  <si>
    <t>204:233270</t>
  </si>
  <si>
    <t>204:232977</t>
  </si>
  <si>
    <t>204:232998</t>
  </si>
  <si>
    <t>204:775</t>
  </si>
  <si>
    <t>204:748</t>
  </si>
  <si>
    <t>204:156</t>
  </si>
  <si>
    <t>204:765</t>
  </si>
  <si>
    <t>204:233272</t>
  </si>
  <si>
    <t>204:172</t>
  </si>
  <si>
    <t>204:233281</t>
  </si>
  <si>
    <t>204:232966</t>
  </si>
  <si>
    <t>204:233324</t>
  </si>
  <si>
    <t>204:232980</t>
  </si>
  <si>
    <t>204:232970</t>
  </si>
  <si>
    <t>204:233322</t>
  </si>
  <si>
    <t>204:233026</t>
  </si>
  <si>
    <t>204:233288</t>
  </si>
  <si>
    <t>204:1484</t>
  </si>
  <si>
    <t>204:233301</t>
  </si>
  <si>
    <t>204:176</t>
  </si>
  <si>
    <t>204:426</t>
  </si>
  <si>
    <t>204:233303</t>
  </si>
  <si>
    <t>204:233266</t>
  </si>
  <si>
    <t>204:170</t>
  </si>
  <si>
    <t>204:232964</t>
  </si>
  <si>
    <t>204:178</t>
  </si>
  <si>
    <t>204:433</t>
  </si>
  <si>
    <t>204:232994</t>
  </si>
  <si>
    <t>204:19121</t>
  </si>
  <si>
    <t>204:233326</t>
  </si>
  <si>
    <t>204:484</t>
  </si>
  <si>
    <t>204:233003</t>
  </si>
  <si>
    <t>204:232984</t>
  </si>
  <si>
    <t>204:233361</t>
  </si>
  <si>
    <t>204:233010</t>
  </si>
  <si>
    <t>204:233001</t>
  </si>
  <si>
    <t>204:233002</t>
  </si>
  <si>
    <t>204:192</t>
  </si>
  <si>
    <t>204:883</t>
  </si>
  <si>
    <t>204:233334</t>
  </si>
  <si>
    <t>204:233023</t>
  </si>
  <si>
    <t>204:233310</t>
  </si>
  <si>
    <t>204:232988</t>
  </si>
  <si>
    <t>204:196</t>
  </si>
  <si>
    <t>204:2639</t>
  </si>
  <si>
    <t>204:506</t>
  </si>
  <si>
    <t>204:1003</t>
  </si>
  <si>
    <t>204:185</t>
  </si>
  <si>
    <t>204:475</t>
  </si>
  <si>
    <t>204:473</t>
  </si>
  <si>
    <t>204:233315</t>
  </si>
  <si>
    <t>204:502</t>
  </si>
  <si>
    <t>204:232971</t>
  </si>
  <si>
    <t>204:497</t>
  </si>
  <si>
    <t>204:233278</t>
  </si>
  <si>
    <t>204:233308</t>
  </si>
  <si>
    <t>204:316</t>
  </si>
  <si>
    <t>204:233323</t>
  </si>
  <si>
    <t>204:606</t>
  </si>
  <si>
    <t>204:233332</t>
  </si>
  <si>
    <t>204:429</t>
  </si>
  <si>
    <t>204:123</t>
  </si>
  <si>
    <t>204:232972</t>
  </si>
  <si>
    <t>204:233302</t>
  </si>
  <si>
    <t>204:5131</t>
  </si>
  <si>
    <t>204:113</t>
  </si>
  <si>
    <t>204:19126</t>
  </si>
  <si>
    <t>204:1603</t>
  </si>
  <si>
    <t>204:421</t>
  </si>
  <si>
    <t>204:232991</t>
  </si>
  <si>
    <t>300:23243</t>
  </si>
  <si>
    <t>204:119</t>
  </si>
  <si>
    <t>204:471</t>
  </si>
  <si>
    <t>300:23302</t>
  </si>
  <si>
    <t>300:22976</t>
  </si>
  <si>
    <t>300:23374</t>
  </si>
  <si>
    <t>204:212</t>
  </si>
  <si>
    <t>204:477</t>
  </si>
  <si>
    <t>300:23213</t>
  </si>
  <si>
    <t>300:22831</t>
  </si>
  <si>
    <t>300:23288</t>
  </si>
  <si>
    <t>300:23310</t>
  </si>
  <si>
    <t>300:23360</t>
  </si>
  <si>
    <t>204:133</t>
  </si>
  <si>
    <t>300:23278</t>
  </si>
  <si>
    <t>204:858</t>
  </si>
  <si>
    <t>204:1156</t>
  </si>
  <si>
    <t>204:513</t>
  </si>
  <si>
    <t>204:866</t>
  </si>
  <si>
    <t>300:24226</t>
  </si>
  <si>
    <t>204:432</t>
  </si>
  <si>
    <t>300:24222</t>
  </si>
  <si>
    <t>300:58615</t>
  </si>
  <si>
    <t>204:773</t>
  </si>
  <si>
    <t>204:1044</t>
  </si>
  <si>
    <t>204:741</t>
  </si>
  <si>
    <t>300:59012</t>
  </si>
  <si>
    <t>300:58688</t>
  </si>
  <si>
    <t>204:691</t>
  </si>
  <si>
    <t>204:1027</t>
  </si>
  <si>
    <t>204:778</t>
  </si>
  <si>
    <t>204:993</t>
  </si>
  <si>
    <t>300:58969</t>
  </si>
  <si>
    <t>300:58647</t>
  </si>
  <si>
    <t>204:1067</t>
  </si>
  <si>
    <t>300:58589</t>
  </si>
  <si>
    <t>204:974</t>
  </si>
  <si>
    <t>204:1056</t>
  </si>
  <si>
    <t>300:58978</t>
  </si>
  <si>
    <t>300:58655</t>
  </si>
  <si>
    <t>300:58980</t>
  </si>
  <si>
    <t>300:58656</t>
  </si>
  <si>
    <t>300:58677</t>
  </si>
  <si>
    <t>204:441</t>
  </si>
  <si>
    <t>300:58931</t>
  </si>
  <si>
    <t>300:58628</t>
  </si>
  <si>
    <t>300:58658</t>
  </si>
  <si>
    <t>300:58952</t>
  </si>
  <si>
    <t>300:58638</t>
  </si>
  <si>
    <t>204:1030</t>
  </si>
  <si>
    <t>300:58617</t>
  </si>
  <si>
    <t>204:941</t>
  </si>
  <si>
    <t>300:58604</t>
  </si>
  <si>
    <t>204:654</t>
  </si>
  <si>
    <t>204:1053</t>
  </si>
  <si>
    <t>300:58950</t>
  </si>
  <si>
    <t>204:955</t>
  </si>
  <si>
    <t>204:782</t>
  </si>
  <si>
    <t>204:1051</t>
  </si>
  <si>
    <t>300:58946</t>
  </si>
  <si>
    <t>204:780</t>
  </si>
  <si>
    <t>204:1058</t>
  </si>
  <si>
    <t>300:58598</t>
  </si>
  <si>
    <t>204:670</t>
  </si>
  <si>
    <t>204:1062</t>
  </si>
  <si>
    <t>204:771</t>
  </si>
  <si>
    <t>204:953</t>
  </si>
  <si>
    <t>204:785</t>
  </si>
  <si>
    <t>204:1046</t>
  </si>
  <si>
    <t>300:58608</t>
  </si>
  <si>
    <t>204:764</t>
  </si>
  <si>
    <t>204:1069</t>
  </si>
  <si>
    <t>204:666</t>
  </si>
  <si>
    <t>204:1048</t>
  </si>
  <si>
    <t>204:944</t>
  </si>
  <si>
    <t>300:58943</t>
  </si>
  <si>
    <t>300:30053</t>
  </si>
  <si>
    <t>300:22187</t>
  </si>
  <si>
    <t>204:680</t>
  </si>
  <si>
    <t>204:1265</t>
  </si>
  <si>
    <t>300:21572</t>
  </si>
  <si>
    <t>300:23118</t>
  </si>
  <si>
    <t>300:28782</t>
  </si>
  <si>
    <t>300:21600</t>
  </si>
  <si>
    <t>Starting at 03:38:04.768, multiple clear/stop requests sent to 40th 2N. Was this a case of dispatcher impatience, or anything else wrong?</t>
  </si>
  <si>
    <t>multiple cpu faults @ 2016-10-13 11:29:03</t>
  </si>
  <si>
    <t>DUS 4N STOP because Main 2 &gt; Main 1 route had not been aligned yet, also 22N was STOP</t>
  </si>
  <si>
    <t>See title</t>
  </si>
  <si>
    <t>Train approached DUS 22S. It was cycling back and forth between STOP and PROCEED CAB, but all analysis shows that the changes were normal based on train movement. This case looks like it was caused by heavy traffic</t>
  </si>
  <si>
    <t>DUS bungalow power outage</t>
  </si>
  <si>
    <t>Enforcement caused by the signals being intermittent. Power outage-caused.</t>
  </si>
  <si>
    <t>40th 2N stuck at STOP - inefficient dispatching?</t>
  </si>
  <si>
    <t>Replaced by 824</t>
  </si>
  <si>
    <t xml:space="preserve">multiple cpu faults @ 2016-10-13 19:38:55 </t>
  </si>
  <si>
    <t>Early arrival @ 41st station</t>
  </si>
  <si>
    <t>40th 4S STOP, cleared afterward</t>
  </si>
  <si>
    <t>61st 2N STOP, cleared afterward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</si>
</sst>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3">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0" fontId="0" fillId="0" borderId="0" xfId="0" applyNumberFormat="1" applyAlignment="1"/>
    <xf numFmtId="0" fontId="1" fillId="0" borderId="0" xfId="0" applyNumberFormat="1" applyFont="1" applyAlignme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0" fontId="0" fillId="0" borderId="5" xfId="0" applyNumberFormat="1" applyBorder="1"/>
    <xf numFmtId="0" fontId="0" fillId="2" borderId="11" xfId="0" applyNumberFormat="1" applyFill="1" applyBorder="1" applyAlignment="1">
      <alignment vertical="center"/>
    </xf>
    <xf numFmtId="0" fontId="0" fillId="2" borderId="12" xfId="0" applyNumberFormat="1" applyFill="1" applyBorder="1" applyAlignment="1">
      <alignment horizontal="left" vertical="center"/>
    </xf>
    <xf numFmtId="0" fontId="0" fillId="0" borderId="14" xfId="0" applyNumberFormat="1" applyBorder="1" applyAlignment="1">
      <alignment vertical="center"/>
    </xf>
    <xf numFmtId="0" fontId="0" fillId="0" borderId="15" xfId="0" applyNumberFormat="1" applyBorder="1" applyAlignment="1">
      <alignment horizontal="left" vertical="center"/>
    </xf>
    <xf numFmtId="0" fontId="0" fillId="0" borderId="0" xfId="0" applyNumberFormat="1" applyAlignment="1">
      <alignment horizontal="center" vertical="center"/>
    </xf>
    <xf numFmtId="0"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169" fontId="2" fillId="0" borderId="0" xfId="0" applyFont="1" applyBorder="1" applyAlignment="1">
      <alignment horizontal="center" vertical="center"/>
    </xf>
    <xf numFmtId="169" fontId="1" fillId="0" borderId="0" xfId="0" applyFont="1" applyBorder="1" applyAlignment="1">
      <alignment horizontal="center"/>
    </xf>
    <xf numFmtId="0" fontId="1" fillId="0" borderId="0" xfId="0" applyNumberFormat="1" applyFont="1"/>
    <xf numFmtId="167" fontId="1" fillId="0" borderId="0" xfId="0" applyNumberFormat="1" applyFont="1"/>
    <xf numFmtId="0" fontId="0" fillId="0" borderId="5" xfId="0" applyNumberFormat="1" applyBorder="1" applyAlignment="1">
      <alignment horizontal="left"/>
    </xf>
  </cellXfs>
  <cellStyles count="4">
    <cellStyle name="Normal" xfId="0" builtinId="0"/>
    <cellStyle name="Normal 2" xfId="3"/>
    <cellStyle name="Normal_XINGS" xfId="1"/>
    <cellStyle name="Percent" xfId="2" builtinId="5"/>
  </cellStyles>
  <dxfs count="76">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ont>
        <color rgb="FF9C6500"/>
      </font>
      <fill>
        <patternFill>
          <bgColor rgb="FFFFEB9C"/>
        </patternFill>
      </fill>
    </dxf>
    <dxf>
      <fill>
        <patternFill>
          <bgColor rgb="FFFFFF00"/>
        </patternFill>
      </fill>
    </dxf>
    <dxf>
      <font>
        <color rgb="FF9C6500"/>
      </font>
      <fill>
        <patternFill>
          <bgColor rgb="FFFFEB9C"/>
        </patternFill>
      </fill>
    </dxf>
    <dxf>
      <fill>
        <patternFill>
          <bgColor rgb="FFFFFF00"/>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57"/>
  <sheetViews>
    <sheetView tabSelected="1" workbookViewId="0"/>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6" width="2.85546875" style="2" customWidth="1"/>
    <col min="17" max="17" width="0.85546875" hidden="1" customWidth="1"/>
    <col min="18" max="18" width="43.42578125" customWidth="1"/>
    <col min="19" max="19" width="6" style="21" customWidth="1"/>
    <col min="20" max="20" width="3.85546875" customWidth="1"/>
    <col min="21" max="21" width="5" style="142" customWidth="1"/>
    <col min="22" max="22" width="5.7109375" style="96" customWidth="1"/>
    <col min="23" max="23" width="3.85546875" style="20" customWidth="1"/>
    <col min="24" max="24" width="6.140625" style="147"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106</v>
      </c>
      <c r="J1" s="41"/>
      <c r="K1" s="28"/>
      <c r="L1" s="28"/>
      <c r="M1" s="40"/>
      <c r="N1" s="41"/>
      <c r="O1" s="2"/>
      <c r="P1" s="2"/>
      <c r="R1" s="38" t="s">
        <v>107</v>
      </c>
      <c r="S1" s="41"/>
      <c r="T1" s="28"/>
      <c r="U1" s="138"/>
      <c r="V1" s="40"/>
      <c r="W1" s="41"/>
      <c r="X1" s="142"/>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42656</v>
      </c>
      <c r="J2" s="72"/>
      <c r="K2" s="73"/>
      <c r="L2" s="73"/>
      <c r="M2" s="74" t="s">
        <v>8</v>
      </c>
      <c r="N2" s="75"/>
      <c r="O2" s="76"/>
      <c r="P2" s="2"/>
      <c r="R2" s="71">
        <f>Variables!$A$2</f>
        <v>42656</v>
      </c>
      <c r="S2" s="72"/>
      <c r="T2" s="73"/>
      <c r="U2" s="139"/>
      <c r="V2" s="94" t="s">
        <v>8</v>
      </c>
      <c r="W2" s="75"/>
      <c r="X2" s="145"/>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40"/>
      <c r="V3" s="42" t="s">
        <v>11</v>
      </c>
      <c r="W3" s="43" t="s">
        <v>12</v>
      </c>
      <c r="X3" s="146"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46</v>
      </c>
      <c r="T4" s="44"/>
      <c r="U4" s="141"/>
      <c r="V4" s="45" t="s">
        <v>15</v>
      </c>
      <c r="W4" s="43" t="s">
        <v>15</v>
      </c>
      <c r="X4" s="146"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COUNTIFS($N$13:$N$9390,"&gt;0",$AG$13:$AG$9390,I1)</f>
        <v>138</v>
      </c>
      <c r="K5" s="44"/>
      <c r="L5" s="44"/>
      <c r="M5" s="45">
        <f>AVERAGEIFS($N$13:$N$9390,$AG$13:$AG$9390,I1)</f>
        <v>38.333091787897736</v>
      </c>
      <c r="N5" s="43">
        <f t="array" ref="N5">MIN(IF($AG$13:$AG$9390=I1,IF(ISNUMBER($N$13:$N$9390),IF($N$13:$N$9390&gt;0,$N$13:$N$9390))))</f>
        <v>34.050000007264316</v>
      </c>
      <c r="O5" s="3">
        <f t="array" ref="O5">MAX(IF($AG$13:$AG$9390=I1,IF(ISNUMBER($N$13:$N$9390),IF($N$13:$N$9390&gt;0,$N$13:$N$9390))))</f>
        <v>44.600000000791624</v>
      </c>
      <c r="P5" s="2"/>
      <c r="R5" s="80" t="s">
        <v>17</v>
      </c>
      <c r="S5" s="55">
        <f>COUNTIFS($N$13:$N$9390,"&gt;0",$AG$13:$AG$9390,R1)</f>
        <v>46</v>
      </c>
      <c r="T5" s="44"/>
      <c r="U5" s="141"/>
      <c r="V5" s="45">
        <f>AVERAGEIFS($N$13:$N$9390,$AG$13:$AG$9390,R1)</f>
        <v>14.690579710396655</v>
      </c>
      <c r="W5" s="43">
        <f t="array" ref="W5">MIN(IF($AG$13:$AG$9390=R1,IF(ISNUMBER($N$13:$N$9390),IF($N$13:$N$9390&gt;0,$N$13:$N$9390))))</f>
        <v>12.166666660923511</v>
      </c>
      <c r="X5" s="146">
        <f t="array" ref="X5">MAX(IF($AG$13:$AG$9390=R1,IF(ISNUMBER($N$13:$N$9390),IF($N$13:$N$9390&gt;0,$N$13:$N$9390))))</f>
        <v>18.350000004284084</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COUNT($O$13:$O$170)</f>
        <v>0</v>
      </c>
      <c r="K6" s="44"/>
      <c r="L6" s="44"/>
      <c r="M6" s="45">
        <f>IFERROR(AVERAGE($O$13:$O$170),0)</f>
        <v>0</v>
      </c>
      <c r="N6" s="43">
        <f>MIN($O$13:$O$170)</f>
        <v>0</v>
      </c>
      <c r="O6" s="3">
        <f>MAX($O$13:$O$170)</f>
        <v>0</v>
      </c>
      <c r="P6" s="2"/>
      <c r="R6" s="81" t="s">
        <v>43</v>
      </c>
      <c r="S6" s="55">
        <f>COUNT($O$13:$O$170)</f>
        <v>0</v>
      </c>
      <c r="T6" s="44"/>
      <c r="U6" s="141"/>
      <c r="V6" s="45">
        <f>IFERROR(AVERAGE($O$13:$O$170),0)</f>
        <v>0</v>
      </c>
      <c r="W6" s="43">
        <f>MIN($O$13:$O$170)</f>
        <v>0</v>
      </c>
      <c r="X6" s="146">
        <f>MAX($O$13:$O$170)</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COUNTIFS($P$13:$P$9390,"&gt;0",$AG$13:$AG$9390,I1)</f>
        <v>6</v>
      </c>
      <c r="K7" s="44"/>
      <c r="L7" s="44"/>
      <c r="M7" s="43" t="s">
        <v>15</v>
      </c>
      <c r="N7" s="43" t="s">
        <v>15</v>
      </c>
      <c r="O7" s="3" t="s">
        <v>15</v>
      </c>
      <c r="P7" s="2"/>
      <c r="R7" s="82" t="s">
        <v>9</v>
      </c>
      <c r="S7" s="55">
        <f>COUNTIFS($P$13:$P$9390,"&gt;0",$AG$13:$AG$9390,R1)</f>
        <v>0</v>
      </c>
      <c r="T7" s="44"/>
      <c r="U7" s="141"/>
      <c r="V7" s="45" t="s">
        <v>15</v>
      </c>
      <c r="W7" s="43" t="s">
        <v>15</v>
      </c>
      <c r="X7" s="146"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138</v>
      </c>
      <c r="K8" s="44"/>
      <c r="L8" s="44"/>
      <c r="M8" s="45">
        <f>M5</f>
        <v>38.333091787897736</v>
      </c>
      <c r="N8" s="43">
        <f>N5</f>
        <v>34.050000007264316</v>
      </c>
      <c r="O8" s="3">
        <f>O5</f>
        <v>44.600000000791624</v>
      </c>
      <c r="P8" s="2"/>
      <c r="R8" s="80" t="s">
        <v>16</v>
      </c>
      <c r="S8" s="55">
        <f>S5</f>
        <v>46</v>
      </c>
      <c r="T8" s="44"/>
      <c r="U8" s="141"/>
      <c r="V8" s="45">
        <f>V5</f>
        <v>14.690579710396655</v>
      </c>
      <c r="W8" s="43">
        <f>W5</f>
        <v>12.166666660923511</v>
      </c>
      <c r="X8" s="146">
        <f>X5</f>
        <v>18.350000004284084</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63">
        <f>J8/J4</f>
        <v>0.95833333333333337</v>
      </c>
      <c r="K9" s="46"/>
      <c r="L9" s="46"/>
      <c r="M9" s="83"/>
      <c r="N9" s="41"/>
      <c r="O9" s="84"/>
      <c r="P9" s="2"/>
      <c r="R9" s="80" t="s">
        <v>19</v>
      </c>
      <c r="S9" s="163">
        <f>S8/S4</f>
        <v>1</v>
      </c>
      <c r="T9" s="46"/>
      <c r="U9" s="138"/>
      <c r="V9" s="83"/>
      <c r="W9" s="41"/>
      <c r="X9" s="136"/>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42"/>
      <c r="V10" s="95"/>
      <c r="W10" s="20"/>
      <c r="X10" s="147"/>
      <c r="Y10" s="65"/>
      <c r="Z10" s="65"/>
      <c r="AA10" s="65"/>
      <c r="AB10" s="62"/>
      <c r="AC10" s="56"/>
      <c r="AD10" s="57"/>
      <c r="AE10" s="1"/>
      <c r="AF10" s="1"/>
      <c r="AG10" s="1"/>
      <c r="AH10" s="53"/>
      <c r="AI10" s="1"/>
    </row>
    <row r="11" spans="1:91" ht="16.5" thickBot="1" x14ac:dyDescent="0.3">
      <c r="A11" s="178" t="str">
        <f>"Eagle P3 System Performance - "&amp;TEXT(Variables!A2,"yyyy-mm-dd")</f>
        <v>Eagle P3 System Performance - 2016-10-13</v>
      </c>
      <c r="B11" s="178"/>
      <c r="C11" s="178"/>
      <c r="D11" s="178"/>
      <c r="E11" s="178"/>
      <c r="F11" s="178"/>
      <c r="G11" s="178"/>
      <c r="H11" s="178"/>
      <c r="I11" s="178"/>
      <c r="J11" s="178"/>
      <c r="K11" s="178"/>
      <c r="L11" s="178"/>
      <c r="M11" s="178"/>
      <c r="N11" s="178"/>
      <c r="O11" s="178"/>
      <c r="P11" s="178"/>
      <c r="S11" s="69">
        <f>AVERAGE(S13:S113)</f>
        <v>0.99009900990099009</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43" t="s">
        <v>65</v>
      </c>
      <c r="V12" s="97" t="s">
        <v>45</v>
      </c>
      <c r="W12" s="51" t="s">
        <v>23</v>
      </c>
      <c r="X12" s="148" t="s">
        <v>48</v>
      </c>
      <c r="Y12" s="66" t="s">
        <v>20</v>
      </c>
      <c r="Z12" s="66" t="s">
        <v>21</v>
      </c>
      <c r="AA12" s="66" t="s">
        <v>22</v>
      </c>
      <c r="AB12" s="63" t="s">
        <v>39</v>
      </c>
      <c r="AC12" s="59" t="s">
        <v>40</v>
      </c>
      <c r="AD12" s="58" t="s">
        <v>82</v>
      </c>
      <c r="AE12" s="90" t="s">
        <v>89</v>
      </c>
      <c r="AF12" s="87" t="s">
        <v>94</v>
      </c>
      <c r="AG12" s="4" t="s">
        <v>108</v>
      </c>
      <c r="AH12" s="93" t="s">
        <v>110</v>
      </c>
      <c r="AI12" s="121" t="s">
        <v>149</v>
      </c>
      <c r="AJ12" s="51" t="s">
        <v>150</v>
      </c>
      <c r="AK12" s="51" t="s">
        <v>123</v>
      </c>
      <c r="AL12" s="51" t="s">
        <v>151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376</v>
      </c>
      <c r="B13" s="7">
        <v>4038</v>
      </c>
      <c r="C13" s="22" t="s">
        <v>99</v>
      </c>
      <c r="D13" s="22" t="s">
        <v>606</v>
      </c>
      <c r="E13" s="13">
        <v>42656.131886574076</v>
      </c>
      <c r="F13" s="13">
        <v>42656.135729166665</v>
      </c>
      <c r="G13" s="7">
        <v>2</v>
      </c>
      <c r="H13" s="13" t="s">
        <v>607</v>
      </c>
      <c r="I13" s="13">
        <v>42656.154641203706</v>
      </c>
      <c r="J13" s="7">
        <v>1</v>
      </c>
      <c r="K13" s="112" t="str">
        <f>IF(ISEVEN(B13),(B13-1)&amp;"/"&amp;B13,B13&amp;"/"&amp;(B13+1))</f>
        <v>4037/4038</v>
      </c>
      <c r="L13" s="22" t="str">
        <f>VLOOKUP(A13,'Trips&amp;Operators'!$C$1:$E$10000,3,FALSE)</f>
        <v>MAELZER</v>
      </c>
      <c r="M13" s="6">
        <f>I13-F13</f>
        <v>1.8912037041445728E-2</v>
      </c>
      <c r="N13" s="7"/>
      <c r="O13" s="7"/>
      <c r="P13" s="7">
        <f>24*60*SUM($M13:$M13)</f>
        <v>27.233333339681849</v>
      </c>
      <c r="Q13" s="23"/>
      <c r="R13" s="23" t="s">
        <v>775</v>
      </c>
      <c r="S13" s="35">
        <f>SUM(U13:U13)/IF(AG13="EC",12,1)</f>
        <v>1</v>
      </c>
      <c r="T13" s="50" t="str">
        <f>IF(ISEVEN(LEFT(AD13,4)),"Southbound","NorthBound")</f>
        <v>NorthBound</v>
      </c>
      <c r="U13" s="144">
        <f>IF(AG13="EC",COUNTIFS(Variables!$M$2:$M$19,IF(T13="NorthBound","&gt;=","&lt;=")&amp;Y13,Variables!$M$2:$M$19,IF(T13="NorthBound","&lt;=","&gt;=")&amp;Z13),COUNTIFS(Variables!$P$2:$P$19,IF(T13="NorthBound","&gt;=","&lt;=")&amp;Y13,Variables!$P$2:$P$19,IF(T13="NorthBound","&lt;=","&gt;=")&amp;Z13))</f>
        <v>12</v>
      </c>
      <c r="V13" s="98" t="str">
        <f>"https://search-rtdc-monitor-bjffxe2xuh6vdkpspy63sjmuny.us-east-1.es.amazonaws.com/_plugin/kibana/#/discover/Steve-Slow-Train-Analysis-(2080s-and-2083s)?_g=(refreshInterval:(display:Off,section:0,value:0),time:(from:'"&amp;TEXT(E13-1/24,"yyyy-MM-DD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 s="52" t="str">
        <f>IF(AA13&lt;IF(AG13="EC",23,5.65),"Y","N")</f>
        <v>Y</v>
      </c>
      <c r="X13" s="149" t="e">
        <f>VALUE(LEFT(AD13,4))-VALUE(LEFT(AD12,4))</f>
        <v>#VALUE!</v>
      </c>
      <c r="Y13" s="67">
        <f>RIGHT(D13,LEN(D13)-4)/10000</f>
        <v>7.3499999999999996E-2</v>
      </c>
      <c r="Z13" s="67">
        <f>RIGHT(H13,LEN(H13)-4)/10000</f>
        <v>12.6326</v>
      </c>
      <c r="AA13" s="67">
        <f>ABS(Z13-Y13)</f>
        <v>12.559100000000001</v>
      </c>
      <c r="AB13" s="64" t="e">
        <f>VLOOKUP(A13,Enforcements!$C$7:$K$21,8,0)</f>
        <v>#N/A</v>
      </c>
      <c r="AC13" s="60" t="e">
        <f>VLOOKUP(A13,Enforcements!$C$7:$E$21,3,0)</f>
        <v>#N/A</v>
      </c>
      <c r="AD13" s="61" t="str">
        <f>IF(LEN(A13)=6,"0"&amp;A13,A13)</f>
        <v>0101-13</v>
      </c>
      <c r="AE13" s="91" t="str">
        <f>"aws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 s="88" t="str">
        <f>astrogrep_path&amp;" /spath="&amp;search_path&amp;" /stypes=""app*"&amp;B13&amp;"*"&amp;TEXT(I13-utc_offset/24,"YYYYMMDD")&amp;"*"" /stext="" "&amp;TEXT(I13-utc_offset/24,"HH")&amp;search_regexp&amp;""" /e /r /s"</f>
        <v>"C:\Program Files (x86)\AstroGrep\AstroGrep.exe" /spath="%USERPROFILE%\AppData\Local\Temp\OnboardLogs" /stypes="app*4038*20161013*" /stext=" 09:.+((SYSTEM_STATE.+slice.+state.+changed )|(ment ac)|(system.+state.+changed )|(\[timeout)|(PRM\|1\|D)|(kpr)|(kdp)|(\|lc)|(penalty))" /e /r /s</v>
      </c>
      <c r="AG13" s="1" t="str">
        <f>IFERROR(IF(VALUE(LEFT(AD13,2))&lt;=2,"EC",IF(OR(VALUE(LEFT(AD13,2))=8,VALUE(LEFT(AD13,2))=18),"NW","Other")),"Other")</f>
        <v>EC</v>
      </c>
      <c r="AH13" s="92" t="str">
        <f t="shared" ref="AH13" si="0">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101-13 --locoid 4038 --swversion DE.1.0.7.0 --startMP 204:735 --initTime 2016-10-13T03:09:55 --startdatetime 2016-10-13T03:15:27 --delay 2 --endMP 204:126326 --enddatetime 2016-10-13T03:42:41 --enforcementcount 1 &gt;&gt;C:\Users\stu\Documents\GitHub\eaglep3-reporting\EC\2016-10-13-refined-times.txt</v>
      </c>
      <c r="AI13" s="122" t="str">
        <f t="shared" ref="AI13" si="1">"echo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{"issue":{"subject":"40th 2N stuck at STOP - inefficient dispatching?","project_id":79,"tracker_id":40,"status_id":1,"priority_id":2,"assigned_to_id":23,"start_date":"2016-10-13","description":"Starting at 03:38:04.768, multiple clear/stop requests sent to 40th 2N. Was this a case of dispatcher impatience, or anything else wrong?","custom_fields":[{"id":1,"name":"Subdivision","value":"EC"},{"id":4,"name":"Milepost","value":"12.6326"},{"id":17,"name":"Train ID","value":"101-13"},{"id":16,"name":"Locomotive ID","value":"4038"},{"id":130,"name":"Impact","value":"Unexpected Cut-Out or Disengaged"},{"id":150,"name":"Time of Event (Mountain Time)","value":"03:42:41"},{"id":151,"name":"Denver Issue ID","value":""},{"id":178,"name":"Operational Impact","value":"Yes"},{"id":179,"name":"Denver Segment Assigned","value":"Signal"}]}} | curl -X POST -H "Content-Type: application/json" -H "X-Redmine-API-Key: d6333d4a04012a730768444271f8ca06482dae87" https://secure.xorail.net/redmine/issues.json --data @-</v>
      </c>
      <c r="AJ13" s="53" t="s">
        <v>768</v>
      </c>
      <c r="AK13" s="53" t="s">
        <v>132</v>
      </c>
      <c r="AL13" s="53" t="s">
        <v>131</v>
      </c>
    </row>
    <row r="14" spans="1:91" s="1" customFormat="1" x14ac:dyDescent="0.25">
      <c r="A14" s="37" t="s">
        <v>429</v>
      </c>
      <c r="B14" s="7">
        <v>4001</v>
      </c>
      <c r="C14" s="22" t="s">
        <v>99</v>
      </c>
      <c r="D14" s="22" t="s">
        <v>608</v>
      </c>
      <c r="E14" s="13">
        <v>42656.17527777778</v>
      </c>
      <c r="F14" s="13">
        <v>42656.176504629628</v>
      </c>
      <c r="G14" s="7">
        <v>0</v>
      </c>
      <c r="H14" s="13" t="s">
        <v>176</v>
      </c>
      <c r="I14" s="13">
        <v>42656.202465277776</v>
      </c>
      <c r="J14" s="7">
        <v>1</v>
      </c>
      <c r="K14" s="112" t="str">
        <f>IF(ISEVEN(B14),(B14-1)&amp;"/"&amp;B14,B14&amp;"/"&amp;(B14+1))</f>
        <v>4001/4002</v>
      </c>
      <c r="L14" s="22" t="str">
        <f>VLOOKUP(A14,'Trips&amp;Operators'!$C$1:$E$10000,3,FALSE)</f>
        <v>MAELZER</v>
      </c>
      <c r="M14" s="6">
        <f>I14-F14</f>
        <v>2.5960648148611654E-2</v>
      </c>
      <c r="N14" s="7">
        <f>24*60*SUM($M14:$M14)</f>
        <v>37.383333334000781</v>
      </c>
      <c r="O14" s="7"/>
      <c r="P14" s="7"/>
      <c r="Q14" s="23"/>
      <c r="R14" s="23"/>
      <c r="S14" s="35">
        <f>SUM(U14:U14)/IF(AG14="EC",12,1)</f>
        <v>1</v>
      </c>
      <c r="T14" s="50" t="str">
        <f>IF(ISEVEN(LEFT(AD14,4)),"Southbound","NorthBound")</f>
        <v>Southbound</v>
      </c>
      <c r="U14" s="144">
        <f>IF(AG14="EC",COUNTIFS(Variables!$M$2:$M$19,IF(T14="NorthBound","&gt;=","&lt;=")&amp;Y14,Variables!$M$2:$M$19,IF(T14="NorthBound","&lt;=","&gt;=")&amp;Z14),COUNTIFS(Variables!$P$2:$P$19,IF(T14="NorthBound","&gt;=","&lt;=")&amp;Y14,Variables!$P$2:$P$19,IF(T14="NorthBound","&lt;=","&gt;=")&amp;Z14))</f>
        <v>12</v>
      </c>
      <c r="V14" s="98" t="str">
        <f>"https://search-rtdc-monitor-bjffxe2xuh6vdkpspy63sjmuny.us-east-1.es.amazonaws.com/_plugin/kibana/#/discover/Steve-Slow-Train-Analysis-(2080s-and-2083s)?_g=(refreshInterval:(display:Off,section:0,value:0),time:(from:'"&amp;TEXT(E14-1/24,"yyyy-MM-DD hh:mm:ss")&amp;"-0600',mode:absolute,to:'"&amp;TEXT(I14+1/24,"yyyy-MM-DD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amp;"%22')),sort:!(Time,asc))"</f>
        <v>https://search-rtdc-monitor-bjffxe2xuh6vdkpspy63sjmuny.us-east-1.es.amazonaws.com/_plugin/kibana/#/discover/Steve-Slow-Train-Analysis-(2080s-and-2083s)?_g=(refreshInterval:(display:Off,section:0,value:0),time:(from:'2016-10-13 03:12:24-0600',mode:absolute,to:'2016-10-13 05: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 s="52" t="str">
        <f>IF(AA14&lt;IF(AG14="EC",23,5.65),"Y","N")</f>
        <v>N</v>
      </c>
      <c r="X14" s="149">
        <f>VALUE(LEFT(AD14,4))-VALUE(LEFT(AD13,4))</f>
        <v>1</v>
      </c>
      <c r="Y14" s="67">
        <f>RIGHT(D14,LEN(D14)-4)/10000</f>
        <v>23.275400000000001</v>
      </c>
      <c r="Z14" s="67">
        <f>RIGHT(H14,LEN(H14)-4)/10000</f>
        <v>1.47E-2</v>
      </c>
      <c r="AA14" s="67">
        <f>ABS(Z14-Y14)</f>
        <v>23.2607</v>
      </c>
      <c r="AB14" s="64" t="e">
        <f>VLOOKUP(A14,Enforcements!$C$7:$K$21,8,0)</f>
        <v>#N/A</v>
      </c>
      <c r="AC14" s="60" t="e">
        <f>VLOOKUP(A14,Enforcements!$C$7:$E$21,3,0)</f>
        <v>#N/A</v>
      </c>
      <c r="AD14" s="61" t="str">
        <f>IF(LEN(A14)=6,"0"&amp;A14,A14)</f>
        <v>0102-13</v>
      </c>
      <c r="AE14" s="91" t="str">
        <f>"aws s3 cp "&amp;s3_bucket&amp;"/RTDC"&amp;B14&amp;"/ "&amp;search_path&amp;"\RTDC"&amp;B14&amp;"\"&amp;TEXT(F14,"YYYY-MM-DD")&amp;" --exclude ""*"" --recursive --include ""*"&amp;TEXT(F14,"YYYYMMDD")&amp;"*"" &amp; """&amp;walkandungz&amp;""" "&amp;search_path&amp;"\RTDC"&amp;B14&amp;"\"&amp;TEXT(F14,"YYYY-MM-DD")
&amp;" &amp; "&amp;"aws s3 cp "&amp;s3_bucket&amp;"/RTDC"&amp;B14&amp;"/ "&amp;search_path&amp;"\RTDC"&amp;B14&amp;"\"&amp;TEXT(F14+1,"YYYY-MM-DD")&amp;" --exclude ""*"" --recursive --include ""*"&amp;TEXT(F14+1,"YYYYMMDD")&amp;"*"" &amp; """&amp;walkandungz&amp;""" "&amp;search_path&amp;"\RTDC"&amp;B14&amp;"\"&amp;TEXT(F14+1,"YYYY-MM-DD")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4" s="88" t="str">
        <f>astrogrep_path&amp;" /spath="&amp;search_path&amp;" /stypes=""app*"&amp;B14&amp;"*"&amp;TEXT(I14-utc_offset/24,"YYYYMMDD")&amp;"*"" /stext="" "&amp;TEXT(I14-utc_offset/24,"HH")&amp;search_regexp&amp;""" /e /r /s"</f>
        <v>"C:\Program Files (x86)\AstroGrep\AstroGrep.exe" /spath="%USERPROFILE%\AppData\Local\Temp\OnboardLogs" /stypes="app*4001*20161013*" /stext=" 10:.+((SYSTEM_STATE.+slice.+state.+changed )|(ment ac)|(system.+state.+changed )|(\[timeout)|(PRM\|1\|D)|(kpr)|(kdp)|(\|lc)|(penalty))" /e /r /s</v>
      </c>
      <c r="AG14" s="1" t="str">
        <f>IFERROR(IF(VALUE(LEFT(AD14,2))&lt;=2,"EC",IF(OR(VALUE(LEFT(AD14,2))=8,VALUE(LEFT(AD14,2))=18),"NW","Other")),"Other")</f>
        <v>EC</v>
      </c>
      <c r="AH14" s="92" t="str">
        <f t="shared" ref="AH14:AH75" si="2">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102-13 --locoid 4001 --swversion DE.1.0.7.0 --startMP 204:232754 --initTime 2016-10-13T04:12:24 --startdatetime 2016-10-13T04:14:10 --delay 0 --endMP 204:147 --enddatetime 2016-10-13T04:51:33 --enforcementcount 1 &gt;&gt;C:\Users\stu\Documents\GitHub\eaglep3-reporting\EC\2016-10-13-refined-times.txt</v>
      </c>
      <c r="AI14" s="122" t="str">
        <f t="shared" ref="AI14:AI75" si="3">"echo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{"issue":{"subject":"","project_id":79,"tracker_id":40,"status_id":1,"priority_id":2,"assigned_to_id":23,"start_date":"2016-10-13","description":"","custom_fields":[{"id":1,"name":"Subdivision","value":"EC"},{"id":4,"name":"Milepost","value":"0.0147"},{"id":17,"name":"Train ID","value":"102-13"},{"id":16,"name":"Locomotive ID","value":"4001"},{"id":130,"name":"Impact","value":""},{"id":150,"name":"Time of Event (Mountain Time)","value":"04:51:33"},{"id":151,"name":"Denver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426</v>
      </c>
      <c r="B15" s="7">
        <v>4025</v>
      </c>
      <c r="C15" s="22" t="s">
        <v>99</v>
      </c>
      <c r="D15" s="22" t="s">
        <v>609</v>
      </c>
      <c r="E15" s="13">
        <v>42656.154328703706</v>
      </c>
      <c r="F15" s="13">
        <v>42656.156851851854</v>
      </c>
      <c r="G15" s="7">
        <v>1</v>
      </c>
      <c r="H15" s="13" t="s">
        <v>610</v>
      </c>
      <c r="I15" s="13">
        <v>42656.181875000002</v>
      </c>
      <c r="J15" s="7">
        <v>1</v>
      </c>
      <c r="K15" s="112" t="str">
        <f>IF(ISEVEN(B15),(B15-1)&amp;"/"&amp;B15,B15&amp;"/"&amp;(B15+1))</f>
        <v>4025/4026</v>
      </c>
      <c r="L15" s="22" t="str">
        <f>VLOOKUP(A15,'Trips&amp;Operators'!$C$1:$E$10000,3,FALSE)</f>
        <v>SPECTOR</v>
      </c>
      <c r="M15" s="6">
        <f>I15-F15</f>
        <v>2.5023148147738539E-2</v>
      </c>
      <c r="N15" s="7">
        <f>24*60*SUM($M15:$M15)</f>
        <v>36.033333332743496</v>
      </c>
      <c r="O15" s="7"/>
      <c r="P15" s="7"/>
      <c r="Q15" s="23"/>
      <c r="R15" s="23"/>
      <c r="S15" s="35">
        <f>SUM(U15:U15)/IF(AG15="EC",12,1)</f>
        <v>1</v>
      </c>
      <c r="T15" s="50" t="str">
        <f>IF(ISEVEN(LEFT(AD15,4)),"Southbound","NorthBound")</f>
        <v>NorthBound</v>
      </c>
      <c r="U15" s="144">
        <f>IF(AG15="EC",COUNTIFS(Variables!$M$2:$M$19,IF(T15="NorthBound","&gt;=","&lt;=")&amp;Y15,Variables!$M$2:$M$19,IF(T15="NorthBound","&lt;=","&gt;=")&amp;Z15),COUNTIFS(Variables!$P$2:$P$19,IF(T15="NorthBound","&gt;=","&lt;=")&amp;Y15,Variables!$P$2:$P$19,IF(T15="NorthBound","&lt;=","&gt;=")&amp;Z15))</f>
        <v>12</v>
      </c>
      <c r="V15" s="98" t="str">
        <f>"https://search-rtdc-monitor-bjffxe2xuh6vdkpspy63sjmuny.us-east-1.es.amazonaws.com/_plugin/kibana/#/discover/Steve-Slow-Train-Analysis-(2080s-and-2083s)?_g=(refreshInterval:(display:Off,section:0,value:0),time:(from:'"&amp;TEXT(E15-1/24,"yyyy-MM-DD hh:mm:ss")&amp;"-0600',mode:absolute,to:'"&amp;TEXT(I15+1/24,"yyyy-MM-DD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amp;"%22')),sort:!(Time,asc))"</f>
        <v>https://search-rtdc-monitor-bjffxe2xuh6vdkpspy63sjmuny.us-east-1.es.amazonaws.com/_plugin/kibana/#/discover/Steve-Slow-Train-Analysis-(2080s-and-2083s)?_g=(refreshInterval:(display:Off,section:0,value:0),time:(from:'2016-10-13 02:42:14-0600',mode:absolute,to:'2016-10-13 05: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IF(AA15&lt;IF(AG15="EC",23,5.65),"Y","N")</f>
        <v>N</v>
      </c>
      <c r="X15" s="149">
        <f>VALUE(LEFT(AD15,4))-VALUE(LEFT(AD14,4))</f>
        <v>1</v>
      </c>
      <c r="Y15" s="67">
        <f>RIGHT(D15,LEN(D15)-4)/10000</f>
        <v>7.6600000000000001E-2</v>
      </c>
      <c r="Z15" s="67">
        <f>RIGHT(H15,LEN(H15)-4)/10000</f>
        <v>23.331099999999999</v>
      </c>
      <c r="AA15" s="67">
        <f>ABS(Z15-Y15)</f>
        <v>23.2545</v>
      </c>
      <c r="AB15" s="64" t="e">
        <f>VLOOKUP(A15,Enforcements!$C$7:$K$21,8,0)</f>
        <v>#N/A</v>
      </c>
      <c r="AC15" s="60" t="e">
        <f>VLOOKUP(A15,Enforcements!$C$7:$E$21,3,0)</f>
        <v>#N/A</v>
      </c>
      <c r="AD15" s="61" t="str">
        <f>IF(LEN(A15)=6,"0"&amp;A15,A15)</f>
        <v>0103-13</v>
      </c>
      <c r="AE15" s="91" t="str">
        <f>"aws s3 cp "&amp;s3_bucket&amp;"/RTDC"&amp;B15&amp;"/ "&amp;search_path&amp;"\RTDC"&amp;B15&amp;"\"&amp;TEXT(F15,"YYYY-MM-DD")&amp;" --exclude ""*"" --recursive --include ""*"&amp;TEXT(F15,"YYYYMMDD")&amp;"*"" &amp; """&amp;walkandungz&amp;""" "&amp;search_path&amp;"\RTDC"&amp;B15&amp;"\"&amp;TEXT(F15,"YYYY-MM-DD")
&amp;" &amp; "&amp;"aws s3 cp "&amp;s3_bucket&amp;"/RTDC"&amp;B15&amp;"/ "&amp;search_path&amp;"\RTDC"&amp;B15&amp;"\"&amp;TEXT(F15+1,"YYYY-MM-DD")&amp;" --exclude ""*"" --recursive --include ""*"&amp;TEXT(F15+1,"YYYYMMDD")&amp;"*"" &amp; """&amp;walkandungz&amp;""" "&amp;search_path&amp;"\RTDC"&amp;B15&amp;"\"&amp;TEXT(F15+1,"YYYY-MM-DD")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 s="88" t="str">
        <f>astrogrep_path&amp;" /spath="&amp;search_path&amp;" /stypes=""app*"&amp;B15&amp;"*"&amp;TEXT(I15-utc_offset/24,"YYYYMMDD")&amp;"*"" /stext="" "&amp;TEXT(I15-utc_offset/24,"HH")&amp;search_regexp&amp;""" /e /r /s"</f>
        <v>"C:\Program Files (x86)\AstroGrep\AstroGrep.exe" /spath="%USERPROFILE%\AppData\Local\Temp\OnboardLogs" /stypes="app*4025*20161013*" /stext=" 10:.+((SYSTEM_STATE.+slice.+state.+changed )|(ment ac)|(system.+state.+changed )|(\[timeout)|(PRM\|1\|D)|(kpr)|(kdp)|(\|lc)|(penalty))" /e /r /s</v>
      </c>
      <c r="AG15" s="1" t="str">
        <f>IFERROR(IF(VALUE(LEFT(AD15,2))&lt;=2,"EC",IF(OR(VALUE(LEFT(AD15,2))=8,VALUE(LEFT(AD15,2))=18),"NW","Other")),"Other")</f>
        <v>EC</v>
      </c>
      <c r="AH15" s="92" t="str">
        <f t="shared" si="2"/>
        <v>"%USERPROFILE%\Documents\GitHub\eaglep3\Utilities\RefineRTDCRunTimes.py" --tripid 103-13 --locoid 4025 --swversion DE.1.0.7.0 --startMP 204:766 --initTime 2016-10-13T03:42:14 --startdatetime 2016-10-13T03:45:52 --delay 1 --endMP 204:233311 --enddatetime 2016-10-13T04:21:54 --enforcementcount 1 &gt;&gt;C:\Users\stu\Documents\GitHub\eaglep3-reporting\EC\2016-10-13-refined-times.txt</v>
      </c>
      <c r="AI15" s="122" t="str">
        <f t="shared" si="3"/>
        <v>echo {"issue":{"subject":"","project_id":79,"tracker_id":40,"status_id":1,"priority_id":2,"assigned_to_id":23,"start_date":"2016-10-13","description":"","custom_fields":[{"id":1,"name":"Subdivision","value":"EC"},{"id":4,"name":"Milepost","value":"23.3311"},{"id":17,"name":"Train ID","value":"103-13"},{"id":16,"name":"Locomotive ID","value":"4025"},{"id":130,"name":"Impact","value":""},{"id":150,"name":"Time of Event (Mountain Time)","value":"04:21:54"},{"id":151,"name":"Denver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433</v>
      </c>
      <c r="B16" s="7">
        <v>4041</v>
      </c>
      <c r="C16" s="22" t="s">
        <v>99</v>
      </c>
      <c r="D16" s="22" t="s">
        <v>611</v>
      </c>
      <c r="E16" s="13">
        <v>42656.193333333336</v>
      </c>
      <c r="F16" s="13">
        <v>42656.195347222223</v>
      </c>
      <c r="G16" s="7">
        <v>1</v>
      </c>
      <c r="H16" s="13" t="s">
        <v>270</v>
      </c>
      <c r="I16" s="13">
        <v>42656.224085648151</v>
      </c>
      <c r="J16" s="7">
        <v>1</v>
      </c>
      <c r="K16" s="112" t="str">
        <f>IF(ISEVEN(B16),(B16-1)&amp;"/"&amp;B16,B16&amp;"/"&amp;(B16+1))</f>
        <v>4041/4042</v>
      </c>
      <c r="L16" s="22" t="str">
        <f>VLOOKUP(A16,'Trips&amp;Operators'!$C$1:$E$10000,3,FALSE)</f>
        <v>SPECTOR</v>
      </c>
      <c r="M16" s="6">
        <f>I16-F16</f>
        <v>2.8738425928167999E-2</v>
      </c>
      <c r="N16" s="7">
        <f>24*60*SUM($M16:$M16)</f>
        <v>41.383333336561918</v>
      </c>
      <c r="O16" s="7"/>
      <c r="P16" s="7"/>
      <c r="Q16" s="23"/>
      <c r="R16" s="23"/>
      <c r="S16" s="35">
        <f>SUM(U16:U16)/IF(AG16="EC",12,1)</f>
        <v>1</v>
      </c>
      <c r="T16" s="50" t="str">
        <f>IF(ISEVEN(LEFT(AD16,4)),"Southbound","NorthBound")</f>
        <v>Southbound</v>
      </c>
      <c r="U16" s="144">
        <f>IF(AG16="EC",COUNTIFS(Variables!$M$2:$M$19,IF(T16="NorthBound","&gt;=","&lt;=")&amp;Y16,Variables!$M$2:$M$19,IF(T16="NorthBound","&lt;=","&gt;=")&amp;Z16),COUNTIFS(Variables!$P$2:$P$19,IF(T16="NorthBound","&gt;=","&lt;=")&amp;Y16,Variables!$P$2:$P$19,IF(T16="NorthBound","&lt;=","&gt;=")&amp;Z16))</f>
        <v>12</v>
      </c>
      <c r="V16" s="98" t="str">
        <f>"https://search-rtdc-monitor-bjffxe2xuh6vdkpspy63sjmuny.us-east-1.es.amazonaws.com/_plugin/kibana/#/discover/Steve-Slow-Train-Analysis-(2080s-and-2083s)?_g=(refreshInterval:(display:Off,section:0,value:0),time:(from:'"&amp;TEXT(E16-1/24,"yyyy-MM-DD hh:mm:ss")&amp;"-0600',mode:absolute,to:'"&amp;TEXT(I16+1/24,"yyyy-MM-DD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amp;"%22')),sort:!(Time,asc))"</f>
        <v>https://search-rtdc-monitor-bjffxe2xuh6vdkpspy63sjmuny.us-east-1.es.amazonaws.com/_plugin/kibana/#/discover/Steve-Slow-Train-Analysis-(2080s-and-2083s)?_g=(refreshInterval:(display:Off,section:0,value:0),time:(from:'2016-10-13 03:38:24-0600',mode:absolute,to:'2016-10-13 06:22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 s="52" t="str">
        <f>IF(AA16&lt;IF(AG16="EC",23,5.65),"Y","N")</f>
        <v>N</v>
      </c>
      <c r="X16" s="149">
        <f>VALUE(LEFT(AD16,4))-VALUE(LEFT(AD15,4))</f>
        <v>1</v>
      </c>
      <c r="Y16" s="67">
        <f>RIGHT(D16,LEN(D16)-4)/10000</f>
        <v>23.2669</v>
      </c>
      <c r="Z16" s="67">
        <f>RIGHT(H16,LEN(H16)-4)/10000</f>
        <v>1.43E-2</v>
      </c>
      <c r="AA16" s="67">
        <f>ABS(Z16-Y16)</f>
        <v>23.252600000000001</v>
      </c>
      <c r="AB16" s="64" t="e">
        <f>VLOOKUP(A16,Enforcements!$C$7:$K$21,8,0)</f>
        <v>#N/A</v>
      </c>
      <c r="AC16" s="60" t="e">
        <f>VLOOKUP(A16,Enforcements!$C$7:$E$21,3,0)</f>
        <v>#N/A</v>
      </c>
      <c r="AD16" s="61" t="str">
        <f>IF(LEN(A16)=6,"0"&amp;A16,A16)</f>
        <v>0104-13</v>
      </c>
      <c r="AE16" s="91" t="str">
        <f>"aws s3 cp "&amp;s3_bucket&amp;"/RTDC"&amp;B16&amp;"/ "&amp;search_path&amp;"\RTDC"&amp;B16&amp;"\"&amp;TEXT(F16,"YYYY-MM-DD")&amp;" --exclude ""*"" --recursive --include ""*"&amp;TEXT(F16,"YYYYMMDD")&amp;"*"" &amp; """&amp;walkandungz&amp;""" "&amp;search_path&amp;"\RTDC"&amp;B16&amp;"\"&amp;TEXT(F16,"YYYY-MM-DD")
&amp;" &amp; "&amp;"aws s3 cp "&amp;s3_bucket&amp;"/RTDC"&amp;B16&amp;"/ "&amp;search_path&amp;"\RTDC"&amp;B16&amp;"\"&amp;TEXT(F16+1,"YYYY-MM-DD")&amp;" --exclude ""*"" --recursive --include ""*"&amp;TEXT(F16+1,"YYYYMMDD")&amp;"*"" &amp; """&amp;walkandungz&amp;""" "&amp;search_path&amp;"\RTDC"&amp;B16&amp;"\"&amp;TEXT(F16+1,"YYYY-MM-DD")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6" s="88" t="str">
        <f>astrogrep_path&amp;" /spath="&amp;search_path&amp;" /stypes=""app*"&amp;B16&amp;"*"&amp;TEXT(I16-utc_offset/24,"YYYYMMDD")&amp;"*"" /stext="" "&amp;TEXT(I16-utc_offset/24,"HH")&amp;search_regexp&amp;""" /e /r /s"</f>
        <v>"C:\Program Files (x86)\AstroGrep\AstroGrep.exe" /spath="%USERPROFILE%\AppData\Local\Temp\OnboardLogs" /stypes="app*4041*20161013*" /stext=" 11:.+((SYSTEM_STATE.+slice.+state.+changed )|(ment ac)|(system.+state.+changed )|(\[timeout)|(PRM\|1\|D)|(kpr)|(kdp)|(\|lc)|(penalty))" /e /r /s</v>
      </c>
      <c r="AG16" s="1" t="str">
        <f>IFERROR(IF(VALUE(LEFT(AD16,2))&lt;=2,"EC",IF(OR(VALUE(LEFT(AD16,2))=8,VALUE(LEFT(AD16,2))=18),"NW","Other")),"Other")</f>
        <v>EC</v>
      </c>
      <c r="AH16" s="92" t="str">
        <f t="shared" si="2"/>
        <v>"%USERPROFILE%\Documents\GitHub\eaglep3\Utilities\RefineRTDCRunTimes.py" --tripid 104-13 --locoid 4041 --swversion DE.1.0.7.0 --startMP 204:232669 --initTime 2016-10-13T04:38:24 --startdatetime 2016-10-13T04:41:18 --delay 1 --endMP 204:143 --enddatetime 2016-10-13T05:22:41 --enforcementcount 1 &gt;&gt;C:\Users\stu\Documents\GitHub\eaglep3-reporting\EC\2016-10-13-refined-times.txt</v>
      </c>
      <c r="AI16" s="122" t="str">
        <f t="shared" si="3"/>
        <v>echo {"issue":{"subject":"","project_id":79,"tracker_id":40,"status_id":1,"priority_id":2,"assigned_to_id":23,"start_date":"2016-10-13","description":"","custom_fields":[{"id":1,"name":"Subdivision","value":"EC"},{"id":4,"name":"Milepost","value":"0.0143"},{"id":17,"name":"Train ID","value":"104-13"},{"id":16,"name":"Locomotive ID","value":"4041"},{"id":130,"name":"Impact","value":""},{"id":150,"name":"Time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430</v>
      </c>
      <c r="B17" s="7">
        <v>4044</v>
      </c>
      <c r="C17" s="22" t="s">
        <v>99</v>
      </c>
      <c r="D17" s="22" t="s">
        <v>612</v>
      </c>
      <c r="E17" s="13">
        <v>42656.176249999997</v>
      </c>
      <c r="F17" s="13">
        <v>42656.177372685182</v>
      </c>
      <c r="G17" s="7">
        <v>1</v>
      </c>
      <c r="H17" s="13" t="s">
        <v>269</v>
      </c>
      <c r="I17" s="13">
        <v>42656.2030787037</v>
      </c>
      <c r="J17" s="7">
        <v>1</v>
      </c>
      <c r="K17" s="112" t="str">
        <f>IF(ISEVEN(B17),(B17-1)&amp;"/"&amp;B17,B17&amp;"/"&amp;(B17+1))</f>
        <v>4043/4044</v>
      </c>
      <c r="L17" s="22" t="str">
        <f>VLOOKUP(A17,'Trips&amp;Operators'!$C$1:$E$10000,3,FALSE)</f>
        <v>MALAVE</v>
      </c>
      <c r="M17" s="6">
        <f>I17-F17</f>
        <v>2.5706018517666962E-2</v>
      </c>
      <c r="N17" s="7">
        <f>24*60*SUM($M17:$M17)</f>
        <v>37.016666665440425</v>
      </c>
      <c r="O17" s="7"/>
      <c r="P17" s="7"/>
      <c r="Q17" s="23"/>
      <c r="R17" s="23"/>
      <c r="S17" s="35">
        <f>SUM(U17:U17)/IF(AG17="EC",12,1)</f>
        <v>1</v>
      </c>
      <c r="T17" s="50" t="str">
        <f>IF(ISEVEN(LEFT(AD17,4)),"Southbound","NorthBound")</f>
        <v>NorthBound</v>
      </c>
      <c r="U17" s="144">
        <f>IF(AG17="EC",COUNTIFS(Variables!$M$2:$M$19,IF(T17="NorthBound","&gt;=","&lt;=")&amp;Y17,Variables!$M$2:$M$19,IF(T17="NorthBound","&lt;=","&gt;=")&amp;Z17),COUNTIFS(Variables!$P$2:$P$19,IF(T17="NorthBound","&gt;=","&lt;=")&amp;Y17,Variables!$P$2:$P$19,IF(T17="NorthBound","&lt;=","&gt;=")&amp;Z17))</f>
        <v>12</v>
      </c>
      <c r="V17" s="98" t="str">
        <f>"https://search-rtdc-monitor-bjffxe2xuh6vdkpspy63sjmuny.us-east-1.es.amazonaws.com/_plugin/kibana/#/discover/Steve-Slow-Train-Analysis-(2080s-and-2083s)?_g=(refreshInterval:(display:Off,section:0,value:0),time:(from:'"&amp;TEXT(E17-1/24,"yyyy-MM-DD hh:mm:ss")&amp;"-0600',mode:absolute,to:'"&amp;TEXT(I17+1/24,"yyyy-MM-DD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amp;"%22')),sort:!(Time,asc))"</f>
        <v>https://search-rtdc-monitor-bjffxe2xuh6vdkpspy63sjmuny.us-east-1.es.amazonaws.com/_plugin/kibana/#/discover/Steve-Slow-Train-Analysis-(2080s-and-2083s)?_g=(refreshInterval:(display:Off,section:0,value:0),time:(from:'2016-10-13 03:13:48-0600',mode:absolute,to:'2016-10-13 05:52: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7" s="52" t="str">
        <f>IF(AA17&lt;IF(AG17="EC",23,5.65),"Y","N")</f>
        <v>N</v>
      </c>
      <c r="X17" s="149">
        <f>VALUE(LEFT(AD17,4))-VALUE(LEFT(AD16,4))</f>
        <v>1</v>
      </c>
      <c r="Y17" s="67">
        <f>RIGHT(D17,LEN(D17)-4)/10000</f>
        <v>8.72E-2</v>
      </c>
      <c r="Z17" s="67">
        <f>RIGHT(H17,LEN(H17)-4)/10000</f>
        <v>23.3293</v>
      </c>
      <c r="AA17" s="67">
        <f>ABS(Z17-Y17)</f>
        <v>23.242100000000001</v>
      </c>
      <c r="AB17" s="64" t="e">
        <f>VLOOKUP(A17,Enforcements!$C$7:$K$21,8,0)</f>
        <v>#N/A</v>
      </c>
      <c r="AC17" s="60" t="e">
        <f>VLOOKUP(A17,Enforcements!$C$7:$E$21,3,0)</f>
        <v>#N/A</v>
      </c>
      <c r="AD17" s="61" t="str">
        <f>IF(LEN(A17)=6,"0"&amp;A17,A17)</f>
        <v>0105-13</v>
      </c>
      <c r="AE17" s="91" t="str">
        <f>"aws s3 cp "&amp;s3_bucket&amp;"/RTDC"&amp;B17&amp;"/ "&amp;search_path&amp;"\RTDC"&amp;B17&amp;"\"&amp;TEXT(F17,"YYYY-MM-DD")&amp;" --exclude ""*"" --recursive --include ""*"&amp;TEXT(F17,"YYYYMMDD")&amp;"*"" &amp; """&amp;walkandungz&amp;""" "&amp;search_path&amp;"\RTDC"&amp;B17&amp;"\"&amp;TEXT(F17,"YYYY-MM-DD")
&amp;" &amp; "&amp;"aws s3 cp "&amp;s3_bucket&amp;"/RTDC"&amp;B17&amp;"/ "&amp;search_path&amp;"\RTDC"&amp;B17&amp;"\"&amp;TEXT(F17+1,"YYYY-MM-DD")&amp;" --exclude ""*"" --recursive --include ""*"&amp;TEXT(F17+1,"YYYYMMDD")&amp;"*"" &amp; """&amp;walkandungz&amp;""" "&amp;search_path&amp;"\RTDC"&amp;B17&amp;"\"&amp;TEXT(F17+1,"YYYY-MM-DD")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7" s="88" t="str">
        <f>astrogrep_path&amp;" /spath="&amp;search_path&amp;" /stypes=""app*"&amp;B17&amp;"*"&amp;TEXT(I17-utc_offset/24,"YYYYMMDD")&amp;"*"" /stext="" "&amp;TEXT(I17-utc_offset/24,"HH")&amp;search_regexp&amp;""" /e /r /s"</f>
        <v>"C:\Program Files (x86)\AstroGrep\AstroGrep.exe" /spath="%USERPROFILE%\AppData\Local\Temp\OnboardLogs" /stypes="app*4044*20161013*" /stext=" 10:.+((SYSTEM_STATE.+slice.+state.+changed )|(ment ac)|(system.+state.+changed )|(\[timeout)|(PRM\|1\|D)|(kpr)|(kdp)|(\|lc)|(penalty))" /e /r /s</v>
      </c>
      <c r="AG17" s="1" t="str">
        <f>IFERROR(IF(VALUE(LEFT(AD17,2))&lt;=2,"EC",IF(OR(VALUE(LEFT(AD17,2))=8,VALUE(LEFT(AD17,2))=18),"NW","Other")),"Other")</f>
        <v>EC</v>
      </c>
      <c r="AH17" s="92" t="str">
        <f t="shared" si="2"/>
        <v>"%USERPROFILE%\Documents\GitHub\eaglep3\Utilities\RefineRTDCRunTimes.py" --tripid 105-13 --locoid 4044 --swversion DE.1.0.7.0 --startMP 204:872 --initTime 2016-10-13T04:13:48 --startdatetime 2016-10-13T04:15:25 --delay 1 --endMP 204:233293 --enddatetime 2016-10-13T04:52:26 --enforcementcount 1 &gt;&gt;C:\Users\stu\Documents\GitHub\eaglep3-reporting\EC\2016-10-13-refined-times.txt</v>
      </c>
      <c r="AI17" s="122" t="str">
        <f t="shared" si="3"/>
        <v>echo {"issue":{"subject":"","project_id":79,"tracker_id":40,"status_id":1,"priority_id":2,"assigned_to_id":23,"start_date":"2016-10-13","description":"","custom_fields":[{"id":1,"name":"Subdivision","value":"EC"},{"id":4,"name":"Milepost","value":"23.3293"},{"id":17,"name":"Train ID","value":"105-13"},{"id":16,"name":"Locomotive ID","value":"4044"},{"id":130,"name":"Impact","value":""},{"id":150,"name":"Time of Event (Mountain Time)","value":"04:52:26"},{"id":151,"name":"Denver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439</v>
      </c>
      <c r="B18" s="7">
        <v>4013</v>
      </c>
      <c r="C18" s="22" t="s">
        <v>99</v>
      </c>
      <c r="D18" s="22" t="s">
        <v>613</v>
      </c>
      <c r="E18" s="13">
        <v>42656.214548611111</v>
      </c>
      <c r="F18" s="13">
        <v>42656.216273148151</v>
      </c>
      <c r="G18" s="7">
        <v>2</v>
      </c>
      <c r="H18" s="13" t="s">
        <v>259</v>
      </c>
      <c r="I18" s="13">
        <v>42656.244131944448</v>
      </c>
      <c r="J18" s="7">
        <v>1</v>
      </c>
      <c r="K18" s="112" t="str">
        <f>IF(ISEVEN(B18),(B18-1)&amp;"/"&amp;B18,B18&amp;"/"&amp;(B18+1))</f>
        <v>4013/4014</v>
      </c>
      <c r="L18" s="22" t="str">
        <f>VLOOKUP(A18,'Trips&amp;Operators'!$C$1:$E$10000,3,FALSE)</f>
        <v>MALAVE</v>
      </c>
      <c r="M18" s="6">
        <f>I18-F18</f>
        <v>2.7858796296641231E-2</v>
      </c>
      <c r="N18" s="7">
        <f>24*60*SUM($M18:$M18)</f>
        <v>40.116666667163372</v>
      </c>
      <c r="O18" s="7"/>
      <c r="P18" s="7"/>
      <c r="Q18" s="23"/>
      <c r="R18" s="23"/>
      <c r="S18" s="35">
        <f>SUM(U18:U18)/IF(AG18="EC",12,1)</f>
        <v>1</v>
      </c>
      <c r="T18" s="50" t="str">
        <f>IF(ISEVEN(LEFT(AD18,4)),"Southbound","NorthBound")</f>
        <v>Southbound</v>
      </c>
      <c r="U18" s="144">
        <f>IF(AG18="EC",COUNTIFS(Variables!$M$2:$M$19,IF(T18="NorthBound","&gt;=","&lt;=")&amp;Y18,Variables!$M$2:$M$19,IF(T18="NorthBound","&lt;=","&gt;=")&amp;Z18),COUNTIFS(Variables!$P$2:$P$19,IF(T18="NorthBound","&gt;=","&lt;=")&amp;Y18,Variables!$P$2:$P$19,IF(T18="NorthBound","&lt;=","&gt;=")&amp;Z18))</f>
        <v>12</v>
      </c>
      <c r="V18" s="98" t="str">
        <f>"https://search-rtdc-monitor-bjffxe2xuh6vdkpspy63sjmuny.us-east-1.es.amazonaws.com/_plugin/kibana/#/discover/Steve-Slow-Train-Analysis-(2080s-and-2083s)?_g=(refreshInterval:(display:Off,section:0,value:0),time:(from:'"&amp;TEXT(E18-1/24,"yyyy-MM-DD hh:mm:ss")&amp;"-0600',mode:absolute,to:'"&amp;TEXT(I18+1/24,"yyyy-MM-DD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amp;"%22')),sort:!(Time,asc))"</f>
        <v>https://search-rtdc-monitor-bjffxe2xuh6vdkpspy63sjmuny.us-east-1.es.amazonaws.com/_plugin/kibana/#/discover/Steve-Slow-Train-Analysis-(2080s-and-2083s)?_g=(refreshInterval:(display:Off,section:0,value:0),time:(from:'2016-10-13 04:08:57-0600',mode:absolute,to:'2016-10-13 06: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 s="52" t="str">
        <f>IF(AA18&lt;IF(AG18="EC",23,5.65),"Y","N")</f>
        <v>N</v>
      </c>
      <c r="X18" s="149">
        <f>VALUE(LEFT(AD18,4))-VALUE(LEFT(AD17,4))</f>
        <v>1</v>
      </c>
      <c r="Y18" s="67">
        <f>RIGHT(D18,LEN(D18)-4)/10000</f>
        <v>23.2651</v>
      </c>
      <c r="Z18" s="67">
        <f>RIGHT(H18,LEN(H18)-4)/10000</f>
        <v>1.61E-2</v>
      </c>
      <c r="AA18" s="67">
        <f>ABS(Z18-Y18)</f>
        <v>23.248999999999999</v>
      </c>
      <c r="AB18" s="64" t="e">
        <f>VLOOKUP(A18,Enforcements!$C$7:$K$21,8,0)</f>
        <v>#N/A</v>
      </c>
      <c r="AC18" s="60" t="e">
        <f>VLOOKUP(A18,Enforcements!$C$7:$E$21,3,0)</f>
        <v>#N/A</v>
      </c>
      <c r="AD18" s="61" t="str">
        <f>IF(LEN(A18)=6,"0"&amp;A18,A18)</f>
        <v>0106-13</v>
      </c>
      <c r="AE18" s="91" t="str">
        <f>"aws s3 cp "&amp;s3_bucket&amp;"/RTDC"&amp;B18&amp;"/ "&amp;search_path&amp;"\RTDC"&amp;B18&amp;"\"&amp;TEXT(F18,"YYYY-MM-DD")&amp;" --exclude ""*"" --recursive --include ""*"&amp;TEXT(F18,"YYYYMMDD")&amp;"*"" &amp; """&amp;walkandungz&amp;""" "&amp;search_path&amp;"\RTDC"&amp;B18&amp;"\"&amp;TEXT(F18,"YYYY-MM-DD")
&amp;" &amp; "&amp;"aws s3 cp "&amp;s3_bucket&amp;"/RTDC"&amp;B18&amp;"/ "&amp;search_path&amp;"\RTDC"&amp;B18&amp;"\"&amp;TEXT(F18+1,"YYYY-MM-DD")&amp;" --exclude ""*"" --recursive --include ""*"&amp;TEXT(F18+1,"YYYYMMDD")&amp;"*"" &amp; """&amp;walkandungz&amp;""" "&amp;search_path&amp;"\RTDC"&amp;B18&amp;"\"&amp;TEXT(F18+1,"YYYY-MM-DD")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8" s="88" t="str">
        <f>astrogrep_path&amp;" /spath="&amp;search_path&amp;" /stypes=""app*"&amp;B18&amp;"*"&amp;TEXT(I18-utc_offset/24,"YYYYMMDD")&amp;"*"" /stext="" "&amp;TEXT(I18-utc_offset/24,"HH")&amp;search_regexp&amp;""" /e /r /s"</f>
        <v>"C:\Program Files (x86)\AstroGrep\AstroGrep.exe" /spath="%USERPROFILE%\AppData\Local\Temp\OnboardLogs" /stypes="app*4013*20161013*" /stext=" 11:.+((SYSTEM_STATE.+slice.+state.+changed )|(ment ac)|(system.+state.+changed )|(\[timeout)|(PRM\|1\|D)|(kpr)|(kdp)|(\|lc)|(penalty))" /e /r /s</v>
      </c>
      <c r="AG18" s="1" t="str">
        <f>IFERROR(IF(VALUE(LEFT(AD18,2))&lt;=2,"EC",IF(OR(VALUE(LEFT(AD18,2))=8,VALUE(LEFT(AD18,2))=18),"NW","Other")),"Other")</f>
        <v>EC</v>
      </c>
      <c r="AH18" s="92" t="str">
        <f t="shared" si="2"/>
        <v>"%USERPROFILE%\Documents\GitHub\eaglep3\Utilities\RefineRTDCRunTimes.py" --tripid 106-13 --locoid 4013 --swversion DE.1.0.7.0 --startMP 204:232651 --initTime 2016-10-13T05:08:57 --startdatetime 2016-10-13T05:11:26 --delay 2 --endMP 204:161 --enddatetime 2016-10-13T05:51:33 --enforcementcount 1 &gt;&gt;C:\Users\stu\Documents\GitHub\eaglep3-reporting\EC\2016-10-13-refined-times.txt</v>
      </c>
      <c r="AI18" s="122" t="str">
        <f t="shared" si="3"/>
        <v>echo {"issue":{"subject":"","project_id":79,"tracker_id":40,"status_id":1,"priority_id":2,"assigned_to_id":23,"start_date":"2016-10-13","description":"","custom_fields":[{"id":1,"name":"Subdivision","value":"EC"},{"id":4,"name":"Milepost","value":"0.0161"},{"id":17,"name":"Train ID","value":"106-13"},{"id":16,"name":"Locomotive ID","value":"4013"},{"id":130,"name":"Impact","value":""},{"id":150,"name":"Time of Event (Mountain Time)","value":"05:51:33"},{"id":151,"name":"Denver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431</v>
      </c>
      <c r="B19" s="7">
        <v>4018</v>
      </c>
      <c r="C19" s="22" t="s">
        <v>99</v>
      </c>
      <c r="D19" s="22" t="s">
        <v>302</v>
      </c>
      <c r="E19" s="13">
        <v>42656.181331018517</v>
      </c>
      <c r="F19" s="13">
        <v>42656.187719907408</v>
      </c>
      <c r="G19" s="7">
        <v>1</v>
      </c>
      <c r="H19" s="13" t="s">
        <v>614</v>
      </c>
      <c r="I19" s="13">
        <v>42656.215405092589</v>
      </c>
      <c r="J19" s="7">
        <v>1</v>
      </c>
      <c r="K19" s="112" t="str">
        <f>IF(ISEVEN(B19),(B19-1)&amp;"/"&amp;B19,B19&amp;"/"&amp;(B19+1))</f>
        <v>4017/4018</v>
      </c>
      <c r="L19" s="22" t="str">
        <f>VLOOKUP(A19,'Trips&amp;Operators'!$C$1:$E$10000,3,FALSE)</f>
        <v>STRICKLAND</v>
      </c>
      <c r="M19" s="6">
        <f>I19-F19</f>
        <v>2.7685185181326233E-2</v>
      </c>
      <c r="N19" s="7">
        <f>24*60*SUM($M19:$M19)</f>
        <v>39.866666661109775</v>
      </c>
      <c r="O19" s="7"/>
      <c r="P19" s="7"/>
      <c r="Q19" s="23"/>
      <c r="R19" s="23"/>
      <c r="S19" s="35">
        <f>SUM(U19:U19)/IF(AG19="EC",12,1)</f>
        <v>1</v>
      </c>
      <c r="T19" s="50" t="str">
        <f>IF(ISEVEN(LEFT(AD19,4)),"Southbound","NorthBound")</f>
        <v>NorthBound</v>
      </c>
      <c r="U19" s="144">
        <f>IF(AG19="EC",COUNTIFS(Variables!$M$2:$M$19,IF(T19="NorthBound","&gt;=","&lt;=")&amp;Y19,Variables!$M$2:$M$19,IF(T19="NorthBound","&lt;=","&gt;=")&amp;Z19),COUNTIFS(Variables!$P$2:$P$19,IF(T19="NorthBound","&gt;=","&lt;=")&amp;Y19,Variables!$P$2:$P$19,IF(T19="NorthBound","&lt;=","&gt;=")&amp;Z19))</f>
        <v>12</v>
      </c>
      <c r="V19" s="98" t="str">
        <f>"https://search-rtdc-monitor-bjffxe2xuh6vdkpspy63sjmuny.us-east-1.es.amazonaws.com/_plugin/kibana/#/discover/Steve-Slow-Train-Analysis-(2080s-and-2083s)?_g=(refreshInterval:(display:Off,section:0,value:0),time:(from:'"&amp;TEXT(E19-1/24,"yyyy-MM-DD hh:mm:ss")&amp;"-0600',mode:absolute,to:'"&amp;TEXT(I19+1/24,"yyyy-MM-DD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amp;"%22')),sort:!(Time,asc))"</f>
        <v>https://search-rtdc-monitor-bjffxe2xuh6vdkpspy63sjmuny.us-east-1.es.amazonaws.com/_plugin/kibana/#/discover/Steve-Slow-Train-Analysis-(2080s-and-2083s)?_g=(refreshInterval:(display:Off,section:0,value:0),time:(from:'2016-10-13 03:21:07-0600',mode:absolute,to:'2016-10-13 06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9" s="52" t="str">
        <f>IF(AA19&lt;IF(AG19="EC",23,5.65),"Y","N")</f>
        <v>N</v>
      </c>
      <c r="X19" s="149">
        <f>VALUE(LEFT(AD19,4))-VALUE(LEFT(AD18,4))</f>
        <v>1</v>
      </c>
      <c r="Y19" s="67">
        <f>RIGHT(D19,LEN(D19)-4)/10000</f>
        <v>4.6600000000000003E-2</v>
      </c>
      <c r="Z19" s="67">
        <f>RIGHT(H19,LEN(H19)-4)/10000</f>
        <v>23.327000000000002</v>
      </c>
      <c r="AA19" s="67">
        <f>ABS(Z19-Y19)</f>
        <v>23.2804</v>
      </c>
      <c r="AB19" s="64" t="e">
        <f>VLOOKUP(A19,Enforcements!$C$7:$K$21,8,0)</f>
        <v>#N/A</v>
      </c>
      <c r="AC19" s="60" t="e">
        <f>VLOOKUP(A19,Enforcements!$C$7:$E$21,3,0)</f>
        <v>#N/A</v>
      </c>
      <c r="AD19" s="61" t="str">
        <f>IF(LEN(A19)=6,"0"&amp;A19,A19)</f>
        <v>0107-13</v>
      </c>
      <c r="AE19" s="91" t="str">
        <f>"aws s3 cp "&amp;s3_bucket&amp;"/RTDC"&amp;B19&amp;"/ "&amp;search_path&amp;"\RTDC"&amp;B19&amp;"\"&amp;TEXT(F19,"YYYY-MM-DD")&amp;" --exclude ""*"" --recursive --include ""*"&amp;TEXT(F19,"YYYYMMDD")&amp;"*"" &amp; """&amp;walkandungz&amp;""" "&amp;search_path&amp;"\RTDC"&amp;B19&amp;"\"&amp;TEXT(F19,"YYYY-MM-DD")
&amp;" &amp; "&amp;"aws s3 cp "&amp;s3_bucket&amp;"/RTDC"&amp;B19&amp;"/ "&amp;search_path&amp;"\RTDC"&amp;B19&amp;"\"&amp;TEXT(F19+1,"YYYY-MM-DD")&amp;" --exclude ""*"" --recursive --include ""*"&amp;TEXT(F19+1,"YYYYMMDD")&amp;"*"" &amp; """&amp;walkandungz&amp;""" "&amp;search_path&amp;"\RTDC"&amp;B19&amp;"\"&amp;TEXT(F19+1,"YYYY-MM-DD")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9" s="88" t="str">
        <f>astrogrep_path&amp;" /spath="&amp;search_path&amp;" /stypes=""app*"&amp;B19&amp;"*"&amp;TEXT(I19-utc_offset/24,"YYYYMMDD")&amp;"*"" /stext="" "&amp;TEXT(I19-utc_offset/24,"HH")&amp;search_regexp&amp;""" /e /r /s"</f>
        <v>"C:\Program Files (x86)\AstroGrep\AstroGrep.exe" /spath="%USERPROFILE%\AppData\Local\Temp\OnboardLogs" /stypes="app*4018*20161013*" /stext=" 11:.+((SYSTEM_STATE.+slice.+state.+changed )|(ment ac)|(system.+state.+changed )|(\[timeout)|(PRM\|1\|D)|(kpr)|(kdp)|(\|lc)|(penalty))" /e /r /s</v>
      </c>
      <c r="AG19" s="1" t="str">
        <f>IFERROR(IF(VALUE(LEFT(AD19,2))&lt;=2,"EC",IF(OR(VALUE(LEFT(AD19,2))=8,VALUE(LEFT(AD19,2))=18),"NW","Other")),"Other")</f>
        <v>EC</v>
      </c>
      <c r="AH19" s="92" t="str">
        <f t="shared" si="2"/>
        <v>"%USERPROFILE%\Documents\GitHub\eaglep3\Utilities\RefineRTDCRunTimes.py" --tripid 107-13 --locoid 4018 --swversion DE.1.0.7.0 --startMP 204:466 --initTime 2016-10-13T04:21:07 --startdatetime 2016-10-13T04:30:19 --delay 1 --endMP 204:233270 --enddatetime 2016-10-13T05:10:11 --enforcementcount 1 &gt;&gt;C:\Users\stu\Documents\GitHub\eaglep3-reporting\EC\2016-10-13-refined-times.txt</v>
      </c>
      <c r="AI19" s="122" t="str">
        <f t="shared" si="3"/>
        <v>echo {"issue":{"subject":"","project_id":79,"tracker_id":40,"status_id":1,"priority_id":2,"assigned_to_id":23,"start_date":"2016-10-13","description":"","custom_fields":[{"id":1,"name":"Subdivision","value":"EC"},{"id":4,"name":"Milepost","value":"23.327"},{"id":17,"name":"Train ID","value":"107-13"},{"id":16,"name":"Locomotive ID","value":"4018"},{"id":130,"name":"Impact","value":""},{"id":150,"name":"Time of Event (Mountain Time)","value":"05:10:11"},{"id":151,"name":"Denver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441</v>
      </c>
      <c r="B20" s="7">
        <v>4017</v>
      </c>
      <c r="C20" s="22" t="s">
        <v>99</v>
      </c>
      <c r="D20" s="22" t="s">
        <v>615</v>
      </c>
      <c r="E20" s="13">
        <v>42656.223854166667</v>
      </c>
      <c r="F20" s="13">
        <v>42656.226574074077</v>
      </c>
      <c r="G20" s="7">
        <v>1</v>
      </c>
      <c r="H20" s="13" t="s">
        <v>177</v>
      </c>
      <c r="I20" s="13">
        <v>42656.255393518521</v>
      </c>
      <c r="J20" s="7">
        <v>1</v>
      </c>
      <c r="K20" s="112" t="str">
        <f>IF(ISEVEN(B20),(B20-1)&amp;"/"&amp;B20,B20&amp;"/"&amp;(B20+1))</f>
        <v>4017/4018</v>
      </c>
      <c r="L20" s="22" t="str">
        <f>VLOOKUP(A20,'Trips&amp;Operators'!$C$1:$E$10000,3,FALSE)</f>
        <v>STRICKLAND</v>
      </c>
      <c r="M20" s="6">
        <f>I20-F20</f>
        <v>2.8819444443797693E-2</v>
      </c>
      <c r="N20" s="7">
        <f>24*60*SUM($M20:$M20)</f>
        <v>41.499999999068677</v>
      </c>
      <c r="O20" s="7"/>
      <c r="P20" s="7"/>
      <c r="Q20" s="23"/>
      <c r="R20" s="23"/>
      <c r="S20" s="35">
        <f>SUM(U20:U20)/IF(AG20="EC",12,1)</f>
        <v>1</v>
      </c>
      <c r="T20" s="50" t="str">
        <f>IF(ISEVEN(LEFT(AD20,4)),"Southbound","NorthBound")</f>
        <v>Southbound</v>
      </c>
      <c r="U20" s="144">
        <f>IF(AG20="EC",COUNTIFS(Variables!$M$2:$M$19,IF(T20="NorthBound","&gt;=","&lt;=")&amp;Y20,Variables!$M$2:$M$19,IF(T20="NorthBound","&lt;=","&gt;=")&amp;Z20),COUNTIFS(Variables!$P$2:$P$19,IF(T20="NorthBound","&gt;=","&lt;=")&amp;Y20,Variables!$P$2:$P$19,IF(T20="NorthBound","&lt;=","&gt;=")&amp;Z20))</f>
        <v>12</v>
      </c>
      <c r="V20" s="98" t="str">
        <f>"https://search-rtdc-monitor-bjffxe2xuh6vdkpspy63sjmuny.us-east-1.es.amazonaws.com/_plugin/kibana/#/discover/Steve-Slow-Train-Analysis-(2080s-and-2083s)?_g=(refreshInterval:(display:Off,section:0,value:0),time:(from:'"&amp;TEXT(E20-1/24,"yyyy-MM-DD hh:mm:ss")&amp;"-0600',mode:absolute,to:'"&amp;TEXT(I20+1/24,"yyyy-MM-DD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amp;"%22')),sort:!(Time,asc))"</f>
        <v>https://search-rtdc-monitor-bjffxe2xuh6vdkpspy63sjmuny.us-east-1.es.amazonaws.com/_plugin/kibana/#/discover/Steve-Slow-Train-Analysis-(2080s-and-2083s)?_g=(refreshInterval:(display:Off,section:0,value:0),time:(from:'2016-10-13 04:22:21-0600',mode:absolute,to:'2016-10-13 07:07: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 s="52" t="str">
        <f>IF(AA20&lt;IF(AG20="EC",23,5.65),"Y","N")</f>
        <v>N</v>
      </c>
      <c r="X20" s="149">
        <f>VALUE(LEFT(AD20,4))-VALUE(LEFT(AD19,4))</f>
        <v>1</v>
      </c>
      <c r="Y20" s="67">
        <f>RIGHT(D20,LEN(D20)-4)/10000</f>
        <v>23.297699999999999</v>
      </c>
      <c r="Z20" s="67">
        <f>RIGHT(H20,LEN(H20)-4)/10000</f>
        <v>1.52E-2</v>
      </c>
      <c r="AA20" s="67">
        <f>ABS(Z20-Y20)</f>
        <v>23.282499999999999</v>
      </c>
      <c r="AB20" s="64" t="e">
        <f>VLOOKUP(A20,Enforcements!$C$7:$K$21,8,0)</f>
        <v>#N/A</v>
      </c>
      <c r="AC20" s="60" t="e">
        <f>VLOOKUP(A20,Enforcements!$C$7:$E$21,3,0)</f>
        <v>#N/A</v>
      </c>
      <c r="AD20" s="61" t="str">
        <f>IF(LEN(A20)=6,"0"&amp;A20,A20)</f>
        <v>0108-13</v>
      </c>
      <c r="AE20" s="91" t="str">
        <f>"aws s3 cp "&amp;s3_bucket&amp;"/RTDC"&amp;B20&amp;"/ "&amp;search_path&amp;"\RTDC"&amp;B20&amp;"\"&amp;TEXT(F20,"YYYY-MM-DD")&amp;" --exclude ""*"" --recursive --include ""*"&amp;TEXT(F20,"YYYYMMDD")&amp;"*"" &amp; """&amp;walkandungz&amp;""" "&amp;search_path&amp;"\RTDC"&amp;B20&amp;"\"&amp;TEXT(F20,"YYYY-MM-DD")
&amp;" &amp; "&amp;"aws s3 cp "&amp;s3_bucket&amp;"/RTDC"&amp;B20&amp;"/ "&amp;search_path&amp;"\RTDC"&amp;B20&amp;"\"&amp;TEXT(F20+1,"YYYY-MM-DD")&amp;" --exclude ""*"" --recursive --include ""*"&amp;TEXT(F20+1,"YYYYMMDD")&amp;"*"" &amp; """&amp;walkandungz&amp;""" "&amp;search_path&amp;"\RTDC"&amp;B20&amp;"\"&amp;TEXT(F20+1,"YYYY-MM-DD")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 s="88" t="str">
        <f>astrogrep_path&amp;" /spath="&amp;search_path&amp;" /stypes=""app*"&amp;B20&amp;"*"&amp;TEXT(I20-utc_offset/24,"YYYYMMDD")&amp;"*"" /stext="" "&amp;TEXT(I20-utc_offset/24,"HH")&amp;search_regexp&amp;""" /e /r /s"</f>
        <v>"C:\Program Files (x86)\AstroGrep\AstroGrep.exe" /spath="%USERPROFILE%\AppData\Local\Temp\OnboardLogs" /stypes="app*4017*20161013*" /stext=" 12:.+((SYSTEM_STATE.+slice.+state.+changed )|(ment ac)|(system.+state.+changed )|(\[timeout)|(PRM\|1\|D)|(kpr)|(kdp)|(\|lc)|(penalty))" /e /r /s</v>
      </c>
      <c r="AG20" s="1" t="str">
        <f>IFERROR(IF(VALUE(LEFT(AD20,2))&lt;=2,"EC",IF(OR(VALUE(LEFT(AD20,2))=8,VALUE(LEFT(AD20,2))=18),"NW","Other")),"Other")</f>
        <v>EC</v>
      </c>
      <c r="AH20" s="92" t="str">
        <f t="shared" si="2"/>
        <v>"%USERPROFILE%\Documents\GitHub\eaglep3\Utilities\RefineRTDCRunTimes.py" --tripid 108-13 --locoid 4017 --swversion DE.1.0.7.0 --startMP 204:232977 --initTime 2016-10-13T05:22:21 --startdatetime 2016-10-13T05:26:16 --delay 1 --endMP 204:152 --enddatetime 2016-10-13T06:07:46 --enforcementcount 1 &gt;&gt;C:\Users\stu\Documents\GitHub\eaglep3-reporting\EC\2016-10-13-refined-times.txt</v>
      </c>
      <c r="AI20" s="122" t="str">
        <f t="shared" si="3"/>
        <v>echo {"issue":{"subject":"","project_id":79,"tracker_id":40,"status_id":1,"priority_id":2,"assigned_to_id":23,"start_date":"2016-10-13","description":"","custom_fields":[{"id":1,"name":"Subdivision","value":"EC"},{"id":4,"name":"Milepost","value":"0.0152"},{"id":17,"name":"Train ID","value":"108-13"},{"id":16,"name":"Locomotive ID","value":"4017"},{"id":130,"name":"Impact","value":""},{"id":150,"name":"Time of Event (Mountain Time)","value":"06:07:46"},{"id":151,"name":"Denver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434</v>
      </c>
      <c r="B21" s="7">
        <v>4003</v>
      </c>
      <c r="C21" s="22" t="s">
        <v>99</v>
      </c>
      <c r="D21" s="22" t="s">
        <v>300</v>
      </c>
      <c r="E21" s="13">
        <v>42656.196782407409</v>
      </c>
      <c r="F21" s="13">
        <v>42656.198194444441</v>
      </c>
      <c r="G21" s="7">
        <v>1</v>
      </c>
      <c r="H21" s="13" t="s">
        <v>320</v>
      </c>
      <c r="I21" s="13">
        <v>42656.222604166665</v>
      </c>
      <c r="J21" s="7">
        <v>1</v>
      </c>
      <c r="K21" s="112" t="str">
        <f>IF(ISEVEN(B21),(B21-1)&amp;"/"&amp;B21,B21&amp;"/"&amp;(B21+1))</f>
        <v>4003/4004</v>
      </c>
      <c r="L21" s="22" t="str">
        <f>VLOOKUP(A21,'Trips&amp;Operators'!$C$1:$E$10000,3,FALSE)</f>
        <v>ROCHA</v>
      </c>
      <c r="M21" s="6">
        <f>I21-F21</f>
        <v>2.4409722223936114E-2</v>
      </c>
      <c r="N21" s="7">
        <f>24*60*SUM($M21:$M21)</f>
        <v>35.150000002468005</v>
      </c>
      <c r="O21" s="7"/>
      <c r="P21" s="7"/>
      <c r="Q21" s="23"/>
      <c r="R21" s="23"/>
      <c r="S21" s="35">
        <f>SUM(U21:U21)/IF(AG21="EC",12,1)</f>
        <v>1</v>
      </c>
      <c r="T21" s="50" t="str">
        <f>IF(ISEVEN(LEFT(AD21,4)),"Southbound","NorthBound")</f>
        <v>NorthBound</v>
      </c>
      <c r="U21" s="144">
        <f>IF(AG21="EC",COUNTIFS(Variables!$M$2:$M$19,IF(T21="NorthBound","&gt;=","&lt;=")&amp;Y21,Variables!$M$2:$M$19,IF(T21="NorthBound","&lt;=","&gt;=")&amp;Z21),COUNTIFS(Variables!$P$2:$P$19,IF(T21="NorthBound","&gt;=","&lt;=")&amp;Y21,Variables!$P$2:$P$19,IF(T21="NorthBound","&lt;=","&gt;=")&amp;Z21))</f>
        <v>12</v>
      </c>
      <c r="V21" s="98" t="str">
        <f>"https://search-rtdc-monitor-bjffxe2xuh6vdkpspy63sjmuny.us-east-1.es.amazonaws.com/_plugin/kibana/#/discover/Steve-Slow-Train-Analysis-(2080s-and-2083s)?_g=(refreshInterval:(display:Off,section:0,value:0),time:(from:'"&amp;TEXT(E21-1/24,"yyyy-MM-DD hh:mm:ss")&amp;"-0600',mode:absolute,to:'"&amp;TEXT(I21+1/24,"yyyy-MM-DD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amp;"%22')),sort:!(Time,asc))"</f>
        <v>https://search-rtdc-monitor-bjffxe2xuh6vdkpspy63sjmuny.us-east-1.es.amazonaws.com/_plugin/kibana/#/discover/Steve-Slow-Train-Analysis-(2080s-and-2083s)?_g=(refreshInterval:(display:Off,section:0,value:0),time:(from:'2016-10-13 03:43:22-0600',mode:absolute,to:'2016-10-13 06:20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1" s="52" t="str">
        <f>IF(AA21&lt;IF(AG21="EC",23,5.65),"Y","N")</f>
        <v>N</v>
      </c>
      <c r="X21" s="149">
        <f>VALUE(LEFT(AD21,4))-VALUE(LEFT(AD20,4))</f>
        <v>1</v>
      </c>
      <c r="Y21" s="67">
        <f>RIGHT(D21,LEN(D21)-4)/10000</f>
        <v>4.3799999999999999E-2</v>
      </c>
      <c r="Z21" s="67">
        <f>RIGHT(H21,LEN(H21)-4)/10000</f>
        <v>23.3306</v>
      </c>
      <c r="AA21" s="67">
        <f>ABS(Z21-Y21)</f>
        <v>23.286799999999999</v>
      </c>
      <c r="AB21" s="64" t="e">
        <f>VLOOKUP(A21,Enforcements!$C$7:$K$21,8,0)</f>
        <v>#N/A</v>
      </c>
      <c r="AC21" s="60" t="e">
        <f>VLOOKUP(A21,Enforcements!$C$7:$E$21,3,0)</f>
        <v>#N/A</v>
      </c>
      <c r="AD21" s="61" t="str">
        <f>IF(LEN(A21)=6,"0"&amp;A21,A21)</f>
        <v>0109-13</v>
      </c>
      <c r="AE21" s="91" t="str">
        <f>"aws s3 cp "&amp;s3_bucket&amp;"/RTDC"&amp;B21&amp;"/ "&amp;search_path&amp;"\RTDC"&amp;B21&amp;"\"&amp;TEXT(F21,"YYYY-MM-DD")&amp;" --exclude ""*"" --recursive --include ""*"&amp;TEXT(F21,"YYYYMMDD")&amp;"*"" &amp; """&amp;walkandungz&amp;""" "&amp;search_path&amp;"\RTDC"&amp;B21&amp;"\"&amp;TEXT(F21,"YYYY-MM-DD")
&amp;" &amp; "&amp;"aws s3 cp "&amp;s3_bucket&amp;"/RTDC"&amp;B21&amp;"/ "&amp;search_path&amp;"\RTDC"&amp;B21&amp;"\"&amp;TEXT(F21+1,"YYYY-MM-DD")&amp;" --exclude ""*"" --recursive --include ""*"&amp;TEXT(F21+1,"YYYYMMDD")&amp;"*"" &amp; """&amp;walkandungz&amp;""" "&amp;search_path&amp;"\RTDC"&amp;B21&amp;"\"&amp;TEXT(F21+1,"YYYY-MM-DD")</f>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21" s="88" t="str">
        <f>astrogrep_path&amp;" /spath="&amp;search_path&amp;" /stypes=""app*"&amp;B21&amp;"*"&amp;TEXT(I21-utc_offset/24,"YYYYMMDD")&amp;"*"" /stext="" "&amp;TEXT(I21-utc_offset/24,"HH")&amp;search_regexp&amp;""" /e /r /s"</f>
        <v>"C:\Program Files (x86)\AstroGrep\AstroGrep.exe" /spath="%USERPROFILE%\AppData\Local\Temp\OnboardLogs" /stypes="app*4003*20161013*" /stext=" 11:.+((SYSTEM_STATE.+slice.+state.+changed )|(ment ac)|(system.+state.+changed )|(\[timeout)|(PRM\|1\|D)|(kpr)|(kdp)|(\|lc)|(penalty))" /e /r /s</v>
      </c>
      <c r="AG21" s="1" t="str">
        <f>IFERROR(IF(VALUE(LEFT(AD21,2))&lt;=2,"EC",IF(OR(VALUE(LEFT(AD21,2))=8,VALUE(LEFT(AD21,2))=18),"NW","Other")),"Other")</f>
        <v>EC</v>
      </c>
      <c r="AH21" s="92" t="str">
        <f t="shared" si="2"/>
        <v>"%USERPROFILE%\Documents\GitHub\eaglep3\Utilities\RefineRTDCRunTimes.py" --tripid 109-13 --locoid 4003 --swversion DE.1.0.7.0 --startMP 204:438 --initTime 2016-10-13T04:43:22 --startdatetime 2016-10-13T04:45:24 --delay 1 --endMP 204:233306 --enddatetime 2016-10-13T05:20:33 --enforcementcount 1 &gt;&gt;C:\Users\stu\Documents\GitHub\eaglep3-reporting\EC\2016-10-13-refined-times.txt</v>
      </c>
      <c r="AI21" s="122" t="str">
        <f t="shared" si="3"/>
        <v>echo {"issue":{"subject":"","project_id":79,"tracker_id":40,"status_id":1,"priority_id":2,"assigned_to_id":23,"start_date":"2016-10-13","description":"","custom_fields":[{"id":1,"name":"Subdivision","value":"EC"},{"id":4,"name":"Milepost","value":"23.3306"},{"id":17,"name":"Train ID","value":"109-13"},{"id":16,"name":"Locomotive ID","value":"4003"},{"id":130,"name":"Impact","value":""},{"id":150,"name":"Time of Event (Mountain Time)","value":"05:20:33"},{"id":151,"name":"Denver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445</v>
      </c>
      <c r="B22" s="7">
        <v>4004</v>
      </c>
      <c r="C22" s="22" t="s">
        <v>99</v>
      </c>
      <c r="D22" s="22" t="s">
        <v>616</v>
      </c>
      <c r="E22" s="13">
        <v>42656.235960648148</v>
      </c>
      <c r="F22" s="13">
        <v>42656.237175925926</v>
      </c>
      <c r="G22" s="7">
        <v>1</v>
      </c>
      <c r="H22" s="13" t="s">
        <v>182</v>
      </c>
      <c r="I22" s="13">
        <v>42656.264699074076</v>
      </c>
      <c r="J22" s="7">
        <v>1</v>
      </c>
      <c r="K22" s="112" t="str">
        <f>IF(ISEVEN(B22),(B22-1)&amp;"/"&amp;B22,B22&amp;"/"&amp;(B22+1))</f>
        <v>4003/4004</v>
      </c>
      <c r="L22" s="22" t="str">
        <f>VLOOKUP(A22,'Trips&amp;Operators'!$C$1:$E$10000,3,FALSE)</f>
        <v>ROCHA</v>
      </c>
      <c r="M22" s="6">
        <f>I22-F22</f>
        <v>2.7523148150066845E-2</v>
      </c>
      <c r="N22" s="7">
        <f>24*60*SUM($M22:$M22)</f>
        <v>39.633333336096257</v>
      </c>
      <c r="O22" s="7"/>
      <c r="P22" s="7"/>
      <c r="Q22" s="23"/>
      <c r="R22" s="23"/>
      <c r="S22" s="35">
        <f>SUM(U22:U22)/IF(AG22="EC",12,1)</f>
        <v>1</v>
      </c>
      <c r="T22" s="50" t="str">
        <f>IF(ISEVEN(LEFT(AD22,4)),"Southbound","NorthBound")</f>
        <v>Southbound</v>
      </c>
      <c r="U22" s="144">
        <f>IF(AG22="EC",COUNTIFS(Variables!$M$2:$M$19,IF(T22="NorthBound","&gt;=","&lt;=")&amp;Y22,Variables!$M$2:$M$19,IF(T22="NorthBound","&lt;=","&gt;=")&amp;Z22),COUNTIFS(Variables!$P$2:$P$19,IF(T22="NorthBound","&gt;=","&lt;=")&amp;Y22,Variables!$P$2:$P$19,IF(T22="NorthBound","&lt;=","&gt;=")&amp;Z22))</f>
        <v>12</v>
      </c>
      <c r="V22" s="98" t="str">
        <f>"https://search-rtdc-monitor-bjffxe2xuh6vdkpspy63sjmuny.us-east-1.es.amazonaws.com/_plugin/kibana/#/discover/Steve-Slow-Train-Analysis-(2080s-and-2083s)?_g=(refreshInterval:(display:Off,section:0,value:0),time:(from:'"&amp;TEXT(E22-1/24,"yyyy-MM-DD hh:mm:ss")&amp;"-0600',mode:absolute,to:'"&amp;TEXT(I22+1/24,"yyyy-MM-DD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amp;"%22')),sort:!(Time,asc))"</f>
        <v>https://search-rtdc-monitor-bjffxe2xuh6vdkpspy63sjmuny.us-east-1.es.amazonaws.com/_plugin/kibana/#/discover/Steve-Slow-Train-Analysis-(2080s-and-2083s)?_g=(refreshInterval:(display:Off,section:0,value:0),time:(from:'2016-10-13 04:39:47-0600',mode:absolute,to:'2016-10-13 07:21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2" s="52" t="str">
        <f>IF(AA22&lt;IF(AG22="EC",23,5.65),"Y","N")</f>
        <v>N</v>
      </c>
      <c r="X22" s="149">
        <f>VALUE(LEFT(AD22,4))-VALUE(LEFT(AD21,4))</f>
        <v>1</v>
      </c>
      <c r="Y22" s="67">
        <f>RIGHT(D22,LEN(D22)-4)/10000</f>
        <v>23.299800000000001</v>
      </c>
      <c r="Z22" s="67">
        <f>RIGHT(H22,LEN(H22)-4)/10000</f>
        <v>1.41E-2</v>
      </c>
      <c r="AA22" s="67">
        <f>ABS(Z22-Y22)</f>
        <v>23.285700000000002</v>
      </c>
      <c r="AB22" s="64" t="e">
        <f>VLOOKUP(A22,Enforcements!$C$7:$K$21,8,0)</f>
        <v>#N/A</v>
      </c>
      <c r="AC22" s="60" t="e">
        <f>VLOOKUP(A22,Enforcements!$C$7:$E$21,3,0)</f>
        <v>#N/A</v>
      </c>
      <c r="AD22" s="61" t="str">
        <f>IF(LEN(A22)=6,"0"&amp;A22,A22)</f>
        <v>0110-13</v>
      </c>
      <c r="AE22" s="91" t="str">
        <f>"aws s3 cp "&amp;s3_bucket&amp;"/RTDC"&amp;B22&amp;"/ "&amp;search_path&amp;"\RTDC"&amp;B22&amp;"\"&amp;TEXT(F22,"YYYY-MM-DD")&amp;" --exclude ""*"" --recursive --include ""*"&amp;TEXT(F22,"YYYYMMDD")&amp;"*"" &amp; """&amp;walkandungz&amp;""" "&amp;search_path&amp;"\RTDC"&amp;B22&amp;"\"&amp;TEXT(F22,"YYYY-MM-DD")
&amp;" &amp; "&amp;"aws s3 cp "&amp;s3_bucket&amp;"/RTDC"&amp;B22&amp;"/ "&amp;search_path&amp;"\RTDC"&amp;B22&amp;"\"&amp;TEXT(F22+1,"YYYY-MM-DD")&amp;" --exclude ""*"" --recursive --include ""*"&amp;TEXT(F22+1,"YYYYMMDD")&amp;"*"" &amp; """&amp;walkandungz&amp;""" "&amp;search_path&amp;"\RTDC"&amp;B22&amp;"\"&amp;TEXT(F22+1,"YYYY-MM-DD")</f>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2" s="88" t="str">
        <f>astrogrep_path&amp;" /spath="&amp;search_path&amp;" /stypes=""app*"&amp;B22&amp;"*"&amp;TEXT(I22-utc_offset/24,"YYYYMMDD")&amp;"*"" /stext="" "&amp;TEXT(I22-utc_offset/24,"HH")&amp;search_regexp&amp;""" /e /r /s"</f>
        <v>"C:\Program Files (x86)\AstroGrep\AstroGrep.exe" /spath="%USERPROFILE%\AppData\Local\Temp\OnboardLogs" /stypes="app*4004*20161013*" /stext=" 12:.+((SYSTEM_STATE.+slice.+state.+changed )|(ment ac)|(system.+state.+changed )|(\[timeout)|(PRM\|1\|D)|(kpr)|(kdp)|(\|lc)|(penalty))" /e /r /s</v>
      </c>
      <c r="AG22" s="1" t="str">
        <f>IFERROR(IF(VALUE(LEFT(AD22,2))&lt;=2,"EC",IF(OR(VALUE(LEFT(AD22,2))=8,VALUE(LEFT(AD22,2))=18),"NW","Other")),"Other")</f>
        <v>EC</v>
      </c>
      <c r="AH22" s="92" t="str">
        <f t="shared" si="2"/>
        <v>"%USERPROFILE%\Documents\GitHub\eaglep3\Utilities\RefineRTDCRunTimes.py" --tripid 110-13 --locoid 4004 --swversion DE.1.0.7.0 --startMP 204:232998 --initTime 2016-10-13T05:39:47 --startdatetime 2016-10-13T05:41:32 --delay 1 --endMP 204:141 --enddatetime 2016-10-13T06:21:10 --enforcementcount 1 &gt;&gt;C:\Users\stu\Documents\GitHub\eaglep3-reporting\EC\2016-10-13-refined-times.txt</v>
      </c>
      <c r="AI22" s="122" t="str">
        <f t="shared" si="3"/>
        <v>echo {"issue":{"subject":"","project_id":79,"tracker_id":40,"status_id":1,"priority_id":2,"assigned_to_id":23,"start_date":"2016-10-13","description":"","custom_fields":[{"id":1,"name":"Subdivision","value":"EC"},{"id":4,"name":"Milepost","value":"0.0141"},{"id":17,"name":"Train ID","value":"110-13"},{"id":16,"name":"Locomotive ID","value":"4004"},{"id":130,"name":"Impact","value":""},{"id":150,"name":"Time of Event (Mountain Time)","value":"06:21:10"},{"id":151,"name":"Denver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437</v>
      </c>
      <c r="B23" s="7">
        <v>4038</v>
      </c>
      <c r="C23" s="22" t="s">
        <v>99</v>
      </c>
      <c r="D23" s="22" t="s">
        <v>617</v>
      </c>
      <c r="E23" s="13">
        <v>42656.204953703702</v>
      </c>
      <c r="F23" s="13">
        <v>42656.20853009259</v>
      </c>
      <c r="G23" s="7">
        <v>2</v>
      </c>
      <c r="H23" s="13" t="s">
        <v>198</v>
      </c>
      <c r="I23" s="13">
        <v>42656.234375</v>
      </c>
      <c r="J23" s="7">
        <v>1</v>
      </c>
      <c r="K23" s="112" t="str">
        <f>IF(ISEVEN(B23),(B23-1)&amp;"/"&amp;B23,B23&amp;"/"&amp;(B23+1))</f>
        <v>4037/4038</v>
      </c>
      <c r="L23" s="22" t="str">
        <f>VLOOKUP(A23,'Trips&amp;Operators'!$C$1:$E$10000,3,FALSE)</f>
        <v>STARKS</v>
      </c>
      <c r="M23" s="6">
        <f>I23-F23</f>
        <v>2.584490740991896E-2</v>
      </c>
      <c r="N23" s="7">
        <f>24*60*SUM($M23:$M23)</f>
        <v>37.216666670283303</v>
      </c>
      <c r="O23" s="7"/>
      <c r="P23" s="7"/>
      <c r="Q23" s="23"/>
      <c r="R23" s="23"/>
      <c r="S23" s="35">
        <f>SUM(U23:U23)/IF(AG23="EC",12,1)</f>
        <v>1</v>
      </c>
      <c r="T23" s="50" t="str">
        <f>IF(ISEVEN(LEFT(AD23,4)),"Southbound","NorthBound")</f>
        <v>NorthBound</v>
      </c>
      <c r="U23" s="144">
        <f>IF(AG23="EC",COUNTIFS(Variables!$M$2:$M$19,IF(T23="NorthBound","&gt;=","&lt;=")&amp;Y23,Variables!$M$2:$M$19,IF(T23="NorthBound","&lt;=","&gt;=")&amp;Z23),COUNTIFS(Variables!$P$2:$P$19,IF(T23="NorthBound","&gt;=","&lt;=")&amp;Y23,Variables!$P$2:$P$19,IF(T23="NorthBound","&lt;=","&gt;=")&amp;Z23))</f>
        <v>12</v>
      </c>
      <c r="V23" s="98" t="str">
        <f>"https://search-rtdc-monitor-bjffxe2xuh6vdkpspy63sjmuny.us-east-1.es.amazonaws.com/_plugin/kibana/#/discover/Steve-Slow-Train-Analysis-(2080s-and-2083s)?_g=(refreshInterval:(display:Off,section:0,value:0),time:(from:'"&amp;TEXT(E23-1/24,"yyyy-MM-DD hh:mm:ss")&amp;"-0600',mode:absolute,to:'"&amp;TEXT(I23+1/24,"yyyy-MM-DD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23&amp;"%22')),sort:!(Time,asc))"</f>
        <v>https://search-rtdc-monitor-bjffxe2xuh6vdkpspy63sjmuny.us-east-1.es.amazonaws.com/_plugin/kibana/#/discover/Steve-Slow-Train-Analysis-(2080s-and-2083s)?_g=(refreshInterval:(display:Off,section:0,value:0),time:(from:'2016-10-13 03:55:08-0600',mode:absolute,to:'2016-10-13 06:37: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3" s="52" t="str">
        <f>IF(AA23&lt;IF(AG23="EC",23,5.65),"Y","N")</f>
        <v>N</v>
      </c>
      <c r="X23" s="149">
        <f>VALUE(LEFT(AD23,4))-VALUE(LEFT(AD22,4))</f>
        <v>1</v>
      </c>
      <c r="Y23" s="67">
        <f>RIGHT(D23,LEN(D23)-4)/10000</f>
        <v>7.7499999999999999E-2</v>
      </c>
      <c r="Z23" s="67">
        <f>RIGHT(H23,LEN(H23)-4)/10000</f>
        <v>23.329699999999999</v>
      </c>
      <c r="AA23" s="67">
        <f>ABS(Z23-Y23)</f>
        <v>23.252199999999998</v>
      </c>
      <c r="AB23" s="64" t="e">
        <f>VLOOKUP(A23,Enforcements!$C$7:$K$21,8,0)</f>
        <v>#N/A</v>
      </c>
      <c r="AC23" s="60" t="e">
        <f>VLOOKUP(A23,Enforcements!$C$7:$E$21,3,0)</f>
        <v>#N/A</v>
      </c>
      <c r="AD23" s="61" t="str">
        <f>IF(LEN(A23)=6,"0"&amp;A23,A23)</f>
        <v>0111-13</v>
      </c>
      <c r="AE23" s="91" t="str">
        <f>"aws s3 cp "&amp;s3_bucket&amp;"/RTDC"&amp;B23&amp;"/ "&amp;search_path&amp;"\RTDC"&amp;B23&amp;"\"&amp;TEXT(F23,"YYYY-MM-DD")&amp;" --exclude ""*"" --recursive --include ""*"&amp;TEXT(F23,"YYYYMMDD")&amp;"*"" &amp; """&amp;walkandungz&amp;""" "&amp;search_path&amp;"\RTDC"&amp;B23&amp;"\"&amp;TEXT(F23,"YYYY-MM-DD")
&amp;" &amp; "&amp;"aws s3 cp "&amp;s3_bucket&amp;"/RTDC"&amp;B23&amp;"/ "&amp;search_path&amp;"\RTDC"&amp;B23&amp;"\"&amp;TEXT(F23+1,"YYYY-MM-DD")&amp;" --exclude ""*"" --recursive --include ""*"&amp;TEXT(F23+1,"YYYYMMDD")&amp;"*"" &amp; """&amp;walkandungz&amp;""" "&amp;search_path&amp;"\RTDC"&amp;B23&amp;"\"&amp;TEXT(F23+1,"YYYY-MM-DD")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23" s="88" t="str">
        <f>astrogrep_path&amp;" /spath="&amp;search_path&amp;" /stypes=""app*"&amp;B23&amp;"*"&amp;TEXT(I23-utc_offset/24,"YYYYMMDD")&amp;"*"" /stext="" "&amp;TEXT(I23-utc_offset/24,"HH")&amp;search_regexp&amp;""" /e /r /s"</f>
        <v>"C:\Program Files (x86)\AstroGrep\AstroGrep.exe" /spath="%USERPROFILE%\AppData\Local\Temp\OnboardLogs" /stypes="app*4038*20161013*" /stext=" 11:.+((SYSTEM_STATE.+slice.+state.+changed )|(ment ac)|(system.+state.+changed )|(\[timeout)|(PRM\|1\|D)|(kpr)|(kdp)|(\|lc)|(penalty))" /e /r /s</v>
      </c>
      <c r="AG23" s="1" t="str">
        <f>IFERROR(IF(VALUE(LEFT(AD23,2))&lt;=2,"EC",IF(OR(VALUE(LEFT(AD23,2))=8,VALUE(LEFT(AD23,2))=18),"NW","Other")),"Other")</f>
        <v>EC</v>
      </c>
      <c r="AH23" s="92" t="str">
        <f t="shared" si="2"/>
        <v>"%USERPROFILE%\Documents\GitHub\eaglep3\Utilities\RefineRTDCRunTimes.py" --tripid 111-13 --locoid 4038 --swversion DE.1.0.7.0 --startMP 204:775 --initTime 2016-10-13T04:55:08 --startdatetime 2016-10-13T05:00:17 --delay 2 --endMP 204:233297 --enddatetime 2016-10-13T05:37:30 --enforcementcount 1 &gt;&gt;C:\Users\stu\Documents\GitHub\eaglep3-reporting\EC\2016-10-13-refined-times.txt</v>
      </c>
      <c r="AI23" s="122" t="str">
        <f t="shared" si="3"/>
        <v>echo {"issue":{"subject":"","project_id":79,"tracker_id":40,"status_id":1,"priority_id":2,"assigned_to_id":23,"start_date":"2016-10-13","description":"","custom_fields":[{"id":1,"name":"Subdivision","value":"EC"},{"id":4,"name":"Milepost","value":"23.3297"},{"id":17,"name":"Train ID","value":"111-13"},{"id":16,"name":"Locomotive ID","value":"4038"},{"id":130,"name":"Impact","value":""},{"id":150,"name":"Time of Event (Mountain Time)","value":"05:37:30"},{"id":151,"name":"Denver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446</v>
      </c>
      <c r="B24" s="7">
        <v>4037</v>
      </c>
      <c r="C24" s="22" t="s">
        <v>99</v>
      </c>
      <c r="D24" s="22" t="s">
        <v>287</v>
      </c>
      <c r="E24" s="13">
        <v>42656.2421412037</v>
      </c>
      <c r="F24" s="13">
        <v>42656.247430555559</v>
      </c>
      <c r="G24" s="7">
        <v>1</v>
      </c>
      <c r="H24" s="13" t="s">
        <v>270</v>
      </c>
      <c r="I24" s="13">
        <v>42656.274375000001</v>
      </c>
      <c r="J24" s="7">
        <v>1</v>
      </c>
      <c r="K24" s="112" t="str">
        <f>IF(ISEVEN(B24),(B24-1)&amp;"/"&amp;B24,B24&amp;"/"&amp;(B24+1))</f>
        <v>4037/4038</v>
      </c>
      <c r="L24" s="22" t="str">
        <f>VLOOKUP(A24,'Trips&amp;Operators'!$C$1:$E$10000,3,FALSE)</f>
        <v>STARKS</v>
      </c>
      <c r="M24" s="6">
        <f>I24-F24</f>
        <v>2.6944444442051463E-2</v>
      </c>
      <c r="N24" s="7">
        <f>24*60*SUM($M24:$M24)</f>
        <v>38.799999996554106</v>
      </c>
      <c r="O24" s="7"/>
      <c r="P24" s="7"/>
      <c r="Q24" s="23"/>
      <c r="R24" s="23"/>
      <c r="S24" s="35">
        <f>SUM(U24:U24)/IF(AG24="EC",12,1)</f>
        <v>1</v>
      </c>
      <c r="T24" s="50" t="str">
        <f>IF(ISEVEN(LEFT(AD24,4)),"Southbound","NorthBound")</f>
        <v>Southbound</v>
      </c>
      <c r="U24" s="144">
        <f>IF(AG24="EC",COUNTIFS(Variables!$M$2:$M$19,IF(T24="NorthBound","&gt;=","&lt;=")&amp;Y24,Variables!$M$2:$M$19,IF(T24="NorthBound","&lt;=","&gt;=")&amp;Z24),COUNTIFS(Variables!$P$2:$P$19,IF(T24="NorthBound","&gt;=","&lt;=")&amp;Y24,Variables!$P$2:$P$19,IF(T24="NorthBound","&lt;=","&gt;=")&amp;Z24))</f>
        <v>12</v>
      </c>
      <c r="V24" s="98" t="str">
        <f>"https://search-rtdc-monitor-bjffxe2xuh6vdkpspy63sjmuny.us-east-1.es.amazonaws.com/_plugin/kibana/#/discover/Steve-Slow-Train-Analysis-(2080s-and-2083s)?_g=(refreshInterval:(display:Off,section:0,value:0),time:(from:'"&amp;TEXT(E24-1/24,"yyyy-MM-DD hh:mm:ss")&amp;"-0600',mode:absolute,to:'"&amp;TEXT(I24+1/24,"yyyy-MM-DD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24&amp;"%22')),sort:!(Time,asc))"</f>
        <v>https://search-rtdc-monitor-bjffxe2xuh6vdkpspy63sjmuny.us-east-1.es.amazonaws.com/_plugin/kibana/#/discover/Steve-Slow-Train-Analysis-(2080s-and-2083s)?_g=(refreshInterval:(display:Off,section:0,value:0),time:(from:'2016-10-13 04:48:41-0600',mode:absolute,to:'2016-10-13 07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24" s="52" t="str">
        <f>IF(AA24&lt;IF(AG24="EC",23,5.65),"Y","N")</f>
        <v>N</v>
      </c>
      <c r="X24" s="149">
        <f>VALUE(LEFT(AD24,4))-VALUE(LEFT(AD23,4))</f>
        <v>1</v>
      </c>
      <c r="Y24" s="67">
        <f>RIGHT(D24,LEN(D24)-4)/10000</f>
        <v>23.2973</v>
      </c>
      <c r="Z24" s="67">
        <f>RIGHT(H24,LEN(H24)-4)/10000</f>
        <v>1.43E-2</v>
      </c>
      <c r="AA24" s="67">
        <f>ABS(Z24-Y24)</f>
        <v>23.283000000000001</v>
      </c>
      <c r="AB24" s="64" t="e">
        <f>VLOOKUP(A24,Enforcements!$C$7:$K$21,8,0)</f>
        <v>#N/A</v>
      </c>
      <c r="AC24" s="60" t="e">
        <f>VLOOKUP(A24,Enforcements!$C$7:$E$21,3,0)</f>
        <v>#N/A</v>
      </c>
      <c r="AD24" s="61" t="str">
        <f>IF(LEN(A24)=6,"0"&amp;A24,A24)</f>
        <v>0112-13</v>
      </c>
      <c r="AE24" s="91" t="str">
        <f>"aws s3 cp "&amp;s3_bucket&amp;"/RTDC"&amp;B24&amp;"/ "&amp;search_path&amp;"\RTDC"&amp;B24&amp;"\"&amp;TEXT(F24,"YYYY-MM-DD")&amp;" --exclude ""*"" --recursive --include ""*"&amp;TEXT(F24,"YYYYMMDD")&amp;"*"" &amp; """&amp;walkandungz&amp;""" "&amp;search_path&amp;"\RTDC"&amp;B24&amp;"\"&amp;TEXT(F24,"YYYY-MM-DD")
&amp;" &amp; "&amp;"aws s3 cp "&amp;s3_bucket&amp;"/RTDC"&amp;B24&amp;"/ "&amp;search_path&amp;"\RTDC"&amp;B24&amp;"\"&amp;TEXT(F24+1,"YYYY-MM-DD")&amp;" --exclude ""*"" --recursive --include ""*"&amp;TEXT(F24+1,"YYYYMMDD")&amp;"*"" &amp; """&amp;walkandungz&amp;""" "&amp;search_path&amp;"\RTDC"&amp;B24&amp;"\"&amp;TEXT(F24+1,"YYYY-MM-DD")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24" s="88" t="str">
        <f>astrogrep_path&amp;" /spath="&amp;search_path&amp;" /stypes=""app*"&amp;B24&amp;"*"&amp;TEXT(I24-utc_offset/24,"YYYYMMDD")&amp;"*"" /stext="" "&amp;TEXT(I24-utc_offset/24,"HH")&amp;search_regexp&amp;""" /e /r /s"</f>
        <v>"C:\Program Files (x86)\AstroGrep\AstroGrep.exe" /spath="%USERPROFILE%\AppData\Local\Temp\OnboardLogs" /stypes="app*4037*20161013*" /stext=" 12:.+((SYSTEM_STATE.+slice.+state.+changed )|(ment ac)|(system.+state.+changed )|(\[timeout)|(PRM\|1\|D)|(kpr)|(kdp)|(\|lc)|(penalty))" /e /r /s</v>
      </c>
      <c r="AG24" s="1" t="str">
        <f>IFERROR(IF(VALUE(LEFT(AD24,2))&lt;=2,"EC",IF(OR(VALUE(LEFT(AD24,2))=8,VALUE(LEFT(AD24,2))=18),"NW","Other")),"Other")</f>
        <v>EC</v>
      </c>
      <c r="AH24" s="92" t="str">
        <f t="shared" si="2"/>
        <v>"%USERPROFILE%\Documents\GitHub\eaglep3\Utilities\RefineRTDCRunTimes.py" --tripid 112-13 --locoid 4037 --swversion DE.1.0.7.0 --startMP 204:232973 --initTime 2016-10-13T05:48:41 --startdatetime 2016-10-13T05:56:18 --delay 1 --endMP 204:143 --enddatetime 2016-10-13T06:35:06 --enforcementcount 1 &gt;&gt;C:\Users\stu\Documents\GitHub\eaglep3-reporting\EC\2016-10-13-refined-times.txt</v>
      </c>
      <c r="AI24" s="122" t="str">
        <f t="shared" si="3"/>
        <v>echo {"issue":{"subject":"","project_id":79,"tracker_id":40,"status_id":1,"priority_id":2,"assigned_to_id":23,"start_date":"2016-10-13","description":"","custom_fields":[{"id":1,"name":"Subdivision","value":"EC"},{"id":4,"name":"Milepost","value":"0.0143"},{"id":17,"name":"Train ID","value":"112-13"},{"id":16,"name":"Locomotive ID","value":"4037"},{"id":130,"name":"Impact","value":""},{"id":150,"name":"Time of Event (Mountain Time)","value":"06:35:06"},{"id":151,"name":"Denver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440</v>
      </c>
      <c r="B25" s="7">
        <v>4002</v>
      </c>
      <c r="C25" s="22" t="s">
        <v>99</v>
      </c>
      <c r="D25" s="22" t="s">
        <v>357</v>
      </c>
      <c r="E25" s="13">
        <v>42656.218182870369</v>
      </c>
      <c r="F25" s="13">
        <v>42656.220520833333</v>
      </c>
      <c r="G25" s="7">
        <v>1</v>
      </c>
      <c r="H25" s="13" t="s">
        <v>281</v>
      </c>
      <c r="I25" s="13">
        <v>42656.246111111112</v>
      </c>
      <c r="J25" s="7">
        <v>1</v>
      </c>
      <c r="K25" s="112" t="str">
        <f>IF(ISEVEN(B25),(B25-1)&amp;"/"&amp;B25,B25&amp;"/"&amp;(B25+1))</f>
        <v>4001/4002</v>
      </c>
      <c r="L25" s="22" t="str">
        <f>VLOOKUP(A25,'Trips&amp;Operators'!$C$1:$E$10000,3,FALSE)</f>
        <v>MAELZER</v>
      </c>
      <c r="M25" s="6">
        <f>I25-F25</f>
        <v>2.5590277778974269E-2</v>
      </c>
      <c r="N25" s="7">
        <f>24*60*SUM($M25:$M25)</f>
        <v>36.850000001722947</v>
      </c>
      <c r="O25" s="7"/>
      <c r="P25" s="7"/>
      <c r="Q25" s="23"/>
      <c r="R25" s="23"/>
      <c r="S25" s="35">
        <f>SUM(U25:U25)/IF(AG25="EC",12,1)</f>
        <v>1</v>
      </c>
      <c r="T25" s="50" t="str">
        <f>IF(ISEVEN(LEFT(AD25,4)),"Southbound","NorthBound")</f>
        <v>NorthBound</v>
      </c>
      <c r="U25" s="144">
        <f>IF(AG25="EC",COUNTIFS(Variables!$M$2:$M$19,IF(T25="NorthBound","&gt;=","&lt;=")&amp;Y25,Variables!$M$2:$M$19,IF(T25="NorthBound","&lt;=","&gt;=")&amp;Z25),COUNTIFS(Variables!$P$2:$P$19,IF(T25="NorthBound","&gt;=","&lt;=")&amp;Y25,Variables!$P$2:$P$19,IF(T25="NorthBound","&lt;=","&gt;=")&amp;Z25))</f>
        <v>12</v>
      </c>
      <c r="V25" s="98" t="str">
        <f>"https://search-rtdc-monitor-bjffxe2xuh6vdkpspy63sjmuny.us-east-1.es.amazonaws.com/_plugin/kibana/#/discover/Steve-Slow-Train-Analysis-(2080s-and-2083s)?_g=(refreshInterval:(display:Off,section:0,value:0),time:(from:'"&amp;TEXT(E25-1/24,"yyyy-MM-DD hh:mm:ss")&amp;"-0600',mode:absolute,to:'"&amp;TEXT(I25+1/24,"yyyy-MM-DD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25&amp;"%22')),sort:!(Time,asc))"</f>
        <v>https://search-rtdc-monitor-bjffxe2xuh6vdkpspy63sjmuny.us-east-1.es.amazonaws.com/_plugin/kibana/#/discover/Steve-Slow-Train-Analysis-(2080s-and-2083s)?_g=(refreshInterval:(display:Off,section:0,value:0),time:(from:'2016-10-13 04:14:11-0600',mode:absolute,to:'2016-10-13 06: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5" s="52" t="str">
        <f>IF(AA25&lt;IF(AG25="EC",23,5.65),"Y","N")</f>
        <v>N</v>
      </c>
      <c r="X25" s="149">
        <f>VALUE(LEFT(AD25,4))-VALUE(LEFT(AD24,4))</f>
        <v>1</v>
      </c>
      <c r="Y25" s="67">
        <f>RIGHT(D25,LEN(D25)-4)/10000</f>
        <v>4.5100000000000001E-2</v>
      </c>
      <c r="Z25" s="67">
        <f>RIGHT(H25,LEN(H25)-4)/10000</f>
        <v>23.33</v>
      </c>
      <c r="AA25" s="67">
        <f>ABS(Z25-Y25)</f>
        <v>23.284899999999997</v>
      </c>
      <c r="AB25" s="64" t="e">
        <f>VLOOKUP(A25,Enforcements!$C$7:$K$21,8,0)</f>
        <v>#N/A</v>
      </c>
      <c r="AC25" s="60" t="e">
        <f>VLOOKUP(A25,Enforcements!$C$7:$E$21,3,0)</f>
        <v>#N/A</v>
      </c>
      <c r="AD25" s="61" t="str">
        <f>IF(LEN(A25)=6,"0"&amp;A25,A25)</f>
        <v>0113-13</v>
      </c>
      <c r="AE25" s="91" t="str">
        <f>"aws s3 cp "&amp;s3_bucket&amp;"/RTDC"&amp;B25&amp;"/ "&amp;search_path&amp;"\RTDC"&amp;B25&amp;"\"&amp;TEXT(F25,"YYYY-MM-DD")&amp;" --exclude ""*"" --recursive --include ""*"&amp;TEXT(F25,"YYYYMMDD")&amp;"*"" &amp; """&amp;walkandungz&amp;""" "&amp;search_path&amp;"\RTDC"&amp;B25&amp;"\"&amp;TEXT(F25,"YYYY-MM-DD")
&amp;" &amp; "&amp;"aws s3 cp "&amp;s3_bucket&amp;"/RTDC"&amp;B25&amp;"/ "&amp;search_path&amp;"\RTDC"&amp;B25&amp;"\"&amp;TEXT(F25+1,"YYYY-MM-DD")&amp;" --exclude ""*"" --recursive --include ""*"&amp;TEXT(F25+1,"YYYYMMDD")&amp;"*"" &amp; """&amp;walkandungz&amp;""" "&amp;search_path&amp;"\RTDC"&amp;B25&amp;"\"&amp;TEXT(F25+1,"YYYY-MM-DD")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25" s="88" t="str">
        <f>astrogrep_path&amp;" /spath="&amp;search_path&amp;" /stypes=""app*"&amp;B25&amp;"*"&amp;TEXT(I25-utc_offset/24,"YYYYMMDD")&amp;"*"" /stext="" "&amp;TEXT(I25-utc_offset/24,"HH")&amp;search_regexp&amp;""" /e /r /s"</f>
        <v>"C:\Program Files (x86)\AstroGrep\AstroGrep.exe" /spath="%USERPROFILE%\AppData\Local\Temp\OnboardLogs" /stypes="app*4002*20161013*" /stext=" 11:.+((SYSTEM_STATE.+slice.+state.+changed )|(ment ac)|(system.+state.+changed )|(\[timeout)|(PRM\|1\|D)|(kpr)|(kdp)|(\|lc)|(penalty))" /e /r /s</v>
      </c>
      <c r="AG25" s="1" t="str">
        <f>IFERROR(IF(VALUE(LEFT(AD25,2))&lt;=2,"EC",IF(OR(VALUE(LEFT(AD25,2))=8,VALUE(LEFT(AD25,2))=18),"NW","Other")),"Other")</f>
        <v>EC</v>
      </c>
      <c r="AH25" s="92" t="str">
        <f t="shared" si="2"/>
        <v>"%USERPROFILE%\Documents\GitHub\eaglep3\Utilities\RefineRTDCRunTimes.py" --tripid 113-13 --locoid 4002 --swversion DE.1.0.7.0 --startMP 204:451 --initTime 2016-10-13T05:14:11 --startdatetime 2016-10-13T05:17:33 --delay 1 --endMP 204:233300 --enddatetime 2016-10-13T05:54:24 --enforcementcount 1 &gt;&gt;C:\Users\stu\Documents\GitHub\eaglep3-reporting\EC\2016-10-13-refined-times.txt</v>
      </c>
      <c r="AI25" s="122" t="str">
        <f t="shared" si="3"/>
        <v>echo {"issue":{"subject":"","project_id":79,"tracker_id":40,"status_id":1,"priority_id":2,"assigned_to_id":23,"start_date":"2016-10-13","description":"","custom_fields":[{"id":1,"name":"Subdivision","value":"EC"},{"id":4,"name":"Milepost","value":"23.33"},{"id":17,"name":"Train ID","value":"113-13"},{"id":16,"name":"Locomotive ID","value":"4002"},{"id":130,"name":"Impact","value":""},{"id":150,"name":"Time of Event (Mountain Time)","value":"05:54:24"},{"id":151,"name":"Denver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449</v>
      </c>
      <c r="B26" s="7">
        <v>4001</v>
      </c>
      <c r="C26" s="22" t="s">
        <v>99</v>
      </c>
      <c r="D26" s="22" t="s">
        <v>277</v>
      </c>
      <c r="E26" s="13">
        <v>42656.256215277775</v>
      </c>
      <c r="F26" s="13">
        <v>42656.258043981485</v>
      </c>
      <c r="G26" s="7">
        <v>1</v>
      </c>
      <c r="H26" s="13" t="s">
        <v>177</v>
      </c>
      <c r="I26" s="13">
        <v>42656.28502314815</v>
      </c>
      <c r="J26" s="7">
        <v>1</v>
      </c>
      <c r="K26" s="112" t="str">
        <f>IF(ISEVEN(B26),(B26-1)&amp;"/"&amp;B26,B26&amp;"/"&amp;(B26+1))</f>
        <v>4001/4002</v>
      </c>
      <c r="L26" s="22" t="str">
        <f>VLOOKUP(A26,'Trips&amp;Operators'!$C$1:$E$10000,3,FALSE)</f>
        <v>MAELZER</v>
      </c>
      <c r="M26" s="6">
        <f>I26-F26</f>
        <v>2.6979166665114462E-2</v>
      </c>
      <c r="N26" s="7">
        <f>24*60*SUM($M26:$M26)</f>
        <v>38.849999997764826</v>
      </c>
      <c r="O26" s="7"/>
      <c r="P26" s="7"/>
      <c r="Q26" s="23"/>
      <c r="R26" s="23"/>
      <c r="S26" s="35">
        <f>SUM(U26:U26)/IF(AG26="EC",12,1)</f>
        <v>1</v>
      </c>
      <c r="T26" s="50" t="str">
        <f>IF(ISEVEN(LEFT(AD26,4)),"Southbound","NorthBound")</f>
        <v>Southbound</v>
      </c>
      <c r="U26" s="144">
        <f>IF(AG26="EC",COUNTIFS(Variables!$M$2:$M$19,IF(T26="NorthBound","&gt;=","&lt;=")&amp;Y26,Variables!$M$2:$M$19,IF(T26="NorthBound","&lt;=","&gt;=")&amp;Z26),COUNTIFS(Variables!$P$2:$P$19,IF(T26="NorthBound","&gt;=","&lt;=")&amp;Y26,Variables!$P$2:$P$19,IF(T26="NorthBound","&lt;=","&gt;=")&amp;Z26))</f>
        <v>12</v>
      </c>
      <c r="V26" s="98" t="str">
        <f>"https://search-rtdc-monitor-bjffxe2xuh6vdkpspy63sjmuny.us-east-1.es.amazonaws.com/_plugin/kibana/#/discover/Steve-Slow-Train-Analysis-(2080s-and-2083s)?_g=(refreshInterval:(display:Off,section:0,value:0),time:(from:'"&amp;TEXT(E26-1/24,"yyyy-MM-DD hh:mm:ss")&amp;"-0600',mode:absolute,to:'"&amp;TEXT(I26+1/24,"yyyy-MM-DD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26&amp;"%22')),sort:!(Time,asc))"</f>
        <v>https://search-rtdc-monitor-bjffxe2xuh6vdkpspy63sjmuny.us-east-1.es.amazonaws.com/_plugin/kibana/#/discover/Steve-Slow-Train-Analysis-(2080s-and-2083s)?_g=(refreshInterval:(display:Off,section:0,value:0),time:(from:'2016-10-13 05:08:57-0600',mode:absolute,to:'2016-10-13 07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6" s="52" t="str">
        <f>IF(AA26&lt;IF(AG26="EC",23,5.65),"Y","N")</f>
        <v>N</v>
      </c>
      <c r="X26" s="149">
        <f>VALUE(LEFT(AD26,4))-VALUE(LEFT(AD25,4))</f>
        <v>1</v>
      </c>
      <c r="Y26" s="67">
        <f>RIGHT(D26,LEN(D26)-4)/10000</f>
        <v>23.299299999999999</v>
      </c>
      <c r="Z26" s="67">
        <f>RIGHT(H26,LEN(H26)-4)/10000</f>
        <v>1.52E-2</v>
      </c>
      <c r="AA26" s="67">
        <f>ABS(Z26-Y26)</f>
        <v>23.284099999999999</v>
      </c>
      <c r="AB26" s="64" t="e">
        <f>VLOOKUP(A26,Enforcements!$C$7:$K$21,8,0)</f>
        <v>#N/A</v>
      </c>
      <c r="AC26" s="60" t="e">
        <f>VLOOKUP(A26,Enforcements!$C$7:$E$21,3,0)</f>
        <v>#N/A</v>
      </c>
      <c r="AD26" s="61" t="str">
        <f>IF(LEN(A26)=6,"0"&amp;A26,A26)</f>
        <v>0114-13</v>
      </c>
      <c r="AE26" s="91" t="str">
        <f>"aws s3 cp "&amp;s3_bucket&amp;"/RTDC"&amp;B26&amp;"/ "&amp;search_path&amp;"\RTDC"&amp;B26&amp;"\"&amp;TEXT(F26,"YYYY-MM-DD")&amp;" --exclude ""*"" --recursive --include ""*"&amp;TEXT(F26,"YYYYMMDD")&amp;"*"" &amp; """&amp;walkandungz&amp;""" "&amp;search_path&amp;"\RTDC"&amp;B26&amp;"\"&amp;TEXT(F26,"YYYY-MM-DD")
&amp;" &amp; "&amp;"aws s3 cp "&amp;s3_bucket&amp;"/RTDC"&amp;B26&amp;"/ "&amp;search_path&amp;"\RTDC"&amp;B26&amp;"\"&amp;TEXT(F26+1,"YYYY-MM-DD")&amp;" --exclude ""*"" --recursive --include ""*"&amp;TEXT(F26+1,"YYYYMMDD")&amp;"*"" &amp; """&amp;walkandungz&amp;""" "&amp;search_path&amp;"\RTDC"&amp;B26&amp;"\"&amp;TEXT(F26+1,"YYYY-MM-DD")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6" s="88" t="str">
        <f>astrogrep_path&amp;" /spath="&amp;search_path&amp;" /stypes=""app*"&amp;B26&amp;"*"&amp;TEXT(I26-utc_offset/24,"YYYYMMDD")&amp;"*"" /stext="" "&amp;TEXT(I26-utc_offset/24,"HH")&amp;search_regexp&amp;""" /e /r /s"</f>
        <v>"C:\Program Files (x86)\AstroGrep\AstroGrep.exe" /spath="%USERPROFILE%\AppData\Local\Temp\OnboardLogs" /stypes="app*4001*20161013*" /stext=" 12:.+((SYSTEM_STATE.+slice.+state.+changed )|(ment ac)|(system.+state.+changed )|(\[timeout)|(PRM\|1\|D)|(kpr)|(kdp)|(\|lc)|(penalty))" /e /r /s</v>
      </c>
      <c r="AG26" s="1" t="str">
        <f>IFERROR(IF(VALUE(LEFT(AD26,2))&lt;=2,"EC",IF(OR(VALUE(LEFT(AD26,2))=8,VALUE(LEFT(AD26,2))=18),"NW","Other")),"Other")</f>
        <v>EC</v>
      </c>
      <c r="AH26" s="92" t="str">
        <f t="shared" si="2"/>
        <v>"%USERPROFILE%\Documents\GitHub\eaglep3\Utilities\RefineRTDCRunTimes.py" --tripid 114-13 --locoid 4001 --swversion DE.1.0.7.0 --startMP 204:232993 --initTime 2016-10-13T06:08:57 --startdatetime 2016-10-13T06:11:35 --delay 1 --endMP 204:152 --enddatetime 2016-10-13T06:50:26 --enforcementcount 1 &gt;&gt;C:\Users\stu\Documents\GitHub\eaglep3-reporting\EC\2016-10-13-refined-times.txt</v>
      </c>
      <c r="AI26" s="122" t="str">
        <f t="shared" si="3"/>
        <v>echo {"issue":{"subject":"","project_id":79,"tracker_id":40,"status_id":1,"priority_id":2,"assigned_to_id":23,"start_date":"2016-10-13","description":"","custom_fields":[{"id":1,"name":"Subdivision","value":"EC"},{"id":4,"name":"Milepost","value":"0.0152"},{"id":17,"name":"Train ID","value":"114-13"},{"id":16,"name":"Locomotive ID","value":"4001"},{"id":130,"name":"Impact","value":""},{"id":150,"name":"Time of Event (Mountain Time)","value":"06:50:26"},{"id":151,"name":"Denver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442</v>
      </c>
      <c r="B27" s="7">
        <v>4025</v>
      </c>
      <c r="C27" s="22" t="s">
        <v>99</v>
      </c>
      <c r="D27" s="22" t="s">
        <v>618</v>
      </c>
      <c r="E27" s="13">
        <v>42656.225902777776</v>
      </c>
      <c r="F27" s="13">
        <v>42656.229675925926</v>
      </c>
      <c r="G27" s="7">
        <v>1</v>
      </c>
      <c r="H27" s="13" t="s">
        <v>310</v>
      </c>
      <c r="I27" s="13">
        <v>42656.254374999997</v>
      </c>
      <c r="J27" s="7">
        <v>1</v>
      </c>
      <c r="K27" s="112" t="str">
        <f>IF(ISEVEN(B27),(B27-1)&amp;"/"&amp;B27,B27&amp;"/"&amp;(B27+1))</f>
        <v>4025/4026</v>
      </c>
      <c r="L27" s="22" t="str">
        <f>VLOOKUP(A27,'Trips&amp;Operators'!$C$1:$E$10000,3,FALSE)</f>
        <v>SANTIZO</v>
      </c>
      <c r="M27" s="6">
        <f>I27-F27</f>
        <v>2.4699074070667848E-2</v>
      </c>
      <c r="N27" s="7">
        <f>24*60*SUM($M27:$M27)</f>
        <v>35.566666661761701</v>
      </c>
      <c r="O27" s="7"/>
      <c r="P27" s="7"/>
      <c r="Q27" s="23"/>
      <c r="R27" s="23"/>
      <c r="S27" s="35">
        <f>SUM(U27:U27)/IF(AG27="EC",12,1)</f>
        <v>1</v>
      </c>
      <c r="T27" s="50" t="str">
        <f>IF(ISEVEN(LEFT(AD27,4)),"Southbound","NorthBound")</f>
        <v>NorthBound</v>
      </c>
      <c r="U27" s="144">
        <f>IF(AG27="EC",COUNTIFS(Variables!$M$2:$M$19,IF(T27="NorthBound","&gt;=","&lt;=")&amp;Y27,Variables!$M$2:$M$19,IF(T27="NorthBound","&lt;=","&gt;=")&amp;Z27),COUNTIFS(Variables!$P$2:$P$19,IF(T27="NorthBound","&gt;=","&lt;=")&amp;Y27,Variables!$P$2:$P$19,IF(T27="NorthBound","&lt;=","&gt;=")&amp;Z27))</f>
        <v>12</v>
      </c>
      <c r="V27" s="98" t="str">
        <f>"https://search-rtdc-monitor-bjffxe2xuh6vdkpspy63sjmuny.us-east-1.es.amazonaws.com/_plugin/kibana/#/discover/Steve-Slow-Train-Analysis-(2080s-and-2083s)?_g=(refreshInterval:(display:Off,section:0,value:0),time:(from:'"&amp;TEXT(E27-1/24,"yyyy-MM-DD hh:mm:ss")&amp;"-0600',mode:absolute,to:'"&amp;TEXT(I27+1/24,"yyyy-MM-DD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27&amp;"%22')),sort:!(Time,asc))"</f>
        <v>https://search-rtdc-monitor-bjffxe2xuh6vdkpspy63sjmuny.us-east-1.es.amazonaws.com/_plugin/kibana/#/discover/Steve-Slow-Train-Analysis-(2080s-and-2083s)?_g=(refreshInterval:(display:Off,section:0,value:0),time:(from:'2016-10-13 04:25:18-0600',mode:absolute,to:'2016-10-13 07: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7" s="52" t="str">
        <f>IF(AA27&lt;IF(AG27="EC",23,5.65),"Y","N")</f>
        <v>N</v>
      </c>
      <c r="X27" s="149">
        <f>VALUE(LEFT(AD27,4))-VALUE(LEFT(AD26,4))</f>
        <v>1</v>
      </c>
      <c r="Y27" s="67">
        <f>RIGHT(D27,LEN(D27)-4)/10000</f>
        <v>7.4800000000000005E-2</v>
      </c>
      <c r="Z27" s="67">
        <f>RIGHT(H27,LEN(H27)-4)/10000</f>
        <v>23.329899999999999</v>
      </c>
      <c r="AA27" s="67">
        <f>ABS(Z27-Y27)</f>
        <v>23.255099999999999</v>
      </c>
      <c r="AB27" s="64" t="e">
        <f>VLOOKUP(A27,Enforcements!$C$7:$K$21,8,0)</f>
        <v>#N/A</v>
      </c>
      <c r="AC27" s="60" t="e">
        <f>VLOOKUP(A27,Enforcements!$C$7:$E$21,3,0)</f>
        <v>#N/A</v>
      </c>
      <c r="AD27" s="61" t="str">
        <f>IF(LEN(A27)=6,"0"&amp;A27,A27)</f>
        <v>0115-13</v>
      </c>
      <c r="AE27" s="91" t="str">
        <f>"aws s3 cp "&amp;s3_bucket&amp;"/RTDC"&amp;B27&amp;"/ "&amp;search_path&amp;"\RTDC"&amp;B27&amp;"\"&amp;TEXT(F27,"YYYY-MM-DD")&amp;" --exclude ""*"" --recursive --include ""*"&amp;TEXT(F27,"YYYYMMDD")&amp;"*"" &amp; """&amp;walkandungz&amp;""" "&amp;search_path&amp;"\RTDC"&amp;B27&amp;"\"&amp;TEXT(F27,"YYYY-MM-DD")
&amp;" &amp; "&amp;"aws s3 cp "&amp;s3_bucket&amp;"/RTDC"&amp;B27&amp;"/ "&amp;search_path&amp;"\RTDC"&amp;B27&amp;"\"&amp;TEXT(F27+1,"YYYY-MM-DD")&amp;" --exclude ""*"" --recursive --include ""*"&amp;TEXT(F27+1,"YYYYMMDD")&amp;"*"" &amp; """&amp;walkandungz&amp;""" "&amp;search_path&amp;"\RTDC"&amp;B27&amp;"\"&amp;TEXT(F27+1,"YYYY-MM-DD")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27" s="88" t="str">
        <f>astrogrep_path&amp;" /spath="&amp;search_path&amp;" /stypes=""app*"&amp;B27&amp;"*"&amp;TEXT(I27-utc_offset/24,"YYYYMMDD")&amp;"*"" /stext="" "&amp;TEXT(I27-utc_offset/24,"HH")&amp;search_regexp&amp;""" /e /r /s"</f>
        <v>"C:\Program Files (x86)\AstroGrep\AstroGrep.exe" /spath="%USERPROFILE%\AppData\Local\Temp\OnboardLogs" /stypes="app*4025*20161013*" /stext=" 12:.+((SYSTEM_STATE.+slice.+state.+changed )|(ment ac)|(system.+state.+changed )|(\[timeout)|(PRM\|1\|D)|(kpr)|(kdp)|(\|lc)|(penalty))" /e /r /s</v>
      </c>
      <c r="AG27" s="1" t="str">
        <f>IFERROR(IF(VALUE(LEFT(AD27,2))&lt;=2,"EC",IF(OR(VALUE(LEFT(AD27,2))=8,VALUE(LEFT(AD27,2))=18),"NW","Other")),"Other")</f>
        <v>EC</v>
      </c>
      <c r="AH27" s="92" t="str">
        <f t="shared" si="2"/>
        <v>"%USERPROFILE%\Documents\GitHub\eaglep3\Utilities\RefineRTDCRunTimes.py" --tripid 115-13 --locoid 4025 --swversion DE.1.0.7.0 --startMP 204:748 --initTime 2016-10-13T05:25:18 --startdatetime 2016-10-13T05:30:44 --delay 1 --endMP 204:233299 --enddatetime 2016-10-13T06:06:18 --enforcementcount 1 &gt;&gt;C:\Users\stu\Documents\GitHub\eaglep3-reporting\EC\2016-10-13-refined-times.txt</v>
      </c>
      <c r="AI27" s="122" t="str">
        <f t="shared" si="3"/>
        <v>echo {"issue":{"subject":"","project_id":79,"tracker_id":40,"status_id":1,"priority_id":2,"assigned_to_id":23,"start_date":"2016-10-13","description":"","custom_fields":[{"id":1,"name":"Subdivision","value":"EC"},{"id":4,"name":"Milepost","value":"23.3299"},{"id":17,"name":"Train ID","value":"115-13"},{"id":16,"name":"Locomotive ID","value":"4025"},{"id":130,"name":"Impact","value":""},{"id":150,"name":"Time of Event (Mountain Time)","value":"06:06:18"},{"id":151,"name":"Denver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381</v>
      </c>
      <c r="B28" s="7">
        <v>4026</v>
      </c>
      <c r="C28" s="22" t="s">
        <v>99</v>
      </c>
      <c r="D28" s="22" t="s">
        <v>324</v>
      </c>
      <c r="E28" s="13">
        <v>42656.25582175926</v>
      </c>
      <c r="F28" s="13">
        <v>42656.268611111111</v>
      </c>
      <c r="G28" s="7">
        <v>1</v>
      </c>
      <c r="H28" s="13" t="s">
        <v>619</v>
      </c>
      <c r="I28" s="13">
        <v>42656.295601851853</v>
      </c>
      <c r="J28" s="7">
        <v>1</v>
      </c>
      <c r="K28" s="112" t="str">
        <f>IF(ISEVEN(B28),(B28-1)&amp;"/"&amp;B28,B28&amp;"/"&amp;(B28+1))</f>
        <v>4025/4026</v>
      </c>
      <c r="L28" s="22" t="str">
        <f>VLOOKUP(A28,'Trips&amp;Operators'!$C$1:$E$10000,3,FALSE)</f>
        <v>SANTIZO</v>
      </c>
      <c r="M28" s="6">
        <f>I28-F28</f>
        <v>2.6990740741894115E-2</v>
      </c>
      <c r="N28" s="7">
        <f>24*60*SUM($M28:$M28)</f>
        <v>38.866666668327525</v>
      </c>
      <c r="O28" s="7"/>
      <c r="P28" s="7"/>
      <c r="Q28" s="23"/>
      <c r="R28" s="23"/>
      <c r="S28" s="35">
        <f>SUM(U28:U28)/IF(AG28="EC",12,1)</f>
        <v>1</v>
      </c>
      <c r="T28" s="50" t="str">
        <f>IF(ISEVEN(LEFT(AD28,4)),"Southbound","NorthBound")</f>
        <v>Southbound</v>
      </c>
      <c r="U28" s="144">
        <f>IF(AG28="EC",COUNTIFS(Variables!$M$2:$M$19,IF(T28="NorthBound","&gt;=","&lt;=")&amp;Y28,Variables!$M$2:$M$19,IF(T28="NorthBound","&lt;=","&gt;=")&amp;Z28),COUNTIFS(Variables!$P$2:$P$19,IF(T28="NorthBound","&gt;=","&lt;=")&amp;Y28,Variables!$P$2:$P$19,IF(T28="NorthBound","&lt;=","&gt;=")&amp;Z28))</f>
        <v>12</v>
      </c>
      <c r="V28" s="98" t="str">
        <f>"https://search-rtdc-monitor-bjffxe2xuh6vdkpspy63sjmuny.us-east-1.es.amazonaws.com/_plugin/kibana/#/discover/Steve-Slow-Train-Analysis-(2080s-and-2083s)?_g=(refreshInterval:(display:Off,section:0,value:0),time:(from:'"&amp;TEXT(E28-1/24,"yyyy-MM-DD hh:mm:ss")&amp;"-0600',mode:absolute,to:'"&amp;TEXT(I28+1/24,"yyyy-MM-DD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28&amp;"%22')),sort:!(Time,asc))"</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8" s="52" t="str">
        <f>IF(AA28&lt;IF(AG28="EC",23,5.65),"Y","N")</f>
        <v>N</v>
      </c>
      <c r="X28" s="149">
        <f>VALUE(LEFT(AD28,4))-VALUE(LEFT(AD27,4))</f>
        <v>1</v>
      </c>
      <c r="Y28" s="67">
        <f>RIGHT(D28,LEN(D28)-4)/10000</f>
        <v>23.2986</v>
      </c>
      <c r="Z28" s="67">
        <f>RIGHT(H28,LEN(H28)-4)/10000</f>
        <v>1.5599999999999999E-2</v>
      </c>
      <c r="AA28" s="67">
        <f>ABS(Z28-Y28)</f>
        <v>23.283000000000001</v>
      </c>
      <c r="AB28" s="64" t="e">
        <f>VLOOKUP(A28,Enforcements!$C$7:$K$21,8,0)</f>
        <v>#N/A</v>
      </c>
      <c r="AC28" s="60" t="e">
        <f>VLOOKUP(A28,Enforcements!$C$7:$E$21,3,0)</f>
        <v>#N/A</v>
      </c>
      <c r="AD28" s="61" t="str">
        <f>IF(LEN(A28)=6,"0"&amp;A28,A28)</f>
        <v>0116-13</v>
      </c>
      <c r="AE28" s="91" t="str">
        <f>"aws s3 cp "&amp;s3_bucket&amp;"/RTDC"&amp;B28&amp;"/ "&amp;search_path&amp;"\RTDC"&amp;B28&amp;"\"&amp;TEXT(F28,"YYYY-MM-DD")&amp;" --exclude ""*"" --recursive --include ""*"&amp;TEXT(F28,"YYYYMMDD")&amp;"*"" &amp; """&amp;walkandungz&amp;""" "&amp;search_path&amp;"\RTDC"&amp;B28&amp;"\"&amp;TEXT(F28,"YYYY-MM-DD")
&amp;" &amp; "&amp;"aws s3 cp "&amp;s3_bucket&amp;"/RTDC"&amp;B28&amp;"/ "&amp;search_path&amp;"\RTDC"&amp;B28&amp;"\"&amp;TEXT(F28+1,"YYYY-MM-DD")&amp;" --exclude ""*"" --recursive --include ""*"&amp;TEXT(F28+1,"YYYYMMDD")&amp;"*"" &amp; """&amp;walkandungz&amp;""" "&amp;search_path&amp;"\RTDC"&amp;B28&amp;"\"&amp;TEXT(F28+1,"YYYY-MM-DD")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28" s="88" t="str">
        <f>astrogrep_path&amp;" /spath="&amp;search_path&amp;" /stypes=""app*"&amp;B28&amp;"*"&amp;TEXT(I28-utc_offset/24,"YYYYMMDD")&amp;"*"" /stext="" "&amp;TEXT(I28-utc_offset/24,"HH")&amp;search_regexp&amp;""" /e /r /s"</f>
        <v>"C:\Program Files (x86)\AstroGrep\AstroGrep.exe" /spath="%USERPROFILE%\AppData\Local\Temp\OnboardLogs" /stypes="app*4026*20161013*" /stext=" 13:.+((SYSTEM_STATE.+slice.+state.+changed )|(ment ac)|(system.+state.+changed )|(\[timeout)|(PRM\|1\|D)|(kpr)|(kdp)|(\|lc)|(penalty))" /e /r /s</v>
      </c>
      <c r="AG28" s="1" t="str">
        <f>IFERROR(IF(VALUE(LEFT(AD28,2))&lt;=2,"EC",IF(OR(VALUE(LEFT(AD28,2))=8,VALUE(LEFT(AD28,2))=18),"NW","Other")),"Other")</f>
        <v>EC</v>
      </c>
      <c r="AH28" s="92" t="str">
        <f t="shared" si="2"/>
        <v>"%USERPROFILE%\Documents\GitHub\eaglep3\Utilities\RefineRTDCRunTimes.py" --tripid 116-13 --locoid 4026 --swversion DE.1.0.7.0 --startMP 204:232986 --initTime 2016-10-13T06:08:23 --startdatetime 2016-10-13T06:26:48 --delay 1 --endMP 204:156 --enddatetime 2016-10-13T07:05:40 --enforcementcount 1 &gt;&gt;C:\Users\stu\Documents\GitHub\eaglep3-reporting\EC\2016-10-13-refined-times.txt</v>
      </c>
      <c r="AI28" s="122" t="str">
        <f t="shared" si="3"/>
        <v>echo {"issue":{"subject":"","project_id":79,"tracker_id":40,"status_id":1,"priority_id":2,"assigned_to_id":23,"start_date":"2016-10-13","description":"","custom_fields":[{"id":1,"name":"Subdivision","value":"EC"},{"id":4,"name":"Milepost","value":"0.0156"},{"id":17,"name":"Train ID","value":"116-13"},{"id":16,"name":"Locomotive ID","value":"4026"},{"id":130,"name":"Impact","value":""},{"id":150,"name":"Time of Event (Mountain Time)","value":"07:05:40"},{"id":151,"name":"Denver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380</v>
      </c>
      <c r="B29" s="7">
        <v>4042</v>
      </c>
      <c r="C29" s="22" t="s">
        <v>99</v>
      </c>
      <c r="D29" s="22" t="s">
        <v>288</v>
      </c>
      <c r="E29" s="13">
        <v>42656.232106481482</v>
      </c>
      <c r="F29" s="13">
        <v>42656.239768518521</v>
      </c>
      <c r="G29" s="7">
        <v>1</v>
      </c>
      <c r="H29" s="13" t="s">
        <v>274</v>
      </c>
      <c r="I29" s="13">
        <v>42656.26489583333</v>
      </c>
      <c r="J29" s="7">
        <v>1</v>
      </c>
      <c r="K29" s="112" t="str">
        <f>IF(ISEVEN(B29),(B29-1)&amp;"/"&amp;B29,B29&amp;"/"&amp;(B29+1))</f>
        <v>4041/4042</v>
      </c>
      <c r="L29" s="22" t="str">
        <f>VLOOKUP(A29,'Trips&amp;Operators'!$C$1:$E$10000,3,FALSE)</f>
        <v>SPECTOR</v>
      </c>
      <c r="M29" s="6">
        <f>I29-F29</f>
        <v>2.512731480965158E-2</v>
      </c>
      <c r="N29" s="7">
        <f>24*60*SUM($M29:$M29)</f>
        <v>36.183333325898275</v>
      </c>
      <c r="O29" s="7"/>
      <c r="P29" s="7"/>
      <c r="Q29" s="23"/>
      <c r="R29" s="23"/>
      <c r="S29" s="35">
        <f>SUM(U29:U29)/IF(AG29="EC",12,1)</f>
        <v>1</v>
      </c>
      <c r="T29" s="50" t="str">
        <f>IF(ISEVEN(LEFT(AD29,4)),"Southbound","NorthBound")</f>
        <v>NorthBound</v>
      </c>
      <c r="U29" s="144">
        <f>IF(AG29="EC",COUNTIFS(Variables!$M$2:$M$19,IF(T29="NorthBound","&gt;=","&lt;=")&amp;Y29,Variables!$M$2:$M$19,IF(T29="NorthBound","&lt;=","&gt;=")&amp;Z29),COUNTIFS(Variables!$P$2:$P$19,IF(T29="NorthBound","&gt;=","&lt;=")&amp;Y29,Variables!$P$2:$P$19,IF(T29="NorthBound","&lt;=","&gt;=")&amp;Z29))</f>
        <v>12</v>
      </c>
      <c r="V29" s="98" t="str">
        <f>"https://search-rtdc-monitor-bjffxe2xuh6vdkpspy63sjmuny.us-east-1.es.amazonaws.com/_plugin/kibana/#/discover/Steve-Slow-Train-Analysis-(2080s-and-2083s)?_g=(refreshInterval:(display:Off,section:0,value:0),time:(from:'"&amp;TEXT(E29-1/24,"yyyy-MM-DD hh:mm:ss")&amp;"-0600',mode:absolute,to:'"&amp;TEXT(I29+1/24,"yyyy-MM-DD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29&amp;"%22')),sort:!(Time,asc))"</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9" s="52" t="str">
        <f>IF(AA29&lt;IF(AG29="EC",23,5.65),"Y","N")</f>
        <v>N</v>
      </c>
      <c r="X29" s="149">
        <f>VALUE(LEFT(AD29,4))-VALUE(LEFT(AD28,4))</f>
        <v>1</v>
      </c>
      <c r="Y29" s="67">
        <f>RIGHT(D29,LEN(D29)-4)/10000</f>
        <v>4.5499999999999999E-2</v>
      </c>
      <c r="Z29" s="67">
        <f>RIGHT(H29,LEN(H29)-4)/10000</f>
        <v>23.3276</v>
      </c>
      <c r="AA29" s="67">
        <f>ABS(Z29-Y29)</f>
        <v>23.2821</v>
      </c>
      <c r="AB29" s="64" t="e">
        <f>VLOOKUP(A29,Enforcements!$C$7:$K$21,8,0)</f>
        <v>#N/A</v>
      </c>
      <c r="AC29" s="60" t="e">
        <f>VLOOKUP(A29,Enforcements!$C$7:$E$21,3,0)</f>
        <v>#N/A</v>
      </c>
      <c r="AD29" s="61" t="str">
        <f>IF(LEN(A29)=6,"0"&amp;A29,A29)</f>
        <v>0117-13</v>
      </c>
      <c r="AE29" s="91" t="str">
        <f>"aws s3 cp "&amp;s3_bucket&amp;"/RTDC"&amp;B29&amp;"/ "&amp;search_path&amp;"\RTDC"&amp;B29&amp;"\"&amp;TEXT(F29,"YYYY-MM-DD")&amp;" --exclude ""*"" --recursive --include ""*"&amp;TEXT(F29,"YYYYMMDD")&amp;"*"" &amp; """&amp;walkandungz&amp;""" "&amp;search_path&amp;"\RTDC"&amp;B29&amp;"\"&amp;TEXT(F29,"YYYY-MM-DD")
&amp;" &amp; "&amp;"aws s3 cp "&amp;s3_bucket&amp;"/RTDC"&amp;B29&amp;"/ "&amp;search_path&amp;"\RTDC"&amp;B29&amp;"\"&amp;TEXT(F29+1,"YYYY-MM-DD")&amp;" --exclude ""*"" --recursive --include ""*"&amp;TEXT(F29+1,"YYYYMMDD")&amp;"*"" &amp; """&amp;walkandungz&amp;""" "&amp;search_path&amp;"\RTDC"&amp;B29&amp;"\"&amp;TEXT(F29+1,"YYYY-MM-DD")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29" s="88" t="str">
        <f>astrogrep_path&amp;" /spath="&amp;search_path&amp;" /stypes=""app*"&amp;B29&amp;"*"&amp;TEXT(I29-utc_offset/24,"YYYYMMDD")&amp;"*"" /stext="" "&amp;TEXT(I29-utc_offset/24,"HH")&amp;search_regexp&amp;""" /e /r /s"</f>
        <v>"C:\Program Files (x86)\AstroGrep\AstroGrep.exe" /spath="%USERPROFILE%\AppData\Local\Temp\OnboardLogs" /stypes="app*4042*20161013*" /stext=" 12:.+((SYSTEM_STATE.+slice.+state.+changed )|(ment ac)|(system.+state.+changed )|(\[timeout)|(PRM\|1\|D)|(kpr)|(kdp)|(\|lc)|(penalty))" /e /r /s</v>
      </c>
      <c r="AG29" s="1" t="str">
        <f>IFERROR(IF(VALUE(LEFT(AD29,2))&lt;=2,"EC",IF(OR(VALUE(LEFT(AD29,2))=8,VALUE(LEFT(AD29,2))=18),"NW","Other")),"Other")</f>
        <v>EC</v>
      </c>
      <c r="AH29" s="92" t="str">
        <f t="shared" si="2"/>
        <v>"%USERPROFILE%\Documents\GitHub\eaglep3\Utilities\RefineRTDCRunTimes.py" --tripid 117-13 --locoid 4042 --swversion DE.1.0.7.0 --startMP 204:455 --initTime 2016-10-13T05:34:14 --startdatetime 2016-10-13T05:45:16 --delay 1 --endMP 204:233276 --enddatetime 2016-10-13T06:21:27 --enforcementcount 1 &gt;&gt;C:\Users\stu\Documents\GitHub\eaglep3-reporting\EC\2016-10-13-refined-times.txt</v>
      </c>
      <c r="AI29" s="122" t="str">
        <f t="shared" si="3"/>
        <v>echo {"issue":{"subject":"","project_id":79,"tracker_id":40,"status_id":1,"priority_id":2,"assigned_to_id":23,"start_date":"2016-10-13","description":"","custom_fields":[{"id":1,"name":"Subdivision","value":"EC"},{"id":4,"name":"Milepost","value":"23.3276"},{"id":17,"name":"Train ID","value":"117-13"},{"id":16,"name":"Locomotive ID","value":"4042"},{"id":130,"name":"Impact","value":""},{"id":150,"name":"Time of Event (Mountain Time)","value":"06:21:27"},{"id":151,"name":"Denver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455</v>
      </c>
      <c r="B30" s="7">
        <v>4041</v>
      </c>
      <c r="C30" s="22" t="s">
        <v>99</v>
      </c>
      <c r="D30" s="22" t="s">
        <v>267</v>
      </c>
      <c r="E30" s="13">
        <v>42656.276759259257</v>
      </c>
      <c r="F30" s="13">
        <v>42656.279085648152</v>
      </c>
      <c r="G30" s="7">
        <v>1</v>
      </c>
      <c r="H30" s="13" t="s">
        <v>260</v>
      </c>
      <c r="I30" s="13">
        <v>42656.306689814817</v>
      </c>
      <c r="J30" s="7">
        <v>1</v>
      </c>
      <c r="K30" s="112" t="str">
        <f>IF(ISEVEN(B30),(B30-1)&amp;"/"&amp;B30,B30&amp;"/"&amp;(B30+1))</f>
        <v>4041/4042</v>
      </c>
      <c r="L30" s="22" t="str">
        <f>VLOOKUP(A30,'Trips&amp;Operators'!$C$1:$E$10000,3,FALSE)</f>
        <v>SPECTOR</v>
      </c>
      <c r="M30" s="6">
        <f>I30-F30</f>
        <v>2.7604166665696539E-2</v>
      </c>
      <c r="N30" s="7">
        <f>24*60*SUM($M30:$M30)</f>
        <v>39.749999998603016</v>
      </c>
      <c r="O30" s="7"/>
      <c r="P30" s="7"/>
      <c r="Q30" s="23"/>
      <c r="R30" s="23"/>
      <c r="S30" s="35">
        <f>SUM(U30:U30)/IF(AG30="EC",12,1)</f>
        <v>1</v>
      </c>
      <c r="T30" s="50" t="str">
        <f>IF(ISEVEN(LEFT(AD30,4)),"Southbound","NorthBound")</f>
        <v>Southbound</v>
      </c>
      <c r="U30" s="144">
        <f>IF(AG30="EC",COUNTIFS(Variables!$M$2:$M$19,IF(T30="NorthBound","&gt;=","&lt;=")&amp;Y30,Variables!$M$2:$M$19,IF(T30="NorthBound","&lt;=","&gt;=")&amp;Z30),COUNTIFS(Variables!$P$2:$P$19,IF(T30="NorthBound","&gt;=","&lt;=")&amp;Y30,Variables!$P$2:$P$19,IF(T30="NorthBound","&lt;=","&gt;=")&amp;Z30))</f>
        <v>12</v>
      </c>
      <c r="V30" s="98" t="str">
        <f>"https://search-rtdc-monitor-bjffxe2xuh6vdkpspy63sjmuny.us-east-1.es.amazonaws.com/_plugin/kibana/#/discover/Steve-Slow-Train-Analysis-(2080s-and-2083s)?_g=(refreshInterval:(display:Off,section:0,value:0),time:(from:'"&amp;TEXT(E30-1/24,"yyyy-MM-DD hh:mm:ss")&amp;"-0600',mode:absolute,to:'"&amp;TEXT(I30+1/24,"yyyy-MM-DD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30&amp;"%22')),sort:!(Time,asc))"</f>
        <v>https://search-rtdc-monitor-bjffxe2xuh6vdkpspy63sjmuny.us-east-1.es.amazonaws.com/_plugin/kibana/#/discover/Steve-Slow-Train-Analysis-(2080s-and-2083s)?_g=(refreshInterval:(display:Off,section:0,value:0),time:(from:'2016-10-13 05:38:32-0600',mode:absolute,to:'2016-10-13 08: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30" s="52" t="str">
        <f>IF(AA30&lt;IF(AG30="EC",23,5.65),"Y","N")</f>
        <v>N</v>
      </c>
      <c r="X30" s="149">
        <f>VALUE(LEFT(AD30,4))-VALUE(LEFT(AD29,4))</f>
        <v>1</v>
      </c>
      <c r="Y30" s="67">
        <f>RIGHT(D30,LEN(D30)-4)/10000</f>
        <v>23.2959</v>
      </c>
      <c r="Z30" s="67">
        <f>RIGHT(H30,LEN(H30)-4)/10000</f>
        <v>1.54E-2</v>
      </c>
      <c r="AA30" s="67">
        <f>ABS(Z30-Y30)</f>
        <v>23.2805</v>
      </c>
      <c r="AB30" s="64" t="e">
        <f>VLOOKUP(A30,Enforcements!$C$7:$K$21,8,0)</f>
        <v>#N/A</v>
      </c>
      <c r="AC30" s="60" t="e">
        <f>VLOOKUP(A30,Enforcements!$C$7:$E$21,3,0)</f>
        <v>#N/A</v>
      </c>
      <c r="AD30" s="61" t="str">
        <f>IF(LEN(A30)=6,"0"&amp;A30,A30)</f>
        <v>0118-13</v>
      </c>
      <c r="AE30" s="91" t="str">
        <f>"aws s3 cp "&amp;s3_bucket&amp;"/RTDC"&amp;B30&amp;"/ "&amp;search_path&amp;"\RTDC"&amp;B30&amp;"\"&amp;TEXT(F30,"YYYY-MM-DD")&amp;" --exclude ""*"" --recursive --include ""*"&amp;TEXT(F30,"YYYYMMDD")&amp;"*"" &amp; """&amp;walkandungz&amp;""" "&amp;search_path&amp;"\RTDC"&amp;B30&amp;"\"&amp;TEXT(F30,"YYYY-MM-DD")
&amp;" &amp; "&amp;"aws s3 cp "&amp;s3_bucket&amp;"/RTDC"&amp;B30&amp;"/ "&amp;search_path&amp;"\RTDC"&amp;B30&amp;"\"&amp;TEXT(F30+1,"YYYY-MM-DD")&amp;" --exclude ""*"" --recursive --include ""*"&amp;TEXT(F30+1,"YYYYMMDD")&amp;"*"" &amp; """&amp;walkandungz&amp;""" "&amp;search_path&amp;"\RTDC"&amp;B30&amp;"\"&amp;TEXT(F30+1,"YYYY-MM-DD")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30" s="88" t="str">
        <f>astrogrep_path&amp;" /spath="&amp;search_path&amp;" /stypes=""app*"&amp;B30&amp;"*"&amp;TEXT(I30-utc_offset/24,"YYYYMMDD")&amp;"*"" /stext="" "&amp;TEXT(I30-utc_offset/24,"HH")&amp;search_regexp&amp;""" /e /r /s"</f>
        <v>"C:\Program Files (x86)\AstroGrep\AstroGrep.exe" /spath="%USERPROFILE%\AppData\Local\Temp\OnboardLogs" /stypes="app*4041*20161013*" /stext=" 13:.+((SYSTEM_STATE.+slice.+state.+changed )|(ment ac)|(system.+state.+changed )|(\[timeout)|(PRM\|1\|D)|(kpr)|(kdp)|(\|lc)|(penalty))" /e /r /s</v>
      </c>
      <c r="AG30" s="1" t="str">
        <f>IFERROR(IF(VALUE(LEFT(AD30,2))&lt;=2,"EC",IF(OR(VALUE(LEFT(AD30,2))=8,VALUE(LEFT(AD30,2))=18),"NW","Other")),"Other")</f>
        <v>EC</v>
      </c>
      <c r="AH30" s="92" t="str">
        <f t="shared" si="2"/>
        <v>"%USERPROFILE%\Documents\GitHub\eaglep3\Utilities\RefineRTDCRunTimes.py" --tripid 118-13 --locoid 4041 --swversion DE.1.0.7.0 --startMP 204:232959 --initTime 2016-10-13T06:38:32 --startdatetime 2016-10-13T06:41:53 --delay 1 --endMP 204:154 --enddatetime 2016-10-13T07:21:38 --enforcementcount 1 &gt;&gt;C:\Users\stu\Documents\GitHub\eaglep3-reporting\EC\2016-10-13-refined-times.txt</v>
      </c>
      <c r="AI30" s="122" t="str">
        <f t="shared" si="3"/>
        <v>echo {"issue":{"subject":"","project_id":79,"tracker_id":40,"status_id":1,"priority_id":2,"assigned_to_id":23,"start_date":"2016-10-13","description":"","custom_fields":[{"id":1,"name":"Subdivision","value":"EC"},{"id":4,"name":"Milepost","value":"0.0154"},{"id":17,"name":"Train ID","value":"118-13"},{"id":16,"name":"Locomotive ID","value":"4041"},{"id":130,"name":"Impact","value":""},{"id":150,"name":"Time of Event (Mountain Time)","value":"07:21:38"},{"id":151,"name":"Denver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378</v>
      </c>
      <c r="B31" s="7">
        <v>4044</v>
      </c>
      <c r="C31" s="22" t="s">
        <v>99</v>
      </c>
      <c r="D31" s="22" t="s">
        <v>620</v>
      </c>
      <c r="E31" s="13">
        <v>42656.248298611114</v>
      </c>
      <c r="F31" s="13">
        <v>42656.25037037037</v>
      </c>
      <c r="G31" s="7">
        <v>1</v>
      </c>
      <c r="H31" s="13" t="s">
        <v>621</v>
      </c>
      <c r="I31" s="13">
        <v>42656.275636574072</v>
      </c>
      <c r="J31" s="7">
        <v>1</v>
      </c>
      <c r="K31" s="112" t="str">
        <f>IF(ISEVEN(B31),(B31-1)&amp;"/"&amp;B31,B31&amp;"/"&amp;(B31+1))</f>
        <v>4043/4044</v>
      </c>
      <c r="L31" s="22" t="str">
        <f>VLOOKUP(A31,'Trips&amp;Operators'!$C$1:$E$10000,3,FALSE)</f>
        <v>MALAVE</v>
      </c>
      <c r="M31" s="6">
        <f>I31-F31</f>
        <v>2.5266203701903578E-2</v>
      </c>
      <c r="N31" s="7">
        <f>24*60*SUM($M31:$M31)</f>
        <v>36.383333330741152</v>
      </c>
      <c r="O31" s="7"/>
      <c r="P31" s="7"/>
      <c r="Q31" s="23"/>
      <c r="R31" s="23"/>
      <c r="S31" s="35">
        <f>SUM(U31:U31)/IF(AG31="EC",12,1)</f>
        <v>1</v>
      </c>
      <c r="T31" s="50" t="str">
        <f>IF(ISEVEN(LEFT(AD31,4)),"Southbound","NorthBound")</f>
        <v>NorthBound</v>
      </c>
      <c r="U31" s="144">
        <f>IF(AG31="EC",COUNTIFS(Variables!$M$2:$M$19,IF(T31="NorthBound","&gt;=","&lt;=")&amp;Y31,Variables!$M$2:$M$19,IF(T31="NorthBound","&lt;=","&gt;=")&amp;Z31),COUNTIFS(Variables!$P$2:$P$19,IF(T31="NorthBound","&gt;=","&lt;=")&amp;Y31,Variables!$P$2:$P$19,IF(T31="NorthBound","&lt;=","&gt;=")&amp;Z31))</f>
        <v>12</v>
      </c>
      <c r="V31" s="98" t="str">
        <f>"https://search-rtdc-monitor-bjffxe2xuh6vdkpspy63sjmuny.us-east-1.es.amazonaws.com/_plugin/kibana/#/discover/Steve-Slow-Train-Analysis-(2080s-and-2083s)?_g=(refreshInterval:(display:Off,section:0,value:0),time:(from:'"&amp;TEXT(E31-1/24,"yyyy-MM-DD hh:mm:ss")&amp;"-0600',mode:absolute,to:'"&amp;TEXT(I31+1/24,"yyyy-MM-DD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31&amp;"%22')),sort:!(Time,asc))"</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31" s="52" t="str">
        <f>IF(AA31&lt;IF(AG31="EC",23,5.65),"Y","N")</f>
        <v>N</v>
      </c>
      <c r="X31" s="149">
        <f>VALUE(LEFT(AD31,4))-VALUE(LEFT(AD30,4))</f>
        <v>1</v>
      </c>
      <c r="Y31" s="67">
        <f>RIGHT(D31,LEN(D31)-4)/10000</f>
        <v>7.6499999999999999E-2</v>
      </c>
      <c r="Z31" s="67">
        <f>RIGHT(H31,LEN(H31)-4)/10000</f>
        <v>23.327200000000001</v>
      </c>
      <c r="AA31" s="67">
        <f>ABS(Z31-Y31)</f>
        <v>23.250700000000002</v>
      </c>
      <c r="AB31" s="64" t="str">
        <f>VLOOKUP(A31,Enforcements!$C$7:$K$21,8,0)</f>
        <v>Speed (6)</v>
      </c>
      <c r="AC31" s="60" t="str">
        <f>VLOOKUP(A31,Enforcements!$C$7:$E$21,3,0)</f>
        <v>PERMANENT SPEED RESTRICTION</v>
      </c>
      <c r="AD31" s="61" t="str">
        <f>IF(LEN(A31)=6,"0"&amp;A31,A31)</f>
        <v>0119-13</v>
      </c>
      <c r="AE31" s="91" t="str">
        <f>"aws s3 cp "&amp;s3_bucket&amp;"/RTDC"&amp;B31&amp;"/ "&amp;search_path&amp;"\RTDC"&amp;B31&amp;"\"&amp;TEXT(F31,"YYYY-MM-DD")&amp;" --exclude ""*"" --recursive --include ""*"&amp;TEXT(F31,"YYYYMMDD")&amp;"*"" &amp; """&amp;walkandungz&amp;""" "&amp;search_path&amp;"\RTDC"&amp;B31&amp;"\"&amp;TEXT(F31,"YYYY-MM-DD")
&amp;" &amp; "&amp;"aws s3 cp "&amp;s3_bucket&amp;"/RTDC"&amp;B31&amp;"/ "&amp;search_path&amp;"\RTDC"&amp;B31&amp;"\"&amp;TEXT(F31+1,"YYYY-MM-DD")&amp;" --exclude ""*"" --recursive --include ""*"&amp;TEXT(F31+1,"YYYYMMDD")&amp;"*"" &amp; """&amp;walkandungz&amp;""" "&amp;search_path&amp;"\RTDC"&amp;B31&amp;"\"&amp;TEXT(F31+1,"YYYY-MM-DD")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31" s="88" t="str">
        <f>astrogrep_path&amp;" /spath="&amp;search_path&amp;" /stypes=""app*"&amp;B31&amp;"*"&amp;TEXT(I31-utc_offset/24,"YYYYMMDD")&amp;"*"" /stext="" "&amp;TEXT(I31-utc_offset/24,"HH")&amp;search_regexp&amp;""" /e /r /s"</f>
        <v>"C:\Program Files (x86)\AstroGrep\AstroGrep.exe" /spath="%USERPROFILE%\AppData\Local\Temp\OnboardLogs" /stypes="app*4044*20161013*" /stext=" 12:.+((SYSTEM_STATE.+slice.+state.+changed )|(ment ac)|(system.+state.+changed )|(\[timeout)|(PRM\|1\|D)|(kpr)|(kdp)|(\|lc)|(penalty))" /e /r /s</v>
      </c>
      <c r="AG31" s="1" t="str">
        <f>IFERROR(IF(VALUE(LEFT(AD31,2))&lt;=2,"EC",IF(OR(VALUE(LEFT(AD31,2))=8,VALUE(LEFT(AD31,2))=18),"NW","Other")),"Other")</f>
        <v>EC</v>
      </c>
      <c r="AH31" s="92" t="str">
        <f t="shared" si="2"/>
        <v>"%USERPROFILE%\Documents\GitHub\eaglep3\Utilities\RefineRTDCRunTimes.py" --tripid 119-13 --locoid 4044 --swversion DE.1.0.7.0 --startMP 204:765 --initTime 2016-10-13T05:57:33 --startdatetime 2016-10-13T06:00:32 --delay 1 --endMP 204:233272 --enddatetime 2016-10-13T06:36:55 --enforcementcount 1 &gt;&gt;C:\Users\stu\Documents\GitHub\eaglep3-reporting\EC\2016-10-13-refined-times.txt</v>
      </c>
      <c r="AI31" s="122" t="str">
        <f t="shared" si="3"/>
        <v>echo {"issue":{"subject":"","project_id":79,"tracker_id":40,"status_id":1,"priority_id":2,"assigned_to_id":23,"start_date":"2016-10-13","description":"","custom_fields":[{"id":1,"name":"Subdivision","value":"EC"},{"id":4,"name":"Milepost","value":"23.3272"},{"id":17,"name":"Train ID","value":"119-13"},{"id":16,"name":"Locomotive ID","value":"4044"},{"id":130,"name":"Impact","value":""},{"id":150,"name":"Time of Event (Mountain Time)","value":"06:36:55"},{"id":151,"name":"Denver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457</v>
      </c>
      <c r="B32" s="7">
        <v>4043</v>
      </c>
      <c r="C32" s="22" t="s">
        <v>99</v>
      </c>
      <c r="D32" s="22" t="s">
        <v>311</v>
      </c>
      <c r="E32" s="13">
        <v>42656.286215277774</v>
      </c>
      <c r="F32" s="13">
        <v>42656.289120370369</v>
      </c>
      <c r="G32" s="7">
        <v>1</v>
      </c>
      <c r="H32" s="13" t="s">
        <v>622</v>
      </c>
      <c r="I32" s="13">
        <v>42656.316157407404</v>
      </c>
      <c r="J32" s="7">
        <v>1</v>
      </c>
      <c r="K32" s="112" t="str">
        <f>IF(ISEVEN(B32),(B32-1)&amp;"/"&amp;B32,B32&amp;"/"&amp;(B32+1))</f>
        <v>4043/4044</v>
      </c>
      <c r="L32" s="22" t="str">
        <f>VLOOKUP(A32,'Trips&amp;Operators'!$C$1:$E$10000,3,FALSE)</f>
        <v>MALAVE</v>
      </c>
      <c r="M32" s="6">
        <f>I32-F32</f>
        <v>2.7037037034460809E-2</v>
      </c>
      <c r="N32" s="7">
        <f>24*60*SUM($M32:$M32)</f>
        <v>38.933333329623565</v>
      </c>
      <c r="O32" s="7"/>
      <c r="P32" s="7"/>
      <c r="Q32" s="23"/>
      <c r="R32" s="23"/>
      <c r="S32" s="35">
        <f>SUM(U32:U32)/IF(AG32="EC",12,1)</f>
        <v>1</v>
      </c>
      <c r="T32" s="50" t="str">
        <f>IF(ISEVEN(LEFT(AD32,4)),"Southbound","NorthBound")</f>
        <v>Southbound</v>
      </c>
      <c r="U32" s="144">
        <f>IF(AG32="EC",COUNTIFS(Variables!$M$2:$M$19,IF(T32="NorthBound","&gt;=","&lt;=")&amp;Y32,Variables!$M$2:$M$19,IF(T32="NorthBound","&lt;=","&gt;=")&amp;Z32),COUNTIFS(Variables!$P$2:$P$19,IF(T32="NorthBound","&gt;=","&lt;=")&amp;Y32,Variables!$P$2:$P$19,IF(T32="NorthBound","&lt;=","&gt;=")&amp;Z32))</f>
        <v>12</v>
      </c>
      <c r="V32" s="98" t="str">
        <f>"https://search-rtdc-monitor-bjffxe2xuh6vdkpspy63sjmuny.us-east-1.es.amazonaws.com/_plugin/kibana/#/discover/Steve-Slow-Train-Analysis-(2080s-and-2083s)?_g=(refreshInterval:(display:Off,section:0,value:0),time:(from:'"&amp;TEXT(E32-1/24,"yyyy-MM-DD hh:mm:ss")&amp;"-0600',mode:absolute,to:'"&amp;TEXT(I32+1/24,"yyyy-MM-DD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32&amp;"%22')),sort:!(Time,asc))"</f>
        <v>https://search-rtdc-monitor-bjffxe2xuh6vdkpspy63sjmuny.us-east-1.es.amazonaws.com/_plugin/kibana/#/discover/Steve-Slow-Train-Analysis-(2080s-and-2083s)?_g=(refreshInterval:(display:Off,section:0,value:0),time:(from:'2016-10-13 05:52:09-0600',mode:absolute,to:'2016-10-13 08: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32" s="52" t="str">
        <f>IF(AA32&lt;IF(AG32="EC",23,5.65),"Y","N")</f>
        <v>N</v>
      </c>
      <c r="X32" s="149">
        <f>VALUE(LEFT(AD32,4))-VALUE(LEFT(AD31,4))</f>
        <v>1</v>
      </c>
      <c r="Y32" s="67">
        <f>RIGHT(D32,LEN(D32)-4)/10000</f>
        <v>23.2957</v>
      </c>
      <c r="Z32" s="67">
        <f>RIGHT(H32,LEN(H32)-4)/10000</f>
        <v>1.72E-2</v>
      </c>
      <c r="AA32" s="67">
        <f>ABS(Z32-Y32)</f>
        <v>23.278500000000001</v>
      </c>
      <c r="AB32" s="64" t="e">
        <f>VLOOKUP(A32,Enforcements!$C$7:$K$21,8,0)</f>
        <v>#N/A</v>
      </c>
      <c r="AC32" s="60" t="e">
        <f>VLOOKUP(A32,Enforcements!$C$7:$E$21,3,0)</f>
        <v>#N/A</v>
      </c>
      <c r="AD32" s="61" t="str">
        <f>IF(LEN(A32)=6,"0"&amp;A32,A32)</f>
        <v>0120-13</v>
      </c>
      <c r="AE32" s="91" t="str">
        <f>"aws s3 cp "&amp;s3_bucket&amp;"/RTDC"&amp;B32&amp;"/ "&amp;search_path&amp;"\RTDC"&amp;B32&amp;"\"&amp;TEXT(F32,"YYYY-MM-DD")&amp;" --exclude ""*"" --recursive --include ""*"&amp;TEXT(F32,"YYYYMMDD")&amp;"*"" &amp; """&amp;walkandungz&amp;""" "&amp;search_path&amp;"\RTDC"&amp;B32&amp;"\"&amp;TEXT(F32,"YYYY-MM-DD")
&amp;" &amp; "&amp;"aws s3 cp "&amp;s3_bucket&amp;"/RTDC"&amp;B32&amp;"/ "&amp;search_path&amp;"\RTDC"&amp;B32&amp;"\"&amp;TEXT(F32+1,"YYYY-MM-DD")&amp;" --exclude ""*"" --recursive --include ""*"&amp;TEXT(F32+1,"YYYYMMDD")&amp;"*"" &amp; """&amp;walkandungz&amp;""" "&amp;search_path&amp;"\RTDC"&amp;B32&amp;"\"&amp;TEXT(F32+1,"YYYY-MM-DD")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32" s="88" t="str">
        <f>astrogrep_path&amp;" /spath="&amp;search_path&amp;" /stypes=""app*"&amp;B32&amp;"*"&amp;TEXT(I32-utc_offset/24,"YYYYMMDD")&amp;"*"" /stext="" "&amp;TEXT(I32-utc_offset/24,"HH")&amp;search_regexp&amp;""" /e /r /s"</f>
        <v>"C:\Program Files (x86)\AstroGrep\AstroGrep.exe" /spath="%USERPROFILE%\AppData\Local\Temp\OnboardLogs" /stypes="app*4043*20161013*" /stext=" 13:.+((SYSTEM_STATE.+slice.+state.+changed )|(ment ac)|(system.+state.+changed )|(\[timeout)|(PRM\|1\|D)|(kpr)|(kdp)|(\|lc)|(penalty))" /e /r /s</v>
      </c>
      <c r="AG32" s="1" t="str">
        <f>IFERROR(IF(VALUE(LEFT(AD32,2))&lt;=2,"EC",IF(OR(VALUE(LEFT(AD32,2))=8,VALUE(LEFT(AD32,2))=18),"NW","Other")),"Other")</f>
        <v>EC</v>
      </c>
      <c r="AH32" s="92" t="str">
        <f t="shared" si="2"/>
        <v>"%USERPROFILE%\Documents\GitHub\eaglep3\Utilities\RefineRTDCRunTimes.py" --tripid 120-13 --locoid 4043 --swversion DE.1.0.7.0 --startMP 204:232957 --initTime 2016-10-13T06:52:09 --startdatetime 2016-10-13T06:56:20 --delay 1 --endMP 204:172 --enddatetime 2016-10-13T07:35:16 --enforcementcount 1 &gt;&gt;C:\Users\stu\Documents\GitHub\eaglep3-reporting\EC\2016-10-13-refined-times.txt</v>
      </c>
      <c r="AI32" s="122" t="str">
        <f t="shared" si="3"/>
        <v>echo {"issue":{"subject":"","project_id":79,"tracker_id":40,"status_id":1,"priority_id":2,"assigned_to_id":23,"start_date":"2016-10-13","description":"","custom_fields":[{"id":1,"name":"Subdivision","value":"EC"},{"id":4,"name":"Milepost","value":"0.0172"},{"id":17,"name":"Train ID","value":"120-13"},{"id":16,"name":"Locomotive ID","value":"4043"},{"id":130,"name":"Impact","value":""},{"id":150,"name":"Time of Event (Mountain Time)","value":"07:35:16"},{"id":151,"name":"Denver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450</v>
      </c>
      <c r="B33" s="7">
        <v>4018</v>
      </c>
      <c r="C33" s="22" t="s">
        <v>99</v>
      </c>
      <c r="D33" s="22" t="s">
        <v>284</v>
      </c>
      <c r="E33" s="13">
        <v>42656.257164351853</v>
      </c>
      <c r="F33" s="13">
        <v>42656.299780092595</v>
      </c>
      <c r="G33" s="7">
        <v>1</v>
      </c>
      <c r="H33" s="13" t="s">
        <v>623</v>
      </c>
      <c r="I33" s="13">
        <v>42656.327013888891</v>
      </c>
      <c r="J33" s="7">
        <v>1</v>
      </c>
      <c r="K33" s="112" t="str">
        <f>IF(ISEVEN(B33),(B33-1)&amp;"/"&amp;B33,B33&amp;"/"&amp;(B33+1))</f>
        <v>4017/4018</v>
      </c>
      <c r="L33" s="22" t="str">
        <f>VLOOKUP(A33,'Trips&amp;Operators'!$C$1:$E$10000,3,FALSE)</f>
        <v>STRICKLAND</v>
      </c>
      <c r="M33" s="6">
        <f>I33-F33</f>
        <v>2.7233796296059154E-2</v>
      </c>
      <c r="N33" s="7">
        <f>24*60*SUM($M33:$M33)</f>
        <v>39.216666666325182</v>
      </c>
      <c r="O33" s="7"/>
      <c r="P33" s="7"/>
      <c r="Q33" s="23"/>
      <c r="R33" s="23"/>
      <c r="S33" s="35">
        <f>SUM(U33:U33)/IF(AG33="EC",12,1)</f>
        <v>1</v>
      </c>
      <c r="T33" s="50" t="str">
        <f>IF(ISEVEN(LEFT(AD33,4)),"Southbound","NorthBound")</f>
        <v>NorthBound</v>
      </c>
      <c r="U33" s="144">
        <f>IF(AG33="EC",COUNTIFS(Variables!$M$2:$M$19,IF(T33="NorthBound","&gt;=","&lt;=")&amp;Y33,Variables!$M$2:$M$19,IF(T33="NorthBound","&lt;=","&gt;=")&amp;Z33),COUNTIFS(Variables!$P$2:$P$19,IF(T33="NorthBound","&gt;=","&lt;=")&amp;Y33,Variables!$P$2:$P$19,IF(T33="NorthBound","&lt;=","&gt;=")&amp;Z33))</f>
        <v>12</v>
      </c>
      <c r="V33" s="98" t="str">
        <f>"https://search-rtdc-monitor-bjffxe2xuh6vdkpspy63sjmuny.us-east-1.es.amazonaws.com/_plugin/kibana/#/discover/Steve-Slow-Train-Analysis-(2080s-and-2083s)?_g=(refreshInterval:(display:Off,section:0,value:0),time:(from:'"&amp;TEXT(E33-1/24,"yyyy-MM-DD hh:mm:ss")&amp;"-0600',mode:absolute,to:'"&amp;TEXT(I33+1/24,"yyyy-MM-DD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33&amp;"%22')),sort:!(Time,asc))"</f>
        <v>https://search-rtdc-monitor-bjffxe2xuh6vdkpspy63sjmuny.us-east-1.es.amazonaws.com/_plugin/kibana/#/discover/Steve-Slow-Train-Analysis-(2080s-and-2083s)?_g=(refreshInterval:(display:Off,section:0,value:0),time:(from:'2016-10-13 05:10:19-0600',mode:absolute,to:'2016-10-13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33" s="52" t="str">
        <f>IF(AA33&lt;IF(AG33="EC",23,5.65),"Y","N")</f>
        <v>N</v>
      </c>
      <c r="X33" s="149">
        <f>VALUE(LEFT(AD33,4))-VALUE(LEFT(AD32,4))</f>
        <v>1</v>
      </c>
      <c r="Y33" s="67">
        <f>RIGHT(D33,LEN(D33)-4)/10000</f>
        <v>4.6399999999999997E-2</v>
      </c>
      <c r="Z33" s="67">
        <f>RIGHT(H33,LEN(H33)-4)/10000</f>
        <v>23.328099999999999</v>
      </c>
      <c r="AA33" s="67">
        <f>ABS(Z33-Y33)</f>
        <v>23.281700000000001</v>
      </c>
      <c r="AB33" s="64" t="e">
        <f>VLOOKUP(A33,Enforcements!$C$7:$K$21,8,0)</f>
        <v>#N/A</v>
      </c>
      <c r="AC33" s="60" t="e">
        <f>VLOOKUP(A33,Enforcements!$C$7:$E$21,3,0)</f>
        <v>#N/A</v>
      </c>
      <c r="AD33" s="61" t="str">
        <f>IF(LEN(A33)=6,"0"&amp;A33,A33)</f>
        <v>0121-13</v>
      </c>
      <c r="AE33" s="91" t="str">
        <f>"aws s3 cp "&amp;s3_bucket&amp;"/RTDC"&amp;B33&amp;"/ "&amp;search_path&amp;"\RTDC"&amp;B33&amp;"\"&amp;TEXT(F33,"YYYY-MM-DD")&amp;" --exclude ""*"" --recursive --include ""*"&amp;TEXT(F33,"YYYYMMDD")&amp;"*"" &amp; """&amp;walkandungz&amp;""" "&amp;search_path&amp;"\RTDC"&amp;B33&amp;"\"&amp;TEXT(F33,"YYYY-MM-DD")
&amp;" &amp; "&amp;"aws s3 cp "&amp;s3_bucket&amp;"/RTDC"&amp;B33&amp;"/ "&amp;search_path&amp;"\RTDC"&amp;B33&amp;"\"&amp;TEXT(F33+1,"YYYY-MM-DD")&amp;" --exclude ""*"" --recursive --include ""*"&amp;TEXT(F33+1,"YYYYMMDD")&amp;"*"" &amp; """&amp;walkandungz&amp;""" "&amp;search_path&amp;"\RTDC"&amp;B33&amp;"\"&amp;TEXT(F33+1,"YYYY-MM-DD")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33" s="88" t="str">
        <f>astrogrep_path&amp;" /spath="&amp;search_path&amp;" /stypes=""app*"&amp;B33&amp;"*"&amp;TEXT(I33-utc_offset/24,"YYYYMMDD")&amp;"*"" /stext="" "&amp;TEXT(I33-utc_offset/24,"HH")&amp;search_regexp&amp;""" /e /r /s"</f>
        <v>"C:\Program Files (x86)\AstroGrep\AstroGrep.exe" /spath="%USERPROFILE%\AppData\Local\Temp\OnboardLogs" /stypes="app*4018*20161013*" /stext=" 13:.+((SYSTEM_STATE.+slice.+state.+changed )|(ment ac)|(system.+state.+changed )|(\[timeout)|(PRM\|1\|D)|(kpr)|(kdp)|(\|lc)|(penalty))" /e /r /s</v>
      </c>
      <c r="AG33" s="1" t="str">
        <f>IFERROR(IF(VALUE(LEFT(AD33,2))&lt;=2,"EC",IF(OR(VALUE(LEFT(AD33,2))=8,VALUE(LEFT(AD33,2))=18),"NW","Other")),"Other")</f>
        <v>EC</v>
      </c>
      <c r="AH33" s="92" t="str">
        <f t="shared" si="2"/>
        <v>"%USERPROFILE%\Documents\GitHub\eaglep3\Utilities\RefineRTDCRunTimes.py" --tripid 121-13 --locoid 4018 --swversion DE.1.0.7.0 --startMP 204:464 --initTime 2016-10-13T06:10:19 --startdatetime 2016-10-13T07:11:41 --delay 1 --endMP 204:233281 --enddatetime 2016-10-13T07:50:54 --enforcementcount 1 &gt;&gt;C:\Users\stu\Documents\GitHub\eaglep3-reporting\EC\2016-10-13-refined-times.txt</v>
      </c>
      <c r="AI33" s="122" t="str">
        <f t="shared" si="3"/>
        <v>echo {"issue":{"subject":"","project_id":79,"tracker_id":40,"status_id":1,"priority_id":2,"assigned_to_id":23,"start_date":"2016-10-13","description":"","custom_fields":[{"id":1,"name":"Subdivision","value":"EC"},{"id":4,"name":"Milepost","value":"23.3281"},{"id":17,"name":"Train ID","value":"121-13"},{"id":16,"name":"Locomotive ID","value":"4018"},{"id":130,"name":"Impact","value":""},{"id":150,"name":"Time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459</v>
      </c>
      <c r="B34" s="7">
        <v>4017</v>
      </c>
      <c r="C34" s="22" t="s">
        <v>99</v>
      </c>
      <c r="D34" s="22" t="s">
        <v>624</v>
      </c>
      <c r="E34" s="13">
        <v>42656.294745370367</v>
      </c>
      <c r="F34" s="13">
        <v>42656.299780092595</v>
      </c>
      <c r="G34" s="7">
        <v>1</v>
      </c>
      <c r="H34" s="13" t="s">
        <v>177</v>
      </c>
      <c r="I34" s="13">
        <v>42656.327013888891</v>
      </c>
      <c r="J34" s="7">
        <v>1</v>
      </c>
      <c r="K34" s="112" t="str">
        <f>IF(ISEVEN(B34),(B34-1)&amp;"/"&amp;B34,B34&amp;"/"&amp;(B34+1))</f>
        <v>4017/4018</v>
      </c>
      <c r="L34" s="22" t="str">
        <f>VLOOKUP(A34,'Trips&amp;Operators'!$C$1:$E$10000,3,FALSE)</f>
        <v>STRICKLAND</v>
      </c>
      <c r="M34" s="6">
        <f>I34-F34</f>
        <v>2.7233796296059154E-2</v>
      </c>
      <c r="N34" s="7">
        <f>24*60*SUM($M34:$M34)</f>
        <v>39.216666666325182</v>
      </c>
      <c r="O34" s="7"/>
      <c r="P34" s="7"/>
      <c r="Q34" s="23"/>
      <c r="R34" s="23"/>
      <c r="S34" s="35">
        <f>SUM(U34:U34)/IF(AG34="EC",12,1)</f>
        <v>1</v>
      </c>
      <c r="T34" s="50" t="str">
        <f>IF(ISEVEN(LEFT(AD34,4)),"Southbound","NorthBound")</f>
        <v>Southbound</v>
      </c>
      <c r="U34" s="144">
        <f>IF(AG34="EC",COUNTIFS(Variables!$M$2:$M$19,IF(T34="NorthBound","&gt;=","&lt;=")&amp;Y34,Variables!$M$2:$M$19,IF(T34="NorthBound","&lt;=","&gt;=")&amp;Z34),COUNTIFS(Variables!$P$2:$P$19,IF(T34="NorthBound","&gt;=","&lt;=")&amp;Y34,Variables!$P$2:$P$19,IF(T34="NorthBound","&lt;=","&gt;=")&amp;Z34))</f>
        <v>12</v>
      </c>
      <c r="V34" s="98" t="str">
        <f>"https://search-rtdc-monitor-bjffxe2xuh6vdkpspy63sjmuny.us-east-1.es.amazonaws.com/_plugin/kibana/#/discover/Steve-Slow-Train-Analysis-(2080s-and-2083s)?_g=(refreshInterval:(display:Off,section:0,value:0),time:(from:'"&amp;TEXT(E34-1/24,"yyyy-MM-DD hh:mm:ss")&amp;"-0600',mode:absolute,to:'"&amp;TEXT(I34+1/24,"yyyy-MM-DD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34&amp;"%22')),sort:!(Time,asc))"</f>
        <v>https://search-rtdc-monitor-bjffxe2xuh6vdkpspy63sjmuny.us-east-1.es.amazonaws.com/_plugin/kibana/#/discover/Steve-Slow-Train-Analysis-(2080s-and-2083s)?_g=(refreshInterval:(display:Off,section:0,value:0),time:(from:'2016-10-13 06:04:26-0600',mode:absolute,to:'2016-10-13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34" s="52" t="str">
        <f>IF(AA34&lt;IF(AG34="EC",23,5.65),"Y","N")</f>
        <v>N</v>
      </c>
      <c r="X34" s="149">
        <f>VALUE(LEFT(AD34,4))-VALUE(LEFT(AD33,4))</f>
        <v>1</v>
      </c>
      <c r="Y34" s="67">
        <f>RIGHT(D34,LEN(D34)-4)/10000</f>
        <v>23.296600000000002</v>
      </c>
      <c r="Z34" s="67">
        <f>RIGHT(H34,LEN(H34)-4)/10000</f>
        <v>1.52E-2</v>
      </c>
      <c r="AA34" s="67">
        <f>ABS(Z34-Y34)</f>
        <v>23.281400000000001</v>
      </c>
      <c r="AB34" s="64" t="e">
        <f>VLOOKUP(A34,Enforcements!$C$7:$K$21,8,0)</f>
        <v>#N/A</v>
      </c>
      <c r="AC34" s="60" t="e">
        <f>VLOOKUP(A34,Enforcements!$C$7:$E$21,3,0)</f>
        <v>#N/A</v>
      </c>
      <c r="AD34" s="61" t="str">
        <f>IF(LEN(A34)=6,"0"&amp;A34,A34)</f>
        <v>0122-13</v>
      </c>
      <c r="AE34" s="91" t="str">
        <f>"aws s3 cp "&amp;s3_bucket&amp;"/RTDC"&amp;B34&amp;"/ "&amp;search_path&amp;"\RTDC"&amp;B34&amp;"\"&amp;TEXT(F34,"YYYY-MM-DD")&amp;" --exclude ""*"" --recursive --include ""*"&amp;TEXT(F34,"YYYYMMDD")&amp;"*"" &amp; """&amp;walkandungz&amp;""" "&amp;search_path&amp;"\RTDC"&amp;B34&amp;"\"&amp;TEXT(F34,"YYYY-MM-DD")
&amp;" &amp; "&amp;"aws s3 cp "&amp;s3_bucket&amp;"/RTDC"&amp;B34&amp;"/ "&amp;search_path&amp;"\RTDC"&amp;B34&amp;"\"&amp;TEXT(F34+1,"YYYY-MM-DD")&amp;" --exclude ""*"" --recursive --include ""*"&amp;TEXT(F34+1,"YYYYMMDD")&amp;"*"" &amp; """&amp;walkandungz&amp;""" "&amp;search_path&amp;"\RTDC"&amp;B34&amp;"\"&amp;TEXT(F34+1,"YYYY-MM-DD")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34" s="88" t="str">
        <f>astrogrep_path&amp;" /spath="&amp;search_path&amp;" /stypes=""app*"&amp;B34&amp;"*"&amp;TEXT(I34-utc_offset/24,"YYYYMMDD")&amp;"*"" /stext="" "&amp;TEXT(I34-utc_offset/24,"HH")&amp;search_regexp&amp;""" /e /r /s"</f>
        <v>"C:\Program Files (x86)\AstroGrep\AstroGrep.exe" /spath="%USERPROFILE%\AppData\Local\Temp\OnboardLogs" /stypes="app*4017*20161013*" /stext=" 13:.+((SYSTEM_STATE.+slice.+state.+changed )|(ment ac)|(system.+state.+changed )|(\[timeout)|(PRM\|1\|D)|(kpr)|(kdp)|(\|lc)|(penalty))" /e /r /s</v>
      </c>
      <c r="AG34" s="1" t="str">
        <f>IFERROR(IF(VALUE(LEFT(AD34,2))&lt;=2,"EC",IF(OR(VALUE(LEFT(AD34,2))=8,VALUE(LEFT(AD34,2))=18),"NW","Other")),"Other")</f>
        <v>EC</v>
      </c>
      <c r="AH34" s="92" t="str">
        <f t="shared" si="2"/>
        <v>"%USERPROFILE%\Documents\GitHub\eaglep3\Utilities\RefineRTDCRunTimes.py" --tripid 122-13 --locoid 4017 --swversion DE.1.0.7.0 --startMP 204:232966 --initTime 2016-10-13T07:04:26 --startdatetime 2016-10-13T07:11:41 --delay 1 --endMP 204:152 --enddatetime 2016-10-13T07:50:54 --enforcementcount 1 &gt;&gt;C:\Users\stu\Documents\GitHub\eaglep3-reporting\EC\2016-10-13-refined-times.txt</v>
      </c>
      <c r="AI34" s="122" t="str">
        <f t="shared" si="3"/>
        <v>echo {"issue":{"subject":"","project_id":79,"tracker_id":40,"status_id":1,"priority_id":2,"assigned_to_id":23,"start_date":"2016-10-13","description":"","custom_fields":[{"id":1,"name":"Subdivision","value":"EC"},{"id":4,"name":"Milepost","value":"0.0152"},{"id":17,"name":"Train ID","value":"122-13"},{"id":16,"name":"Locomotive ID","value":"4017"},{"id":130,"name":"Impact","value":""},{"id":150,"name":"Time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452</v>
      </c>
      <c r="B35" s="7">
        <v>4003</v>
      </c>
      <c r="C35" s="22" t="s">
        <v>99</v>
      </c>
      <c r="D35" s="22" t="s">
        <v>307</v>
      </c>
      <c r="E35" s="13">
        <v>42656.268159722225</v>
      </c>
      <c r="F35" s="13">
        <v>42656.271192129629</v>
      </c>
      <c r="G35" s="7">
        <v>1</v>
      </c>
      <c r="H35" s="13" t="s">
        <v>271</v>
      </c>
      <c r="I35" s="13">
        <v>42656.295370370368</v>
      </c>
      <c r="J35" s="7">
        <v>1</v>
      </c>
      <c r="K35" s="112" t="str">
        <f>IF(ISEVEN(B35),(B35-1)&amp;"/"&amp;B35,B35&amp;"/"&amp;(B35+1))</f>
        <v>4003/4004</v>
      </c>
      <c r="L35" s="22" t="str">
        <f>VLOOKUP(A35,'Trips&amp;Operators'!$C$1:$E$10000,3,FALSE)</f>
        <v>ROCHA</v>
      </c>
      <c r="M35" s="6">
        <f>I35-F35</f>
        <v>2.417824073927477E-2</v>
      </c>
      <c r="N35" s="7">
        <f>24*60*SUM($M35:$M35)</f>
        <v>34.816666664555669</v>
      </c>
      <c r="O35" s="7"/>
      <c r="P35" s="7"/>
      <c r="Q35" s="23"/>
      <c r="R35" s="23"/>
      <c r="S35" s="35">
        <f>SUM(U35:U35)/IF(AG35="EC",12,1)</f>
        <v>1</v>
      </c>
      <c r="T35" s="50" t="str">
        <f>IF(ISEVEN(LEFT(AD35,4)),"Southbound","NorthBound")</f>
        <v>NorthBound</v>
      </c>
      <c r="U35" s="144">
        <f>IF(AG35="EC",COUNTIFS(Variables!$M$2:$M$19,IF(T35="NorthBound","&gt;=","&lt;=")&amp;Y35,Variables!$M$2:$M$19,IF(T35="NorthBound","&lt;=","&gt;=")&amp;Z35),COUNTIFS(Variables!$P$2:$P$19,IF(T35="NorthBound","&gt;=","&lt;=")&amp;Y35,Variables!$P$2:$P$19,IF(T35="NorthBound","&lt;=","&gt;=")&amp;Z35))</f>
        <v>12</v>
      </c>
      <c r="V35" s="98" t="str">
        <f>"https://search-rtdc-monitor-bjffxe2xuh6vdkpspy63sjmuny.us-east-1.es.amazonaws.com/_plugin/kibana/#/discover/Steve-Slow-Train-Analysis-(2080s-and-2083s)?_g=(refreshInterval:(display:Off,section:0,value:0),time:(from:'"&amp;TEXT(E35-1/24,"yyyy-MM-DD hh:mm:ss")&amp;"-0600',mode:absolute,to:'"&amp;TEXT(I35+1/24,"yyyy-MM-DD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35&amp;"%22')),sort:!(Time,asc))"</f>
        <v>https://search-rtdc-monitor-bjffxe2xuh6vdkpspy63sjmuny.us-east-1.es.amazonaws.com/_plugin/kibana/#/discover/Steve-Slow-Train-Analysis-(2080s-and-2083s)?_g=(refreshInterval:(display:Off,section:0,value:0),time:(from:'2016-10-13 05:26:09-0600',mode:absolute,to:'2016-10-13 08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5" s="52" t="str">
        <f>IF(AA35&lt;IF(AG35="EC",23,5.65),"Y","N")</f>
        <v>N</v>
      </c>
      <c r="X35" s="149">
        <f>VALUE(LEFT(AD35,4))-VALUE(LEFT(AD34,4))</f>
        <v>1</v>
      </c>
      <c r="Y35" s="67">
        <f>RIGHT(D35,LEN(D35)-4)/10000</f>
        <v>4.4600000000000001E-2</v>
      </c>
      <c r="Z35" s="67">
        <f>RIGHT(H35,LEN(H35)-4)/10000</f>
        <v>23.328600000000002</v>
      </c>
      <c r="AA35" s="67">
        <f>ABS(Z35-Y35)</f>
        <v>23.284000000000002</v>
      </c>
      <c r="AB35" s="64" t="e">
        <f>VLOOKUP(A35,Enforcements!$C$7:$K$21,8,0)</f>
        <v>#N/A</v>
      </c>
      <c r="AC35" s="60" t="e">
        <f>VLOOKUP(A35,Enforcements!$C$7:$E$21,3,0)</f>
        <v>#N/A</v>
      </c>
      <c r="AD35" s="61" t="str">
        <f>IF(LEN(A35)=6,"0"&amp;A35,A35)</f>
        <v>0123-13</v>
      </c>
      <c r="AE35" s="91" t="str">
        <f>"aws s3 cp "&amp;s3_bucket&amp;"/RTDC"&amp;B35&amp;"/ "&amp;search_path&amp;"\RTDC"&amp;B35&amp;"\"&amp;TEXT(F35,"YYYY-MM-DD")&amp;" --exclude ""*"" --recursive --include ""*"&amp;TEXT(F35,"YYYYMMDD")&amp;"*"" &amp; """&amp;walkandungz&amp;""" "&amp;search_path&amp;"\RTDC"&amp;B35&amp;"\"&amp;TEXT(F35,"YYYY-MM-DD")
&amp;" &amp; "&amp;"aws s3 cp "&amp;s3_bucket&amp;"/RTDC"&amp;B35&amp;"/ "&amp;search_path&amp;"\RTDC"&amp;B35&amp;"\"&amp;TEXT(F35+1,"YYYY-MM-DD")&amp;" --exclude ""*"" --recursive --include ""*"&amp;TEXT(F35+1,"YYYYMMDD")&amp;"*"" &amp; """&amp;walkandungz&amp;""" "&amp;search_path&amp;"\RTDC"&amp;B35&amp;"\"&amp;TEXT(F35+1,"YYYY-MM-DD")</f>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35" s="88" t="str">
        <f>astrogrep_path&amp;" /spath="&amp;search_path&amp;" /stypes=""app*"&amp;B35&amp;"*"&amp;TEXT(I35-utc_offset/24,"YYYYMMDD")&amp;"*"" /stext="" "&amp;TEXT(I35-utc_offset/24,"HH")&amp;search_regexp&amp;""" /e /r /s"</f>
        <v>"C:\Program Files (x86)\AstroGrep\AstroGrep.exe" /spath="%USERPROFILE%\AppData\Local\Temp\OnboardLogs" /stypes="app*4003*20161013*" /stext=" 13:.+((SYSTEM_STATE.+slice.+state.+changed )|(ment ac)|(system.+state.+changed )|(\[timeout)|(PRM\|1\|D)|(kpr)|(kdp)|(\|lc)|(penalty))" /e /r /s</v>
      </c>
      <c r="AG35" s="1" t="str">
        <f>IFERROR(IF(VALUE(LEFT(AD35,2))&lt;=2,"EC",IF(OR(VALUE(LEFT(AD35,2))=8,VALUE(LEFT(AD35,2))=18),"NW","Other")),"Other")</f>
        <v>EC</v>
      </c>
      <c r="AH35" s="92" t="str">
        <f t="shared" si="2"/>
        <v>"%USERPROFILE%\Documents\GitHub\eaglep3\Utilities\RefineRTDCRunTimes.py" --tripid 123-13 --locoid 4003 --swversion DE.1.0.7.0 --startMP 204:446 --initTime 2016-10-13T06:26:09 --startdatetime 2016-10-13T06:30:31 --delay 1 --endMP 204:233286 --enddatetime 2016-10-13T07:05:20 --enforcementcount 1 &gt;&gt;C:\Users\stu\Documents\GitHub\eaglep3-reporting\EC\2016-10-13-refined-times.txt</v>
      </c>
      <c r="AI35" s="122" t="str">
        <f t="shared" si="3"/>
        <v>echo {"issue":{"subject":"","project_id":79,"tracker_id":40,"status_id":1,"priority_id":2,"assigned_to_id":23,"start_date":"2016-10-13","description":"","custom_fields":[{"id":1,"name":"Subdivision","value":"EC"},{"id":4,"name":"Milepost","value":"23.3286"},{"id":17,"name":"Train ID","value":"123-13"},{"id":16,"name":"Locomotive ID","value":"4003"},{"id":130,"name":"Impact","value":""},{"id":150,"name":"Time of Event (Mountain Time)","value":"07:05:20"},{"id":151,"name":"Denver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461</v>
      </c>
      <c r="B36" s="7">
        <v>4004</v>
      </c>
      <c r="C36" s="22" t="s">
        <v>99</v>
      </c>
      <c r="D36" s="22" t="s">
        <v>286</v>
      </c>
      <c r="E36" s="13">
        <v>42656.308449074073</v>
      </c>
      <c r="F36" s="13">
        <v>42656.310428240744</v>
      </c>
      <c r="G36" s="7">
        <v>2</v>
      </c>
      <c r="H36" s="13" t="s">
        <v>260</v>
      </c>
      <c r="I36" s="13">
        <v>42656.335393518515</v>
      </c>
      <c r="J36" s="7">
        <v>1</v>
      </c>
      <c r="K36" s="112" t="str">
        <f>IF(ISEVEN(B36),(B36-1)&amp;"/"&amp;B36,B36&amp;"/"&amp;(B36+1))</f>
        <v>4003/4004</v>
      </c>
      <c r="L36" s="22" t="str">
        <f>VLOOKUP(A36,'Trips&amp;Operators'!$C$1:$E$10000,3,FALSE)</f>
        <v>ROCHA</v>
      </c>
      <c r="M36" s="6">
        <f>I36-F36</f>
        <v>2.4965277771116234E-2</v>
      </c>
      <c r="N36" s="7">
        <f>24*60*SUM($M36:$M36)</f>
        <v>35.949999990407377</v>
      </c>
      <c r="O36" s="7"/>
      <c r="P36" s="7"/>
      <c r="Q36" s="23"/>
      <c r="R36" s="23"/>
      <c r="S36" s="35">
        <f>SUM(U36:U36)/IF(AG36="EC",12,1)</f>
        <v>1</v>
      </c>
      <c r="T36" s="50" t="str">
        <f>IF(ISEVEN(LEFT(AD36,4)),"Southbound","NorthBound")</f>
        <v>Southbound</v>
      </c>
      <c r="U36" s="144">
        <f>IF(AG36="EC",COUNTIFS(Variables!$M$2:$M$19,IF(T36="NorthBound","&gt;=","&lt;=")&amp;Y36,Variables!$M$2:$M$19,IF(T36="NorthBound","&lt;=","&gt;=")&amp;Z36),COUNTIFS(Variables!$P$2:$P$19,IF(T36="NorthBound","&gt;=","&lt;=")&amp;Y36,Variables!$P$2:$P$19,IF(T36="NorthBound","&lt;=","&gt;=")&amp;Z36))</f>
        <v>12</v>
      </c>
      <c r="V36" s="98" t="str">
        <f>"https://search-rtdc-monitor-bjffxe2xuh6vdkpspy63sjmuny.us-east-1.es.amazonaws.com/_plugin/kibana/#/discover/Steve-Slow-Train-Analysis-(2080s-and-2083s)?_g=(refreshInterval:(display:Off,section:0,value:0),time:(from:'"&amp;TEXT(E36-1/24,"yyyy-MM-DD hh:mm:ss")&amp;"-0600',mode:absolute,to:'"&amp;TEXT(I36+1/24,"yyyy-MM-DD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36&amp;"%22')),sort:!(Time,asc))"</f>
        <v>https://search-rtdc-monitor-bjffxe2xuh6vdkpspy63sjmuny.us-east-1.es.amazonaws.com/_plugin/kibana/#/discover/Steve-Slow-Train-Analysis-(2080s-and-2083s)?_g=(refreshInterval:(display:Off,section:0,value:0),time:(from:'2016-10-13 06:24:10-0600',mode:absolute,to:'2016-10-13 09:02: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6" s="52" t="str">
        <f>IF(AA36&lt;IF(AG36="EC",23,5.65),"Y","N")</f>
        <v>N</v>
      </c>
      <c r="X36" s="149">
        <f>VALUE(LEFT(AD36,4))-VALUE(LEFT(AD35,4))</f>
        <v>1</v>
      </c>
      <c r="Y36" s="67">
        <f>RIGHT(D36,LEN(D36)-4)/10000</f>
        <v>23.299199999999999</v>
      </c>
      <c r="Z36" s="67">
        <f>RIGHT(H36,LEN(H36)-4)/10000</f>
        <v>1.54E-2</v>
      </c>
      <c r="AA36" s="67">
        <f>ABS(Z36-Y36)</f>
        <v>23.283799999999999</v>
      </c>
      <c r="AB36" s="64" t="e">
        <f>VLOOKUP(A36,Enforcements!$C$7:$K$21,8,0)</f>
        <v>#N/A</v>
      </c>
      <c r="AC36" s="60" t="e">
        <f>VLOOKUP(A36,Enforcements!$C$7:$E$21,3,0)</f>
        <v>#N/A</v>
      </c>
      <c r="AD36" s="61" t="str">
        <f>IF(LEN(A36)=6,"0"&amp;A36,A36)</f>
        <v>0124-13</v>
      </c>
      <c r="AE36" s="91" t="str">
        <f>"aws s3 cp "&amp;s3_bucket&amp;"/RTDC"&amp;B36&amp;"/ "&amp;search_path&amp;"\RTDC"&amp;B36&amp;"\"&amp;TEXT(F36,"YYYY-MM-DD")&amp;" --exclude ""*"" --recursive --include ""*"&amp;TEXT(F36,"YYYYMMDD")&amp;"*"" &amp; """&amp;walkandungz&amp;""" "&amp;search_path&amp;"\RTDC"&amp;B36&amp;"\"&amp;TEXT(F36,"YYYY-MM-DD")
&amp;" &amp; "&amp;"aws s3 cp "&amp;s3_bucket&amp;"/RTDC"&amp;B36&amp;"/ "&amp;search_path&amp;"\RTDC"&amp;B36&amp;"\"&amp;TEXT(F36+1,"YYYY-MM-DD")&amp;" --exclude ""*"" --recursive --include ""*"&amp;TEXT(F36+1,"YYYYMMDD")&amp;"*"" &amp; """&amp;walkandungz&amp;""" "&amp;search_path&amp;"\RTDC"&amp;B36&amp;"\"&amp;TEXT(F36+1,"YYYY-MM-DD")</f>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36" s="88" t="str">
        <f>astrogrep_path&amp;" /spath="&amp;search_path&amp;" /stypes=""app*"&amp;B36&amp;"*"&amp;TEXT(I36-utc_offset/24,"YYYYMMDD")&amp;"*"" /stext="" "&amp;TEXT(I36-utc_offset/24,"HH")&amp;search_regexp&amp;""" /e /r /s"</f>
        <v>"C:\Program Files (x86)\AstroGrep\AstroGrep.exe" /spath="%USERPROFILE%\AppData\Local\Temp\OnboardLogs" /stypes="app*4004*20161013*" /stext=" 14:.+((SYSTEM_STATE.+slice.+state.+changed )|(ment ac)|(system.+state.+changed )|(\[timeout)|(PRM\|1\|D)|(kpr)|(kdp)|(\|lc)|(penalty))" /e /r /s</v>
      </c>
      <c r="AG36" s="1" t="str">
        <f>IFERROR(IF(VALUE(LEFT(AD36,2))&lt;=2,"EC",IF(OR(VALUE(LEFT(AD36,2))=8,VALUE(LEFT(AD36,2))=18),"NW","Other")),"Other")</f>
        <v>EC</v>
      </c>
      <c r="AH36" s="92" t="str">
        <f t="shared" si="2"/>
        <v>"%USERPROFILE%\Documents\GitHub\eaglep3\Utilities\RefineRTDCRunTimes.py" --tripid 124-13 --locoid 4004 --swversion DE.1.0.7.0 --startMP 204:232992 --initTime 2016-10-13T07:24:10 --startdatetime 2016-10-13T07:27:01 --delay 2 --endMP 204:154 --enddatetime 2016-10-13T08:02:58 --enforcementcount 1 &gt;&gt;C:\Users\stu\Documents\GitHub\eaglep3-reporting\EC\2016-10-13-refined-times.txt</v>
      </c>
      <c r="AI36" s="122" t="str">
        <f t="shared" si="3"/>
        <v>echo {"issue":{"subject":"","project_id":79,"tracker_id":40,"status_id":1,"priority_id":2,"assigned_to_id":23,"start_date":"2016-10-13","description":"","custom_fields":[{"id":1,"name":"Subdivision","value":"EC"},{"id":4,"name":"Milepost","value":"0.0154"},{"id":17,"name":"Train ID","value":"124-13"},{"id":16,"name":"Locomotive ID","value":"4004"},{"id":130,"name":"Impact","value":""},{"id":150,"name":"Time of Event (Mountain Time)","value":"08:02:58"},{"id":151,"name":"Denver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456</v>
      </c>
      <c r="B37" s="7">
        <v>4038</v>
      </c>
      <c r="C37" s="22" t="s">
        <v>99</v>
      </c>
      <c r="D37" s="22" t="s">
        <v>319</v>
      </c>
      <c r="E37" s="13">
        <v>42656.279409722221</v>
      </c>
      <c r="F37" s="13">
        <v>42656.281909722224</v>
      </c>
      <c r="G37" s="7">
        <v>1</v>
      </c>
      <c r="H37" s="13" t="s">
        <v>322</v>
      </c>
      <c r="I37" s="13">
        <v>42656.307152777779</v>
      </c>
      <c r="J37" s="7">
        <v>1</v>
      </c>
      <c r="K37" s="112" t="str">
        <f>IF(ISEVEN(B37),(B37-1)&amp;"/"&amp;B37,B37&amp;"/"&amp;(B37+1))</f>
        <v>4037/4038</v>
      </c>
      <c r="L37" s="22" t="str">
        <f>VLOOKUP(A37,'Trips&amp;Operators'!$C$1:$E$10000,3,FALSE)</f>
        <v>STARKS</v>
      </c>
      <c r="M37" s="6">
        <f>I37-F37</f>
        <v>2.5243055555620231E-2</v>
      </c>
      <c r="N37" s="7">
        <f>24*60*SUM($M37:$M37)</f>
        <v>36.350000000093132</v>
      </c>
      <c r="O37" s="7"/>
      <c r="P37" s="7"/>
      <c r="Q37" s="23"/>
      <c r="R37" s="23"/>
      <c r="S37" s="35">
        <f>SUM(U37:U37)/IF(AG37="EC",12,1)</f>
        <v>1</v>
      </c>
      <c r="T37" s="50" t="str">
        <f>IF(ISEVEN(LEFT(AD37,4)),"Southbound","NorthBound")</f>
        <v>NorthBound</v>
      </c>
      <c r="U37" s="144">
        <f>IF(AG37="EC",COUNTIFS(Variables!$M$2:$M$19,IF(T37="NorthBound","&gt;=","&lt;=")&amp;Y37,Variables!$M$2:$M$19,IF(T37="NorthBound","&lt;=","&gt;=")&amp;Z37),COUNTIFS(Variables!$P$2:$P$19,IF(T37="NorthBound","&gt;=","&lt;=")&amp;Y37,Variables!$P$2:$P$19,IF(T37="NorthBound","&lt;=","&gt;=")&amp;Z37))</f>
        <v>12</v>
      </c>
      <c r="V37" s="98" t="str">
        <f>"https://search-rtdc-monitor-bjffxe2xuh6vdkpspy63sjmuny.us-east-1.es.amazonaws.com/_plugin/kibana/#/discover/Steve-Slow-Train-Analysis-(2080s-and-2083s)?_g=(refreshInterval:(display:Off,section:0,value:0),time:(from:'"&amp;TEXT(E37-1/24,"yyyy-MM-DD hh:mm:ss")&amp;"-0600',mode:absolute,to:'"&amp;TEXT(I37+1/24,"yyyy-MM-DD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37&amp;"%22')),sort:!(Time,asc))"</f>
        <v>https://search-rtdc-monitor-bjffxe2xuh6vdkpspy63sjmuny.us-east-1.es.amazonaws.com/_plugin/kibana/#/discover/Steve-Slow-Train-Analysis-(2080s-and-2083s)?_g=(refreshInterval:(display:Off,section:0,value:0),time:(from:'2016-10-13 05:42:21-0600',mode:absolute,to:'2016-10-13 08:22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37" s="52" t="str">
        <f>IF(AA37&lt;IF(AG37="EC",23,5.65),"Y","N")</f>
        <v>N</v>
      </c>
      <c r="X37" s="149">
        <f>VALUE(LEFT(AD37,4))-VALUE(LEFT(AD36,4))</f>
        <v>1</v>
      </c>
      <c r="Y37" s="67">
        <f>RIGHT(D37,LEN(D37)-4)/10000</f>
        <v>4.5999999999999999E-2</v>
      </c>
      <c r="Z37" s="67">
        <f>RIGHT(H37,LEN(H37)-4)/10000</f>
        <v>23.330400000000001</v>
      </c>
      <c r="AA37" s="67">
        <f>ABS(Z37-Y37)</f>
        <v>23.284400000000002</v>
      </c>
      <c r="AB37" s="64" t="e">
        <f>VLOOKUP(A37,Enforcements!$C$7:$K$21,8,0)</f>
        <v>#N/A</v>
      </c>
      <c r="AC37" s="60" t="e">
        <f>VLOOKUP(A37,Enforcements!$C$7:$E$21,3,0)</f>
        <v>#N/A</v>
      </c>
      <c r="AD37" s="61" t="str">
        <f>IF(LEN(A37)=6,"0"&amp;A37,A37)</f>
        <v>0125-13</v>
      </c>
      <c r="AE37" s="91" t="str">
        <f>"aws s3 cp "&amp;s3_bucket&amp;"/RTDC"&amp;B37&amp;"/ "&amp;search_path&amp;"\RTDC"&amp;B37&amp;"\"&amp;TEXT(F37,"YYYY-MM-DD")&amp;" --exclude ""*"" --recursive --include ""*"&amp;TEXT(F37,"YYYYMMDD")&amp;"*"" &amp; """&amp;walkandungz&amp;""" "&amp;search_path&amp;"\RTDC"&amp;B37&amp;"\"&amp;TEXT(F37,"YYYY-MM-DD")
&amp;" &amp; "&amp;"aws s3 cp "&amp;s3_bucket&amp;"/RTDC"&amp;B37&amp;"/ "&amp;search_path&amp;"\RTDC"&amp;B37&amp;"\"&amp;TEXT(F37+1,"YYYY-MM-DD")&amp;" --exclude ""*"" --recursive --include ""*"&amp;TEXT(F37+1,"YYYYMMDD")&amp;"*"" &amp; """&amp;walkandungz&amp;""" "&amp;search_path&amp;"\RTDC"&amp;B37&amp;"\"&amp;TEXT(F37+1,"YYYY-MM-DD")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37" s="88" t="str">
        <f>astrogrep_path&amp;" /spath="&amp;search_path&amp;" /stypes=""app*"&amp;B37&amp;"*"&amp;TEXT(I37-utc_offset/24,"YYYYMMDD")&amp;"*"" /stext="" "&amp;TEXT(I37-utc_offset/24,"HH")&amp;search_regexp&amp;""" /e /r /s"</f>
        <v>"C:\Program Files (x86)\AstroGrep\AstroGrep.exe" /spath="%USERPROFILE%\AppData\Local\Temp\OnboardLogs" /stypes="app*4038*20161013*" /stext=" 13:.+((SYSTEM_STATE.+slice.+state.+changed )|(ment ac)|(system.+state.+changed )|(\[timeout)|(PRM\|1\|D)|(kpr)|(kdp)|(\|lc)|(penalty))" /e /r /s</v>
      </c>
      <c r="AG37" s="1" t="str">
        <f>IFERROR(IF(VALUE(LEFT(AD37,2))&lt;=2,"EC",IF(OR(VALUE(LEFT(AD37,2))=8,VALUE(LEFT(AD37,2))=18),"NW","Other")),"Other")</f>
        <v>EC</v>
      </c>
      <c r="AH37" s="92" t="str">
        <f t="shared" si="2"/>
        <v>"%USERPROFILE%\Documents\GitHub\eaglep3\Utilities\RefineRTDCRunTimes.py" --tripid 125-13 --locoid 4038 --swversion DE.1.0.7.0 --startMP 204:460 --initTime 2016-10-13T06:42:21 --startdatetime 2016-10-13T06:45:57 --delay 1 --endMP 204:233304 --enddatetime 2016-10-13T07:22:18 --enforcementcount 1 &gt;&gt;C:\Users\stu\Documents\GitHub\eaglep3-reporting\EC\2016-10-13-refined-times.txt</v>
      </c>
      <c r="AI37" s="122" t="str">
        <f t="shared" si="3"/>
        <v>echo {"issue":{"subject":"","project_id":79,"tracker_id":40,"status_id":1,"priority_id":2,"assigned_to_id":23,"start_date":"2016-10-13","description":"","custom_fields":[{"id":1,"name":"Subdivision","value":"EC"},{"id":4,"name":"Milepost","value":"23.3304"},{"id":17,"name":"Train ID","value":"125-13"},{"id":16,"name":"Locomotive ID","value":"4038"},{"id":130,"name":"Impact","value":""},{"id":150,"name":"Time of Event (Mountain Time)","value":"07:22:18"},{"id":151,"name":"Denver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463</v>
      </c>
      <c r="B38" s="7">
        <v>4037</v>
      </c>
      <c r="C38" s="22" t="s">
        <v>99</v>
      </c>
      <c r="D38" s="22" t="s">
        <v>615</v>
      </c>
      <c r="E38" s="13">
        <v>42656.315937500003</v>
      </c>
      <c r="F38" s="13">
        <v>42656.320601851854</v>
      </c>
      <c r="G38" s="7">
        <v>1</v>
      </c>
      <c r="H38" s="13" t="s">
        <v>273</v>
      </c>
      <c r="I38" s="13">
        <v>42656.347569444442</v>
      </c>
      <c r="J38" s="7">
        <v>1</v>
      </c>
      <c r="K38" s="112" t="str">
        <f>IF(ISEVEN(B38),(B38-1)&amp;"/"&amp;B38,B38&amp;"/"&amp;(B38+1))</f>
        <v>4037/4038</v>
      </c>
      <c r="L38" s="22" t="str">
        <f>VLOOKUP(A38,'Trips&amp;Operators'!$C$1:$E$10000,3,FALSE)</f>
        <v>STARKS</v>
      </c>
      <c r="M38" s="6">
        <f>I38-F38</f>
        <v>2.696759258833481E-2</v>
      </c>
      <c r="N38" s="7">
        <f>24*60*SUM($M38:$M38)</f>
        <v>38.833333327202126</v>
      </c>
      <c r="O38" s="7"/>
      <c r="P38" s="7"/>
      <c r="Q38" s="23"/>
      <c r="R38" s="23"/>
      <c r="S38" s="35">
        <f>SUM(U38:U38)/IF(AG38="EC",12,1)</f>
        <v>1</v>
      </c>
      <c r="T38" s="50" t="str">
        <f>IF(ISEVEN(LEFT(AD38,4)),"Southbound","NorthBound")</f>
        <v>Southbound</v>
      </c>
      <c r="U38" s="144">
        <f>IF(AG38="EC",COUNTIFS(Variables!$M$2:$M$19,IF(T38="NorthBound","&gt;=","&lt;=")&amp;Y38,Variables!$M$2:$M$19,IF(T38="NorthBound","&lt;=","&gt;=")&amp;Z38),COUNTIFS(Variables!$P$2:$P$19,IF(T38="NorthBound","&gt;=","&lt;=")&amp;Y38,Variables!$P$2:$P$19,IF(T38="NorthBound","&lt;=","&gt;=")&amp;Z38))</f>
        <v>12</v>
      </c>
      <c r="V38" s="98" t="str">
        <f>"https://search-rtdc-monitor-bjffxe2xuh6vdkpspy63sjmuny.us-east-1.es.amazonaws.com/_plugin/kibana/#/discover/Steve-Slow-Train-Analysis-(2080s-and-2083s)?_g=(refreshInterval:(display:Off,section:0,value:0),time:(from:'"&amp;TEXT(E38-1/24,"yyyy-MM-DD hh:mm:ss")&amp;"-0600',mode:absolute,to:'"&amp;TEXT(I38+1/24,"yyyy-MM-DD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38&amp;"%22')),sort:!(Time,asc))"</f>
        <v>https://search-rtdc-monitor-bjffxe2xuh6vdkpspy63sjmuny.us-east-1.es.amazonaws.com/_plugin/kibana/#/discover/Steve-Slow-Train-Analysis-(2080s-and-2083s)?_g=(refreshInterval:(display:Off,section:0,value:0),time:(from:'2016-10-13 06:34:57-0600',mode:absolute,to:'2016-10-13 09:20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38" s="52" t="str">
        <f>IF(AA38&lt;IF(AG38="EC",23,5.65),"Y","N")</f>
        <v>N</v>
      </c>
      <c r="X38" s="149">
        <f>VALUE(LEFT(AD38,4))-VALUE(LEFT(AD37,4))</f>
        <v>1</v>
      </c>
      <c r="Y38" s="67">
        <f>RIGHT(D38,LEN(D38)-4)/10000</f>
        <v>23.297699999999999</v>
      </c>
      <c r="Z38" s="67">
        <f>RIGHT(H38,LEN(H38)-4)/10000</f>
        <v>1.4999999999999999E-2</v>
      </c>
      <c r="AA38" s="67">
        <f>ABS(Z38-Y38)</f>
        <v>23.282699999999998</v>
      </c>
      <c r="AB38" s="64" t="e">
        <f>VLOOKUP(A38,Enforcements!$C$7:$K$21,8,0)</f>
        <v>#N/A</v>
      </c>
      <c r="AC38" s="60" t="e">
        <f>VLOOKUP(A38,Enforcements!$C$7:$E$21,3,0)</f>
        <v>#N/A</v>
      </c>
      <c r="AD38" s="61" t="str">
        <f>IF(LEN(A38)=6,"0"&amp;A38,A38)</f>
        <v>0126-13</v>
      </c>
      <c r="AE38" s="91" t="str">
        <f>"aws s3 cp "&amp;s3_bucket&amp;"/RTDC"&amp;B38&amp;"/ "&amp;search_path&amp;"\RTDC"&amp;B38&amp;"\"&amp;TEXT(F38,"YYYY-MM-DD")&amp;" --exclude ""*"" --recursive --include ""*"&amp;TEXT(F38,"YYYYMMDD")&amp;"*"" &amp; """&amp;walkandungz&amp;""" "&amp;search_path&amp;"\RTDC"&amp;B38&amp;"\"&amp;TEXT(F38,"YYYY-MM-DD")
&amp;" &amp; "&amp;"aws s3 cp "&amp;s3_bucket&amp;"/RTDC"&amp;B38&amp;"/ "&amp;search_path&amp;"\RTDC"&amp;B38&amp;"\"&amp;TEXT(F38+1,"YYYY-MM-DD")&amp;" --exclude ""*"" --recursive --include ""*"&amp;TEXT(F38+1,"YYYYMMDD")&amp;"*"" &amp; """&amp;walkandungz&amp;""" "&amp;search_path&amp;"\RTDC"&amp;B38&amp;"\"&amp;TEXT(F38+1,"YYYY-MM-DD")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38" s="88" t="str">
        <f>astrogrep_path&amp;" /spath="&amp;search_path&amp;" /stypes=""app*"&amp;B38&amp;"*"&amp;TEXT(I38-utc_offset/24,"YYYYMMDD")&amp;"*"" /stext="" "&amp;TEXT(I38-utc_offset/24,"HH")&amp;search_regexp&amp;""" /e /r /s"</f>
        <v>"C:\Program Files (x86)\AstroGrep\AstroGrep.exe" /spath="%USERPROFILE%\AppData\Local\Temp\OnboardLogs" /stypes="app*4037*20161013*" /stext=" 14:.+((SYSTEM_STATE.+slice.+state.+changed )|(ment ac)|(system.+state.+changed )|(\[timeout)|(PRM\|1\|D)|(kpr)|(kdp)|(\|lc)|(penalty))" /e /r /s</v>
      </c>
      <c r="AG38" s="1" t="str">
        <f>IFERROR(IF(VALUE(LEFT(AD38,2))&lt;=2,"EC",IF(OR(VALUE(LEFT(AD38,2))=8,VALUE(LEFT(AD38,2))=18),"NW","Other")),"Other")</f>
        <v>EC</v>
      </c>
      <c r="AH38" s="92" t="str">
        <f t="shared" si="2"/>
        <v>"%USERPROFILE%\Documents\GitHub\eaglep3\Utilities\RefineRTDCRunTimes.py" --tripid 126-13 --locoid 4037 --swversion DE.1.0.7.0 --startMP 204:232977 --initTime 2016-10-13T07:34:57 --startdatetime 2016-10-13T07:41:40 --delay 1 --endMP 204:150 --enddatetime 2016-10-13T08:20:30 --enforcementcount 1 &gt;&gt;C:\Users\stu\Documents\GitHub\eaglep3-reporting\EC\2016-10-13-refined-times.txt</v>
      </c>
      <c r="AI38" s="122" t="str">
        <f t="shared" si="3"/>
        <v>echo {"issue":{"subject":"","project_id":79,"tracker_id":40,"status_id":1,"priority_id":2,"assigned_to_id":23,"start_date":"2016-10-13","description":"","custom_fields":[{"id":1,"name":"Subdivision","value":"EC"},{"id":4,"name":"Milepost","value":"0.015"},{"id":17,"name":"Train ID","value":"126-13"},{"id":16,"name":"Locomotive ID","value":"4037"},{"id":130,"name":"Impact","value":""},{"id":150,"name":"Time of Event (Mountain Time)","value":"08:20:30"},{"id":151,"name":"Denver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458</v>
      </c>
      <c r="B39" s="7">
        <v>4002</v>
      </c>
      <c r="C39" s="22" t="s">
        <v>99</v>
      </c>
      <c r="D39" s="22" t="s">
        <v>276</v>
      </c>
      <c r="E39" s="13">
        <v>42656.286886574075</v>
      </c>
      <c r="F39" s="13">
        <v>42656.291886574072</v>
      </c>
      <c r="G39" s="7">
        <v>1</v>
      </c>
      <c r="H39" s="13" t="s">
        <v>625</v>
      </c>
      <c r="I39" s="13">
        <v>42656.317291666666</v>
      </c>
      <c r="J39" s="7">
        <v>1</v>
      </c>
      <c r="K39" s="112" t="str">
        <f>IF(ISEVEN(B39),(B39-1)&amp;"/"&amp;B39,B39&amp;"/"&amp;(B39+1))</f>
        <v>4001/4002</v>
      </c>
      <c r="L39" s="22" t="str">
        <f>VLOOKUP(A39,'Trips&amp;Operators'!$C$1:$E$10000,3,FALSE)</f>
        <v>MAELZER</v>
      </c>
      <c r="M39" s="6">
        <f>I39-F39</f>
        <v>2.5405092594155576E-2</v>
      </c>
      <c r="N39" s="7">
        <f>24*60*SUM($M39:$M39)</f>
        <v>36.58333333558403</v>
      </c>
      <c r="O39" s="7"/>
      <c r="P39" s="7"/>
      <c r="Q39" s="23"/>
      <c r="R39" s="23"/>
      <c r="S39" s="35">
        <f>SUM(U39:U39)/IF(AG39="EC",12,1)</f>
        <v>1</v>
      </c>
      <c r="T39" s="50" t="str">
        <f>IF(ISEVEN(LEFT(AD39,4)),"Southbound","NorthBound")</f>
        <v>NorthBound</v>
      </c>
      <c r="U39" s="144">
        <f>IF(AG39="EC",COUNTIFS(Variables!$M$2:$M$19,IF(T39="NorthBound","&gt;=","&lt;=")&amp;Y39,Variables!$M$2:$M$19,IF(T39="NorthBound","&lt;=","&gt;=")&amp;Z39),COUNTIFS(Variables!$P$2:$P$19,IF(T39="NorthBound","&gt;=","&lt;=")&amp;Y39,Variables!$P$2:$P$19,IF(T39="NorthBound","&lt;=","&gt;=")&amp;Z39))</f>
        <v>12</v>
      </c>
      <c r="V39" s="98" t="str">
        <f>"https://search-rtdc-monitor-bjffxe2xuh6vdkpspy63sjmuny.us-east-1.es.amazonaws.com/_plugin/kibana/#/discover/Steve-Slow-Train-Analysis-(2080s-and-2083s)?_g=(refreshInterval:(display:Off,section:0,value:0),time:(from:'"&amp;TEXT(E39-1/24,"yyyy-MM-DD hh:mm:ss")&amp;"-0600',mode:absolute,to:'"&amp;TEXT(I39+1/24,"yyyy-MM-DD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39&amp;"%22')),sort:!(Time,asc))"</f>
        <v>https://search-rtdc-monitor-bjffxe2xuh6vdkpspy63sjmuny.us-east-1.es.amazonaws.com/_plugin/kibana/#/discover/Steve-Slow-Train-Analysis-(2080s-and-2083s)?_g=(refreshInterval:(display:Off,section:0,value:0),time:(from:'2016-10-13 05:53:07-0600',mode:absolute,to:'2016-10-13 08: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39" s="52" t="str">
        <f>IF(AA39&lt;IF(AG39="EC",23,5.65),"Y","N")</f>
        <v>N</v>
      </c>
      <c r="X39" s="149">
        <f>VALUE(LEFT(AD39,4))-VALUE(LEFT(AD38,4))</f>
        <v>1</v>
      </c>
      <c r="Y39" s="67">
        <f>RIGHT(D39,LEN(D39)-4)/10000</f>
        <v>4.4699999999999997E-2</v>
      </c>
      <c r="Z39" s="67">
        <f>RIGHT(H39,LEN(H39)-4)/10000</f>
        <v>23.3324</v>
      </c>
      <c r="AA39" s="67">
        <f>ABS(Z39-Y39)</f>
        <v>23.287700000000001</v>
      </c>
      <c r="AB39" s="64" t="e">
        <f>VLOOKUP(A39,Enforcements!$C$7:$K$21,8,0)</f>
        <v>#N/A</v>
      </c>
      <c r="AC39" s="60" t="e">
        <f>VLOOKUP(A39,Enforcements!$C$7:$E$21,3,0)</f>
        <v>#N/A</v>
      </c>
      <c r="AD39" s="61" t="str">
        <f>IF(LEN(A39)=6,"0"&amp;A39,A39)</f>
        <v>0127-13</v>
      </c>
      <c r="AE39" s="91" t="str">
        <f>"aws s3 cp "&amp;s3_bucket&amp;"/RTDC"&amp;B39&amp;"/ "&amp;search_path&amp;"\RTDC"&amp;B39&amp;"\"&amp;TEXT(F39,"YYYY-MM-DD")&amp;" --exclude ""*"" --recursive --include ""*"&amp;TEXT(F39,"YYYYMMDD")&amp;"*"" &amp; """&amp;walkandungz&amp;""" "&amp;search_path&amp;"\RTDC"&amp;B39&amp;"\"&amp;TEXT(F39,"YYYY-MM-DD")
&amp;" &amp; "&amp;"aws s3 cp "&amp;s3_bucket&amp;"/RTDC"&amp;B39&amp;"/ "&amp;search_path&amp;"\RTDC"&amp;B39&amp;"\"&amp;TEXT(F39+1,"YYYY-MM-DD")&amp;" --exclude ""*"" --recursive --include ""*"&amp;TEXT(F39+1,"YYYYMMDD")&amp;"*"" &amp; """&amp;walkandungz&amp;""" "&amp;search_path&amp;"\RTDC"&amp;B39&amp;"\"&amp;TEXT(F39+1,"YYYY-MM-DD")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39" s="88" t="str">
        <f>astrogrep_path&amp;" /spath="&amp;search_path&amp;" /stypes=""app*"&amp;B39&amp;"*"&amp;TEXT(I39-utc_offset/24,"YYYYMMDD")&amp;"*"" /stext="" "&amp;TEXT(I39-utc_offset/24,"HH")&amp;search_regexp&amp;""" /e /r /s"</f>
        <v>"C:\Program Files (x86)\AstroGrep\AstroGrep.exe" /spath="%USERPROFILE%\AppData\Local\Temp\OnboardLogs" /stypes="app*4002*20161013*" /stext=" 13:.+((SYSTEM_STATE.+slice.+state.+changed )|(ment ac)|(system.+state.+changed )|(\[timeout)|(PRM\|1\|D)|(kpr)|(kdp)|(\|lc)|(penalty))" /e /r /s</v>
      </c>
      <c r="AG39" s="1" t="str">
        <f>IFERROR(IF(VALUE(LEFT(AD39,2))&lt;=2,"EC",IF(OR(VALUE(LEFT(AD39,2))=8,VALUE(LEFT(AD39,2))=18),"NW","Other")),"Other")</f>
        <v>EC</v>
      </c>
      <c r="AH39" s="92" t="str">
        <f t="shared" si="2"/>
        <v>"%USERPROFILE%\Documents\GitHub\eaglep3\Utilities\RefineRTDCRunTimes.py" --tripid 127-13 --locoid 4002 --swversion DE.1.0.7.0 --startMP 204:447 --initTime 2016-10-13T06:53:07 --startdatetime 2016-10-13T07:00:19 --delay 1 --endMP 204:233324 --enddatetime 2016-10-13T07:36:54 --enforcementcount 1 &gt;&gt;C:\Users\stu\Documents\GitHub\eaglep3-reporting\EC\2016-10-13-refined-times.txt</v>
      </c>
      <c r="AI39" s="122" t="str">
        <f t="shared" si="3"/>
        <v>echo {"issue":{"subject":"","project_id":79,"tracker_id":40,"status_id":1,"priority_id":2,"assigned_to_id":23,"start_date":"2016-10-13","description":"","custom_fields":[{"id":1,"name":"Subdivision","value":"EC"},{"id":4,"name":"Milepost","value":"23.3324"},{"id":17,"name":"Train ID","value":"127-13"},{"id":16,"name":"Locomotive ID","value":"4002"},{"id":130,"name":"Impact","value":""},{"id":150,"name":"Time of Event (Mountain Time)","value":"07:36:54"},{"id":151,"name":"Denver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465</v>
      </c>
      <c r="B40" s="7">
        <v>4001</v>
      </c>
      <c r="C40" s="22" t="s">
        <v>99</v>
      </c>
      <c r="D40" s="22" t="s">
        <v>626</v>
      </c>
      <c r="E40" s="13">
        <v>42656.322847222225</v>
      </c>
      <c r="F40" s="13">
        <v>42656.330914351849</v>
      </c>
      <c r="G40" s="7">
        <v>1</v>
      </c>
      <c r="H40" s="13" t="s">
        <v>270</v>
      </c>
      <c r="I40" s="13">
        <v>42656.36010416667</v>
      </c>
      <c r="J40" s="7">
        <v>1</v>
      </c>
      <c r="K40" s="112" t="str">
        <f>IF(ISEVEN(B40),(B40-1)&amp;"/"&amp;B40,B40&amp;"/"&amp;(B40+1))</f>
        <v>4001/4002</v>
      </c>
      <c r="L40" s="22" t="str">
        <f>VLOOKUP(A40,'Trips&amp;Operators'!$C$1:$E$10000,3,FALSE)</f>
        <v>MAELZER</v>
      </c>
      <c r="M40" s="6">
        <f>I40-F40</f>
        <v>2.9189814820711035E-2</v>
      </c>
      <c r="N40" s="7">
        <f>24*60*SUM($M40:$M40)</f>
        <v>42.033333341823891</v>
      </c>
      <c r="O40" s="7"/>
      <c r="P40" s="7"/>
      <c r="Q40" s="23"/>
      <c r="R40" s="23"/>
      <c r="S40" s="35">
        <f>SUM(U40:U40)/IF(AG40="EC",12,1)</f>
        <v>1</v>
      </c>
      <c r="T40" s="50" t="str">
        <f>IF(ISEVEN(LEFT(AD40,4)),"Southbound","NorthBound")</f>
        <v>Southbound</v>
      </c>
      <c r="U40" s="144">
        <f>IF(AG40="EC",COUNTIFS(Variables!$M$2:$M$19,IF(T40="NorthBound","&gt;=","&lt;=")&amp;Y40,Variables!$M$2:$M$19,IF(T40="NorthBound","&lt;=","&gt;=")&amp;Z40),COUNTIFS(Variables!$P$2:$P$19,IF(T40="NorthBound","&gt;=","&lt;=")&amp;Y40,Variables!$P$2:$P$19,IF(T40="NorthBound","&lt;=","&gt;=")&amp;Z40))</f>
        <v>12</v>
      </c>
      <c r="V40" s="98" t="str">
        <f>"https://search-rtdc-monitor-bjffxe2xuh6vdkpspy63sjmuny.us-east-1.es.amazonaws.com/_plugin/kibana/#/discover/Steve-Slow-Train-Analysis-(2080s-and-2083s)?_g=(refreshInterval:(display:Off,section:0,value:0),time:(from:'"&amp;TEXT(E40-1/24,"yyyy-MM-DD hh:mm:ss")&amp;"-0600',mode:absolute,to:'"&amp;TEXT(I40+1/24,"yyyy-MM-DD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40&amp;"%22')),sort:!(Time,asc))"</f>
        <v>https://search-rtdc-monitor-bjffxe2xuh6vdkpspy63sjmuny.us-east-1.es.amazonaws.com/_plugin/kibana/#/discover/Steve-Slow-Train-Analysis-(2080s-and-2083s)?_g=(refreshInterval:(display:Off,section:0,value:0),time:(from:'2016-10-13 06:44:54-0600',mode:absolute,to:'2016-10-13 09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0" s="52" t="str">
        <f>IF(AA40&lt;IF(AG40="EC",23,5.65),"Y","N")</f>
        <v>N</v>
      </c>
      <c r="X40" s="149">
        <f>VALUE(LEFT(AD40,4))-VALUE(LEFT(AD39,4))</f>
        <v>1</v>
      </c>
      <c r="Y40" s="67">
        <f>RIGHT(D40,LEN(D40)-4)/10000</f>
        <v>23.297999999999998</v>
      </c>
      <c r="Z40" s="67">
        <f>RIGHT(H40,LEN(H40)-4)/10000</f>
        <v>1.43E-2</v>
      </c>
      <c r="AA40" s="67">
        <f>ABS(Z40-Y40)</f>
        <v>23.2837</v>
      </c>
      <c r="AB40" s="64" t="e">
        <f>VLOOKUP(A40,Enforcements!$C$7:$K$21,8,0)</f>
        <v>#N/A</v>
      </c>
      <c r="AC40" s="60" t="e">
        <f>VLOOKUP(A40,Enforcements!$C$7:$E$21,3,0)</f>
        <v>#N/A</v>
      </c>
      <c r="AD40" s="61" t="str">
        <f>IF(LEN(A40)=6,"0"&amp;A40,A40)</f>
        <v>0128-13</v>
      </c>
      <c r="AE40" s="91" t="str">
        <f>"aws s3 cp "&amp;s3_bucket&amp;"/RTDC"&amp;B40&amp;"/ "&amp;search_path&amp;"\RTDC"&amp;B40&amp;"\"&amp;TEXT(F40,"YYYY-MM-DD")&amp;" --exclude ""*"" --recursive --include ""*"&amp;TEXT(F40,"YYYYMMDD")&amp;"*"" &amp; """&amp;walkandungz&amp;""" "&amp;search_path&amp;"\RTDC"&amp;B40&amp;"\"&amp;TEXT(F40,"YYYY-MM-DD")
&amp;" &amp; "&amp;"aws s3 cp "&amp;s3_bucket&amp;"/RTDC"&amp;B40&amp;"/ "&amp;search_path&amp;"\RTDC"&amp;B40&amp;"\"&amp;TEXT(F40+1,"YYYY-MM-DD")&amp;" --exclude ""*"" --recursive --include ""*"&amp;TEXT(F40+1,"YYYYMMDD")&amp;"*"" &amp; """&amp;walkandungz&amp;""" "&amp;search_path&amp;"\RTDC"&amp;B40&amp;"\"&amp;TEXT(F40+1,"YYYY-MM-DD")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40" s="88" t="str">
        <f>astrogrep_path&amp;" /spath="&amp;search_path&amp;" /stypes=""app*"&amp;B40&amp;"*"&amp;TEXT(I40-utc_offset/24,"YYYYMMDD")&amp;"*"" /stext="" "&amp;TEXT(I40-utc_offset/24,"HH")&amp;search_regexp&amp;""" /e /r /s"</f>
        <v>"C:\Program Files (x86)\AstroGrep\AstroGrep.exe" /spath="%USERPROFILE%\AppData\Local\Temp\OnboardLogs" /stypes="app*4001*20161013*" /stext=" 14:.+((SYSTEM_STATE.+slice.+state.+changed )|(ment ac)|(system.+state.+changed )|(\[timeout)|(PRM\|1\|D)|(kpr)|(kdp)|(\|lc)|(penalty))" /e /r /s</v>
      </c>
      <c r="AG40" s="1" t="str">
        <f>IFERROR(IF(VALUE(LEFT(AD40,2))&lt;=2,"EC",IF(OR(VALUE(LEFT(AD40,2))=8,VALUE(LEFT(AD40,2))=18),"NW","Other")),"Other")</f>
        <v>EC</v>
      </c>
      <c r="AH40" s="92" t="str">
        <f t="shared" si="2"/>
        <v>"%USERPROFILE%\Documents\GitHub\eaglep3\Utilities\RefineRTDCRunTimes.py" --tripid 128-13 --locoid 4001 --swversion DE.1.0.7.0 --startMP 204:232980 --initTime 2016-10-13T07:44:54 --startdatetime 2016-10-13T07:56:31 --delay 1 --endMP 204:143 --enddatetime 2016-10-13T08:38:33 --enforcementcount 1 &gt;&gt;C:\Users\stu\Documents\GitHub\eaglep3-reporting\EC\2016-10-13-refined-times.txt</v>
      </c>
      <c r="AI40" s="122" t="str">
        <f t="shared" si="3"/>
        <v>echo {"issue":{"subject":"","project_id":79,"tracker_id":40,"status_id":1,"priority_id":2,"assigned_to_id":23,"start_date":"2016-10-13","description":"","custom_fields":[{"id":1,"name":"Subdivision","value":"EC"},{"id":4,"name":"Milepost","value":"0.0143"},{"id":17,"name":"Train ID","value":"128-13"},{"id":16,"name":"Locomotive ID","value":"4001"},{"id":130,"name":"Impact","value":""},{"id":150,"name":"Time of Event (Mountain Time)","value":"08:38:33"},{"id":151,"name":"Denver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460</v>
      </c>
      <c r="B41" s="7">
        <v>4025</v>
      </c>
      <c r="C41" s="22" t="s">
        <v>99</v>
      </c>
      <c r="D41" s="22" t="s">
        <v>280</v>
      </c>
      <c r="E41" s="13">
        <v>42656.296377314815</v>
      </c>
      <c r="F41" s="13">
        <v>42656.302256944444</v>
      </c>
      <c r="G41" s="7">
        <v>1</v>
      </c>
      <c r="H41" s="13" t="s">
        <v>325</v>
      </c>
      <c r="I41" s="13">
        <v>42656.327870370369</v>
      </c>
      <c r="J41" s="7">
        <v>1</v>
      </c>
      <c r="K41" s="112" t="str">
        <f>IF(ISEVEN(B41),(B41-1)&amp;"/"&amp;B41,B41&amp;"/"&amp;(B41+1))</f>
        <v>4025/4026</v>
      </c>
      <c r="L41" s="22" t="str">
        <f>VLOOKUP(A41,'Trips&amp;Operators'!$C$1:$E$10000,3,FALSE)</f>
        <v>SANTIZO</v>
      </c>
      <c r="M41" s="6">
        <f>I41-F41</f>
        <v>2.5613425925257616E-2</v>
      </c>
      <c r="N41" s="7">
        <f>24*60*SUM($M41:$M41)</f>
        <v>36.883333332370967</v>
      </c>
      <c r="O41" s="7"/>
      <c r="P41" s="7"/>
      <c r="Q41" s="23"/>
      <c r="R41" s="23"/>
      <c r="S41" s="35">
        <f>SUM(U41:U41)/IF(AG41="EC",12,1)</f>
        <v>1</v>
      </c>
      <c r="T41" s="50" t="str">
        <f>IF(ISEVEN(LEFT(AD41,4)),"Southbound","NorthBound")</f>
        <v>NorthBound</v>
      </c>
      <c r="U41" s="144">
        <f>IF(AG41="EC",COUNTIFS(Variables!$M$2:$M$19,IF(T41="NorthBound","&gt;=","&lt;=")&amp;Y41,Variables!$M$2:$M$19,IF(T41="NorthBound","&lt;=","&gt;=")&amp;Z41),COUNTIFS(Variables!$P$2:$P$19,IF(T41="NorthBound","&gt;=","&lt;=")&amp;Y41,Variables!$P$2:$P$19,IF(T41="NorthBound","&lt;=","&gt;=")&amp;Z41))</f>
        <v>12</v>
      </c>
      <c r="V41" s="98" t="str">
        <f>"https://search-rtdc-monitor-bjffxe2xuh6vdkpspy63sjmuny.us-east-1.es.amazonaws.com/_plugin/kibana/#/discover/Steve-Slow-Train-Analysis-(2080s-and-2083s)?_g=(refreshInterval:(display:Off,section:0,value:0),time:(from:'"&amp;TEXT(E41-1/24,"yyyy-MM-DD hh:mm:ss")&amp;"-0600',mode:absolute,to:'"&amp;TEXT(I41+1/24,"yyyy-MM-DD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41&amp;"%22')),sort:!(Time,asc))"</f>
        <v>https://search-rtdc-monitor-bjffxe2xuh6vdkpspy63sjmuny.us-east-1.es.amazonaws.com/_plugin/kibana/#/discover/Steve-Slow-Train-Analysis-(2080s-and-2083s)?_g=(refreshInterval:(display:Off,section:0,value:0),time:(from:'2016-10-13 06:06:47-0600',mode:absolute,to:'2016-10-13 08: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1" s="52" t="str">
        <f>IF(AA41&lt;IF(AG41="EC",23,5.65),"Y","N")</f>
        <v>N</v>
      </c>
      <c r="X41" s="149">
        <f>VALUE(LEFT(AD41,4))-VALUE(LEFT(AD40,4))</f>
        <v>1</v>
      </c>
      <c r="Y41" s="67">
        <f>RIGHT(D41,LEN(D41)-4)/10000</f>
        <v>4.53E-2</v>
      </c>
      <c r="Z41" s="67">
        <f>RIGHT(H41,LEN(H41)-4)/10000</f>
        <v>23.3291</v>
      </c>
      <c r="AA41" s="67">
        <f>ABS(Z41-Y41)</f>
        <v>23.283799999999999</v>
      </c>
      <c r="AB41" s="64" t="e">
        <f>VLOOKUP(A41,Enforcements!$C$7:$K$21,8,0)</f>
        <v>#N/A</v>
      </c>
      <c r="AC41" s="60" t="e">
        <f>VLOOKUP(A41,Enforcements!$C$7:$E$21,3,0)</f>
        <v>#N/A</v>
      </c>
      <c r="AD41" s="61" t="str">
        <f>IF(LEN(A41)=6,"0"&amp;A41,A41)</f>
        <v>0129-13</v>
      </c>
      <c r="AE41" s="91" t="str">
        <f>"aws s3 cp "&amp;s3_bucket&amp;"/RTDC"&amp;B41&amp;"/ "&amp;search_path&amp;"\RTDC"&amp;B41&amp;"\"&amp;TEXT(F41,"YYYY-MM-DD")&amp;" --exclude ""*"" --recursive --include ""*"&amp;TEXT(F41,"YYYYMMDD")&amp;"*"" &amp; """&amp;walkandungz&amp;""" "&amp;search_path&amp;"\RTDC"&amp;B41&amp;"\"&amp;TEXT(F41,"YYYY-MM-DD")
&amp;" &amp; "&amp;"aws s3 cp "&amp;s3_bucket&amp;"/RTDC"&amp;B41&amp;"/ "&amp;search_path&amp;"\RTDC"&amp;B41&amp;"\"&amp;TEXT(F41+1,"YYYY-MM-DD")&amp;" --exclude ""*"" --recursive --include ""*"&amp;TEXT(F41+1,"YYYYMMDD")&amp;"*"" &amp; """&amp;walkandungz&amp;""" "&amp;search_path&amp;"\RTDC"&amp;B41&amp;"\"&amp;TEXT(F41+1,"YYYY-MM-DD")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41" s="88" t="str">
        <f>astrogrep_path&amp;" /spath="&amp;search_path&amp;" /stypes=""app*"&amp;B41&amp;"*"&amp;TEXT(I41-utc_offset/24,"YYYYMMDD")&amp;"*"" /stext="" "&amp;TEXT(I41-utc_offset/24,"HH")&amp;search_regexp&amp;""" /e /r /s"</f>
        <v>"C:\Program Files (x86)\AstroGrep\AstroGrep.exe" /spath="%USERPROFILE%\AppData\Local\Temp\OnboardLogs" /stypes="app*4025*20161013*" /stext=" 13:.+((SYSTEM_STATE.+slice.+state.+changed )|(ment ac)|(system.+state.+changed )|(\[timeout)|(PRM\|1\|D)|(kpr)|(kdp)|(\|lc)|(penalty))" /e /r /s</v>
      </c>
      <c r="AG41" s="1" t="str">
        <f>IFERROR(IF(VALUE(LEFT(AD41,2))&lt;=2,"EC",IF(OR(VALUE(LEFT(AD41,2))=8,VALUE(LEFT(AD41,2))=18),"NW","Other")),"Other")</f>
        <v>EC</v>
      </c>
      <c r="AH41" s="92" t="str">
        <f t="shared" si="2"/>
        <v>"%USERPROFILE%\Documents\GitHub\eaglep3\Utilities\RefineRTDCRunTimes.py" --tripid 129-13 --locoid 4025 --swversion DE.1.0.7.0 --startMP 204:453 --initTime 2016-10-13T07:06:47 --startdatetime 2016-10-13T07:15:15 --delay 1 --endMP 204:233291 --enddatetime 2016-10-13T07:52:08 --enforcementcount 1 &gt;&gt;C:\Users\stu\Documents\GitHub\eaglep3-reporting\EC\2016-10-13-refined-times.txt</v>
      </c>
      <c r="AI41" s="122" t="str">
        <f t="shared" si="3"/>
        <v>echo {"issue":{"subject":"","project_id":79,"tracker_id":40,"status_id":1,"priority_id":2,"assigned_to_id":23,"start_date":"2016-10-13","description":"","custom_fields":[{"id":1,"name":"Subdivision","value":"EC"},{"id":4,"name":"Milepost","value":"23.3291"},{"id":17,"name":"Train ID","value":"129-13"},{"id":16,"name":"Locomotive ID","value":"4025"},{"id":130,"name":"Impact","value":""},{"id":150,"name":"Time of Event (Mountain Time)","value":"07:52:08"},{"id":151,"name":"Denver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387</v>
      </c>
      <c r="B42" s="7">
        <v>4026</v>
      </c>
      <c r="C42" s="22" t="s">
        <v>99</v>
      </c>
      <c r="D42" s="22" t="s">
        <v>627</v>
      </c>
      <c r="E42" s="13">
        <v>42656.32917824074</v>
      </c>
      <c r="F42" s="13">
        <v>42656.341215277775</v>
      </c>
      <c r="G42" s="7">
        <v>0</v>
      </c>
      <c r="H42" s="13" t="s">
        <v>182</v>
      </c>
      <c r="I42" s="13">
        <v>42656.368460648147</v>
      </c>
      <c r="J42" s="7">
        <v>1</v>
      </c>
      <c r="K42" s="112" t="str">
        <f>IF(ISEVEN(B42),(B42-1)&amp;"/"&amp;B42,B42&amp;"/"&amp;(B42+1))</f>
        <v>4025/4026</v>
      </c>
      <c r="L42" s="22" t="str">
        <f>VLOOKUP(A42,'Trips&amp;Operators'!$C$1:$E$10000,3,FALSE)</f>
        <v>SANTIZO</v>
      </c>
      <c r="M42" s="6">
        <f>I42-F42</f>
        <v>2.7245370372838806E-2</v>
      </c>
      <c r="N42" s="7">
        <f>24*60*SUM($M42:$M42)</f>
        <v>39.233333336887881</v>
      </c>
      <c r="O42" s="7"/>
      <c r="P42" s="7"/>
      <c r="Q42" s="23"/>
      <c r="R42" s="23"/>
      <c r="S42" s="35">
        <f>SUM(U42:U42)/IF(AG42="EC",12,1)</f>
        <v>1</v>
      </c>
      <c r="T42" s="50" t="str">
        <f>IF(ISEVEN(LEFT(AD42,4)),"Southbound","NorthBound")</f>
        <v>Southbound</v>
      </c>
      <c r="U42" s="144">
        <f>IF(AG42="EC",COUNTIFS(Variables!$M$2:$M$19,IF(T42="NorthBound","&gt;=","&lt;=")&amp;Y42,Variables!$M$2:$M$19,IF(T42="NorthBound","&lt;=","&gt;=")&amp;Z42),COUNTIFS(Variables!$P$2:$P$19,IF(T42="NorthBound","&gt;=","&lt;=")&amp;Y42,Variables!$P$2:$P$19,IF(T42="NorthBound","&lt;=","&gt;=")&amp;Z42))</f>
        <v>12</v>
      </c>
      <c r="V42" s="98" t="str">
        <f>"https://search-rtdc-monitor-bjffxe2xuh6vdkpspy63sjmuny.us-east-1.es.amazonaws.com/_plugin/kibana/#/discover/Steve-Slow-Train-Analysis-(2080s-and-2083s)?_g=(refreshInterval:(display:Off,section:0,value:0),time:(from:'"&amp;TEXT(E42-1/24,"yyyy-MM-DD hh:mm:ss")&amp;"-0600',mode:absolute,to:'"&amp;TEXT(I42+1/24,"yyyy-MM-DD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42&amp;"%22')),sort:!(Time,asc))"</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2" s="52" t="str">
        <f>IF(AA42&lt;IF(AG42="EC",23,5.65),"Y","N")</f>
        <v>N</v>
      </c>
      <c r="X42" s="149">
        <f>VALUE(LEFT(AD42,4))-VALUE(LEFT(AD41,4))</f>
        <v>1</v>
      </c>
      <c r="Y42" s="67">
        <f>RIGHT(D42,LEN(D42)-4)/10000</f>
        <v>23.297000000000001</v>
      </c>
      <c r="Z42" s="67">
        <f>RIGHT(H42,LEN(H42)-4)/10000</f>
        <v>1.41E-2</v>
      </c>
      <c r="AA42" s="67">
        <f>ABS(Z42-Y42)</f>
        <v>23.282900000000001</v>
      </c>
      <c r="AB42" s="64" t="e">
        <f>VLOOKUP(A42,Enforcements!$C$7:$K$21,8,0)</f>
        <v>#N/A</v>
      </c>
      <c r="AC42" s="60" t="e">
        <f>VLOOKUP(A42,Enforcements!$C$7:$E$21,3,0)</f>
        <v>#N/A</v>
      </c>
      <c r="AD42" s="61" t="str">
        <f>IF(LEN(A42)=6,"0"&amp;A42,A42)</f>
        <v>0130-13</v>
      </c>
      <c r="AE42" s="91" t="str">
        <f>"aws s3 cp "&amp;s3_bucket&amp;"/RTDC"&amp;B42&amp;"/ "&amp;search_path&amp;"\RTDC"&amp;B42&amp;"\"&amp;TEXT(F42,"YYYY-MM-DD")&amp;" --exclude ""*"" --recursive --include ""*"&amp;TEXT(F42,"YYYYMMDD")&amp;"*"" &amp; """&amp;walkandungz&amp;""" "&amp;search_path&amp;"\RTDC"&amp;B42&amp;"\"&amp;TEXT(F42,"YYYY-MM-DD")
&amp;" &amp; "&amp;"aws s3 cp "&amp;s3_bucket&amp;"/RTDC"&amp;B42&amp;"/ "&amp;search_path&amp;"\RTDC"&amp;B42&amp;"\"&amp;TEXT(F42+1,"YYYY-MM-DD")&amp;" --exclude ""*"" --recursive --include ""*"&amp;TEXT(F42+1,"YYYYMMDD")&amp;"*"" &amp; """&amp;walkandungz&amp;""" "&amp;search_path&amp;"\RTDC"&amp;B42&amp;"\"&amp;TEXT(F42+1,"YYYY-MM-DD")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42" s="88" t="str">
        <f>astrogrep_path&amp;" /spath="&amp;search_path&amp;" /stypes=""app*"&amp;B42&amp;"*"&amp;TEXT(I42-utc_offset/24,"YYYYMMDD")&amp;"*"" /stext="" "&amp;TEXT(I42-utc_offset/24,"HH")&amp;search_regexp&amp;""" /e /r /s"</f>
        <v>"C:\Program Files (x86)\AstroGrep\AstroGrep.exe" /spath="%USERPROFILE%\AppData\Local\Temp\OnboardLogs" /stypes="app*4026*20161013*" /stext=" 14:.+((SYSTEM_STATE.+slice.+state.+changed )|(ment ac)|(system.+state.+changed )|(\[timeout)|(PRM\|1\|D)|(kpr)|(kdp)|(\|lc)|(penalty))" /e /r /s</v>
      </c>
      <c r="AG42" s="1" t="str">
        <f>IFERROR(IF(VALUE(LEFT(AD42,2))&lt;=2,"EC",IF(OR(VALUE(LEFT(AD42,2))=8,VALUE(LEFT(AD42,2))=18),"NW","Other")),"Other")</f>
        <v>EC</v>
      </c>
      <c r="AH42" s="92" t="str">
        <f t="shared" si="2"/>
        <v>"%USERPROFILE%\Documents\GitHub\eaglep3\Utilities\RefineRTDCRunTimes.py" --tripid 130-13 --locoid 4026 --swversion DE.1.0.7.0 --startMP 204:232970 --initTime 2016-10-13T07:54:01 --startdatetime 2016-10-13T08:11:21 --delay 0 --endMP 204:141 --enddatetime 2016-10-13T08:50:35 --enforcementcount 1 &gt;&gt;C:\Users\stu\Documents\GitHub\eaglep3-reporting\EC\2016-10-13-refined-times.txt</v>
      </c>
      <c r="AI42" s="122" t="str">
        <f t="shared" si="3"/>
        <v>echo {"issue":{"subject":"","project_id":79,"tracker_id":40,"status_id":1,"priority_id":2,"assigned_to_id":23,"start_date":"2016-10-13","description":"","custom_fields":[{"id":1,"name":"Subdivision","value":"EC"},{"id":4,"name":"Milepost","value":"0.0141"},{"id":17,"name":"Train ID","value":"130-13"},{"id":16,"name":"Locomotive ID","value":"4026"},{"id":130,"name":"Impact","value":""},{"id":150,"name":"Time of Event (Mountain Time)","value":"08:50:35"},{"id":151,"name":"Denver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385</v>
      </c>
      <c r="B43" s="7">
        <v>4042</v>
      </c>
      <c r="C43" s="22" t="s">
        <v>99</v>
      </c>
      <c r="D43" s="22" t="s">
        <v>284</v>
      </c>
      <c r="E43" s="13">
        <v>42656.309606481482</v>
      </c>
      <c r="F43" s="13">
        <v>42656.312962962962</v>
      </c>
      <c r="G43" s="7">
        <v>1</v>
      </c>
      <c r="H43" s="13" t="s">
        <v>628</v>
      </c>
      <c r="I43" s="13">
        <v>42656.338148148148</v>
      </c>
      <c r="J43" s="7">
        <v>1</v>
      </c>
      <c r="K43" s="112" t="str">
        <f>IF(ISEVEN(B43),(B43-1)&amp;"/"&amp;B43,B43&amp;"/"&amp;(B43+1))</f>
        <v>4041/4042</v>
      </c>
      <c r="L43" s="22" t="str">
        <f>VLOOKUP(A43,'Trips&amp;Operators'!$C$1:$E$10000,3,FALSE)</f>
        <v>SPECTOR</v>
      </c>
      <c r="M43" s="6">
        <f>I43-F43</f>
        <v>2.5185185186273884E-2</v>
      </c>
      <c r="N43" s="7">
        <f>24*60*SUM($M43:$M43)</f>
        <v>36.266666668234393</v>
      </c>
      <c r="O43" s="7"/>
      <c r="P43" s="7"/>
      <c r="Q43" s="23"/>
      <c r="R43" s="23"/>
      <c r="S43" s="35">
        <f>SUM(U43:U43)/IF(AG43="EC",12,1)</f>
        <v>1</v>
      </c>
      <c r="T43" s="50" t="str">
        <f>IF(ISEVEN(LEFT(AD43,4)),"Southbound","NorthBound")</f>
        <v>NorthBound</v>
      </c>
      <c r="U43" s="144">
        <f>IF(AG43="EC",COUNTIFS(Variables!$M$2:$M$19,IF(T43="NorthBound","&gt;=","&lt;=")&amp;Y43,Variables!$M$2:$M$19,IF(T43="NorthBound","&lt;=","&gt;=")&amp;Z43),COUNTIFS(Variables!$P$2:$P$19,IF(T43="NorthBound","&gt;=","&lt;=")&amp;Y43,Variables!$P$2:$P$19,IF(T43="NorthBound","&lt;=","&gt;=")&amp;Z43))</f>
        <v>12</v>
      </c>
      <c r="V43" s="98" t="str">
        <f>"https://search-rtdc-monitor-bjffxe2xuh6vdkpspy63sjmuny.us-east-1.es.amazonaws.com/_plugin/kibana/#/discover/Steve-Slow-Train-Analysis-(2080s-and-2083s)?_g=(refreshInterval:(display:Off,section:0,value:0),time:(from:'"&amp;TEXT(E43-1/24,"yyyy-MM-DD hh:mm:ss")&amp;"-0600',mode:absolute,to:'"&amp;TEXT(I43+1/24,"yyyy-MM-DD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43&amp;"%22')),sort:!(Time,asc))"</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43" s="52" t="str">
        <f>IF(AA43&lt;IF(AG43="EC",23,5.65),"Y","N")</f>
        <v>N</v>
      </c>
      <c r="X43" s="149">
        <f>VALUE(LEFT(AD43,4))-VALUE(LEFT(AD42,4))</f>
        <v>1</v>
      </c>
      <c r="Y43" s="67">
        <f>RIGHT(D43,LEN(D43)-4)/10000</f>
        <v>4.6399999999999997E-2</v>
      </c>
      <c r="Z43" s="67">
        <f>RIGHT(H43,LEN(H43)-4)/10000</f>
        <v>23.3322</v>
      </c>
      <c r="AA43" s="67">
        <f>ABS(Z43-Y43)</f>
        <v>23.285800000000002</v>
      </c>
      <c r="AB43" s="64" t="str">
        <f>VLOOKUP(A43,Enforcements!$C$7:$K$21,8,0)</f>
        <v>Speed (6)</v>
      </c>
      <c r="AC43" s="60" t="str">
        <f>VLOOKUP(A43,Enforcements!$C$7:$E$21,3,0)</f>
        <v>PERMANENT SPEED RESTRICTION</v>
      </c>
      <c r="AD43" s="61" t="str">
        <f>IF(LEN(A43)=6,"0"&amp;A43,A43)</f>
        <v>0131-13</v>
      </c>
      <c r="AE43" s="91" t="str">
        <f>"aws s3 cp "&amp;s3_bucket&amp;"/RTDC"&amp;B43&amp;"/ "&amp;search_path&amp;"\RTDC"&amp;B43&amp;"\"&amp;TEXT(F43,"YYYY-MM-DD")&amp;" --exclude ""*"" --recursive --include ""*"&amp;TEXT(F43,"YYYYMMDD")&amp;"*"" &amp; """&amp;walkandungz&amp;""" "&amp;search_path&amp;"\RTDC"&amp;B43&amp;"\"&amp;TEXT(F43,"YYYY-MM-DD")
&amp;" &amp; "&amp;"aws s3 cp "&amp;s3_bucket&amp;"/RTDC"&amp;B43&amp;"/ "&amp;search_path&amp;"\RTDC"&amp;B43&amp;"\"&amp;TEXT(F43+1,"YYYY-MM-DD")&amp;" --exclude ""*"" --recursive --include ""*"&amp;TEXT(F43+1,"YYYYMMDD")&amp;"*"" &amp; """&amp;walkandungz&amp;""" "&amp;search_path&amp;"\RTDC"&amp;B43&amp;"\"&amp;TEXT(F43+1,"YYYY-MM-DD")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43" s="88" t="str">
        <f>astrogrep_path&amp;" /spath="&amp;search_path&amp;" /stypes=""app*"&amp;B43&amp;"*"&amp;TEXT(I43-utc_offset/24,"YYYYMMDD")&amp;"*"" /stext="" "&amp;TEXT(I43-utc_offset/24,"HH")&amp;search_regexp&amp;""" /e /r /s"</f>
        <v>"C:\Program Files (x86)\AstroGrep\AstroGrep.exe" /spath="%USERPROFILE%\AppData\Local\Temp\OnboardLogs" /stypes="app*4042*20161013*" /stext=" 14:.+((SYSTEM_STATE.+slice.+state.+changed )|(ment ac)|(system.+state.+changed )|(\[timeout)|(PRM\|1\|D)|(kpr)|(kdp)|(\|lc)|(penalty))" /e /r /s</v>
      </c>
      <c r="AG43" s="1" t="str">
        <f>IFERROR(IF(VALUE(LEFT(AD43,2))&lt;=2,"EC",IF(OR(VALUE(LEFT(AD43,2))=8,VALUE(LEFT(AD43,2))=18),"NW","Other")),"Other")</f>
        <v>EC</v>
      </c>
      <c r="AH43" s="92" t="str">
        <f t="shared" si="2"/>
        <v>"%USERPROFILE%\Documents\GitHub\eaglep3\Utilities\RefineRTDCRunTimes.py" --tripid 131-13 --locoid 4042 --swversion DE.1.0.7.0 --startMP 204:464 --initTime 2016-10-13T07:25:50 --startdatetime 2016-10-13T07:30:40 --delay 1 --endMP 204:233322 --enddatetime 2016-10-13T08:06:56 --enforcementcount 1 &gt;&gt;C:\Users\stu\Documents\GitHub\eaglep3-reporting\EC\2016-10-13-refined-times.txt</v>
      </c>
      <c r="AI43" s="122" t="str">
        <f t="shared" si="3"/>
        <v>echo {"issue":{"subject":"","project_id":79,"tracker_id":40,"status_id":1,"priority_id":2,"assigned_to_id":23,"start_date":"2016-10-13","description":"","custom_fields":[{"id":1,"name":"Subdivision","value":"EC"},{"id":4,"name":"Milepost","value":"23.3322"},{"id":17,"name":"Train ID","value":"131-13"},{"id":16,"name":"Locomotive ID","value":"4042"},{"id":130,"name":"Impact","value":""},{"id":150,"name":"Time of Event (Mountain Time)","value":"08:06:56"},{"id":151,"name":"Denver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469</v>
      </c>
      <c r="B44" s="7">
        <v>4041</v>
      </c>
      <c r="C44" s="22" t="s">
        <v>99</v>
      </c>
      <c r="D44" s="22" t="s">
        <v>629</v>
      </c>
      <c r="E44" s="13">
        <v>42656.347731481481</v>
      </c>
      <c r="F44" s="13">
        <v>42656.351585648146</v>
      </c>
      <c r="G44" s="7">
        <v>1</v>
      </c>
      <c r="H44" s="13" t="s">
        <v>273</v>
      </c>
      <c r="I44" s="13">
        <v>42656.382557870369</v>
      </c>
      <c r="J44" s="7">
        <v>1</v>
      </c>
      <c r="K44" s="112" t="str">
        <f>IF(ISEVEN(B44),(B44-1)&amp;"/"&amp;B44,B44&amp;"/"&amp;(B44+1))</f>
        <v>4041/4042</v>
      </c>
      <c r="L44" s="22" t="str">
        <f>VLOOKUP(A44,'Trips&amp;Operators'!$C$1:$E$10000,3,FALSE)</f>
        <v>SPECTOR</v>
      </c>
      <c r="M44" s="6">
        <f>I44-F44</f>
        <v>3.0972222222771961E-2</v>
      </c>
      <c r="N44" s="7">
        <f>24*60*SUM($M44:$M44)</f>
        <v>44.600000000791624</v>
      </c>
      <c r="O44" s="7"/>
      <c r="P44" s="7"/>
      <c r="Q44" s="23"/>
      <c r="R44" s="23"/>
      <c r="S44" s="35">
        <f>SUM(U44:U44)/IF(AG44="EC",12,1)</f>
        <v>1</v>
      </c>
      <c r="T44" s="50" t="str">
        <f>IF(ISEVEN(LEFT(AD44,4)),"Southbound","NorthBound")</f>
        <v>Southbound</v>
      </c>
      <c r="U44" s="144">
        <f>IF(AG44="EC",COUNTIFS(Variables!$M$2:$M$19,IF(T44="NorthBound","&gt;=","&lt;=")&amp;Y44,Variables!$M$2:$M$19,IF(T44="NorthBound","&lt;=","&gt;=")&amp;Z44),COUNTIFS(Variables!$P$2:$P$19,IF(T44="NorthBound","&gt;=","&lt;=")&amp;Y44,Variables!$P$2:$P$19,IF(T44="NorthBound","&lt;=","&gt;=")&amp;Z44))</f>
        <v>12</v>
      </c>
      <c r="V44" s="98" t="str">
        <f>"https://search-rtdc-monitor-bjffxe2xuh6vdkpspy63sjmuny.us-east-1.es.amazonaws.com/_plugin/kibana/#/discover/Steve-Slow-Train-Analysis-(2080s-and-2083s)?_g=(refreshInterval:(display:Off,section:0,value:0),time:(from:'"&amp;TEXT(E44-1/24,"yyyy-MM-DD hh:mm:ss")&amp;"-0600',mode:absolute,to:'"&amp;TEXT(I44+1/24,"yyyy-MM-DD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44&amp;"%22')),sort:!(Time,asc))"</f>
        <v>https://search-rtdc-monitor-bjffxe2xuh6vdkpspy63sjmuny.us-east-1.es.amazonaws.com/_plugin/kibana/#/discover/Steve-Slow-Train-Analysis-(2080s-and-2083s)?_g=(refreshInterval:(display:Off,section:0,value:0),time:(from:'2016-10-13 07:20:44-0600',mode:absolute,to:'2016-10-13 10:10: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44" s="52" t="str">
        <f>IF(AA44&lt;IF(AG44="EC",23,5.65),"Y","N")</f>
        <v>N</v>
      </c>
      <c r="X44" s="149">
        <f>VALUE(LEFT(AD44,4))-VALUE(LEFT(AD43,4))</f>
        <v>1</v>
      </c>
      <c r="Y44" s="67">
        <f>RIGHT(D44,LEN(D44)-4)/10000</f>
        <v>23.302600000000002</v>
      </c>
      <c r="Z44" s="67">
        <f>RIGHT(H44,LEN(H44)-4)/10000</f>
        <v>1.4999999999999999E-2</v>
      </c>
      <c r="AA44" s="67">
        <f>ABS(Z44-Y44)</f>
        <v>23.287600000000001</v>
      </c>
      <c r="AB44" s="64" t="e">
        <f>VLOOKUP(A44,Enforcements!$C$7:$K$21,8,0)</f>
        <v>#N/A</v>
      </c>
      <c r="AC44" s="60" t="e">
        <f>VLOOKUP(A44,Enforcements!$C$7:$E$21,3,0)</f>
        <v>#N/A</v>
      </c>
      <c r="AD44" s="61" t="str">
        <f>IF(LEN(A44)=6,"0"&amp;A44,A44)</f>
        <v>0132-13</v>
      </c>
      <c r="AE44" s="91" t="str">
        <f>"aws s3 cp "&amp;s3_bucket&amp;"/RTDC"&amp;B44&amp;"/ "&amp;search_path&amp;"\RTDC"&amp;B44&amp;"\"&amp;TEXT(F44,"YYYY-MM-DD")&amp;" --exclude ""*"" --recursive --include ""*"&amp;TEXT(F44,"YYYYMMDD")&amp;"*"" &amp; """&amp;walkandungz&amp;""" "&amp;search_path&amp;"\RTDC"&amp;B44&amp;"\"&amp;TEXT(F44,"YYYY-MM-DD")
&amp;" &amp; "&amp;"aws s3 cp "&amp;s3_bucket&amp;"/RTDC"&amp;B44&amp;"/ "&amp;search_path&amp;"\RTDC"&amp;B44&amp;"\"&amp;TEXT(F44+1,"YYYY-MM-DD")&amp;" --exclude ""*"" --recursive --include ""*"&amp;TEXT(F44+1,"YYYYMMDD")&amp;"*"" &amp; """&amp;walkandungz&amp;""" "&amp;search_path&amp;"\RTDC"&amp;B44&amp;"\"&amp;TEXT(F44+1,"YYYY-MM-DD")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44" s="88" t="str">
        <f>astrogrep_path&amp;" /spath="&amp;search_path&amp;" /stypes=""app*"&amp;B44&amp;"*"&amp;TEXT(I44-utc_offset/24,"YYYYMMDD")&amp;"*"" /stext="" "&amp;TEXT(I44-utc_offset/24,"HH")&amp;search_regexp&amp;""" /e /r /s"</f>
        <v>"C:\Program Files (x86)\AstroGrep\AstroGrep.exe" /spath="%USERPROFILE%\AppData\Local\Temp\OnboardLogs" /stypes="app*4041*20161013*" /stext=" 15:.+((SYSTEM_STATE.+slice.+state.+changed )|(ment ac)|(system.+state.+changed )|(\[timeout)|(PRM\|1\|D)|(kpr)|(kdp)|(\|lc)|(penalty))" /e /r /s</v>
      </c>
      <c r="AG44" s="1" t="str">
        <f>IFERROR(IF(VALUE(LEFT(AD44,2))&lt;=2,"EC",IF(OR(VALUE(LEFT(AD44,2))=8,VALUE(LEFT(AD44,2))=18),"NW","Other")),"Other")</f>
        <v>EC</v>
      </c>
      <c r="AH44" s="92" t="str">
        <f t="shared" si="2"/>
        <v>"%USERPROFILE%\Documents\GitHub\eaglep3\Utilities\RefineRTDCRunTimes.py" --tripid 132-13 --locoid 4041 --swversion DE.1.0.7.0 --startMP 204:233026 --initTime 2016-10-13T08:20:44 --startdatetime 2016-10-13T08:26:17 --delay 1 --endMP 204:150 --enddatetime 2016-10-13T09:10:53 --enforcementcount 1 &gt;&gt;C:\Users\stu\Documents\GitHub\eaglep3-reporting\EC\2016-10-13-refined-times.txt</v>
      </c>
      <c r="AI44" s="122" t="str">
        <f t="shared" si="3"/>
        <v>echo {"issue":{"subject":"","project_id":79,"tracker_id":40,"status_id":1,"priority_id":2,"assigned_to_id":23,"start_date":"2016-10-13","description":"","custom_fields":[{"id":1,"name":"Subdivision","value":"EC"},{"id":4,"name":"Milepost","value":"0.015"},{"id":17,"name":"Train ID","value":"132-13"},{"id":16,"name":"Locomotive ID","value":"4041"},{"id":130,"name":"Impact","value":""},{"id":150,"name":"Time of Event (Mountain Time)","value":"09:10:53"},{"id":151,"name":"Denver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464</v>
      </c>
      <c r="B45" s="7">
        <v>4044</v>
      </c>
      <c r="C45" s="22" t="s">
        <v>99</v>
      </c>
      <c r="D45" s="22" t="s">
        <v>284</v>
      </c>
      <c r="E45" s="13">
        <v>42656.320590277777</v>
      </c>
      <c r="F45" s="13">
        <v>42656.323182870372</v>
      </c>
      <c r="G45" s="7">
        <v>1</v>
      </c>
      <c r="H45" s="13" t="s">
        <v>323</v>
      </c>
      <c r="I45" s="13">
        <v>42656.348263888889</v>
      </c>
      <c r="J45" s="7">
        <v>1</v>
      </c>
      <c r="K45" s="112" t="str">
        <f>IF(ISEVEN(B45),(B45-1)&amp;"/"&amp;B45,B45&amp;"/"&amp;(B45+1))</f>
        <v>4043/4044</v>
      </c>
      <c r="L45" s="22" t="str">
        <f>VLOOKUP(A45,'Trips&amp;Operators'!$C$1:$E$10000,3,FALSE)</f>
        <v>MALAVE</v>
      </c>
      <c r="M45" s="6">
        <f>I45-F45</f>
        <v>2.5081018517084885E-2</v>
      </c>
      <c r="N45" s="7">
        <f>24*60*SUM($M45:$M45)</f>
        <v>36.116666664602235</v>
      </c>
      <c r="O45" s="7"/>
      <c r="P45" s="7"/>
      <c r="Q45" s="23"/>
      <c r="R45" s="23"/>
      <c r="S45" s="35">
        <f>SUM(U45:U45)/IF(AG45="EC",12,1)</f>
        <v>1</v>
      </c>
      <c r="T45" s="50" t="str">
        <f>IF(ISEVEN(LEFT(AD45,4)),"Southbound","NorthBound")</f>
        <v>NorthBound</v>
      </c>
      <c r="U45" s="144">
        <f>IF(AG45="EC",COUNTIFS(Variables!$M$2:$M$19,IF(T45="NorthBound","&gt;=","&lt;=")&amp;Y45,Variables!$M$2:$M$19,IF(T45="NorthBound","&lt;=","&gt;=")&amp;Z45),COUNTIFS(Variables!$P$2:$P$19,IF(T45="NorthBound","&gt;=","&lt;=")&amp;Y45,Variables!$P$2:$P$19,IF(T45="NorthBound","&lt;=","&gt;=")&amp;Z45))</f>
        <v>12</v>
      </c>
      <c r="V45" s="98" t="str">
        <f>"https://search-rtdc-monitor-bjffxe2xuh6vdkpspy63sjmuny.us-east-1.es.amazonaws.com/_plugin/kibana/#/discover/Steve-Slow-Train-Analysis-(2080s-and-2083s)?_g=(refreshInterval:(display:Off,section:0,value:0),time:(from:'"&amp;TEXT(E45-1/24,"yyyy-MM-DD hh:mm:ss")&amp;"-0600',mode:absolute,to:'"&amp;TEXT(I45+1/24,"yyyy-MM-DD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45&amp;"%22')),sort:!(Time,asc))"</f>
        <v>https://search-rtdc-monitor-bjffxe2xuh6vdkpspy63sjmuny.us-east-1.es.amazonaws.com/_plugin/kibana/#/discover/Steve-Slow-Train-Analysis-(2080s-and-2083s)?_g=(refreshInterval:(display:Off,section:0,value:0),time:(from:'2016-10-13 06:41:39-0600',mode:absolute,to:'2016-10-13 09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45" s="52" t="str">
        <f>IF(AA45&lt;IF(AG45="EC",23,5.65),"Y","N")</f>
        <v>N</v>
      </c>
      <c r="X45" s="149">
        <f>VALUE(LEFT(AD45,4))-VALUE(LEFT(AD44,4))</f>
        <v>1</v>
      </c>
      <c r="Y45" s="67">
        <f>RIGHT(D45,LEN(D45)-4)/10000</f>
        <v>4.6399999999999997E-2</v>
      </c>
      <c r="Z45" s="67">
        <f>RIGHT(H45,LEN(H45)-4)/10000</f>
        <v>23.328900000000001</v>
      </c>
      <c r="AA45" s="67">
        <f>ABS(Z45-Y45)</f>
        <v>23.282500000000002</v>
      </c>
      <c r="AB45" s="64" t="e">
        <f>VLOOKUP(A45,Enforcements!$C$7:$K$21,8,0)</f>
        <v>#N/A</v>
      </c>
      <c r="AC45" s="60" t="e">
        <f>VLOOKUP(A45,Enforcements!$C$7:$E$21,3,0)</f>
        <v>#N/A</v>
      </c>
      <c r="AD45" s="61" t="str">
        <f>IF(LEN(A45)=6,"0"&amp;A45,A45)</f>
        <v>0133-13</v>
      </c>
      <c r="AE45" s="91" t="str">
        <f>"aws s3 cp "&amp;s3_bucket&amp;"/RTDC"&amp;B45&amp;"/ "&amp;search_path&amp;"\RTDC"&amp;B45&amp;"\"&amp;TEXT(F45,"YYYY-MM-DD")&amp;" --exclude ""*"" --recursive --include ""*"&amp;TEXT(F45,"YYYYMMDD")&amp;"*"" &amp; """&amp;walkandungz&amp;""" "&amp;search_path&amp;"\RTDC"&amp;B45&amp;"\"&amp;TEXT(F45,"YYYY-MM-DD")
&amp;" &amp; "&amp;"aws s3 cp "&amp;s3_bucket&amp;"/RTDC"&amp;B45&amp;"/ "&amp;search_path&amp;"\RTDC"&amp;B45&amp;"\"&amp;TEXT(F45+1,"YYYY-MM-DD")&amp;" --exclude ""*"" --recursive --include ""*"&amp;TEXT(F45+1,"YYYYMMDD")&amp;"*"" &amp; """&amp;walkandungz&amp;""" "&amp;search_path&amp;"\RTDC"&amp;B45&amp;"\"&amp;TEXT(F45+1,"YYYY-MM-DD")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45" s="88" t="str">
        <f>astrogrep_path&amp;" /spath="&amp;search_path&amp;" /stypes=""app*"&amp;B45&amp;"*"&amp;TEXT(I45-utc_offset/24,"YYYYMMDD")&amp;"*"" /stext="" "&amp;TEXT(I45-utc_offset/24,"HH")&amp;search_regexp&amp;""" /e /r /s"</f>
        <v>"C:\Program Files (x86)\AstroGrep\AstroGrep.exe" /spath="%USERPROFILE%\AppData\Local\Temp\OnboardLogs" /stypes="app*4044*20161013*" /stext=" 14:.+((SYSTEM_STATE.+slice.+state.+changed )|(ment ac)|(system.+state.+changed )|(\[timeout)|(PRM\|1\|D)|(kpr)|(kdp)|(\|lc)|(penalty))" /e /r /s</v>
      </c>
      <c r="AG45" s="1" t="str">
        <f>IFERROR(IF(VALUE(LEFT(AD45,2))&lt;=2,"EC",IF(OR(VALUE(LEFT(AD45,2))=8,VALUE(LEFT(AD45,2))=18),"NW","Other")),"Other")</f>
        <v>EC</v>
      </c>
      <c r="AH45" s="92" t="str">
        <f t="shared" si="2"/>
        <v>"%USERPROFILE%\Documents\GitHub\eaglep3\Utilities\RefineRTDCRunTimes.py" --tripid 133-13 --locoid 4044 --swversion DE.1.0.7.0 --startMP 204:464 --initTime 2016-10-13T07:41:39 --startdatetime 2016-10-13T07:45:23 --delay 1 --endMP 204:233289 --enddatetime 2016-10-13T08:21:30 --enforcementcount 1 &gt;&gt;C:\Users\stu\Documents\GitHub\eaglep3-reporting\EC\2016-10-13-refined-times.txt</v>
      </c>
      <c r="AI45" s="122" t="str">
        <f t="shared" si="3"/>
        <v>echo {"issue":{"subject":"","project_id":79,"tracker_id":40,"status_id":1,"priority_id":2,"assigned_to_id":23,"start_date":"2016-10-13","description":"","custom_fields":[{"id":1,"name":"Subdivision","value":"EC"},{"id":4,"name":"Milepost","value":"23.3289"},{"id":17,"name":"Train ID","value":"133-13"},{"id":16,"name":"Locomotive ID","value":"4044"},{"id":130,"name":"Impact","value":""},{"id":150,"name":"Time of Event (Mountain Time)","value":"08:21:30"},{"id":151,"name":"Denver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390</v>
      </c>
      <c r="B46" s="7">
        <v>4043</v>
      </c>
      <c r="C46" s="22" t="s">
        <v>99</v>
      </c>
      <c r="D46" s="22" t="s">
        <v>317</v>
      </c>
      <c r="E46" s="13">
        <v>42656.36042824074</v>
      </c>
      <c r="F46" s="13">
        <v>42656.36210648148</v>
      </c>
      <c r="G46" s="7">
        <v>0</v>
      </c>
      <c r="H46" s="13" t="s">
        <v>177</v>
      </c>
      <c r="I46" s="13">
        <v>42656.38921296296</v>
      </c>
      <c r="J46" s="7">
        <v>1</v>
      </c>
      <c r="K46" s="112" t="str">
        <f>IF(ISEVEN(B46),(B46-1)&amp;"/"&amp;B46,B46&amp;"/"&amp;(B46+1))</f>
        <v>4043/4044</v>
      </c>
      <c r="L46" s="22" t="str">
        <f>VLOOKUP(A46,'Trips&amp;Operators'!$C$1:$E$10000,3,FALSE)</f>
        <v>MALAVE</v>
      </c>
      <c r="M46" s="6">
        <f>I46-F46</f>
        <v>2.7106481480586808E-2</v>
      </c>
      <c r="N46" s="7">
        <f>24*60*SUM($M46:$M46)</f>
        <v>39.033333332045004</v>
      </c>
      <c r="O46" s="7"/>
      <c r="P46" s="7"/>
      <c r="Q46" s="23"/>
      <c r="R46" s="23"/>
      <c r="S46" s="35">
        <f>SUM(U46:U46)/IF(AG46="EC",12,1)</f>
        <v>1</v>
      </c>
      <c r="T46" s="50" t="str">
        <f>IF(ISEVEN(LEFT(AD46,4)),"Southbound","NorthBound")</f>
        <v>Southbound</v>
      </c>
      <c r="U46" s="144">
        <f>IF(AG46="EC",COUNTIFS(Variables!$M$2:$M$19,IF(T46="NorthBound","&gt;=","&lt;=")&amp;Y46,Variables!$M$2:$M$19,IF(T46="NorthBound","&lt;=","&gt;=")&amp;Z46),COUNTIFS(Variables!$P$2:$P$19,IF(T46="NorthBound","&gt;=","&lt;=")&amp;Y46,Variables!$P$2:$P$19,IF(T46="NorthBound","&lt;=","&gt;=")&amp;Z46))</f>
        <v>12</v>
      </c>
      <c r="V46" s="98" t="str">
        <f>"https://search-rtdc-monitor-bjffxe2xuh6vdkpspy63sjmuny.us-east-1.es.amazonaws.com/_plugin/kibana/#/discover/Steve-Slow-Train-Analysis-(2080s-and-2083s)?_g=(refreshInterval:(display:Off,section:0,value:0),time:(from:'"&amp;TEXT(E46-1/24,"yyyy-MM-DD hh:mm:ss")&amp;"-0600',mode:absolute,to:'"&amp;TEXT(I46+1/24,"yyyy-MM-DD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46&amp;"%22')),sort:!(Time,asc))"</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46" s="52" t="str">
        <f>IF(AA46&lt;IF(AG46="EC",23,5.65),"Y","N")</f>
        <v>N</v>
      </c>
      <c r="X46" s="149">
        <f>VALUE(LEFT(AD46,4))-VALUE(LEFT(AD45,4))</f>
        <v>1</v>
      </c>
      <c r="Y46" s="67">
        <f>RIGHT(D46,LEN(D46)-4)/10000</f>
        <v>23.298100000000002</v>
      </c>
      <c r="Z46" s="67">
        <f>RIGHT(H46,LEN(H46)-4)/10000</f>
        <v>1.52E-2</v>
      </c>
      <c r="AA46" s="67">
        <f>ABS(Z46-Y46)</f>
        <v>23.282900000000001</v>
      </c>
      <c r="AB46" s="64" t="e">
        <f>VLOOKUP(A46,Enforcements!$C$7:$K$21,8,0)</f>
        <v>#N/A</v>
      </c>
      <c r="AC46" s="60" t="e">
        <f>VLOOKUP(A46,Enforcements!$C$7:$E$21,3,0)</f>
        <v>#N/A</v>
      </c>
      <c r="AD46" s="61" t="str">
        <f>IF(LEN(A46)=6,"0"&amp;A46,A46)</f>
        <v>0134-13</v>
      </c>
      <c r="AE46" s="91" t="str">
        <f>"aws s3 cp "&amp;s3_bucket&amp;"/RTDC"&amp;B46&amp;"/ "&amp;search_path&amp;"\RTDC"&amp;B46&amp;"\"&amp;TEXT(F46,"YYYY-MM-DD")&amp;" --exclude ""*"" --recursive --include ""*"&amp;TEXT(F46,"YYYYMMDD")&amp;"*"" &amp; """&amp;walkandungz&amp;""" "&amp;search_path&amp;"\RTDC"&amp;B46&amp;"\"&amp;TEXT(F46,"YYYY-MM-DD")
&amp;" &amp; "&amp;"aws s3 cp "&amp;s3_bucket&amp;"/RTDC"&amp;B46&amp;"/ "&amp;search_path&amp;"\RTDC"&amp;B46&amp;"\"&amp;TEXT(F46+1,"YYYY-MM-DD")&amp;" --exclude ""*"" --recursive --include ""*"&amp;TEXT(F46+1,"YYYYMMDD")&amp;"*"" &amp; """&amp;walkandungz&amp;""" "&amp;search_path&amp;"\RTDC"&amp;B46&amp;"\"&amp;TEXT(F46+1,"YYYY-MM-DD")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46" s="88" t="str">
        <f>astrogrep_path&amp;" /spath="&amp;search_path&amp;" /stypes=""app*"&amp;B46&amp;"*"&amp;TEXT(I46-utc_offset/24,"YYYYMMDD")&amp;"*"" /stext="" "&amp;TEXT(I46-utc_offset/24,"HH")&amp;search_regexp&amp;""" /e /r /s"</f>
        <v>"C:\Program Files (x86)\AstroGrep\AstroGrep.exe" /spath="%USERPROFILE%\AppData\Local\Temp\OnboardLogs" /stypes="app*4043*20161013*" /stext=" 15:.+((SYSTEM_STATE.+slice.+state.+changed )|(ment ac)|(system.+state.+changed )|(\[timeout)|(PRM\|1\|D)|(kpr)|(kdp)|(\|lc)|(penalty))" /e /r /s</v>
      </c>
      <c r="AG46" s="1" t="str">
        <f>IFERROR(IF(VALUE(LEFT(AD46,2))&lt;=2,"EC",IF(OR(VALUE(LEFT(AD46,2))=8,VALUE(LEFT(AD46,2))=18),"NW","Other")),"Other")</f>
        <v>EC</v>
      </c>
      <c r="AH46" s="92" t="str">
        <f t="shared" si="2"/>
        <v>"%USERPROFILE%\Documents\GitHub\eaglep3\Utilities\RefineRTDCRunTimes.py" --tripid 134-13 --locoid 4043 --swversion DE.1.0.7.0 --startMP 204:232981 --initTime 2016-10-13T08:39:01 --startdatetime 2016-10-13T08:41:26 --delay 0 --endMP 204:152 --enddatetime 2016-10-13T09:20:28 --enforcementcount 1 &gt;&gt;C:\Users\stu\Documents\GitHub\eaglep3-reporting\EC\2016-10-13-refined-times.txt</v>
      </c>
      <c r="AI46" s="122" t="str">
        <f t="shared" si="3"/>
        <v>echo {"issue":{"subject":"","project_id":79,"tracker_id":40,"status_id":1,"priority_id":2,"assigned_to_id":23,"start_date":"2016-10-13","description":"","custom_fields":[{"id":1,"name":"Subdivision","value":"EC"},{"id":4,"name":"Milepost","value":"0.0152"},{"id":17,"name":"Train ID","value":"134-13"},{"id":16,"name":"Locomotive ID","value":"4043"},{"id":130,"name":"Impact","value":""},{"id":150,"name":"Time of Event (Mountain Time)","value":"09:20:28"},{"id":151,"name":"Denver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466</v>
      </c>
      <c r="B47" s="7">
        <v>4018</v>
      </c>
      <c r="C47" s="22" t="s">
        <v>99</v>
      </c>
      <c r="D47" s="22" t="s">
        <v>276</v>
      </c>
      <c r="E47" s="13">
        <v>42656.329027777778</v>
      </c>
      <c r="F47" s="13">
        <v>42656.333611111113</v>
      </c>
      <c r="G47" s="7">
        <v>2</v>
      </c>
      <c r="H47" s="13" t="s">
        <v>630</v>
      </c>
      <c r="I47" s="13">
        <v>42656.360949074071</v>
      </c>
      <c r="J47" s="7">
        <v>1</v>
      </c>
      <c r="K47" s="112" t="str">
        <f>IF(ISEVEN(B47),(B47-1)&amp;"/"&amp;B47,B47&amp;"/"&amp;(B47+1))</f>
        <v>4017/4018</v>
      </c>
      <c r="L47" s="22" t="str">
        <f>VLOOKUP(A47,'Trips&amp;Operators'!$C$1:$E$10000,3,FALSE)</f>
        <v>STRICKLAND</v>
      </c>
      <c r="M47" s="6">
        <f>I47-F47</f>
        <v>2.7337962957972195E-2</v>
      </c>
      <c r="N47" s="7">
        <f>24*60*SUM($M47:$M47)</f>
        <v>39.366666659479961</v>
      </c>
      <c r="O47" s="7"/>
      <c r="P47" s="7"/>
      <c r="Q47" s="23"/>
      <c r="R47" s="23"/>
      <c r="S47" s="35">
        <f>SUM(U47:U47)/IF(AG47="EC",12,1)</f>
        <v>1</v>
      </c>
      <c r="T47" s="50" t="str">
        <f>IF(ISEVEN(LEFT(AD47,4)),"Southbound","NorthBound")</f>
        <v>NorthBound</v>
      </c>
      <c r="U47" s="144">
        <f>IF(AG47="EC",COUNTIFS(Variables!$M$2:$M$19,IF(T47="NorthBound","&gt;=","&lt;=")&amp;Y47,Variables!$M$2:$M$19,IF(T47="NorthBound","&lt;=","&gt;=")&amp;Z47),COUNTIFS(Variables!$P$2:$P$19,IF(T47="NorthBound","&gt;=","&lt;=")&amp;Y47,Variables!$P$2:$P$19,IF(T47="NorthBound","&lt;=","&gt;=")&amp;Z47))</f>
        <v>12</v>
      </c>
      <c r="V47" s="98" t="str">
        <f>"https://search-rtdc-monitor-bjffxe2xuh6vdkpspy63sjmuny.us-east-1.es.amazonaws.com/_plugin/kibana/#/discover/Steve-Slow-Train-Analysis-(2080s-and-2083s)?_g=(refreshInterval:(display:Off,section:0,value:0),time:(from:'"&amp;TEXT(E47-1/24,"yyyy-MM-DD hh:mm:ss")&amp;"-0600',mode:absolute,to:'"&amp;TEXT(I47+1/24,"yyyy-MM-DD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47&amp;"%22')),sort:!(Time,asc))"</f>
        <v>https://search-rtdc-monitor-bjffxe2xuh6vdkpspy63sjmuny.us-east-1.es.amazonaws.com/_plugin/kibana/#/discover/Steve-Slow-Train-Analysis-(2080s-and-2083s)?_g=(refreshInterval:(display:Off,section:0,value:0),time:(from:'2016-10-13 06:53:48-0600',mode:absolute,to:'2016-10-13 09: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7" s="52" t="str">
        <f>IF(AA47&lt;IF(AG47="EC",23,5.65),"Y","N")</f>
        <v>N</v>
      </c>
      <c r="X47" s="149">
        <f>VALUE(LEFT(AD47,4))-VALUE(LEFT(AD46,4))</f>
        <v>1</v>
      </c>
      <c r="Y47" s="67">
        <f>RIGHT(D47,LEN(D47)-4)/10000</f>
        <v>4.4699999999999997E-2</v>
      </c>
      <c r="Z47" s="67">
        <f>RIGHT(H47,LEN(H47)-4)/10000</f>
        <v>23.328800000000001</v>
      </c>
      <c r="AA47" s="67">
        <f>ABS(Z47-Y47)</f>
        <v>23.284100000000002</v>
      </c>
      <c r="AB47" s="64" t="e">
        <f>VLOOKUP(A47,Enforcements!$C$7:$K$21,8,0)</f>
        <v>#N/A</v>
      </c>
      <c r="AC47" s="60" t="e">
        <f>VLOOKUP(A47,Enforcements!$C$7:$E$21,3,0)</f>
        <v>#N/A</v>
      </c>
      <c r="AD47" s="61" t="str">
        <f>IF(LEN(A47)=6,"0"&amp;A47,A47)</f>
        <v>0135-13</v>
      </c>
      <c r="AE47" s="91" t="str">
        <f>"aws s3 cp "&amp;s3_bucket&amp;"/RTDC"&amp;B47&amp;"/ "&amp;search_path&amp;"\RTDC"&amp;B47&amp;"\"&amp;TEXT(F47,"YYYY-MM-DD")&amp;" --exclude ""*"" --recursive --include ""*"&amp;TEXT(F47,"YYYYMMDD")&amp;"*"" &amp; """&amp;walkandungz&amp;""" "&amp;search_path&amp;"\RTDC"&amp;B47&amp;"\"&amp;TEXT(F47,"YYYY-MM-DD")
&amp;" &amp; "&amp;"aws s3 cp "&amp;s3_bucket&amp;"/RTDC"&amp;B47&amp;"/ "&amp;search_path&amp;"\RTDC"&amp;B47&amp;"\"&amp;TEXT(F47+1,"YYYY-MM-DD")&amp;" --exclude ""*"" --recursive --include ""*"&amp;TEXT(F47+1,"YYYYMMDD")&amp;"*"" &amp; """&amp;walkandungz&amp;""" "&amp;search_path&amp;"\RTDC"&amp;B47&amp;"\"&amp;TEXT(F47+1,"YYYY-MM-DD")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47" s="88" t="str">
        <f>astrogrep_path&amp;" /spath="&amp;search_path&amp;" /stypes=""app*"&amp;B47&amp;"*"&amp;TEXT(I47-utc_offset/24,"YYYYMMDD")&amp;"*"" /stext="" "&amp;TEXT(I47-utc_offset/24,"HH")&amp;search_regexp&amp;""" /e /r /s"</f>
        <v>"C:\Program Files (x86)\AstroGrep\AstroGrep.exe" /spath="%USERPROFILE%\AppData\Local\Temp\OnboardLogs" /stypes="app*4018*20161013*" /stext=" 14:.+((SYSTEM_STATE.+slice.+state.+changed )|(ment ac)|(system.+state.+changed )|(\[timeout)|(PRM\|1\|D)|(kpr)|(kdp)|(\|lc)|(penalty))" /e /r /s</v>
      </c>
      <c r="AG47" s="1" t="str">
        <f>IFERROR(IF(VALUE(LEFT(AD47,2))&lt;=2,"EC",IF(OR(VALUE(LEFT(AD47,2))=8,VALUE(LEFT(AD47,2))=18),"NW","Other")),"Other")</f>
        <v>EC</v>
      </c>
      <c r="AH47" s="92" t="str">
        <f t="shared" si="2"/>
        <v>"%USERPROFILE%\Documents\GitHub\eaglep3\Utilities\RefineRTDCRunTimes.py" --tripid 135-13 --locoid 4018 --swversion DE.1.0.7.0 --startMP 204:447 --initTime 2016-10-13T07:53:48 --startdatetime 2016-10-13T08:00:24 --delay 2 --endMP 204:233288 --enddatetime 2016-10-13T08:39:46 --enforcementcount 1 &gt;&gt;C:\Users\stu\Documents\GitHub\eaglep3-reporting\EC\2016-10-13-refined-times.txt</v>
      </c>
      <c r="AI47" s="122" t="str">
        <f t="shared" si="3"/>
        <v>echo {"issue":{"subject":"","project_id":79,"tracker_id":40,"status_id":1,"priority_id":2,"assigned_to_id":23,"start_date":"2016-10-13","description":"","custom_fields":[{"id":1,"name":"Subdivision","value":"EC"},{"id":4,"name":"Milepost","value":"23.3288"},{"id":17,"name":"Train ID","value":"135-13"},{"id":16,"name":"Locomotive ID","value":"4018"},{"id":130,"name":"Impact","value":""},{"id":150,"name":"Time of Event (Mountain Time)","value":"08:39:46"},{"id":151,"name":"Denver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472</v>
      </c>
      <c r="B48" s="7">
        <v>4017</v>
      </c>
      <c r="C48" s="22" t="s">
        <v>99</v>
      </c>
      <c r="D48" s="22" t="s">
        <v>290</v>
      </c>
      <c r="E48" s="13">
        <v>42656.368391203701</v>
      </c>
      <c r="F48" s="13">
        <v>42656.37300925926</v>
      </c>
      <c r="G48" s="7">
        <v>1</v>
      </c>
      <c r="H48" s="13" t="s">
        <v>177</v>
      </c>
      <c r="I48" s="13">
        <v>42656.401574074072</v>
      </c>
      <c r="J48" s="7">
        <v>1</v>
      </c>
      <c r="K48" s="112" t="str">
        <f>IF(ISEVEN(B48),(B48-1)&amp;"/"&amp;B48,B48&amp;"/"&amp;(B48+1))</f>
        <v>4017/4018</v>
      </c>
      <c r="L48" s="22" t="str">
        <f>VLOOKUP(A48,'Trips&amp;Operators'!$C$1:$E$10000,3,FALSE)</f>
        <v>STRICKLAND</v>
      </c>
      <c r="M48" s="6">
        <f>I48-F48</f>
        <v>2.8564814812853001E-2</v>
      </c>
      <c r="N48" s="7">
        <f>24*60*SUM($M48:$M48)</f>
        <v>41.133333330508322</v>
      </c>
      <c r="O48" s="7"/>
      <c r="P48" s="7"/>
      <c r="Q48" s="23"/>
      <c r="R48" s="23"/>
      <c r="S48" s="35">
        <f>SUM(U48:U48)/IF(AG48="EC",12,1)</f>
        <v>1</v>
      </c>
      <c r="T48" s="50" t="str">
        <f>IF(ISEVEN(LEFT(AD48,4)),"Southbound","NorthBound")</f>
        <v>Southbound</v>
      </c>
      <c r="U48" s="144">
        <f>IF(AG48="EC",COUNTIFS(Variables!$M$2:$M$19,IF(T48="NorthBound","&gt;=","&lt;=")&amp;Y48,Variables!$M$2:$M$19,IF(T48="NorthBound","&lt;=","&gt;=")&amp;Z48),COUNTIFS(Variables!$P$2:$P$19,IF(T48="NorthBound","&gt;=","&lt;=")&amp;Y48,Variables!$P$2:$P$19,IF(T48="NorthBound","&lt;=","&gt;=")&amp;Z48))</f>
        <v>12</v>
      </c>
      <c r="V48" s="98" t="str">
        <f>"https://search-rtdc-monitor-bjffxe2xuh6vdkpspy63sjmuny.us-east-1.es.amazonaws.com/_plugin/kibana/#/discover/Steve-Slow-Train-Analysis-(2080s-and-2083s)?_g=(refreshInterval:(display:Off,section:0,value:0),time:(from:'"&amp;TEXT(E48-1/24,"yyyy-MM-DD hh:mm:ss")&amp;"-0600',mode:absolute,to:'"&amp;TEXT(I48+1/24,"yyyy-MM-DD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48&amp;"%22')),sort:!(Time,asc))"</f>
        <v>https://search-rtdc-monitor-bjffxe2xuh6vdkpspy63sjmuny.us-east-1.es.amazonaws.com/_plugin/kibana/#/discover/Steve-Slow-Train-Analysis-(2080s-and-2083s)?_g=(refreshInterval:(display:Off,section:0,value:0),time:(from:'2016-10-13 07:50:29-0600',mode:absolute,to:'2016-10-13 10:38: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8" s="52" t="str">
        <f>IF(AA48&lt;IF(AG48="EC",23,5.65),"Y","N")</f>
        <v>N</v>
      </c>
      <c r="X48" s="149">
        <f>VALUE(LEFT(AD48,4))-VALUE(LEFT(AD47,4))</f>
        <v>1</v>
      </c>
      <c r="Y48" s="67">
        <f>RIGHT(D48,LEN(D48)-4)/10000</f>
        <v>23.298200000000001</v>
      </c>
      <c r="Z48" s="67">
        <f>RIGHT(H48,LEN(H48)-4)/10000</f>
        <v>1.52E-2</v>
      </c>
      <c r="AA48" s="67">
        <f>ABS(Z48-Y48)</f>
        <v>23.283000000000001</v>
      </c>
      <c r="AB48" s="64" t="e">
        <f>VLOOKUP(A48,Enforcements!$C$7:$K$21,8,0)</f>
        <v>#N/A</v>
      </c>
      <c r="AC48" s="60" t="e">
        <f>VLOOKUP(A48,Enforcements!$C$7:$E$21,3,0)</f>
        <v>#N/A</v>
      </c>
      <c r="AD48" s="61" t="str">
        <f>IF(LEN(A48)=6,"0"&amp;A48,A48)</f>
        <v>0136-13</v>
      </c>
      <c r="AE48" s="91" t="str">
        <f>"aws s3 cp "&amp;s3_bucket&amp;"/RTDC"&amp;B48&amp;"/ "&amp;search_path&amp;"\RTDC"&amp;B48&amp;"\"&amp;TEXT(F48,"YYYY-MM-DD")&amp;" --exclude ""*"" --recursive --include ""*"&amp;TEXT(F48,"YYYYMMDD")&amp;"*"" &amp; """&amp;walkandungz&amp;""" "&amp;search_path&amp;"\RTDC"&amp;B48&amp;"\"&amp;TEXT(F48,"YYYY-MM-DD")
&amp;" &amp; "&amp;"aws s3 cp "&amp;s3_bucket&amp;"/RTDC"&amp;B48&amp;"/ "&amp;search_path&amp;"\RTDC"&amp;B48&amp;"\"&amp;TEXT(F48+1,"YYYY-MM-DD")&amp;" --exclude ""*"" --recursive --include ""*"&amp;TEXT(F48+1,"YYYYMMDD")&amp;"*"" &amp; """&amp;walkandungz&amp;""" "&amp;search_path&amp;"\RTDC"&amp;B48&amp;"\"&amp;TEXT(F48+1,"YYYY-MM-DD")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48" s="88" t="str">
        <f>astrogrep_path&amp;" /spath="&amp;search_path&amp;" /stypes=""app*"&amp;B48&amp;"*"&amp;TEXT(I48-utc_offset/24,"YYYYMMDD")&amp;"*"" /stext="" "&amp;TEXT(I48-utc_offset/24,"HH")&amp;search_regexp&amp;""" /e /r /s"</f>
        <v>"C:\Program Files (x86)\AstroGrep\AstroGrep.exe" /spath="%USERPROFILE%\AppData\Local\Temp\OnboardLogs" /stypes="app*4017*20161013*" /stext=" 15:.+((SYSTEM_STATE.+slice.+state.+changed )|(ment ac)|(system.+state.+changed )|(\[timeout)|(PRM\|1\|D)|(kpr)|(kdp)|(\|lc)|(penalty))" /e /r /s</v>
      </c>
      <c r="AG48" s="1" t="str">
        <f>IFERROR(IF(VALUE(LEFT(AD48,2))&lt;=2,"EC",IF(OR(VALUE(LEFT(AD48,2))=8,VALUE(LEFT(AD48,2))=18),"NW","Other")),"Other")</f>
        <v>EC</v>
      </c>
      <c r="AH48" s="92" t="str">
        <f t="shared" si="2"/>
        <v>"%USERPROFILE%\Documents\GitHub\eaglep3\Utilities\RefineRTDCRunTimes.py" --tripid 136-13 --locoid 4017 --swversion DE.1.0.7.0 --startMP 204:232982 --initTime 2016-10-13T08:50:29 --startdatetime 2016-10-13T08:57:08 --delay 1 --endMP 204:152 --enddatetime 2016-10-13T09:38:16 --enforcementcount 1 &gt;&gt;C:\Users\stu\Documents\GitHub\eaglep3-reporting\EC\2016-10-13-refined-times.txt</v>
      </c>
      <c r="AI48" s="122" t="str">
        <f t="shared" si="3"/>
        <v>echo {"issue":{"subject":"","project_id":79,"tracker_id":40,"status_id":1,"priority_id":2,"assigned_to_id":23,"start_date":"2016-10-13","description":"","custom_fields":[{"id":1,"name":"Subdivision","value":"EC"},{"id":4,"name":"Milepost","value":"0.0152"},{"id":17,"name":"Train ID","value":"136-13"},{"id":16,"name":"Locomotive ID","value":"4017"},{"id":130,"name":"Impact","value":""},{"id":150,"name":"Time of Event (Mountain Time)","value":"09:38:16"},{"id":151,"name":"Denver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29" customFormat="1" x14ac:dyDescent="0.25">
      <c r="A49" s="37" t="s">
        <v>468</v>
      </c>
      <c r="B49" s="7">
        <v>4014</v>
      </c>
      <c r="C49" s="22" t="s">
        <v>99</v>
      </c>
      <c r="D49" s="22" t="s">
        <v>631</v>
      </c>
      <c r="E49" s="13">
        <v>42656.346678240741</v>
      </c>
      <c r="F49" s="13">
        <v>42656.349756944444</v>
      </c>
      <c r="G49" s="7">
        <v>1</v>
      </c>
      <c r="H49" s="13" t="s">
        <v>322</v>
      </c>
      <c r="I49" s="13">
        <v>42656.3750462963</v>
      </c>
      <c r="J49" s="7">
        <v>1</v>
      </c>
      <c r="K49" s="112" t="str">
        <f>IF(ISEVEN(B49),(B49-1)&amp;"/"&amp;B49,B49&amp;"/"&amp;(B49+1))</f>
        <v>4013/4014</v>
      </c>
      <c r="L49" s="22" t="str">
        <f>VLOOKUP(A49,'Trips&amp;Operators'!$C$1:$E$10000,3,FALSE)</f>
        <v>GRASTON</v>
      </c>
      <c r="M49" s="6">
        <f>I49-F49</f>
        <v>2.5289351855462883E-2</v>
      </c>
      <c r="N49" s="7">
        <f>24*60*SUM($M49:$M49)</f>
        <v>36.416666671866551</v>
      </c>
      <c r="O49" s="7"/>
      <c r="P49" s="7"/>
      <c r="Q49" s="23"/>
      <c r="R49" s="23"/>
      <c r="S49" s="35">
        <f>SUM(U49:U49)/IF(AG49="EC",12,1)</f>
        <v>1</v>
      </c>
      <c r="T49" s="50" t="str">
        <f>IF(ISEVEN(LEFT(AD49,4)),"Southbound","NorthBound")</f>
        <v>NorthBound</v>
      </c>
      <c r="U49" s="144">
        <f>IF(AG49="EC",COUNTIFS(Variables!$M$2:$M$19,IF(T49="NorthBound","&gt;=","&lt;=")&amp;Y49,Variables!$M$2:$M$19,IF(T49="NorthBound","&lt;=","&gt;=")&amp;Z49),COUNTIFS(Variables!$P$2:$P$19,IF(T49="NorthBound","&gt;=","&lt;=")&amp;Y49,Variables!$P$2:$P$19,IF(T49="NorthBound","&lt;=","&gt;=")&amp;Z49))</f>
        <v>12</v>
      </c>
      <c r="V49" s="98" t="str">
        <f>"https://search-rtdc-monitor-bjffxe2xuh6vdkpspy63sjmuny.us-east-1.es.amazonaws.com/_plugin/kibana/#/discover/Steve-Slow-Train-Analysis-(2080s-and-2083s)?_g=(refreshInterval:(display:Off,section:0,value:0),time:(from:'"&amp;TEXT(E49-1/24,"yyyy-MM-DD hh:mm:ss")&amp;"-0600',mode:absolute,to:'"&amp;TEXT(I49+1/24,"yyyy-MM-DD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49&amp;"%22')),sort:!(Time,asc))"</f>
        <v>https://search-rtdc-monitor-bjffxe2xuh6vdkpspy63sjmuny.us-east-1.es.amazonaws.com/_plugin/kibana/#/discover/Steve-Slow-Train-Analysis-(2080s-and-2083s)?_g=(refreshInterval:(display:Off,section:0,value:0),time:(from:'2016-10-13 07:19:13-0600',mode:absolute,to:'2016-10-13 10:00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49" s="52" t="str">
        <f>IF(AA49&lt;IF(AG49="EC",23,5.65),"Y","N")</f>
        <v>N</v>
      </c>
      <c r="X49" s="149">
        <f t="shared" ref="X49:X53" si="4">VALUE(LEFT(AD49,4))-VALUE(LEFT(AD48,4))</f>
        <v>1</v>
      </c>
      <c r="Y49" s="67">
        <f>RIGHT(D49,LEN(D49)-4)/10000</f>
        <v>0.1484</v>
      </c>
      <c r="Z49" s="67">
        <f>RIGHT(H49,LEN(H49)-4)/10000</f>
        <v>23.330400000000001</v>
      </c>
      <c r="AA49" s="67">
        <f>ABS(Z49-Y49)</f>
        <v>23.182000000000002</v>
      </c>
      <c r="AB49" s="64" t="e">
        <f>VLOOKUP(A49,Enforcements!$C$7:$K$21,8,0)</f>
        <v>#N/A</v>
      </c>
      <c r="AC49" s="60" t="e">
        <f>VLOOKUP(A49,Enforcements!$C$7:$E$21,3,0)</f>
        <v>#N/A</v>
      </c>
      <c r="AD49" s="61" t="str">
        <f>IF(LEN(A49)=6,"0"&amp;A49,A49)</f>
        <v>0137-13</v>
      </c>
      <c r="AE49" s="91" t="str">
        <f>"aws s3 cp "&amp;s3_bucket&amp;"/RTDC"&amp;B49&amp;"/ "&amp;search_path&amp;"\RTDC"&amp;B49&amp;"\"&amp;TEXT(F49,"YYYY-MM-DD")&amp;" --exclude ""*"" --recursive --include ""*"&amp;TEXT(F49,"YYYYMMDD")&amp;"*"" &amp; """&amp;walkandungz&amp;""" "&amp;search_path&amp;"\RTDC"&amp;B49&amp;"\"&amp;TEXT(F49,"YYYY-MM-DD")
&amp;" &amp; "&amp;"aws s3 cp "&amp;s3_bucket&amp;"/RTDC"&amp;B49&amp;"/ "&amp;search_path&amp;"\RTDC"&amp;B49&amp;"\"&amp;TEXT(F49+1,"YYYY-MM-DD")&amp;" --exclude ""*"" --recursive --include ""*"&amp;TEXT(F49+1,"YYYYMMDD")&amp;"*"" &amp; """&amp;walkandungz&amp;""" "&amp;search_path&amp;"\RTDC"&amp;B49&amp;"\"&amp;TEXT(F49+1,"YYYY-MM-DD")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49" s="88" t="str">
        <f>astrogrep_path&amp;" /spath="&amp;search_path&amp;" /stypes=""app*"&amp;B49&amp;"*"&amp;TEXT(I49-utc_offset/24,"YYYYMMDD")&amp;"*"" /stext="" "&amp;TEXT(I49-utc_offset/24,"HH")&amp;search_regexp&amp;""" /e /r /s"</f>
        <v>"C:\Program Files (x86)\AstroGrep\AstroGrep.exe" /spath="%USERPROFILE%\AppData\Local\Temp\OnboardLogs" /stypes="app*4014*20161013*" /stext=" 15:.+((SYSTEM_STATE.+slice.+state.+changed )|(ment ac)|(system.+state.+changed )|(\[timeout)|(PRM\|1\|D)|(kpr)|(kdp)|(\|lc)|(penalty))" /e /r /s</v>
      </c>
      <c r="AG49" s="1" t="str">
        <f>IFERROR(IF(VALUE(LEFT(AD49,2))&lt;=2,"EC",IF(OR(VALUE(LEFT(AD49,2))=8,VALUE(LEFT(AD49,2))=18),"NW","Other")),"Other")</f>
        <v>EC</v>
      </c>
      <c r="AH49" s="92" t="str">
        <f t="shared" si="2"/>
        <v>"%USERPROFILE%\Documents\GitHub\eaglep3\Utilities\RefineRTDCRunTimes.py" --tripid 137-13 --locoid 4014 --swversion DE.1.0.7.0 --startMP 204:1484 --initTime 2016-10-13T08:19:13 --startdatetime 2016-10-13T08:23:39 --delay 1 --endMP 204:233304 --enddatetime 2016-10-13T09:00:04 --enforcementcount 1 &gt;&gt;C:\Users\stu\Documents\GitHub\eaglep3-reporting\EC\2016-10-13-refined-times.txt</v>
      </c>
      <c r="AI49" s="122" t="str">
        <f t="shared" si="3"/>
        <v>echo {"issue":{"subject":"","project_id":79,"tracker_id":40,"status_id":1,"priority_id":2,"assigned_to_id":23,"start_date":"2016-10-13","description":"","custom_fields":[{"id":1,"name":"Subdivision","value":"EC"},{"id":4,"name":"Milepost","value":"23.3304"},{"id":17,"name":"Train ID","value":"137-13"},{"id":16,"name":"Locomotive ID","value":"4014"},{"id":130,"name":"Impact","value":""},{"id":150,"name":"Time of Event (Mountain Time)","value":"09:00:04"},{"id":151,"name":"Denver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475</v>
      </c>
      <c r="B50" s="7">
        <v>4013</v>
      </c>
      <c r="C50" s="22" t="s">
        <v>99</v>
      </c>
      <c r="D50" s="22" t="s">
        <v>258</v>
      </c>
      <c r="E50" s="13">
        <v>42656.37841435185</v>
      </c>
      <c r="F50" s="13">
        <v>42656.382835648146</v>
      </c>
      <c r="G50" s="7">
        <v>1</v>
      </c>
      <c r="H50" s="13" t="s">
        <v>619</v>
      </c>
      <c r="I50" s="13">
        <v>42656.40898148148</v>
      </c>
      <c r="J50" s="7">
        <v>1</v>
      </c>
      <c r="K50" s="112" t="str">
        <f>IF(ISEVEN(B50),(B50-1)&amp;"/"&amp;B50,B50&amp;"/"&amp;(B50+1))</f>
        <v>4013/4014</v>
      </c>
      <c r="L50" s="22" t="str">
        <f>VLOOKUP(A50,'Trips&amp;Operators'!$C$1:$E$10000,3,FALSE)</f>
        <v>GRASTON</v>
      </c>
      <c r="M50" s="6">
        <f>I50-F50</f>
        <v>2.6145833333430346E-2</v>
      </c>
      <c r="N50" s="7">
        <f>24*60*SUM($M50:$M50)</f>
        <v>37.650000000139698</v>
      </c>
      <c r="O50" s="7"/>
      <c r="P50" s="7"/>
      <c r="Q50" s="23"/>
      <c r="R50" s="23"/>
      <c r="S50" s="35">
        <f>SUM(U50:U50)/IF(AG50="EC",12,1)</f>
        <v>1</v>
      </c>
      <c r="T50" s="50" t="str">
        <f>IF(ISEVEN(LEFT(AD50,4)),"Southbound","NorthBound")</f>
        <v>Southbound</v>
      </c>
      <c r="U50" s="144">
        <f>IF(AG50="EC",COUNTIFS(Variables!$M$2:$M$19,IF(T50="NorthBound","&gt;=","&lt;=")&amp;Y50,Variables!$M$2:$M$19,IF(T50="NorthBound","&lt;=","&gt;=")&amp;Z50),COUNTIFS(Variables!$P$2:$P$19,IF(T50="NorthBound","&gt;=","&lt;=")&amp;Y50,Variables!$P$2:$P$19,IF(T50="NorthBound","&lt;=","&gt;=")&amp;Z50))</f>
        <v>12</v>
      </c>
      <c r="V50" s="98" t="str">
        <f>"https://search-rtdc-monitor-bjffxe2xuh6vdkpspy63sjmuny.us-east-1.es.amazonaws.com/_plugin/kibana/#/discover/Steve-Slow-Train-Analysis-(2080s-and-2083s)?_g=(refreshInterval:(display:Off,section:0,value:0),time:(from:'"&amp;TEXT(E50-1/24,"yyyy-MM-DD hh:mm:ss")&amp;"-0600',mode:absolute,to:'"&amp;TEXT(I50+1/24,"yyyy-MM-DD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50&amp;"%22')),sort:!(Time,asc))"</f>
        <v>https://search-rtdc-monitor-bjffxe2xuh6vdkpspy63sjmuny.us-east-1.es.amazonaws.com/_plugin/kibana/#/discover/Steve-Slow-Train-Analysis-(2080s-and-2083s)?_g=(refreshInterval:(display:Off,section:0,value:0),time:(from:'2016-10-13 08:04:55-0600',mode:absolute,to:'2016-10-13 10:48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50" s="52" t="str">
        <f>IF(AA50&lt;IF(AG50="EC",23,5.65),"Y","N")</f>
        <v>N</v>
      </c>
      <c r="X50" s="149">
        <f t="shared" si="4"/>
        <v>1</v>
      </c>
      <c r="Y50" s="67">
        <f>RIGHT(D50,LEN(D50)-4)/10000</f>
        <v>23.298500000000001</v>
      </c>
      <c r="Z50" s="67">
        <f>RIGHT(H50,LEN(H50)-4)/10000</f>
        <v>1.5599999999999999E-2</v>
      </c>
      <c r="AA50" s="67">
        <f>ABS(Z50-Y50)</f>
        <v>23.282900000000001</v>
      </c>
      <c r="AB50" s="64" t="e">
        <f>VLOOKUP(A50,Enforcements!$C$7:$K$21,8,0)</f>
        <v>#N/A</v>
      </c>
      <c r="AC50" s="60" t="e">
        <f>VLOOKUP(A50,Enforcements!$C$7:$E$21,3,0)</f>
        <v>#N/A</v>
      </c>
      <c r="AD50" s="61" t="str">
        <f>IF(LEN(A50)=6,"0"&amp;A50,A50)</f>
        <v>0138-13</v>
      </c>
      <c r="AE50" s="91" t="str">
        <f>"aws s3 cp "&amp;s3_bucket&amp;"/RTDC"&amp;B50&amp;"/ "&amp;search_path&amp;"\RTDC"&amp;B50&amp;"\"&amp;TEXT(F50,"YYYY-MM-DD")&amp;" --exclude ""*"" --recursive --include ""*"&amp;TEXT(F50,"YYYYMMDD")&amp;"*"" &amp; """&amp;walkandungz&amp;""" "&amp;search_path&amp;"\RTDC"&amp;B50&amp;"\"&amp;TEXT(F50,"YYYY-MM-DD")
&amp;" &amp; "&amp;"aws s3 cp "&amp;s3_bucket&amp;"/RTDC"&amp;B50&amp;"/ "&amp;search_path&amp;"\RTDC"&amp;B50&amp;"\"&amp;TEXT(F50+1,"YYYY-MM-DD")&amp;" --exclude ""*"" --recursive --include ""*"&amp;TEXT(F50+1,"YYYYMMDD")&amp;"*"" &amp; """&amp;walkandungz&amp;""" "&amp;search_path&amp;"\RTDC"&amp;B50&amp;"\"&amp;TEXT(F50+1,"YYYY-MM-DD")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50" s="88" t="str">
        <f>astrogrep_path&amp;" /spath="&amp;search_path&amp;" /stypes=""app*"&amp;B50&amp;"*"&amp;TEXT(I50-utc_offset/24,"YYYYMMDD")&amp;"*"" /stext="" "&amp;TEXT(I50-utc_offset/24,"HH")&amp;search_regexp&amp;""" /e /r /s"</f>
        <v>"C:\Program Files (x86)\AstroGrep\AstroGrep.exe" /spath="%USERPROFILE%\AppData\Local\Temp\OnboardLogs" /stypes="app*4013*20161013*" /stext=" 15:.+((SYSTEM_STATE.+slice.+state.+changed )|(ment ac)|(system.+state.+changed )|(\[timeout)|(PRM\|1\|D)|(kpr)|(kdp)|(\|lc)|(penalty))" /e /r /s</v>
      </c>
      <c r="AG50" s="1" t="str">
        <f>IFERROR(IF(VALUE(LEFT(AD50,2))&lt;=2,"EC",IF(OR(VALUE(LEFT(AD50,2))=8,VALUE(LEFT(AD50,2))=18),"NW","Other")),"Other")</f>
        <v>EC</v>
      </c>
      <c r="AH50" s="92" t="str">
        <f t="shared" si="2"/>
        <v>"%USERPROFILE%\Documents\GitHub\eaglep3\Utilities\RefineRTDCRunTimes.py" --tripid 138-13 --locoid 4013 --swversion DE.1.0.7.0 --startMP 204:232985 --initTime 2016-10-13T09:04:55 --startdatetime 2016-10-13T09:11:17 --delay 1 --endMP 204:156 --enddatetime 2016-10-13T09:48:56 --enforcementcount 1 &gt;&gt;C:\Users\stu\Documents\GitHub\eaglep3-reporting\EC\2016-10-13-refined-times.txt</v>
      </c>
      <c r="AI50" s="122" t="str">
        <f t="shared" si="3"/>
        <v>echo {"issue":{"subject":"","project_id":79,"tracker_id":40,"status_id":1,"priority_id":2,"assigned_to_id":23,"start_date":"2016-10-13","description":"","custom_fields":[{"id":1,"name":"Subdivision","value":"EC"},{"id":4,"name":"Milepost","value":"0.0156"},{"id":17,"name":"Train ID","value":"138-13"},{"id":16,"name":"Locomotive ID","value":"4013"},{"id":130,"name":"Impact","value":""},{"id":150,"name":"Time of Event (Mountain Time)","value":"09:48:56"},{"id":151,"name":"Denver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388</v>
      </c>
      <c r="B51" s="7">
        <v>4038</v>
      </c>
      <c r="C51" s="22" t="s">
        <v>99</v>
      </c>
      <c r="D51" s="22" t="s">
        <v>298</v>
      </c>
      <c r="E51" s="13">
        <v>42656.351446759261</v>
      </c>
      <c r="F51" s="13">
        <v>42656.354351851849</v>
      </c>
      <c r="G51" s="7">
        <v>2</v>
      </c>
      <c r="H51" s="13" t="s">
        <v>632</v>
      </c>
      <c r="I51" s="13">
        <v>42656.381550925929</v>
      </c>
      <c r="J51" s="7">
        <v>1</v>
      </c>
      <c r="K51" s="112" t="str">
        <f>IF(ISEVEN(B51),(B51-1)&amp;"/"&amp;B51,B51&amp;"/"&amp;(B51+1))</f>
        <v>4037/4038</v>
      </c>
      <c r="L51" s="22" t="str">
        <f>VLOOKUP(A51,'Trips&amp;Operators'!$C$1:$E$10000,3,FALSE)</f>
        <v>STARKS</v>
      </c>
      <c r="M51" s="6">
        <f>I51-F51</f>
        <v>2.7199074080272112E-2</v>
      </c>
      <c r="N51" s="7">
        <f>24*60*SUM($M51:$M51)</f>
        <v>39.166666675591841</v>
      </c>
      <c r="O51" s="7"/>
      <c r="P51" s="7"/>
      <c r="Q51" s="23"/>
      <c r="R51" s="23"/>
      <c r="S51" s="35">
        <f>SUM(U51:U51)/IF(AG51="EC",12,1)</f>
        <v>1</v>
      </c>
      <c r="T51" s="50" t="str">
        <f>IF(ISEVEN(LEFT(AD51,4)),"Southbound","NorthBound")</f>
        <v>NorthBound</v>
      </c>
      <c r="U51" s="144">
        <f>IF(AG51="EC",COUNTIFS(Variables!$M$2:$M$19,IF(T51="NorthBound","&gt;=","&lt;=")&amp;Y51,Variables!$M$2:$M$19,IF(T51="NorthBound","&lt;=","&gt;=")&amp;Z51),COUNTIFS(Variables!$P$2:$P$19,IF(T51="NorthBound","&gt;=","&lt;=")&amp;Y51,Variables!$P$2:$P$19,IF(T51="NorthBound","&lt;=","&gt;=")&amp;Z51))</f>
        <v>12</v>
      </c>
      <c r="V51" s="98" t="str">
        <f>"https://search-rtdc-monitor-bjffxe2xuh6vdkpspy63sjmuny.us-east-1.es.amazonaws.com/_plugin/kibana/#/discover/Steve-Slow-Train-Analysis-(2080s-and-2083s)?_g=(refreshInterval:(display:Off,section:0,value:0),time:(from:'"&amp;TEXT(E51-1/24,"yyyy-MM-DD hh:mm:ss")&amp;"-0600',mode:absolute,to:'"&amp;TEXT(I51+1/24,"yyyy-MM-DD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51&amp;"%22')),sort:!(Time,asc))"</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51" s="52" t="str">
        <f>IF(AA51&lt;IF(AG51="EC",23,5.65),"Y","N")</f>
        <v>N</v>
      </c>
      <c r="X51" s="149">
        <f t="shared" si="4"/>
        <v>1</v>
      </c>
      <c r="Y51" s="67">
        <f>RIGHT(D51,LEN(D51)-4)/10000</f>
        <v>4.6199999999999998E-2</v>
      </c>
      <c r="Z51" s="67">
        <f>RIGHT(H51,LEN(H51)-4)/10000</f>
        <v>23.330100000000002</v>
      </c>
      <c r="AA51" s="67">
        <f>ABS(Z51-Y51)</f>
        <v>23.283900000000003</v>
      </c>
      <c r="AB51" s="64" t="str">
        <f>VLOOKUP(A51,Enforcements!$C$7:$K$21,8,0)</f>
        <v>Bulletin (2)</v>
      </c>
      <c r="AC51" s="60" t="str">
        <f>VLOOKUP(A51,Enforcements!$C$7:$E$21,3,0)</f>
        <v>GRADE CROSSING</v>
      </c>
      <c r="AD51" s="61" t="str">
        <f>IF(LEN(A51)=6,"0"&amp;A51,A51)</f>
        <v>0139-13</v>
      </c>
      <c r="AE51" s="91" t="str">
        <f>"aws s3 cp "&amp;s3_bucket&amp;"/RTDC"&amp;B51&amp;"/ "&amp;search_path&amp;"\RTDC"&amp;B51&amp;"\"&amp;TEXT(F51,"YYYY-MM-DD")&amp;" --exclude ""*"" --recursive --include ""*"&amp;TEXT(F51,"YYYYMMDD")&amp;"*"" &amp; """&amp;walkandungz&amp;""" "&amp;search_path&amp;"\RTDC"&amp;B51&amp;"\"&amp;TEXT(F51,"YYYY-MM-DD")
&amp;" &amp; "&amp;"aws s3 cp "&amp;s3_bucket&amp;"/RTDC"&amp;B51&amp;"/ "&amp;search_path&amp;"\RTDC"&amp;B51&amp;"\"&amp;TEXT(F51+1,"YYYY-MM-DD")&amp;" --exclude ""*"" --recursive --include ""*"&amp;TEXT(F51+1,"YYYYMMDD")&amp;"*"" &amp; """&amp;walkandungz&amp;""" "&amp;search_path&amp;"\RTDC"&amp;B51&amp;"\"&amp;TEXT(F51+1,"YYYY-MM-DD")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51" s="88" t="str">
        <f>astrogrep_path&amp;" /spath="&amp;search_path&amp;" /stypes=""app*"&amp;B51&amp;"*"&amp;TEXT(I51-utc_offset/24,"YYYYMMDD")&amp;"*"" /stext="" "&amp;TEXT(I51-utc_offset/24,"HH")&amp;search_regexp&amp;""" /e /r /s"</f>
        <v>"C:\Program Files (x86)\AstroGrep\AstroGrep.exe" /spath="%USERPROFILE%\AppData\Local\Temp\OnboardLogs" /stypes="app*4038*20161013*" /stext=" 15:.+((SYSTEM_STATE.+slice.+state.+changed )|(ment ac)|(system.+state.+changed )|(\[timeout)|(PRM\|1\|D)|(kpr)|(kdp)|(\|lc)|(penalty))" /e /r /s</v>
      </c>
      <c r="AG51" s="1" t="str">
        <f>IFERROR(IF(VALUE(LEFT(AD51,2))&lt;=2,"EC",IF(OR(VALUE(LEFT(AD51,2))=8,VALUE(LEFT(AD51,2))=18),"NW","Other")),"Other")</f>
        <v>EC</v>
      </c>
      <c r="AH51" s="92" t="str">
        <f t="shared" si="2"/>
        <v>"%USERPROFILE%\Documents\GitHub\eaglep3\Utilities\RefineRTDCRunTimes.py" --tripid 139-13 --locoid 4038 --swversion DE.1.0.7.0 --startMP 204:462 --initTime 2016-10-13T08:26:05 --startdatetime 2016-10-13T08:30:16 --delay 2 --endMP 204:233301 --enddatetime 2016-10-13T09:09:26 --enforcementcount 1 &gt;&gt;C:\Users\stu\Documents\GitHub\eaglep3-reporting\EC\2016-10-13-refined-times.txt</v>
      </c>
      <c r="AI51" s="122" t="str">
        <f t="shared" si="3"/>
        <v>echo {"issue":{"subject":"","project_id":79,"tracker_id":40,"status_id":1,"priority_id":2,"assigned_to_id":23,"start_date":"2016-10-13","description":"","custom_fields":[{"id":1,"name":"Subdivision","value":"EC"},{"id":4,"name":"Milepost","value":"23.3301"},{"id":17,"name":"Train ID","value":"139-13"},{"id":16,"name":"Locomotive ID","value":"4038"},{"id":130,"name":"Impact","value":""},{"id":150,"name":"Time of Event (Mountain Time)","value":"09:09:26"},{"id":151,"name":"Denver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476</v>
      </c>
      <c r="B52" s="7">
        <v>4037</v>
      </c>
      <c r="C52" s="22" t="s">
        <v>99</v>
      </c>
      <c r="D52" s="22" t="s">
        <v>626</v>
      </c>
      <c r="E52" s="13">
        <v>42656.391493055555</v>
      </c>
      <c r="F52" s="13">
        <v>42656.393310185187</v>
      </c>
      <c r="G52" s="7">
        <v>1</v>
      </c>
      <c r="H52" s="13" t="s">
        <v>270</v>
      </c>
      <c r="I52" s="13">
        <v>42656.420231481483</v>
      </c>
      <c r="J52" s="7">
        <v>1</v>
      </c>
      <c r="K52" s="112" t="str">
        <f>IF(ISEVEN(B52),(B52-1)&amp;"/"&amp;B52,B52&amp;"/"&amp;(B52+1))</f>
        <v>4037/4038</v>
      </c>
      <c r="L52" s="22" t="str">
        <f>VLOOKUP(A52,'Trips&amp;Operators'!$C$1:$E$10000,3,FALSE)</f>
        <v>STARKS</v>
      </c>
      <c r="M52" s="6">
        <f>I52-F52</f>
        <v>2.6921296295768116E-2</v>
      </c>
      <c r="N52" s="7">
        <f>24*60*SUM($M52:$M52)</f>
        <v>38.766666665906087</v>
      </c>
      <c r="O52" s="7"/>
      <c r="P52" s="7"/>
      <c r="Q52" s="23"/>
      <c r="R52" s="23"/>
      <c r="S52" s="35">
        <f>SUM(U52:U52)/IF(AG52="EC",12,1)</f>
        <v>1</v>
      </c>
      <c r="T52" s="50" t="str">
        <f>IF(ISEVEN(LEFT(AD52,4)),"Southbound","NorthBound")</f>
        <v>Southbound</v>
      </c>
      <c r="U52" s="144">
        <f>IF(AG52="EC",COUNTIFS(Variables!$M$2:$M$19,IF(T52="NorthBound","&gt;=","&lt;=")&amp;Y52,Variables!$M$2:$M$19,IF(T52="NorthBound","&lt;=","&gt;=")&amp;Z52),COUNTIFS(Variables!$P$2:$P$19,IF(T52="NorthBound","&gt;=","&lt;=")&amp;Y52,Variables!$P$2:$P$19,IF(T52="NorthBound","&lt;=","&gt;=")&amp;Z52))</f>
        <v>12</v>
      </c>
      <c r="V52" s="98" t="str">
        <f>"https://search-rtdc-monitor-bjffxe2xuh6vdkpspy63sjmuny.us-east-1.es.amazonaws.com/_plugin/kibana/#/discover/Steve-Slow-Train-Analysis-(2080s-and-2083s)?_g=(refreshInterval:(display:Off,section:0,value:0),time:(from:'"&amp;TEXT(E52-1/24,"yyyy-MM-DD hh:mm:ss")&amp;"-0600',mode:absolute,to:'"&amp;TEXT(I52+1/24,"yyyy-MM-DD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52&amp;"%22')),sort:!(Time,asc))"</f>
        <v>https://search-rtdc-monitor-bjffxe2xuh6vdkpspy63sjmuny.us-east-1.es.amazonaws.com/_plugin/kibana/#/discover/Steve-Slow-Train-Analysis-(2080s-and-2083s)?_g=(refreshInterval:(display:Off,section:0,value:0),time:(from:'2016-10-13 08:23:45-0600',mode:absolute,to:'2016-10-13 11:05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52" s="52" t="str">
        <f>IF(AA52&lt;IF(AG52="EC",23,5.65),"Y","N")</f>
        <v>N</v>
      </c>
      <c r="X52" s="149">
        <f t="shared" si="4"/>
        <v>1</v>
      </c>
      <c r="Y52" s="67">
        <f>RIGHT(D52,LEN(D52)-4)/10000</f>
        <v>23.297999999999998</v>
      </c>
      <c r="Z52" s="67">
        <f>RIGHT(H52,LEN(H52)-4)/10000</f>
        <v>1.43E-2</v>
      </c>
      <c r="AA52" s="67">
        <f>ABS(Z52-Y52)</f>
        <v>23.2837</v>
      </c>
      <c r="AB52" s="64" t="e">
        <f>VLOOKUP(A52,Enforcements!$C$7:$K$21,8,0)</f>
        <v>#N/A</v>
      </c>
      <c r="AC52" s="60" t="e">
        <f>VLOOKUP(A52,Enforcements!$C$7:$E$21,3,0)</f>
        <v>#N/A</v>
      </c>
      <c r="AD52" s="61" t="str">
        <f>IF(LEN(A52)=6,"0"&amp;A52,A52)</f>
        <v>0140-13</v>
      </c>
      <c r="AE52" s="91" t="str">
        <f>"aws s3 cp "&amp;s3_bucket&amp;"/RTDC"&amp;B52&amp;"/ "&amp;search_path&amp;"\RTDC"&amp;B52&amp;"\"&amp;TEXT(F52,"YYYY-MM-DD")&amp;" --exclude ""*"" --recursive --include ""*"&amp;TEXT(F52,"YYYYMMDD")&amp;"*"" &amp; """&amp;walkandungz&amp;""" "&amp;search_path&amp;"\RTDC"&amp;B52&amp;"\"&amp;TEXT(F52,"YYYY-MM-DD")
&amp;" &amp; "&amp;"aws s3 cp "&amp;s3_bucket&amp;"/RTDC"&amp;B52&amp;"/ "&amp;search_path&amp;"\RTDC"&amp;B52&amp;"\"&amp;TEXT(F52+1,"YYYY-MM-DD")&amp;" --exclude ""*"" --recursive --include ""*"&amp;TEXT(F52+1,"YYYYMMDD")&amp;"*"" &amp; """&amp;walkandungz&amp;""" "&amp;search_path&amp;"\RTDC"&amp;B52&amp;"\"&amp;TEXT(F52+1,"YYYY-MM-DD")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52" s="88" t="str">
        <f>astrogrep_path&amp;" /spath="&amp;search_path&amp;" /stypes=""app*"&amp;B52&amp;"*"&amp;TEXT(I52-utc_offset/24,"YYYYMMDD")&amp;"*"" /stext="" "&amp;TEXT(I52-utc_offset/24,"HH")&amp;search_regexp&amp;""" /e /r /s"</f>
        <v>"C:\Program Files (x86)\AstroGrep\AstroGrep.exe" /spath="%USERPROFILE%\AppData\Local\Temp\OnboardLogs" /stypes="app*4037*20161013*" /stext=" 16:.+((SYSTEM_STATE.+slice.+state.+changed )|(ment ac)|(system.+state.+changed )|(\[timeout)|(PRM\|1\|D)|(kpr)|(kdp)|(\|lc)|(penalty))" /e /r /s</v>
      </c>
      <c r="AG52" s="1" t="str">
        <f>IFERROR(IF(VALUE(LEFT(AD52,2))&lt;=2,"EC",IF(OR(VALUE(LEFT(AD52,2))=8,VALUE(LEFT(AD52,2))=18),"NW","Other")),"Other")</f>
        <v>EC</v>
      </c>
      <c r="AH52" s="92" t="str">
        <f t="shared" si="2"/>
        <v>"%USERPROFILE%\Documents\GitHub\eaglep3\Utilities\RefineRTDCRunTimes.py" --tripid 140-13 --locoid 4037 --swversion DE.1.0.7.0 --startMP 204:232980 --initTime 2016-10-13T09:23:45 --startdatetime 2016-10-13T09:26:22 --delay 1 --endMP 204:143 --enddatetime 2016-10-13T10:05:08 --enforcementcount 1 &gt;&gt;C:\Users\stu\Documents\GitHub\eaglep3-reporting\EC\2016-10-13-refined-times.txt</v>
      </c>
      <c r="AI52" s="122" t="str">
        <f t="shared" si="3"/>
        <v>echo {"issue":{"subject":"","project_id":79,"tracker_id":40,"status_id":1,"priority_id":2,"assigned_to_id":23,"start_date":"2016-10-13","description":"","custom_fields":[{"id":1,"name":"Subdivision","value":"EC"},{"id":4,"name":"Milepost","value":"0.0143"},{"id":17,"name":"Train ID","value":"140-13"},{"id":16,"name":"Locomotive ID","value":"4037"},{"id":130,"name":"Impact","value":""},{"id":150,"name":"Time of Event (Mountain Time)","value":"10:05:08"},{"id":151,"name":"Denver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392</v>
      </c>
      <c r="B53" s="7">
        <v>4002</v>
      </c>
      <c r="C53" s="22" t="s">
        <v>99</v>
      </c>
      <c r="D53" s="22" t="s">
        <v>288</v>
      </c>
      <c r="E53" s="13">
        <v>42656.363206018519</v>
      </c>
      <c r="F53" s="13">
        <v>42656.367569444446</v>
      </c>
      <c r="G53" s="7">
        <v>5</v>
      </c>
      <c r="H53" s="13" t="s">
        <v>198</v>
      </c>
      <c r="I53" s="13">
        <v>42656.398460648146</v>
      </c>
      <c r="J53" s="7">
        <v>1</v>
      </c>
      <c r="K53" s="112" t="str">
        <f>IF(ISEVEN(B53),(B53-1)&amp;"/"&amp;B53,B53&amp;"/"&amp;(B53+1))</f>
        <v>4001/4002</v>
      </c>
      <c r="L53" s="22" t="str">
        <f>VLOOKUP(A53,'Trips&amp;Operators'!$C$1:$E$10000,3,FALSE)</f>
        <v>BARTELL</v>
      </c>
      <c r="M53" s="6">
        <f>I53-F53</f>
        <v>3.089120369986631E-2</v>
      </c>
      <c r="N53" s="7">
        <f>24*60*SUM($M53:$M53)</f>
        <v>44.483333327807486</v>
      </c>
      <c r="O53" s="7"/>
      <c r="P53" s="7"/>
      <c r="Q53" s="23"/>
      <c r="R53" s="23"/>
      <c r="S53" s="35">
        <f>SUM(U53:U53)/IF(AG53="EC",12,1)</f>
        <v>1</v>
      </c>
      <c r="T53" s="50" t="str">
        <f>IF(ISEVEN(LEFT(AD53,4)),"Southbound","NorthBound")</f>
        <v>NorthBound</v>
      </c>
      <c r="U53" s="144">
        <f>IF(AG53="EC",COUNTIFS(Variables!$M$2:$M$19,IF(T53="NorthBound","&gt;=","&lt;=")&amp;Y53,Variables!$M$2:$M$19,IF(T53="NorthBound","&lt;=","&gt;=")&amp;Z53),COUNTIFS(Variables!$P$2:$P$19,IF(T53="NorthBound","&gt;=","&lt;=")&amp;Y53,Variables!$P$2:$P$19,IF(T53="NorthBound","&lt;=","&gt;=")&amp;Z53))</f>
        <v>12</v>
      </c>
      <c r="V53" s="98" t="str">
        <f>"https://search-rtdc-monitor-bjffxe2xuh6vdkpspy63sjmuny.us-east-1.es.amazonaws.com/_plugin/kibana/#/discover/Steve-Slow-Train-Analysis-(2080s-and-2083s)?_g=(refreshInterval:(display:Off,section:0,value:0),time:(from:'"&amp;TEXT(E53-1/24,"yyyy-MM-DD hh:mm:ss")&amp;"-0600',mode:absolute,to:'"&amp;TEXT(I53+1/24,"yyyy-MM-DD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53&amp;"%22')),sort:!(Time,asc))"</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53" s="52" t="str">
        <f>IF(AA53&lt;IF(AG53="EC",23,5.65),"Y","N")</f>
        <v>N</v>
      </c>
      <c r="X53" s="149">
        <f t="shared" si="4"/>
        <v>1</v>
      </c>
      <c r="Y53" s="67">
        <f>RIGHT(D53,LEN(D53)-4)/10000</f>
        <v>4.5499999999999999E-2</v>
      </c>
      <c r="Z53" s="67">
        <f>RIGHT(H53,LEN(H53)-4)/10000</f>
        <v>23.329699999999999</v>
      </c>
      <c r="AA53" s="67">
        <f>ABS(Z53-Y53)</f>
        <v>23.284199999999998</v>
      </c>
      <c r="AB53" s="64" t="str">
        <f>VLOOKUP(A53,Enforcements!$C$7:$K$21,8,0)</f>
        <v>Bulletin (2)</v>
      </c>
      <c r="AC53" s="60" t="str">
        <f>VLOOKUP(A53,Enforcements!$C$7:$E$21,3,0)</f>
        <v>GRADE CROSSING</v>
      </c>
      <c r="AD53" s="61" t="str">
        <f>IF(LEN(A53)=6,"0"&amp;A53,A53)</f>
        <v>0141-13</v>
      </c>
      <c r="AE53" s="91" t="str">
        <f>"aws s3 cp "&amp;s3_bucket&amp;"/RTDC"&amp;B53&amp;"/ "&amp;search_path&amp;"\RTDC"&amp;B53&amp;"\"&amp;TEXT(F53,"YYYY-MM-DD")&amp;" --exclude ""*"" --recursive --include ""*"&amp;TEXT(F53,"YYYYMMDD")&amp;"*"" &amp; """&amp;walkandungz&amp;""" "&amp;search_path&amp;"\RTDC"&amp;B53&amp;"\"&amp;TEXT(F53,"YYYY-MM-DD")
&amp;" &amp; "&amp;"aws s3 cp "&amp;s3_bucket&amp;"/RTDC"&amp;B53&amp;"/ "&amp;search_path&amp;"\RTDC"&amp;B53&amp;"\"&amp;TEXT(F53+1,"YYYY-MM-DD")&amp;" --exclude ""*"" --recursive --include ""*"&amp;TEXT(F53+1,"YYYYMMDD")&amp;"*"" &amp; """&amp;walkandungz&amp;""" "&amp;search_path&amp;"\RTDC"&amp;B53&amp;"\"&amp;TEXT(F53+1,"YYYY-MM-DD")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53" s="88" t="str">
        <f>astrogrep_path&amp;" /spath="&amp;search_path&amp;" /stypes=""app*"&amp;B53&amp;"*"&amp;TEXT(I53-utc_offset/24,"YYYYMMDD")&amp;"*"" /stext="" "&amp;TEXT(I53-utc_offset/24,"HH")&amp;search_regexp&amp;""" /e /r /s"</f>
        <v>"C:\Program Files (x86)\AstroGrep\AstroGrep.exe" /spath="%USERPROFILE%\AppData\Local\Temp\OnboardLogs" /stypes="app*4002*20161013*" /stext=" 15:.+((SYSTEM_STATE.+slice.+state.+changed )|(ment ac)|(system.+state.+changed )|(\[timeout)|(PRM\|1\|D)|(kpr)|(kdp)|(\|lc)|(penalty))" /e /r /s</v>
      </c>
      <c r="AG53" s="1" t="str">
        <f>IFERROR(IF(VALUE(LEFT(AD53,2))&lt;=2,"EC",IF(OR(VALUE(LEFT(AD53,2))=8,VALUE(LEFT(AD53,2))=18),"NW","Other")),"Other")</f>
        <v>EC</v>
      </c>
      <c r="AH53" s="92" t="str">
        <f t="shared" si="2"/>
        <v>"%USERPROFILE%\Documents\GitHub\eaglep3\Utilities\RefineRTDCRunTimes.py" --tripid 141-13 --locoid 4002 --swversion DE.1.0.7.0 --startMP 204:455 --initTime 2016-10-13T08:43:01 --startdatetime 2016-10-13T08:49:18 --delay 5 --endMP 204:233297 --enddatetime 2016-10-13T09:33:47 --enforcementcount 1 &gt;&gt;C:\Users\stu\Documents\GitHub\eaglep3-reporting\EC\2016-10-13-refined-times.txt</v>
      </c>
      <c r="AI53" s="122" t="str">
        <f t="shared" si="3"/>
        <v>echo {"issue":{"subject":"","project_id":79,"tracker_id":40,"status_id":1,"priority_id":2,"assigned_to_id":23,"start_date":"2016-10-13","description":"","custom_fields":[{"id":1,"name":"Subdivision","value":"EC"},{"id":4,"name":"Milepost","value":"23.3297"},{"id":17,"name":"Train ID","value":"141-13"},{"id":16,"name":"Locomotive ID","value":"4002"},{"id":130,"name":"Impact","value":""},{"id":150,"name":"Time of Event (Mountain Time)","value":"09:33:47"},{"id":151,"name":"Denver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395</v>
      </c>
      <c r="B54" s="7">
        <v>4001</v>
      </c>
      <c r="C54" s="22" t="s">
        <v>99</v>
      </c>
      <c r="D54" s="22" t="s">
        <v>627</v>
      </c>
      <c r="E54" s="13">
        <v>42656.401053240741</v>
      </c>
      <c r="F54" s="13">
        <v>42656.403969907406</v>
      </c>
      <c r="G54" s="7">
        <v>2</v>
      </c>
      <c r="H54" s="13" t="s">
        <v>633</v>
      </c>
      <c r="I54" s="13">
        <v>42656.433009259257</v>
      </c>
      <c r="J54" s="7">
        <v>1</v>
      </c>
      <c r="K54" s="112" t="str">
        <f>IF(ISEVEN(B54),(B54-1)&amp;"/"&amp;B54,B54&amp;"/"&amp;(B54+1))</f>
        <v>4001/4002</v>
      </c>
      <c r="L54" s="22" t="str">
        <f>VLOOKUP(A54,'Trips&amp;Operators'!$C$1:$E$10000,3,FALSE)</f>
        <v>BARTELL</v>
      </c>
      <c r="M54" s="6">
        <f>I54-F54</f>
        <v>2.9039351851679385E-2</v>
      </c>
      <c r="N54" s="7">
        <f>24*60*SUM($M54:$M54)</f>
        <v>41.816666666418314</v>
      </c>
      <c r="O54" s="7"/>
      <c r="P54" s="7"/>
      <c r="Q54" s="23"/>
      <c r="R54" s="23"/>
      <c r="S54" s="35">
        <f>SUM(U54:U54)/IF(AG54="EC",12,1)</f>
        <v>1</v>
      </c>
      <c r="T54" s="50" t="str">
        <f>IF(ISEVEN(LEFT(AD54,4)),"Southbound","NorthBound")</f>
        <v>Southbound</v>
      </c>
      <c r="U54" s="144">
        <f>IF(AG54="EC",COUNTIFS(Variables!$M$2:$M$19,IF(T54="NorthBound","&gt;=","&lt;=")&amp;Y54,Variables!$M$2:$M$19,IF(T54="NorthBound","&lt;=","&gt;=")&amp;Z54),COUNTIFS(Variables!$P$2:$P$19,IF(T54="NorthBound","&gt;=","&lt;=")&amp;Y54,Variables!$P$2:$P$19,IF(T54="NorthBound","&lt;=","&gt;=")&amp;Z54))</f>
        <v>12</v>
      </c>
      <c r="V54" s="98" t="str">
        <f>"https://search-rtdc-monitor-bjffxe2xuh6vdkpspy63sjmuny.us-east-1.es.amazonaws.com/_plugin/kibana/#/discover/Steve-Slow-Train-Analysis-(2080s-and-2083s)?_g=(refreshInterval:(display:Off,section:0,value:0),time:(from:'"&amp;TEXT(E54-1/24,"yyyy-MM-DD hh:mm:ss")&amp;"-0600',mode:absolute,to:'"&amp;TEXT(I54+1/24,"yyyy-MM-DD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54&amp;"%22')),sort:!(Time,asc))"</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54" s="52" t="str">
        <f>IF(AA54&lt;IF(AG54="EC",23,5.65),"Y","N")</f>
        <v>N</v>
      </c>
      <c r="X54" s="149">
        <f>VALUE(LEFT(AD54,4))-VALUE(LEFT(AD53,4))</f>
        <v>1</v>
      </c>
      <c r="Y54" s="67">
        <f>RIGHT(D54,LEN(D54)-4)/10000</f>
        <v>23.297000000000001</v>
      </c>
      <c r="Z54" s="67">
        <f>RIGHT(H54,LEN(H54)-4)/10000</f>
        <v>1.7600000000000001E-2</v>
      </c>
      <c r="AA54" s="67">
        <f>ABS(Z54-Y54)</f>
        <v>23.279399999999999</v>
      </c>
      <c r="AB54" s="64" t="e">
        <f>VLOOKUP(A54,Enforcements!$C$7:$K$21,8,0)</f>
        <v>#N/A</v>
      </c>
      <c r="AC54" s="60" t="e">
        <f>VLOOKUP(A54,Enforcements!$C$7:$E$21,3,0)</f>
        <v>#N/A</v>
      </c>
      <c r="AD54" s="61" t="str">
        <f>IF(LEN(A54)=6,"0"&amp;A54,A54)</f>
        <v>0142-13</v>
      </c>
      <c r="AE54" s="91" t="str">
        <f>"aws s3 cp "&amp;s3_bucket&amp;"/RTDC"&amp;B54&amp;"/ "&amp;search_path&amp;"\RTDC"&amp;B54&amp;"\"&amp;TEXT(F54,"YYYY-MM-DD")&amp;" --exclude ""*"" --recursive --include ""*"&amp;TEXT(F54,"YYYYMMDD")&amp;"*"" &amp; """&amp;walkandungz&amp;""" "&amp;search_path&amp;"\RTDC"&amp;B54&amp;"\"&amp;TEXT(F54,"YYYY-MM-DD")
&amp;" &amp; "&amp;"aws s3 cp "&amp;s3_bucket&amp;"/RTDC"&amp;B54&amp;"/ "&amp;search_path&amp;"\RTDC"&amp;B54&amp;"\"&amp;TEXT(F54+1,"YYYY-MM-DD")&amp;" --exclude ""*"" --recursive --include ""*"&amp;TEXT(F54+1,"YYYYMMDD")&amp;"*"" &amp; """&amp;walkandungz&amp;""" "&amp;search_path&amp;"\RTDC"&amp;B54&amp;"\"&amp;TEXT(F54+1,"YYYY-MM-DD")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54" s="88" t="str">
        <f>astrogrep_path&amp;" /spath="&amp;search_path&amp;" /stypes=""app*"&amp;B54&amp;"*"&amp;TEXT(I54-utc_offset/24,"YYYYMMDD")&amp;"*"" /stext="" "&amp;TEXT(I54-utc_offset/24,"HH")&amp;search_regexp&amp;""" /e /r /s"</f>
        <v>"C:\Program Files (x86)\AstroGrep\AstroGrep.exe" /spath="%USERPROFILE%\AppData\Local\Temp\OnboardLogs" /stypes="app*4001*20161013*" /stext=" 16:.+((SYSTEM_STATE.+slice.+state.+changed )|(ment ac)|(system.+state.+changed )|(\[timeout)|(PRM\|1\|D)|(kpr)|(kdp)|(\|lc)|(penalty))" /e /r /s</v>
      </c>
      <c r="AG54" s="1" t="str">
        <f>IFERROR(IF(VALUE(LEFT(AD54,2))&lt;=2,"EC",IF(OR(VALUE(LEFT(AD54,2))=8,VALUE(LEFT(AD54,2))=18),"NW","Other")),"Other")</f>
        <v>EC</v>
      </c>
      <c r="AH54" s="92" t="str">
        <f t="shared" si="2"/>
        <v>"%USERPROFILE%\Documents\GitHub\eaglep3\Utilities\RefineRTDCRunTimes.py" --tripid 142-13 --locoid 4001 --swversion DE.1.0.7.0 --startMP 204:232970 --initTime 2016-10-13T09:37:31 --startdatetime 2016-10-13T09:41:43 --delay 2 --endMP 204:176 --enddatetime 2016-10-13T10:23:32 --enforcementcount 1 &gt;&gt;C:\Users\stu\Documents\GitHub\eaglep3-reporting\EC\2016-10-13-refined-times.txt</v>
      </c>
      <c r="AI54" s="122" t="str">
        <f t="shared" si="3"/>
        <v>echo {"issue":{"subject":"","project_id":79,"tracker_id":40,"status_id":1,"priority_id":2,"assigned_to_id":23,"start_date":"2016-10-13","description":"","custom_fields":[{"id":1,"name":"Subdivision","value":"EC"},{"id":4,"name":"Milepost","value":"0.0176"},{"id":17,"name":"Train ID","value":"142-13"},{"id":16,"name":"Locomotive ID","value":"4001"},{"id":130,"name":"Impact","value":""},{"id":150,"name":"Time of Event (Mountain Time)","value":"10:23:32"},{"id":151,"name":"Denver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473</v>
      </c>
      <c r="B55" s="7">
        <v>4025</v>
      </c>
      <c r="C55" s="22" t="s">
        <v>99</v>
      </c>
      <c r="D55" s="22" t="s">
        <v>634</v>
      </c>
      <c r="E55" s="13">
        <v>42656.369490740741</v>
      </c>
      <c r="F55" s="13">
        <v>42656.375277777777</v>
      </c>
      <c r="G55" s="7">
        <v>1</v>
      </c>
      <c r="H55" s="13" t="s">
        <v>635</v>
      </c>
      <c r="I55" s="13">
        <v>42656.400104166663</v>
      </c>
      <c r="J55" s="7">
        <v>1</v>
      </c>
      <c r="K55" s="112" t="str">
        <f>IF(ISEVEN(B55),(B55-1)&amp;"/"&amp;B55,B55&amp;"/"&amp;(B55+1))</f>
        <v>4025/4026</v>
      </c>
      <c r="L55" s="22" t="str">
        <f>VLOOKUP(A55,'Trips&amp;Operators'!$C$1:$E$10000,3,FALSE)</f>
        <v>SANTIZO</v>
      </c>
      <c r="M55" s="6">
        <f>I55-F55</f>
        <v>2.4826388886140194E-2</v>
      </c>
      <c r="N55" s="7">
        <f>24*60*SUM($M55:$M55)</f>
        <v>35.749999996041879</v>
      </c>
      <c r="O55" s="7"/>
      <c r="P55" s="7"/>
      <c r="Q55" s="23"/>
      <c r="R55" s="23"/>
      <c r="S55" s="35">
        <f>SUM(U55:U55)/IF(AG55="EC",12,1)</f>
        <v>1</v>
      </c>
      <c r="T55" s="50" t="str">
        <f>IF(ISEVEN(LEFT(AD55,4)),"Southbound","NorthBound")</f>
        <v>NorthBound</v>
      </c>
      <c r="U55" s="144">
        <f>IF(AG55="EC",COUNTIFS(Variables!$M$2:$M$19,IF(T55="NorthBound","&gt;=","&lt;=")&amp;Y55,Variables!$M$2:$M$19,IF(T55="NorthBound","&lt;=","&gt;=")&amp;Z55),COUNTIFS(Variables!$P$2:$P$19,IF(T55="NorthBound","&gt;=","&lt;=")&amp;Y55,Variables!$P$2:$P$19,IF(T55="NorthBound","&lt;=","&gt;=")&amp;Z55))</f>
        <v>12</v>
      </c>
      <c r="V55" s="98" t="str">
        <f>"https://search-rtdc-monitor-bjffxe2xuh6vdkpspy63sjmuny.us-east-1.es.amazonaws.com/_plugin/kibana/#/discover/Steve-Slow-Train-Analysis-(2080s-and-2083s)?_g=(refreshInterval:(display:Off,section:0,value:0),time:(from:'"&amp;TEXT(E55-1/24,"yyyy-MM-DD hh:mm:ss")&amp;"-0600',mode:absolute,to:'"&amp;TEXT(I55+1/24,"yyyy-MM-DD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55&amp;"%22')),sort:!(Time,asc))"</f>
        <v>https://search-rtdc-monitor-bjffxe2xuh6vdkpspy63sjmuny.us-east-1.es.amazonaws.com/_plugin/kibana/#/discover/Steve-Slow-Train-Analysis-(2080s-and-2083s)?_g=(refreshInterval:(display:Off,section:0,value:0),time:(from:'2016-10-13 07:52:04-0600',mode:absolute,to:'2016-10-13 10: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5" s="52" t="str">
        <f>IF(AA55&lt;IF(AG55="EC",23,5.65),"Y","N")</f>
        <v>N</v>
      </c>
      <c r="X55" s="149">
        <f>VALUE(LEFT(AD55,4))-VALUE(LEFT(AD54,4))</f>
        <v>1</v>
      </c>
      <c r="Y55" s="67">
        <f>RIGHT(D55,LEN(D55)-4)/10000</f>
        <v>4.2599999999999999E-2</v>
      </c>
      <c r="Z55" s="67">
        <f>RIGHT(H55,LEN(H55)-4)/10000</f>
        <v>23.330300000000001</v>
      </c>
      <c r="AA55" s="67">
        <f>ABS(Z55-Y55)</f>
        <v>23.287700000000001</v>
      </c>
      <c r="AB55" s="64" t="e">
        <f>VLOOKUP(A55,Enforcements!$C$7:$K$21,8,0)</f>
        <v>#N/A</v>
      </c>
      <c r="AC55" s="60" t="e">
        <f>VLOOKUP(A55,Enforcements!$C$7:$E$21,3,0)</f>
        <v>#N/A</v>
      </c>
      <c r="AD55" s="61" t="str">
        <f>IF(LEN(A55)=6,"0"&amp;A55,A55)</f>
        <v>0143-13</v>
      </c>
      <c r="AE55" s="91" t="str">
        <f>"aws s3 cp "&amp;s3_bucket&amp;"/RTDC"&amp;B55&amp;"/ "&amp;search_path&amp;"\RTDC"&amp;B55&amp;"\"&amp;TEXT(F55,"YYYY-MM-DD")&amp;" --exclude ""*"" --recursive --include ""*"&amp;TEXT(F55,"YYYYMMDD")&amp;"*"" &amp; """&amp;walkandungz&amp;""" "&amp;search_path&amp;"\RTDC"&amp;B55&amp;"\"&amp;TEXT(F55,"YYYY-MM-DD")
&amp;" &amp; "&amp;"aws s3 cp "&amp;s3_bucket&amp;"/RTDC"&amp;B55&amp;"/ "&amp;search_path&amp;"\RTDC"&amp;B55&amp;"\"&amp;TEXT(F55+1,"YYYY-MM-DD")&amp;" --exclude ""*"" --recursive --include ""*"&amp;TEXT(F55+1,"YYYYMMDD")&amp;"*"" &amp; """&amp;walkandungz&amp;""" "&amp;search_path&amp;"\RTDC"&amp;B55&amp;"\"&amp;TEXT(F55+1,"YYYY-MM-DD")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55" s="88" t="str">
        <f>astrogrep_path&amp;" /spath="&amp;search_path&amp;" /stypes=""app*"&amp;B55&amp;"*"&amp;TEXT(I55-utc_offset/24,"YYYYMMDD")&amp;"*"" /stext="" "&amp;TEXT(I55-utc_offset/24,"HH")&amp;search_regexp&amp;""" /e /r /s"</f>
        <v>"C:\Program Files (x86)\AstroGrep\AstroGrep.exe" /spath="%USERPROFILE%\AppData\Local\Temp\OnboardLogs" /stypes="app*4025*20161013*" /stext=" 15:.+((SYSTEM_STATE.+slice.+state.+changed )|(ment ac)|(system.+state.+changed )|(\[timeout)|(PRM\|1\|D)|(kpr)|(kdp)|(\|lc)|(penalty))" /e /r /s</v>
      </c>
      <c r="AG55" s="1" t="str">
        <f>IFERROR(IF(VALUE(LEFT(AD55,2))&lt;=2,"EC",IF(OR(VALUE(LEFT(AD55,2))=8,VALUE(LEFT(AD55,2))=18),"NW","Other")),"Other")</f>
        <v>EC</v>
      </c>
      <c r="AH55" s="92" t="str">
        <f t="shared" si="2"/>
        <v>"%USERPROFILE%\Documents\GitHub\eaglep3\Utilities\RefineRTDCRunTimes.py" --tripid 143-13 --locoid 4025 --swversion DE.1.0.7.0 --startMP 204:426 --initTime 2016-10-13T08:52:04 --startdatetime 2016-10-13T09:00:24 --delay 1 --endMP 204:233303 --enddatetime 2016-10-13T09:36:09 --enforcementcount 1 &gt;&gt;C:\Users\stu\Documents\GitHub\eaglep3-reporting\EC\2016-10-13-refined-times.txt</v>
      </c>
      <c r="AI55" s="122" t="str">
        <f t="shared" si="3"/>
        <v>echo {"issue":{"subject":"","project_id":79,"tracker_id":40,"status_id":1,"priority_id":2,"assigned_to_id":23,"start_date":"2016-10-13","description":"","custom_fields":[{"id":1,"name":"Subdivision","value":"EC"},{"id":4,"name":"Milepost","value":"23.3303"},{"id":17,"name":"Train ID","value":"143-13"},{"id":16,"name":"Locomotive ID","value":"4025"},{"id":130,"name":"Impact","value":""},{"id":150,"name":"Time of Event (Mountain Time)","value":"09:36:09"},{"id":151,"name":"Denver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479</v>
      </c>
      <c r="B56" s="7">
        <v>4026</v>
      </c>
      <c r="C56" s="22" t="s">
        <v>99</v>
      </c>
      <c r="D56" s="22" t="s">
        <v>615</v>
      </c>
      <c r="E56" s="13">
        <v>42656.401423611111</v>
      </c>
      <c r="F56" s="13">
        <v>42656.414085648146</v>
      </c>
      <c r="G56" s="7">
        <v>1</v>
      </c>
      <c r="H56" s="13" t="s">
        <v>278</v>
      </c>
      <c r="I56" s="13">
        <v>42656.440439814818</v>
      </c>
      <c r="J56" s="7">
        <v>1</v>
      </c>
      <c r="K56" s="112" t="str">
        <f>IF(ISEVEN(B56),(B56-1)&amp;"/"&amp;B56,B56&amp;"/"&amp;(B56+1))</f>
        <v>4025/4026</v>
      </c>
      <c r="L56" s="22" t="str">
        <f>VLOOKUP(A56,'Trips&amp;Operators'!$C$1:$E$10000,3,FALSE)</f>
        <v>SANTIZO</v>
      </c>
      <c r="M56" s="6">
        <f>I56-F56</f>
        <v>2.6354166671808343E-2</v>
      </c>
      <c r="N56" s="7">
        <f>24*60*SUM($M56:$M56)</f>
        <v>37.950000007404014</v>
      </c>
      <c r="O56" s="7"/>
      <c r="P56" s="7"/>
      <c r="Q56" s="23"/>
      <c r="R56" s="23"/>
      <c r="S56" s="35">
        <f>SUM(U56:U56)/IF(AG56="EC",12,1)</f>
        <v>1</v>
      </c>
      <c r="T56" s="50" t="str">
        <f>IF(ISEVEN(LEFT(AD56,4)),"Southbound","NorthBound")</f>
        <v>Southbound</v>
      </c>
      <c r="U56" s="144">
        <f>IF(AG56="EC",COUNTIFS(Variables!$M$2:$M$19,IF(T56="NorthBound","&gt;=","&lt;=")&amp;Y56,Variables!$M$2:$M$19,IF(T56="NorthBound","&lt;=","&gt;=")&amp;Z56),COUNTIFS(Variables!$P$2:$P$19,IF(T56="NorthBound","&gt;=","&lt;=")&amp;Y56,Variables!$P$2:$P$19,IF(T56="NorthBound","&lt;=","&gt;=")&amp;Z56))</f>
        <v>12</v>
      </c>
      <c r="V56" s="98" t="str">
        <f>"https://search-rtdc-monitor-bjffxe2xuh6vdkpspy63sjmuny.us-east-1.es.amazonaws.com/_plugin/kibana/#/discover/Steve-Slow-Train-Analysis-(2080s-and-2083s)?_g=(refreshInterval:(display:Off,section:0,value:0),time:(from:'"&amp;TEXT(E56-1/24,"yyyy-MM-DD hh:mm:ss")&amp;"-0600',mode:absolute,to:'"&amp;TEXT(I56+1/24,"yyyy-MM-DD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56&amp;"%22')),sort:!(Time,asc))"</f>
        <v>https://search-rtdc-monitor-bjffxe2xuh6vdkpspy63sjmuny.us-east-1.es.amazonaws.com/_plugin/kibana/#/discover/Steve-Slow-Train-Analysis-(2080s-and-2083s)?_g=(refreshInterval:(display:Off,section:0,value:0),time:(from:'2016-10-13 08:38:03-0600',mode:absolute,to:'2016-10-13 11:34: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6" s="52" t="str">
        <f>IF(AA56&lt;IF(AG56="EC",23,5.65),"Y","N")</f>
        <v>N</v>
      </c>
      <c r="X56" s="149">
        <f>VALUE(LEFT(AD56,4))-VALUE(LEFT(AD55,4))</f>
        <v>1</v>
      </c>
      <c r="Y56" s="67">
        <f>RIGHT(D56,LEN(D56)-4)/10000</f>
        <v>23.297699999999999</v>
      </c>
      <c r="Z56" s="67">
        <f>RIGHT(H56,LEN(H56)-4)/10000</f>
        <v>1.32E-2</v>
      </c>
      <c r="AA56" s="67">
        <f>ABS(Z56-Y56)</f>
        <v>23.284499999999998</v>
      </c>
      <c r="AB56" s="64" t="e">
        <f>VLOOKUP(A56,Enforcements!$C$7:$K$21,8,0)</f>
        <v>#N/A</v>
      </c>
      <c r="AC56" s="60" t="e">
        <f>VLOOKUP(A56,Enforcements!$C$7:$E$21,3,0)</f>
        <v>#N/A</v>
      </c>
      <c r="AD56" s="61" t="str">
        <f>IF(LEN(A56)=6,"0"&amp;A56,A56)</f>
        <v>0144-13</v>
      </c>
      <c r="AE56" s="91" t="str">
        <f>"aws s3 cp "&amp;s3_bucket&amp;"/RTDC"&amp;B56&amp;"/ "&amp;search_path&amp;"\RTDC"&amp;B56&amp;"\"&amp;TEXT(F56,"YYYY-MM-DD")&amp;" --exclude ""*"" --recursive --include ""*"&amp;TEXT(F56,"YYYYMMDD")&amp;"*"" &amp; """&amp;walkandungz&amp;""" "&amp;search_path&amp;"\RTDC"&amp;B56&amp;"\"&amp;TEXT(F56,"YYYY-MM-DD")
&amp;" &amp; "&amp;"aws s3 cp "&amp;s3_bucket&amp;"/RTDC"&amp;B56&amp;"/ "&amp;search_path&amp;"\RTDC"&amp;B56&amp;"\"&amp;TEXT(F56+1,"YYYY-MM-DD")&amp;" --exclude ""*"" --recursive --include ""*"&amp;TEXT(F56+1,"YYYYMMDD")&amp;"*"" &amp; """&amp;walkandungz&amp;""" "&amp;search_path&amp;"\RTDC"&amp;B56&amp;"\"&amp;TEXT(F56+1,"YYYY-MM-DD")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56" s="88" t="str">
        <f>astrogrep_path&amp;" /spath="&amp;search_path&amp;" /stypes=""app*"&amp;B56&amp;"*"&amp;TEXT(I56-utc_offset/24,"YYYYMMDD")&amp;"*"" /stext="" "&amp;TEXT(I56-utc_offset/24,"HH")&amp;search_regexp&amp;""" /e /r /s"</f>
        <v>"C:\Program Files (x86)\AstroGrep\AstroGrep.exe" /spath="%USERPROFILE%\AppData\Local\Temp\OnboardLogs" /stypes="app*4026*20161013*" /stext=" 16:.+((SYSTEM_STATE.+slice.+state.+changed )|(ment ac)|(system.+state.+changed )|(\[timeout)|(PRM\|1\|D)|(kpr)|(kdp)|(\|lc)|(penalty))" /e /r /s</v>
      </c>
      <c r="AG56" s="1" t="str">
        <f>IFERROR(IF(VALUE(LEFT(AD56,2))&lt;=2,"EC",IF(OR(VALUE(LEFT(AD56,2))=8,VALUE(LEFT(AD56,2))=18),"NW","Other")),"Other")</f>
        <v>EC</v>
      </c>
      <c r="AH56" s="92" t="str">
        <f t="shared" si="2"/>
        <v>"%USERPROFILE%\Documents\GitHub\eaglep3\Utilities\RefineRTDCRunTimes.py" --tripid 144-13 --locoid 4026 --swversion DE.1.0.7.0 --startMP 204:232977 --initTime 2016-10-13T09:38:03 --startdatetime 2016-10-13T09:56:17 --delay 1 --endMP 204:132 --enddatetime 2016-10-13T10:34:14 --enforcementcount 1 &gt;&gt;C:\Users\stu\Documents\GitHub\eaglep3-reporting\EC\2016-10-13-refined-times.txt</v>
      </c>
      <c r="AI56" s="122" t="str">
        <f t="shared" si="3"/>
        <v>echo {"issue":{"subject":"","project_id":79,"tracker_id":40,"status_id":1,"priority_id":2,"assigned_to_id":23,"start_date":"2016-10-13","description":"","custom_fields":[{"id":1,"name":"Subdivision","value":"EC"},{"id":4,"name":"Milepost","value":"0.0132"},{"id":17,"name":"Train ID","value":"144-13"},{"id":16,"name":"Locomotive ID","value":"4026"},{"id":130,"name":"Impact","value":""},{"id":150,"name":"Time of Event (Mountain Time)","value":"10:34:14"},{"id":151,"name":"Denver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393</v>
      </c>
      <c r="B57" s="7">
        <v>4042</v>
      </c>
      <c r="C57" s="22" t="s">
        <v>99</v>
      </c>
      <c r="D57" s="22" t="s">
        <v>298</v>
      </c>
      <c r="E57" s="13">
        <v>42656.385439814818</v>
      </c>
      <c r="F57" s="13">
        <v>42656.387083333335</v>
      </c>
      <c r="G57" s="7">
        <v>1</v>
      </c>
      <c r="H57" s="13" t="s">
        <v>323</v>
      </c>
      <c r="I57" s="13">
        <v>42656.412094907406</v>
      </c>
      <c r="J57" s="7">
        <v>1</v>
      </c>
      <c r="K57" s="112" t="str">
        <f>IF(ISEVEN(B57),(B57-1)&amp;"/"&amp;B57,B57&amp;"/"&amp;(B57+1))</f>
        <v>4041/4042</v>
      </c>
      <c r="L57" s="22" t="str">
        <f>VLOOKUP(A57,'Trips&amp;Operators'!$C$1:$E$10000,3,FALSE)</f>
        <v>SPECTOR</v>
      </c>
      <c r="M57" s="6">
        <f>I57-F57</f>
        <v>2.5011574070958886E-2</v>
      </c>
      <c r="N57" s="7">
        <f>24*60*SUM($M57:$M57)</f>
        <v>36.016666662180796</v>
      </c>
      <c r="O57" s="7"/>
      <c r="P57" s="7"/>
      <c r="Q57" s="23"/>
      <c r="R57" s="23"/>
      <c r="S57" s="35">
        <f>SUM(U57:U57)/IF(AG57="EC",12,1)</f>
        <v>1</v>
      </c>
      <c r="T57" s="50" t="str">
        <f>IF(ISEVEN(LEFT(AD57,4)),"Southbound","NorthBound")</f>
        <v>NorthBound</v>
      </c>
      <c r="U57" s="144">
        <f>IF(AG57="EC",COUNTIFS(Variables!$M$2:$M$19,IF(T57="NorthBound","&gt;=","&lt;=")&amp;Y57,Variables!$M$2:$M$19,IF(T57="NorthBound","&lt;=","&gt;=")&amp;Z57),COUNTIFS(Variables!$P$2:$P$19,IF(T57="NorthBound","&gt;=","&lt;=")&amp;Y57,Variables!$P$2:$P$19,IF(T57="NorthBound","&lt;=","&gt;=")&amp;Z57))</f>
        <v>12</v>
      </c>
      <c r="V57" s="98" t="str">
        <f>"https://search-rtdc-monitor-bjffxe2xuh6vdkpspy63sjmuny.us-east-1.es.amazonaws.com/_plugin/kibana/#/discover/Steve-Slow-Train-Analysis-(2080s-and-2083s)?_g=(refreshInterval:(display:Off,section:0,value:0),time:(from:'"&amp;TEXT(E57-1/24,"yyyy-MM-DD hh:mm:ss")&amp;"-0600',mode:absolute,to:'"&amp;TEXT(I57+1/24,"yyyy-MM-DD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57&amp;"%22')),sort:!(Time,asc))"</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57" s="52" t="str">
        <f>IF(AA57&lt;IF(AG57="EC",23,5.65),"Y","N")</f>
        <v>N</v>
      </c>
      <c r="X57" s="149">
        <f>VALUE(LEFT(AD57,4))-VALUE(LEFT(AD56,4))</f>
        <v>1</v>
      </c>
      <c r="Y57" s="67">
        <f>RIGHT(D57,LEN(D57)-4)/10000</f>
        <v>4.6199999999999998E-2</v>
      </c>
      <c r="Z57" s="67">
        <f>RIGHT(H57,LEN(H57)-4)/10000</f>
        <v>23.328900000000001</v>
      </c>
      <c r="AA57" s="67">
        <f>ABS(Z57-Y57)</f>
        <v>23.282700000000002</v>
      </c>
      <c r="AB57" s="64" t="e">
        <f>VLOOKUP(A57,Enforcements!$C$7:$K$21,8,0)</f>
        <v>#N/A</v>
      </c>
      <c r="AC57" s="60" t="e">
        <f>VLOOKUP(A57,Enforcements!$C$7:$E$21,3,0)</f>
        <v>#N/A</v>
      </c>
      <c r="AD57" s="61" t="str">
        <f>IF(LEN(A57)=6,"0"&amp;A57,A57)</f>
        <v>0145-13</v>
      </c>
      <c r="AE57" s="91" t="str">
        <f>"aws s3 cp "&amp;s3_bucket&amp;"/RTDC"&amp;B57&amp;"/ "&amp;search_path&amp;"\RTDC"&amp;B57&amp;"\"&amp;TEXT(F57,"YYYY-MM-DD")&amp;" --exclude ""*"" --recursive --include ""*"&amp;TEXT(F57,"YYYYMMDD")&amp;"*"" &amp; """&amp;walkandungz&amp;""" "&amp;search_path&amp;"\RTDC"&amp;B57&amp;"\"&amp;TEXT(F57,"YYYY-MM-DD")
&amp;" &amp; "&amp;"aws s3 cp "&amp;s3_bucket&amp;"/RTDC"&amp;B57&amp;"/ "&amp;search_path&amp;"\RTDC"&amp;B57&amp;"\"&amp;TEXT(F57+1,"YYYY-MM-DD")&amp;" --exclude ""*"" --recursive --include ""*"&amp;TEXT(F57+1,"YYYYMMDD")&amp;"*"" &amp; """&amp;walkandungz&amp;""" "&amp;search_path&amp;"\RTDC"&amp;B57&amp;"\"&amp;TEXT(F57+1,"YYYY-MM-DD")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57" s="88" t="str">
        <f>astrogrep_path&amp;" /spath="&amp;search_path&amp;" /stypes=""app*"&amp;B57&amp;"*"&amp;TEXT(I57-utc_offset/24,"YYYYMMDD")&amp;"*"" /stext="" "&amp;TEXT(I57-utc_offset/24,"HH")&amp;search_regexp&amp;""" /e /r /s"</f>
        <v>"C:\Program Files (x86)\AstroGrep\AstroGrep.exe" /spath="%USERPROFILE%\AppData\Local\Temp\OnboardLogs" /stypes="app*4042*20161013*" /stext=" 15:.+((SYSTEM_STATE.+slice.+state.+changed )|(ment ac)|(system.+state.+changed )|(\[timeout)|(PRM\|1\|D)|(kpr)|(kdp)|(\|lc)|(penalty))" /e /r /s</v>
      </c>
      <c r="AG57" s="1" t="str">
        <f>IFERROR(IF(VALUE(LEFT(AD57,2))&lt;=2,"EC",IF(OR(VALUE(LEFT(AD57,2))=8,VALUE(LEFT(AD57,2))=18),"NW","Other")),"Other")</f>
        <v>EC</v>
      </c>
      <c r="AH57" s="92" t="str">
        <f t="shared" si="2"/>
        <v>"%USERPROFILE%\Documents\GitHub\eaglep3\Utilities\RefineRTDCRunTimes.py" --tripid 145-13 --locoid 4042 --swversion DE.1.0.7.0 --startMP 204:462 --initTime 2016-10-13T09:15:02 --startdatetime 2016-10-13T09:17:24 --delay 1 --endMP 204:233289 --enddatetime 2016-10-13T09:53:25 --enforcementcount 1 &gt;&gt;C:\Users\stu\Documents\GitHub\eaglep3-reporting\EC\2016-10-13-refined-times.txt</v>
      </c>
      <c r="AI57" s="122" t="str">
        <f t="shared" si="3"/>
        <v>echo {"issue":{"subject":"","project_id":79,"tracker_id":40,"status_id":1,"priority_id":2,"assigned_to_id":23,"start_date":"2016-10-13","description":"","custom_fields":[{"id":1,"name":"Subdivision","value":"EC"},{"id":4,"name":"Milepost","value":"23.3289"},{"id":17,"name":"Train ID","value":"145-13"},{"id":16,"name":"Locomotive ID","value":"4042"},{"id":130,"name":"Impact","value":""},{"id":150,"name":"Time of Event (Mountain Time)","value":"09:53:25"},{"id":151,"name":"Denver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397</v>
      </c>
      <c r="B58" s="7">
        <v>4041</v>
      </c>
      <c r="C58" s="22" t="s">
        <v>99</v>
      </c>
      <c r="D58" s="22" t="s">
        <v>615</v>
      </c>
      <c r="E58" s="13">
        <v>42656.419502314813</v>
      </c>
      <c r="F58" s="13">
        <v>42656.424976851849</v>
      </c>
      <c r="G58" s="7">
        <v>1</v>
      </c>
      <c r="H58" s="13" t="s">
        <v>273</v>
      </c>
      <c r="I58" s="13">
        <v>42656.453263888892</v>
      </c>
      <c r="J58" s="7">
        <v>1</v>
      </c>
      <c r="K58" s="112" t="str">
        <f>IF(ISEVEN(B58),(B58-1)&amp;"/"&amp;B58,B58&amp;"/"&amp;(B58+1))</f>
        <v>4041/4042</v>
      </c>
      <c r="L58" s="22" t="str">
        <f>VLOOKUP(A58,'Trips&amp;Operators'!$C$1:$E$10000,3,FALSE)</f>
        <v>SPECTOR</v>
      </c>
      <c r="M58" s="6">
        <f>I58-F58</f>
        <v>2.828703704290092E-2</v>
      </c>
      <c r="N58" s="7">
        <f>24*60*SUM($M58:$M58)</f>
        <v>40.733333341777325</v>
      </c>
      <c r="O58" s="7"/>
      <c r="P58" s="7"/>
      <c r="Q58" s="23"/>
      <c r="R58" s="23"/>
      <c r="S58" s="35">
        <f>SUM(U58:U58)/IF(AG58="EC",12,1)</f>
        <v>1</v>
      </c>
      <c r="T58" s="50" t="str">
        <f>IF(ISEVEN(LEFT(AD58,4)),"Southbound","NorthBound")</f>
        <v>Southbound</v>
      </c>
      <c r="U58" s="144">
        <f>IF(AG58="EC",COUNTIFS(Variables!$M$2:$M$19,IF(T58="NorthBound","&gt;=","&lt;=")&amp;Y58,Variables!$M$2:$M$19,IF(T58="NorthBound","&lt;=","&gt;=")&amp;Z58),COUNTIFS(Variables!$P$2:$P$19,IF(T58="NorthBound","&gt;=","&lt;=")&amp;Y58,Variables!$P$2:$P$19,IF(T58="NorthBound","&lt;=","&gt;=")&amp;Z58))</f>
        <v>12</v>
      </c>
      <c r="V58" s="98" t="str">
        <f>"https://search-rtdc-monitor-bjffxe2xuh6vdkpspy63sjmuny.us-east-1.es.amazonaws.com/_plugin/kibana/#/discover/Steve-Slow-Train-Analysis-(2080s-and-2083s)?_g=(refreshInterval:(display:Off,section:0,value:0),time:(from:'"&amp;TEXT(E58-1/24,"yyyy-MM-DD hh:mm:ss")&amp;"-0600',mode:absolute,to:'"&amp;TEXT(I58+1/24,"yyyy-MM-DD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58&amp;"%22')),sort:!(Time,asc))"</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58" s="52" t="str">
        <f>IF(AA58&lt;IF(AG58="EC",23,5.65),"Y","N")</f>
        <v>N</v>
      </c>
      <c r="X58" s="149">
        <f>VALUE(LEFT(AD58,4))-VALUE(LEFT(AD57,4))</f>
        <v>1</v>
      </c>
      <c r="Y58" s="67">
        <f>RIGHT(D58,LEN(D58)-4)/10000</f>
        <v>23.297699999999999</v>
      </c>
      <c r="Z58" s="67">
        <f>RIGHT(H58,LEN(H58)-4)/10000</f>
        <v>1.4999999999999999E-2</v>
      </c>
      <c r="AA58" s="67">
        <f>ABS(Z58-Y58)</f>
        <v>23.282699999999998</v>
      </c>
      <c r="AB58" s="64" t="str">
        <f>VLOOKUP(A58,Enforcements!$C$7:$K$21,8,0)</f>
        <v>Bulletin (2)</v>
      </c>
      <c r="AC58" s="60" t="str">
        <f>VLOOKUP(A58,Enforcements!$C$7:$E$21,3,0)</f>
        <v>GRADE CROSSING</v>
      </c>
      <c r="AD58" s="61" t="str">
        <f>IF(LEN(A58)=6,"0"&amp;A58,A58)</f>
        <v>0146-13</v>
      </c>
      <c r="AE58" s="91" t="str">
        <f>"aws s3 cp "&amp;s3_bucket&amp;"/RTDC"&amp;B58&amp;"/ "&amp;search_path&amp;"\RTDC"&amp;B58&amp;"\"&amp;TEXT(F58,"YYYY-MM-DD")&amp;" --exclude ""*"" --recursive --include ""*"&amp;TEXT(F58,"YYYYMMDD")&amp;"*"" &amp; """&amp;walkandungz&amp;""" "&amp;search_path&amp;"\RTDC"&amp;B58&amp;"\"&amp;TEXT(F58,"YYYY-MM-DD")
&amp;" &amp; "&amp;"aws s3 cp "&amp;s3_bucket&amp;"/RTDC"&amp;B58&amp;"/ "&amp;search_path&amp;"\RTDC"&amp;B58&amp;"\"&amp;TEXT(F58+1,"YYYY-MM-DD")&amp;" --exclude ""*"" --recursive --include ""*"&amp;TEXT(F58+1,"YYYYMMDD")&amp;"*"" &amp; """&amp;walkandungz&amp;""" "&amp;search_path&amp;"\RTDC"&amp;B58&amp;"\"&amp;TEXT(F58+1,"YYYY-MM-DD")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58" s="88" t="str">
        <f>astrogrep_path&amp;" /spath="&amp;search_path&amp;" /stypes=""app*"&amp;B58&amp;"*"&amp;TEXT(I58-utc_offset/24,"YYYYMMDD")&amp;"*"" /stext="" "&amp;TEXT(I58-utc_offset/24,"HH")&amp;search_regexp&amp;""" /e /r /s"</f>
        <v>"C:\Program Files (x86)\AstroGrep\AstroGrep.exe" /spath="%USERPROFILE%\AppData\Local\Temp\OnboardLogs" /stypes="app*4041*20161013*" /stext=" 16:.+((SYSTEM_STATE.+slice.+state.+changed )|(ment ac)|(system.+state.+changed )|(\[timeout)|(PRM\|1\|D)|(kpr)|(kdp)|(\|lc)|(penalty))" /e /r /s</v>
      </c>
      <c r="AG58" s="1" t="str">
        <f>IFERROR(IF(VALUE(LEFT(AD58,2))&lt;=2,"EC",IF(OR(VALUE(LEFT(AD58,2))=8,VALUE(LEFT(AD58,2))=18),"NW","Other")),"Other")</f>
        <v>EC</v>
      </c>
      <c r="AH58" s="92" t="str">
        <f t="shared" si="2"/>
        <v>"%USERPROFILE%\Documents\GitHub\eaglep3\Utilities\RefineRTDCRunTimes.py" --tripid 146-13 --locoid 4041 --swversion DE.1.0.7.0 --startMP 204:232977 --initTime 2016-10-13T10:04:05 --startdatetime 2016-10-13T10:11:58 --delay 1 --endMP 204:150 --enddatetime 2016-10-13T10:52:42 --enforcementcount 1 &gt;&gt;C:\Users\stu\Documents\GitHub\eaglep3-reporting\EC\2016-10-13-refined-times.txt</v>
      </c>
      <c r="AI58" s="122" t="str">
        <f t="shared" si="3"/>
        <v>echo {"issue":{"subject":"","project_id":79,"tracker_id":40,"status_id":1,"priority_id":2,"assigned_to_id":23,"start_date":"2016-10-13","description":"","custom_fields":[{"id":1,"name":"Subdivision","value":"EC"},{"id":4,"name":"Milepost","value":"0.015"},{"id":17,"name":"Train ID","value":"146-13"},{"id":16,"name":"Locomotive ID","value":"4041"},{"id":130,"name":"Impact","value":""},{"id":150,"name":"Time of Event (Mountain Time)","value":"10:52:42"},{"id":151,"name":"Denver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477</v>
      </c>
      <c r="B59" s="7">
        <v>4044</v>
      </c>
      <c r="C59" s="22" t="s">
        <v>99</v>
      </c>
      <c r="D59" s="22" t="s">
        <v>293</v>
      </c>
      <c r="E59" s="13">
        <v>42656.39435185185</v>
      </c>
      <c r="F59" s="13">
        <v>42656.396064814813</v>
      </c>
      <c r="G59" s="7">
        <v>2</v>
      </c>
      <c r="H59" s="13" t="s">
        <v>636</v>
      </c>
      <c r="I59" s="13">
        <v>42656.421724537038</v>
      </c>
      <c r="J59" s="7">
        <v>1</v>
      </c>
      <c r="K59" s="112" t="str">
        <f>IF(ISEVEN(B59),(B59-1)&amp;"/"&amp;B59,B59&amp;"/"&amp;(B59+1))</f>
        <v>4043/4044</v>
      </c>
      <c r="L59" s="22" t="str">
        <f>VLOOKUP(A59,'Trips&amp;Operators'!$C$1:$E$10000,3,FALSE)</f>
        <v>MALAVE</v>
      </c>
      <c r="M59" s="6">
        <f>I59-F59</f>
        <v>2.5659722225100268E-2</v>
      </c>
      <c r="N59" s="7">
        <f>24*60*SUM($M59:$M59)</f>
        <v>36.950000004144385</v>
      </c>
      <c r="O59" s="7"/>
      <c r="P59" s="7"/>
      <c r="Q59" s="23"/>
      <c r="R59" s="23"/>
      <c r="S59" s="35">
        <f>SUM(U59:U59)/IF(AG59="EC",12,1)</f>
        <v>1</v>
      </c>
      <c r="T59" s="50" t="str">
        <f>IF(ISEVEN(LEFT(AD59,4)),"Southbound","NorthBound")</f>
        <v>NorthBound</v>
      </c>
      <c r="U59" s="144">
        <f>IF(AG59="EC",COUNTIFS(Variables!$M$2:$M$19,IF(T59="NorthBound","&gt;=","&lt;=")&amp;Y59,Variables!$M$2:$M$19,IF(T59="NorthBound","&lt;=","&gt;=")&amp;Z59),COUNTIFS(Variables!$P$2:$P$19,IF(T59="NorthBound","&gt;=","&lt;=")&amp;Y59,Variables!$P$2:$P$19,IF(T59="NorthBound","&lt;=","&gt;=")&amp;Z59))</f>
        <v>12</v>
      </c>
      <c r="V59" s="98" t="str">
        <f>"https://search-rtdc-monitor-bjffxe2xuh6vdkpspy63sjmuny.us-east-1.es.amazonaws.com/_plugin/kibana/#/discover/Steve-Slow-Train-Analysis-(2080s-and-2083s)?_g=(refreshInterval:(display:Off,section:0,value:0),time:(from:'"&amp;TEXT(E59-1/24,"yyyy-MM-DD hh:mm:ss")&amp;"-0600',mode:absolute,to:'"&amp;TEXT(I59+1/24,"yyyy-MM-DD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59&amp;"%22')),sort:!(Time,asc))"</f>
        <v>https://search-rtdc-monitor-bjffxe2xuh6vdkpspy63sjmuny.us-east-1.es.amazonaws.com/_plugin/kibana/#/discover/Steve-Slow-Train-Analysis-(2080s-and-2083s)?_g=(refreshInterval:(display:Off,section:0,value:0),time:(from:'2016-10-13 08:27:52-0600',mode:absolute,to:'2016-10-13 11:07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59" s="52" t="str">
        <f>IF(AA59&lt;IF(AG59="EC",23,5.65),"Y","N")</f>
        <v>N</v>
      </c>
      <c r="X59" s="149">
        <f>VALUE(LEFT(AD59,4))-VALUE(LEFT(AD58,4))</f>
        <v>1</v>
      </c>
      <c r="Y59" s="67">
        <f>RIGHT(D59,LEN(D59)-4)/10000</f>
        <v>4.4900000000000002E-2</v>
      </c>
      <c r="Z59" s="67">
        <f>RIGHT(H59,LEN(H59)-4)/10000</f>
        <v>23.326599999999999</v>
      </c>
      <c r="AA59" s="67">
        <f>ABS(Z59-Y59)</f>
        <v>23.281700000000001</v>
      </c>
      <c r="AB59" s="64" t="e">
        <f>VLOOKUP(A59,Enforcements!$C$7:$K$21,8,0)</f>
        <v>#N/A</v>
      </c>
      <c r="AC59" s="60" t="e">
        <f>VLOOKUP(A59,Enforcements!$C$7:$E$21,3,0)</f>
        <v>#N/A</v>
      </c>
      <c r="AD59" s="61" t="str">
        <f>IF(LEN(A59)=6,"0"&amp;A59,A59)</f>
        <v>0147-13</v>
      </c>
      <c r="AE59" s="91" t="str">
        <f>"aws s3 cp "&amp;s3_bucket&amp;"/RTDC"&amp;B59&amp;"/ "&amp;search_path&amp;"\RTDC"&amp;B59&amp;"\"&amp;TEXT(F59,"YYYY-MM-DD")&amp;" --exclude ""*"" --recursive --include ""*"&amp;TEXT(F59,"YYYYMMDD")&amp;"*"" &amp; """&amp;walkandungz&amp;""" "&amp;search_path&amp;"\RTDC"&amp;B59&amp;"\"&amp;TEXT(F59,"YYYY-MM-DD")
&amp;" &amp; "&amp;"aws s3 cp "&amp;s3_bucket&amp;"/RTDC"&amp;B59&amp;"/ "&amp;search_path&amp;"\RTDC"&amp;B59&amp;"\"&amp;TEXT(F59+1,"YYYY-MM-DD")&amp;" --exclude ""*"" --recursive --include ""*"&amp;TEXT(F59+1,"YYYYMMDD")&amp;"*"" &amp; """&amp;walkandungz&amp;""" "&amp;search_path&amp;"\RTDC"&amp;B59&amp;"\"&amp;TEXT(F59+1,"YYYY-MM-DD")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59" s="88" t="str">
        <f>astrogrep_path&amp;" /spath="&amp;search_path&amp;" /stypes=""app*"&amp;B59&amp;"*"&amp;TEXT(I59-utc_offset/24,"YYYYMMDD")&amp;"*"" /stext="" "&amp;TEXT(I59-utc_offset/24,"HH")&amp;search_regexp&amp;""" /e /r /s"</f>
        <v>"C:\Program Files (x86)\AstroGrep\AstroGrep.exe" /spath="%USERPROFILE%\AppData\Local\Temp\OnboardLogs" /stypes="app*4044*20161013*" /stext=" 16:.+((SYSTEM_STATE.+slice.+state.+changed )|(ment ac)|(system.+state.+changed )|(\[timeout)|(PRM\|1\|D)|(kpr)|(kdp)|(\|lc)|(penalty))" /e /r /s</v>
      </c>
      <c r="AG59" s="1" t="str">
        <f>IFERROR(IF(VALUE(LEFT(AD59,2))&lt;=2,"EC",IF(OR(VALUE(LEFT(AD59,2))=8,VALUE(LEFT(AD59,2))=18),"NW","Other")),"Other")</f>
        <v>EC</v>
      </c>
      <c r="AH59" s="92" t="str">
        <f t="shared" si="2"/>
        <v>"%USERPROFILE%\Documents\GitHub\eaglep3\Utilities\RefineRTDCRunTimes.py" --tripid 147-13 --locoid 4044 --swversion DE.1.0.7.0 --startMP 204:449 --initTime 2016-10-13T09:27:52 --startdatetime 2016-10-13T09:30:20 --delay 2 --endMP 204:233266 --enddatetime 2016-10-13T10:07:17 --enforcementcount 1 &gt;&gt;C:\Users\stu\Documents\GitHub\eaglep3-reporting\EC\2016-10-13-refined-times.txt</v>
      </c>
      <c r="AI59" s="122" t="str">
        <f t="shared" si="3"/>
        <v>echo {"issue":{"subject":"","project_id":79,"tracker_id":40,"status_id":1,"priority_id":2,"assigned_to_id":23,"start_date":"2016-10-13","description":"","custom_fields":[{"id":1,"name":"Subdivision","value":"EC"},{"id":4,"name":"Milepost","value":"23.3266"},{"id":17,"name":"Train ID","value":"147-13"},{"id":16,"name":"Locomotive ID","value":"4044"},{"id":130,"name":"Impact","value":""},{"id":150,"name":"Time of Event (Mountain Time)","value":"10:07:17"},{"id":151,"name":"Denver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398</v>
      </c>
      <c r="B60" s="7">
        <v>4043</v>
      </c>
      <c r="C60" s="22" t="s">
        <v>99</v>
      </c>
      <c r="D60" s="22" t="s">
        <v>267</v>
      </c>
      <c r="E60" s="13">
        <v>42656.433831018519</v>
      </c>
      <c r="F60" s="13">
        <v>42656.434953703705</v>
      </c>
      <c r="G60" s="7">
        <v>1</v>
      </c>
      <c r="H60" s="13" t="s">
        <v>637</v>
      </c>
      <c r="I60" s="13">
        <v>42656.462118055555</v>
      </c>
      <c r="J60" s="7">
        <v>1</v>
      </c>
      <c r="K60" s="112" t="str">
        <f>IF(ISEVEN(B60),(B60-1)&amp;"/"&amp;B60,B60&amp;"/"&amp;(B60+1))</f>
        <v>4043/4044</v>
      </c>
      <c r="L60" s="22" t="str">
        <f>VLOOKUP(A60,'Trips&amp;Operators'!$C$1:$E$10000,3,FALSE)</f>
        <v>MALAVE</v>
      </c>
      <c r="M60" s="6">
        <f>I60-F60</f>
        <v>2.7164351849933155E-2</v>
      </c>
      <c r="N60" s="7">
        <f>24*60*SUM($M60:$M60)</f>
        <v>39.116666663903743</v>
      </c>
      <c r="O60" s="7"/>
      <c r="P60" s="7"/>
      <c r="Q60" s="23"/>
      <c r="R60" s="23"/>
      <c r="S60" s="35">
        <f>SUM(U60:U60)/IF(AG60="EC",12,1)</f>
        <v>1</v>
      </c>
      <c r="T60" s="50" t="str">
        <f>IF(ISEVEN(LEFT(AD60,4)),"Southbound","NorthBound")</f>
        <v>Southbound</v>
      </c>
      <c r="U60" s="144">
        <f>IF(AG60="EC",COUNTIFS(Variables!$M$2:$M$19,IF(T60="NorthBound","&gt;=","&lt;=")&amp;Y60,Variables!$M$2:$M$19,IF(T60="NorthBound","&lt;=","&gt;=")&amp;Z60),COUNTIFS(Variables!$P$2:$P$19,IF(T60="NorthBound","&gt;=","&lt;=")&amp;Y60,Variables!$P$2:$P$19,IF(T60="NorthBound","&lt;=","&gt;=")&amp;Z60))</f>
        <v>12</v>
      </c>
      <c r="V60" s="98" t="str">
        <f>"https://search-rtdc-monitor-bjffxe2xuh6vdkpspy63sjmuny.us-east-1.es.amazonaws.com/_plugin/kibana/#/discover/Steve-Slow-Train-Analysis-(2080s-and-2083s)?_g=(refreshInterval:(display:Off,section:0,value:0),time:(from:'"&amp;TEXT(E60-1/24,"yyyy-MM-DD hh:mm:ss")&amp;"-0600',mode:absolute,to:'"&amp;TEXT(I60+1/24,"yyyy-MM-DD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60&amp;"%22')),sort:!(Time,asc))"</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60" s="52" t="str">
        <f>IF(AA60&lt;IF(AG60="EC",23,5.65),"Y","N")</f>
        <v>N</v>
      </c>
      <c r="X60" s="149">
        <f>VALUE(LEFT(AD60,4))-VALUE(LEFT(AD59,4))</f>
        <v>1</v>
      </c>
      <c r="Y60" s="67">
        <f>RIGHT(D60,LEN(D60)-4)/10000</f>
        <v>23.2959</v>
      </c>
      <c r="Z60" s="67">
        <f>RIGHT(H60,LEN(H60)-4)/10000</f>
        <v>1.7000000000000001E-2</v>
      </c>
      <c r="AA60" s="67">
        <f>ABS(Z60-Y60)</f>
        <v>23.2789</v>
      </c>
      <c r="AB60" s="64" t="str">
        <f>VLOOKUP(A60,Enforcements!$C$7:$K$21,8,0)</f>
        <v>Bulletin (2)</v>
      </c>
      <c r="AC60" s="60" t="str">
        <f>VLOOKUP(A60,Enforcements!$C$7:$E$21,3,0)</f>
        <v>GRADE CROSSING</v>
      </c>
      <c r="AD60" s="61" t="str">
        <f>IF(LEN(A60)=6,"0"&amp;A60,A60)</f>
        <v>0148-13</v>
      </c>
      <c r="AE60" s="91" t="str">
        <f>"aws s3 cp "&amp;s3_bucket&amp;"/RTDC"&amp;B60&amp;"/ "&amp;search_path&amp;"\RTDC"&amp;B60&amp;"\"&amp;TEXT(F60,"YYYY-MM-DD")&amp;" --exclude ""*"" --recursive --include ""*"&amp;TEXT(F60,"YYYYMMDD")&amp;"*"" &amp; """&amp;walkandungz&amp;""" "&amp;search_path&amp;"\RTDC"&amp;B60&amp;"\"&amp;TEXT(F60,"YYYY-MM-DD")
&amp;" &amp; "&amp;"aws s3 cp "&amp;s3_bucket&amp;"/RTDC"&amp;B60&amp;"/ "&amp;search_path&amp;"\RTDC"&amp;B60&amp;"\"&amp;TEXT(F60+1,"YYYY-MM-DD")&amp;" --exclude ""*"" --recursive --include ""*"&amp;TEXT(F60+1,"YYYYMMDD")&amp;"*"" &amp; """&amp;walkandungz&amp;""" "&amp;search_path&amp;"\RTDC"&amp;B60&amp;"\"&amp;TEXT(F60+1,"YYYY-MM-DD")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60" s="88" t="str">
        <f>astrogrep_path&amp;" /spath="&amp;search_path&amp;" /stypes=""app*"&amp;B60&amp;"*"&amp;TEXT(I60-utc_offset/24,"YYYYMMDD")&amp;"*"" /stext="" "&amp;TEXT(I60-utc_offset/24,"HH")&amp;search_regexp&amp;""" /e /r /s"</f>
        <v>"C:\Program Files (x86)\AstroGrep\AstroGrep.exe" /spath="%USERPROFILE%\AppData\Local\Temp\OnboardLogs" /stypes="app*4043*20161013*" /stext=" 17:.+((SYSTEM_STATE.+slice.+state.+changed )|(ment ac)|(system.+state.+changed )|(\[timeout)|(PRM\|1\|D)|(kpr)|(kdp)|(\|lc)|(penalty))" /e /r /s</v>
      </c>
      <c r="AG60" s="1" t="str">
        <f>IFERROR(IF(VALUE(LEFT(AD60,2))&lt;=2,"EC",IF(OR(VALUE(LEFT(AD60,2))=8,VALUE(LEFT(AD60,2))=18),"NW","Other")),"Other")</f>
        <v>EC</v>
      </c>
      <c r="AH60" s="92" t="str">
        <f t="shared" si="2"/>
        <v>"%USERPROFILE%\Documents\GitHub\eaglep3\Utilities\RefineRTDCRunTimes.py" --tripid 148-13 --locoid 4043 --swversion DE.1.0.7.0 --startMP 204:232959 --initTime 2016-10-13T10:24:43 --startdatetime 2016-10-13T10:26:20 --delay 1 --endMP 204:170 --enddatetime 2016-10-13T11:05:27 --enforcementcount 1 &gt;&gt;C:\Users\stu\Documents\GitHub\eaglep3-reporting\EC\2016-10-13-refined-times.txt</v>
      </c>
      <c r="AI60" s="122" t="str">
        <f t="shared" si="3"/>
        <v>echo {"issue":{"subject":"","project_id":79,"tracker_id":40,"status_id":1,"priority_id":2,"assigned_to_id":23,"start_date":"2016-10-13","description":"","custom_fields":[{"id":1,"name":"Subdivision","value":"EC"},{"id":4,"name":"Milepost","value":"0.017"},{"id":17,"name":"Train ID","value":"148-13"},{"id":16,"name":"Locomotive ID","value":"4043"},{"id":130,"name":"Impact","value":""},{"id":150,"name":"Time of Event (Mountain Time)","value":"11:05:27"},{"id":151,"name":"Denver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480</v>
      </c>
      <c r="B61" s="7">
        <v>4018</v>
      </c>
      <c r="C61" s="22" t="s">
        <v>99</v>
      </c>
      <c r="D61" s="22" t="s">
        <v>348</v>
      </c>
      <c r="E61" s="13">
        <v>42656.402986111112</v>
      </c>
      <c r="F61" s="13">
        <v>42656.406527777777</v>
      </c>
      <c r="G61" s="7">
        <v>1</v>
      </c>
      <c r="H61" s="13" t="s">
        <v>303</v>
      </c>
      <c r="I61" s="13">
        <v>42656.433437500003</v>
      </c>
      <c r="J61" s="7">
        <v>1</v>
      </c>
      <c r="K61" s="112" t="str">
        <f>IF(ISEVEN(B61),(B61-1)&amp;"/"&amp;B61,B61&amp;"/"&amp;(B61+1))</f>
        <v>4017/4018</v>
      </c>
      <c r="L61" s="22" t="str">
        <f>VLOOKUP(A61,'Trips&amp;Operators'!$C$1:$E$10000,3,FALSE)</f>
        <v>STRICKLAND</v>
      </c>
      <c r="M61" s="6">
        <f>I61-F61</f>
        <v>2.6909722226264421E-2</v>
      </c>
      <c r="N61" s="7">
        <f>24*60*SUM($M61:$M61)</f>
        <v>38.750000005820766</v>
      </c>
      <c r="O61" s="7"/>
      <c r="P61" s="7"/>
      <c r="Q61" s="23"/>
      <c r="R61" s="23"/>
      <c r="S61" s="35">
        <f>SUM(U61:U61)/IF(AG61="EC",12,1)</f>
        <v>1</v>
      </c>
      <c r="T61" s="50" t="str">
        <f>IF(ISEVEN(LEFT(AD61,4)),"Southbound","NorthBound")</f>
        <v>NorthBound</v>
      </c>
      <c r="U61" s="144">
        <f>IF(AG61="EC",COUNTIFS(Variables!$M$2:$M$19,IF(T61="NorthBound","&gt;=","&lt;=")&amp;Y61,Variables!$M$2:$M$19,IF(T61="NorthBound","&lt;=","&gt;=")&amp;Z61),COUNTIFS(Variables!$P$2:$P$19,IF(T61="NorthBound","&gt;=","&lt;=")&amp;Y61,Variables!$P$2:$P$19,IF(T61="NorthBound","&lt;=","&gt;=")&amp;Z61))</f>
        <v>12</v>
      </c>
      <c r="V61" s="98" t="str">
        <f>"https://search-rtdc-monitor-bjffxe2xuh6vdkpspy63sjmuny.us-east-1.es.amazonaws.com/_plugin/kibana/#/discover/Steve-Slow-Train-Analysis-(2080s-and-2083s)?_g=(refreshInterval:(display:Off,section:0,value:0),time:(from:'"&amp;TEXT(E61-1/24,"yyyy-MM-DD hh:mm:ss")&amp;"-0600',mode:absolute,to:'"&amp;TEXT(I61+1/24,"yyyy-MM-DD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61&amp;"%22')),sort:!(Time,asc))"</f>
        <v>https://search-rtdc-monitor-bjffxe2xuh6vdkpspy63sjmuny.us-east-1.es.amazonaws.com/_plugin/kibana/#/discover/Steve-Slow-Train-Analysis-(2080s-and-2083s)?_g=(refreshInterval:(display:Off,section:0,value:0),time:(from:'2016-10-13 08:40:18-0600',mode:absolute,to:'2016-10-13 11:24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1" s="52" t="str">
        <f>IF(AA61&lt;IF(AG61="EC",23,5.65),"Y","N")</f>
        <v>N</v>
      </c>
      <c r="X61" s="149">
        <f>VALUE(LEFT(AD61,4))-VALUE(LEFT(AD60,4))</f>
        <v>1</v>
      </c>
      <c r="Y61" s="67">
        <f>RIGHT(D61,LEN(D61)-4)/10000</f>
        <v>4.82E-2</v>
      </c>
      <c r="Z61" s="67">
        <f>RIGHT(H61,LEN(H61)-4)/10000</f>
        <v>23.326799999999999</v>
      </c>
      <c r="AA61" s="67">
        <f>ABS(Z61-Y61)</f>
        <v>23.278599999999997</v>
      </c>
      <c r="AB61" s="64" t="e">
        <f>VLOOKUP(A61,Enforcements!$C$7:$K$21,8,0)</f>
        <v>#N/A</v>
      </c>
      <c r="AC61" s="60" t="e">
        <f>VLOOKUP(A61,Enforcements!$C$7:$E$21,3,0)</f>
        <v>#N/A</v>
      </c>
      <c r="AD61" s="61" t="str">
        <f>IF(LEN(A61)=6,"0"&amp;A61,A61)</f>
        <v>0149-13</v>
      </c>
      <c r="AE61" s="91" t="str">
        <f>"aws s3 cp "&amp;s3_bucket&amp;"/RTDC"&amp;B61&amp;"/ "&amp;search_path&amp;"\RTDC"&amp;B61&amp;"\"&amp;TEXT(F61,"YYYY-MM-DD")&amp;" --exclude ""*"" --recursive --include ""*"&amp;TEXT(F61,"YYYYMMDD")&amp;"*"" &amp; """&amp;walkandungz&amp;""" "&amp;search_path&amp;"\RTDC"&amp;B61&amp;"\"&amp;TEXT(F61,"YYYY-MM-DD")
&amp;" &amp; "&amp;"aws s3 cp "&amp;s3_bucket&amp;"/RTDC"&amp;B61&amp;"/ "&amp;search_path&amp;"\RTDC"&amp;B61&amp;"\"&amp;TEXT(F61+1,"YYYY-MM-DD")&amp;" --exclude ""*"" --recursive --include ""*"&amp;TEXT(F61+1,"YYYYMMDD")&amp;"*"" &amp; """&amp;walkandungz&amp;""" "&amp;search_path&amp;"\RTDC"&amp;B61&amp;"\"&amp;TEXT(F61+1,"YYYY-MM-DD")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61" s="88" t="str">
        <f>astrogrep_path&amp;" /spath="&amp;search_path&amp;" /stypes=""app*"&amp;B61&amp;"*"&amp;TEXT(I61-utc_offset/24,"YYYYMMDD")&amp;"*"" /stext="" "&amp;TEXT(I61-utc_offset/24,"HH")&amp;search_regexp&amp;""" /e /r /s"</f>
        <v>"C:\Program Files (x86)\AstroGrep\AstroGrep.exe" /spath="%USERPROFILE%\AppData\Local\Temp\OnboardLogs" /stypes="app*4018*20161013*" /stext=" 16:.+((SYSTEM_STATE.+slice.+state.+changed )|(ment ac)|(system.+state.+changed )|(\[timeout)|(PRM\|1\|D)|(kpr)|(kdp)|(\|lc)|(penalty))" /e /r /s</v>
      </c>
      <c r="AG61" s="1" t="str">
        <f>IFERROR(IF(VALUE(LEFT(AD61,2))&lt;=2,"EC",IF(OR(VALUE(LEFT(AD61,2))=8,VALUE(LEFT(AD61,2))=18),"NW","Other")),"Other")</f>
        <v>EC</v>
      </c>
      <c r="AH61" s="92" t="str">
        <f t="shared" si="2"/>
        <v>"%USERPROFILE%\Documents\GitHub\eaglep3\Utilities\RefineRTDCRunTimes.py" --tripid 149-13 --locoid 4018 --swversion DE.1.0.7.0 --startMP 204:482 --initTime 2016-10-13T09:40:18 --startdatetime 2016-10-13T09:45:24 --delay 1 --endMP 204:233268 --enddatetime 2016-10-13T10:24:09 --enforcementcount 1 &gt;&gt;C:\Users\stu\Documents\GitHub\eaglep3-reporting\EC\2016-10-13-refined-times.txt</v>
      </c>
      <c r="AI61" s="122" t="str">
        <f t="shared" si="3"/>
        <v>echo {"issue":{"subject":"","project_id":79,"tracker_id":40,"status_id":1,"priority_id":2,"assigned_to_id":23,"start_date":"2016-10-13","description":"","custom_fields":[{"id":1,"name":"Subdivision","value":"EC"},{"id":4,"name":"Milepost","value":"23.3268"},{"id":17,"name":"Train ID","value":"149-13"},{"id":16,"name":"Locomotive ID","value":"4018"},{"id":130,"name":"Impact","value":""},{"id":150,"name":"Time of Event (Mountain Time)","value":"10:24:09"},{"id":151,"name":"Denver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484</v>
      </c>
      <c r="B62" s="7">
        <v>4017</v>
      </c>
      <c r="C62" s="22" t="s">
        <v>99</v>
      </c>
      <c r="D62" s="22" t="s">
        <v>258</v>
      </c>
      <c r="E62" s="13">
        <v>42656.439618055556</v>
      </c>
      <c r="F62" s="13">
        <v>42656.4455787037</v>
      </c>
      <c r="G62" s="7">
        <v>1</v>
      </c>
      <c r="H62" s="13" t="s">
        <v>637</v>
      </c>
      <c r="I62" s="13">
        <v>42656.473055555558</v>
      </c>
      <c r="J62" s="7">
        <v>1</v>
      </c>
      <c r="K62" s="112" t="str">
        <f>IF(ISEVEN(B62),(B62-1)&amp;"/"&amp;B62,B62&amp;"/"&amp;(B62+1))</f>
        <v>4017/4018</v>
      </c>
      <c r="L62" s="22" t="str">
        <f>VLOOKUP(A62,'Trips&amp;Operators'!$C$1:$E$10000,3,FALSE)</f>
        <v>STRICKLAND</v>
      </c>
      <c r="M62" s="6">
        <f>I62-F62</f>
        <v>2.7476851857500151E-2</v>
      </c>
      <c r="N62" s="7">
        <f>24*60*SUM($M62:$M62)</f>
        <v>39.566666674800217</v>
      </c>
      <c r="O62" s="7"/>
      <c r="P62" s="7"/>
      <c r="Q62" s="23"/>
      <c r="R62" s="23"/>
      <c r="S62" s="35">
        <f>SUM(U62:U62)/IF(AG62="EC",12,1)</f>
        <v>1</v>
      </c>
      <c r="T62" s="50" t="str">
        <f>IF(ISEVEN(LEFT(AD62,4)),"Southbound","NorthBound")</f>
        <v>Southbound</v>
      </c>
      <c r="U62" s="144">
        <f>IF(AG62="EC",COUNTIFS(Variables!$M$2:$M$19,IF(T62="NorthBound","&gt;=","&lt;=")&amp;Y62,Variables!$M$2:$M$19,IF(T62="NorthBound","&lt;=","&gt;=")&amp;Z62),COUNTIFS(Variables!$P$2:$P$19,IF(T62="NorthBound","&gt;=","&lt;=")&amp;Y62,Variables!$P$2:$P$19,IF(T62="NorthBound","&lt;=","&gt;=")&amp;Z62))</f>
        <v>12</v>
      </c>
      <c r="V62" s="98" t="str">
        <f>"https://search-rtdc-monitor-bjffxe2xuh6vdkpspy63sjmuny.us-east-1.es.amazonaws.com/_plugin/kibana/#/discover/Steve-Slow-Train-Analysis-(2080s-and-2083s)?_g=(refreshInterval:(display:Off,section:0,value:0),time:(from:'"&amp;TEXT(E62-1/24,"yyyy-MM-DD hh:mm:ss")&amp;"-0600',mode:absolute,to:'"&amp;TEXT(I62+1/24,"yyyy-MM-DD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62&amp;"%22')),sort:!(Time,asc))"</f>
        <v>https://search-rtdc-monitor-bjffxe2xuh6vdkpspy63sjmuny.us-east-1.es.amazonaws.com/_plugin/kibana/#/discover/Steve-Slow-Train-Analysis-(2080s-and-2083s)?_g=(refreshInterval:(display:Off,section:0,value:0),time:(from:'2016-10-13 09:33:03-0600',mode:absolute,to:'2016-10-13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2" s="52" t="str">
        <f>IF(AA62&lt;IF(AG62="EC",23,5.65),"Y","N")</f>
        <v>N</v>
      </c>
      <c r="X62" s="149">
        <f>VALUE(LEFT(AD62,4))-VALUE(LEFT(AD61,4))</f>
        <v>1</v>
      </c>
      <c r="Y62" s="67">
        <f>RIGHT(D62,LEN(D62)-4)/10000</f>
        <v>23.298500000000001</v>
      </c>
      <c r="Z62" s="67">
        <f>RIGHT(H62,LEN(H62)-4)/10000</f>
        <v>1.7000000000000001E-2</v>
      </c>
      <c r="AA62" s="67">
        <f>ABS(Z62-Y62)</f>
        <v>23.281500000000001</v>
      </c>
      <c r="AB62" s="64" t="e">
        <f>VLOOKUP(A62,Enforcements!$C$7:$K$21,8,0)</f>
        <v>#N/A</v>
      </c>
      <c r="AC62" s="60" t="e">
        <f>VLOOKUP(A62,Enforcements!$C$7:$E$21,3,0)</f>
        <v>#N/A</v>
      </c>
      <c r="AD62" s="61" t="str">
        <f>IF(LEN(A62)=6,"0"&amp;A62,A62)</f>
        <v>0150-13</v>
      </c>
      <c r="AE62" s="91" t="str">
        <f>"aws s3 cp "&amp;s3_bucket&amp;"/RTDC"&amp;B62&amp;"/ "&amp;search_path&amp;"\RTDC"&amp;B62&amp;"\"&amp;TEXT(F62,"YYYY-MM-DD")&amp;" --exclude ""*"" --recursive --include ""*"&amp;TEXT(F62,"YYYYMMDD")&amp;"*"" &amp; """&amp;walkandungz&amp;""" "&amp;search_path&amp;"\RTDC"&amp;B62&amp;"\"&amp;TEXT(F62,"YYYY-MM-DD")
&amp;" &amp; "&amp;"aws s3 cp "&amp;s3_bucket&amp;"/RTDC"&amp;B62&amp;"/ "&amp;search_path&amp;"\RTDC"&amp;B62&amp;"\"&amp;TEXT(F62+1,"YYYY-MM-DD")&amp;" --exclude ""*"" --recursive --include ""*"&amp;TEXT(F62+1,"YYYYMMDD")&amp;"*"" &amp; """&amp;walkandungz&amp;""" "&amp;search_path&amp;"\RTDC"&amp;B62&amp;"\"&amp;TEXT(F62+1,"YYYY-MM-DD")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62" s="88" t="str">
        <f>astrogrep_path&amp;" /spath="&amp;search_path&amp;" /stypes=""app*"&amp;B62&amp;"*"&amp;TEXT(I62-utc_offset/24,"YYYYMMDD")&amp;"*"" /stext="" "&amp;TEXT(I62-utc_offset/24,"HH")&amp;search_regexp&amp;""" /e /r /s"</f>
        <v>"C:\Program Files (x86)\AstroGrep\AstroGrep.exe" /spath="%USERPROFILE%\AppData\Local\Temp\OnboardLogs" /stypes="app*4017*20161013*" /stext=" 17:.+((SYSTEM_STATE.+slice.+state.+changed )|(ment ac)|(system.+state.+changed )|(\[timeout)|(PRM\|1\|D)|(kpr)|(kdp)|(\|lc)|(penalty))" /e /r /s</v>
      </c>
      <c r="AG62" s="1" t="str">
        <f>IFERROR(IF(VALUE(LEFT(AD62,2))&lt;=2,"EC",IF(OR(VALUE(LEFT(AD62,2))=8,VALUE(LEFT(AD62,2))=18),"NW","Other")),"Other")</f>
        <v>EC</v>
      </c>
      <c r="AH62" s="92" t="str">
        <f t="shared" si="2"/>
        <v>"%USERPROFILE%\Documents\GitHub\eaglep3\Utilities\RefineRTDCRunTimes.py" --tripid 150-13 --locoid 4017 --swversion DE.1.0.7.0 --startMP 204:232985 --initTime 2016-10-13T10:33:03 --startdatetime 2016-10-13T10:41:38 --delay 1 --endMP 204:170 --enddatetime 2016-10-13T11:21:12 --enforcementcount 1 &gt;&gt;C:\Users\stu\Documents\GitHub\eaglep3-reporting\EC\2016-10-13-refined-times.txt</v>
      </c>
      <c r="AI62" s="122" t="str">
        <f t="shared" si="3"/>
        <v>echo {"issue":{"subject":"","project_id":79,"tracker_id":40,"status_id":1,"priority_id":2,"assigned_to_id":23,"start_date":"2016-10-13","description":"","custom_fields":[{"id":1,"name":"Subdivision","value":"EC"},{"id":4,"name":"Milepost","value":"0.017"},{"id":17,"name":"Train ID","value":"150-13"},{"id":16,"name":"Locomotive ID","value":"4017"},{"id":130,"name":"Impact","value":""},{"id":150,"name":"Time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481</v>
      </c>
      <c r="B63" s="7">
        <v>4014</v>
      </c>
      <c r="C63" s="22" t="s">
        <v>99</v>
      </c>
      <c r="D63" s="22" t="s">
        <v>266</v>
      </c>
      <c r="E63" s="13">
        <v>42656.414803240739</v>
      </c>
      <c r="F63" s="13">
        <v>42656.416863425926</v>
      </c>
      <c r="G63" s="7">
        <v>1</v>
      </c>
      <c r="H63" s="13" t="s">
        <v>625</v>
      </c>
      <c r="I63" s="13">
        <v>42656.441099537034</v>
      </c>
      <c r="J63" s="7">
        <v>1</v>
      </c>
      <c r="K63" s="112" t="str">
        <f>IF(ISEVEN(B63),(B63-1)&amp;"/"&amp;B63,B63&amp;"/"&amp;(B63+1))</f>
        <v>4013/4014</v>
      </c>
      <c r="L63" s="22" t="str">
        <f>VLOOKUP(A63,'Trips&amp;Operators'!$C$1:$E$10000,3,FALSE)</f>
        <v>ROCHA</v>
      </c>
      <c r="M63" s="6">
        <f>I63-F63</f>
        <v>2.4236111108621117E-2</v>
      </c>
      <c r="N63" s="7">
        <f>24*60*SUM($M63:$M63)</f>
        <v>34.899999996414408</v>
      </c>
      <c r="O63" s="7"/>
      <c r="P63" s="7"/>
      <c r="Q63" s="23"/>
      <c r="R63" s="23"/>
      <c r="S63" s="35">
        <f>SUM(U63:U63)/IF(AG63="EC",12,1)</f>
        <v>1</v>
      </c>
      <c r="T63" s="50" t="str">
        <f>IF(ISEVEN(LEFT(AD63,4)),"Southbound","NorthBound")</f>
        <v>NorthBound</v>
      </c>
      <c r="U63" s="144">
        <f>IF(AG63="EC",COUNTIFS(Variables!$M$2:$M$19,IF(T63="NorthBound","&gt;=","&lt;=")&amp;Y63,Variables!$M$2:$M$19,IF(T63="NorthBound","&lt;=","&gt;=")&amp;Z63),COUNTIFS(Variables!$P$2:$P$19,IF(T63="NorthBound","&gt;=","&lt;=")&amp;Y63,Variables!$P$2:$P$19,IF(T63="NorthBound","&lt;=","&gt;=")&amp;Z63))</f>
        <v>12</v>
      </c>
      <c r="V63" s="98" t="str">
        <f>"https://search-rtdc-monitor-bjffxe2xuh6vdkpspy63sjmuny.us-east-1.es.amazonaws.com/_plugin/kibana/#/discover/Steve-Slow-Train-Analysis-(2080s-and-2083s)?_g=(refreshInterval:(display:Off,section:0,value:0),time:(from:'"&amp;TEXT(E63-1/24,"yyyy-MM-DD hh:mm:ss")&amp;"-0600',mode:absolute,to:'"&amp;TEXT(I63+1/24,"yyyy-MM-DD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63&amp;"%22')),sort:!(Time,asc))"</f>
        <v>https://search-rtdc-monitor-bjffxe2xuh6vdkpspy63sjmuny.us-east-1.es.amazonaws.com/_plugin/kibana/#/discover/Steve-Slow-Train-Analysis-(2080s-and-2083s)?_g=(refreshInterval:(display:Off,section:0,value:0),time:(from:'2016-10-13 08:57:19-0600',mode:absolute,to:'2016-10-13 11: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63" s="52" t="str">
        <f>IF(AA63&lt;IF(AG63="EC",23,5.65),"Y","N")</f>
        <v>N</v>
      </c>
      <c r="X63" s="149">
        <f>VALUE(LEFT(AD63,4))-VALUE(LEFT(AD62,4))</f>
        <v>1</v>
      </c>
      <c r="Y63" s="67">
        <f>RIGHT(D63,LEN(D63)-4)/10000</f>
        <v>4.58E-2</v>
      </c>
      <c r="Z63" s="67">
        <f>RIGHT(H63,LEN(H63)-4)/10000</f>
        <v>23.3324</v>
      </c>
      <c r="AA63" s="67">
        <f>ABS(Z63-Y63)</f>
        <v>23.2866</v>
      </c>
      <c r="AB63" s="64" t="e">
        <f>VLOOKUP(A63,Enforcements!$C$7:$K$21,8,0)</f>
        <v>#N/A</v>
      </c>
      <c r="AC63" s="60" t="e">
        <f>VLOOKUP(A63,Enforcements!$C$7:$E$21,3,0)</f>
        <v>#N/A</v>
      </c>
      <c r="AD63" s="61" t="str">
        <f>IF(LEN(A63)=6,"0"&amp;A63,A63)</f>
        <v>0151-13</v>
      </c>
      <c r="AE63" s="91" t="str">
        <f>"aws s3 cp "&amp;s3_bucket&amp;"/RTDC"&amp;B63&amp;"/ "&amp;search_path&amp;"\RTDC"&amp;B63&amp;"\"&amp;TEXT(F63,"YYYY-MM-DD")&amp;" --exclude ""*"" --recursive --include ""*"&amp;TEXT(F63,"YYYYMMDD")&amp;"*"" &amp; """&amp;walkandungz&amp;""" "&amp;search_path&amp;"\RTDC"&amp;B63&amp;"\"&amp;TEXT(F63,"YYYY-MM-DD")
&amp;" &amp; "&amp;"aws s3 cp "&amp;s3_bucket&amp;"/RTDC"&amp;B63&amp;"/ "&amp;search_path&amp;"\RTDC"&amp;B63&amp;"\"&amp;TEXT(F63+1,"YYYY-MM-DD")&amp;" --exclude ""*"" --recursive --include ""*"&amp;TEXT(F63+1,"YYYYMMDD")&amp;"*"" &amp; """&amp;walkandungz&amp;""" "&amp;search_path&amp;"\RTDC"&amp;B63&amp;"\"&amp;TEXT(F63+1,"YYYY-MM-DD")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63" s="88" t="str">
        <f>astrogrep_path&amp;" /spath="&amp;search_path&amp;" /stypes=""app*"&amp;B63&amp;"*"&amp;TEXT(I63-utc_offset/24,"YYYYMMDD")&amp;"*"" /stext="" "&amp;TEXT(I63-utc_offset/24,"HH")&amp;search_regexp&amp;""" /e /r /s"</f>
        <v>"C:\Program Files (x86)\AstroGrep\AstroGrep.exe" /spath="%USERPROFILE%\AppData\Local\Temp\OnboardLogs" /stypes="app*4014*20161013*" /stext=" 16:.+((SYSTEM_STATE.+slice.+state.+changed )|(ment ac)|(system.+state.+changed )|(\[timeout)|(PRM\|1\|D)|(kpr)|(kdp)|(\|lc)|(penalty))" /e /r /s</v>
      </c>
      <c r="AG63" s="1" t="str">
        <f>IFERROR(IF(VALUE(LEFT(AD63,2))&lt;=2,"EC",IF(OR(VALUE(LEFT(AD63,2))=8,VALUE(LEFT(AD63,2))=18),"NW","Other")),"Other")</f>
        <v>EC</v>
      </c>
      <c r="AH63" s="92" t="str">
        <f t="shared" si="2"/>
        <v>"%USERPROFILE%\Documents\GitHub\eaglep3\Utilities\RefineRTDCRunTimes.py" --tripid 151-13 --locoid 4014 --swversion DE.1.0.7.0 --startMP 204:458 --initTime 2016-10-13T09:57:19 --startdatetime 2016-10-13T10:00:17 --delay 1 --endMP 204:233324 --enddatetime 2016-10-13T10:35:11 --enforcementcount 1 &gt;&gt;C:\Users\stu\Documents\GitHub\eaglep3-reporting\EC\2016-10-13-refined-times.txt</v>
      </c>
      <c r="AI63" s="122" t="str">
        <f t="shared" si="3"/>
        <v>echo {"issue":{"subject":"","project_id":79,"tracker_id":40,"status_id":1,"priority_id":2,"assigned_to_id":23,"start_date":"2016-10-13","description":"","custom_fields":[{"id":1,"name":"Subdivision","value":"EC"},{"id":4,"name":"Milepost","value":"23.3324"},{"id":17,"name":"Train ID","value":"151-13"},{"id":16,"name":"Locomotive ID","value":"4014"},{"id":130,"name":"Impact","value":""},{"id":150,"name":"Time of Event (Mountain Time)","value":"10:35:11"},{"id":151,"name":"Denver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487</v>
      </c>
      <c r="B64" s="7">
        <v>4013</v>
      </c>
      <c r="C64" s="22" t="s">
        <v>99</v>
      </c>
      <c r="D64" s="22" t="s">
        <v>286</v>
      </c>
      <c r="E64" s="13">
        <v>42656.453287037039</v>
      </c>
      <c r="F64" s="13">
        <v>42656.455891203703</v>
      </c>
      <c r="G64" s="7">
        <v>1</v>
      </c>
      <c r="H64" s="13" t="s">
        <v>262</v>
      </c>
      <c r="I64" s="13">
        <v>42656.481168981481</v>
      </c>
      <c r="J64" s="7">
        <v>1</v>
      </c>
      <c r="K64" s="112" t="str">
        <f>IF(ISEVEN(B64),(B64-1)&amp;"/"&amp;B64,B64&amp;"/"&amp;(B64+1))</f>
        <v>4013/4014</v>
      </c>
      <c r="L64" s="22" t="str">
        <f>VLOOKUP(A64,'Trips&amp;Operators'!$C$1:$E$10000,3,FALSE)</f>
        <v>ROCHA</v>
      </c>
      <c r="M64" s="6">
        <f>I64-F64</f>
        <v>2.527777777868323E-2</v>
      </c>
      <c r="N64" s="7">
        <f>24*60*SUM($M64:$M64)</f>
        <v>36.400000001303852</v>
      </c>
      <c r="O64" s="7"/>
      <c r="P64" s="7"/>
      <c r="Q64" s="23"/>
      <c r="R64" s="23"/>
      <c r="S64" s="35">
        <f>SUM(U64:U64)/IF(AG64="EC",12,1)</f>
        <v>1</v>
      </c>
      <c r="T64" s="50" t="str">
        <f>IF(ISEVEN(LEFT(AD64,4)),"Southbound","NorthBound")</f>
        <v>Southbound</v>
      </c>
      <c r="U64" s="144">
        <f>IF(AG64="EC",COUNTIFS(Variables!$M$2:$M$19,IF(T64="NorthBound","&gt;=","&lt;=")&amp;Y64,Variables!$M$2:$M$19,IF(T64="NorthBound","&lt;=","&gt;=")&amp;Z64),COUNTIFS(Variables!$P$2:$P$19,IF(T64="NorthBound","&gt;=","&lt;=")&amp;Y64,Variables!$P$2:$P$19,IF(T64="NorthBound","&lt;=","&gt;=")&amp;Z64))</f>
        <v>12</v>
      </c>
      <c r="V64" s="98" t="str">
        <f>"https://search-rtdc-monitor-bjffxe2xuh6vdkpspy63sjmuny.us-east-1.es.amazonaws.com/_plugin/kibana/#/discover/Steve-Slow-Train-Analysis-(2080s-and-2083s)?_g=(refreshInterval:(display:Off,section:0,value:0),time:(from:'"&amp;TEXT(E64-1/24,"yyyy-MM-DD hh:mm:ss")&amp;"-0600',mode:absolute,to:'"&amp;TEXT(I64+1/24,"yyyy-MM-DD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64&amp;"%22')),sort:!(Time,asc))"</f>
        <v>https://search-rtdc-monitor-bjffxe2xuh6vdkpspy63sjmuny.us-east-1.es.amazonaws.com/_plugin/kibana/#/discover/Steve-Slow-Train-Analysis-(2080s-and-2083s)?_g=(refreshInterval:(display:Off,section:0,value:0),time:(from:'2016-10-13 09:52:44-0600',mode:absolute,to:'2016-10-13 12:32: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64" s="52" t="str">
        <f>IF(AA64&lt;IF(AG64="EC",23,5.65),"Y","N")</f>
        <v>N</v>
      </c>
      <c r="X64" s="149">
        <f>VALUE(LEFT(AD64,4))-VALUE(LEFT(AD63,4))</f>
        <v>1</v>
      </c>
      <c r="Y64" s="67">
        <f>RIGHT(D64,LEN(D64)-4)/10000</f>
        <v>23.299199999999999</v>
      </c>
      <c r="Z64" s="67">
        <f>RIGHT(H64,LEN(H64)-4)/10000</f>
        <v>1.4500000000000001E-2</v>
      </c>
      <c r="AA64" s="67">
        <f>ABS(Z64-Y64)</f>
        <v>23.284699999999997</v>
      </c>
      <c r="AB64" s="64" t="e">
        <f>VLOOKUP(A64,Enforcements!$C$7:$K$21,8,0)</f>
        <v>#N/A</v>
      </c>
      <c r="AC64" s="60" t="e">
        <f>VLOOKUP(A64,Enforcements!$C$7:$E$21,3,0)</f>
        <v>#N/A</v>
      </c>
      <c r="AD64" s="61" t="str">
        <f>IF(LEN(A64)=6,"0"&amp;A64,A64)</f>
        <v>0152-13</v>
      </c>
      <c r="AE64" s="91" t="str">
        <f>"aws s3 cp "&amp;s3_bucket&amp;"/RTDC"&amp;B64&amp;"/ "&amp;search_path&amp;"\RTDC"&amp;B64&amp;"\"&amp;TEXT(F64,"YYYY-MM-DD")&amp;" --exclude ""*"" --recursive --include ""*"&amp;TEXT(F64,"YYYYMMDD")&amp;"*"" &amp; """&amp;walkandungz&amp;""" "&amp;search_path&amp;"\RTDC"&amp;B64&amp;"\"&amp;TEXT(F64,"YYYY-MM-DD")
&amp;" &amp; "&amp;"aws s3 cp "&amp;s3_bucket&amp;"/RTDC"&amp;B64&amp;"/ "&amp;search_path&amp;"\RTDC"&amp;B64&amp;"\"&amp;TEXT(F64+1,"YYYY-MM-DD")&amp;" --exclude ""*"" --recursive --include ""*"&amp;TEXT(F64+1,"YYYYMMDD")&amp;"*"" &amp; """&amp;walkandungz&amp;""" "&amp;search_path&amp;"\RTDC"&amp;B64&amp;"\"&amp;TEXT(F64+1,"YYYY-MM-DD")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64" s="88" t="str">
        <f>astrogrep_path&amp;" /spath="&amp;search_path&amp;" /stypes=""app*"&amp;B64&amp;"*"&amp;TEXT(I64-utc_offset/24,"YYYYMMDD")&amp;"*"" /stext="" "&amp;TEXT(I64-utc_offset/24,"HH")&amp;search_regexp&amp;""" /e /r /s"</f>
        <v>"C:\Program Files (x86)\AstroGrep\AstroGrep.exe" /spath="%USERPROFILE%\AppData\Local\Temp\OnboardLogs" /stypes="app*4013*20161013*" /stext=" 17:.+((SYSTEM_STATE.+slice.+state.+changed )|(ment ac)|(system.+state.+changed )|(\[timeout)|(PRM\|1\|D)|(kpr)|(kdp)|(\|lc)|(penalty))" /e /r /s</v>
      </c>
      <c r="AG64" s="1" t="str">
        <f>IFERROR(IF(VALUE(LEFT(AD64,2))&lt;=2,"EC",IF(OR(VALUE(LEFT(AD64,2))=8,VALUE(LEFT(AD64,2))=18),"NW","Other")),"Other")</f>
        <v>EC</v>
      </c>
      <c r="AH64" s="92" t="str">
        <f t="shared" si="2"/>
        <v>"%USERPROFILE%\Documents\GitHub\eaglep3\Utilities\RefineRTDCRunTimes.py" --tripid 152-13 --locoid 4013 --swversion DE.1.0.7.0 --startMP 204:232992 --initTime 2016-10-13T10:52:44 --startdatetime 2016-10-13T10:56:29 --delay 1 --endMP 204:145 --enddatetime 2016-10-13T11:32:53 --enforcementcount 1 &gt;&gt;C:\Users\stu\Documents\GitHub\eaglep3-reporting\EC\2016-10-13-refined-times.txt</v>
      </c>
      <c r="AI64" s="122" t="str">
        <f t="shared" si="3"/>
        <v>echo {"issue":{"subject":"","project_id":79,"tracker_id":40,"status_id":1,"priority_id":2,"assigned_to_id":23,"start_date":"2016-10-13","description":"","custom_fields":[{"id":1,"name":"Subdivision","value":"EC"},{"id":4,"name":"Milepost","value":"0.0145"},{"id":17,"name":"Train ID","value":"152-13"},{"id":16,"name":"Locomotive ID","value":"4013"},{"id":130,"name":"Impact","value":""},{"id":150,"name":"Time of Event (Mountain Time)","value":"11:32:53"},{"id":151,"name":"Denver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399</v>
      </c>
      <c r="B65" s="7">
        <v>4038</v>
      </c>
      <c r="C65" s="22" t="s">
        <v>99</v>
      </c>
      <c r="D65" s="22" t="s">
        <v>357</v>
      </c>
      <c r="E65" s="13">
        <v>42656.424444444441</v>
      </c>
      <c r="F65" s="13">
        <v>42656.427268518521</v>
      </c>
      <c r="G65" s="7">
        <v>0</v>
      </c>
      <c r="H65" s="13" t="s">
        <v>294</v>
      </c>
      <c r="I65" s="13">
        <v>42656.452673611115</v>
      </c>
      <c r="J65" s="7">
        <v>1</v>
      </c>
      <c r="K65" s="112" t="str">
        <f>IF(ISEVEN(B65),(B65-1)&amp;"/"&amp;B65,B65&amp;"/"&amp;(B65+1))</f>
        <v>4037/4038</v>
      </c>
      <c r="L65" s="22" t="str">
        <f>VLOOKUP(A65,'Trips&amp;Operators'!$C$1:$E$10000,3,FALSE)</f>
        <v>STARKS</v>
      </c>
      <c r="M65" s="6">
        <f>I65-F65</f>
        <v>2.5405092594155576E-2</v>
      </c>
      <c r="N65" s="7">
        <f>24*60*SUM($M65:$M65)</f>
        <v>36.58333333558403</v>
      </c>
      <c r="O65" s="7"/>
      <c r="P65" s="7"/>
      <c r="Q65" s="23"/>
      <c r="R65" s="23"/>
      <c r="S65" s="35">
        <f>SUM(U65:U65)/IF(AG65="EC",12,1)</f>
        <v>1</v>
      </c>
      <c r="T65" s="50" t="str">
        <f>IF(ISEVEN(LEFT(AD65,4)),"Southbound","NorthBound")</f>
        <v>NorthBound</v>
      </c>
      <c r="U65" s="144">
        <f>IF(AG65="EC",COUNTIFS(Variables!$M$2:$M$19,IF(T65="NorthBound","&gt;=","&lt;=")&amp;Y65,Variables!$M$2:$M$19,IF(T65="NorthBound","&lt;=","&gt;=")&amp;Z65),COUNTIFS(Variables!$P$2:$P$19,IF(T65="NorthBound","&gt;=","&lt;=")&amp;Y65,Variables!$P$2:$P$19,IF(T65="NorthBound","&lt;=","&gt;=")&amp;Z65))</f>
        <v>12</v>
      </c>
      <c r="V65" s="98" t="str">
        <f>"https://search-rtdc-monitor-bjffxe2xuh6vdkpspy63sjmuny.us-east-1.es.amazonaws.com/_plugin/kibana/#/discover/Steve-Slow-Train-Analysis-(2080s-and-2083s)?_g=(refreshInterval:(display:Off,section:0,value:0),time:(from:'"&amp;TEXT(E65-1/24,"yyyy-MM-DD hh:mm:ss")&amp;"-0600',mode:absolute,to:'"&amp;TEXT(I65+1/24,"yyyy-MM-DD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65&amp;"%22')),sort:!(Time,asc))"</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65" s="52" t="str">
        <f>IF(AA65&lt;IF(AG65="EC",23,5.65),"Y","N")</f>
        <v>N</v>
      </c>
      <c r="X65" s="149">
        <f>VALUE(LEFT(AD65,4))-VALUE(LEFT(AD64,4))</f>
        <v>1</v>
      </c>
      <c r="Y65" s="67">
        <f>RIGHT(D65,LEN(D65)-4)/10000</f>
        <v>4.5100000000000001E-2</v>
      </c>
      <c r="Z65" s="67">
        <f>RIGHT(H65,LEN(H65)-4)/10000</f>
        <v>23.329799999999999</v>
      </c>
      <c r="AA65" s="67">
        <f>ABS(Z65-Y65)</f>
        <v>23.284699999999997</v>
      </c>
      <c r="AB65" s="64" t="e">
        <f>VLOOKUP(A65,Enforcements!$C$7:$K$21,8,0)</f>
        <v>#N/A</v>
      </c>
      <c r="AC65" s="60" t="e">
        <f>VLOOKUP(A65,Enforcements!$C$7:$E$21,3,0)</f>
        <v>#N/A</v>
      </c>
      <c r="AD65" s="61" t="str">
        <f>IF(LEN(A65)=6,"0"&amp;A65,A65)</f>
        <v>0153-13</v>
      </c>
      <c r="AE65" s="91" t="str">
        <f>"aws s3 cp "&amp;s3_bucket&amp;"/RTDC"&amp;B65&amp;"/ "&amp;search_path&amp;"\RTDC"&amp;B65&amp;"\"&amp;TEXT(F65,"YYYY-MM-DD")&amp;" --exclude ""*"" --recursive --include ""*"&amp;TEXT(F65,"YYYYMMDD")&amp;"*"" &amp; """&amp;walkandungz&amp;""" "&amp;search_path&amp;"\RTDC"&amp;B65&amp;"\"&amp;TEXT(F65,"YYYY-MM-DD")
&amp;" &amp; "&amp;"aws s3 cp "&amp;s3_bucket&amp;"/RTDC"&amp;B65&amp;"/ "&amp;search_path&amp;"\RTDC"&amp;B65&amp;"\"&amp;TEXT(F65+1,"YYYY-MM-DD")&amp;" --exclude ""*"" --recursive --include ""*"&amp;TEXT(F65+1,"YYYYMMDD")&amp;"*"" &amp; """&amp;walkandungz&amp;""" "&amp;search_path&amp;"\RTDC"&amp;B65&amp;"\"&amp;TEXT(F65+1,"YYYY-MM-DD")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65" s="88" t="str">
        <f>astrogrep_path&amp;" /spath="&amp;search_path&amp;" /stypes=""app*"&amp;B65&amp;"*"&amp;TEXT(I65-utc_offset/24,"YYYYMMDD")&amp;"*"" /stext="" "&amp;TEXT(I65-utc_offset/24,"HH")&amp;search_regexp&amp;""" /e /r /s"</f>
        <v>"C:\Program Files (x86)\AstroGrep\AstroGrep.exe" /spath="%USERPROFILE%\AppData\Local\Temp\OnboardLogs" /stypes="app*4038*20161013*" /stext=" 16:.+((SYSTEM_STATE.+slice.+state.+changed )|(ment ac)|(system.+state.+changed )|(\[timeout)|(PRM\|1\|D)|(kpr)|(kdp)|(\|lc)|(penalty))" /e /r /s</v>
      </c>
      <c r="AG65" s="1" t="str">
        <f>IFERROR(IF(VALUE(LEFT(AD65,2))&lt;=2,"EC",IF(OR(VALUE(LEFT(AD65,2))=8,VALUE(LEFT(AD65,2))=18),"NW","Other")),"Other")</f>
        <v>EC</v>
      </c>
      <c r="AH65" s="92" t="str">
        <f t="shared" si="2"/>
        <v>"%USERPROFILE%\Documents\GitHub\eaglep3\Utilities\RefineRTDCRunTimes.py" --tripid 153-13 --locoid 4038 --swversion DE.1.0.7.0 --startMP 204:451 --initTime 2016-10-13T10:11:12 --startdatetime 2016-10-13T10:15:16 --delay 0 --endMP 204:233298 --enddatetime 2016-10-13T10:51:51 --enforcementcount 1 &gt;&gt;C:\Users\stu\Documents\GitHub\eaglep3-reporting\EC\2016-10-13-refined-times.txt</v>
      </c>
      <c r="AI65" s="122" t="str">
        <f t="shared" si="3"/>
        <v>echo {"issue":{"subject":"","project_id":79,"tracker_id":40,"status_id":1,"priority_id":2,"assigned_to_id":23,"start_date":"2016-10-13","description":"","custom_fields":[{"id":1,"name":"Subdivision","value":"EC"},{"id":4,"name":"Milepost","value":"23.3298"},{"id":17,"name":"Train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402</v>
      </c>
      <c r="B66" s="7">
        <v>4037</v>
      </c>
      <c r="C66" s="22" t="s">
        <v>99</v>
      </c>
      <c r="D66" s="22" t="s">
        <v>638</v>
      </c>
      <c r="E66" s="13">
        <v>42656.463148148148</v>
      </c>
      <c r="F66" s="13">
        <v>42656.466134259259</v>
      </c>
      <c r="G66" s="7">
        <v>1</v>
      </c>
      <c r="H66" s="13" t="s">
        <v>182</v>
      </c>
      <c r="I66" s="13">
        <v>42656.493310185186</v>
      </c>
      <c r="J66" s="7">
        <v>1</v>
      </c>
      <c r="K66" s="112" t="str">
        <f>IF(ISEVEN(B66),(B66-1)&amp;"/"&amp;B66,B66&amp;"/"&amp;(B66+1))</f>
        <v>4037/4038</v>
      </c>
      <c r="L66" s="22" t="str">
        <f>VLOOKUP(A66,'Trips&amp;Operators'!$C$1:$E$10000,3,FALSE)</f>
        <v>STARKS</v>
      </c>
      <c r="M66" s="6">
        <f>I66-F66</f>
        <v>2.7175925926712807E-2</v>
      </c>
      <c r="N66" s="7">
        <f>24*60*SUM($M66:$M66)</f>
        <v>39.133333334466442</v>
      </c>
      <c r="O66" s="7"/>
      <c r="P66" s="7"/>
      <c r="Q66" s="23"/>
      <c r="R66" s="23"/>
      <c r="S66" s="35">
        <f>SUM(U66:U66)/IF(AG66="EC",12,1)</f>
        <v>1</v>
      </c>
      <c r="T66" s="50" t="str">
        <f>IF(ISEVEN(LEFT(AD66,4)),"Southbound","NorthBound")</f>
        <v>Southbound</v>
      </c>
      <c r="U66" s="144">
        <f>IF(AG66="EC",COUNTIFS(Variables!$M$2:$M$19,IF(T66="NorthBound","&gt;=","&lt;=")&amp;Y66,Variables!$M$2:$M$19,IF(T66="NorthBound","&lt;=","&gt;=")&amp;Z66),COUNTIFS(Variables!$P$2:$P$19,IF(T66="NorthBound","&gt;=","&lt;=")&amp;Y66,Variables!$P$2:$P$19,IF(T66="NorthBound","&lt;=","&gt;=")&amp;Z66))</f>
        <v>12</v>
      </c>
      <c r="V66" s="98" t="str">
        <f>"https://search-rtdc-monitor-bjffxe2xuh6vdkpspy63sjmuny.us-east-1.es.amazonaws.com/_plugin/kibana/#/discover/Steve-Slow-Train-Analysis-(2080s-and-2083s)?_g=(refreshInterval:(display:Off,section:0,value:0),time:(from:'"&amp;TEXT(E66-1/24,"yyyy-MM-DD hh:mm:ss")&amp;"-0600',mode:absolute,to:'"&amp;TEXT(I66+1/24,"yyyy-MM-DD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66&amp;"%22')),sort:!(Time,asc))"</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66" s="52" t="str">
        <f>IF(AA66&lt;IF(AG66="EC",23,5.65),"Y","N")</f>
        <v>N</v>
      </c>
      <c r="X66" s="149">
        <f>VALUE(LEFT(AD66,4))-VALUE(LEFT(AD65,4))</f>
        <v>1</v>
      </c>
      <c r="Y66" s="67">
        <f>RIGHT(D66,LEN(D66)-4)/10000</f>
        <v>23.296399999999998</v>
      </c>
      <c r="Z66" s="67">
        <f>RIGHT(H66,LEN(H66)-4)/10000</f>
        <v>1.41E-2</v>
      </c>
      <c r="AA66" s="67">
        <f>ABS(Z66-Y66)</f>
        <v>23.282299999999999</v>
      </c>
      <c r="AB66" s="64" t="str">
        <f>VLOOKUP(A66,Enforcements!$C$7:$K$21,8,0)</f>
        <v>Speed (6)</v>
      </c>
      <c r="AC66" s="60" t="str">
        <f>VLOOKUP(A66,Enforcements!$C$7:$E$21,3,0)</f>
        <v>PERMANENT SPEED RESTRICTION</v>
      </c>
      <c r="AD66" s="61" t="str">
        <f>IF(LEN(A66)=6,"0"&amp;A66,A66)</f>
        <v>0154-13</v>
      </c>
      <c r="AE66" s="91" t="str">
        <f>"aws s3 cp "&amp;s3_bucket&amp;"/RTDC"&amp;B66&amp;"/ "&amp;search_path&amp;"\RTDC"&amp;B66&amp;"\"&amp;TEXT(F66,"YYYY-MM-DD")&amp;" --exclude ""*"" --recursive --include ""*"&amp;TEXT(F66,"YYYYMMDD")&amp;"*"" &amp; """&amp;walkandungz&amp;""" "&amp;search_path&amp;"\RTDC"&amp;B66&amp;"\"&amp;TEXT(F66,"YYYY-MM-DD")
&amp;" &amp; "&amp;"aws s3 cp "&amp;s3_bucket&amp;"/RTDC"&amp;B66&amp;"/ "&amp;search_path&amp;"\RTDC"&amp;B66&amp;"\"&amp;TEXT(F66+1,"YYYY-MM-DD")&amp;" --exclude ""*"" --recursive --include ""*"&amp;TEXT(F66+1,"YYYYMMDD")&amp;"*"" &amp; """&amp;walkandungz&amp;""" "&amp;search_path&amp;"\RTDC"&amp;B66&amp;"\"&amp;TEXT(F66+1,"YYYY-MM-DD")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66" s="88" t="str">
        <f>astrogrep_path&amp;" /spath="&amp;search_path&amp;" /stypes=""app*"&amp;B66&amp;"*"&amp;TEXT(I66-utc_offset/24,"YYYYMMDD")&amp;"*"" /stext="" "&amp;TEXT(I66-utc_offset/24,"HH")&amp;search_regexp&amp;""" /e /r /s"</f>
        <v>"C:\Program Files (x86)\AstroGrep\AstroGrep.exe" /spath="%USERPROFILE%\AppData\Local\Temp\OnboardLogs" /stypes="app*4037*20161013*" /stext=" 17:.+((SYSTEM_STATE.+slice.+state.+changed )|(ment ac)|(system.+state.+changed )|(\[timeout)|(PRM\|1\|D)|(kpr)|(kdp)|(\|lc)|(penalty))" /e /r /s</v>
      </c>
      <c r="AG66" s="1" t="str">
        <f>IFERROR(IF(VALUE(LEFT(AD66,2))&lt;=2,"EC",IF(OR(VALUE(LEFT(AD66,2))=8,VALUE(LEFT(AD66,2))=18),"NW","Other")),"Other")</f>
        <v>EC</v>
      </c>
      <c r="AH66" s="92" t="str">
        <f t="shared" si="2"/>
        <v>"%USERPROFILE%\Documents\GitHub\eaglep3\Utilities\RefineRTDCRunTimes.py" --tripid 154-13 --locoid 4037 --swversion DE.1.0.7.0 --startMP 204:232964 --initTime 2016-10-13T11:06:56 --startdatetime 2016-10-13T11:11:14 --delay 1 --endMP 204:141 --enddatetime 2016-10-13T11:50:22 --enforcementcount 1 &gt;&gt;C:\Users\stu\Documents\GitHub\eaglep3-reporting\EC\2016-10-13-refined-times.txt</v>
      </c>
      <c r="AI66" s="122" t="str">
        <f t="shared" si="3"/>
        <v>echo {"issue":{"subject":"","project_id":79,"tracker_id":40,"status_id":1,"priority_id":2,"assigned_to_id":23,"start_date":"2016-10-13","description":"","custom_fields":[{"id":1,"name":"Subdivision","value":"EC"},{"id":4,"name":"Milepost","value":"0.0141"},{"id":17,"name":"Train ID","value":"154-13"},{"id":16,"name":"Locomotive ID","value":"4037"},{"id":130,"name":"Impact","value":""},{"id":150,"name":"Time of Event (Mountain Time)","value":"11:50:22"},{"id":151,"name":"Denver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483</v>
      </c>
      <c r="B67" s="7">
        <v>4002</v>
      </c>
      <c r="C67" s="22" t="s">
        <v>99</v>
      </c>
      <c r="D67" s="22" t="s">
        <v>293</v>
      </c>
      <c r="E67" s="13">
        <v>42656.435914351852</v>
      </c>
      <c r="F67" s="13">
        <v>42656.438622685186</v>
      </c>
      <c r="G67" s="7">
        <v>3</v>
      </c>
      <c r="H67" s="13" t="s">
        <v>621</v>
      </c>
      <c r="I67" s="13">
        <v>42656.462442129632</v>
      </c>
      <c r="J67" s="7">
        <v>1</v>
      </c>
      <c r="K67" s="112" t="str">
        <f>IF(ISEVEN(B67),(B67-1)&amp;"/"&amp;B67,B67&amp;"/"&amp;(B67+1))</f>
        <v>4001/4002</v>
      </c>
      <c r="L67" s="22" t="str">
        <f>VLOOKUP(A67,'Trips&amp;Operators'!$C$1:$E$10000,3,FALSE)</f>
        <v>YORK</v>
      </c>
      <c r="M67" s="6">
        <f>I67-F67</f>
        <v>2.3819444446417037E-2</v>
      </c>
      <c r="N67" s="7">
        <f>24*60*SUM($M67:$M67)</f>
        <v>34.300000002840534</v>
      </c>
      <c r="O67" s="7"/>
      <c r="P67" s="7"/>
      <c r="Q67" s="23"/>
      <c r="R67" s="23"/>
      <c r="S67" s="35">
        <f>SUM(U67:U67)/IF(AG67="EC",12,1)</f>
        <v>1</v>
      </c>
      <c r="T67" s="50" t="str">
        <f>IF(ISEVEN(LEFT(AD67,4)),"Southbound","NorthBound")</f>
        <v>NorthBound</v>
      </c>
      <c r="U67" s="144">
        <f>IF(AG67="EC",COUNTIFS(Variables!$M$2:$M$19,IF(T67="NorthBound","&gt;=","&lt;=")&amp;Y67,Variables!$M$2:$M$19,IF(T67="NorthBound","&lt;=","&gt;=")&amp;Z67),COUNTIFS(Variables!$P$2:$P$19,IF(T67="NorthBound","&gt;=","&lt;=")&amp;Y67,Variables!$P$2:$P$19,IF(T67="NorthBound","&lt;=","&gt;=")&amp;Z67))</f>
        <v>12</v>
      </c>
      <c r="V67" s="98" t="str">
        <f>"https://search-rtdc-monitor-bjffxe2xuh6vdkpspy63sjmuny.us-east-1.es.amazonaws.com/_plugin/kibana/#/discover/Steve-Slow-Train-Analysis-(2080s-and-2083s)?_g=(refreshInterval:(display:Off,section:0,value:0),time:(from:'"&amp;TEXT(E67-1/24,"yyyy-MM-DD hh:mm:ss")&amp;"-0600',mode:absolute,to:'"&amp;TEXT(I67+1/24,"yyyy-MM-DD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67&amp;"%22')),sort:!(Time,asc))"</f>
        <v>https://search-rtdc-monitor-bjffxe2xuh6vdkpspy63sjmuny.us-east-1.es.amazonaws.com/_plugin/kibana/#/discover/Steve-Slow-Train-Analysis-(2080s-and-2083s)?_g=(refreshInterval:(display:Off,section:0,value:0),time:(from:'2016-10-13 09:27:43-0600',mode:absolute,to:'2016-10-13 12: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7" s="52" t="str">
        <f>IF(AA67&lt;IF(AG67="EC",23,5.65),"Y","N")</f>
        <v>N</v>
      </c>
      <c r="X67" s="149">
        <f>VALUE(LEFT(AD67,4))-VALUE(LEFT(AD66,4))</f>
        <v>1</v>
      </c>
      <c r="Y67" s="67">
        <f>RIGHT(D67,LEN(D67)-4)/10000</f>
        <v>4.4900000000000002E-2</v>
      </c>
      <c r="Z67" s="67">
        <f>RIGHT(H67,LEN(H67)-4)/10000</f>
        <v>23.327200000000001</v>
      </c>
      <c r="AA67" s="67">
        <f>ABS(Z67-Y67)</f>
        <v>23.282300000000003</v>
      </c>
      <c r="AB67" s="64" t="e">
        <f>VLOOKUP(A67,Enforcements!$C$7:$K$21,8,0)</f>
        <v>#N/A</v>
      </c>
      <c r="AC67" s="60" t="e">
        <f>VLOOKUP(A67,Enforcements!$C$7:$E$21,3,0)</f>
        <v>#N/A</v>
      </c>
      <c r="AD67" s="61" t="str">
        <f>IF(LEN(A67)=6,"0"&amp;A67,A67)</f>
        <v>0155-13</v>
      </c>
      <c r="AE67" s="91" t="str">
        <f>"aws s3 cp "&amp;s3_bucket&amp;"/RTDC"&amp;B67&amp;"/ "&amp;search_path&amp;"\RTDC"&amp;B67&amp;"\"&amp;TEXT(F67,"YYYY-MM-DD")&amp;" --exclude ""*"" --recursive --include ""*"&amp;TEXT(F67,"YYYYMMDD")&amp;"*"" &amp; """&amp;walkandungz&amp;""" "&amp;search_path&amp;"\RTDC"&amp;B67&amp;"\"&amp;TEXT(F67,"YYYY-MM-DD")
&amp;" &amp; "&amp;"aws s3 cp "&amp;s3_bucket&amp;"/RTDC"&amp;B67&amp;"/ "&amp;search_path&amp;"\RTDC"&amp;B67&amp;"\"&amp;TEXT(F67+1,"YYYY-MM-DD")&amp;" --exclude ""*"" --recursive --include ""*"&amp;TEXT(F67+1,"YYYYMMDD")&amp;"*"" &amp; """&amp;walkandungz&amp;""" "&amp;search_path&amp;"\RTDC"&amp;B67&amp;"\"&amp;TEXT(F67+1,"YYYY-MM-DD")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67" s="88" t="str">
        <f>astrogrep_path&amp;" /spath="&amp;search_path&amp;" /stypes=""app*"&amp;B67&amp;"*"&amp;TEXT(I67-utc_offset/24,"YYYYMMDD")&amp;"*"" /stext="" "&amp;TEXT(I67-utc_offset/24,"HH")&amp;search_regexp&amp;""" /e /r /s"</f>
        <v>"C:\Program Files (x86)\AstroGrep\AstroGrep.exe" /spath="%USERPROFILE%\AppData\Local\Temp\OnboardLogs" /stypes="app*4002*20161013*" /stext=" 17:.+((SYSTEM_STATE.+slice.+state.+changed )|(ment ac)|(system.+state.+changed )|(\[timeout)|(PRM\|1\|D)|(kpr)|(kdp)|(\|lc)|(penalty))" /e /r /s</v>
      </c>
      <c r="AG67" s="1" t="str">
        <f>IFERROR(IF(VALUE(LEFT(AD67,2))&lt;=2,"EC",IF(OR(VALUE(LEFT(AD67,2))=8,VALUE(LEFT(AD67,2))=18),"NW","Other")),"Other")</f>
        <v>EC</v>
      </c>
      <c r="AH67" s="92" t="str">
        <f t="shared" si="2"/>
        <v>"%USERPROFILE%\Documents\GitHub\eaglep3\Utilities\RefineRTDCRunTimes.py" --tripid 155-13 --locoid 4002 --swversion DE.1.0.7.0 --startMP 204:449 --initTime 2016-10-13T10:27:43 --startdatetime 2016-10-13T10:31:37 --delay 3 --endMP 204:233272 --enddatetime 2016-10-13T11:05:55 --enforcementcount 1 &gt;&gt;C:\Users\stu\Documents\GitHub\eaglep3-reporting\EC\2016-10-13-refined-times.txt</v>
      </c>
      <c r="AI67" s="122" t="str">
        <f t="shared" si="3"/>
        <v>echo {"issue":{"subject":"","project_id":79,"tracker_id":40,"status_id":1,"priority_id":2,"assigned_to_id":23,"start_date":"2016-10-13","description":"","custom_fields":[{"id":1,"name":"Subdivision","value":"EC"},{"id":4,"name":"Milepost","value":"23.3272"},{"id":17,"name":"Train ID","value":"155-13"},{"id":16,"name":"Locomotive ID","value":"4002"},{"id":130,"name":"Impact","value":""},{"id":150,"name":"Time of Event (Mountain Time)","value":"11:05:55"},{"id":151,"name":"Denver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401</v>
      </c>
      <c r="B68" s="7">
        <v>4001</v>
      </c>
      <c r="C68" s="22" t="s">
        <v>99</v>
      </c>
      <c r="D68" s="22" t="s">
        <v>311</v>
      </c>
      <c r="E68" s="13">
        <v>42656.468009259261</v>
      </c>
      <c r="F68" s="13">
        <v>42656.4768287037</v>
      </c>
      <c r="G68" s="7">
        <v>2</v>
      </c>
      <c r="H68" s="13" t="s">
        <v>639</v>
      </c>
      <c r="I68" s="13">
        <v>42656.505590277775</v>
      </c>
      <c r="J68" s="7">
        <v>1</v>
      </c>
      <c r="K68" s="112" t="str">
        <f>IF(ISEVEN(B68),(B68-1)&amp;"/"&amp;B68,B68&amp;"/"&amp;(B68+1))</f>
        <v>4001/4002</v>
      </c>
      <c r="L68" s="22" t="str">
        <f>VLOOKUP(A68,'Trips&amp;Operators'!$C$1:$E$10000,3,FALSE)</f>
        <v>SNYDER</v>
      </c>
      <c r="M68" s="6">
        <f>I68-F68</f>
        <v>2.8761574074451346E-2</v>
      </c>
      <c r="N68" s="7">
        <f>24*60*SUM($M68:$M68)</f>
        <v>41.416666667209938</v>
      </c>
      <c r="O68" s="7"/>
      <c r="P68" s="7"/>
      <c r="Q68" s="23"/>
      <c r="R68" s="23"/>
      <c r="S68" s="35">
        <f>SUM(U68:U68)/IF(AG68="EC",12,1)</f>
        <v>1</v>
      </c>
      <c r="T68" s="50" t="str">
        <f>IF(ISEVEN(LEFT(AD68,4)),"Southbound","NorthBound")</f>
        <v>Southbound</v>
      </c>
      <c r="U68" s="144">
        <f>IF(AG68="EC",COUNTIFS(Variables!$M$2:$M$19,IF(T68="NorthBound","&gt;=","&lt;=")&amp;Y68,Variables!$M$2:$M$19,IF(T68="NorthBound","&lt;=","&gt;=")&amp;Z68),COUNTIFS(Variables!$P$2:$P$19,IF(T68="NorthBound","&gt;=","&lt;=")&amp;Y68,Variables!$P$2:$P$19,IF(T68="NorthBound","&lt;=","&gt;=")&amp;Z68))</f>
        <v>12</v>
      </c>
      <c r="V68" s="98" t="str">
        <f>"https://search-rtdc-monitor-bjffxe2xuh6vdkpspy63sjmuny.us-east-1.es.amazonaws.com/_plugin/kibana/#/discover/Steve-Slow-Train-Analysis-(2080s-and-2083s)?_g=(refreshInterval:(display:Off,section:0,value:0),time:(from:'"&amp;TEXT(E68-1/24,"yyyy-MM-DD hh:mm:ss")&amp;"-0600',mode:absolute,to:'"&amp;TEXT(I68+1/24,"yyyy-MM-DD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68&amp;"%22')),sort:!(Time,asc))"</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8" s="52" t="str">
        <f>IF(AA68&lt;IF(AG68="EC",23,5.65),"Y","N")</f>
        <v>N</v>
      </c>
      <c r="X68" s="149">
        <f>VALUE(LEFT(AD68,4))-VALUE(LEFT(AD67,4))</f>
        <v>1</v>
      </c>
      <c r="Y68" s="67">
        <f>RIGHT(D68,LEN(D68)-4)/10000</f>
        <v>23.2957</v>
      </c>
      <c r="Z68" s="67">
        <f>RIGHT(H68,LEN(H68)-4)/10000</f>
        <v>1.78E-2</v>
      </c>
      <c r="AA68" s="67">
        <f>ABS(Z68-Y68)</f>
        <v>23.277899999999999</v>
      </c>
      <c r="AB68" s="64" t="str">
        <f>VLOOKUP(A68,Enforcements!$C$7:$K$21,8,0)</f>
        <v>Speed (6)</v>
      </c>
      <c r="AC68" s="60" t="str">
        <f>VLOOKUP(A68,Enforcements!$C$7:$E$21,3,0)</f>
        <v>PERMANENT SPEED RESTRICTION</v>
      </c>
      <c r="AD68" s="61" t="str">
        <f>IF(LEN(A68)=6,"0"&amp;A68,A68)</f>
        <v>0156-13</v>
      </c>
      <c r="AE68" s="91" t="str">
        <f>"aws s3 cp "&amp;s3_bucket&amp;"/RTDC"&amp;B68&amp;"/ "&amp;search_path&amp;"\RTDC"&amp;B68&amp;"\"&amp;TEXT(F68,"YYYY-MM-DD")&amp;" --exclude ""*"" --recursive --include ""*"&amp;TEXT(F68,"YYYYMMDD")&amp;"*"" &amp; """&amp;walkandungz&amp;""" "&amp;search_path&amp;"\RTDC"&amp;B68&amp;"\"&amp;TEXT(F68,"YYYY-MM-DD")
&amp;" &amp; "&amp;"aws s3 cp "&amp;s3_bucket&amp;"/RTDC"&amp;B68&amp;"/ "&amp;search_path&amp;"\RTDC"&amp;B68&amp;"\"&amp;TEXT(F68+1,"YYYY-MM-DD")&amp;" --exclude ""*"" --recursive --include ""*"&amp;TEXT(F68+1,"YYYYMMDD")&amp;"*"" &amp; """&amp;walkandungz&amp;""" "&amp;search_path&amp;"\RTDC"&amp;B68&amp;"\"&amp;TEXT(F68+1,"YYYY-MM-DD")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68" s="88" t="str">
        <f>astrogrep_path&amp;" /spath="&amp;search_path&amp;" /stypes=""app*"&amp;B68&amp;"*"&amp;TEXT(I68-utc_offset/24,"YYYYMMDD")&amp;"*"" /stext="" "&amp;TEXT(I68-utc_offset/24,"HH")&amp;search_regexp&amp;""" /e /r /s"</f>
        <v>"C:\Program Files (x86)\AstroGrep\AstroGrep.exe" /spath="%USERPROFILE%\AppData\Local\Temp\OnboardLogs" /stypes="app*4001*20161013*" /stext=" 18:.+((SYSTEM_STATE.+slice.+state.+changed )|(ment ac)|(system.+state.+changed )|(\[timeout)|(PRM\|1\|D)|(kpr)|(kdp)|(\|lc)|(penalty))" /e /r /s</v>
      </c>
      <c r="AG68" s="1" t="str">
        <f>IFERROR(IF(VALUE(LEFT(AD68,2))&lt;=2,"EC",IF(OR(VALUE(LEFT(AD68,2))=8,VALUE(LEFT(AD68,2))=18),"NW","Other")),"Other")</f>
        <v>EC</v>
      </c>
      <c r="AH68" s="92" t="str">
        <f t="shared" si="2"/>
        <v>"%USERPROFILE%\Documents\GitHub\eaglep3\Utilities\RefineRTDCRunTimes.py" --tripid 156-13 --locoid 4001 --swversion DE.1.0.7.0 --startMP 204:232957 --initTime 2016-10-13T11:13:56 --startdatetime 2016-10-13T11:26:38 --delay 2 --endMP 204:178 --enddatetime 2016-10-13T12:08:03 --enforcementcount 1 &gt;&gt;C:\Users\stu\Documents\GitHub\eaglep3-reporting\EC\2016-10-13-refined-times.txt</v>
      </c>
      <c r="AI68" s="122" t="str">
        <f t="shared" si="3"/>
        <v>echo {"issue":{"subject":"","project_id":79,"tracker_id":40,"status_id":1,"priority_id":2,"assigned_to_id":23,"start_date":"2016-10-13","description":"","custom_fields":[{"id":1,"name":"Subdivision","value":"EC"},{"id":4,"name":"Milepost","value":"0.0178"},{"id":17,"name":"Train ID","value":"156-13"},{"id":16,"name":"Locomotive ID","value":"4001"},{"id":130,"name":"Impact","value":""},{"id":150,"name":"Time of Event (Mountain Time)","value":"12:08:03"},{"id":151,"name":"Denver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486</v>
      </c>
      <c r="B69" s="7">
        <v>4025</v>
      </c>
      <c r="C69" s="22" t="s">
        <v>99</v>
      </c>
      <c r="D69" s="22" t="s">
        <v>292</v>
      </c>
      <c r="E69" s="13">
        <v>42656.442094907405</v>
      </c>
      <c r="F69" s="13">
        <v>42656.448125000003</v>
      </c>
      <c r="G69" s="7">
        <v>1</v>
      </c>
      <c r="H69" s="13" t="s">
        <v>269</v>
      </c>
      <c r="I69" s="13">
        <v>42656.473240740743</v>
      </c>
      <c r="J69" s="7">
        <v>1</v>
      </c>
      <c r="K69" s="112" t="str">
        <f>IF(ISEVEN(B69),(B69-1)&amp;"/"&amp;B69,B69&amp;"/"&amp;(B69+1))</f>
        <v>4025/4026</v>
      </c>
      <c r="L69" s="22" t="str">
        <f>VLOOKUP(A69,'Trips&amp;Operators'!$C$1:$E$10000,3,FALSE)</f>
        <v>SANTIZO</v>
      </c>
      <c r="M69" s="6">
        <f>I69-F69</f>
        <v>2.5115740740147885E-2</v>
      </c>
      <c r="N69" s="7">
        <f>24*60*SUM($M69:$M69)</f>
        <v>36.166666665812954</v>
      </c>
      <c r="O69" s="7"/>
      <c r="P69" s="7"/>
      <c r="Q69" s="23"/>
      <c r="R69" s="23"/>
      <c r="S69" s="35">
        <f>SUM(U69:U69)/IF(AG69="EC",12,1)</f>
        <v>1</v>
      </c>
      <c r="T69" s="50" t="str">
        <f>IF(ISEVEN(LEFT(AD69,4)),"Southbound","NorthBound")</f>
        <v>NorthBound</v>
      </c>
      <c r="U69" s="144">
        <f>IF(AG69="EC",COUNTIFS(Variables!$M$2:$M$19,IF(T69="NorthBound","&gt;=","&lt;=")&amp;Y69,Variables!$M$2:$M$19,IF(T69="NorthBound","&lt;=","&gt;=")&amp;Z69),COUNTIFS(Variables!$P$2:$P$19,IF(T69="NorthBound","&gt;=","&lt;=")&amp;Y69,Variables!$P$2:$P$19,IF(T69="NorthBound","&lt;=","&gt;=")&amp;Z69))</f>
        <v>12</v>
      </c>
      <c r="V69" s="98" t="str">
        <f>"https://search-rtdc-monitor-bjffxe2xuh6vdkpspy63sjmuny.us-east-1.es.amazonaws.com/_plugin/kibana/#/discover/Steve-Slow-Train-Analysis-(2080s-and-2083s)?_g=(refreshInterval:(display:Off,section:0,value:0),time:(from:'"&amp;TEXT(E69-1/24,"yyyy-MM-DD hh:mm:ss")&amp;"-0600',mode:absolute,to:'"&amp;TEXT(I69+1/24,"yyyy-MM-DD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69&amp;"%22')),sort:!(Time,asc))"</f>
        <v>https://search-rtdc-monitor-bjffxe2xuh6vdkpspy63sjmuny.us-east-1.es.amazonaws.com/_plugin/kibana/#/discover/Steve-Slow-Train-Analysis-(2080s-and-2083s)?_g=(refreshInterval:(display:Off,section:0,value:0),time:(from:'2016-10-13 09:36:37-0600',mode:absolute,to:'2016-10-13 12:21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69" s="52" t="str">
        <f>IF(AA69&lt;IF(AG69="EC",23,5.65),"Y","N")</f>
        <v>N</v>
      </c>
      <c r="X69" s="149">
        <f>VALUE(LEFT(AD69,4))-VALUE(LEFT(AD68,4))</f>
        <v>1</v>
      </c>
      <c r="Y69" s="67">
        <f>RIGHT(D69,LEN(D69)-4)/10000</f>
        <v>4.6699999999999998E-2</v>
      </c>
      <c r="Z69" s="67">
        <f>RIGHT(H69,LEN(H69)-4)/10000</f>
        <v>23.3293</v>
      </c>
      <c r="AA69" s="67">
        <f>ABS(Z69-Y69)</f>
        <v>23.282599999999999</v>
      </c>
      <c r="AB69" s="64" t="e">
        <f>VLOOKUP(A69,Enforcements!$C$7:$K$21,8,0)</f>
        <v>#N/A</v>
      </c>
      <c r="AC69" s="60" t="e">
        <f>VLOOKUP(A69,Enforcements!$C$7:$E$21,3,0)</f>
        <v>#N/A</v>
      </c>
      <c r="AD69" s="61" t="str">
        <f>IF(LEN(A69)=6,"0"&amp;A69,A69)</f>
        <v>0157-13</v>
      </c>
      <c r="AE69" s="91" t="str">
        <f>"aws s3 cp "&amp;s3_bucket&amp;"/RTDC"&amp;B69&amp;"/ "&amp;search_path&amp;"\RTDC"&amp;B69&amp;"\"&amp;TEXT(F69,"YYYY-MM-DD")&amp;" --exclude ""*"" --recursive --include ""*"&amp;TEXT(F69,"YYYYMMDD")&amp;"*"" &amp; """&amp;walkandungz&amp;""" "&amp;search_path&amp;"\RTDC"&amp;B69&amp;"\"&amp;TEXT(F69,"YYYY-MM-DD")
&amp;" &amp; "&amp;"aws s3 cp "&amp;s3_bucket&amp;"/RTDC"&amp;B69&amp;"/ "&amp;search_path&amp;"\RTDC"&amp;B69&amp;"\"&amp;TEXT(F69+1,"YYYY-MM-DD")&amp;" --exclude ""*"" --recursive --include ""*"&amp;TEXT(F69+1,"YYYYMMDD")&amp;"*"" &amp; """&amp;walkandungz&amp;""" "&amp;search_path&amp;"\RTDC"&amp;B69&amp;"\"&amp;TEXT(F69+1,"YYYY-MM-DD")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69" s="88" t="str">
        <f>astrogrep_path&amp;" /spath="&amp;search_path&amp;" /stypes=""app*"&amp;B69&amp;"*"&amp;TEXT(I69-utc_offset/24,"YYYYMMDD")&amp;"*"" /stext="" "&amp;TEXT(I69-utc_offset/24,"HH")&amp;search_regexp&amp;""" /e /r /s"</f>
        <v>"C:\Program Files (x86)\AstroGrep\AstroGrep.exe" /spath="%USERPROFILE%\AppData\Local\Temp\OnboardLogs" /stypes="app*4025*20161013*" /stext=" 17:.+((SYSTEM_STATE.+slice.+state.+changed )|(ment ac)|(system.+state.+changed )|(\[timeout)|(PRM\|1\|D)|(kpr)|(kdp)|(\|lc)|(penalty))" /e /r /s</v>
      </c>
      <c r="AG69" s="1" t="str">
        <f>IFERROR(IF(VALUE(LEFT(AD69,2))&lt;=2,"EC",IF(OR(VALUE(LEFT(AD69,2))=8,VALUE(LEFT(AD69,2))=18),"NW","Other")),"Other")</f>
        <v>EC</v>
      </c>
      <c r="AH69" s="92" t="str">
        <f t="shared" si="2"/>
        <v>"%USERPROFILE%\Documents\GitHub\eaglep3\Utilities\RefineRTDCRunTimes.py" --tripid 157-13 --locoid 4025 --swversion DE.1.0.7.0 --startMP 204:467 --initTime 2016-10-13T10:36:37 --startdatetime 2016-10-13T10:45:18 --delay 1 --endMP 204:233293 --enddatetime 2016-10-13T11:21:28 --enforcementcount 1 &gt;&gt;C:\Users\stu\Documents\GitHub\eaglep3-reporting\EC\2016-10-13-refined-times.txt</v>
      </c>
      <c r="AI69" s="122" t="str">
        <f t="shared" si="3"/>
        <v>echo {"issue":{"subject":"","project_id":79,"tracker_id":40,"status_id":1,"priority_id":2,"assigned_to_id":23,"start_date":"2016-10-13","description":"","custom_fields":[{"id":1,"name":"Subdivision","value":"EC"},{"id":4,"name":"Milepost","value":"23.3293"},{"id":17,"name":"Train ID","value":"157-13"},{"id":16,"name":"Locomotive ID","value":"4025"},{"id":130,"name":"Impact","value":""},{"id":150,"name":"Time of Event (Mountain Time)","value":"11:21:28"},{"id":151,"name":"Denver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491</v>
      </c>
      <c r="B70" s="7">
        <v>4026</v>
      </c>
      <c r="C70" s="22" t="s">
        <v>99</v>
      </c>
      <c r="D70" s="22" t="s">
        <v>615</v>
      </c>
      <c r="E70" s="13">
        <v>42656.475011574075</v>
      </c>
      <c r="F70" s="13">
        <v>42656.48715277778</v>
      </c>
      <c r="G70" s="7">
        <v>1</v>
      </c>
      <c r="H70" s="13" t="s">
        <v>283</v>
      </c>
      <c r="I70" s="13">
        <v>42656.513784722221</v>
      </c>
      <c r="J70" s="7">
        <v>1</v>
      </c>
      <c r="K70" s="112" t="str">
        <f>IF(ISEVEN(B70),(B70-1)&amp;"/"&amp;B70,B70&amp;"/"&amp;(B70+1))</f>
        <v>4025/4026</v>
      </c>
      <c r="L70" s="22" t="str">
        <f>VLOOKUP(A70,'Trips&amp;Operators'!$C$1:$E$10000,3,FALSE)</f>
        <v>SANTIZO</v>
      </c>
      <c r="M70" s="6">
        <f>I70-F70</f>
        <v>2.6631944441760425E-2</v>
      </c>
      <c r="N70" s="7">
        <f>24*60*SUM($M70:$M70)</f>
        <v>38.349999996135011</v>
      </c>
      <c r="O70" s="7"/>
      <c r="P70" s="7"/>
      <c r="Q70" s="23"/>
      <c r="R70" s="23"/>
      <c r="S70" s="35">
        <f>SUM(U70:U70)/IF(AG70="EC",12,1)</f>
        <v>1</v>
      </c>
      <c r="T70" s="50" t="str">
        <f>IF(ISEVEN(LEFT(AD70,4)),"Southbound","NorthBound")</f>
        <v>Southbound</v>
      </c>
      <c r="U70" s="144">
        <f>IF(AG70="EC",COUNTIFS(Variables!$M$2:$M$19,IF(T70="NorthBound","&gt;=","&lt;=")&amp;Y70,Variables!$M$2:$M$19,IF(T70="NorthBound","&lt;=","&gt;=")&amp;Z70),COUNTIFS(Variables!$P$2:$P$19,IF(T70="NorthBound","&gt;=","&lt;=")&amp;Y70,Variables!$P$2:$P$19,IF(T70="NorthBound","&lt;=","&gt;=")&amp;Z70))</f>
        <v>12</v>
      </c>
      <c r="V70" s="98" t="str">
        <f>"https://search-rtdc-monitor-bjffxe2xuh6vdkpspy63sjmuny.us-east-1.es.amazonaws.com/_plugin/kibana/#/discover/Steve-Slow-Train-Analysis-(2080s-and-2083s)?_g=(refreshInterval:(display:Off,section:0,value:0),time:(from:'"&amp;TEXT(E70-1/24,"yyyy-MM-DD hh:mm:ss")&amp;"-0600',mode:absolute,to:'"&amp;TEXT(I70+1/24,"yyyy-MM-DD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70&amp;"%22')),sort:!(Time,asc))"</f>
        <v>https://search-rtdc-monitor-bjffxe2xuh6vdkpspy63sjmuny.us-east-1.es.amazonaws.com/_plugin/kibana/#/discover/Steve-Slow-Train-Analysis-(2080s-and-2083s)?_g=(refreshInterval:(display:Off,section:0,value:0),time:(from:'2016-10-13 10:24:01-0600',mode:absolute,to:'2016-10-13 13:19: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0" s="52" t="str">
        <f>IF(AA70&lt;IF(AG70="EC",23,5.65),"Y","N")</f>
        <v>N</v>
      </c>
      <c r="X70" s="149">
        <f>VALUE(LEFT(AD70,4))-VALUE(LEFT(AD69,4))</f>
        <v>1</v>
      </c>
      <c r="Y70" s="67">
        <f>RIGHT(D70,LEN(D70)-4)/10000</f>
        <v>23.297699999999999</v>
      </c>
      <c r="Z70" s="67">
        <f>RIGHT(H70,LEN(H70)-4)/10000</f>
        <v>1.6299999999999999E-2</v>
      </c>
      <c r="AA70" s="67">
        <f>ABS(Z70-Y70)</f>
        <v>23.281399999999998</v>
      </c>
      <c r="AB70" s="64" t="e">
        <f>VLOOKUP(A70,Enforcements!$C$7:$K$21,8,0)</f>
        <v>#N/A</v>
      </c>
      <c r="AC70" s="60" t="e">
        <f>VLOOKUP(A70,Enforcements!$C$7:$E$21,3,0)</f>
        <v>#N/A</v>
      </c>
      <c r="AD70" s="61" t="str">
        <f>IF(LEN(A70)=6,"0"&amp;A70,A70)</f>
        <v>0158-13</v>
      </c>
      <c r="AE70" s="91" t="str">
        <f>"aws s3 cp "&amp;s3_bucket&amp;"/RTDC"&amp;B70&amp;"/ "&amp;search_path&amp;"\RTDC"&amp;B70&amp;"\"&amp;TEXT(F70,"YYYY-MM-DD")&amp;" --exclude ""*"" --recursive --include ""*"&amp;TEXT(F70,"YYYYMMDD")&amp;"*"" &amp; """&amp;walkandungz&amp;""" "&amp;search_path&amp;"\RTDC"&amp;B70&amp;"\"&amp;TEXT(F70,"YYYY-MM-DD")
&amp;" &amp; "&amp;"aws s3 cp "&amp;s3_bucket&amp;"/RTDC"&amp;B70&amp;"/ "&amp;search_path&amp;"\RTDC"&amp;B70&amp;"\"&amp;TEXT(F70+1,"YYYY-MM-DD")&amp;" --exclude ""*"" --recursive --include ""*"&amp;TEXT(F70+1,"YYYYMMDD")&amp;"*"" &amp; """&amp;walkandungz&amp;""" "&amp;search_path&amp;"\RTDC"&amp;B70&amp;"\"&amp;TEXT(F70+1,"YYYY-MM-DD")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70" s="88" t="str">
        <f>astrogrep_path&amp;" /spath="&amp;search_path&amp;" /stypes=""app*"&amp;B70&amp;"*"&amp;TEXT(I70-utc_offset/24,"YYYYMMDD")&amp;"*"" /stext="" "&amp;TEXT(I70-utc_offset/24,"HH")&amp;search_regexp&amp;""" /e /r /s"</f>
        <v>"C:\Program Files (x86)\AstroGrep\AstroGrep.exe" /spath="%USERPROFILE%\AppData\Local\Temp\OnboardLogs" /stypes="app*4026*20161013*" /stext=" 18:.+((SYSTEM_STATE.+slice.+state.+changed )|(ment ac)|(system.+state.+changed )|(\[timeout)|(PRM\|1\|D)|(kpr)|(kdp)|(\|lc)|(penalty))" /e /r /s</v>
      </c>
      <c r="AG70" s="1" t="str">
        <f>IFERROR(IF(VALUE(LEFT(AD70,2))&lt;=2,"EC",IF(OR(VALUE(LEFT(AD70,2))=8,VALUE(LEFT(AD70,2))=18),"NW","Other")),"Other")</f>
        <v>EC</v>
      </c>
      <c r="AH70" s="92" t="str">
        <f t="shared" si="2"/>
        <v>"%USERPROFILE%\Documents\GitHub\eaglep3\Utilities\RefineRTDCRunTimes.py" --tripid 158-13 --locoid 4026 --swversion DE.1.0.7.0 --startMP 204:232977 --initTime 2016-10-13T11:24:01 --startdatetime 2016-10-13T11:41:30 --delay 1 --endMP 204:163 --enddatetime 2016-10-13T12:19:51 --enforcementcount 1 &gt;&gt;C:\Users\stu\Documents\GitHub\eaglep3-reporting\EC\2016-10-13-refined-times.txt</v>
      </c>
      <c r="AI70" s="122" t="str">
        <f t="shared" si="3"/>
        <v>echo {"issue":{"subject":"","project_id":79,"tracker_id":40,"status_id":1,"priority_id":2,"assigned_to_id":23,"start_date":"2016-10-13","description":"","custom_fields":[{"id":1,"name":"Subdivision","value":"EC"},{"id":4,"name":"Milepost","value":"0.0163"},{"id":17,"name":"Train ID","value":"158-13"},{"id":16,"name":"Locomotive ID","value":"4026"},{"id":130,"name":"Impact","value":""},{"id":150,"name":"Time of Event (Mountain Time)","value":"12:19:51"},{"id":151,"name":"Denver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488</v>
      </c>
      <c r="B71" s="7">
        <v>4042</v>
      </c>
      <c r="C71" s="22" t="s">
        <v>99</v>
      </c>
      <c r="D71" s="22" t="s">
        <v>640</v>
      </c>
      <c r="E71" s="13">
        <v>42656.455300925925</v>
      </c>
      <c r="F71" s="13">
        <v>42656.458495370367</v>
      </c>
      <c r="G71" s="7">
        <v>1</v>
      </c>
      <c r="H71" s="13" t="s">
        <v>625</v>
      </c>
      <c r="I71" s="13">
        <v>42656.483842592592</v>
      </c>
      <c r="J71" s="7">
        <v>1</v>
      </c>
      <c r="K71" s="112" t="str">
        <f>IF(ISEVEN(B71),(B71-1)&amp;"/"&amp;B71,B71&amp;"/"&amp;(B71+1))</f>
        <v>4041/4042</v>
      </c>
      <c r="L71" s="22" t="str">
        <f>VLOOKUP(A71,'Trips&amp;Operators'!$C$1:$E$10000,3,FALSE)</f>
        <v>BONDS</v>
      </c>
      <c r="M71" s="6">
        <f>I71-F71</f>
        <v>2.5347222224809229E-2</v>
      </c>
      <c r="N71" s="7">
        <f>24*60*SUM($M71:$M71)</f>
        <v>36.50000000372529</v>
      </c>
      <c r="O71" s="7"/>
      <c r="P71" s="7"/>
      <c r="Q71" s="23"/>
      <c r="R71" s="23"/>
      <c r="S71" s="35">
        <f>SUM(U71:U71)/IF(AG71="EC",12,1)</f>
        <v>1</v>
      </c>
      <c r="T71" s="50" t="str">
        <f>IF(ISEVEN(LEFT(AD71,4)),"Southbound","NorthBound")</f>
        <v>NorthBound</v>
      </c>
      <c r="U71" s="144">
        <f>IF(AG71="EC",COUNTIFS(Variables!$M$2:$M$19,IF(T71="NorthBound","&gt;=","&lt;=")&amp;Y71,Variables!$M$2:$M$19,IF(T71="NorthBound","&lt;=","&gt;=")&amp;Z71),COUNTIFS(Variables!$P$2:$P$19,IF(T71="NorthBound","&gt;=","&lt;=")&amp;Y71,Variables!$P$2:$P$19,IF(T71="NorthBound","&lt;=","&gt;=")&amp;Z71))</f>
        <v>12</v>
      </c>
      <c r="V71" s="98" t="str">
        <f>"https://search-rtdc-monitor-bjffxe2xuh6vdkpspy63sjmuny.us-east-1.es.amazonaws.com/_plugin/kibana/#/discover/Steve-Slow-Train-Analysis-(2080s-and-2083s)?_g=(refreshInterval:(display:Off,section:0,value:0),time:(from:'"&amp;TEXT(E71-1/24,"yyyy-MM-DD hh:mm:ss")&amp;"-0600',mode:absolute,to:'"&amp;TEXT(I71+1/24,"yyyy-MM-DD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71&amp;"%22')),sort:!(Time,asc))"</f>
        <v>https://search-rtdc-monitor-bjffxe2xuh6vdkpspy63sjmuny.us-east-1.es.amazonaws.com/_plugin/kibana/#/discover/Steve-Slow-Train-Analysis-(2080s-and-2083s)?_g=(refreshInterval:(display:Off,section:0,value:0),time:(from:'2016-10-13 09:55:38-0600',mode:absolute,to:'2016-10-13 12:36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71" s="52" t="str">
        <f>IF(AA71&lt;IF(AG71="EC",23,5.65),"Y","N")</f>
        <v>N</v>
      </c>
      <c r="X71" s="149">
        <f>VALUE(LEFT(AD71,4))-VALUE(LEFT(AD70,4))</f>
        <v>1</v>
      </c>
      <c r="Y71" s="67">
        <f>RIGHT(D71,LEN(D71)-4)/10000</f>
        <v>4.3299999999999998E-2</v>
      </c>
      <c r="Z71" s="67">
        <f>RIGHT(H71,LEN(H71)-4)/10000</f>
        <v>23.3324</v>
      </c>
      <c r="AA71" s="67">
        <f>ABS(Z71-Y71)</f>
        <v>23.289100000000001</v>
      </c>
      <c r="AB71" s="64" t="e">
        <f>VLOOKUP(A71,Enforcements!$C$7:$K$21,8,0)</f>
        <v>#N/A</v>
      </c>
      <c r="AC71" s="60" t="e">
        <f>VLOOKUP(A71,Enforcements!$C$7:$E$21,3,0)</f>
        <v>#N/A</v>
      </c>
      <c r="AD71" s="61" t="str">
        <f>IF(LEN(A71)=6,"0"&amp;A71,A71)</f>
        <v>0159-13</v>
      </c>
      <c r="AE71" s="91" t="str">
        <f>"aws s3 cp "&amp;s3_bucket&amp;"/RTDC"&amp;B71&amp;"/ "&amp;search_path&amp;"\RTDC"&amp;B71&amp;"\"&amp;TEXT(F71,"YYYY-MM-DD")&amp;" --exclude ""*"" --recursive --include ""*"&amp;TEXT(F71,"YYYYMMDD")&amp;"*"" &amp; """&amp;walkandungz&amp;""" "&amp;search_path&amp;"\RTDC"&amp;B71&amp;"\"&amp;TEXT(F71,"YYYY-MM-DD")
&amp;" &amp; "&amp;"aws s3 cp "&amp;s3_bucket&amp;"/RTDC"&amp;B71&amp;"/ "&amp;search_path&amp;"\RTDC"&amp;B71&amp;"\"&amp;TEXT(F71+1,"YYYY-MM-DD")&amp;" --exclude ""*"" --recursive --include ""*"&amp;TEXT(F71+1,"YYYYMMDD")&amp;"*"" &amp; """&amp;walkandungz&amp;""" "&amp;search_path&amp;"\RTDC"&amp;B71&amp;"\"&amp;TEXT(F71+1,"YYYY-MM-DD")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71" s="88" t="str">
        <f>astrogrep_path&amp;" /spath="&amp;search_path&amp;" /stypes=""app*"&amp;B71&amp;"*"&amp;TEXT(I71-utc_offset/24,"YYYYMMDD")&amp;"*"" /stext="" "&amp;TEXT(I71-utc_offset/24,"HH")&amp;search_regexp&amp;""" /e /r /s"</f>
        <v>"C:\Program Files (x86)\AstroGrep\AstroGrep.exe" /spath="%USERPROFILE%\AppData\Local\Temp\OnboardLogs" /stypes="app*4042*20161013*" /stext=" 17:.+((SYSTEM_STATE.+slice.+state.+changed )|(ment ac)|(system.+state.+changed )|(\[timeout)|(PRM\|1\|D)|(kpr)|(kdp)|(\|lc)|(penalty))" /e /r /s</v>
      </c>
      <c r="AG71" s="1" t="str">
        <f>IFERROR(IF(VALUE(LEFT(AD71,2))&lt;=2,"EC",IF(OR(VALUE(LEFT(AD71,2))=8,VALUE(LEFT(AD71,2))=18),"NW","Other")),"Other")</f>
        <v>EC</v>
      </c>
      <c r="AH71" s="92" t="str">
        <f t="shared" si="2"/>
        <v>"%USERPROFILE%\Documents\GitHub\eaglep3\Utilities\RefineRTDCRunTimes.py" --tripid 159-13 --locoid 4042 --swversion DE.1.0.7.0 --startMP 204:433 --initTime 2016-10-13T10:55:38 --startdatetime 2016-10-13T11:00:14 --delay 1 --endMP 204:233324 --enddatetime 2016-10-13T11:36:44 --enforcementcount 1 &gt;&gt;C:\Users\stu\Documents\GitHub\eaglep3-reporting\EC\2016-10-13-refined-times.txt</v>
      </c>
      <c r="AI71" s="122" t="str">
        <f t="shared" si="3"/>
        <v>echo {"issue":{"subject":"","project_id":79,"tracker_id":40,"status_id":1,"priority_id":2,"assigned_to_id":23,"start_date":"2016-10-13","description":"","custom_fields":[{"id":1,"name":"Subdivision","value":"EC"},{"id":4,"name":"Milepost","value":"23.3324"},{"id":17,"name":"Train ID","value":"159-13"},{"id":16,"name":"Locomotive ID","value":"4042"},{"id":130,"name":"Impact","value":""},{"id":150,"name":"Time of Event (Mountain Time)","value":"11:36:44"},{"id":151,"name":"Denver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496</v>
      </c>
      <c r="B72" s="7">
        <v>4041</v>
      </c>
      <c r="C72" s="22" t="s">
        <v>99</v>
      </c>
      <c r="D72" s="22" t="s">
        <v>616</v>
      </c>
      <c r="E72" s="13">
        <v>42656.490671296298</v>
      </c>
      <c r="F72" s="13">
        <v>42656.498067129629</v>
      </c>
      <c r="G72" s="7">
        <v>1</v>
      </c>
      <c r="H72" s="13" t="s">
        <v>273</v>
      </c>
      <c r="I72" s="13">
        <v>42656.523912037039</v>
      </c>
      <c r="J72" s="7">
        <v>1</v>
      </c>
      <c r="K72" s="112" t="str">
        <f>IF(ISEVEN(B72),(B72-1)&amp;"/"&amp;B72,B72&amp;"/"&amp;(B72+1))</f>
        <v>4041/4042</v>
      </c>
      <c r="L72" s="22" t="str">
        <f>VLOOKUP(A72,'Trips&amp;Operators'!$C$1:$E$10000,3,FALSE)</f>
        <v>BONDS</v>
      </c>
      <c r="M72" s="6">
        <f>I72-F72</f>
        <v>2.584490740991896E-2</v>
      </c>
      <c r="N72" s="7">
        <f>24*60*SUM($M72:$M72)</f>
        <v>37.216666670283303</v>
      </c>
      <c r="O72" s="7"/>
      <c r="P72" s="7"/>
      <c r="Q72" s="23"/>
      <c r="R72" s="23"/>
      <c r="S72" s="35">
        <f>SUM(U72:U72)/IF(AG72="EC",12,1)</f>
        <v>1</v>
      </c>
      <c r="T72" s="50" t="str">
        <f>IF(ISEVEN(LEFT(AD72,4)),"Southbound","NorthBound")</f>
        <v>Southbound</v>
      </c>
      <c r="U72" s="144">
        <f>IF(AG72="EC",COUNTIFS(Variables!$M$2:$M$19,IF(T72="NorthBound","&gt;=","&lt;=")&amp;Y72,Variables!$M$2:$M$19,IF(T72="NorthBound","&lt;=","&gt;=")&amp;Z72),COUNTIFS(Variables!$P$2:$P$19,IF(T72="NorthBound","&gt;=","&lt;=")&amp;Y72,Variables!$P$2:$P$19,IF(T72="NorthBound","&lt;=","&gt;=")&amp;Z72))</f>
        <v>12</v>
      </c>
      <c r="V72" s="98" t="str">
        <f>"https://search-rtdc-monitor-bjffxe2xuh6vdkpspy63sjmuny.us-east-1.es.amazonaws.com/_plugin/kibana/#/discover/Steve-Slow-Train-Analysis-(2080s-and-2083s)?_g=(refreshInterval:(display:Off,section:0,value:0),time:(from:'"&amp;TEXT(E72-1/24,"yyyy-MM-DD hh:mm:ss")&amp;"-0600',mode:absolute,to:'"&amp;TEXT(I72+1/24,"yyyy-MM-DD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72&amp;"%22')),sort:!(Time,asc))"</f>
        <v>https://search-rtdc-monitor-bjffxe2xuh6vdkpspy63sjmuny.us-east-1.es.amazonaws.com/_plugin/kibana/#/discover/Steve-Slow-Train-Analysis-(2080s-and-2083s)?_g=(refreshInterval:(display:Off,section:0,value:0),time:(from:'2016-10-13 10:46:34-0600',mode:absolute,to:'2016-10-13 13:34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72" s="52" t="str">
        <f>IF(AA72&lt;IF(AG72="EC",23,5.65),"Y","N")</f>
        <v>N</v>
      </c>
      <c r="X72" s="149">
        <f>VALUE(LEFT(AD72,4))-VALUE(LEFT(AD71,4))</f>
        <v>1</v>
      </c>
      <c r="Y72" s="67">
        <f>RIGHT(D72,LEN(D72)-4)/10000</f>
        <v>23.299800000000001</v>
      </c>
      <c r="Z72" s="67">
        <f>RIGHT(H72,LEN(H72)-4)/10000</f>
        <v>1.4999999999999999E-2</v>
      </c>
      <c r="AA72" s="67">
        <f>ABS(Z72-Y72)</f>
        <v>23.284800000000001</v>
      </c>
      <c r="AB72" s="64" t="e">
        <f>VLOOKUP(A72,Enforcements!$C$7:$K$21,8,0)</f>
        <v>#N/A</v>
      </c>
      <c r="AC72" s="60" t="e">
        <f>VLOOKUP(A72,Enforcements!$C$7:$E$21,3,0)</f>
        <v>#N/A</v>
      </c>
      <c r="AD72" s="61" t="str">
        <f>IF(LEN(A72)=6,"0"&amp;A72,A72)</f>
        <v>0160-13</v>
      </c>
      <c r="AE72" s="91" t="str">
        <f>"aws s3 cp "&amp;s3_bucket&amp;"/RTDC"&amp;B72&amp;"/ "&amp;search_path&amp;"\RTDC"&amp;B72&amp;"\"&amp;TEXT(F72,"YYYY-MM-DD")&amp;" --exclude ""*"" --recursive --include ""*"&amp;TEXT(F72,"YYYYMMDD")&amp;"*"" &amp; """&amp;walkandungz&amp;""" "&amp;search_path&amp;"\RTDC"&amp;B72&amp;"\"&amp;TEXT(F72,"YYYY-MM-DD")
&amp;" &amp; "&amp;"aws s3 cp "&amp;s3_bucket&amp;"/RTDC"&amp;B72&amp;"/ "&amp;search_path&amp;"\RTDC"&amp;B72&amp;"\"&amp;TEXT(F72+1,"YYYY-MM-DD")&amp;" --exclude ""*"" --recursive --include ""*"&amp;TEXT(F72+1,"YYYYMMDD")&amp;"*"" &amp; """&amp;walkandungz&amp;""" "&amp;search_path&amp;"\RTDC"&amp;B72&amp;"\"&amp;TEXT(F72+1,"YYYY-MM-DD")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72" s="88" t="str">
        <f>astrogrep_path&amp;" /spath="&amp;search_path&amp;" /stypes=""app*"&amp;B72&amp;"*"&amp;TEXT(I72-utc_offset/24,"YYYYMMDD")&amp;"*"" /stext="" "&amp;TEXT(I72-utc_offset/24,"HH")&amp;search_regexp&amp;""" /e /r /s"</f>
        <v>"C:\Program Files (x86)\AstroGrep\AstroGrep.exe" /spath="%USERPROFILE%\AppData\Local\Temp\OnboardLogs" /stypes="app*4041*20161013*" /stext=" 18:.+((SYSTEM_STATE.+slice.+state.+changed )|(ment ac)|(system.+state.+changed )|(\[timeout)|(PRM\|1\|D)|(kpr)|(kdp)|(\|lc)|(penalty))" /e /r /s</v>
      </c>
      <c r="AG72" s="1" t="str">
        <f>IFERROR(IF(VALUE(LEFT(AD72,2))&lt;=2,"EC",IF(OR(VALUE(LEFT(AD72,2))=8,VALUE(LEFT(AD72,2))=18),"NW","Other")),"Other")</f>
        <v>EC</v>
      </c>
      <c r="AH72" s="92" t="str">
        <f t="shared" si="2"/>
        <v>"%USERPROFILE%\Documents\GitHub\eaglep3\Utilities\RefineRTDCRunTimes.py" --tripid 160-13 --locoid 4041 --swversion DE.1.0.7.0 --startMP 204:232998 --initTime 2016-10-13T11:46:34 --startdatetime 2016-10-13T11:57:13 --delay 1 --endMP 204:150 --enddatetime 2016-10-13T12:34:26 --enforcementcount 1 &gt;&gt;C:\Users\stu\Documents\GitHub\eaglep3-reporting\EC\2016-10-13-refined-times.txt</v>
      </c>
      <c r="AI72" s="122" t="str">
        <f t="shared" si="3"/>
        <v>echo {"issue":{"subject":"","project_id":79,"tracker_id":40,"status_id":1,"priority_id":2,"assigned_to_id":23,"start_date":"2016-10-13","description":"","custom_fields":[{"id":1,"name":"Subdivision","value":"EC"},{"id":4,"name":"Milepost","value":"0.015"},{"id":17,"name":"Train ID","value":"160-13"},{"id":16,"name":"Locomotive ID","value":"4041"},{"id":130,"name":"Impact","value":""},{"id":150,"name":"Time of Event (Mountain Time)","value":"12:34:26"},{"id":151,"name":"Denver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489</v>
      </c>
      <c r="B73" s="7">
        <v>4044</v>
      </c>
      <c r="C73" s="22" t="s">
        <v>99</v>
      </c>
      <c r="D73" s="22" t="s">
        <v>292</v>
      </c>
      <c r="E73" s="13">
        <v>42656.464212962965</v>
      </c>
      <c r="F73" s="13">
        <v>42656.469178240739</v>
      </c>
      <c r="G73" s="7">
        <v>2</v>
      </c>
      <c r="H73" s="13" t="s">
        <v>261</v>
      </c>
      <c r="I73" s="13">
        <v>42656.493773148148</v>
      </c>
      <c r="J73" s="7">
        <v>1</v>
      </c>
      <c r="K73" s="112" t="str">
        <f>IF(ISEVEN(B73),(B73-1)&amp;"/"&amp;B73,B73&amp;"/"&amp;(B73+1))</f>
        <v>4043/4044</v>
      </c>
      <c r="L73" s="22" t="str">
        <f>VLOOKUP(A73,'Trips&amp;Operators'!$C$1:$E$10000,3,FALSE)</f>
        <v>STAMBAUGH</v>
      </c>
      <c r="M73" s="6">
        <f>I73-F73</f>
        <v>2.4594907408754807E-2</v>
      </c>
      <c r="N73" s="7">
        <f>24*60*SUM($M73:$M73)</f>
        <v>35.416666668606922</v>
      </c>
      <c r="O73" s="7"/>
      <c r="P73" s="7"/>
      <c r="Q73" s="23"/>
      <c r="R73" s="23"/>
      <c r="S73" s="35">
        <f>SUM(U73:U73)/IF(AG73="EC",12,1)</f>
        <v>1</v>
      </c>
      <c r="T73" s="50" t="str">
        <f>IF(ISEVEN(LEFT(AD73,4)),"Southbound","NorthBound")</f>
        <v>NorthBound</v>
      </c>
      <c r="U73" s="144">
        <f>IF(AG73="EC",COUNTIFS(Variables!$M$2:$M$19,IF(T73="NorthBound","&gt;=","&lt;=")&amp;Y73,Variables!$M$2:$M$19,IF(T73="NorthBound","&lt;=","&gt;=")&amp;Z73),COUNTIFS(Variables!$P$2:$P$19,IF(T73="NorthBound","&gt;=","&lt;=")&amp;Y73,Variables!$P$2:$P$19,IF(T73="NorthBound","&lt;=","&gt;=")&amp;Z73))</f>
        <v>12</v>
      </c>
      <c r="V73" s="98" t="str">
        <f>"https://search-rtdc-monitor-bjffxe2xuh6vdkpspy63sjmuny.us-east-1.es.amazonaws.com/_plugin/kibana/#/discover/Steve-Slow-Train-Analysis-(2080s-and-2083s)?_g=(refreshInterval:(display:Off,section:0,value:0),time:(from:'"&amp;TEXT(E73-1/24,"yyyy-MM-DD hh:mm:ss")&amp;"-0600',mode:absolute,to:'"&amp;TEXT(I73+1/24,"yyyy-MM-DD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73&amp;"%22')),sort:!(Time,asc))"</f>
        <v>https://search-rtdc-monitor-bjffxe2xuh6vdkpspy63sjmuny.us-east-1.es.amazonaws.com/_plugin/kibana/#/discover/Steve-Slow-Train-Analysis-(2080s-and-2083s)?_g=(refreshInterval:(display:Off,section:0,value:0),time:(from:'2016-10-13 10:08:28-0600',mode:absolute,to:'2016-10-13 12: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73" s="52" t="str">
        <f>IF(AA73&lt;IF(AG73="EC",23,5.65),"Y","N")</f>
        <v>N</v>
      </c>
      <c r="X73" s="149">
        <f>VALUE(LEFT(AD73,4))-VALUE(LEFT(AD72,4))</f>
        <v>1</v>
      </c>
      <c r="Y73" s="67">
        <f>RIGHT(D73,LEN(D73)-4)/10000</f>
        <v>4.6699999999999998E-2</v>
      </c>
      <c r="Z73" s="67">
        <f>RIGHT(H73,LEN(H73)-4)/10000</f>
        <v>23.331700000000001</v>
      </c>
      <c r="AA73" s="67">
        <f>ABS(Z73-Y73)</f>
        <v>23.285</v>
      </c>
      <c r="AB73" s="64" t="e">
        <f>VLOOKUP(A73,Enforcements!$C$7:$K$21,8,0)</f>
        <v>#N/A</v>
      </c>
      <c r="AC73" s="60" t="e">
        <f>VLOOKUP(A73,Enforcements!$C$7:$E$21,3,0)</f>
        <v>#N/A</v>
      </c>
      <c r="AD73" s="61" t="str">
        <f>IF(LEN(A73)=6,"0"&amp;A73,A73)</f>
        <v>0161-13</v>
      </c>
      <c r="AE73" s="91" t="str">
        <f>"aws s3 cp "&amp;s3_bucket&amp;"/RTDC"&amp;B73&amp;"/ "&amp;search_path&amp;"\RTDC"&amp;B73&amp;"\"&amp;TEXT(F73,"YYYY-MM-DD")&amp;" --exclude ""*"" --recursive --include ""*"&amp;TEXT(F73,"YYYYMMDD")&amp;"*"" &amp; """&amp;walkandungz&amp;""" "&amp;search_path&amp;"\RTDC"&amp;B73&amp;"\"&amp;TEXT(F73,"YYYY-MM-DD")
&amp;" &amp; "&amp;"aws s3 cp "&amp;s3_bucket&amp;"/RTDC"&amp;B73&amp;"/ "&amp;search_path&amp;"\RTDC"&amp;B73&amp;"\"&amp;TEXT(F73+1,"YYYY-MM-DD")&amp;" --exclude ""*"" --recursive --include ""*"&amp;TEXT(F73+1,"YYYYMMDD")&amp;"*"" &amp; """&amp;walkandungz&amp;""" "&amp;search_path&amp;"\RTDC"&amp;B73&amp;"\"&amp;TEXT(F73+1,"YYYY-MM-DD")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73" s="88" t="str">
        <f>astrogrep_path&amp;" /spath="&amp;search_path&amp;" /stypes=""app*"&amp;B73&amp;"*"&amp;TEXT(I73-utc_offset/24,"YYYYMMDD")&amp;"*"" /stext="" "&amp;TEXT(I73-utc_offset/24,"HH")&amp;search_regexp&amp;""" /e /r /s"</f>
        <v>"C:\Program Files (x86)\AstroGrep\AstroGrep.exe" /spath="%USERPROFILE%\AppData\Local\Temp\OnboardLogs" /stypes="app*4044*20161013*" /stext=" 17:.+((SYSTEM_STATE.+slice.+state.+changed )|(ment ac)|(system.+state.+changed )|(\[timeout)|(PRM\|1\|D)|(kpr)|(kdp)|(\|lc)|(penalty))" /e /r /s</v>
      </c>
      <c r="AG73" s="1" t="str">
        <f>IFERROR(IF(VALUE(LEFT(AD73,2))&lt;=2,"EC",IF(OR(VALUE(LEFT(AD73,2))=8,VALUE(LEFT(AD73,2))=18),"NW","Other")),"Other")</f>
        <v>EC</v>
      </c>
      <c r="AH73" s="92" t="str">
        <f t="shared" si="2"/>
        <v>"%USERPROFILE%\Documents\GitHub\eaglep3\Utilities\RefineRTDCRunTimes.py" --tripid 161-13 --locoid 4044 --swversion DE.1.0.7.0 --startMP 204:467 --initTime 2016-10-13T11:08:28 --startdatetime 2016-10-13T11:15:37 --delay 2 --endMP 204:233317 --enddatetime 2016-10-13T11:51:02 --enforcementcount 1 &gt;&gt;C:\Users\stu\Documents\GitHub\eaglep3-reporting\EC\2016-10-13-refined-times.txt</v>
      </c>
      <c r="AI73" s="122" t="str">
        <f t="shared" si="3"/>
        <v>echo {"issue":{"subject":"","project_id":79,"tracker_id":40,"status_id":1,"priority_id":2,"assigned_to_id":23,"start_date":"2016-10-13","description":"","custom_fields":[{"id":1,"name":"Subdivision","value":"EC"},{"id":4,"name":"Milepost","value":"23.3317"},{"id":17,"name":"Train ID","value":"161-13"},{"id":16,"name":"Locomotive ID","value":"4044"},{"id":130,"name":"Impact","value":""},{"id":150,"name":"Time of Event (Mountain Time)","value":"11:51:02"},{"id":151,"name":"Denver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498</v>
      </c>
      <c r="B74" s="7">
        <v>4043</v>
      </c>
      <c r="C74" s="22" t="s">
        <v>99</v>
      </c>
      <c r="D74" s="22" t="s">
        <v>641</v>
      </c>
      <c r="E74" s="13">
        <v>42656.503379629627</v>
      </c>
      <c r="F74" s="13">
        <v>42656.508009259262</v>
      </c>
      <c r="G74" s="7">
        <v>1</v>
      </c>
      <c r="H74" s="13" t="s">
        <v>262</v>
      </c>
      <c r="I74" s="13">
        <v>42656.534780092596</v>
      </c>
      <c r="J74" s="7">
        <v>1</v>
      </c>
      <c r="K74" s="112" t="str">
        <f>IF(ISEVEN(B74),(B74-1)&amp;"/"&amp;B74,B74&amp;"/"&amp;(B74+1))</f>
        <v>4043/4044</v>
      </c>
      <c r="L74" s="22" t="str">
        <f>VLOOKUP(A74,'Trips&amp;Operators'!$C$1:$E$10000,3,FALSE)</f>
        <v>STAMBAUGH</v>
      </c>
      <c r="M74" s="6">
        <f>I74-F74</f>
        <v>2.6770833334012423E-2</v>
      </c>
      <c r="N74" s="7">
        <f>24*60*SUM($M74:$M74)</f>
        <v>38.550000000977889</v>
      </c>
      <c r="O74" s="7"/>
      <c r="P74" s="7"/>
      <c r="Q74" s="23"/>
      <c r="R74" s="23"/>
      <c r="S74" s="35">
        <f>SUM(U74:U74)/IF(AG74="EC",12,1)</f>
        <v>1</v>
      </c>
      <c r="T74" s="50" t="str">
        <f>IF(ISEVEN(LEFT(AD74,4)),"Southbound","NorthBound")</f>
        <v>Southbound</v>
      </c>
      <c r="U74" s="144">
        <f>IF(AG74="EC",COUNTIFS(Variables!$M$2:$M$19,IF(T74="NorthBound","&gt;=","&lt;=")&amp;Y74,Variables!$M$2:$M$19,IF(T74="NorthBound","&lt;=","&gt;=")&amp;Z74),COUNTIFS(Variables!$P$2:$P$19,IF(T74="NorthBound","&gt;=","&lt;=")&amp;Y74,Variables!$P$2:$P$19,IF(T74="NorthBound","&lt;=","&gt;=")&amp;Z74))</f>
        <v>12</v>
      </c>
      <c r="V74" s="98" t="str">
        <f>"https://search-rtdc-monitor-bjffxe2xuh6vdkpspy63sjmuny.us-east-1.es.amazonaws.com/_plugin/kibana/#/discover/Steve-Slow-Train-Analysis-(2080s-and-2083s)?_g=(refreshInterval:(display:Off,section:0,value:0),time:(from:'"&amp;TEXT(E74-1/24,"yyyy-MM-DD hh:mm:ss")&amp;"-0600',mode:absolute,to:'"&amp;TEXT(I74+1/24,"yyyy-MM-DD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74&amp;"%22')),sort:!(Time,asc))"</f>
        <v>https://search-rtdc-monitor-bjffxe2xuh6vdkpspy63sjmuny.us-east-1.es.amazonaws.com/_plugin/kibana/#/discover/Steve-Slow-Train-Analysis-(2080s-and-2083s)?_g=(refreshInterval:(display:Off,section:0,value:0),time:(from:'2016-10-13 11:04:52-0600',mode:absolute,to:'2016-10-13 13: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74" s="52" t="str">
        <f>IF(AA74&lt;IF(AG74="EC",23,5.65),"Y","N")</f>
        <v>N</v>
      </c>
      <c r="X74" s="149">
        <f>VALUE(LEFT(AD74,4))-VALUE(LEFT(AD73,4))</f>
        <v>1</v>
      </c>
      <c r="Y74" s="67">
        <f>RIGHT(D74,LEN(D74)-4)/10000</f>
        <v>23.299399999999999</v>
      </c>
      <c r="Z74" s="67">
        <f>RIGHT(H74,LEN(H74)-4)/10000</f>
        <v>1.4500000000000001E-2</v>
      </c>
      <c r="AA74" s="67">
        <f>ABS(Z74-Y74)</f>
        <v>23.284899999999997</v>
      </c>
      <c r="AB74" s="64" t="e">
        <f>VLOOKUP(A74,Enforcements!$C$7:$K$21,8,0)</f>
        <v>#N/A</v>
      </c>
      <c r="AC74" s="60" t="e">
        <f>VLOOKUP(A74,Enforcements!$C$7:$E$21,3,0)</f>
        <v>#N/A</v>
      </c>
      <c r="AD74" s="61" t="str">
        <f>IF(LEN(A74)=6,"0"&amp;A74,A74)</f>
        <v>0162-13</v>
      </c>
      <c r="AE74" s="91" t="str">
        <f>"aws s3 cp "&amp;s3_bucket&amp;"/RTDC"&amp;B74&amp;"/ "&amp;search_path&amp;"\RTDC"&amp;B74&amp;"\"&amp;TEXT(F74,"YYYY-MM-DD")&amp;" --exclude ""*"" --recursive --include ""*"&amp;TEXT(F74,"YYYYMMDD")&amp;"*"" &amp; """&amp;walkandungz&amp;""" "&amp;search_path&amp;"\RTDC"&amp;B74&amp;"\"&amp;TEXT(F74,"YYYY-MM-DD")
&amp;" &amp; "&amp;"aws s3 cp "&amp;s3_bucket&amp;"/RTDC"&amp;B74&amp;"/ "&amp;search_path&amp;"\RTDC"&amp;B74&amp;"\"&amp;TEXT(F74+1,"YYYY-MM-DD")&amp;" --exclude ""*"" --recursive --include ""*"&amp;TEXT(F74+1,"YYYYMMDD")&amp;"*"" &amp; """&amp;walkandungz&amp;""" "&amp;search_path&amp;"\RTDC"&amp;B74&amp;"\"&amp;TEXT(F74+1,"YYYY-MM-DD")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74" s="88" t="str">
        <f>astrogrep_path&amp;" /spath="&amp;search_path&amp;" /stypes=""app*"&amp;B74&amp;"*"&amp;TEXT(I74-utc_offset/24,"YYYYMMDD")&amp;"*"" /stext="" "&amp;TEXT(I74-utc_offset/24,"HH")&amp;search_regexp&amp;""" /e /r /s"</f>
        <v>"C:\Program Files (x86)\AstroGrep\AstroGrep.exe" /spath="%USERPROFILE%\AppData\Local\Temp\OnboardLogs" /stypes="app*4043*20161013*" /stext=" 18:.+((SYSTEM_STATE.+slice.+state.+changed )|(ment ac)|(system.+state.+changed )|(\[timeout)|(PRM\|1\|D)|(kpr)|(kdp)|(\|lc)|(penalty))" /e /r /s</v>
      </c>
      <c r="AG74" s="1" t="str">
        <f>IFERROR(IF(VALUE(LEFT(AD74,2))&lt;=2,"EC",IF(OR(VALUE(LEFT(AD74,2))=8,VALUE(LEFT(AD74,2))=18),"NW","Other")),"Other")</f>
        <v>EC</v>
      </c>
      <c r="AH74" s="92" t="str">
        <f t="shared" si="2"/>
        <v>"%USERPROFILE%\Documents\GitHub\eaglep3\Utilities\RefineRTDCRunTimes.py" --tripid 162-13 --locoid 4043 --swversion DE.1.0.7.0 --startMP 204:232994 --initTime 2016-10-13T12:04:52 --startdatetime 2016-10-13T12:11:32 --delay 1 --endMP 204:145 --enddatetime 2016-10-13T12:50:05 --enforcementcount 1 &gt;&gt;C:\Users\stu\Documents\GitHub\eaglep3-reporting\EC\2016-10-13-refined-times.txt</v>
      </c>
      <c r="AI74" s="122" t="str">
        <f t="shared" si="3"/>
        <v>echo {"issue":{"subject":"","project_id":79,"tracker_id":40,"status_id":1,"priority_id":2,"assigned_to_id":23,"start_date":"2016-10-13","description":"","custom_fields":[{"id":1,"name":"Subdivision","value":"EC"},{"id":4,"name":"Milepost","value":"0.0145"},{"id":17,"name":"Train ID","value":"162-13"},{"id":16,"name":"Locomotive ID","value":"4043"},{"id":130,"name":"Impact","value":""},{"id":150,"name":"Time of Event (Mountain Time)","value":"12:50:05"},{"id":151,"name":"Denver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492</v>
      </c>
      <c r="B75" s="7">
        <v>4018</v>
      </c>
      <c r="C75" s="22" t="s">
        <v>99</v>
      </c>
      <c r="D75" s="22" t="s">
        <v>642</v>
      </c>
      <c r="E75" s="13">
        <v>42656.476076388892</v>
      </c>
      <c r="F75" s="13">
        <v>42656.486631944441</v>
      </c>
      <c r="G75" s="7">
        <v>14</v>
      </c>
      <c r="H75" s="13" t="s">
        <v>643</v>
      </c>
      <c r="I75" s="13">
        <v>42656.511319444442</v>
      </c>
      <c r="J75" s="7">
        <v>1</v>
      </c>
      <c r="K75" s="112" t="str">
        <f>IF(ISEVEN(B75),(B75-1)&amp;"/"&amp;B75,B75&amp;"/"&amp;(B75+1))</f>
        <v>4017/4018</v>
      </c>
      <c r="L75" s="22" t="str">
        <f>VLOOKUP(A75,'Trips&amp;Operators'!$C$1:$E$10000,3,FALSE)</f>
        <v>MOSES</v>
      </c>
      <c r="M75" s="6">
        <f>I75-F75</f>
        <v>2.4687500001164153E-2</v>
      </c>
      <c r="N75" s="7"/>
      <c r="O75" s="7"/>
      <c r="P75" s="7">
        <f>24*60*SUM($M75:$M75)</f>
        <v>35.550000001676381</v>
      </c>
      <c r="Q75" s="23"/>
      <c r="R75" s="23" t="s">
        <v>279</v>
      </c>
      <c r="S75" s="35">
        <f>SUM(U75:U75)/IF(AG75="EC",12,1)</f>
        <v>1</v>
      </c>
      <c r="T75" s="50" t="str">
        <f>IF(ISEVEN(LEFT(AD75,4)),"Southbound","NorthBound")</f>
        <v>NorthBound</v>
      </c>
      <c r="U75" s="144">
        <f>IF(AG75="EC",COUNTIFS(Variables!$M$2:$M$19,IF(T75="NorthBound","&gt;=","&lt;=")&amp;Y75,Variables!$M$2:$M$19,IF(T75="NorthBound","&lt;=","&gt;=")&amp;Z75),COUNTIFS(Variables!$P$2:$P$19,IF(T75="NorthBound","&gt;=","&lt;=")&amp;Y75,Variables!$P$2:$P$19,IF(T75="NorthBound","&lt;=","&gt;=")&amp;Z75))</f>
        <v>12</v>
      </c>
      <c r="V75" s="98" t="str">
        <f>"https://search-rtdc-monitor-bjffxe2xuh6vdkpspy63sjmuny.us-east-1.es.amazonaws.com/_plugin/kibana/#/discover/Steve-Slow-Train-Analysis-(2080s-and-2083s)?_g=(refreshInterval:(display:Off,section:0,value:0),time:(from:'"&amp;TEXT(E75-1/24,"yyyy-MM-DD hh:mm:ss")&amp;"-0600',mode:absolute,to:'"&amp;TEXT(I75+1/24,"yyyy-MM-DD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75&amp;"%22')),sort:!(Time,asc))"</f>
        <v>https://search-rtdc-monitor-bjffxe2xuh6vdkpspy63sjmuny.us-east-1.es.amazonaws.com/_plugin/kibana/#/discover/Steve-Slow-Train-Analysis-(2080s-and-2083s)?_g=(refreshInterval:(display:Off,section:0,value:0),time:(from:'2016-10-13 10:25:33-0600',mode:absolute,to:'2016-10-13 13:16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75" s="52" t="str">
        <f>IF(AA75&lt;IF(AG75="EC",23,5.65),"Y","N")</f>
        <v>Y</v>
      </c>
      <c r="X75" s="149">
        <f t="shared" ref="X75:X78" si="5">VALUE(LEFT(AD75,4))-VALUE(LEFT(AD74,4))</f>
        <v>1</v>
      </c>
      <c r="Y75" s="67">
        <f>RIGHT(D75,LEN(D75)-4)/10000</f>
        <v>1.9120999999999999</v>
      </c>
      <c r="Z75" s="67">
        <f>RIGHT(H75,LEN(H75)-4)/10000</f>
        <v>23.332599999999999</v>
      </c>
      <c r="AA75" s="67">
        <f>ABS(Z75-Y75)</f>
        <v>21.420500000000001</v>
      </c>
      <c r="AB75" s="64" t="e">
        <f>VLOOKUP(A75,Enforcements!$C$7:$K$21,8,0)</f>
        <v>#N/A</v>
      </c>
      <c r="AC75" s="60" t="e">
        <f>VLOOKUP(A75,Enforcements!$C$7:$E$21,3,0)</f>
        <v>#N/A</v>
      </c>
      <c r="AD75" s="61" t="str">
        <f>IF(LEN(A75)=6,"0"&amp;A75,A75)</f>
        <v>0163-13</v>
      </c>
      <c r="AE75" s="91" t="str">
        <f>"aws s3 cp "&amp;s3_bucket&amp;"/RTDC"&amp;B75&amp;"/ "&amp;search_path&amp;"\RTDC"&amp;B75&amp;"\"&amp;TEXT(F75,"YYYY-MM-DD")&amp;" --exclude ""*"" --recursive --include ""*"&amp;TEXT(F75,"YYYYMMDD")&amp;"*"" &amp; """&amp;walkandungz&amp;""" "&amp;search_path&amp;"\RTDC"&amp;B75&amp;"\"&amp;TEXT(F75,"YYYY-MM-DD")
&amp;" &amp; "&amp;"aws s3 cp "&amp;s3_bucket&amp;"/RTDC"&amp;B75&amp;"/ "&amp;search_path&amp;"\RTDC"&amp;B75&amp;"\"&amp;TEXT(F75+1,"YYYY-MM-DD")&amp;" --exclude ""*"" --recursive --include ""*"&amp;TEXT(F75+1,"YYYYMMDD")&amp;"*"" &amp; """&amp;walkandungz&amp;""" "&amp;search_path&amp;"\RTDC"&amp;B75&amp;"\"&amp;TEXT(F75+1,"YYYY-MM-DD")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75" s="88" t="str">
        <f>astrogrep_path&amp;" /spath="&amp;search_path&amp;" /stypes=""app*"&amp;B75&amp;"*"&amp;TEXT(I75-utc_offset/24,"YYYYMMDD")&amp;"*"" /stext="" "&amp;TEXT(I75-utc_offset/24,"HH")&amp;search_regexp&amp;""" /e /r /s"</f>
        <v>"C:\Program Files (x86)\AstroGrep\AstroGrep.exe" /spath="%USERPROFILE%\AppData\Local\Temp\OnboardLogs" /stypes="app*4018*20161013*" /stext=" 18:.+((SYSTEM_STATE.+slice.+state.+changed )|(ment ac)|(system.+state.+changed )|(\[timeout)|(PRM\|1\|D)|(kpr)|(kdp)|(\|lc)|(penalty))" /e /r /s</v>
      </c>
      <c r="AG75" s="1" t="str">
        <f>IFERROR(IF(VALUE(LEFT(AD75,2))&lt;=2,"EC",IF(OR(VALUE(LEFT(AD75,2))=8,VALUE(LEFT(AD75,2))=18),"NW","Other")),"Other")</f>
        <v>EC</v>
      </c>
      <c r="AH75" s="92" t="str">
        <f t="shared" si="2"/>
        <v>"%USERPROFILE%\Documents\GitHub\eaglep3\Utilities\RefineRTDCRunTimes.py" --tripid 163-13 --locoid 4018 --swversion DE.1.0.7.0 --startMP 204:19121 --initTime 2016-10-13T11:25:33 --startdatetime 2016-10-13T11:40:45 --delay 14 --endMP 204:233326 --enddatetime 2016-10-13T12:16:18 --enforcementcount 1 &gt;&gt;C:\Users\stu\Documents\GitHub\eaglep3-reporting\EC\2016-10-13-refined-times.txt</v>
      </c>
      <c r="AI75" s="122" t="str">
        <f t="shared" si="3"/>
        <v>echo {"issue":{"subject":"Onboard in-route failure","project_id":79,"tracker_id":40,"status_id":1,"priority_id":2,"assigned_to_id":23,"start_date":"2016-10-13","description":"multiple cpu faults @ 2016-10-13 11:29:03","custom_fields":[{"id":1,"name":"Subdivision","value":"EC"},{"id":4,"name":"Milepost","value":"23.3326"},{"id":17,"name":"Train ID","value":"163-13"},{"id":16,"name":"Locomotive ID","value":"4018"},{"id":130,"name":"Impact","value":"Failed State"},{"id":150,"name":"Time of Event (Mountain Time)","value":"12:16:18"},{"id":151,"name":"Denver Issue ID","value":""},{"id":178,"name":"Operational Impact","value":"Yes"},{"id":179,"name":"Denver Segment Assigned","value":"Loco - PTC"}]}} | curl -X POST -H "Content-Type: application/json" -H "X-Redmine-API-Key: d6333d4a04012a730768444271f8ca06482dae87" https://secure.xorail.net/redmine/issues.json --data @-</v>
      </c>
      <c r="AJ75" s="53" t="s">
        <v>769</v>
      </c>
      <c r="AK75" s="53" t="s">
        <v>129</v>
      </c>
      <c r="AL75" s="53" t="s">
        <v>179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499</v>
      </c>
      <c r="B76" s="7">
        <v>4017</v>
      </c>
      <c r="C76" s="22" t="s">
        <v>99</v>
      </c>
      <c r="D76" s="22" t="s">
        <v>645</v>
      </c>
      <c r="E76" s="13">
        <v>42656.515717592592</v>
      </c>
      <c r="F76" s="13">
        <v>42656.518275462964</v>
      </c>
      <c r="G76" s="7">
        <v>1</v>
      </c>
      <c r="H76" s="13" t="s">
        <v>260</v>
      </c>
      <c r="I76" s="13">
        <v>42656.547650462962</v>
      </c>
      <c r="J76" s="7">
        <v>1</v>
      </c>
      <c r="K76" s="112" t="str">
        <f>IF(ISEVEN(B76),(B76-1)&amp;"/"&amp;B76,B76&amp;"/"&amp;(B76+1))</f>
        <v>4017/4018</v>
      </c>
      <c r="L76" s="22" t="str">
        <f>VLOOKUP(A76,'Trips&amp;Operators'!$C$1:$E$10000,3,FALSE)</f>
        <v>MOSES</v>
      </c>
      <c r="M76" s="6">
        <f>I76-F76</f>
        <v>2.937499999825377E-2</v>
      </c>
      <c r="N76" s="7">
        <f>24*60*SUM($M76:$M76)</f>
        <v>42.299999997485429</v>
      </c>
      <c r="O76" s="7"/>
      <c r="P76" s="7"/>
      <c r="Q76" s="23"/>
      <c r="R76" s="23"/>
      <c r="S76" s="35">
        <f>SUM(U76:U76)/IF(AG76="EC",12,1)</f>
        <v>1</v>
      </c>
      <c r="T76" s="50" t="str">
        <f>IF(ISEVEN(LEFT(AD76,4)),"Southbound","NorthBound")</f>
        <v>Southbound</v>
      </c>
      <c r="U76" s="144">
        <f>IF(AG76="EC",COUNTIFS(Variables!$M$2:$M$19,IF(T76="NorthBound","&gt;=","&lt;=")&amp;Y76,Variables!$M$2:$M$19,IF(T76="NorthBound","&lt;=","&gt;=")&amp;Z76),COUNTIFS(Variables!$P$2:$P$19,IF(T76="NorthBound","&gt;=","&lt;=")&amp;Y76,Variables!$P$2:$P$19,IF(T76="NorthBound","&lt;=","&gt;=")&amp;Z76))</f>
        <v>12</v>
      </c>
      <c r="V76" s="98" t="str">
        <f>"https://search-rtdc-monitor-bjffxe2xuh6vdkpspy63sjmuny.us-east-1.es.amazonaws.com/_plugin/kibana/#/discover/Steve-Slow-Train-Analysis-(2080s-and-2083s)?_g=(refreshInterval:(display:Off,section:0,value:0),time:(from:'"&amp;TEXT(E76-1/24,"yyyy-MM-DD hh:mm:ss")&amp;"-0600',mode:absolute,to:'"&amp;TEXT(I76+1/24,"yyyy-MM-DD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76&amp;"%22')),sort:!(Time,asc))"</f>
        <v>https://search-rtdc-monitor-bjffxe2xuh6vdkpspy63sjmuny.us-east-1.es.amazonaws.com/_plugin/kibana/#/discover/Steve-Slow-Train-Analysis-(2080s-and-2083s)?_g=(refreshInterval:(display:Off,section:0,value:0),time:(from:'2016-10-13 11:22:38-0600',mode:absolute,to:'2016-10-13 14: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76" s="52" t="str">
        <f>IF(AA76&lt;IF(AG76="EC",23,5.65),"Y","N")</f>
        <v>N</v>
      </c>
      <c r="X76" s="149">
        <f t="shared" si="5"/>
        <v>1</v>
      </c>
      <c r="Y76" s="67">
        <f>RIGHT(D76,LEN(D76)-4)/10000</f>
        <v>23.3003</v>
      </c>
      <c r="Z76" s="67">
        <f>RIGHT(H76,LEN(H76)-4)/10000</f>
        <v>1.54E-2</v>
      </c>
      <c r="AA76" s="67">
        <f>ABS(Z76-Y76)</f>
        <v>23.2849</v>
      </c>
      <c r="AB76" s="64" t="e">
        <f>VLOOKUP(A76,Enforcements!$C$7:$K$21,8,0)</f>
        <v>#N/A</v>
      </c>
      <c r="AC76" s="60" t="e">
        <f>VLOOKUP(A76,Enforcements!$C$7:$E$21,3,0)</f>
        <v>#N/A</v>
      </c>
      <c r="AD76" s="61" t="str">
        <f>IF(LEN(A76)=6,"0"&amp;A76,A76)</f>
        <v>0164-13</v>
      </c>
      <c r="AE76" s="91" t="str">
        <f>"aws s3 cp "&amp;s3_bucket&amp;"/RTDC"&amp;B76&amp;"/ "&amp;search_path&amp;"\RTDC"&amp;B76&amp;"\"&amp;TEXT(F76,"YYYY-MM-DD")&amp;" --exclude ""*"" --recursive --include ""*"&amp;TEXT(F76,"YYYYMMDD")&amp;"*"" &amp; """&amp;walkandungz&amp;""" "&amp;search_path&amp;"\RTDC"&amp;B76&amp;"\"&amp;TEXT(F76,"YYYY-MM-DD")
&amp;" &amp; "&amp;"aws s3 cp "&amp;s3_bucket&amp;"/RTDC"&amp;B76&amp;"/ "&amp;search_path&amp;"\RTDC"&amp;B76&amp;"\"&amp;TEXT(F76+1,"YYYY-MM-DD")&amp;" --exclude ""*"" --recursive --include ""*"&amp;TEXT(F76+1,"YYYYMMDD")&amp;"*"" &amp; """&amp;walkandungz&amp;""" "&amp;search_path&amp;"\RTDC"&amp;B76&amp;"\"&amp;TEXT(F76+1,"YYYY-MM-DD")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76" s="88" t="str">
        <f>astrogrep_path&amp;" /spath="&amp;search_path&amp;" /stypes=""app*"&amp;B76&amp;"*"&amp;TEXT(I76-utc_offset/24,"YYYYMMDD")&amp;"*"" /stext="" "&amp;TEXT(I76-utc_offset/24,"HH")&amp;search_regexp&amp;""" /e /r /s"</f>
        <v>"C:\Program Files (x86)\AstroGrep\AstroGrep.exe" /spath="%USERPROFILE%\AppData\Local\Temp\OnboardLogs" /stypes="app*4017*20161013*" /stext=" 19:.+((SYSTEM_STATE.+slice.+state.+changed )|(ment ac)|(system.+state.+changed )|(\[timeout)|(PRM\|1\|D)|(kpr)|(kdp)|(\|lc)|(penalty))" /e /r /s</v>
      </c>
      <c r="AG76" s="1" t="str">
        <f>IFERROR(IF(VALUE(LEFT(AD76,2))&lt;=2,"EC",IF(OR(VALUE(LEFT(AD76,2))=8,VALUE(LEFT(AD76,2))=18),"NW","Other")),"Other")</f>
        <v>EC</v>
      </c>
      <c r="AH76" s="92" t="str">
        <f t="shared" ref="AH76:AH140" si="6">refinertdcruntimes&amp;" --tripid "&amp;A76&amp;" --locoid "&amp;B76&amp;" --swversion "&amp;C76&amp;" --startMP "&amp;D76&amp;" --initTime "&amp;TEXT(E76,"yyyy-mm-ddTHH:MM:SS")&amp;" --startdatetime "&amp;TEXT(F76,"yyyy-mm-ddTHH:MM:SS")&amp;" --delay "&amp;G76&amp;" --endMP "&amp;H76&amp;" --enddatetime "&amp;TEXT(I76,"yyyy-mm-ddTHH:MM:SS")&amp;" --enforcementcount "&amp;J76&amp;IF(outputrefinedruntimes," &gt;&gt;"&amp;RefinedRTDCRunTimesOutputFile,"")</f>
        <v>"%USERPROFILE%\Documents\GitHub\eaglep3\Utilities\RefineRTDCRunTimes.py" --tripid 164-13 --locoid 4017 --swversion DE.1.0.7.0 --startMP 204:233003 --initTime 2016-10-13T12:22:38 --startdatetime 2016-10-13T12:26:19 --delay 1 --endMP 204:154 --enddatetime 2016-10-13T13:08:37 --enforcementcount 1 &gt;&gt;C:\Users\stu\Documents\GitHub\eaglep3-reporting\EC\2016-10-13-refined-times.txt</v>
      </c>
      <c r="AI76" s="122" t="str">
        <f t="shared" ref="AI76:AI140" si="7">"echo {""issue"":{""subject"":"""&amp;R76&amp;""",""project_id"":79,""tracker_id"":40,""status_id"":"&amp;redmine_status&amp;",""priority_id"":"&amp;redmine_priority&amp;",""assigned_to_id"":"&amp;redmine_assignee&amp;",""start_date"":"""&amp;TEXT(I76,"YYYY-mm-dd")&amp;""",""description"":"""&amp;AJ76&amp;""",""custom_fields"":[{""id"":1,""name"":""Subdivision"",""value"":"""&amp;AG76&amp;"""},{""id"":4,""name"":""Milepost"",""value"":"""&amp;Z76&amp;"""},{""id"":17,""name"":""Train ID"",""value"":"""&amp;A76&amp;"""},{""id"":16,""name"":""Locomotive ID"",""value"":"""&amp;B76&amp;"""},{""id"":130,""name"":""Impact"",""value"":"""&amp;AK76&amp;"""},{""id"":150,""name"":""Time of Event (Mountain Time)"",""value"":"""&amp;TEXT(I76,"hh:mm:ss")&amp;"""},{""id"":151,""name"":""Denver Issue ID"",""value"":"""&amp;"""},{""id"":178,""name"":""Operational Impact"",""value"":"""&amp;redmine_op_impact&amp;"""},{""id"":179,""name"":""Denver Segment Assigned"",""value"":"""&amp;AL76&amp;"""}]}}"&amp;" | curl -X POST -H ""Content-Type: application/json"" -H ""X-Redmine-API-Key: "&amp;redm_api_key&amp;""" "&amp;redm_url&amp;" --data @-"</f>
        <v>echo {"issue":{"subject":"","project_id":79,"tracker_id":40,"status_id":1,"priority_id":2,"assigned_to_id":23,"start_date":"2016-10-13","description":"","custom_fields":[{"id":1,"name":"Subdivision","value":"EC"},{"id":4,"name":"Milepost","value":"0.0154"},{"id":17,"name":"Train ID","value":"164-13"},{"id":16,"name":"Locomotive ID","value":"4017"},{"id":130,"name":"Impact","value":""},{"id":150,"name":"Time of Event (Mountain Time)","value":"13:08:37"},{"id":151,"name":"Denver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494</v>
      </c>
      <c r="B77" s="7">
        <v>4014</v>
      </c>
      <c r="C77" s="22" t="s">
        <v>99</v>
      </c>
      <c r="D77" s="22" t="s">
        <v>276</v>
      </c>
      <c r="E77" s="13">
        <v>42656.486354166664</v>
      </c>
      <c r="F77" s="13">
        <v>42656.490034722221</v>
      </c>
      <c r="G77" s="7">
        <v>1</v>
      </c>
      <c r="H77" s="13" t="s">
        <v>198</v>
      </c>
      <c r="I77" s="13">
        <v>42656.516469907408</v>
      </c>
      <c r="J77" s="7">
        <v>1</v>
      </c>
      <c r="K77" s="112" t="str">
        <f>IF(ISEVEN(B77),(B77-1)&amp;"/"&amp;B77,B77&amp;"/"&amp;(B77+1))</f>
        <v>4013/4014</v>
      </c>
      <c r="L77" s="22" t="str">
        <f>VLOOKUP(A77,'Trips&amp;Operators'!$C$1:$E$10000,3,FALSE)</f>
        <v>NEWELL</v>
      </c>
      <c r="M77" s="6">
        <f>I77-F77</f>
        <v>2.6435185187438037E-2</v>
      </c>
      <c r="N77" s="7">
        <f>24*60*SUM($M77:$M77)</f>
        <v>38.066666669910774</v>
      </c>
      <c r="O77" s="7"/>
      <c r="P77" s="7"/>
      <c r="Q77" s="23"/>
      <c r="R77" s="23"/>
      <c r="S77" s="35">
        <f>SUM(U77:U77)/IF(AG77="EC",12,1)</f>
        <v>1</v>
      </c>
      <c r="T77" s="50" t="str">
        <f>IF(ISEVEN(LEFT(AD77,4)),"Southbound","NorthBound")</f>
        <v>NorthBound</v>
      </c>
      <c r="U77" s="144">
        <f>IF(AG77="EC",COUNTIFS(Variables!$M$2:$M$19,IF(T77="NorthBound","&gt;=","&lt;=")&amp;Y77,Variables!$M$2:$M$19,IF(T77="NorthBound","&lt;=","&gt;=")&amp;Z77),COUNTIFS(Variables!$P$2:$P$19,IF(T77="NorthBound","&gt;=","&lt;=")&amp;Y77,Variables!$P$2:$P$19,IF(T77="NorthBound","&lt;=","&gt;=")&amp;Z77))</f>
        <v>12</v>
      </c>
      <c r="V77" s="98" t="str">
        <f>"https://search-rtdc-monitor-bjffxe2xuh6vdkpspy63sjmuny.us-east-1.es.amazonaws.com/_plugin/kibana/#/discover/Steve-Slow-Train-Analysis-(2080s-and-2083s)?_g=(refreshInterval:(display:Off,section:0,value:0),time:(from:'"&amp;TEXT(E77-1/24,"yyyy-MM-DD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https://search-rtdc-monitor-bjffxe2xuh6vdkpspy63sjmuny.us-east-1.es.amazonaws.com/_plugin/kibana/#/discover/Steve-Slow-Train-Analysis-(2080s-and-2083s)?_g=(refreshInterval:(display:Off,section:0,value:0),time:(from:'2016-10-13 10:40:21-0600',mode:absolute,to:'2016-10-13 13:23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77" s="52" t="str">
        <f>IF(AA77&lt;IF(AG77="EC",23,5.65),"Y","N")</f>
        <v>N</v>
      </c>
      <c r="X77" s="149">
        <f t="shared" si="5"/>
        <v>1</v>
      </c>
      <c r="Y77" s="67">
        <f>RIGHT(D77,LEN(D77)-4)/10000</f>
        <v>4.4699999999999997E-2</v>
      </c>
      <c r="Z77" s="67">
        <f>RIGHT(H77,LEN(H77)-4)/10000</f>
        <v>23.329699999999999</v>
      </c>
      <c r="AA77" s="67">
        <f>ABS(Z77-Y77)</f>
        <v>23.285</v>
      </c>
      <c r="AB77" s="64" t="e">
        <f>VLOOKUP(A77,Enforcements!$C$7:$K$21,8,0)</f>
        <v>#N/A</v>
      </c>
      <c r="AC77" s="60" t="e">
        <f>VLOOKUP(A77,Enforcements!$C$7:$E$21,3,0)</f>
        <v>#N/A</v>
      </c>
      <c r="AD77" s="61" t="str">
        <f>IF(LEN(A77)=6,"0"&amp;A77,A77)</f>
        <v>0165-13</v>
      </c>
      <c r="AE77" s="91" t="str">
        <f>"aws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77" s="88" t="str">
        <f>astrogrep_path&amp;" /spath="&amp;search_path&amp;" /stypes=""app*"&amp;B77&amp;"*"&amp;TEXT(I77-utc_offset/24,"YYYYMMDD")&amp;"*"" /stext="" "&amp;TEXT(I77-utc_offset/24,"HH")&amp;search_regexp&amp;""" /e /r /s"</f>
        <v>"C:\Program Files (x86)\AstroGrep\AstroGrep.exe" /spath="%USERPROFILE%\AppData\Local\Temp\OnboardLogs" /stypes="app*4014*20161013*" /stext=" 18:.+((SYSTEM_STATE.+slice.+state.+changed )|(ment ac)|(system.+state.+changed )|(\[timeout)|(PRM\|1\|D)|(kpr)|(kdp)|(\|lc)|(penalty))" /e /r /s</v>
      </c>
      <c r="AG77" s="1" t="str">
        <f>IFERROR(IF(VALUE(LEFT(AD77,2))&lt;=2,"EC",IF(OR(VALUE(LEFT(AD77,2))=8,VALUE(LEFT(AD77,2))=18),"NW","Other")),"Other")</f>
        <v>EC</v>
      </c>
      <c r="AH77" s="92" t="str">
        <f t="shared" si="6"/>
        <v>"%USERPROFILE%\Documents\GitHub\eaglep3\Utilities\RefineRTDCRunTimes.py" --tripid 165-13 --locoid 4014 --swversion DE.1.0.7.0 --startMP 204:447 --initTime 2016-10-13T11:40:21 --startdatetime 2016-10-13T11:45:39 --delay 1 --endMP 204:233297 --enddatetime 2016-10-13T12:23:43 --enforcementcount 1 &gt;&gt;C:\Users\stu\Documents\GitHub\eaglep3-reporting\EC\2016-10-13-refined-times.txt</v>
      </c>
      <c r="AI77" s="122" t="str">
        <f t="shared" si="7"/>
        <v>echo {"issue":{"subject":"","project_id":79,"tracker_id":40,"status_id":1,"priority_id":2,"assigned_to_id":23,"start_date":"2016-10-13","description":"","custom_fields":[{"id":1,"name":"Subdivision","value":"EC"},{"id":4,"name":"Milepost","value":"23.3297"},{"id":17,"name":"Train ID","value":"165-13"},{"id":16,"name":"Locomotive ID","value":"4014"},{"id":130,"name":"Impact","value":""},{"id":150,"name":"Time of Event (Mountain Time)","value":"12:23:43"},{"id":151,"name":"Denver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500</v>
      </c>
      <c r="B78" s="7">
        <v>4013</v>
      </c>
      <c r="C78" s="22" t="s">
        <v>99</v>
      </c>
      <c r="D78" s="22" t="s">
        <v>312</v>
      </c>
      <c r="E78" s="13">
        <v>42656.519236111111</v>
      </c>
      <c r="F78" s="13">
        <v>42656.528668981482</v>
      </c>
      <c r="G78" s="7">
        <v>1</v>
      </c>
      <c r="H78" s="13" t="s">
        <v>283</v>
      </c>
      <c r="I78" s="13">
        <v>42656.555011574077</v>
      </c>
      <c r="J78" s="7">
        <v>1</v>
      </c>
      <c r="K78" s="112" t="str">
        <f>IF(ISEVEN(B78),(B78-1)&amp;"/"&amp;B78,B78&amp;"/"&amp;(B78+1))</f>
        <v>4013/4014</v>
      </c>
      <c r="L78" s="22" t="str">
        <f>VLOOKUP(A78,'Trips&amp;Operators'!$C$1:$E$10000,3,FALSE)</f>
        <v>NEWELL</v>
      </c>
      <c r="M78" s="6">
        <f>I78-F78</f>
        <v>2.6342592595028691E-2</v>
      </c>
      <c r="N78" s="7">
        <f>24*60*SUM($M78:$M78)</f>
        <v>37.933333336841315</v>
      </c>
      <c r="O78" s="7"/>
      <c r="P78" s="7"/>
      <c r="Q78" s="23"/>
      <c r="R78" s="23"/>
      <c r="S78" s="35">
        <f>SUM(U78:U78)/IF(AG78="EC",12,1)</f>
        <v>1</v>
      </c>
      <c r="T78" s="50" t="str">
        <f>IF(ISEVEN(LEFT(AD78,4)),"Southbound","NorthBound")</f>
        <v>Southbound</v>
      </c>
      <c r="U78" s="144">
        <f>IF(AG78="EC",COUNTIFS(Variables!$M$2:$M$19,IF(T78="NorthBound","&gt;=","&lt;=")&amp;Y78,Variables!$M$2:$M$19,IF(T78="NorthBound","&lt;=","&gt;=")&amp;Z78),COUNTIFS(Variables!$P$2:$P$19,IF(T78="NorthBound","&gt;=","&lt;=")&amp;Y78,Variables!$P$2:$P$19,IF(T78="NorthBound","&lt;=","&gt;=")&amp;Z78))</f>
        <v>12</v>
      </c>
      <c r="V78" s="98" t="str">
        <f>"https://search-rtdc-monitor-bjffxe2xuh6vdkpspy63sjmuny.us-east-1.es.amazonaws.com/_plugin/kibana/#/discover/Steve-Slow-Train-Analysis-(2080s-and-2083s)?_g=(refreshInterval:(display:Off,section:0,value:0),time:(from:'"&amp;TEXT(E78-1/24,"yyyy-MM-DD hh:mm:ss")&amp;"-0600',mode:absolute,to:'"&amp;TEXT(I78+1/24,"yyyy-MM-DD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78&amp;"%22')),sort:!(Time,asc))"</f>
        <v>https://search-rtdc-monitor-bjffxe2xuh6vdkpspy63sjmuny.us-east-1.es.amazonaws.com/_plugin/kibana/#/discover/Steve-Slow-Train-Analysis-(2080s-and-2083s)?_g=(refreshInterval:(display:Off,section:0,value:0),time:(from:'2016-10-13 11:27:42-0600',mode:absolute,to:'2016-10-13 14:19: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78" s="52" t="str">
        <f>IF(AA78&lt;IF(AG78="EC",23,5.65),"Y","N")</f>
        <v>N</v>
      </c>
      <c r="X78" s="149">
        <f t="shared" si="5"/>
        <v>1</v>
      </c>
      <c r="Y78" s="67">
        <f>RIGHT(D78,LEN(D78)-4)/10000</f>
        <v>23.3</v>
      </c>
      <c r="Z78" s="67">
        <f>RIGHT(H78,LEN(H78)-4)/10000</f>
        <v>1.6299999999999999E-2</v>
      </c>
      <c r="AA78" s="67">
        <f>ABS(Z78-Y78)</f>
        <v>23.2837</v>
      </c>
      <c r="AB78" s="64" t="e">
        <f>VLOOKUP(A78,Enforcements!$C$7:$K$21,8,0)</f>
        <v>#N/A</v>
      </c>
      <c r="AC78" s="60" t="e">
        <f>VLOOKUP(A78,Enforcements!$C$7:$E$21,3,0)</f>
        <v>#N/A</v>
      </c>
      <c r="AD78" s="61" t="str">
        <f>IF(LEN(A78)=6,"0"&amp;A78,A78)</f>
        <v>0166-13</v>
      </c>
      <c r="AE78" s="91" t="str">
        <f>"aws s3 cp "&amp;s3_bucket&amp;"/RTDC"&amp;B78&amp;"/ "&amp;search_path&amp;"\RTDC"&amp;B78&amp;"\"&amp;TEXT(F78,"YYYY-MM-DD")&amp;" --exclude ""*"" --recursive --include ""*"&amp;TEXT(F78,"YYYYMMDD")&amp;"*"" &amp; """&amp;walkandungz&amp;""" "&amp;search_path&amp;"\RTDC"&amp;B78&amp;"\"&amp;TEXT(F78,"YYYY-MM-DD")
&amp;" &amp; "&amp;"aws s3 cp "&amp;s3_bucket&amp;"/RTDC"&amp;B78&amp;"/ "&amp;search_path&amp;"\RTDC"&amp;B78&amp;"\"&amp;TEXT(F78+1,"YYYY-MM-DD")&amp;" --exclude ""*"" --recursive --include ""*"&amp;TEXT(F78+1,"YYYYMMDD")&amp;"*"" &amp; """&amp;walkandungz&amp;""" "&amp;search_path&amp;"\RTDC"&amp;B78&amp;"\"&amp;TEXT(F78+1,"YYYY-MM-DD")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78" s="88" t="str">
        <f>astrogrep_path&amp;" /spath="&amp;search_path&amp;" /stypes=""app*"&amp;B78&amp;"*"&amp;TEXT(I78-utc_offset/24,"YYYYMMDD")&amp;"*"" /stext="" "&amp;TEXT(I78-utc_offset/24,"HH")&amp;search_regexp&amp;""" /e /r /s"</f>
        <v>"C:\Program Files (x86)\AstroGrep\AstroGrep.exe" /spath="%USERPROFILE%\AppData\Local\Temp\OnboardLogs" /stypes="app*4013*20161013*" /stext=" 19:.+((SYSTEM_STATE.+slice.+state.+changed )|(ment ac)|(system.+state.+changed )|(\[timeout)|(PRM\|1\|D)|(kpr)|(kdp)|(\|lc)|(penalty))" /e /r /s</v>
      </c>
      <c r="AG78" s="1" t="str">
        <f>IFERROR(IF(VALUE(LEFT(AD78,2))&lt;=2,"EC",IF(OR(VALUE(LEFT(AD78,2))=8,VALUE(LEFT(AD78,2))=18),"NW","Other")),"Other")</f>
        <v>EC</v>
      </c>
      <c r="AH78" s="92" t="str">
        <f t="shared" si="6"/>
        <v>"%USERPROFILE%\Documents\GitHub\eaglep3\Utilities\RefineRTDCRunTimes.py" --tripid 166-13 --locoid 4013 --swversion DE.1.0.7.0 --startMP 204:233000 --initTime 2016-10-13T12:27:42 --startdatetime 2016-10-13T12:41:17 --delay 1 --endMP 204:163 --enddatetime 2016-10-13T13:19:13 --enforcementcount 1 &gt;&gt;C:\Users\stu\Documents\GitHub\eaglep3-reporting\EC\2016-10-13-refined-times.txt</v>
      </c>
      <c r="AI78" s="122" t="str">
        <f t="shared" si="7"/>
        <v>echo {"issue":{"subject":"","project_id":79,"tracker_id":40,"status_id":1,"priority_id":2,"assigned_to_id":23,"start_date":"2016-10-13","description":"","custom_fields":[{"id":1,"name":"Subdivision","value":"EC"},{"id":4,"name":"Milepost","value":"0.0163"},{"id":17,"name":"Train ID","value":"166-13"},{"id":16,"name":"Locomotive ID","value":"4013"},{"id":130,"name":"Impact","value":""},{"id":150,"name":"Time of Event (Mountain Time)","value":"13:19:13"},{"id":151,"name":"Denver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497</v>
      </c>
      <c r="B79" s="7">
        <v>4038</v>
      </c>
      <c r="C79" s="22" t="s">
        <v>99</v>
      </c>
      <c r="D79" s="22" t="s">
        <v>280</v>
      </c>
      <c r="E79" s="13">
        <v>42656.496689814812</v>
      </c>
      <c r="F79" s="13">
        <v>42656.500208333331</v>
      </c>
      <c r="G79" s="7">
        <v>1</v>
      </c>
      <c r="H79" s="13" t="s">
        <v>323</v>
      </c>
      <c r="I79" s="13">
        <v>42656.525868055556</v>
      </c>
      <c r="J79" s="7">
        <v>1</v>
      </c>
      <c r="K79" s="112" t="str">
        <f>IF(ISEVEN(B79),(B79-1)&amp;"/"&amp;B79,B79&amp;"/"&amp;(B79+1))</f>
        <v>4037/4038</v>
      </c>
      <c r="L79" s="22" t="str">
        <f>VLOOKUP(A79,'Trips&amp;Operators'!$C$1:$E$10000,3,FALSE)</f>
        <v>CRAYTON</v>
      </c>
      <c r="M79" s="6">
        <f>I79-F79</f>
        <v>2.5659722225100268E-2</v>
      </c>
      <c r="N79" s="7">
        <f>24*60*SUM($M79:$M79)</f>
        <v>36.950000004144385</v>
      </c>
      <c r="O79" s="7"/>
      <c r="P79" s="7"/>
      <c r="Q79" s="23"/>
      <c r="R79" s="23"/>
      <c r="S79" s="35">
        <f>SUM(U79:U79)/IF(AG79="EC",12,1)</f>
        <v>1</v>
      </c>
      <c r="T79" s="50" t="str">
        <f>IF(ISEVEN(LEFT(AD79,4)),"Southbound","NorthBound")</f>
        <v>NorthBound</v>
      </c>
      <c r="U79" s="144">
        <f>IF(AG79="EC",COUNTIFS(Variables!$M$2:$M$19,IF(T79="NorthBound","&gt;=","&lt;=")&amp;Y79,Variables!$M$2:$M$19,IF(T79="NorthBound","&lt;=","&gt;=")&amp;Z79),COUNTIFS(Variables!$P$2:$P$19,IF(T79="NorthBound","&gt;=","&lt;=")&amp;Y79,Variables!$P$2:$P$19,IF(T79="NorthBound","&lt;=","&gt;=")&amp;Z79))</f>
        <v>12</v>
      </c>
      <c r="V79" s="98" t="str">
        <f>"https://search-rtdc-monitor-bjffxe2xuh6vdkpspy63sjmuny.us-east-1.es.amazonaws.com/_plugin/kibana/#/discover/Steve-Slow-Train-Analysis-(2080s-and-2083s)?_g=(refreshInterval:(display:Off,section:0,value:0),time:(from:'"&amp;TEXT(E79-1/24,"yyyy-MM-DD hh:mm:ss")&amp;"-0600',mode:absolute,to:'"&amp;TEXT(I79+1/24,"yyyy-MM-DD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79&amp;"%22')),sort:!(Time,asc))"</f>
        <v>https://search-rtdc-monitor-bjffxe2xuh6vdkpspy63sjmuny.us-east-1.es.amazonaws.com/_plugin/kibana/#/discover/Steve-Slow-Train-Analysis-(2080s-and-2083s)?_g=(refreshInterval:(display:Off,section:0,value:0),time:(from:'2016-10-13 10:55:14-0600',mode:absolute,to:'2016-10-13 13:37: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79" s="52" t="str">
        <f>IF(AA79&lt;IF(AG79="EC",23,5.65),"Y","N")</f>
        <v>N</v>
      </c>
      <c r="X79" s="149">
        <f>VALUE(LEFT(AD79,4))-VALUE(LEFT(AD78,4))</f>
        <v>1</v>
      </c>
      <c r="Y79" s="67">
        <f>RIGHT(D79,LEN(D79)-4)/10000</f>
        <v>4.53E-2</v>
      </c>
      <c r="Z79" s="67">
        <f>RIGHT(H79,LEN(H79)-4)/10000</f>
        <v>23.328900000000001</v>
      </c>
      <c r="AA79" s="67">
        <f>ABS(Z79-Y79)</f>
        <v>23.2836</v>
      </c>
      <c r="AB79" s="64" t="e">
        <f>VLOOKUP(A79,Enforcements!$C$7:$K$21,8,0)</f>
        <v>#N/A</v>
      </c>
      <c r="AC79" s="60" t="e">
        <f>VLOOKUP(A79,Enforcements!$C$7:$E$21,3,0)</f>
        <v>#N/A</v>
      </c>
      <c r="AD79" s="61" t="str">
        <f>IF(LEN(A79)=6,"0"&amp;A79,A79)</f>
        <v>0167-13</v>
      </c>
      <c r="AE79" s="91" t="str">
        <f>"aws s3 cp "&amp;s3_bucket&amp;"/RTDC"&amp;B79&amp;"/ "&amp;search_path&amp;"\RTDC"&amp;B79&amp;"\"&amp;TEXT(F79,"YYYY-MM-DD")&amp;" --exclude ""*"" --recursive --include ""*"&amp;TEXT(F79,"YYYYMMDD")&amp;"*"" &amp; """&amp;walkandungz&amp;""" "&amp;search_path&amp;"\RTDC"&amp;B79&amp;"\"&amp;TEXT(F79,"YYYY-MM-DD")
&amp;" &amp; "&amp;"aws s3 cp "&amp;s3_bucket&amp;"/RTDC"&amp;B79&amp;"/ "&amp;search_path&amp;"\RTDC"&amp;B79&amp;"\"&amp;TEXT(F79+1,"YYYY-MM-DD")&amp;" --exclude ""*"" --recursive --include ""*"&amp;TEXT(F79+1,"YYYYMMDD")&amp;"*"" &amp; """&amp;walkandungz&amp;""" "&amp;search_path&amp;"\RTDC"&amp;B79&amp;"\"&amp;TEXT(F79+1,"YYYY-MM-DD")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79" s="88" t="str">
        <f>astrogrep_path&amp;" /spath="&amp;search_path&amp;" /stypes=""app*"&amp;B79&amp;"*"&amp;TEXT(I79-utc_offset/24,"YYYYMMDD")&amp;"*"" /stext="" "&amp;TEXT(I79-utc_offset/24,"HH")&amp;search_regexp&amp;""" /e /r /s"</f>
        <v>"C:\Program Files (x86)\AstroGrep\AstroGrep.exe" /spath="%USERPROFILE%\AppData\Local\Temp\OnboardLogs" /stypes="app*4038*20161013*" /stext=" 18:.+((SYSTEM_STATE.+slice.+state.+changed )|(ment ac)|(system.+state.+changed )|(\[timeout)|(PRM\|1\|D)|(kpr)|(kdp)|(\|lc)|(penalty))" /e /r /s</v>
      </c>
      <c r="AG79" s="1" t="str">
        <f>IFERROR(IF(VALUE(LEFT(AD79,2))&lt;=2,"EC",IF(OR(VALUE(LEFT(AD79,2))=8,VALUE(LEFT(AD79,2))=18),"NW","Other")),"Other")</f>
        <v>EC</v>
      </c>
      <c r="AH79" s="92" t="str">
        <f t="shared" si="6"/>
        <v>"%USERPROFILE%\Documents\GitHub\eaglep3\Utilities\RefineRTDCRunTimes.py" --tripid 167-13 --locoid 4038 --swversion DE.1.0.7.0 --startMP 204:453 --initTime 2016-10-13T11:55:14 --startdatetime 2016-10-13T12:00:18 --delay 1 --endMP 204:233289 --enddatetime 2016-10-13T12:37:15 --enforcementcount 1 &gt;&gt;C:\Users\stu\Documents\GitHub\eaglep3-reporting\EC\2016-10-13-refined-times.txt</v>
      </c>
      <c r="AI79" s="122" t="str">
        <f t="shared" si="7"/>
        <v>echo {"issue":{"subject":"","project_id":79,"tracker_id":40,"status_id":1,"priority_id":2,"assigned_to_id":23,"start_date":"2016-10-13","description":"","custom_fields":[{"id":1,"name":"Subdivision","value":"EC"},{"id":4,"name":"Milepost","value":"23.3289"},{"id":17,"name":"Train ID","value":"167-13"},{"id":16,"name":"Locomotive ID","value":"4038"},{"id":130,"name":"Impact","value":""},{"id":150,"name":"Time of Event (Mountain Time)","value":"12:37:15"},{"id":151,"name":"Denver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503</v>
      </c>
      <c r="B80" s="7">
        <v>4037</v>
      </c>
      <c r="C80" s="22" t="s">
        <v>99</v>
      </c>
      <c r="D80" s="22" t="s">
        <v>646</v>
      </c>
      <c r="E80" s="13">
        <v>42656.529178240744</v>
      </c>
      <c r="F80" s="13">
        <v>42656.539282407408</v>
      </c>
      <c r="G80" s="7">
        <v>6</v>
      </c>
      <c r="H80" s="13" t="s">
        <v>177</v>
      </c>
      <c r="I80" s="13">
        <v>42656.566516203704</v>
      </c>
      <c r="J80" s="7">
        <v>1</v>
      </c>
      <c r="K80" s="112" t="str">
        <f>IF(ISEVEN(B80),(B80-1)&amp;"/"&amp;B80,B80&amp;"/"&amp;(B80+1))</f>
        <v>4037/4038</v>
      </c>
      <c r="L80" s="22" t="str">
        <f>VLOOKUP(A80,'Trips&amp;Operators'!$C$1:$E$10000,3,FALSE)</f>
        <v>CRAYTON</v>
      </c>
      <c r="M80" s="6">
        <f>I80-F80</f>
        <v>2.7233796296059154E-2</v>
      </c>
      <c r="N80" s="7">
        <f>24*60*SUM($M80:$M80)</f>
        <v>39.216666666325182</v>
      </c>
      <c r="O80" s="7"/>
      <c r="P80" s="7"/>
      <c r="Q80" s="23"/>
      <c r="R80" s="23"/>
      <c r="S80" s="35">
        <f>SUM(U80:U80)/IF(AG80="EC",12,1)</f>
        <v>1</v>
      </c>
      <c r="T80" s="50" t="str">
        <f>IF(ISEVEN(LEFT(AD80,4)),"Southbound","NorthBound")</f>
        <v>Southbound</v>
      </c>
      <c r="U80" s="144">
        <f>IF(AG80="EC",COUNTIFS(Variables!$M$2:$M$19,IF(T80="NorthBound","&gt;=","&lt;=")&amp;Y80,Variables!$M$2:$M$19,IF(T80="NorthBound","&lt;=","&gt;=")&amp;Z80),COUNTIFS(Variables!$P$2:$P$19,IF(T80="NorthBound","&gt;=","&lt;=")&amp;Y80,Variables!$P$2:$P$19,IF(T80="NorthBound","&lt;=","&gt;=")&amp;Z80))</f>
        <v>12</v>
      </c>
      <c r="V80" s="98" t="str">
        <f>"https://search-rtdc-monitor-bjffxe2xuh6vdkpspy63sjmuny.us-east-1.es.amazonaws.com/_plugin/kibana/#/discover/Steve-Slow-Train-Analysis-(2080s-and-2083s)?_g=(refreshInterval:(display:Off,section:0,value:0),time:(from:'"&amp;TEXT(E80-1/24,"yyyy-MM-DD hh:mm:ss")&amp;"-0600',mode:absolute,to:'"&amp;TEXT(I80+1/24,"yyyy-MM-DD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80&amp;"%22')),sort:!(Time,asc))"</f>
        <v>https://search-rtdc-monitor-bjffxe2xuh6vdkpspy63sjmuny.us-east-1.es.amazonaws.com/_plugin/kibana/#/discover/Steve-Slow-Train-Analysis-(2080s-and-2083s)?_g=(refreshInterval:(display:Off,section:0,value:0),time:(from:'2016-10-13 11:42:01-0600',mode:absolute,to:'2016-10-13 14: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80" s="52" t="str">
        <f>IF(AA80&lt;IF(AG80="EC",23,5.65),"Y","N")</f>
        <v>N</v>
      </c>
      <c r="X80" s="149">
        <f>VALUE(LEFT(AD80,4))-VALUE(LEFT(AD79,4))</f>
        <v>1</v>
      </c>
      <c r="Y80" s="67">
        <f>RIGHT(D80,LEN(D80)-4)/10000</f>
        <v>23.298400000000001</v>
      </c>
      <c r="Z80" s="67">
        <f>RIGHT(H80,LEN(H80)-4)/10000</f>
        <v>1.52E-2</v>
      </c>
      <c r="AA80" s="67">
        <f>ABS(Z80-Y80)</f>
        <v>23.283200000000001</v>
      </c>
      <c r="AB80" s="64" t="e">
        <f>VLOOKUP(A80,Enforcements!$C$7:$K$21,8,0)</f>
        <v>#N/A</v>
      </c>
      <c r="AC80" s="60" t="e">
        <f>VLOOKUP(A80,Enforcements!$C$7:$E$21,3,0)</f>
        <v>#N/A</v>
      </c>
      <c r="AD80" s="61" t="str">
        <f>IF(LEN(A80)=6,"0"&amp;A80,A80)</f>
        <v>0168-13</v>
      </c>
      <c r="AE80" s="91" t="str">
        <f>"aws s3 cp "&amp;s3_bucket&amp;"/RTDC"&amp;B80&amp;"/ "&amp;search_path&amp;"\RTDC"&amp;B80&amp;"\"&amp;TEXT(F80,"YYYY-MM-DD")&amp;" --exclude ""*"" --recursive --include ""*"&amp;TEXT(F80,"YYYYMMDD")&amp;"*"" &amp; """&amp;walkandungz&amp;""" "&amp;search_path&amp;"\RTDC"&amp;B80&amp;"\"&amp;TEXT(F80,"YYYY-MM-DD")
&amp;" &amp; "&amp;"aws s3 cp "&amp;s3_bucket&amp;"/RTDC"&amp;B80&amp;"/ "&amp;search_path&amp;"\RTDC"&amp;B80&amp;"\"&amp;TEXT(F80+1,"YYYY-MM-DD")&amp;" --exclude ""*"" --recursive --include ""*"&amp;TEXT(F80+1,"YYYYMMDD")&amp;"*"" &amp; """&amp;walkandungz&amp;""" "&amp;search_path&amp;"\RTDC"&amp;B80&amp;"\"&amp;TEXT(F80+1,"YYYY-MM-DD")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80" s="88" t="str">
        <f>astrogrep_path&amp;" /spath="&amp;search_path&amp;" /stypes=""app*"&amp;B80&amp;"*"&amp;TEXT(I80-utc_offset/24,"YYYYMMDD")&amp;"*"" /stext="" "&amp;TEXT(I80-utc_offset/24,"HH")&amp;search_regexp&amp;""" /e /r /s"</f>
        <v>"C:\Program Files (x86)\AstroGrep\AstroGrep.exe" /spath="%USERPROFILE%\AppData\Local\Temp\OnboardLogs" /stypes="app*4037*20161013*" /stext=" 19:.+((SYSTEM_STATE.+slice.+state.+changed )|(ment ac)|(system.+state.+changed )|(\[timeout)|(PRM\|1\|D)|(kpr)|(kdp)|(\|lc)|(penalty))" /e /r /s</v>
      </c>
      <c r="AG80" s="1" t="str">
        <f>IFERROR(IF(VALUE(LEFT(AD80,2))&lt;=2,"EC",IF(OR(VALUE(LEFT(AD80,2))=8,VALUE(LEFT(AD80,2))=18),"NW","Other")),"Other")</f>
        <v>EC</v>
      </c>
      <c r="AH80" s="92" t="str">
        <f t="shared" si="6"/>
        <v>"%USERPROFILE%\Documents\GitHub\eaglep3\Utilities\RefineRTDCRunTimes.py" --tripid 168-13 --locoid 4037 --swversion DE.1.0.7.0 --startMP 204:232984 --initTime 2016-10-13T12:42:01 --startdatetime 2016-10-13T12:56:34 --delay 6 --endMP 204:152 --enddatetime 2016-10-13T13:35:47 --enforcementcount 1 &gt;&gt;C:\Users\stu\Documents\GitHub\eaglep3-reporting\EC\2016-10-13-refined-times.txt</v>
      </c>
      <c r="AI80" s="122" t="str">
        <f t="shared" si="7"/>
        <v>echo {"issue":{"subject":"","project_id":79,"tracker_id":40,"status_id":1,"priority_id":2,"assigned_to_id":23,"start_date":"2016-10-13","description":"","custom_fields":[{"id":1,"name":"Subdivision","value":"EC"},{"id":4,"name":"Milepost","value":"0.0152"},{"id":17,"name":"Train ID","value":"168-13"},{"id":16,"name":"Locomotive ID","value":"4037"},{"id":130,"name":"Impact","value":""},{"id":150,"name":"Time of Event (Mountain Time)","value":"13:35:47"},{"id":151,"name":"Denver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405</v>
      </c>
      <c r="B81" s="7">
        <v>4002</v>
      </c>
      <c r="C81" s="22" t="s">
        <v>99</v>
      </c>
      <c r="D81" s="22" t="s">
        <v>314</v>
      </c>
      <c r="E81" s="13">
        <v>42656.509444444448</v>
      </c>
      <c r="F81" s="13">
        <v>42656.512418981481</v>
      </c>
      <c r="G81" s="7">
        <v>4</v>
      </c>
      <c r="H81" s="13" t="s">
        <v>320</v>
      </c>
      <c r="I81" s="13">
        <v>42656.542199074072</v>
      </c>
      <c r="J81" s="7">
        <v>1</v>
      </c>
      <c r="K81" s="112" t="str">
        <f>IF(ISEVEN(B81),(B81-1)&amp;"/"&amp;B81,B81&amp;"/"&amp;(B81+1))</f>
        <v>4001/4002</v>
      </c>
      <c r="L81" s="22" t="str">
        <f>VLOOKUP(A81,'Trips&amp;Operators'!$C$1:$E$10000,3,FALSE)</f>
        <v>SNYDER</v>
      </c>
      <c r="M81" s="6">
        <f>I81-F81</f>
        <v>2.9780092590954155E-2</v>
      </c>
      <c r="N81" s="7">
        <f>24*60*SUM($M81:$M81)</f>
        <v>42.883333330973983</v>
      </c>
      <c r="O81" s="7"/>
      <c r="P81" s="7"/>
      <c r="Q81" s="23"/>
      <c r="R81" s="23"/>
      <c r="S81" s="35">
        <f>SUM(U81:U81)/IF(AG81="EC",12,1)</f>
        <v>1</v>
      </c>
      <c r="T81" s="50" t="str">
        <f>IF(ISEVEN(LEFT(AD81,4)),"Southbound","NorthBound")</f>
        <v>NorthBound</v>
      </c>
      <c r="U81" s="144">
        <f>IF(AG81="EC",COUNTIFS(Variables!$M$2:$M$19,IF(T81="NorthBound","&gt;=","&lt;=")&amp;Y81,Variables!$M$2:$M$19,IF(T81="NorthBound","&lt;=","&gt;=")&amp;Z81),COUNTIFS(Variables!$P$2:$P$19,IF(T81="NorthBound","&gt;=","&lt;=")&amp;Y81,Variables!$P$2:$P$19,IF(T81="NorthBound","&lt;=","&gt;=")&amp;Z81))</f>
        <v>12</v>
      </c>
      <c r="V81" s="98" t="str">
        <f>"https://search-rtdc-monitor-bjffxe2xuh6vdkpspy63sjmuny.us-east-1.es.amazonaws.com/_plugin/kibana/#/discover/Steve-Slow-Train-Analysis-(2080s-and-2083s)?_g=(refreshInterval:(display:Off,section:0,value:0),time:(from:'"&amp;TEXT(E81-1/24,"yyyy-MM-DD hh:mm:ss")&amp;"-0600',mode:absolute,to:'"&amp;TEXT(I81+1/24,"yyyy-MM-DD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81&amp;"%22')),sort:!(Time,asc))"</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81" s="52" t="str">
        <f>IF(AA81&lt;IF(AG81="EC",23,5.65),"Y","N")</f>
        <v>N</v>
      </c>
      <c r="X81" s="149">
        <f>VALUE(LEFT(AD81,4))-VALUE(LEFT(AD80,4))</f>
        <v>1</v>
      </c>
      <c r="Y81" s="67">
        <f>RIGHT(D81,LEN(D81)-4)/10000</f>
        <v>5.04E-2</v>
      </c>
      <c r="Z81" s="67">
        <f>RIGHT(H81,LEN(H81)-4)/10000</f>
        <v>23.3306</v>
      </c>
      <c r="AA81" s="67">
        <f>ABS(Z81-Y81)</f>
        <v>23.280200000000001</v>
      </c>
      <c r="AB81" s="64" t="e">
        <f>VLOOKUP(A81,Enforcements!$C$7:$K$21,8,0)</f>
        <v>#N/A</v>
      </c>
      <c r="AC81" s="60" t="e">
        <f>VLOOKUP(A81,Enforcements!$C$7:$E$21,3,0)</f>
        <v>#N/A</v>
      </c>
      <c r="AD81" s="61" t="str">
        <f>IF(LEN(A81)=6,"0"&amp;A81,A81)</f>
        <v>0169-13</v>
      </c>
      <c r="AE81" s="91" t="str">
        <f>"aws s3 cp "&amp;s3_bucket&amp;"/RTDC"&amp;B81&amp;"/ "&amp;search_path&amp;"\RTDC"&amp;B81&amp;"\"&amp;TEXT(F81,"YYYY-MM-DD")&amp;" --exclude ""*"" --recursive --include ""*"&amp;TEXT(F81,"YYYYMMDD")&amp;"*"" &amp; """&amp;walkandungz&amp;""" "&amp;search_path&amp;"\RTDC"&amp;B81&amp;"\"&amp;TEXT(F81,"YYYY-MM-DD")
&amp;" &amp; "&amp;"aws s3 cp "&amp;s3_bucket&amp;"/RTDC"&amp;B81&amp;"/ "&amp;search_path&amp;"\RTDC"&amp;B81&amp;"\"&amp;TEXT(F81+1,"YYYY-MM-DD")&amp;" --exclude ""*"" --recursive --include ""*"&amp;TEXT(F81+1,"YYYYMMDD")&amp;"*"" &amp; """&amp;walkandungz&amp;""" "&amp;search_path&amp;"\RTDC"&amp;B81&amp;"\"&amp;TEXT(F81+1,"YYYY-MM-DD")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81" s="88" t="str">
        <f>astrogrep_path&amp;" /spath="&amp;search_path&amp;" /stypes=""app*"&amp;B81&amp;"*"&amp;TEXT(I81-utc_offset/24,"YYYYMMDD")&amp;"*"" /stext="" "&amp;TEXT(I81-utc_offset/24,"HH")&amp;search_regexp&amp;""" /e /r /s"</f>
        <v>"C:\Program Files (x86)\AstroGrep\AstroGrep.exe" /spath="%USERPROFILE%\AppData\Local\Temp\OnboardLogs" /stypes="app*4002*20161013*" /stext=" 19:.+((SYSTEM_STATE.+slice.+state.+changed )|(ment ac)|(system.+state.+changed )|(\[timeout)|(PRM\|1\|D)|(kpr)|(kdp)|(\|lc)|(penalty))" /e /r /s</v>
      </c>
      <c r="AG81" s="1" t="str">
        <f>IFERROR(IF(VALUE(LEFT(AD81,2))&lt;=2,"EC",IF(OR(VALUE(LEFT(AD81,2))=8,VALUE(LEFT(AD81,2))=18),"NW","Other")),"Other")</f>
        <v>EC</v>
      </c>
      <c r="AH81" s="92" t="str">
        <f t="shared" si="6"/>
        <v>"%USERPROFILE%\Documents\GitHub\eaglep3\Utilities\RefineRTDCRunTimes.py" --tripid 169-13 --locoid 4002 --swversion DE.1.0.7.0 --startMP 204:504 --initTime 2016-10-13T12:13:36 --startdatetime 2016-10-13T12:17:53 --delay 4 --endMP 204:233306 --enddatetime 2016-10-13T13:00:46 --enforcementcount 1 &gt;&gt;C:\Users\stu\Documents\GitHub\eaglep3-reporting\EC\2016-10-13-refined-times.txt</v>
      </c>
      <c r="AI81" s="122" t="str">
        <f t="shared" si="7"/>
        <v>echo {"issue":{"subject":"","project_id":79,"tracker_id":40,"status_id":1,"priority_id":2,"assigned_to_id":23,"start_date":"2016-10-13","description":"","custom_fields":[{"id":1,"name":"Subdivision","value":"EC"},{"id":4,"name":"Milepost","value":"23.3306"},{"id":17,"name":"Train ID","value":"169-13"},{"id":16,"name":"Locomotive ID","value":"4002"},{"id":130,"name":"Impact","value":""},{"id":150,"name":"Time of Event (Mountain Time)","value":"13:00:46"},{"id":151,"name":"Denver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506</v>
      </c>
      <c r="B82" s="7">
        <v>4001</v>
      </c>
      <c r="C82" s="22" t="s">
        <v>99</v>
      </c>
      <c r="D82" s="22" t="s">
        <v>282</v>
      </c>
      <c r="E82" s="13">
        <v>42656.546168981484</v>
      </c>
      <c r="F82" s="13">
        <v>42656.549513888887</v>
      </c>
      <c r="G82" s="7">
        <v>1</v>
      </c>
      <c r="H82" s="13" t="s">
        <v>301</v>
      </c>
      <c r="I82" s="13">
        <v>42656.577291666668</v>
      </c>
      <c r="J82" s="7">
        <v>1</v>
      </c>
      <c r="K82" s="112" t="str">
        <f>IF(ISEVEN(B82),(B82-1)&amp;"/"&amp;B82,B82&amp;"/"&amp;(B82+1))</f>
        <v>4001/4002</v>
      </c>
      <c r="L82" s="22" t="str">
        <f>VLOOKUP(A82,'Trips&amp;Operators'!$C$1:$E$10000,3,FALSE)</f>
        <v>BROWN</v>
      </c>
      <c r="M82" s="6">
        <f>I82-F82</f>
        <v>2.7777777781011537E-2</v>
      </c>
      <c r="N82" s="7">
        <f>24*60*SUM($M82:$M82)</f>
        <v>40.000000004656613</v>
      </c>
      <c r="O82" s="7"/>
      <c r="P82" s="7"/>
      <c r="Q82" s="23"/>
      <c r="R82" s="23"/>
      <c r="S82" s="35">
        <f>SUM(U82:U82)/IF(AG82="EC",12,1)</f>
        <v>1</v>
      </c>
      <c r="T82" s="50" t="str">
        <f>IF(ISEVEN(LEFT(AD82,4)),"Southbound","NorthBound")</f>
        <v>Southbound</v>
      </c>
      <c r="U82" s="144">
        <f>IF(AG82="EC",COUNTIFS(Variables!$M$2:$M$19,IF(T82="NorthBound","&gt;=","&lt;=")&amp;Y82,Variables!$M$2:$M$19,IF(T82="NorthBound","&lt;=","&gt;=")&amp;Z82),COUNTIFS(Variables!$P$2:$P$19,IF(T82="NorthBound","&gt;=","&lt;=")&amp;Y82,Variables!$P$2:$P$19,IF(T82="NorthBound","&lt;=","&gt;=")&amp;Z82))</f>
        <v>12</v>
      </c>
      <c r="V82" s="98" t="str">
        <f>"https://search-rtdc-monitor-bjffxe2xuh6vdkpspy63sjmuny.us-east-1.es.amazonaws.com/_plugin/kibana/#/discover/Steve-Slow-Train-Analysis-(2080s-and-2083s)?_g=(refreshInterval:(display:Off,section:0,value:0),time:(from:'"&amp;TEXT(E82-1/24,"yyyy-MM-DD hh:mm:ss")&amp;"-0600',mode:absolute,to:'"&amp;TEXT(I82+1/24,"yyyy-MM-DD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82&amp;"%22')),sort:!(Time,asc))"</f>
        <v>https://search-rtdc-monitor-bjffxe2xuh6vdkpspy63sjmuny.us-east-1.es.amazonaws.com/_plugin/kibana/#/discover/Steve-Slow-Train-Analysis-(2080s-and-2083s)?_g=(refreshInterval:(display:Off,section:0,value:0),time:(from:'2016-10-13 12:06:29-0600',mode:absolute,to:'2016-10-13 14:51: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82" s="52" t="str">
        <f>IF(AA82&lt;IF(AG82="EC",23,5.65),"Y","N")</f>
        <v>N</v>
      </c>
      <c r="X82" s="149">
        <f>VALUE(LEFT(AD82,4))-VALUE(LEFT(AD81,4))</f>
        <v>1</v>
      </c>
      <c r="Y82" s="67">
        <f>RIGHT(D82,LEN(D82)-4)/10000</f>
        <v>23.298300000000001</v>
      </c>
      <c r="Z82" s="67">
        <f>RIGHT(H82,LEN(H82)-4)/10000</f>
        <v>1.5800000000000002E-2</v>
      </c>
      <c r="AA82" s="67">
        <f>ABS(Z82-Y82)</f>
        <v>23.282500000000002</v>
      </c>
      <c r="AB82" s="64" t="e">
        <f>VLOOKUP(A82,Enforcements!$C$7:$K$21,8,0)</f>
        <v>#N/A</v>
      </c>
      <c r="AC82" s="60" t="e">
        <f>VLOOKUP(A82,Enforcements!$C$7:$E$21,3,0)</f>
        <v>#N/A</v>
      </c>
      <c r="AD82" s="61" t="str">
        <f>IF(LEN(A82)=6,"0"&amp;A82,A82)</f>
        <v>0170-13</v>
      </c>
      <c r="AE82" s="91" t="str">
        <f>"aws s3 cp "&amp;s3_bucket&amp;"/RTDC"&amp;B82&amp;"/ "&amp;search_path&amp;"\RTDC"&amp;B82&amp;"\"&amp;TEXT(F82,"YYYY-MM-DD")&amp;" --exclude ""*"" --recursive --include ""*"&amp;TEXT(F82,"YYYYMMDD")&amp;"*"" &amp; """&amp;walkandungz&amp;""" "&amp;search_path&amp;"\RTDC"&amp;B82&amp;"\"&amp;TEXT(F82,"YYYY-MM-DD")
&amp;" &amp; "&amp;"aws s3 cp "&amp;s3_bucket&amp;"/RTDC"&amp;B82&amp;"/ "&amp;search_path&amp;"\RTDC"&amp;B82&amp;"\"&amp;TEXT(F82+1,"YYYY-MM-DD")&amp;" --exclude ""*"" --recursive --include ""*"&amp;TEXT(F82+1,"YYYYMMDD")&amp;"*"" &amp; """&amp;walkandungz&amp;""" "&amp;search_path&amp;"\RTDC"&amp;B82&amp;"\"&amp;TEXT(F82+1,"YYYY-MM-DD")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82" s="88" t="str">
        <f>astrogrep_path&amp;" /spath="&amp;search_path&amp;" /stypes=""app*"&amp;B82&amp;"*"&amp;TEXT(I82-utc_offset/24,"YYYYMMDD")&amp;"*"" /stext="" "&amp;TEXT(I82-utc_offset/24,"HH")&amp;search_regexp&amp;""" /e /r /s"</f>
        <v>"C:\Program Files (x86)\AstroGrep\AstroGrep.exe" /spath="%USERPROFILE%\AppData\Local\Temp\OnboardLogs" /stypes="app*4001*20161013*" /stext=" 19:.+((SYSTEM_STATE.+slice.+state.+changed )|(ment ac)|(system.+state.+changed )|(\[timeout)|(PRM\|1\|D)|(kpr)|(kdp)|(\|lc)|(penalty))" /e /r /s</v>
      </c>
      <c r="AG82" s="1" t="str">
        <f>IFERROR(IF(VALUE(LEFT(AD82,2))&lt;=2,"EC",IF(OR(VALUE(LEFT(AD82,2))=8,VALUE(LEFT(AD82,2))=18),"NW","Other")),"Other")</f>
        <v>EC</v>
      </c>
      <c r="AH82" s="92" t="str">
        <f t="shared" si="6"/>
        <v>"%USERPROFILE%\Documents\GitHub\eaglep3\Utilities\RefineRTDCRunTimes.py" --tripid 170-13 --locoid 4001 --swversion DE.1.0.7.0 --startMP 204:232983 --initTime 2016-10-13T13:06:29 --startdatetime 2016-10-13T13:11:18 --delay 1 --endMP 204:158 --enddatetime 2016-10-13T13:51:18 --enforcementcount 1 &gt;&gt;C:\Users\stu\Documents\GitHub\eaglep3-reporting\EC\2016-10-13-refined-times.txt</v>
      </c>
      <c r="AI82" s="122" t="str">
        <f t="shared" si="7"/>
        <v>echo {"issue":{"subject":"","project_id":79,"tracker_id":40,"status_id":1,"priority_id":2,"assigned_to_id":23,"start_date":"2016-10-13","description":"","custom_fields":[{"id":1,"name":"Subdivision","value":"EC"},{"id":4,"name":"Milepost","value":"0.0158"},{"id":17,"name":"Train ID","value":"170-13"},{"id":16,"name":"Locomotive ID","value":"4001"},{"id":130,"name":"Impact","value":""},{"id":150,"name":"Time of Event (Mountain Time)","value":"13:51:18"},{"id":151,"name":"Denver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407</v>
      </c>
      <c r="B83" s="7">
        <v>4025</v>
      </c>
      <c r="C83" s="22" t="s">
        <v>99</v>
      </c>
      <c r="D83" s="22" t="s">
        <v>319</v>
      </c>
      <c r="E83" s="13">
        <v>42656.515532407408</v>
      </c>
      <c r="F83" s="13">
        <v>42656.521099537036</v>
      </c>
      <c r="G83" s="7">
        <v>3</v>
      </c>
      <c r="H83" s="13" t="s">
        <v>632</v>
      </c>
      <c r="I83" s="13">
        <v>42656.547384259262</v>
      </c>
      <c r="J83" s="7">
        <v>1</v>
      </c>
      <c r="K83" s="112" t="str">
        <f>IF(ISEVEN(B83),(B83-1)&amp;"/"&amp;B83,B83&amp;"/"&amp;(B83+1))</f>
        <v>4025/4026</v>
      </c>
      <c r="L83" s="22" t="str">
        <f>VLOOKUP(A83,'Trips&amp;Operators'!$C$1:$E$10000,3,FALSE)</f>
        <v>STORY</v>
      </c>
      <c r="M83" s="6">
        <f>I83-F83</f>
        <v>2.6284722225682344E-2</v>
      </c>
      <c r="N83" s="7">
        <f>24*60*SUM($M83:$M83)</f>
        <v>37.850000004982576</v>
      </c>
      <c r="O83" s="7"/>
      <c r="P83" s="7"/>
      <c r="Q83" s="23"/>
      <c r="R83" s="23"/>
      <c r="S83" s="35">
        <f>SUM(U83:U83)/IF(AG83="EC",12,1)</f>
        <v>1</v>
      </c>
      <c r="T83" s="50" t="str">
        <f>IF(ISEVEN(LEFT(AD83,4)),"Southbound","NorthBound")</f>
        <v>NorthBound</v>
      </c>
      <c r="U83" s="144">
        <f>IF(AG83="EC",COUNTIFS(Variables!$M$2:$M$19,IF(T83="NorthBound","&gt;=","&lt;=")&amp;Y83,Variables!$M$2:$M$19,IF(T83="NorthBound","&lt;=","&gt;=")&amp;Z83),COUNTIFS(Variables!$P$2:$P$19,IF(T83="NorthBound","&gt;=","&lt;=")&amp;Y83,Variables!$P$2:$P$19,IF(T83="NorthBound","&lt;=","&gt;=")&amp;Z83))</f>
        <v>12</v>
      </c>
      <c r="V83" s="98" t="str">
        <f>"https://search-rtdc-monitor-bjffxe2xuh6vdkpspy63sjmuny.us-east-1.es.amazonaws.com/_plugin/kibana/#/discover/Steve-Slow-Train-Analysis-(2080s-and-2083s)?_g=(refreshInterval:(display:Off,section:0,value:0),time:(from:'"&amp;TEXT(E83-1/24,"yyyy-MM-DD hh:mm:ss")&amp;"-0600',mode:absolute,to:'"&amp;TEXT(I83+1/24,"yyyy-MM-DD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83&amp;"%22')),sort:!(Time,asc))"</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3" s="52" t="str">
        <f>IF(AA83&lt;IF(AG83="EC",23,5.65),"Y","N")</f>
        <v>N</v>
      </c>
      <c r="X83" s="149">
        <f>VALUE(LEFT(AD83,4))-VALUE(LEFT(AD82,4))</f>
        <v>1</v>
      </c>
      <c r="Y83" s="67">
        <f>RIGHT(D83,LEN(D83)-4)/10000</f>
        <v>4.5999999999999999E-2</v>
      </c>
      <c r="Z83" s="67">
        <f>RIGHT(H83,LEN(H83)-4)/10000</f>
        <v>23.330100000000002</v>
      </c>
      <c r="AA83" s="67">
        <f>ABS(Z83-Y83)</f>
        <v>23.284100000000002</v>
      </c>
      <c r="AB83" s="64" t="str">
        <f>VLOOKUP(A83,Enforcements!$C$7:$K$21,8,0)</f>
        <v>Speed (6)</v>
      </c>
      <c r="AC83" s="60" t="str">
        <f>VLOOKUP(A83,Enforcements!$C$7:$E$21,3,0)</f>
        <v>PERMANENT SPEED RESTRICTION</v>
      </c>
      <c r="AD83" s="61" t="str">
        <f>IF(LEN(A83)=6,"0"&amp;A83,A83)</f>
        <v>0171-13</v>
      </c>
      <c r="AE83" s="91" t="str">
        <f>"aws s3 cp "&amp;s3_bucket&amp;"/RTDC"&amp;B83&amp;"/ "&amp;search_path&amp;"\RTDC"&amp;B83&amp;"\"&amp;TEXT(F83,"YYYY-MM-DD")&amp;" --exclude ""*"" --recursive --include ""*"&amp;TEXT(F83,"YYYYMMDD")&amp;"*"" &amp; """&amp;walkandungz&amp;""" "&amp;search_path&amp;"\RTDC"&amp;B83&amp;"\"&amp;TEXT(F83,"YYYY-MM-DD")
&amp;" &amp; "&amp;"aws s3 cp "&amp;s3_bucket&amp;"/RTDC"&amp;B83&amp;"/ "&amp;search_path&amp;"\RTDC"&amp;B83&amp;"\"&amp;TEXT(F83+1,"YYYY-MM-DD")&amp;" --exclude ""*"" --recursive --include ""*"&amp;TEXT(F83+1,"YYYYMMDD")&amp;"*"" &amp; """&amp;walkandungz&amp;""" "&amp;search_path&amp;"\RTDC"&amp;B83&amp;"\"&amp;TEXT(F83+1,"YYYY-MM-DD")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83" s="88" t="str">
        <f>astrogrep_path&amp;" /spath="&amp;search_path&amp;" /stypes=""app*"&amp;B83&amp;"*"&amp;TEXT(I83-utc_offset/24,"YYYYMMDD")&amp;"*"" /stext="" "&amp;TEXT(I83-utc_offset/24,"HH")&amp;search_regexp&amp;""" /e /r /s"</f>
        <v>"C:\Program Files (x86)\AstroGrep\AstroGrep.exe" /spath="%USERPROFILE%\AppData\Local\Temp\OnboardLogs" /stypes="app*4025*20161013*" /stext=" 19:.+((SYSTEM_STATE.+slice.+state.+changed )|(ment ac)|(system.+state.+changed )|(\[timeout)|(PRM\|1\|D)|(kpr)|(kdp)|(\|lc)|(penalty))" /e /r /s</v>
      </c>
      <c r="AG83" s="1" t="str">
        <f>IFERROR(IF(VALUE(LEFT(AD83,2))&lt;=2,"EC",IF(OR(VALUE(LEFT(AD83,2))=8,VALUE(LEFT(AD83,2))=18),"NW","Other")),"Other")</f>
        <v>EC</v>
      </c>
      <c r="AH83" s="92" t="str">
        <f t="shared" si="6"/>
        <v>"%USERPROFILE%\Documents\GitHub\eaglep3\Utilities\RefineRTDCRunTimes.py" --tripid 171-13 --locoid 4025 --swversion DE.1.0.7.0 --startMP 204:460 --initTime 2016-10-13T12:22:22 --startdatetime 2016-10-13T12:30:23 --delay 3 --endMP 204:233301 --enddatetime 2016-10-13T13:08:14 --enforcementcount 1 &gt;&gt;C:\Users\stu\Documents\GitHub\eaglep3-reporting\EC\2016-10-13-refined-times.txt</v>
      </c>
      <c r="AI83" s="122" t="str">
        <f t="shared" si="7"/>
        <v>echo {"issue":{"subject":"","project_id":79,"tracker_id":40,"status_id":1,"priority_id":2,"assigned_to_id":23,"start_date":"2016-10-13","description":"","custom_fields":[{"id":1,"name":"Subdivision","value":"EC"},{"id":4,"name":"Milepost","value":"23.3301"},{"id":17,"name":"Train ID","value":"171-13"},{"id":16,"name":"Locomotive ID","value":"4025"},{"id":130,"name":"Impact","value":""},{"id":150,"name":"Time of Event (Mountain Time)","value":"13:08:14"},{"id":151,"name":"Denver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509</v>
      </c>
      <c r="B84" s="7">
        <v>4026</v>
      </c>
      <c r="C84" s="22" t="s">
        <v>99</v>
      </c>
      <c r="D84" s="22" t="s">
        <v>641</v>
      </c>
      <c r="E84" s="13">
        <v>42656.55431712963</v>
      </c>
      <c r="F84" s="13">
        <v>42656.560104166667</v>
      </c>
      <c r="G84" s="7">
        <v>1</v>
      </c>
      <c r="H84" s="13" t="s">
        <v>296</v>
      </c>
      <c r="I84" s="13">
        <v>42656.587523148148</v>
      </c>
      <c r="J84" s="7">
        <v>1</v>
      </c>
      <c r="K84" s="112" t="str">
        <f>IF(ISEVEN(B84),(B84-1)&amp;"/"&amp;B84,B84&amp;"/"&amp;(B84+1))</f>
        <v>4025/4026</v>
      </c>
      <c r="L84" s="22" t="str">
        <f>VLOOKUP(A84,'Trips&amp;Operators'!$C$1:$E$10000,3,FALSE)</f>
        <v>STORY</v>
      </c>
      <c r="M84" s="6">
        <f>I84-F84</f>
        <v>2.7418981480877846E-2</v>
      </c>
      <c r="N84" s="7">
        <f>24*60*SUM($M84:$M84)</f>
        <v>39.483333332464099</v>
      </c>
      <c r="O84" s="7"/>
      <c r="P84" s="7"/>
      <c r="Q84" s="23"/>
      <c r="R84" s="23"/>
      <c r="S84" s="35">
        <f>SUM(U84:U84)/IF(AG84="EC",12,1)</f>
        <v>1</v>
      </c>
      <c r="T84" s="50" t="str">
        <f>IF(ISEVEN(LEFT(AD84,4)),"Southbound","NorthBound")</f>
        <v>Southbound</v>
      </c>
      <c r="U84" s="144">
        <f>IF(AG84="EC",COUNTIFS(Variables!$M$2:$M$19,IF(T84="NorthBound","&gt;=","&lt;=")&amp;Y84,Variables!$M$2:$M$19,IF(T84="NorthBound","&lt;=","&gt;=")&amp;Z84),COUNTIFS(Variables!$P$2:$P$19,IF(T84="NorthBound","&gt;=","&lt;=")&amp;Y84,Variables!$P$2:$P$19,IF(T84="NorthBound","&lt;=","&gt;=")&amp;Z84))</f>
        <v>12</v>
      </c>
      <c r="V84" s="98" t="str">
        <f>"https://search-rtdc-monitor-bjffxe2xuh6vdkpspy63sjmuny.us-east-1.es.amazonaws.com/_plugin/kibana/#/discover/Steve-Slow-Train-Analysis-(2080s-and-2083s)?_g=(refreshInterval:(display:Off,section:0,value:0),time:(from:'"&amp;TEXT(E84-1/24,"yyyy-MM-DD hh:mm:ss")&amp;"-0600',mode:absolute,to:'"&amp;TEXT(I84+1/24,"yyyy-MM-DD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84&amp;"%22')),sort:!(Time,asc))"</f>
        <v>https://search-rtdc-monitor-bjffxe2xuh6vdkpspy63sjmuny.us-east-1.es.amazonaws.com/_plugin/kibana/#/discover/Steve-Slow-Train-Analysis-(2080s-and-2083s)?_g=(refreshInterval:(display:Off,section:0,value:0),time:(from:'2016-10-13 12:18:13-0600',mode:absolute,to:'2016-10-13 15:06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4" s="52" t="str">
        <f>IF(AA84&lt;IF(AG84="EC",23,5.65),"Y","N")</f>
        <v>N</v>
      </c>
      <c r="X84" s="149">
        <f>VALUE(LEFT(AD84,4))-VALUE(LEFT(AD83,4))</f>
        <v>1</v>
      </c>
      <c r="Y84" s="67">
        <f>RIGHT(D84,LEN(D84)-4)/10000</f>
        <v>23.299399999999999</v>
      </c>
      <c r="Z84" s="67">
        <f>RIGHT(H84,LEN(H84)-4)/10000</f>
        <v>1.34E-2</v>
      </c>
      <c r="AA84" s="67">
        <f>ABS(Z84-Y84)</f>
        <v>23.285999999999998</v>
      </c>
      <c r="AB84" s="64" t="e">
        <f>VLOOKUP(A84,Enforcements!$C$7:$K$21,8,0)</f>
        <v>#N/A</v>
      </c>
      <c r="AC84" s="60" t="e">
        <f>VLOOKUP(A84,Enforcements!$C$7:$E$21,3,0)</f>
        <v>#N/A</v>
      </c>
      <c r="AD84" s="61" t="str">
        <f>IF(LEN(A84)=6,"0"&amp;A84,A84)</f>
        <v>0172-13</v>
      </c>
      <c r="AE84" s="91" t="str">
        <f>"aws s3 cp "&amp;s3_bucket&amp;"/RTDC"&amp;B84&amp;"/ "&amp;search_path&amp;"\RTDC"&amp;B84&amp;"\"&amp;TEXT(F84,"YYYY-MM-DD")&amp;" --exclude ""*"" --recursive --include ""*"&amp;TEXT(F84,"YYYYMMDD")&amp;"*"" &amp; """&amp;walkandungz&amp;""" "&amp;search_path&amp;"\RTDC"&amp;B84&amp;"\"&amp;TEXT(F84,"YYYY-MM-DD")
&amp;" &amp; "&amp;"aws s3 cp "&amp;s3_bucket&amp;"/RTDC"&amp;B84&amp;"/ "&amp;search_path&amp;"\RTDC"&amp;B84&amp;"\"&amp;TEXT(F84+1,"YYYY-MM-DD")&amp;" --exclude ""*"" --recursive --include ""*"&amp;TEXT(F84+1,"YYYYMMDD")&amp;"*"" &amp; """&amp;walkandungz&amp;""" "&amp;search_path&amp;"\RTDC"&amp;B84&amp;"\"&amp;TEXT(F84+1,"YYYY-MM-DD")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84" s="88" t="str">
        <f>astrogrep_path&amp;" /spath="&amp;search_path&amp;" /stypes=""app*"&amp;B84&amp;"*"&amp;TEXT(I84-utc_offset/24,"YYYYMMDD")&amp;"*"" /stext="" "&amp;TEXT(I84-utc_offset/24,"HH")&amp;search_regexp&amp;""" /e /r /s"</f>
        <v>"C:\Program Files (x86)\AstroGrep\AstroGrep.exe" /spath="%USERPROFILE%\AppData\Local\Temp\OnboardLogs" /stypes="app*4026*20161013*" /stext=" 20:.+((SYSTEM_STATE.+slice.+state.+changed )|(ment ac)|(system.+state.+changed )|(\[timeout)|(PRM\|1\|D)|(kpr)|(kdp)|(\|lc)|(penalty))" /e /r /s</v>
      </c>
      <c r="AG84" s="1" t="str">
        <f>IFERROR(IF(VALUE(LEFT(AD84,2))&lt;=2,"EC",IF(OR(VALUE(LEFT(AD84,2))=8,VALUE(LEFT(AD84,2))=18),"NW","Other")),"Other")</f>
        <v>EC</v>
      </c>
      <c r="AH84" s="92" t="str">
        <f t="shared" si="6"/>
        <v>"%USERPROFILE%\Documents\GitHub\eaglep3\Utilities\RefineRTDCRunTimes.py" --tripid 172-13 --locoid 4026 --swversion DE.1.0.7.0 --startMP 204:232994 --initTime 2016-10-13T13:18:13 --startdatetime 2016-10-13T13:26:33 --delay 1 --endMP 204:134 --enddatetime 2016-10-13T14:06:02 --enforcementcount 1 &gt;&gt;C:\Users\stu\Documents\GitHub\eaglep3-reporting\EC\2016-10-13-refined-times.txt</v>
      </c>
      <c r="AI84" s="122" t="str">
        <f t="shared" si="7"/>
        <v>echo {"issue":{"subject":"","project_id":79,"tracker_id":40,"status_id":1,"priority_id":2,"assigned_to_id":23,"start_date":"2016-10-13","description":"","custom_fields":[{"id":1,"name":"Subdivision","value":"EC"},{"id":4,"name":"Milepost","value":"0.0134"},{"id":17,"name":"Train ID","value":"172-13"},{"id":16,"name":"Locomotive ID","value":"4026"},{"id":130,"name":"Impact","value":""},{"id":150,"name":"Time of Event (Mountain Time)","value":"14:06:02"},{"id":151,"name":"Denver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501</v>
      </c>
      <c r="B85" s="7">
        <v>4042</v>
      </c>
      <c r="C85" s="22" t="s">
        <v>99</v>
      </c>
      <c r="D85" s="22" t="s">
        <v>276</v>
      </c>
      <c r="E85" s="13">
        <v>42656.525300925925</v>
      </c>
      <c r="F85" s="13">
        <v>42656.531400462962</v>
      </c>
      <c r="G85" s="7">
        <v>1</v>
      </c>
      <c r="H85" s="13" t="s">
        <v>647</v>
      </c>
      <c r="I85" s="13">
        <v>42656.558564814812</v>
      </c>
      <c r="J85" s="7">
        <v>1</v>
      </c>
      <c r="K85" s="112" t="str">
        <f>IF(ISEVEN(B85),(B85-1)&amp;"/"&amp;B85,B85&amp;"/"&amp;(B85+1))</f>
        <v>4041/4042</v>
      </c>
      <c r="L85" s="22" t="str">
        <f>VLOOKUP(A85,'Trips&amp;Operators'!$C$1:$E$10000,3,FALSE)</f>
        <v>BONDS</v>
      </c>
      <c r="M85" s="6">
        <f>I85-F85</f>
        <v>2.7164351849933155E-2</v>
      </c>
      <c r="N85" s="7">
        <f>24*60*SUM($M85:$M85)</f>
        <v>39.116666663903743</v>
      </c>
      <c r="O85" s="7"/>
      <c r="P85" s="7"/>
      <c r="Q85" s="23"/>
      <c r="R85" s="23"/>
      <c r="S85" s="35">
        <f>SUM(U85:U85)/IF(AG85="EC",12,1)</f>
        <v>1</v>
      </c>
      <c r="T85" s="50" t="str">
        <f>IF(ISEVEN(LEFT(AD85,4)),"Southbound","NorthBound")</f>
        <v>NorthBound</v>
      </c>
      <c r="U85" s="144">
        <f>IF(AG85="EC",COUNTIFS(Variables!$M$2:$M$19,IF(T85="NorthBound","&gt;=","&lt;=")&amp;Y85,Variables!$M$2:$M$19,IF(T85="NorthBound","&lt;=","&gt;=")&amp;Z85),COUNTIFS(Variables!$P$2:$P$19,IF(T85="NorthBound","&gt;=","&lt;=")&amp;Y85,Variables!$P$2:$P$19,IF(T85="NorthBound","&lt;=","&gt;=")&amp;Z85))</f>
        <v>12</v>
      </c>
      <c r="V85" s="98" t="str">
        <f>"https://search-rtdc-monitor-bjffxe2xuh6vdkpspy63sjmuny.us-east-1.es.amazonaws.com/_plugin/kibana/#/discover/Steve-Slow-Train-Analysis-(2080s-and-2083s)?_g=(refreshInterval:(display:Off,section:0,value:0),time:(from:'"&amp;TEXT(E85-1/24,"yyyy-MM-DD hh:mm:ss")&amp;"-0600',mode:absolute,to:'"&amp;TEXT(I85+1/24,"yyyy-MM-DD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85&amp;"%22')),sort:!(Time,asc))"</f>
        <v>https://search-rtdc-monitor-bjffxe2xuh6vdkpspy63sjmuny.us-east-1.es.amazonaws.com/_plugin/kibana/#/discover/Steve-Slow-Train-Analysis-(2080s-and-2083s)?_g=(refreshInterval:(display:Off,section:0,value:0),time:(from:'2016-10-13 11:36:26-0600',mode:absolute,to:'2016-10-13 14:24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85" s="52" t="str">
        <f>IF(AA85&lt;IF(AG85="EC",23,5.65),"Y","N")</f>
        <v>N</v>
      </c>
      <c r="X85" s="149">
        <f>VALUE(LEFT(AD85,4))-VALUE(LEFT(AD84,4))</f>
        <v>1</v>
      </c>
      <c r="Y85" s="67">
        <f>RIGHT(D85,LEN(D85)-4)/10000</f>
        <v>4.4699999999999997E-2</v>
      </c>
      <c r="Z85" s="67">
        <f>RIGHT(H85,LEN(H85)-4)/10000</f>
        <v>23.336099999999998</v>
      </c>
      <c r="AA85" s="67">
        <f>ABS(Z85-Y85)</f>
        <v>23.291399999999999</v>
      </c>
      <c r="AB85" s="64" t="e">
        <f>VLOOKUP(A85,Enforcements!$C$7:$K$21,8,0)</f>
        <v>#N/A</v>
      </c>
      <c r="AC85" s="60" t="e">
        <f>VLOOKUP(A85,Enforcements!$C$7:$E$21,3,0)</f>
        <v>#N/A</v>
      </c>
      <c r="AD85" s="61" t="str">
        <f>IF(LEN(A85)=6,"0"&amp;A85,A85)</f>
        <v>0173-13</v>
      </c>
      <c r="AE85" s="91" t="str">
        <f>"aws s3 cp "&amp;s3_bucket&amp;"/RTDC"&amp;B85&amp;"/ "&amp;search_path&amp;"\RTDC"&amp;B85&amp;"\"&amp;TEXT(F85,"YYYY-MM-DD")&amp;" --exclude ""*"" --recursive --include ""*"&amp;TEXT(F85,"YYYYMMDD")&amp;"*"" &amp; """&amp;walkandungz&amp;""" "&amp;search_path&amp;"\RTDC"&amp;B85&amp;"\"&amp;TEXT(F85,"YYYY-MM-DD")
&amp;" &amp; "&amp;"aws s3 cp "&amp;s3_bucket&amp;"/RTDC"&amp;B85&amp;"/ "&amp;search_path&amp;"\RTDC"&amp;B85&amp;"\"&amp;TEXT(F85+1,"YYYY-MM-DD")&amp;" --exclude ""*"" --recursive --include ""*"&amp;TEXT(F85+1,"YYYYMMDD")&amp;"*"" &amp; """&amp;walkandungz&amp;""" "&amp;search_path&amp;"\RTDC"&amp;B85&amp;"\"&amp;TEXT(F85+1,"YYYY-MM-DD")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85" s="88" t="str">
        <f>astrogrep_path&amp;" /spath="&amp;search_path&amp;" /stypes=""app*"&amp;B85&amp;"*"&amp;TEXT(I85-utc_offset/24,"YYYYMMDD")&amp;"*"" /stext="" "&amp;TEXT(I85-utc_offset/24,"HH")&amp;search_regexp&amp;""" /e /r /s"</f>
        <v>"C:\Program Files (x86)\AstroGrep\AstroGrep.exe" /spath="%USERPROFILE%\AppData\Local\Temp\OnboardLogs" /stypes="app*4042*20161013*" /stext=" 19:.+((SYSTEM_STATE.+slice.+state.+changed )|(ment ac)|(system.+state.+changed )|(\[timeout)|(PRM\|1\|D)|(kpr)|(kdp)|(\|lc)|(penalty))" /e /r /s</v>
      </c>
      <c r="AG85" s="1" t="str">
        <f>IFERROR(IF(VALUE(LEFT(AD85,2))&lt;=2,"EC",IF(OR(VALUE(LEFT(AD85,2))=8,VALUE(LEFT(AD85,2))=18),"NW","Other")),"Other")</f>
        <v>EC</v>
      </c>
      <c r="AH85" s="92" t="str">
        <f t="shared" si="6"/>
        <v>"%USERPROFILE%\Documents\GitHub\eaglep3\Utilities\RefineRTDCRunTimes.py" --tripid 173-13 --locoid 4042 --swversion DE.1.0.7.0 --startMP 204:447 --initTime 2016-10-13T12:36:26 --startdatetime 2016-10-13T12:45:13 --delay 1 --endMP 204:233361 --enddatetime 2016-10-13T13:24:20 --enforcementcount 1 &gt;&gt;C:\Users\stu\Documents\GitHub\eaglep3-reporting\EC\2016-10-13-refined-times.txt</v>
      </c>
      <c r="AI85" s="122" t="str">
        <f t="shared" si="7"/>
        <v>echo {"issue":{"subject":"","project_id":79,"tracker_id":40,"status_id":1,"priority_id":2,"assigned_to_id":23,"start_date":"2016-10-13","description":"","custom_fields":[{"id":1,"name":"Subdivision","value":"EC"},{"id":4,"name":"Milepost","value":"23.3361"},{"id":17,"name":"Train ID","value":"173-13"},{"id":16,"name":"Locomotive ID","value":"4042"},{"id":130,"name":"Impact","value":""},{"id":150,"name":"Time of Event (Mountain Time)","value":"13:24:20"},{"id":151,"name":"Denver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511</v>
      </c>
      <c r="B86" s="7">
        <v>4041</v>
      </c>
      <c r="C86" s="22" t="s">
        <v>99</v>
      </c>
      <c r="D86" s="22" t="s">
        <v>648</v>
      </c>
      <c r="E86" s="13">
        <v>42656.562650462962</v>
      </c>
      <c r="F86" s="13">
        <v>42656.570335648146</v>
      </c>
      <c r="G86" s="7">
        <v>1</v>
      </c>
      <c r="H86" s="13" t="s">
        <v>270</v>
      </c>
      <c r="I86" s="13">
        <v>42656.597060185188</v>
      </c>
      <c r="J86" s="7">
        <v>1</v>
      </c>
      <c r="K86" s="112" t="str">
        <f>IF(ISEVEN(B86),(B86-1)&amp;"/"&amp;B86,B86&amp;"/"&amp;(B86+1))</f>
        <v>4041/4042</v>
      </c>
      <c r="L86" s="22" t="str">
        <f>VLOOKUP(A86,'Trips&amp;Operators'!$C$1:$E$10000,3,FALSE)</f>
        <v>BONDS</v>
      </c>
      <c r="M86" s="6">
        <f>I86-F86</f>
        <v>2.6724537041445728E-2</v>
      </c>
      <c r="N86" s="7">
        <f>24*60*SUM($M86:$M86)</f>
        <v>38.483333339681849</v>
      </c>
      <c r="O86" s="7"/>
      <c r="P86" s="7"/>
      <c r="Q86" s="23"/>
      <c r="R86" s="23"/>
      <c r="S86" s="35">
        <f>SUM(U86:U86)/IF(AG86="EC",12,1)</f>
        <v>1</v>
      </c>
      <c r="T86" s="50" t="str">
        <f>IF(ISEVEN(LEFT(AD86,4)),"Southbound","NorthBound")</f>
        <v>Southbound</v>
      </c>
      <c r="U86" s="144">
        <f>IF(AG86="EC",COUNTIFS(Variables!$M$2:$M$19,IF(T86="NorthBound","&gt;=","&lt;=")&amp;Y86,Variables!$M$2:$M$19,IF(T86="NorthBound","&lt;=","&gt;=")&amp;Z86),COUNTIFS(Variables!$P$2:$P$19,IF(T86="NorthBound","&gt;=","&lt;=")&amp;Y86,Variables!$P$2:$P$19,IF(T86="NorthBound","&lt;=","&gt;=")&amp;Z86))</f>
        <v>12</v>
      </c>
      <c r="V86" s="98" t="str">
        <f>"https://search-rtdc-monitor-bjffxe2xuh6vdkpspy63sjmuny.us-east-1.es.amazonaws.com/_plugin/kibana/#/discover/Steve-Slow-Train-Analysis-(2080s-and-2083s)?_g=(refreshInterval:(display:Off,section:0,value:0),time:(from:'"&amp;TEXT(E86-1/24,"yyyy-MM-DD hh:mm:ss")&amp;"-0600',mode:absolute,to:'"&amp;TEXT(I86+1/24,"yyyy-MM-DD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86&amp;"%22')),sort:!(Time,asc))"</f>
        <v>https://search-rtdc-monitor-bjffxe2xuh6vdkpspy63sjmuny.us-east-1.es.amazonaws.com/_plugin/kibana/#/discover/Steve-Slow-Train-Analysis-(2080s-and-2083s)?_g=(refreshInterval:(display:Off,section:0,value:0),time:(from:'2016-10-13 12:30:13-0600',mode:absolute,to:'2016-10-13 15:19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86" s="52" t="str">
        <f>IF(AA86&lt;IF(AG86="EC",23,5.65),"Y","N")</f>
        <v>N</v>
      </c>
      <c r="X86" s="149">
        <f>VALUE(LEFT(AD86,4))-VALUE(LEFT(AD85,4))</f>
        <v>1</v>
      </c>
      <c r="Y86" s="67">
        <f>RIGHT(D86,LEN(D86)-4)/10000</f>
        <v>23.300999999999998</v>
      </c>
      <c r="Z86" s="67">
        <f>RIGHT(H86,LEN(H86)-4)/10000</f>
        <v>1.43E-2</v>
      </c>
      <c r="AA86" s="67">
        <f>ABS(Z86-Y86)</f>
        <v>23.2867</v>
      </c>
      <c r="AB86" s="64" t="e">
        <f>VLOOKUP(A86,Enforcements!$C$7:$K$21,8,0)</f>
        <v>#N/A</v>
      </c>
      <c r="AC86" s="60" t="e">
        <f>VLOOKUP(A86,Enforcements!$C$7:$E$21,3,0)</f>
        <v>#N/A</v>
      </c>
      <c r="AD86" s="61" t="str">
        <f>IF(LEN(A86)=6,"0"&amp;A86,A86)</f>
        <v>0174-13</v>
      </c>
      <c r="AE86" s="91" t="str">
        <f>"aws s3 cp "&amp;s3_bucket&amp;"/RTDC"&amp;B86&amp;"/ "&amp;search_path&amp;"\RTDC"&amp;B86&amp;"\"&amp;TEXT(F86,"YYYY-MM-DD")&amp;" --exclude ""*"" --recursive --include ""*"&amp;TEXT(F86,"YYYYMMDD")&amp;"*"" &amp; """&amp;walkandungz&amp;""" "&amp;search_path&amp;"\RTDC"&amp;B86&amp;"\"&amp;TEXT(F86,"YYYY-MM-DD")
&amp;" &amp; "&amp;"aws s3 cp "&amp;s3_bucket&amp;"/RTDC"&amp;B86&amp;"/ "&amp;search_path&amp;"\RTDC"&amp;B86&amp;"\"&amp;TEXT(F86+1,"YYYY-MM-DD")&amp;" --exclude ""*"" --recursive --include ""*"&amp;TEXT(F86+1,"YYYYMMDD")&amp;"*"" &amp; """&amp;walkandungz&amp;""" "&amp;search_path&amp;"\RTDC"&amp;B86&amp;"\"&amp;TEXT(F86+1,"YYYY-MM-DD")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86" s="88" t="str">
        <f>astrogrep_path&amp;" /spath="&amp;search_path&amp;" /stypes=""app*"&amp;B86&amp;"*"&amp;TEXT(I86-utc_offset/24,"YYYYMMDD")&amp;"*"" /stext="" "&amp;TEXT(I86-utc_offset/24,"HH")&amp;search_regexp&amp;""" /e /r /s"</f>
        <v>"C:\Program Files (x86)\AstroGrep\AstroGrep.exe" /spath="%USERPROFILE%\AppData\Local\Temp\OnboardLogs" /stypes="app*4041*20161013*" /stext=" 20:.+((SYSTEM_STATE.+slice.+state.+changed )|(ment ac)|(system.+state.+changed )|(\[timeout)|(PRM\|1\|D)|(kpr)|(kdp)|(\|lc)|(penalty))" /e /r /s</v>
      </c>
      <c r="AG86" s="1" t="str">
        <f>IFERROR(IF(VALUE(LEFT(AD86,2))&lt;=2,"EC",IF(OR(VALUE(LEFT(AD86,2))=8,VALUE(LEFT(AD86,2))=18),"NW","Other")),"Other")</f>
        <v>EC</v>
      </c>
      <c r="AH86" s="92" t="str">
        <f t="shared" si="6"/>
        <v>"%USERPROFILE%\Documents\GitHub\eaglep3\Utilities\RefineRTDCRunTimes.py" --tripid 174-13 --locoid 4041 --swversion DE.1.0.7.0 --startMP 204:233010 --initTime 2016-10-13T13:30:13 --startdatetime 2016-10-13T13:41:17 --delay 1 --endMP 204:143 --enddatetime 2016-10-13T14:19:46 --enforcementcount 1 &gt;&gt;C:\Users\stu\Documents\GitHub\eaglep3-reporting\EC\2016-10-13-refined-times.txt</v>
      </c>
      <c r="AI86" s="122" t="str">
        <f t="shared" si="7"/>
        <v>echo {"issue":{"subject":"","project_id":79,"tracker_id":40,"status_id":1,"priority_id":2,"assigned_to_id":23,"start_date":"2016-10-13","description":"","custom_fields":[{"id":1,"name":"Subdivision","value":"EC"},{"id":4,"name":"Milepost","value":"0.0143"},{"id":17,"name":"Train ID","value":"174-13"},{"id":16,"name":"Locomotive ID","value":"4041"},{"id":130,"name":"Impact","value":""},{"id":150,"name":"Time of Event (Mountain Time)","value":"14:19:46"},{"id":151,"name":"Denver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504</v>
      </c>
      <c r="B87" s="7">
        <v>4044</v>
      </c>
      <c r="C87" s="22" t="s">
        <v>99</v>
      </c>
      <c r="D87" s="22" t="s">
        <v>284</v>
      </c>
      <c r="E87" s="13">
        <v>42656.537268518521</v>
      </c>
      <c r="F87" s="13">
        <v>42656.54215277778</v>
      </c>
      <c r="G87" s="7">
        <v>1</v>
      </c>
      <c r="H87" s="13" t="s">
        <v>625</v>
      </c>
      <c r="I87" s="13">
        <v>42656.566261574073</v>
      </c>
      <c r="J87" s="7">
        <v>1</v>
      </c>
      <c r="K87" s="112" t="str">
        <f>IF(ISEVEN(B87),(B87-1)&amp;"/"&amp;B87,B87&amp;"/"&amp;(B87+1))</f>
        <v>4043/4044</v>
      </c>
      <c r="L87" s="22" t="str">
        <f>VLOOKUP(A87,'Trips&amp;Operators'!$C$1:$E$10000,3,FALSE)</f>
        <v>STAMBAUGH</v>
      </c>
      <c r="M87" s="6">
        <f>I87-F87</f>
        <v>2.4108796293148771E-2</v>
      </c>
      <c r="N87" s="7">
        <f>24*60*SUM($M87:$M87)</f>
        <v>34.71666666213423</v>
      </c>
      <c r="O87" s="7"/>
      <c r="P87" s="7"/>
      <c r="Q87" s="23"/>
      <c r="R87" s="23"/>
      <c r="S87" s="35">
        <f>SUM(U87:U87)/IF(AG87="EC",12,1)</f>
        <v>1</v>
      </c>
      <c r="T87" s="50" t="str">
        <f>IF(ISEVEN(LEFT(AD87,4)),"Southbound","NorthBound")</f>
        <v>NorthBound</v>
      </c>
      <c r="U87" s="144">
        <f>IF(AG87="EC",COUNTIFS(Variables!$M$2:$M$19,IF(T87="NorthBound","&gt;=","&lt;=")&amp;Y87,Variables!$M$2:$M$19,IF(T87="NorthBound","&lt;=","&gt;=")&amp;Z87),COUNTIFS(Variables!$P$2:$P$19,IF(T87="NorthBound","&gt;=","&lt;=")&amp;Y87,Variables!$P$2:$P$19,IF(T87="NorthBound","&lt;=","&gt;=")&amp;Z87))</f>
        <v>12</v>
      </c>
      <c r="V87" s="98" t="str">
        <f>"https://search-rtdc-monitor-bjffxe2xuh6vdkpspy63sjmuny.us-east-1.es.amazonaws.com/_plugin/kibana/#/discover/Steve-Slow-Train-Analysis-(2080s-and-2083s)?_g=(refreshInterval:(display:Off,section:0,value:0),time:(from:'"&amp;TEXT(E87-1/24,"yyyy-MM-DD hh:mm:ss")&amp;"-0600',mode:absolute,to:'"&amp;TEXT(I87+1/24,"yyyy-MM-DD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87&amp;"%22')),sort:!(Time,asc))"</f>
        <v>https://search-rtdc-monitor-bjffxe2xuh6vdkpspy63sjmuny.us-east-1.es.amazonaws.com/_plugin/kibana/#/discover/Steve-Slow-Train-Analysis-(2080s-and-2083s)?_g=(refreshInterval:(display:Off,section:0,value:0),time:(from:'2016-10-13 11:53:40-0600',mode:absolute,to:'2016-10-13 14: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87" s="52" t="str">
        <f>IF(AA87&lt;IF(AG87="EC",23,5.65),"Y","N")</f>
        <v>N</v>
      </c>
      <c r="X87" s="149">
        <f>VALUE(LEFT(AD87,4))-VALUE(LEFT(AD86,4))</f>
        <v>1</v>
      </c>
      <c r="Y87" s="67">
        <f>RIGHT(D87,LEN(D87)-4)/10000</f>
        <v>4.6399999999999997E-2</v>
      </c>
      <c r="Z87" s="67">
        <f>RIGHT(H87,LEN(H87)-4)/10000</f>
        <v>23.3324</v>
      </c>
      <c r="AA87" s="67">
        <f>ABS(Z87-Y87)</f>
        <v>23.286000000000001</v>
      </c>
      <c r="AB87" s="64" t="e">
        <f>VLOOKUP(A87,Enforcements!$C$7:$K$21,8,0)</f>
        <v>#N/A</v>
      </c>
      <c r="AC87" s="60" t="e">
        <f>VLOOKUP(A87,Enforcements!$C$7:$E$21,3,0)</f>
        <v>#N/A</v>
      </c>
      <c r="AD87" s="61" t="str">
        <f>IF(LEN(A87)=6,"0"&amp;A87,A87)</f>
        <v>0175-13</v>
      </c>
      <c r="AE87" s="91" t="str">
        <f>"aws s3 cp "&amp;s3_bucket&amp;"/RTDC"&amp;B87&amp;"/ "&amp;search_path&amp;"\RTDC"&amp;B87&amp;"\"&amp;TEXT(F87,"YYYY-MM-DD")&amp;" --exclude ""*"" --recursive --include ""*"&amp;TEXT(F87,"YYYYMMDD")&amp;"*"" &amp; """&amp;walkandungz&amp;""" "&amp;search_path&amp;"\RTDC"&amp;B87&amp;"\"&amp;TEXT(F87,"YYYY-MM-DD")
&amp;" &amp; "&amp;"aws s3 cp "&amp;s3_bucket&amp;"/RTDC"&amp;B87&amp;"/ "&amp;search_path&amp;"\RTDC"&amp;B87&amp;"\"&amp;TEXT(F87+1,"YYYY-MM-DD")&amp;" --exclude ""*"" --recursive --include ""*"&amp;TEXT(F87+1,"YYYYMMDD")&amp;"*"" &amp; """&amp;walkandungz&amp;""" "&amp;search_path&amp;"\RTDC"&amp;B87&amp;"\"&amp;TEXT(F87+1,"YYYY-MM-DD")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87" s="88" t="str">
        <f>astrogrep_path&amp;" /spath="&amp;search_path&amp;" /stypes=""app*"&amp;B87&amp;"*"&amp;TEXT(I87-utc_offset/24,"YYYYMMDD")&amp;"*"" /stext="" "&amp;TEXT(I87-utc_offset/24,"HH")&amp;search_regexp&amp;""" /e /r /s"</f>
        <v>"C:\Program Files (x86)\AstroGrep\AstroGrep.exe" /spath="%USERPROFILE%\AppData\Local\Temp\OnboardLogs" /stypes="app*4044*20161013*" /stext=" 19:.+((SYSTEM_STATE.+slice.+state.+changed )|(ment ac)|(system.+state.+changed )|(\[timeout)|(PRM\|1\|D)|(kpr)|(kdp)|(\|lc)|(penalty))" /e /r /s</v>
      </c>
      <c r="AG87" s="1" t="str">
        <f>IFERROR(IF(VALUE(LEFT(AD87,2))&lt;=2,"EC",IF(OR(VALUE(LEFT(AD87,2))=8,VALUE(LEFT(AD87,2))=18),"NW","Other")),"Other")</f>
        <v>EC</v>
      </c>
      <c r="AH87" s="92" t="str">
        <f t="shared" si="6"/>
        <v>"%USERPROFILE%\Documents\GitHub\eaglep3\Utilities\RefineRTDCRunTimes.py" --tripid 175-13 --locoid 4044 --swversion DE.1.0.7.0 --startMP 204:464 --initTime 2016-10-13T12:53:40 --startdatetime 2016-10-13T13:00:42 --delay 1 --endMP 204:233324 --enddatetime 2016-10-13T13:35:25 --enforcementcount 1 &gt;&gt;C:\Users\stu\Documents\GitHub\eaglep3-reporting\EC\2016-10-13-refined-times.txt</v>
      </c>
      <c r="AI87" s="122" t="str">
        <f t="shared" si="7"/>
        <v>echo {"issue":{"subject":"","project_id":79,"tracker_id":40,"status_id":1,"priority_id":2,"assigned_to_id":23,"start_date":"2016-10-13","description":"","custom_fields":[{"id":1,"name":"Subdivision","value":"EC"},{"id":4,"name":"Milepost","value":"23.3324"},{"id":17,"name":"Train ID","value":"175-13"},{"id":16,"name":"Locomotive ID","value":"4044"},{"id":130,"name":"Impact","value":""},{"id":150,"name":"Time of Event (Mountain Time)","value":"13:35:25"},{"id":151,"name":"Denver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513</v>
      </c>
      <c r="B88" s="7">
        <v>4043</v>
      </c>
      <c r="C88" s="22" t="s">
        <v>99</v>
      </c>
      <c r="D88" s="22" t="s">
        <v>649</v>
      </c>
      <c r="E88" s="13">
        <v>42656.568831018521</v>
      </c>
      <c r="F88" s="13">
        <v>42656.580891203703</v>
      </c>
      <c r="G88" s="7">
        <v>1</v>
      </c>
      <c r="H88" s="13" t="s">
        <v>260</v>
      </c>
      <c r="I88" s="13">
        <v>42656.60800925926</v>
      </c>
      <c r="J88" s="7">
        <v>1</v>
      </c>
      <c r="K88" s="112" t="str">
        <f>IF(ISEVEN(B88),(B88-1)&amp;"/"&amp;B88,B88&amp;"/"&amp;(B88+1))</f>
        <v>4043/4044</v>
      </c>
      <c r="L88" s="22" t="str">
        <f>VLOOKUP(A88,'Trips&amp;Operators'!$C$1:$E$10000,3,FALSE)</f>
        <v>STAMBAUGH</v>
      </c>
      <c r="M88" s="6">
        <f>I88-F88</f>
        <v>2.7118055557366461E-2</v>
      </c>
      <c r="N88" s="7">
        <f>24*60*SUM($M88:$M88)</f>
        <v>39.050000002607703</v>
      </c>
      <c r="O88" s="7"/>
      <c r="P88" s="7"/>
      <c r="Q88" s="23"/>
      <c r="R88" s="23"/>
      <c r="S88" s="35">
        <f>SUM(U88:U88)/IF(AG88="EC",12,1)</f>
        <v>1</v>
      </c>
      <c r="T88" s="50" t="str">
        <f>IF(ISEVEN(LEFT(AD88,4)),"Southbound","NorthBound")</f>
        <v>Southbound</v>
      </c>
      <c r="U88" s="144">
        <f>IF(AG88="EC",COUNTIFS(Variables!$M$2:$M$19,IF(T88="NorthBound","&gt;=","&lt;=")&amp;Y88,Variables!$M$2:$M$19,IF(T88="NorthBound","&lt;=","&gt;=")&amp;Z88),COUNTIFS(Variables!$P$2:$P$19,IF(T88="NorthBound","&gt;=","&lt;=")&amp;Y88,Variables!$P$2:$P$19,IF(T88="NorthBound","&lt;=","&gt;=")&amp;Z88))</f>
        <v>12</v>
      </c>
      <c r="V88" s="98" t="str">
        <f>"https://search-rtdc-monitor-bjffxe2xuh6vdkpspy63sjmuny.us-east-1.es.amazonaws.com/_plugin/kibana/#/discover/Steve-Slow-Train-Analysis-(2080s-and-2083s)?_g=(refreshInterval:(display:Off,section:0,value:0),time:(from:'"&amp;TEXT(E88-1/24,"yyyy-MM-DD hh:mm:ss")&amp;"-0600',mode:absolute,to:'"&amp;TEXT(I88+1/24,"yyyy-MM-DD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88&amp;"%22')),sort:!(Time,asc))"</f>
        <v>https://search-rtdc-monitor-bjffxe2xuh6vdkpspy63sjmuny.us-east-1.es.amazonaws.com/_plugin/kibana/#/discover/Steve-Slow-Train-Analysis-(2080s-and-2083s)?_g=(refreshInterval:(display:Off,section:0,value:0),time:(from:'2016-10-13 12:39:07-0600',mode:absolute,to:'2016-10-13 15:35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88" s="52" t="str">
        <f>IF(AA88&lt;IF(AG88="EC",23,5.65),"Y","N")</f>
        <v>N</v>
      </c>
      <c r="X88" s="149">
        <f>VALUE(LEFT(AD88,4))-VALUE(LEFT(AD87,4))</f>
        <v>1</v>
      </c>
      <c r="Y88" s="67">
        <f>RIGHT(D88,LEN(D88)-4)/10000</f>
        <v>23.3001</v>
      </c>
      <c r="Z88" s="67">
        <f>RIGHT(H88,LEN(H88)-4)/10000</f>
        <v>1.54E-2</v>
      </c>
      <c r="AA88" s="67">
        <f>ABS(Z88-Y88)</f>
        <v>23.284700000000001</v>
      </c>
      <c r="AB88" s="64" t="e">
        <f>VLOOKUP(A88,Enforcements!$C$7:$K$21,8,0)</f>
        <v>#N/A</v>
      </c>
      <c r="AC88" s="60" t="e">
        <f>VLOOKUP(A88,Enforcements!$C$7:$E$21,3,0)</f>
        <v>#N/A</v>
      </c>
      <c r="AD88" s="61" t="str">
        <f>IF(LEN(A88)=6,"0"&amp;A88,A88)</f>
        <v>0176-13</v>
      </c>
      <c r="AE88" s="91" t="str">
        <f>"aws s3 cp "&amp;s3_bucket&amp;"/RTDC"&amp;B88&amp;"/ "&amp;search_path&amp;"\RTDC"&amp;B88&amp;"\"&amp;TEXT(F88,"YYYY-MM-DD")&amp;" --exclude ""*"" --recursive --include ""*"&amp;TEXT(F88,"YYYYMMDD")&amp;"*"" &amp; """&amp;walkandungz&amp;""" "&amp;search_path&amp;"\RTDC"&amp;B88&amp;"\"&amp;TEXT(F88,"YYYY-MM-DD")
&amp;" &amp; "&amp;"aws s3 cp "&amp;s3_bucket&amp;"/RTDC"&amp;B88&amp;"/ "&amp;search_path&amp;"\RTDC"&amp;B88&amp;"\"&amp;TEXT(F88+1,"YYYY-MM-DD")&amp;" --exclude ""*"" --recursive --include ""*"&amp;TEXT(F88+1,"YYYYMMDD")&amp;"*"" &amp; """&amp;walkandungz&amp;""" "&amp;search_path&amp;"\RTDC"&amp;B88&amp;"\"&amp;TEXT(F88+1,"YYYY-MM-DD")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88" s="88" t="str">
        <f>astrogrep_path&amp;" /spath="&amp;search_path&amp;" /stypes=""app*"&amp;B88&amp;"*"&amp;TEXT(I88-utc_offset/24,"YYYYMMDD")&amp;"*"" /stext="" "&amp;TEXT(I88-utc_offset/24,"HH")&amp;search_regexp&amp;""" /e /r /s"</f>
        <v>"C:\Program Files (x86)\AstroGrep\AstroGrep.exe" /spath="%USERPROFILE%\AppData\Local\Temp\OnboardLogs" /stypes="app*4043*20161013*" /stext=" 20:.+((SYSTEM_STATE.+slice.+state.+changed )|(ment ac)|(system.+state.+changed )|(\[timeout)|(PRM\|1\|D)|(kpr)|(kdp)|(\|lc)|(penalty))" /e /r /s</v>
      </c>
      <c r="AG88" s="1" t="str">
        <f>IFERROR(IF(VALUE(LEFT(AD88,2))&lt;=2,"EC",IF(OR(VALUE(LEFT(AD88,2))=8,VALUE(LEFT(AD88,2))=18),"NW","Other")),"Other")</f>
        <v>EC</v>
      </c>
      <c r="AH88" s="92" t="str">
        <f t="shared" si="6"/>
        <v>"%USERPROFILE%\Documents\GitHub\eaglep3\Utilities\RefineRTDCRunTimes.py" --tripid 176-13 --locoid 4043 --swversion DE.1.0.7.0 --startMP 204:233001 --initTime 2016-10-13T13:39:07 --startdatetime 2016-10-13T13:56:29 --delay 1 --endMP 204:154 --enddatetime 2016-10-13T14:35:32 --enforcementcount 1 &gt;&gt;C:\Users\stu\Documents\GitHub\eaglep3-reporting\EC\2016-10-13-refined-times.txt</v>
      </c>
      <c r="AI88" s="122" t="str">
        <f t="shared" si="7"/>
        <v>echo {"issue":{"subject":"","project_id":79,"tracker_id":40,"status_id":1,"priority_id":2,"assigned_to_id":23,"start_date":"2016-10-13","description":"","custom_fields":[{"id":1,"name":"Subdivision","value":"EC"},{"id":4,"name":"Milepost","value":"0.0154"},{"id":17,"name":"Train ID","value":"176-13"},{"id":16,"name":"Locomotive ID","value":"4043"},{"id":130,"name":"Impact","value":""},{"id":150,"name":"Time of Event (Mountain Time)","value":"14:35:32"},{"id":151,"name":"Denver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508</v>
      </c>
      <c r="B89" s="7">
        <v>4018</v>
      </c>
      <c r="C89" s="22" t="s">
        <v>99</v>
      </c>
      <c r="D89" s="22" t="s">
        <v>284</v>
      </c>
      <c r="E89" s="13">
        <v>42656.54965277778</v>
      </c>
      <c r="F89" s="13">
        <v>42656.552453703705</v>
      </c>
      <c r="G89" s="7">
        <v>1</v>
      </c>
      <c r="H89" s="13" t="s">
        <v>245</v>
      </c>
      <c r="I89" s="13">
        <v>42656.577650462961</v>
      </c>
      <c r="J89" s="7">
        <v>1</v>
      </c>
      <c r="K89" s="112" t="str">
        <f>IF(ISEVEN(B89),(B89-1)&amp;"/"&amp;B89,B89&amp;"/"&amp;(B89+1))</f>
        <v>4017/4018</v>
      </c>
      <c r="L89" s="22" t="str">
        <f>VLOOKUP(A89,'Trips&amp;Operators'!$C$1:$E$10000,3,FALSE)</f>
        <v>MOSES</v>
      </c>
      <c r="M89" s="6">
        <f>I89-F89</f>
        <v>2.5196759255777579E-2</v>
      </c>
      <c r="N89" s="7">
        <f>24*60*SUM($M89:$M89)</f>
        <v>36.283333328319713</v>
      </c>
      <c r="O89" s="7"/>
      <c r="P89" s="7"/>
      <c r="Q89" s="23"/>
      <c r="R89" s="23"/>
      <c r="S89" s="35">
        <f>SUM(U89:U89)/IF(AG89="EC",12,1)</f>
        <v>1</v>
      </c>
      <c r="T89" s="50" t="str">
        <f>IF(ISEVEN(LEFT(AD89,4)),"Southbound","NorthBound")</f>
        <v>NorthBound</v>
      </c>
      <c r="U89" s="144">
        <f>IF(AG89="EC",COUNTIFS(Variables!$M$2:$M$19,IF(T89="NorthBound","&gt;=","&lt;=")&amp;Y89,Variables!$M$2:$M$19,IF(T89="NorthBound","&lt;=","&gt;=")&amp;Z89),COUNTIFS(Variables!$P$2:$P$19,IF(T89="NorthBound","&gt;=","&lt;=")&amp;Y89,Variables!$P$2:$P$19,IF(T89="NorthBound","&lt;=","&gt;=")&amp;Z89))</f>
        <v>12</v>
      </c>
      <c r="V89" s="98" t="str">
        <f>"https://search-rtdc-monitor-bjffxe2xuh6vdkpspy63sjmuny.us-east-1.es.amazonaws.com/_plugin/kibana/#/discover/Steve-Slow-Train-Analysis-(2080s-and-2083s)?_g=(refreshInterval:(display:Off,section:0,value:0),time:(from:'"&amp;TEXT(E89-1/24,"yyyy-MM-DD hh:mm:ss")&amp;"-0600',mode:absolute,to:'"&amp;TEXT(I89+1/24,"yyyy-MM-DD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89&amp;"%22')),sort:!(Time,asc))"</f>
        <v>https://search-rtdc-monitor-bjffxe2xuh6vdkpspy63sjmuny.us-east-1.es.amazonaws.com/_plugin/kibana/#/discover/Steve-Slow-Train-Analysis-(2080s-and-2083s)?_g=(refreshInterval:(display:Off,section:0,value:0),time:(from:'2016-10-13 12:11:30-0600',mode:absolute,to:'2016-10-13 14: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9" s="52" t="str">
        <f>IF(AA89&lt;IF(AG89="EC",23,5.65),"Y","N")</f>
        <v>N</v>
      </c>
      <c r="X89" s="149">
        <f>VALUE(LEFT(AD89,4))-VALUE(LEFT(AD88,4))</f>
        <v>1</v>
      </c>
      <c r="Y89" s="67">
        <f>RIGHT(D89,LEN(D89)-4)/10000</f>
        <v>4.6399999999999997E-2</v>
      </c>
      <c r="Z89" s="67">
        <f>RIGHT(H89,LEN(H89)-4)/10000</f>
        <v>23.331399999999999</v>
      </c>
      <c r="AA89" s="67">
        <f>ABS(Z89-Y89)</f>
        <v>23.285</v>
      </c>
      <c r="AB89" s="64" t="e">
        <f>VLOOKUP(A89,Enforcements!$C$7:$K$21,8,0)</f>
        <v>#N/A</v>
      </c>
      <c r="AC89" s="60" t="e">
        <f>VLOOKUP(A89,Enforcements!$C$7:$E$21,3,0)</f>
        <v>#N/A</v>
      </c>
      <c r="AD89" s="61" t="str">
        <f>IF(LEN(A89)=6,"0"&amp;A89,A89)</f>
        <v>0177-13</v>
      </c>
      <c r="AE89" s="91" t="str">
        <f>"aws s3 cp "&amp;s3_bucket&amp;"/RTDC"&amp;B89&amp;"/ "&amp;search_path&amp;"\RTDC"&amp;B89&amp;"\"&amp;TEXT(F89,"YYYY-MM-DD")&amp;" --exclude ""*"" --recursive --include ""*"&amp;TEXT(F89,"YYYYMMDD")&amp;"*"" &amp; """&amp;walkandungz&amp;""" "&amp;search_path&amp;"\RTDC"&amp;B89&amp;"\"&amp;TEXT(F89,"YYYY-MM-DD")
&amp;" &amp; "&amp;"aws s3 cp "&amp;s3_bucket&amp;"/RTDC"&amp;B89&amp;"/ "&amp;search_path&amp;"\RTDC"&amp;B89&amp;"\"&amp;TEXT(F89+1,"YYYY-MM-DD")&amp;" --exclude ""*"" --recursive --include ""*"&amp;TEXT(F89+1,"YYYYMMDD")&amp;"*"" &amp; """&amp;walkandungz&amp;""" "&amp;search_path&amp;"\RTDC"&amp;B89&amp;"\"&amp;TEXT(F89+1,"YYYY-MM-DD")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89" s="88" t="str">
        <f>astrogrep_path&amp;" /spath="&amp;search_path&amp;" /stypes=""app*"&amp;B89&amp;"*"&amp;TEXT(I89-utc_offset/24,"YYYYMMDD")&amp;"*"" /stext="" "&amp;TEXT(I89-utc_offset/24,"HH")&amp;search_regexp&amp;""" /e /r /s"</f>
        <v>"C:\Program Files (x86)\AstroGrep\AstroGrep.exe" /spath="%USERPROFILE%\AppData\Local\Temp\OnboardLogs" /stypes="app*4018*20161013*" /stext=" 19:.+((SYSTEM_STATE.+slice.+state.+changed )|(ment ac)|(system.+state.+changed )|(\[timeout)|(PRM\|1\|D)|(kpr)|(kdp)|(\|lc)|(penalty))" /e /r /s</v>
      </c>
      <c r="AG89" s="1" t="str">
        <f>IFERROR(IF(VALUE(LEFT(AD89,2))&lt;=2,"EC",IF(OR(VALUE(LEFT(AD89,2))=8,VALUE(LEFT(AD89,2))=18),"NW","Other")),"Other")</f>
        <v>EC</v>
      </c>
      <c r="AH89" s="92" t="str">
        <f t="shared" si="6"/>
        <v>"%USERPROFILE%\Documents\GitHub\eaglep3\Utilities\RefineRTDCRunTimes.py" --tripid 177-13 --locoid 4018 --swversion DE.1.0.7.0 --startMP 204:464 --initTime 2016-10-13T13:11:30 --startdatetime 2016-10-13T13:15:32 --delay 1 --endMP 204:233314 --enddatetime 2016-10-13T13:51:49 --enforcementcount 1 &gt;&gt;C:\Users\stu\Documents\GitHub\eaglep3-reporting\EC\2016-10-13-refined-times.txt</v>
      </c>
      <c r="AI89" s="122" t="str">
        <f t="shared" si="7"/>
        <v>echo {"issue":{"subject":"","project_id":79,"tracker_id":40,"status_id":1,"priority_id":2,"assigned_to_id":23,"start_date":"2016-10-13","description":"","custom_fields":[{"id":1,"name":"Subdivision","value":"EC"},{"id":4,"name":"Milepost","value":"23.3314"},{"id":17,"name":"Train ID","value":"177-13"},{"id":16,"name":"Locomotive ID","value":"4018"},{"id":130,"name":"Impact","value":""},{"id":150,"name":"Time of Event (Mountain Time)","value":"13:51:49"},{"id":151,"name":"Denver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516</v>
      </c>
      <c r="B90" s="7">
        <v>4017</v>
      </c>
      <c r="C90" s="22" t="s">
        <v>99</v>
      </c>
      <c r="D90" s="22" t="s">
        <v>650</v>
      </c>
      <c r="E90" s="13">
        <v>42656.587523148148</v>
      </c>
      <c r="F90" s="13">
        <v>42656.591273148151</v>
      </c>
      <c r="G90" s="7">
        <v>1</v>
      </c>
      <c r="H90" s="13" t="s">
        <v>182</v>
      </c>
      <c r="I90" s="13">
        <v>42656.619490740741</v>
      </c>
      <c r="J90" s="7">
        <v>1</v>
      </c>
      <c r="K90" s="112" t="str">
        <f>IF(ISEVEN(B90),(B90-1)&amp;"/"&amp;B90,B90&amp;"/"&amp;(B90+1))</f>
        <v>4017/4018</v>
      </c>
      <c r="L90" s="22" t="str">
        <f>VLOOKUP(A90,'Trips&amp;Operators'!$C$1:$E$10000,3,FALSE)</f>
        <v>MOSES</v>
      </c>
      <c r="M90" s="6">
        <f>I90-F90</f>
        <v>2.8217592589498963E-2</v>
      </c>
      <c r="N90" s="7">
        <f>24*60*SUM($M90:$M90)</f>
        <v>40.633333328878507</v>
      </c>
      <c r="O90" s="7"/>
      <c r="P90" s="7"/>
      <c r="Q90" s="23"/>
      <c r="R90" s="23"/>
      <c r="S90" s="35">
        <f>SUM(U90:U90)/IF(AG90="EC",12,1)</f>
        <v>1</v>
      </c>
      <c r="T90" s="50" t="str">
        <f>IF(ISEVEN(LEFT(AD90,4)),"Southbound","NorthBound")</f>
        <v>Southbound</v>
      </c>
      <c r="U90" s="144">
        <f>IF(AG90="EC",COUNTIFS(Variables!$M$2:$M$19,IF(T90="NorthBound","&gt;=","&lt;=")&amp;Y90,Variables!$M$2:$M$19,IF(T90="NorthBound","&lt;=","&gt;=")&amp;Z90),COUNTIFS(Variables!$P$2:$P$19,IF(T90="NorthBound","&gt;=","&lt;=")&amp;Y90,Variables!$P$2:$P$19,IF(T90="NorthBound","&lt;=","&gt;=")&amp;Z90))</f>
        <v>12</v>
      </c>
      <c r="V90" s="98" t="str">
        <f>"https://search-rtdc-monitor-bjffxe2xuh6vdkpspy63sjmuny.us-east-1.es.amazonaws.com/_plugin/kibana/#/discover/Steve-Slow-Train-Analysis-(2080s-and-2083s)?_g=(refreshInterval:(display:Off,section:0,value:0),time:(from:'"&amp;TEXT(E90-1/24,"yyyy-MM-DD hh:mm:ss")&amp;"-0600',mode:absolute,to:'"&amp;TEXT(I90+1/24,"yyyy-MM-DD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90&amp;"%22')),sort:!(Time,asc))"</f>
        <v>https://search-rtdc-monitor-bjffxe2xuh6vdkpspy63sjmuny.us-east-1.es.amazonaws.com/_plugin/kibana/#/discover/Steve-Slow-Train-Analysis-(2080s-and-2083s)?_g=(refreshInterval:(display:Off,section:0,value:0),time:(from:'2016-10-13 13:06:02-0600',mode:absolute,to:'2016-10-13 15:52: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0" s="52" t="str">
        <f>IF(AA90&lt;IF(AG90="EC",23,5.65),"Y","N")</f>
        <v>N</v>
      </c>
      <c r="X90" s="149">
        <f>VALUE(LEFT(AD90,4))-VALUE(LEFT(AD89,4))</f>
        <v>1</v>
      </c>
      <c r="Y90" s="67">
        <f>RIGHT(D90,LEN(D90)-4)/10000</f>
        <v>23.3002</v>
      </c>
      <c r="Z90" s="67">
        <f>RIGHT(H90,LEN(H90)-4)/10000</f>
        <v>1.41E-2</v>
      </c>
      <c r="AA90" s="67">
        <f>ABS(Z90-Y90)</f>
        <v>23.286100000000001</v>
      </c>
      <c r="AB90" s="64" t="e">
        <f>VLOOKUP(A90,Enforcements!$C$7:$K$21,8,0)</f>
        <v>#N/A</v>
      </c>
      <c r="AC90" s="60" t="e">
        <f>VLOOKUP(A90,Enforcements!$C$7:$E$21,3,0)</f>
        <v>#N/A</v>
      </c>
      <c r="AD90" s="61" t="str">
        <f>IF(LEN(A90)=6,"0"&amp;A90,A90)</f>
        <v>0178-13</v>
      </c>
      <c r="AE90" s="91" t="str">
        <f>"aws s3 cp "&amp;s3_bucket&amp;"/RTDC"&amp;B90&amp;"/ "&amp;search_path&amp;"\RTDC"&amp;B90&amp;"\"&amp;TEXT(F90,"YYYY-MM-DD")&amp;" --exclude ""*"" --recursive --include ""*"&amp;TEXT(F90,"YYYYMMDD")&amp;"*"" &amp; """&amp;walkandungz&amp;""" "&amp;search_path&amp;"\RTDC"&amp;B90&amp;"\"&amp;TEXT(F90,"YYYY-MM-DD")
&amp;" &amp; "&amp;"aws s3 cp "&amp;s3_bucket&amp;"/RTDC"&amp;B90&amp;"/ "&amp;search_path&amp;"\RTDC"&amp;B90&amp;"\"&amp;TEXT(F90+1,"YYYY-MM-DD")&amp;" --exclude ""*"" --recursive --include ""*"&amp;TEXT(F90+1,"YYYYMMDD")&amp;"*"" &amp; """&amp;walkandungz&amp;""" "&amp;search_path&amp;"\RTDC"&amp;B90&amp;"\"&amp;TEXT(F90+1,"YYYY-MM-DD")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90" s="88" t="str">
        <f>astrogrep_path&amp;" /spath="&amp;search_path&amp;" /stypes=""app*"&amp;B90&amp;"*"&amp;TEXT(I90-utc_offset/24,"YYYYMMDD")&amp;"*"" /stext="" "&amp;TEXT(I90-utc_offset/24,"HH")&amp;search_regexp&amp;""" /e /r /s"</f>
        <v>"C:\Program Files (x86)\AstroGrep\AstroGrep.exe" /spath="%USERPROFILE%\AppData\Local\Temp\OnboardLogs" /stypes="app*4017*20161013*" /stext=" 20:.+((SYSTEM_STATE.+slice.+state.+changed )|(ment ac)|(system.+state.+changed )|(\[timeout)|(PRM\|1\|D)|(kpr)|(kdp)|(\|lc)|(penalty))" /e /r /s</v>
      </c>
      <c r="AG90" s="1" t="str">
        <f>IFERROR(IF(VALUE(LEFT(AD90,2))&lt;=2,"EC",IF(OR(VALUE(LEFT(AD90,2))=8,VALUE(LEFT(AD90,2))=18),"NW","Other")),"Other")</f>
        <v>EC</v>
      </c>
      <c r="AH90" s="92" t="str">
        <f t="shared" si="6"/>
        <v>"%USERPROFILE%\Documents\GitHub\eaglep3\Utilities\RefineRTDCRunTimes.py" --tripid 178-13 --locoid 4017 --swversion DE.1.0.7.0 --startMP 204:233002 --initTime 2016-10-13T14:06:02 --startdatetime 2016-10-13T14:11:26 --delay 1 --endMP 204:141 --enddatetime 2016-10-13T14:52:04 --enforcementcount 1 &gt;&gt;C:\Users\stu\Documents\GitHub\eaglep3-reporting\EC\2016-10-13-refined-times.txt</v>
      </c>
      <c r="AI90" s="122" t="str">
        <f t="shared" si="7"/>
        <v>echo {"issue":{"subject":"","project_id":79,"tracker_id":40,"status_id":1,"priority_id":2,"assigned_to_id":23,"start_date":"2016-10-13","description":"","custom_fields":[{"id":1,"name":"Subdivision","value":"EC"},{"id":4,"name":"Milepost","value":"0.0141"},{"id":17,"name":"Train ID","value":"178-13"},{"id":16,"name":"Locomotive ID","value":"4017"},{"id":130,"name":"Impact","value":""},{"id":150,"name":"Time of Event (Mountain Time)","value":"14:52:04"},{"id":151,"name":"Denver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510</v>
      </c>
      <c r="B91" s="7">
        <v>4014</v>
      </c>
      <c r="C91" s="22" t="s">
        <v>99</v>
      </c>
      <c r="D91" s="22" t="s">
        <v>284</v>
      </c>
      <c r="E91" s="13">
        <v>42656.55667824074</v>
      </c>
      <c r="F91" s="13">
        <v>42656.562951388885</v>
      </c>
      <c r="G91" s="7">
        <v>1</v>
      </c>
      <c r="H91" s="13" t="s">
        <v>285</v>
      </c>
      <c r="I91" s="13">
        <v>42656.588622685187</v>
      </c>
      <c r="J91" s="7">
        <v>1</v>
      </c>
      <c r="K91" s="112" t="str">
        <f>IF(ISEVEN(B91),(B91-1)&amp;"/"&amp;B91,B91&amp;"/"&amp;(B91+1))</f>
        <v>4013/4014</v>
      </c>
      <c r="L91" s="22" t="str">
        <f>VLOOKUP(A91,'Trips&amp;Operators'!$C$1:$E$10000,3,FALSE)</f>
        <v>NEWELL</v>
      </c>
      <c r="M91" s="6">
        <f>I91-F91</f>
        <v>2.567129630187992E-2</v>
      </c>
      <c r="N91" s="7">
        <f>24*60*SUM($M91:$M91)</f>
        <v>36.966666674707085</v>
      </c>
      <c r="O91" s="7"/>
      <c r="P91" s="7"/>
      <c r="Q91" s="23"/>
      <c r="R91" s="23"/>
      <c r="S91" s="35">
        <f>SUM(U91:U91)/IF(AG91="EC",12,1)</f>
        <v>1</v>
      </c>
      <c r="T91" s="50" t="str">
        <f>IF(ISEVEN(LEFT(AD91,4)),"Southbound","NorthBound")</f>
        <v>NorthBound</v>
      </c>
      <c r="U91" s="144">
        <f>IF(AG91="EC",COUNTIFS(Variables!$M$2:$M$19,IF(T91="NorthBound","&gt;=","&lt;=")&amp;Y91,Variables!$M$2:$M$19,IF(T91="NorthBound","&lt;=","&gt;=")&amp;Z91),COUNTIFS(Variables!$P$2:$P$19,IF(T91="NorthBound","&gt;=","&lt;=")&amp;Y91,Variables!$P$2:$P$19,IF(T91="NorthBound","&lt;=","&gt;=")&amp;Z91))</f>
        <v>12</v>
      </c>
      <c r="V91" s="98" t="str">
        <f>"https://search-rtdc-monitor-bjffxe2xuh6vdkpspy63sjmuny.us-east-1.es.amazonaws.com/_plugin/kibana/#/discover/Steve-Slow-Train-Analysis-(2080s-and-2083s)?_g=(refreshInterval:(display:Off,section:0,value:0),time:(from:'"&amp;TEXT(E91-1/24,"yyyy-MM-DD hh:mm:ss")&amp;"-0600',mode:absolute,to:'"&amp;TEXT(I91+1/24,"yyyy-MM-DD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91&amp;"%22')),sort:!(Time,asc))"</f>
        <v>https://search-rtdc-monitor-bjffxe2xuh6vdkpspy63sjmuny.us-east-1.es.amazonaws.com/_plugin/kibana/#/discover/Steve-Slow-Train-Analysis-(2080s-and-2083s)?_g=(refreshInterval:(display:Off,section:0,value:0),time:(from:'2016-10-13 12:21:37-0600',mode:absolute,to:'2016-10-13 15:07: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91" s="52" t="str">
        <f>IF(AA91&lt;IF(AG91="EC",23,5.65),"Y","N")</f>
        <v>N</v>
      </c>
      <c r="X91" s="149">
        <f>VALUE(LEFT(AD91,4))-VALUE(LEFT(AD90,4))</f>
        <v>1</v>
      </c>
      <c r="Y91" s="67">
        <f>RIGHT(D91,LEN(D91)-4)/10000</f>
        <v>4.6399999999999997E-2</v>
      </c>
      <c r="Z91" s="67">
        <f>RIGHT(H91,LEN(H91)-4)/10000</f>
        <v>23.332000000000001</v>
      </c>
      <c r="AA91" s="67">
        <f>ABS(Z91-Y91)</f>
        <v>23.285600000000002</v>
      </c>
      <c r="AB91" s="64" t="e">
        <f>VLOOKUP(A91,Enforcements!$C$7:$K$21,8,0)</f>
        <v>#N/A</v>
      </c>
      <c r="AC91" s="60" t="e">
        <f>VLOOKUP(A91,Enforcements!$C$7:$E$21,3,0)</f>
        <v>#N/A</v>
      </c>
      <c r="AD91" s="61" t="str">
        <f>IF(LEN(A91)=6,"0"&amp;A91,A91)</f>
        <v>0179-13</v>
      </c>
      <c r="AE91" s="91" t="str">
        <f>"aws s3 cp "&amp;s3_bucket&amp;"/RTDC"&amp;B91&amp;"/ "&amp;search_path&amp;"\RTDC"&amp;B91&amp;"\"&amp;TEXT(F91,"YYYY-MM-DD")&amp;" --exclude ""*"" --recursive --include ""*"&amp;TEXT(F91,"YYYYMMDD")&amp;"*"" &amp; """&amp;walkandungz&amp;""" "&amp;search_path&amp;"\RTDC"&amp;B91&amp;"\"&amp;TEXT(F91,"YYYY-MM-DD")
&amp;" &amp; "&amp;"aws s3 cp "&amp;s3_bucket&amp;"/RTDC"&amp;B91&amp;"/ "&amp;search_path&amp;"\RTDC"&amp;B91&amp;"\"&amp;TEXT(F91+1,"YYYY-MM-DD")&amp;" --exclude ""*"" --recursive --include ""*"&amp;TEXT(F91+1,"YYYYMMDD")&amp;"*"" &amp; """&amp;walkandungz&amp;""" "&amp;search_path&amp;"\RTDC"&amp;B91&amp;"\"&amp;TEXT(F91+1,"YYYY-MM-DD")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91" s="88" t="str">
        <f>astrogrep_path&amp;" /spath="&amp;search_path&amp;" /stypes=""app*"&amp;B91&amp;"*"&amp;TEXT(I91-utc_offset/24,"YYYYMMDD")&amp;"*"" /stext="" "&amp;TEXT(I91-utc_offset/24,"HH")&amp;search_regexp&amp;""" /e /r /s"</f>
        <v>"C:\Program Files (x86)\AstroGrep\AstroGrep.exe" /spath="%USERPROFILE%\AppData\Local\Temp\OnboardLogs" /stypes="app*4014*20161013*" /stext=" 20:.+((SYSTEM_STATE.+slice.+state.+changed )|(ment ac)|(system.+state.+changed )|(\[timeout)|(PRM\|1\|D)|(kpr)|(kdp)|(\|lc)|(penalty))" /e /r /s</v>
      </c>
      <c r="AG91" s="1" t="str">
        <f>IFERROR(IF(VALUE(LEFT(AD91,2))&lt;=2,"EC",IF(OR(VALUE(LEFT(AD91,2))=8,VALUE(LEFT(AD91,2))=18),"NW","Other")),"Other")</f>
        <v>EC</v>
      </c>
      <c r="AH91" s="92" t="str">
        <f t="shared" si="6"/>
        <v>"%USERPROFILE%\Documents\GitHub\eaglep3\Utilities\RefineRTDCRunTimes.py" --tripid 179-13 --locoid 4014 --swversion DE.1.0.7.0 --startMP 204:464 --initTime 2016-10-13T13:21:37 --startdatetime 2016-10-13T13:30:39 --delay 1 --endMP 204:233320 --enddatetime 2016-10-13T14:07:37 --enforcementcount 1 &gt;&gt;C:\Users\stu\Documents\GitHub\eaglep3-reporting\EC\2016-10-13-refined-times.txt</v>
      </c>
      <c r="AI91" s="122" t="str">
        <f t="shared" si="7"/>
        <v>echo {"issue":{"subject":"","project_id":79,"tracker_id":40,"status_id":1,"priority_id":2,"assigned_to_id":23,"start_date":"2016-10-13","description":"","custom_fields":[{"id":1,"name":"Subdivision","value":"EC"},{"id":4,"name":"Milepost","value":"23.332"},{"id":17,"name":"Train ID","value":"179-13"},{"id":16,"name":"Locomotive ID","value":"4014"},{"id":130,"name":"Impact","value":""},{"id":150,"name":"Time of Event (Mountain Time)","value":"14:07:37"},{"id":151,"name":"Denver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518</v>
      </c>
      <c r="B92" s="7">
        <v>4013</v>
      </c>
      <c r="C92" s="22" t="s">
        <v>99</v>
      </c>
      <c r="D92" s="22" t="s">
        <v>641</v>
      </c>
      <c r="E92" s="13">
        <v>42656.590127314812</v>
      </c>
      <c r="F92" s="13">
        <v>42656.601840277777</v>
      </c>
      <c r="G92" s="7">
        <v>1</v>
      </c>
      <c r="H92" s="13" t="s">
        <v>268</v>
      </c>
      <c r="I92" s="13">
        <v>42656.629733796297</v>
      </c>
      <c r="J92" s="7">
        <v>1</v>
      </c>
      <c r="K92" s="112" t="str">
        <f>IF(ISEVEN(B92),(B92-1)&amp;"/"&amp;B92,B92&amp;"/"&amp;(B92+1))</f>
        <v>4013/4014</v>
      </c>
      <c r="L92" s="22" t="str">
        <f>VLOOKUP(A92,'Trips&amp;Operators'!$C$1:$E$10000,3,FALSE)</f>
        <v>NEWELL</v>
      </c>
      <c r="M92" s="6">
        <f>I92-F92</f>
        <v>2.789351851970423E-2</v>
      </c>
      <c r="N92" s="7">
        <f>24*60*SUM($M92:$M92)</f>
        <v>40.166666668374091</v>
      </c>
      <c r="O92" s="7"/>
      <c r="P92" s="7"/>
      <c r="Q92" s="23"/>
      <c r="R92" s="23"/>
      <c r="S92" s="35">
        <f>SUM(U92:U92)/IF(AG92="EC",12,1)</f>
        <v>1</v>
      </c>
      <c r="T92" s="50" t="str">
        <f>IF(ISEVEN(LEFT(AD92,4)),"Southbound","NorthBound")</f>
        <v>Southbound</v>
      </c>
      <c r="U92" s="144">
        <f>IF(AG92="EC",COUNTIFS(Variables!$M$2:$M$19,IF(T92="NorthBound","&gt;=","&lt;=")&amp;Y92,Variables!$M$2:$M$19,IF(T92="NorthBound","&lt;=","&gt;=")&amp;Z92),COUNTIFS(Variables!$P$2:$P$19,IF(T92="NorthBound","&gt;=","&lt;=")&amp;Y92,Variables!$P$2:$P$19,IF(T92="NorthBound","&lt;=","&gt;=")&amp;Z92))</f>
        <v>12</v>
      </c>
      <c r="V92" s="98" t="str">
        <f>"https://search-rtdc-monitor-bjffxe2xuh6vdkpspy63sjmuny.us-east-1.es.amazonaws.com/_plugin/kibana/#/discover/Steve-Slow-Train-Analysis-(2080s-and-2083s)?_g=(refreshInterval:(display:Off,section:0,value:0),time:(from:'"&amp;TEXT(E92-1/24,"yyyy-MM-DD hh:mm:ss")&amp;"-0600',mode:absolute,to:'"&amp;TEXT(I92+1/24,"yyyy-MM-DD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92&amp;"%22')),sort:!(Time,asc))"</f>
        <v>https://search-rtdc-monitor-bjffxe2xuh6vdkpspy63sjmuny.us-east-1.es.amazonaws.com/_plugin/kibana/#/discover/Steve-Slow-Train-Analysis-(2080s-and-2083s)?_g=(refreshInterval:(display:Off,section:0,value:0),time:(from:'2016-10-13 13:09:47-0600',mode:absolute,to:'2016-10-13 16:06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92" s="52" t="str">
        <f>IF(AA92&lt;IF(AG92="EC",23,5.65),"Y","N")</f>
        <v>N</v>
      </c>
      <c r="X92" s="149">
        <f>VALUE(LEFT(AD92,4))-VALUE(LEFT(AD91,4))</f>
        <v>1</v>
      </c>
      <c r="Y92" s="67">
        <f>RIGHT(D92,LEN(D92)-4)/10000</f>
        <v>23.299399999999999</v>
      </c>
      <c r="Z92" s="67">
        <f>RIGHT(H92,LEN(H92)-4)/10000</f>
        <v>1.49E-2</v>
      </c>
      <c r="AA92" s="67">
        <f>ABS(Z92-Y92)</f>
        <v>23.284499999999998</v>
      </c>
      <c r="AB92" s="64" t="e">
        <f>VLOOKUP(A92,Enforcements!$C$7:$K$21,8,0)</f>
        <v>#N/A</v>
      </c>
      <c r="AC92" s="60" t="e">
        <f>VLOOKUP(A92,Enforcements!$C$7:$E$21,3,0)</f>
        <v>#N/A</v>
      </c>
      <c r="AD92" s="61" t="str">
        <f>IF(LEN(A92)=6,"0"&amp;A92,A92)</f>
        <v>0180-13</v>
      </c>
      <c r="AE92" s="91" t="str">
        <f>"aws s3 cp "&amp;s3_bucket&amp;"/RTDC"&amp;B92&amp;"/ "&amp;search_path&amp;"\RTDC"&amp;B92&amp;"\"&amp;TEXT(F92,"YYYY-MM-DD")&amp;" --exclude ""*"" --recursive --include ""*"&amp;TEXT(F92,"YYYYMMDD")&amp;"*"" &amp; """&amp;walkandungz&amp;""" "&amp;search_path&amp;"\RTDC"&amp;B92&amp;"\"&amp;TEXT(F92,"YYYY-MM-DD")
&amp;" &amp; "&amp;"aws s3 cp "&amp;s3_bucket&amp;"/RTDC"&amp;B92&amp;"/ "&amp;search_path&amp;"\RTDC"&amp;B92&amp;"\"&amp;TEXT(F92+1,"YYYY-MM-DD")&amp;" --exclude ""*"" --recursive --include ""*"&amp;TEXT(F92+1,"YYYYMMDD")&amp;"*"" &amp; """&amp;walkandungz&amp;""" "&amp;search_path&amp;"\RTDC"&amp;B92&amp;"\"&amp;TEXT(F92+1,"YYYY-MM-DD")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92" s="88" t="str">
        <f>astrogrep_path&amp;" /spath="&amp;search_path&amp;" /stypes=""app*"&amp;B92&amp;"*"&amp;TEXT(I92-utc_offset/24,"YYYYMMDD")&amp;"*"" /stext="" "&amp;TEXT(I92-utc_offset/24,"HH")&amp;search_regexp&amp;""" /e /r /s"</f>
        <v>"C:\Program Files (x86)\AstroGrep\AstroGrep.exe" /spath="%USERPROFILE%\AppData\Local\Temp\OnboardLogs" /stypes="app*4013*20161013*" /stext=" 21:.+((SYSTEM_STATE.+slice.+state.+changed )|(ment ac)|(system.+state.+changed )|(\[timeout)|(PRM\|1\|D)|(kpr)|(kdp)|(\|lc)|(penalty))" /e /r /s</v>
      </c>
      <c r="AG92" s="1" t="str">
        <f>IFERROR(IF(VALUE(LEFT(AD92,2))&lt;=2,"EC",IF(OR(VALUE(LEFT(AD92,2))=8,VALUE(LEFT(AD92,2))=18),"NW","Other")),"Other")</f>
        <v>EC</v>
      </c>
      <c r="AH92" s="92" t="str">
        <f t="shared" si="6"/>
        <v>"%USERPROFILE%\Documents\GitHub\eaglep3\Utilities\RefineRTDCRunTimes.py" --tripid 180-13 --locoid 4013 --swversion DE.1.0.7.0 --startMP 204:232994 --initTime 2016-10-13T14:09:47 --startdatetime 2016-10-13T14:26:39 --delay 1 --endMP 204:149 --enddatetime 2016-10-13T15:06:49 --enforcementcount 1 &gt;&gt;C:\Users\stu\Documents\GitHub\eaglep3-reporting\EC\2016-10-13-refined-times.txt</v>
      </c>
      <c r="AI92" s="122" t="str">
        <f t="shared" si="7"/>
        <v>echo {"issue":{"subject":"","project_id":79,"tracker_id":40,"status_id":1,"priority_id":2,"assigned_to_id":23,"start_date":"2016-10-13","description":"","custom_fields":[{"id":1,"name":"Subdivision","value":"EC"},{"id":4,"name":"Milepost","value":"0.0149"},{"id":17,"name":"Train ID","value":"180-13"},{"id":16,"name":"Locomotive ID","value":"4013"},{"id":130,"name":"Impact","value":""},{"id":150,"name":"Time of Event (Mountain Time)","value":"15:06:49"},{"id":151,"name":"Denver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514</v>
      </c>
      <c r="B93" s="7">
        <v>4038</v>
      </c>
      <c r="C93" s="22" t="s">
        <v>99</v>
      </c>
      <c r="D93" s="22" t="s">
        <v>284</v>
      </c>
      <c r="E93" s="13">
        <v>42656.570729166669</v>
      </c>
      <c r="F93" s="13">
        <v>42656.573136574072</v>
      </c>
      <c r="G93" s="7">
        <v>1</v>
      </c>
      <c r="H93" s="13" t="s">
        <v>183</v>
      </c>
      <c r="I93" s="13">
        <v>42656.599861111114</v>
      </c>
      <c r="J93" s="7">
        <v>1</v>
      </c>
      <c r="K93" s="112" t="str">
        <f>IF(ISEVEN(B93),(B93-1)&amp;"/"&amp;B93,B93&amp;"/"&amp;(B93+1))</f>
        <v>4037/4038</v>
      </c>
      <c r="L93" s="22" t="str">
        <f>VLOOKUP(A93,'Trips&amp;Operators'!$C$1:$E$10000,3,FALSE)</f>
        <v>YOUNG</v>
      </c>
      <c r="M93" s="6">
        <f>I93-F93</f>
        <v>2.6724537041445728E-2</v>
      </c>
      <c r="N93" s="7">
        <f>24*60*SUM($M93:$M93)</f>
        <v>38.483333339681849</v>
      </c>
      <c r="O93" s="7"/>
      <c r="P93" s="7"/>
      <c r="Q93" s="23"/>
      <c r="R93" s="23"/>
      <c r="S93" s="35">
        <f>SUM(U93:U93)/IF(AG93="EC",12,1)</f>
        <v>1</v>
      </c>
      <c r="T93" s="50" t="str">
        <f>IF(ISEVEN(LEFT(AD93,4)),"Southbound","NorthBound")</f>
        <v>NorthBound</v>
      </c>
      <c r="U93" s="144">
        <f>IF(AG93="EC",COUNTIFS(Variables!$M$2:$M$19,IF(T93="NorthBound","&gt;=","&lt;=")&amp;Y93,Variables!$M$2:$M$19,IF(T93="NorthBound","&lt;=","&gt;=")&amp;Z93),COUNTIFS(Variables!$P$2:$P$19,IF(T93="NorthBound","&gt;=","&lt;=")&amp;Y93,Variables!$P$2:$P$19,IF(T93="NorthBound","&lt;=","&gt;=")&amp;Z93))</f>
        <v>12</v>
      </c>
      <c r="V93" s="98" t="str">
        <f>"https://search-rtdc-monitor-bjffxe2xuh6vdkpspy63sjmuny.us-east-1.es.amazonaws.com/_plugin/kibana/#/discover/Steve-Slow-Train-Analysis-(2080s-and-2083s)?_g=(refreshInterval:(display:Off,section:0,value:0),time:(from:'"&amp;TEXT(E93-1/24,"yyyy-MM-DD hh:mm:ss")&amp;"-0600',mode:absolute,to:'"&amp;TEXT(I93+1/24,"yyyy-MM-DD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93&amp;"%22')),sort:!(Time,asc))"</f>
        <v>https://search-rtdc-monitor-bjffxe2xuh6vdkpspy63sjmuny.us-east-1.es.amazonaws.com/_plugin/kibana/#/discover/Steve-Slow-Train-Analysis-(2080s-and-2083s)?_g=(refreshInterval:(display:Off,section:0,value:0),time:(from:'2016-10-13 12:41:51-0600',mode:absolute,to:'2016-10-13 15:23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93" s="52" t="str">
        <f>IF(AA93&lt;IF(AG93="EC",23,5.65),"Y","N")</f>
        <v>N</v>
      </c>
      <c r="X93" s="149">
        <f>VALUE(LEFT(AD93,4))-VALUE(LEFT(AD92,4))</f>
        <v>1</v>
      </c>
      <c r="Y93" s="67">
        <f>RIGHT(D93,LEN(D93)-4)/10000</f>
        <v>4.6399999999999997E-2</v>
      </c>
      <c r="Z93" s="67">
        <f>RIGHT(H93,LEN(H93)-4)/10000</f>
        <v>23.331199999999999</v>
      </c>
      <c r="AA93" s="67">
        <f>ABS(Z93-Y93)</f>
        <v>23.284800000000001</v>
      </c>
      <c r="AB93" s="64" t="e">
        <f>VLOOKUP(A93,Enforcements!$C$7:$K$21,8,0)</f>
        <v>#N/A</v>
      </c>
      <c r="AC93" s="60" t="e">
        <f>VLOOKUP(A93,Enforcements!$C$7:$E$21,3,0)</f>
        <v>#N/A</v>
      </c>
      <c r="AD93" s="61" t="str">
        <f>IF(LEN(A93)=6,"0"&amp;A93,A93)</f>
        <v>0181-13</v>
      </c>
      <c r="AE93" s="91" t="str">
        <f>"aws s3 cp "&amp;s3_bucket&amp;"/RTDC"&amp;B93&amp;"/ "&amp;search_path&amp;"\RTDC"&amp;B93&amp;"\"&amp;TEXT(F93,"YYYY-MM-DD")&amp;" --exclude ""*"" --recursive --include ""*"&amp;TEXT(F93,"YYYYMMDD")&amp;"*"" &amp; """&amp;walkandungz&amp;""" "&amp;search_path&amp;"\RTDC"&amp;B93&amp;"\"&amp;TEXT(F93,"YYYY-MM-DD")
&amp;" &amp; "&amp;"aws s3 cp "&amp;s3_bucket&amp;"/RTDC"&amp;B93&amp;"/ "&amp;search_path&amp;"\RTDC"&amp;B93&amp;"\"&amp;TEXT(F93+1,"YYYY-MM-DD")&amp;" --exclude ""*"" --recursive --include ""*"&amp;TEXT(F93+1,"YYYYMMDD")&amp;"*"" &amp; """&amp;walkandungz&amp;""" "&amp;search_path&amp;"\RTDC"&amp;B93&amp;"\"&amp;TEXT(F93+1,"YYYY-MM-DD")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93" s="88" t="str">
        <f>astrogrep_path&amp;" /spath="&amp;search_path&amp;" /stypes=""app*"&amp;B93&amp;"*"&amp;TEXT(I93-utc_offset/24,"YYYYMMDD")&amp;"*"" /stext="" "&amp;TEXT(I93-utc_offset/24,"HH")&amp;search_regexp&amp;""" /e /r /s"</f>
        <v>"C:\Program Files (x86)\AstroGrep\AstroGrep.exe" /spath="%USERPROFILE%\AppData\Local\Temp\OnboardLogs" /stypes="app*4038*20161013*" /stext=" 20:.+((SYSTEM_STATE.+slice.+state.+changed )|(ment ac)|(system.+state.+changed )|(\[timeout)|(PRM\|1\|D)|(kpr)|(kdp)|(\|lc)|(penalty))" /e /r /s</v>
      </c>
      <c r="AG93" s="1" t="str">
        <f>IFERROR(IF(VALUE(LEFT(AD93,2))&lt;=2,"EC",IF(OR(VALUE(LEFT(AD93,2))=8,VALUE(LEFT(AD93,2))=18),"NW","Other")),"Other")</f>
        <v>EC</v>
      </c>
      <c r="AH93" s="92" t="str">
        <f t="shared" si="6"/>
        <v>"%USERPROFILE%\Documents\GitHub\eaglep3\Utilities\RefineRTDCRunTimes.py" --tripid 181-13 --locoid 4038 --swversion DE.1.0.7.0 --startMP 204:464 --initTime 2016-10-13T13:41:51 --startdatetime 2016-10-13T13:45:19 --delay 1 --endMP 204:233312 --enddatetime 2016-10-13T14:23:48 --enforcementcount 1 &gt;&gt;C:\Users\stu\Documents\GitHub\eaglep3-reporting\EC\2016-10-13-refined-times.txt</v>
      </c>
      <c r="AI93" s="122" t="str">
        <f t="shared" si="7"/>
        <v>echo {"issue":{"subject":"","project_id":79,"tracker_id":40,"status_id":1,"priority_id":2,"assigned_to_id":23,"start_date":"2016-10-13","description":"","custom_fields":[{"id":1,"name":"Subdivision","value":"EC"},{"id":4,"name":"Milepost","value":"23.3312"},{"id":17,"name":"Train ID","value":"181-13"},{"id":16,"name":"Locomotive ID","value":"4038"},{"id":130,"name":"Impact","value":""},{"id":150,"name":"Time of Event (Mountain Time)","value":"14:23:48"},{"id":151,"name":"Denver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521</v>
      </c>
      <c r="B94" s="7">
        <v>4037</v>
      </c>
      <c r="C94" s="22" t="s">
        <v>99</v>
      </c>
      <c r="D94" s="22" t="s">
        <v>315</v>
      </c>
      <c r="E94" s="13">
        <v>42656.601759259262</v>
      </c>
      <c r="F94" s="13">
        <v>42656.612430555557</v>
      </c>
      <c r="G94" s="7">
        <v>2</v>
      </c>
      <c r="H94" s="13" t="s">
        <v>651</v>
      </c>
      <c r="I94" s="13">
        <v>42656.640833333331</v>
      </c>
      <c r="J94" s="7">
        <v>1</v>
      </c>
      <c r="K94" s="112" t="str">
        <f>IF(ISEVEN(B94),(B94-1)&amp;"/"&amp;B94,B94&amp;"/"&amp;(B94+1))</f>
        <v>4037/4038</v>
      </c>
      <c r="L94" s="22" t="str">
        <f>VLOOKUP(A94,'Trips&amp;Operators'!$C$1:$E$10000,3,FALSE)</f>
        <v>YOUNG</v>
      </c>
      <c r="M94" s="6">
        <f>I94-F94</f>
        <v>2.8402777774317656E-2</v>
      </c>
      <c r="N94" s="7">
        <f>24*60*SUM($M94:$M94)</f>
        <v>40.899999995017424</v>
      </c>
      <c r="O94" s="7"/>
      <c r="P94" s="7"/>
      <c r="Q94" s="23"/>
      <c r="R94" s="23"/>
      <c r="S94" s="35">
        <f>SUM(U94:U94)/IF(AG94="EC",12,1)</f>
        <v>1</v>
      </c>
      <c r="T94" s="50" t="str">
        <f>IF(ISEVEN(LEFT(AD94,4)),"Southbound","NorthBound")</f>
        <v>Southbound</v>
      </c>
      <c r="U94" s="144">
        <f>IF(AG94="EC",COUNTIFS(Variables!$M$2:$M$19,IF(T94="NorthBound","&gt;=","&lt;=")&amp;Y94,Variables!$M$2:$M$19,IF(T94="NorthBound","&lt;=","&gt;=")&amp;Z94),COUNTIFS(Variables!$P$2:$P$19,IF(T94="NorthBound","&gt;=","&lt;=")&amp;Y94,Variables!$P$2:$P$19,IF(T94="NorthBound","&lt;=","&gt;=")&amp;Z94))</f>
        <v>12</v>
      </c>
      <c r="V94" s="98" t="str">
        <f>"https://search-rtdc-monitor-bjffxe2xuh6vdkpspy63sjmuny.us-east-1.es.amazonaws.com/_plugin/kibana/#/discover/Steve-Slow-Train-Analysis-(2080s-and-2083s)?_g=(refreshInterval:(display:Off,section:0,value:0),time:(from:'"&amp;TEXT(E94-1/24,"yyyy-MM-DD hh:mm:ss")&amp;"-0600',mode:absolute,to:'"&amp;TEXT(I94+1/24,"yyyy-MM-DD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94&amp;"%22')),sort:!(Time,asc))"</f>
        <v>https://search-rtdc-monitor-bjffxe2xuh6vdkpspy63sjmuny.us-east-1.es.amazonaws.com/_plugin/kibana/#/discover/Steve-Slow-Train-Analysis-(2080s-and-2083s)?_g=(refreshInterval:(display:Off,section:0,value:0),time:(from:'2016-10-13 13:26:32-0600',mode:absolute,to:'2016-10-13 16:22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94" s="52" t="str">
        <f>IF(AA94&lt;IF(AG94="EC",23,5.65),"Y","N")</f>
        <v>N</v>
      </c>
      <c r="X94" s="149">
        <f>VALUE(LEFT(AD94,4))-VALUE(LEFT(AD93,4))</f>
        <v>1</v>
      </c>
      <c r="Y94" s="67">
        <f>RIGHT(D94,LEN(D94)-4)/10000</f>
        <v>23.2989</v>
      </c>
      <c r="Z94" s="67">
        <f>RIGHT(H94,LEN(H94)-4)/10000</f>
        <v>1.9199999999999998E-2</v>
      </c>
      <c r="AA94" s="67">
        <f>ABS(Z94-Y94)</f>
        <v>23.279699999999998</v>
      </c>
      <c r="AB94" s="64" t="e">
        <f>VLOOKUP(A94,Enforcements!$C$7:$K$21,8,0)</f>
        <v>#N/A</v>
      </c>
      <c r="AC94" s="60" t="e">
        <f>VLOOKUP(A94,Enforcements!$C$7:$E$21,3,0)</f>
        <v>#N/A</v>
      </c>
      <c r="AD94" s="61" t="str">
        <f>IF(LEN(A94)=6,"0"&amp;A94,A94)</f>
        <v>0182-13</v>
      </c>
      <c r="AE94" s="91" t="str">
        <f>"aws s3 cp "&amp;s3_bucket&amp;"/RTDC"&amp;B94&amp;"/ "&amp;search_path&amp;"\RTDC"&amp;B94&amp;"\"&amp;TEXT(F94,"YYYY-MM-DD")&amp;" --exclude ""*"" --recursive --include ""*"&amp;TEXT(F94,"YYYYMMDD")&amp;"*"" &amp; """&amp;walkandungz&amp;""" "&amp;search_path&amp;"\RTDC"&amp;B94&amp;"\"&amp;TEXT(F94,"YYYY-MM-DD")
&amp;" &amp; "&amp;"aws s3 cp "&amp;s3_bucket&amp;"/RTDC"&amp;B94&amp;"/ "&amp;search_path&amp;"\RTDC"&amp;B94&amp;"\"&amp;TEXT(F94+1,"YYYY-MM-DD")&amp;" --exclude ""*"" --recursive --include ""*"&amp;TEXT(F94+1,"YYYYMMDD")&amp;"*"" &amp; """&amp;walkandungz&amp;""" "&amp;search_path&amp;"\RTDC"&amp;B94&amp;"\"&amp;TEXT(F94+1,"YYYY-MM-DD")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94" s="88" t="str">
        <f>astrogrep_path&amp;" /spath="&amp;search_path&amp;" /stypes=""app*"&amp;B94&amp;"*"&amp;TEXT(I94-utc_offset/24,"YYYYMMDD")&amp;"*"" /stext="" "&amp;TEXT(I94-utc_offset/24,"HH")&amp;search_regexp&amp;""" /e /r /s"</f>
        <v>"C:\Program Files (x86)\AstroGrep\AstroGrep.exe" /spath="%USERPROFILE%\AppData\Local\Temp\OnboardLogs" /stypes="app*4037*20161013*" /stext=" 21:.+((SYSTEM_STATE.+slice.+state.+changed )|(ment ac)|(system.+state.+changed )|(\[timeout)|(PRM\|1\|D)|(kpr)|(kdp)|(\|lc)|(penalty))" /e /r /s</v>
      </c>
      <c r="AG94" s="1" t="str">
        <f>IFERROR(IF(VALUE(LEFT(AD94,2))&lt;=2,"EC",IF(OR(VALUE(LEFT(AD94,2))=8,VALUE(LEFT(AD94,2))=18),"NW","Other")),"Other")</f>
        <v>EC</v>
      </c>
      <c r="AH94" s="92" t="str">
        <f t="shared" si="6"/>
        <v>"%USERPROFILE%\Documents\GitHub\eaglep3\Utilities\RefineRTDCRunTimes.py" --tripid 182-13 --locoid 4037 --swversion DE.1.0.7.0 --startMP 204:232989 --initTime 2016-10-13T14:26:32 --startdatetime 2016-10-13T14:41:54 --delay 2 --endMP 204:192 --enddatetime 2016-10-13T15:22:48 --enforcementcount 1 &gt;&gt;C:\Users\stu\Documents\GitHub\eaglep3-reporting\EC\2016-10-13-refined-times.txt</v>
      </c>
      <c r="AI94" s="122" t="str">
        <f t="shared" si="7"/>
        <v>echo {"issue":{"subject":"","project_id":79,"tracker_id":40,"status_id":1,"priority_id":2,"assigned_to_id":23,"start_date":"2016-10-13","description":"","custom_fields":[{"id":1,"name":"Subdivision","value":"EC"},{"id":4,"name":"Milepost","value":"0.0192"},{"id":17,"name":"Train ID","value":"182-13"},{"id":16,"name":"Locomotive ID","value":"4037"},{"id":130,"name":"Impact","value":""},{"id":150,"name":"Time of Event (Mountain Time)","value":"15:22:48"},{"id":151,"name":"Denver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515</v>
      </c>
      <c r="B95" s="7">
        <v>4002</v>
      </c>
      <c r="C95" s="22" t="s">
        <v>99</v>
      </c>
      <c r="D95" s="22" t="s">
        <v>652</v>
      </c>
      <c r="E95" s="13">
        <v>42656.583599537036</v>
      </c>
      <c r="F95" s="13">
        <v>42656.585439814815</v>
      </c>
      <c r="G95" s="7">
        <v>2</v>
      </c>
      <c r="H95" s="13" t="s">
        <v>265</v>
      </c>
      <c r="I95" s="13">
        <v>42656.610393518517</v>
      </c>
      <c r="J95" s="7">
        <v>1</v>
      </c>
      <c r="K95" s="112" t="str">
        <f>IF(ISEVEN(B95),(B95-1)&amp;"/"&amp;B95,B95&amp;"/"&amp;(B95+1))</f>
        <v>4001/4002</v>
      </c>
      <c r="L95" s="22" t="str">
        <f>VLOOKUP(A95,'Trips&amp;Operators'!$C$1:$E$10000,3,FALSE)</f>
        <v>BROWN</v>
      </c>
      <c r="M95" s="6">
        <f>I95-F95</f>
        <v>2.495370370161254E-2</v>
      </c>
      <c r="N95" s="7">
        <f>24*60*SUM($M95:$M95)</f>
        <v>35.933333330322057</v>
      </c>
      <c r="O95" s="7"/>
      <c r="P95" s="7"/>
      <c r="Q95" s="23"/>
      <c r="R95" s="23"/>
      <c r="S95" s="35">
        <f>SUM(U95:U95)/IF(AG95="EC",12,1)</f>
        <v>1</v>
      </c>
      <c r="T95" s="50" t="str">
        <f>IF(ISEVEN(LEFT(AD95,4)),"Southbound","NorthBound")</f>
        <v>NorthBound</v>
      </c>
      <c r="U95" s="144">
        <f>IF(AG95="EC",COUNTIFS(Variables!$M$2:$M$19,IF(T95="NorthBound","&gt;=","&lt;=")&amp;Y95,Variables!$M$2:$M$19,IF(T95="NorthBound","&lt;=","&gt;=")&amp;Z95),COUNTIFS(Variables!$P$2:$P$19,IF(T95="NorthBound","&gt;=","&lt;=")&amp;Y95,Variables!$P$2:$P$19,IF(T95="NorthBound","&lt;=","&gt;=")&amp;Z95))</f>
        <v>12</v>
      </c>
      <c r="V95" s="98" t="str">
        <f>"https://search-rtdc-monitor-bjffxe2xuh6vdkpspy63sjmuny.us-east-1.es.amazonaws.com/_plugin/kibana/#/discover/Steve-Slow-Train-Analysis-(2080s-and-2083s)?_g=(refreshInterval:(display:Off,section:0,value:0),time:(from:'"&amp;TEXT(E95-1/24,"yyyy-MM-DD hh:mm:ss")&amp;"-0600',mode:absolute,to:'"&amp;TEXT(I95+1/24,"yyyy-MM-DD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95&amp;"%22')),sort:!(Time,asc))"</f>
        <v>https://search-rtdc-monitor-bjffxe2xuh6vdkpspy63sjmuny.us-east-1.es.amazonaws.com/_plugin/kibana/#/discover/Steve-Slow-Train-Analysis-(2080s-and-2083s)?_g=(refreshInterval:(display:Off,section:0,value:0),time:(from:'2016-10-13 13:00:23-0600',mode:absolute,to:'2016-10-13 15:38: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5" s="52" t="str">
        <f>IF(AA95&lt;IF(AG95="EC",23,5.65),"Y","N")</f>
        <v>N</v>
      </c>
      <c r="X95" s="149">
        <f>VALUE(LEFT(AD95,4))-VALUE(LEFT(AD94,4))</f>
        <v>1</v>
      </c>
      <c r="Y95" s="67">
        <f>RIGHT(D95,LEN(D95)-4)/10000</f>
        <v>8.8300000000000003E-2</v>
      </c>
      <c r="Z95" s="67">
        <f>RIGHT(H95,LEN(H95)-4)/10000</f>
        <v>23.332999999999998</v>
      </c>
      <c r="AA95" s="67">
        <f>ABS(Z95-Y95)</f>
        <v>23.244699999999998</v>
      </c>
      <c r="AB95" s="64" t="e">
        <f>VLOOKUP(A95,Enforcements!$C$7:$K$21,8,0)</f>
        <v>#N/A</v>
      </c>
      <c r="AC95" s="60" t="e">
        <f>VLOOKUP(A95,Enforcements!$C$7:$E$21,3,0)</f>
        <v>#N/A</v>
      </c>
      <c r="AD95" s="61" t="str">
        <f>IF(LEN(A95)=6,"0"&amp;A95,A95)</f>
        <v>0183-13</v>
      </c>
      <c r="AE95" s="91" t="str">
        <f>"aws s3 cp "&amp;s3_bucket&amp;"/RTDC"&amp;B95&amp;"/ "&amp;search_path&amp;"\RTDC"&amp;B95&amp;"\"&amp;TEXT(F95,"YYYY-MM-DD")&amp;" --exclude ""*"" --recursive --include ""*"&amp;TEXT(F95,"YYYYMMDD")&amp;"*"" &amp; """&amp;walkandungz&amp;""" "&amp;search_path&amp;"\RTDC"&amp;B95&amp;"\"&amp;TEXT(F95,"YYYY-MM-DD")
&amp;" &amp; "&amp;"aws s3 cp "&amp;s3_bucket&amp;"/RTDC"&amp;B95&amp;"/ "&amp;search_path&amp;"\RTDC"&amp;B95&amp;"\"&amp;TEXT(F95+1,"YYYY-MM-DD")&amp;" --exclude ""*"" --recursive --include ""*"&amp;TEXT(F95+1,"YYYYMMDD")&amp;"*"" &amp; """&amp;walkandungz&amp;""" "&amp;search_path&amp;"\RTDC"&amp;B95&amp;"\"&amp;TEXT(F95+1,"YYYY-MM-DD")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95" s="88" t="str">
        <f>astrogrep_path&amp;" /spath="&amp;search_path&amp;" /stypes=""app*"&amp;B95&amp;"*"&amp;TEXT(I95-utc_offset/24,"YYYYMMDD")&amp;"*"" /stext="" "&amp;TEXT(I95-utc_offset/24,"HH")&amp;search_regexp&amp;""" /e /r /s"</f>
        <v>"C:\Program Files (x86)\AstroGrep\AstroGrep.exe" /spath="%USERPROFILE%\AppData\Local\Temp\OnboardLogs" /stypes="app*4002*20161013*" /stext=" 20:.+((SYSTEM_STATE.+slice.+state.+changed )|(ment ac)|(system.+state.+changed )|(\[timeout)|(PRM\|1\|D)|(kpr)|(kdp)|(\|lc)|(penalty))" /e /r /s</v>
      </c>
      <c r="AG95" s="1" t="str">
        <f>IFERROR(IF(VALUE(LEFT(AD95,2))&lt;=2,"EC",IF(OR(VALUE(LEFT(AD95,2))=8,VALUE(LEFT(AD95,2))=18),"NW","Other")),"Other")</f>
        <v>EC</v>
      </c>
      <c r="AH95" s="92" t="str">
        <f t="shared" si="6"/>
        <v>"%USERPROFILE%\Documents\GitHub\eaglep3\Utilities\RefineRTDCRunTimes.py" --tripid 183-13 --locoid 4002 --swversion DE.1.0.7.0 --startMP 204:883 --initTime 2016-10-13T14:00:23 --startdatetime 2016-10-13T14:03:02 --delay 2 --endMP 204:233330 --enddatetime 2016-10-13T14:38:58 --enforcementcount 1 &gt;&gt;C:\Users\stu\Documents\GitHub\eaglep3-reporting\EC\2016-10-13-refined-times.txt</v>
      </c>
      <c r="AI95" s="122" t="str">
        <f t="shared" si="7"/>
        <v>echo {"issue":{"subject":"","project_id":79,"tracker_id":40,"status_id":1,"priority_id":2,"assigned_to_id":23,"start_date":"2016-10-13","description":"","custom_fields":[{"id":1,"name":"Subdivision","value":"EC"},{"id":4,"name":"Milepost","value":"23.333"},{"id":17,"name":"Train ID","value":"183-13"},{"id":16,"name":"Locomotive ID","value":"4002"},{"id":130,"name":"Impact","value":""},{"id":150,"name":"Time of Event (Mountain Time)","value":"14:38:58"},{"id":151,"name":"Denver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525</v>
      </c>
      <c r="B96" s="7">
        <v>4001</v>
      </c>
      <c r="C96" s="22" t="s">
        <v>99</v>
      </c>
      <c r="D96" s="22" t="s">
        <v>309</v>
      </c>
      <c r="E96" s="13">
        <v>42656.614178240743</v>
      </c>
      <c r="F96" s="13">
        <v>42656.622372685182</v>
      </c>
      <c r="G96" s="7">
        <v>1</v>
      </c>
      <c r="H96" s="13" t="s">
        <v>182</v>
      </c>
      <c r="I96" s="13">
        <v>42656.649050925924</v>
      </c>
      <c r="J96" s="7">
        <v>1</v>
      </c>
      <c r="K96" s="112" t="str">
        <f>IF(ISEVEN(B96),(B96-1)&amp;"/"&amp;B96,B96&amp;"/"&amp;(B96+1))</f>
        <v>4001/4002</v>
      </c>
      <c r="L96" s="22" t="str">
        <f>VLOOKUP(A96,'Trips&amp;Operators'!$C$1:$E$10000,3,FALSE)</f>
        <v>BROWN</v>
      </c>
      <c r="M96" s="6">
        <f>I96-F96</f>
        <v>2.6678240741603076E-2</v>
      </c>
      <c r="N96" s="7">
        <f>24*60*SUM($M96:$M96)</f>
        <v>38.41666666790843</v>
      </c>
      <c r="O96" s="7"/>
      <c r="P96" s="7"/>
      <c r="Q96" s="23"/>
      <c r="R96" s="23"/>
      <c r="S96" s="35">
        <f>SUM(U96:U96)/IF(AG96="EC",12,1)</f>
        <v>1</v>
      </c>
      <c r="T96" s="50" t="str">
        <f>IF(ISEVEN(LEFT(AD96,4)),"Southbound","NorthBound")</f>
        <v>Southbound</v>
      </c>
      <c r="U96" s="144">
        <f>IF(AG96="EC",COUNTIFS(Variables!$M$2:$M$19,IF(T96="NorthBound","&gt;=","&lt;=")&amp;Y96,Variables!$M$2:$M$19,IF(T96="NorthBound","&lt;=","&gt;=")&amp;Z96),COUNTIFS(Variables!$P$2:$P$19,IF(T96="NorthBound","&gt;=","&lt;=")&amp;Y96,Variables!$P$2:$P$19,IF(T96="NorthBound","&lt;=","&gt;=")&amp;Z96))</f>
        <v>12</v>
      </c>
      <c r="V96" s="98" t="str">
        <f>"https://search-rtdc-monitor-bjffxe2xuh6vdkpspy63sjmuny.us-east-1.es.amazonaws.com/_plugin/kibana/#/discover/Steve-Slow-Train-Analysis-(2080s-and-2083s)?_g=(refreshInterval:(display:Off,section:0,value:0),time:(from:'"&amp;TEXT(E96-1/24,"yyyy-MM-DD hh:mm:ss")&amp;"-0600',mode:absolute,to:'"&amp;TEXT(I96+1/24,"yyyy-MM-DD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96&amp;"%22')),sort:!(Time,asc))"</f>
        <v>https://search-rtdc-monitor-bjffxe2xuh6vdkpspy63sjmuny.us-east-1.es.amazonaws.com/_plugin/kibana/#/discover/Steve-Slow-Train-Analysis-(2080s-and-2083s)?_g=(refreshInterval:(display:Off,section:0,value:0),time:(from:'2016-10-13 13:44:25-0600',mode:absolute,to:'2016-10-13 16: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6" s="52" t="str">
        <f>IF(AA96&lt;IF(AG96="EC",23,5.65),"Y","N")</f>
        <v>N</v>
      </c>
      <c r="X96" s="149">
        <f>VALUE(LEFT(AD96,4))-VALUE(LEFT(AD95,4))</f>
        <v>1</v>
      </c>
      <c r="Y96" s="67">
        <f>RIGHT(D96,LEN(D96)-4)/10000</f>
        <v>23.299600000000002</v>
      </c>
      <c r="Z96" s="67">
        <f>RIGHT(H96,LEN(H96)-4)/10000</f>
        <v>1.41E-2</v>
      </c>
      <c r="AA96" s="67">
        <f>ABS(Z96-Y96)</f>
        <v>23.285500000000003</v>
      </c>
      <c r="AB96" s="64" t="e">
        <f>VLOOKUP(A96,Enforcements!$C$7:$K$21,8,0)</f>
        <v>#N/A</v>
      </c>
      <c r="AC96" s="60" t="e">
        <f>VLOOKUP(A96,Enforcements!$C$7:$E$21,3,0)</f>
        <v>#N/A</v>
      </c>
      <c r="AD96" s="61" t="str">
        <f>IF(LEN(A96)=6,"0"&amp;A96,A96)</f>
        <v>0184-13</v>
      </c>
      <c r="AE96" s="91" t="str">
        <f>"aws s3 cp "&amp;s3_bucket&amp;"/RTDC"&amp;B96&amp;"/ "&amp;search_path&amp;"\RTDC"&amp;B96&amp;"\"&amp;TEXT(F96,"YYYY-MM-DD")&amp;" --exclude ""*"" --recursive --include ""*"&amp;TEXT(F96,"YYYYMMDD")&amp;"*"" &amp; """&amp;walkandungz&amp;""" "&amp;search_path&amp;"\RTDC"&amp;B96&amp;"\"&amp;TEXT(F96,"YYYY-MM-DD")
&amp;" &amp; "&amp;"aws s3 cp "&amp;s3_bucket&amp;"/RTDC"&amp;B96&amp;"/ "&amp;search_path&amp;"\RTDC"&amp;B96&amp;"\"&amp;TEXT(F96+1,"YYYY-MM-DD")&amp;" --exclude ""*"" --recursive --include ""*"&amp;TEXT(F96+1,"YYYYMMDD")&amp;"*"" &amp; """&amp;walkandungz&amp;""" "&amp;search_path&amp;"\RTDC"&amp;B96&amp;"\"&amp;TEXT(F96+1,"YYYY-MM-DD")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96" s="88" t="str">
        <f>astrogrep_path&amp;" /spath="&amp;search_path&amp;" /stypes=""app*"&amp;B96&amp;"*"&amp;TEXT(I96-utc_offset/24,"YYYYMMDD")&amp;"*"" /stext="" "&amp;TEXT(I96-utc_offset/24,"HH")&amp;search_regexp&amp;""" /e /r /s"</f>
        <v>"C:\Program Files (x86)\AstroGrep\AstroGrep.exe" /spath="%USERPROFILE%\AppData\Local\Temp\OnboardLogs" /stypes="app*4001*20161013*" /stext=" 21:.+((SYSTEM_STATE.+slice.+state.+changed )|(ment ac)|(system.+state.+changed )|(\[timeout)|(PRM\|1\|D)|(kpr)|(kdp)|(\|lc)|(penalty))" /e /r /s</v>
      </c>
      <c r="AG96" s="1" t="str">
        <f>IFERROR(IF(VALUE(LEFT(AD96,2))&lt;=2,"EC",IF(OR(VALUE(LEFT(AD96,2))=8,VALUE(LEFT(AD96,2))=18),"NW","Other")),"Other")</f>
        <v>EC</v>
      </c>
      <c r="AH96" s="92" t="str">
        <f t="shared" si="6"/>
        <v>"%USERPROFILE%\Documents\GitHub\eaglep3\Utilities\RefineRTDCRunTimes.py" --tripid 184-13 --locoid 4001 --swversion DE.1.0.7.0 --startMP 204:232996 --initTime 2016-10-13T14:44:25 --startdatetime 2016-10-13T14:56:13 --delay 1 --endMP 204:141 --enddatetime 2016-10-13T15:34:38 --enforcementcount 1 &gt;&gt;C:\Users\stu\Documents\GitHub\eaglep3-reporting\EC\2016-10-13-refined-times.txt</v>
      </c>
      <c r="AI96" s="122" t="str">
        <f t="shared" si="7"/>
        <v>echo {"issue":{"subject":"","project_id":79,"tracker_id":40,"status_id":1,"priority_id":2,"assigned_to_id":23,"start_date":"2016-10-13","description":"","custom_fields":[{"id":1,"name":"Subdivision","value":"EC"},{"id":4,"name":"Milepost","value":"0.0141"},{"id":17,"name":"Train ID","value":"184-13"},{"id":16,"name":"Locomotive ID","value":"4001"},{"id":130,"name":"Impact","value":""},{"id":150,"name":"Time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517</v>
      </c>
      <c r="B97" s="7">
        <v>4025</v>
      </c>
      <c r="C97" s="22" t="s">
        <v>99</v>
      </c>
      <c r="D97" s="22" t="s">
        <v>300</v>
      </c>
      <c r="E97" s="13">
        <v>42656.589097222219</v>
      </c>
      <c r="F97" s="13">
        <v>42656.59443287037</v>
      </c>
      <c r="G97" s="7">
        <v>1</v>
      </c>
      <c r="H97" s="13" t="s">
        <v>653</v>
      </c>
      <c r="I97" s="13">
        <v>42656.619606481479</v>
      </c>
      <c r="J97" s="7">
        <v>1</v>
      </c>
      <c r="K97" s="112" t="str">
        <f>IF(ISEVEN(B97),(B97-1)&amp;"/"&amp;B97,B97&amp;"/"&amp;(B97+1))</f>
        <v>4025/4026</v>
      </c>
      <c r="L97" s="22" t="str">
        <f>VLOOKUP(A97,'Trips&amp;Operators'!$C$1:$E$10000,3,FALSE)</f>
        <v>STORY</v>
      </c>
      <c r="M97" s="6">
        <f>I97-F97</f>
        <v>2.5173611109494232E-2</v>
      </c>
      <c r="N97" s="7">
        <f>24*60*SUM($M97:$M97)</f>
        <v>36.249999997671694</v>
      </c>
      <c r="O97" s="7"/>
      <c r="P97" s="7"/>
      <c r="Q97" s="23"/>
      <c r="R97" s="23"/>
      <c r="S97" s="35">
        <f>SUM(U97:U97)/IF(AG97="EC",12,1)</f>
        <v>1</v>
      </c>
      <c r="T97" s="50" t="str">
        <f>IF(ISEVEN(LEFT(AD97,4)),"Southbound","NorthBound")</f>
        <v>NorthBound</v>
      </c>
      <c r="U97" s="144">
        <f>IF(AG97="EC",COUNTIFS(Variables!$M$2:$M$19,IF(T97="NorthBound","&gt;=","&lt;=")&amp;Y97,Variables!$M$2:$M$19,IF(T97="NorthBound","&lt;=","&gt;=")&amp;Z97),COUNTIFS(Variables!$P$2:$P$19,IF(T97="NorthBound","&gt;=","&lt;=")&amp;Y97,Variables!$P$2:$P$19,IF(T97="NorthBound","&lt;=","&gt;=")&amp;Z97))</f>
        <v>12</v>
      </c>
      <c r="V97" s="98" t="str">
        <f>"https://search-rtdc-monitor-bjffxe2xuh6vdkpspy63sjmuny.us-east-1.es.amazonaws.com/_plugin/kibana/#/discover/Steve-Slow-Train-Analysis-(2080s-and-2083s)?_g=(refreshInterval:(display:Off,section:0,value:0),time:(from:'"&amp;TEXT(E97-1/24,"yyyy-MM-DD hh:mm:ss")&amp;"-0600',mode:absolute,to:'"&amp;TEXT(I97+1/24,"yyyy-MM-DD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97&amp;"%22')),sort:!(Time,asc))"</f>
        <v>https://search-rtdc-monitor-bjffxe2xuh6vdkpspy63sjmuny.us-east-1.es.amazonaws.com/_plugin/kibana/#/discover/Steve-Slow-Train-Analysis-(2080s-and-2083s)?_g=(refreshInterval:(display:Off,section:0,value:0),time:(from:'2016-10-13 13:08:18-0600',mode:absolute,to:'2016-10-13 15:52: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97" s="52" t="str">
        <f>IF(AA97&lt;IF(AG97="EC",23,5.65),"Y","N")</f>
        <v>N</v>
      </c>
      <c r="X97" s="149">
        <f t="shared" ref="X97:X101" si="8">VALUE(LEFT(AD97,4))-VALUE(LEFT(AD96,4))</f>
        <v>1</v>
      </c>
      <c r="Y97" s="67">
        <f>RIGHT(D97,LEN(D97)-4)/10000</f>
        <v>4.3799999999999999E-2</v>
      </c>
      <c r="Z97" s="67">
        <f>RIGHT(H97,LEN(H97)-4)/10000</f>
        <v>23.333400000000001</v>
      </c>
      <c r="AA97" s="67">
        <f>ABS(Z97-Y97)</f>
        <v>23.2896</v>
      </c>
      <c r="AB97" s="64" t="e">
        <f>VLOOKUP(A97,Enforcements!$C$7:$K$21,8,0)</f>
        <v>#N/A</v>
      </c>
      <c r="AC97" s="60" t="e">
        <f>VLOOKUP(A97,Enforcements!$C$7:$E$21,3,0)</f>
        <v>#N/A</v>
      </c>
      <c r="AD97" s="61" t="str">
        <f>IF(LEN(A97)=6,"0"&amp;A97,A97)</f>
        <v>0185-13</v>
      </c>
      <c r="AE97" s="91" t="str">
        <f>"aws s3 cp "&amp;s3_bucket&amp;"/RTDC"&amp;B97&amp;"/ "&amp;search_path&amp;"\RTDC"&amp;B97&amp;"\"&amp;TEXT(F97,"YYYY-MM-DD")&amp;" --exclude ""*"" --recursive --include ""*"&amp;TEXT(F97,"YYYYMMDD")&amp;"*"" &amp; """&amp;walkandungz&amp;""" "&amp;search_path&amp;"\RTDC"&amp;B97&amp;"\"&amp;TEXT(F97,"YYYY-MM-DD")
&amp;" &amp; "&amp;"aws s3 cp "&amp;s3_bucket&amp;"/RTDC"&amp;B97&amp;"/ "&amp;search_path&amp;"\RTDC"&amp;B97&amp;"\"&amp;TEXT(F97+1,"YYYY-MM-DD")&amp;" --exclude ""*"" --recursive --include ""*"&amp;TEXT(F97+1,"YYYYMMDD")&amp;"*"" &amp; """&amp;walkandungz&amp;""" "&amp;search_path&amp;"\RTDC"&amp;B97&amp;"\"&amp;TEXT(F97+1,"YYYY-MM-DD")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97" s="88" t="str">
        <f>astrogrep_path&amp;" /spath="&amp;search_path&amp;" /stypes=""app*"&amp;B97&amp;"*"&amp;TEXT(I97-utc_offset/24,"YYYYMMDD")&amp;"*"" /stext="" "&amp;TEXT(I97-utc_offset/24,"HH")&amp;search_regexp&amp;""" /e /r /s"</f>
        <v>"C:\Program Files (x86)\AstroGrep\AstroGrep.exe" /spath="%USERPROFILE%\AppData\Local\Temp\OnboardLogs" /stypes="app*4025*20161013*" /stext=" 20:.+((SYSTEM_STATE.+slice.+state.+changed )|(ment ac)|(system.+state.+changed )|(\[timeout)|(PRM\|1\|D)|(kpr)|(kdp)|(\|lc)|(penalty))" /e /r /s</v>
      </c>
      <c r="AG97" s="1" t="str">
        <f>IFERROR(IF(VALUE(LEFT(AD97,2))&lt;=2,"EC",IF(OR(VALUE(LEFT(AD97,2))=8,VALUE(LEFT(AD97,2))=18),"NW","Other")),"Other")</f>
        <v>EC</v>
      </c>
      <c r="AH97" s="92" t="str">
        <f t="shared" si="6"/>
        <v>"%USERPROFILE%\Documents\GitHub\eaglep3\Utilities\RefineRTDCRunTimes.py" --tripid 185-13 --locoid 4025 --swversion DE.1.0.7.0 --startMP 204:438 --initTime 2016-10-13T14:08:18 --startdatetime 2016-10-13T14:15:59 --delay 1 --endMP 204:233334 --enddatetime 2016-10-13T14:52:14 --enforcementcount 1 &gt;&gt;C:\Users\stu\Documents\GitHub\eaglep3-reporting\EC\2016-10-13-refined-times.txt</v>
      </c>
      <c r="AI97" s="122" t="str">
        <f t="shared" si="7"/>
        <v>echo {"issue":{"subject":"","project_id":79,"tracker_id":40,"status_id":1,"priority_id":2,"assigned_to_id":23,"start_date":"2016-10-13","description":"","custom_fields":[{"id":1,"name":"Subdivision","value":"EC"},{"id":4,"name":"Milepost","value":"23.3334"},{"id":17,"name":"Train ID","value":"185-13"},{"id":16,"name":"Locomotive ID","value":"4025"},{"id":130,"name":"Impact","value":""},{"id":150,"name":"Time of Event (Mountain Time)","value":"14:52:14"},{"id":151,"name":"Denver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527</v>
      </c>
      <c r="B98" s="7">
        <v>4026</v>
      </c>
      <c r="C98" s="22" t="s">
        <v>99</v>
      </c>
      <c r="D98" s="22" t="s">
        <v>654</v>
      </c>
      <c r="E98" s="13">
        <v>42656.627430555556</v>
      </c>
      <c r="F98" s="13">
        <v>42656.633206018516</v>
      </c>
      <c r="G98" s="7">
        <v>1</v>
      </c>
      <c r="H98" s="13" t="s">
        <v>316</v>
      </c>
      <c r="I98" s="13">
        <v>42656.659942129627</v>
      </c>
      <c r="J98" s="7">
        <v>1</v>
      </c>
      <c r="K98" s="112" t="str">
        <f>IF(ISEVEN(B98),(B98-1)&amp;"/"&amp;B98,B98&amp;"/"&amp;(B98+1))</f>
        <v>4025/4026</v>
      </c>
      <c r="L98" s="22" t="str">
        <f>VLOOKUP(A98,'Trips&amp;Operators'!$C$1:$E$10000,3,FALSE)</f>
        <v>STORY</v>
      </c>
      <c r="M98" s="6">
        <f>I98-F98</f>
        <v>2.6736111110949423E-2</v>
      </c>
      <c r="N98" s="7">
        <f>24*60*SUM($M98:$M98)</f>
        <v>38.499999999767169</v>
      </c>
      <c r="O98" s="7"/>
      <c r="P98" s="7"/>
      <c r="Q98" s="23"/>
      <c r="R98" s="23"/>
      <c r="S98" s="35">
        <f>SUM(U98:U98)/IF(AG98="EC",12,1)</f>
        <v>1</v>
      </c>
      <c r="T98" s="50" t="str">
        <f>IF(ISEVEN(LEFT(AD98,4)),"Southbound","NorthBound")</f>
        <v>Southbound</v>
      </c>
      <c r="U98" s="144">
        <f>IF(AG98="EC",COUNTIFS(Variables!$M$2:$M$19,IF(T98="NorthBound","&gt;=","&lt;=")&amp;Y98,Variables!$M$2:$M$19,IF(T98="NorthBound","&lt;=","&gt;=")&amp;Z98),COUNTIFS(Variables!$P$2:$P$19,IF(T98="NorthBound","&gt;=","&lt;=")&amp;Y98,Variables!$P$2:$P$19,IF(T98="NorthBound","&lt;=","&gt;=")&amp;Z98))</f>
        <v>12</v>
      </c>
      <c r="V98" s="98" t="str">
        <f>"https://search-rtdc-monitor-bjffxe2xuh6vdkpspy63sjmuny.us-east-1.es.amazonaws.com/_plugin/kibana/#/discover/Steve-Slow-Train-Analysis-(2080s-and-2083s)?_g=(refreshInterval:(display:Off,section:0,value:0),time:(from:'"&amp;TEXT(E98-1/24,"yyyy-MM-DD hh:mm:ss")&amp;"-0600',mode:absolute,to:'"&amp;TEXT(I98+1/24,"yyyy-MM-DD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98&amp;"%22')),sort:!(Time,asc))"</f>
        <v>https://search-rtdc-monitor-bjffxe2xuh6vdkpspy63sjmuny.us-east-1.es.amazonaws.com/_plugin/kibana/#/discover/Steve-Slow-Train-Analysis-(2080s-and-2083s)?_g=(refreshInterval:(display:Off,section:0,value:0),time:(from:'2016-10-13 14:03:30-0600',mode:absolute,to:'2016-10-13 16:50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98" s="52" t="str">
        <f>IF(AA98&lt;IF(AG98="EC",23,5.65),"Y","N")</f>
        <v>N</v>
      </c>
      <c r="X98" s="149">
        <f t="shared" si="8"/>
        <v>1</v>
      </c>
      <c r="Y98" s="67">
        <f>RIGHT(D98,LEN(D98)-4)/10000</f>
        <v>23.302299999999999</v>
      </c>
      <c r="Z98" s="67">
        <f>RIGHT(H98,LEN(H98)-4)/10000</f>
        <v>1.6E-2</v>
      </c>
      <c r="AA98" s="67">
        <f>ABS(Z98-Y98)</f>
        <v>23.286300000000001</v>
      </c>
      <c r="AB98" s="64" t="e">
        <f>VLOOKUP(A98,Enforcements!$C$7:$K$21,8,0)</f>
        <v>#N/A</v>
      </c>
      <c r="AC98" s="60" t="e">
        <f>VLOOKUP(A98,Enforcements!$C$7:$E$21,3,0)</f>
        <v>#N/A</v>
      </c>
      <c r="AD98" s="61" t="str">
        <f>IF(LEN(A98)=6,"0"&amp;A98,A98)</f>
        <v>0186-13</v>
      </c>
      <c r="AE98" s="91" t="str">
        <f>"aws s3 cp "&amp;s3_bucket&amp;"/RTDC"&amp;B98&amp;"/ "&amp;search_path&amp;"\RTDC"&amp;B98&amp;"\"&amp;TEXT(F98,"YYYY-MM-DD")&amp;" --exclude ""*"" --recursive --include ""*"&amp;TEXT(F98,"YYYYMMDD")&amp;"*"" &amp; """&amp;walkandungz&amp;""" "&amp;search_path&amp;"\RTDC"&amp;B98&amp;"\"&amp;TEXT(F98,"YYYY-MM-DD")
&amp;" &amp; "&amp;"aws s3 cp "&amp;s3_bucket&amp;"/RTDC"&amp;B98&amp;"/ "&amp;search_path&amp;"\RTDC"&amp;B98&amp;"\"&amp;TEXT(F98+1,"YYYY-MM-DD")&amp;" --exclude ""*"" --recursive --include ""*"&amp;TEXT(F98+1,"YYYYMMDD")&amp;"*"" &amp; """&amp;walkandungz&amp;""" "&amp;search_path&amp;"\RTDC"&amp;B98&amp;"\"&amp;TEXT(F98+1,"YYYY-MM-DD")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98" s="88" t="str">
        <f>astrogrep_path&amp;" /spath="&amp;search_path&amp;" /stypes=""app*"&amp;B98&amp;"*"&amp;TEXT(I98-utc_offset/24,"YYYYMMDD")&amp;"*"" /stext="" "&amp;TEXT(I98-utc_offset/24,"HH")&amp;search_regexp&amp;""" /e /r /s"</f>
        <v>"C:\Program Files (x86)\AstroGrep\AstroGrep.exe" /spath="%USERPROFILE%\AppData\Local\Temp\OnboardLogs" /stypes="app*4026*20161013*" /stext=" 21:.+((SYSTEM_STATE.+slice.+state.+changed )|(ment ac)|(system.+state.+changed )|(\[timeout)|(PRM\|1\|D)|(kpr)|(kdp)|(\|lc)|(penalty))" /e /r /s</v>
      </c>
      <c r="AG98" s="1" t="str">
        <f>IFERROR(IF(VALUE(LEFT(AD98,2))&lt;=2,"EC",IF(OR(VALUE(LEFT(AD98,2))=8,VALUE(LEFT(AD98,2))=18),"NW","Other")),"Other")</f>
        <v>EC</v>
      </c>
      <c r="AH98" s="92" t="str">
        <f t="shared" si="6"/>
        <v>"%USERPROFILE%\Documents\GitHub\eaglep3\Utilities\RefineRTDCRunTimes.py" --tripid 186-13 --locoid 4026 --swversion DE.1.0.7.0 --startMP 204:233023 --initTime 2016-10-13T15:03:30 --startdatetime 2016-10-13T15:11:49 --delay 1 --endMP 204:160 --enddatetime 2016-10-13T15:50:19 --enforcementcount 1 &gt;&gt;C:\Users\stu\Documents\GitHub\eaglep3-reporting\EC\2016-10-13-refined-times.txt</v>
      </c>
      <c r="AI98" s="122" t="str">
        <f t="shared" si="7"/>
        <v>echo {"issue":{"subject":"","project_id":79,"tracker_id":40,"status_id":1,"priority_id":2,"assigned_to_id":23,"start_date":"2016-10-13","description":"","custom_fields":[{"id":1,"name":"Subdivision","value":"EC"},{"id":4,"name":"Milepost","value":"0.016"},{"id":17,"name":"Train ID","value":"186-13"},{"id":16,"name":"Locomotive ID","value":"4026"},{"id":130,"name":"Impact","value":""},{"id":150,"name":"Time of Event (Mountain Time)","value":"15:50:19"},{"id":151,"name":"Denver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7" t="s">
        <v>520</v>
      </c>
      <c r="B99" s="7">
        <v>4042</v>
      </c>
      <c r="C99" s="22" t="s">
        <v>99</v>
      </c>
      <c r="D99" s="22" t="s">
        <v>280</v>
      </c>
      <c r="E99" s="13">
        <v>42656.598449074074</v>
      </c>
      <c r="F99" s="13">
        <v>42656.604351851849</v>
      </c>
      <c r="G99" s="7">
        <v>1</v>
      </c>
      <c r="H99" s="13" t="s">
        <v>632</v>
      </c>
      <c r="I99" s="13">
        <v>42656.629131944443</v>
      </c>
      <c r="J99" s="7">
        <v>1</v>
      </c>
      <c r="K99" s="112" t="str">
        <f>IF(ISEVEN(B99),(B99-1)&amp;"/"&amp;B99,B99&amp;"/"&amp;(B99+1))</f>
        <v>4041/4042</v>
      </c>
      <c r="L99" s="22" t="str">
        <f>VLOOKUP(A99,'Trips&amp;Operators'!$C$1:$E$10000,3,FALSE)</f>
        <v>BONDS</v>
      </c>
      <c r="M99" s="6">
        <f>I99-F99</f>
        <v>2.4780092593573499E-2</v>
      </c>
      <c r="N99" s="7">
        <f>24*60*SUM($M99:$M99)</f>
        <v>35.683333334745839</v>
      </c>
      <c r="O99" s="7"/>
      <c r="P99" s="7"/>
      <c r="Q99" s="23"/>
      <c r="R99" s="23"/>
      <c r="S99" s="35">
        <f>SUM(U99:U99)/IF(AG99="EC",12,1)</f>
        <v>1</v>
      </c>
      <c r="T99" s="50" t="str">
        <f>IF(ISEVEN(LEFT(AD99,4)),"Southbound","NorthBound")</f>
        <v>NorthBound</v>
      </c>
      <c r="U99" s="144">
        <f>IF(AG99="EC",COUNTIFS(Variables!$M$2:$M$19,IF(T99="NorthBound","&gt;=","&lt;=")&amp;Y99,Variables!$M$2:$M$19,IF(T99="NorthBound","&lt;=","&gt;=")&amp;Z99),COUNTIFS(Variables!$P$2:$P$19,IF(T99="NorthBound","&gt;=","&lt;=")&amp;Y99,Variables!$P$2:$P$19,IF(T99="NorthBound","&lt;=","&gt;=")&amp;Z99))</f>
        <v>12</v>
      </c>
      <c r="V99" s="98" t="str">
        <f>"https://search-rtdc-monitor-bjffxe2xuh6vdkpspy63sjmuny.us-east-1.es.amazonaws.com/_plugin/kibana/#/discover/Steve-Slow-Train-Analysis-(2080s-and-2083s)?_g=(refreshInterval:(display:Off,section:0,value:0),time:(from:'"&amp;TEXT(E99-1/24,"yyyy-MM-DD hh:mm:ss")&amp;"-0600',mode:absolute,to:'"&amp;TEXT(I99+1/24,"yyyy-MM-DD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99&amp;"%22')),sort:!(Time,asc))"</f>
        <v>https://search-rtdc-monitor-bjffxe2xuh6vdkpspy63sjmuny.us-east-1.es.amazonaws.com/_plugin/kibana/#/discover/Steve-Slow-Train-Analysis-(2080s-and-2083s)?_g=(refreshInterval:(display:Off,section:0,value:0),time:(from:'2016-10-13 13:21:46-0600',mode:absolute,to:'2016-10-13 16:05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99" s="52" t="str">
        <f>IF(AA99&lt;IF(AG99="EC",23,5.65),"Y","N")</f>
        <v>N</v>
      </c>
      <c r="X99" s="149">
        <f t="shared" si="8"/>
        <v>1</v>
      </c>
      <c r="Y99" s="67">
        <f>RIGHT(D99,LEN(D99)-4)/10000</f>
        <v>4.53E-2</v>
      </c>
      <c r="Z99" s="67">
        <f>RIGHT(H99,LEN(H99)-4)/10000</f>
        <v>23.330100000000002</v>
      </c>
      <c r="AA99" s="67">
        <f>ABS(Z99-Y99)</f>
        <v>23.284800000000001</v>
      </c>
      <c r="AB99" s="64" t="e">
        <f>VLOOKUP(A99,Enforcements!$C$7:$K$21,8,0)</f>
        <v>#N/A</v>
      </c>
      <c r="AC99" s="60" t="e">
        <f>VLOOKUP(A99,Enforcements!$C$7:$E$21,3,0)</f>
        <v>#N/A</v>
      </c>
      <c r="AD99" s="61" t="str">
        <f>IF(LEN(A99)=6,"0"&amp;A99,A99)</f>
        <v>0187-13</v>
      </c>
      <c r="AE99" s="91" t="str">
        <f>"aws s3 cp "&amp;s3_bucket&amp;"/RTDC"&amp;B99&amp;"/ "&amp;search_path&amp;"\RTDC"&amp;B99&amp;"\"&amp;TEXT(F99,"YYYY-MM-DD")&amp;" --exclude ""*"" --recursive --include ""*"&amp;TEXT(F99,"YYYYMMDD")&amp;"*"" &amp; """&amp;walkandungz&amp;""" "&amp;search_path&amp;"\RTDC"&amp;B99&amp;"\"&amp;TEXT(F99,"YYYY-MM-DD")
&amp;" &amp; "&amp;"aws s3 cp "&amp;s3_bucket&amp;"/RTDC"&amp;B99&amp;"/ "&amp;search_path&amp;"\RTDC"&amp;B99&amp;"\"&amp;TEXT(F99+1,"YYYY-MM-DD")&amp;" --exclude ""*"" --recursive --include ""*"&amp;TEXT(F99+1,"YYYYMMDD")&amp;"*"" &amp; """&amp;walkandungz&amp;""" "&amp;search_path&amp;"\RTDC"&amp;B99&amp;"\"&amp;TEXT(F99+1,"YYYY-MM-DD")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99" s="88" t="str">
        <f>astrogrep_path&amp;" /spath="&amp;search_path&amp;" /stypes=""app*"&amp;B99&amp;"*"&amp;TEXT(I99-utc_offset/24,"YYYYMMDD")&amp;"*"" /stext="" "&amp;TEXT(I99-utc_offset/24,"HH")&amp;search_regexp&amp;""" /e /r /s"</f>
        <v>"C:\Program Files (x86)\AstroGrep\AstroGrep.exe" /spath="%USERPROFILE%\AppData\Local\Temp\OnboardLogs" /stypes="app*4042*20161013*" /stext=" 21:.+((SYSTEM_STATE.+slice.+state.+changed )|(ment ac)|(system.+state.+changed )|(\[timeout)|(PRM\|1\|D)|(kpr)|(kdp)|(\|lc)|(penalty))" /e /r /s</v>
      </c>
      <c r="AG99" s="1" t="str">
        <f>IFERROR(IF(VALUE(LEFT(AD99,2))&lt;=2,"EC",IF(OR(VALUE(LEFT(AD99,2))=8,VALUE(LEFT(AD99,2))=18),"NW","Other")),"Other")</f>
        <v>EC</v>
      </c>
      <c r="AH99" s="92" t="str">
        <f t="shared" si="6"/>
        <v>"%USERPROFILE%\Documents\GitHub\eaglep3\Utilities\RefineRTDCRunTimes.py" --tripid 187-13 --locoid 4042 --swversion DE.1.0.7.0 --startMP 204:453 --initTime 2016-10-13T14:21:46 --startdatetime 2016-10-13T14:30:16 --delay 1 --endMP 204:233301 --enddatetime 2016-10-13T15:05:57 --enforcementcount 1 &gt;&gt;C:\Users\stu\Documents\GitHub\eaglep3-reporting\EC\2016-10-13-refined-times.txt</v>
      </c>
      <c r="AI99" s="122" t="str">
        <f t="shared" si="7"/>
        <v>echo {"issue":{"subject":"","project_id":79,"tracker_id":40,"status_id":1,"priority_id":2,"assigned_to_id":23,"start_date":"2016-10-13","description":"","custom_fields":[{"id":1,"name":"Subdivision","value":"EC"},{"id":4,"name":"Milepost","value":"23.3301"},{"id":17,"name":"Train ID","value":"187-13"},{"id":16,"name":"Locomotive ID","value":"4042"},{"id":130,"name":"Impact","value":""},{"id":150,"name":"Time of Event (Mountain Time)","value":"15:05:57"},{"id":151,"name":"Denver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row>
    <row r="100" spans="1:91" s="21" customFormat="1" x14ac:dyDescent="0.25">
      <c r="A100" s="37" t="s">
        <v>408</v>
      </c>
      <c r="B100" s="7">
        <v>4041</v>
      </c>
      <c r="C100" s="22" t="s">
        <v>99</v>
      </c>
      <c r="D100" s="22" t="s">
        <v>615</v>
      </c>
      <c r="E100" s="13">
        <v>42656.633425925924</v>
      </c>
      <c r="F100" s="13">
        <v>42656.643333333333</v>
      </c>
      <c r="G100" s="7">
        <v>1</v>
      </c>
      <c r="H100" s="13" t="s">
        <v>622</v>
      </c>
      <c r="I100" s="13">
        <v>42656.669918981483</v>
      </c>
      <c r="J100" s="7">
        <v>1</v>
      </c>
      <c r="K100" s="112" t="str">
        <f>IF(ISEVEN(B100),(B100-1)&amp;"/"&amp;B100,B100&amp;"/"&amp;(B100+1))</f>
        <v>4041/4042</v>
      </c>
      <c r="L100" s="22" t="str">
        <f>VLOOKUP(A100,'Trips&amp;Operators'!$C$1:$E$10000,3,FALSE)</f>
        <v>BONDS</v>
      </c>
      <c r="M100" s="6">
        <f>I100-F100</f>
        <v>2.658564814919373E-2</v>
      </c>
      <c r="N100" s="7">
        <f>24*60*SUM($M100:$M100)</f>
        <v>38.283333334838971</v>
      </c>
      <c r="O100" s="7"/>
      <c r="P100" s="7"/>
      <c r="Q100" s="23"/>
      <c r="R100" s="23"/>
      <c r="S100" s="35">
        <f>SUM(U100:U100)/IF(AG100="EC",12,1)</f>
        <v>1</v>
      </c>
      <c r="T100" s="50" t="str">
        <f>IF(ISEVEN(LEFT(AD100,4)),"Southbound","NorthBound")</f>
        <v>Southbound</v>
      </c>
      <c r="U100" s="144">
        <f>IF(AG100="EC",COUNTIFS(Variables!$M$2:$M$19,IF(T100="NorthBound","&gt;=","&lt;=")&amp;Y100,Variables!$M$2:$M$19,IF(T100="NorthBound","&lt;=","&gt;=")&amp;Z100),COUNTIFS(Variables!$P$2:$P$19,IF(T100="NorthBound","&gt;=","&lt;=")&amp;Y100,Variables!$P$2:$P$19,IF(T100="NorthBound","&lt;=","&gt;=")&amp;Z100))</f>
        <v>12</v>
      </c>
      <c r="V100" s="98" t="str">
        <f>"https://search-rtdc-monitor-bjffxe2xuh6vdkpspy63sjmuny.us-east-1.es.amazonaws.com/_plugin/kibana/#/discover/Steve-Slow-Train-Analysis-(2080s-and-2083s)?_g=(refreshInterval:(display:Off,section:0,value:0),time:(from:'"&amp;TEXT(E100-1/24,"yyyy-MM-DD hh:mm:ss")&amp;"-0600',mode:absolute,to:'"&amp;TEXT(I100+1/24,"yyyy-MM-DD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100&amp;"%22')),sort:!(Time,asc))"</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00" s="52" t="str">
        <f>IF(AA100&lt;IF(AG100="EC",23,5.65),"Y","N")</f>
        <v>N</v>
      </c>
      <c r="X100" s="149">
        <f t="shared" si="8"/>
        <v>1</v>
      </c>
      <c r="Y100" s="67">
        <f>RIGHT(D100,LEN(D100)-4)/10000</f>
        <v>23.297699999999999</v>
      </c>
      <c r="Z100" s="67">
        <f>RIGHT(H100,LEN(H100)-4)/10000</f>
        <v>1.72E-2</v>
      </c>
      <c r="AA100" s="67">
        <f>ABS(Z100-Y100)</f>
        <v>23.2805</v>
      </c>
      <c r="AB100" s="64" t="e">
        <f>VLOOKUP(A100,Enforcements!$C$7:$K$21,8,0)</f>
        <v>#N/A</v>
      </c>
      <c r="AC100" s="60" t="e">
        <f>VLOOKUP(A100,Enforcements!$C$7:$E$21,3,0)</f>
        <v>#N/A</v>
      </c>
      <c r="AD100" s="61" t="str">
        <f>IF(LEN(A100)=6,"0"&amp;A100,A100)</f>
        <v>0188-13</v>
      </c>
      <c r="AE100" s="91" t="str">
        <f>"aws s3 cp "&amp;s3_bucket&amp;"/RTDC"&amp;B100&amp;"/ "&amp;search_path&amp;"\RTDC"&amp;B100&amp;"\"&amp;TEXT(F100,"YYYY-MM-DD")&amp;" --exclude ""*"" --recursive --include ""*"&amp;TEXT(F100,"YYYYMMDD")&amp;"*"" &amp; """&amp;walkandungz&amp;""" "&amp;search_path&amp;"\RTDC"&amp;B100&amp;"\"&amp;TEXT(F100,"YYYY-MM-DD")
&amp;" &amp; "&amp;"aws s3 cp "&amp;s3_bucket&amp;"/RTDC"&amp;B100&amp;"/ "&amp;search_path&amp;"\RTDC"&amp;B100&amp;"\"&amp;TEXT(F100+1,"YYYY-MM-DD")&amp;" --exclude ""*"" --recursive --include ""*"&amp;TEXT(F100+1,"YYYYMMDD")&amp;"*"" &amp; """&amp;walkandungz&amp;""" "&amp;search_path&amp;"\RTDC"&amp;B100&amp;"\"&amp;TEXT(F100+1,"YYYY-MM-DD")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00" s="88" t="str">
        <f>astrogrep_path&amp;" /spath="&amp;search_path&amp;" /stypes=""app*"&amp;B100&amp;"*"&amp;TEXT(I100-utc_offset/24,"YYYYMMDD")&amp;"*"" /stext="" "&amp;TEXT(I100-utc_offset/24,"HH")&amp;search_regexp&amp;""" /e /r /s"</f>
        <v>"C:\Program Files (x86)\AstroGrep\AstroGrep.exe" /spath="%USERPROFILE%\AppData\Local\Temp\OnboardLogs" /stypes="app*4041*20161013*" /stext=" 22:.+((SYSTEM_STATE.+slice.+state.+changed )|(ment ac)|(system.+state.+changed )|(\[timeout)|(PRM\|1\|D)|(kpr)|(kdp)|(\|lc)|(penalty))" /e /r /s</v>
      </c>
      <c r="AG100" s="1" t="str">
        <f>IFERROR(IF(VALUE(LEFT(AD100,2))&lt;=2,"EC",IF(OR(VALUE(LEFT(AD100,2))=8,VALUE(LEFT(AD100,2))=18),"NW","Other")),"Other")</f>
        <v>EC</v>
      </c>
      <c r="AH100" s="92" t="str">
        <f t="shared" si="6"/>
        <v>"%USERPROFILE%\Documents\GitHub\eaglep3\Utilities\RefineRTDCRunTimes.py" --tripid 188-13 --locoid 4041 --swversion DE.1.0.7.0 --startMP 204:232977 --initTime 2016-10-13T15:12:08 --startdatetime 2016-10-13T15:26:24 --delay 1 --endMP 204:172 --enddatetime 2016-10-13T16:04:41 --enforcementcount 1 &gt;&gt;C:\Users\stu\Documents\GitHub\eaglep3-reporting\EC\2016-10-13-refined-times.txt</v>
      </c>
      <c r="AI100" s="122" t="str">
        <f t="shared" si="7"/>
        <v>echo {"issue":{"subject":"","project_id":79,"tracker_id":40,"status_id":1,"priority_id":2,"assigned_to_id":23,"start_date":"2016-10-13","description":"","custom_fields":[{"id":1,"name":"Subdivision","value":"EC"},{"id":4,"name":"Milepost","value":"0.0172"},{"id":17,"name":"Train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1" customFormat="1" x14ac:dyDescent="0.25">
      <c r="A101" s="37" t="s">
        <v>522</v>
      </c>
      <c r="B101" s="7">
        <v>4044</v>
      </c>
      <c r="C101" s="22" t="s">
        <v>99</v>
      </c>
      <c r="D101" s="22" t="s">
        <v>351</v>
      </c>
      <c r="E101" s="13">
        <v>42656.609224537038</v>
      </c>
      <c r="F101" s="13">
        <v>42656.615219907406</v>
      </c>
      <c r="G101" s="7">
        <v>1</v>
      </c>
      <c r="H101" s="13" t="s">
        <v>655</v>
      </c>
      <c r="I101" s="13">
        <v>42656.63957175926</v>
      </c>
      <c r="J101" s="7">
        <v>1</v>
      </c>
      <c r="K101" s="112" t="str">
        <f>IF(ISEVEN(B101),(B101-1)&amp;"/"&amp;B101,B101&amp;"/"&amp;(B101+1))</f>
        <v>4043/4044</v>
      </c>
      <c r="L101" s="22" t="str">
        <f>VLOOKUP(A101,'Trips&amp;Operators'!$C$1:$E$10000,3,FALSE)</f>
        <v>STAMBAUGH</v>
      </c>
      <c r="M101" s="6">
        <f>I101-F101</f>
        <v>2.4351851854589768E-2</v>
      </c>
      <c r="N101" s="7">
        <f>24*60*SUM($M101:$M101)</f>
        <v>35.066666670609266</v>
      </c>
      <c r="O101" s="7"/>
      <c r="P101" s="7"/>
      <c r="Q101" s="23"/>
      <c r="R101" s="23"/>
      <c r="S101" s="35">
        <f>SUM(U101:U101)/IF(AG101="EC",12,1)</f>
        <v>1</v>
      </c>
      <c r="T101" s="50" t="str">
        <f>IF(ISEVEN(LEFT(AD101,4)),"Southbound","NorthBound")</f>
        <v>NorthBound</v>
      </c>
      <c r="U101" s="144">
        <f>IF(AG101="EC",COUNTIFS(Variables!$M$2:$M$19,IF(T101="NorthBound","&gt;=","&lt;=")&amp;Y101,Variables!$M$2:$M$19,IF(T101="NorthBound","&lt;=","&gt;=")&amp;Z101),COUNTIFS(Variables!$P$2:$P$19,IF(T101="NorthBound","&gt;=","&lt;=")&amp;Y101,Variables!$P$2:$P$19,IF(T101="NorthBound","&lt;=","&gt;=")&amp;Z101))</f>
        <v>12</v>
      </c>
      <c r="V101" s="98" t="str">
        <f>"https://search-rtdc-monitor-bjffxe2xuh6vdkpspy63sjmuny.us-east-1.es.amazonaws.com/_plugin/kibana/#/discover/Steve-Slow-Train-Analysis-(2080s-and-2083s)?_g=(refreshInterval:(display:Off,section:0,value:0),time:(from:'"&amp;TEXT(E101-1/24,"yyyy-MM-DD hh:mm:ss")&amp;"-0600',mode:absolute,to:'"&amp;TEXT(I101+1/24,"yyyy-MM-DD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101&amp;"%22')),sort:!(Time,asc))"</f>
        <v>https://search-rtdc-monitor-bjffxe2xuh6vdkpspy63sjmuny.us-east-1.es.amazonaws.com/_plugin/kibana/#/discover/Steve-Slow-Train-Analysis-(2080s-and-2083s)?_g=(refreshInterval:(display:Off,section:0,value:0),time:(from:'2016-10-13 13:37:17-0600',mode:absolute,to:'2016-10-13 16: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01" s="52" t="str">
        <f>IF(AA101&lt;IF(AG101="EC",23,5.65),"Y","N")</f>
        <v>N</v>
      </c>
      <c r="X101" s="149">
        <f t="shared" si="8"/>
        <v>1</v>
      </c>
      <c r="Y101" s="67">
        <f>RIGHT(D101,LEN(D101)-4)/10000</f>
        <v>4.3999999999999997E-2</v>
      </c>
      <c r="Z101" s="67">
        <f>RIGHT(H101,LEN(H101)-4)/10000</f>
        <v>23.331</v>
      </c>
      <c r="AA101" s="67">
        <f>ABS(Z101-Y101)</f>
        <v>23.286999999999999</v>
      </c>
      <c r="AB101" s="64" t="e">
        <f>VLOOKUP(A101,Enforcements!$C$7:$K$21,8,0)</f>
        <v>#N/A</v>
      </c>
      <c r="AC101" s="60" t="e">
        <f>VLOOKUP(A101,Enforcements!$C$7:$E$21,3,0)</f>
        <v>#N/A</v>
      </c>
      <c r="AD101" s="61" t="str">
        <f>IF(LEN(A101)=6,"0"&amp;A101,A101)</f>
        <v>0189-13</v>
      </c>
      <c r="AE101" s="91" t="str">
        <f>"aws s3 cp "&amp;s3_bucket&amp;"/RTDC"&amp;B101&amp;"/ "&amp;search_path&amp;"\RTDC"&amp;B101&amp;"\"&amp;TEXT(F101,"YYYY-MM-DD")&amp;" --exclude ""*"" --recursive --include ""*"&amp;TEXT(F101,"YYYYMMDD")&amp;"*"" &amp; """&amp;walkandungz&amp;""" "&amp;search_path&amp;"\RTDC"&amp;B101&amp;"\"&amp;TEXT(F101,"YYYY-MM-DD")
&amp;" &amp; "&amp;"aws s3 cp "&amp;s3_bucket&amp;"/RTDC"&amp;B101&amp;"/ "&amp;search_path&amp;"\RTDC"&amp;B101&amp;"\"&amp;TEXT(F101+1,"YYYY-MM-DD")&amp;" --exclude ""*"" --recursive --include ""*"&amp;TEXT(F101+1,"YYYYMMDD")&amp;"*"" &amp; """&amp;walkandungz&amp;""" "&amp;search_path&amp;"\RTDC"&amp;B101&amp;"\"&amp;TEXT(F101+1,"YYYY-MM-DD")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01" s="88" t="str">
        <f>astrogrep_path&amp;" /spath="&amp;search_path&amp;" /stypes=""app*"&amp;B101&amp;"*"&amp;TEXT(I101-utc_offset/24,"YYYYMMDD")&amp;"*"" /stext="" "&amp;TEXT(I101-utc_offset/24,"HH")&amp;search_regexp&amp;""" /e /r /s"</f>
        <v>"C:\Program Files (x86)\AstroGrep\AstroGrep.exe" /spath="%USERPROFILE%\AppData\Local\Temp\OnboardLogs" /stypes="app*4044*20161013*" /stext=" 21:.+((SYSTEM_STATE.+slice.+state.+changed )|(ment ac)|(system.+state.+changed )|(\[timeout)|(PRM\|1\|D)|(kpr)|(kdp)|(\|lc)|(penalty))" /e /r /s</v>
      </c>
      <c r="AG101" s="1" t="str">
        <f>IFERROR(IF(VALUE(LEFT(AD101,2))&lt;=2,"EC",IF(OR(VALUE(LEFT(AD101,2))=8,VALUE(LEFT(AD101,2))=18),"NW","Other")),"Other")</f>
        <v>EC</v>
      </c>
      <c r="AH101" s="92" t="str">
        <f t="shared" si="6"/>
        <v>"%USERPROFILE%\Documents\GitHub\eaglep3\Utilities\RefineRTDCRunTimes.py" --tripid 189-13 --locoid 4044 --swversion DE.1.0.7.0 --startMP 204:440 --initTime 2016-10-13T14:37:17 --startdatetime 2016-10-13T14:45:55 --delay 1 --endMP 204:233310 --enddatetime 2016-10-13T15:20:59 --enforcementcount 1 &gt;&gt;C:\Users\stu\Documents\GitHub\eaglep3-reporting\EC\2016-10-13-refined-times.txt</v>
      </c>
      <c r="AI101" s="122" t="str">
        <f t="shared" si="7"/>
        <v>echo {"issue":{"subject":"","project_id":79,"tracker_id":40,"status_id":1,"priority_id":2,"assigned_to_id":23,"start_date":"2016-10-13","description":"","custom_fields":[{"id":1,"name":"Subdivision","value":"EC"},{"id":4,"name":"Milepost","value":"23.331"},{"id":17,"name":"Train ID","value":"189-13"},{"id":16,"name":"Locomotive ID","value":"4044"},{"id":130,"name":"Impact","value":""},{"id":150,"name":"Time of Event (Mountain Time)","value":"15:20:59"},{"id":151,"name":"Denver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532</v>
      </c>
      <c r="B102" s="7">
        <v>4043</v>
      </c>
      <c r="C102" s="22" t="s">
        <v>99</v>
      </c>
      <c r="D102" s="22" t="s">
        <v>312</v>
      </c>
      <c r="E102" s="13">
        <v>42656.650289351855</v>
      </c>
      <c r="F102" s="13">
        <v>42656.653969907406</v>
      </c>
      <c r="G102" s="7">
        <v>1</v>
      </c>
      <c r="H102" s="13" t="s">
        <v>273</v>
      </c>
      <c r="I102" s="13">
        <v>42656.681064814817</v>
      </c>
      <c r="J102" s="7">
        <v>1</v>
      </c>
      <c r="K102" s="112" t="str">
        <f>IF(ISEVEN(B102),(B102-1)&amp;"/"&amp;B102,B102&amp;"/"&amp;(B102+1))</f>
        <v>4043/4044</v>
      </c>
      <c r="L102" s="22" t="str">
        <f>VLOOKUP(A102,'Trips&amp;Operators'!$C$1:$E$10000,3,FALSE)</f>
        <v>STAMBAUGH</v>
      </c>
      <c r="M102" s="6">
        <f>I102-F102</f>
        <v>2.7094907411083113E-2</v>
      </c>
      <c r="N102" s="7">
        <f>24*60*SUM($M102:$M102)</f>
        <v>39.016666671959683</v>
      </c>
      <c r="O102" s="7"/>
      <c r="P102" s="7"/>
      <c r="Q102" s="23"/>
      <c r="R102" s="23"/>
      <c r="S102" s="35">
        <f>SUM(U102:U102)/IF(AG102="EC",12,1)</f>
        <v>1</v>
      </c>
      <c r="T102" s="50" t="str">
        <f>IF(ISEVEN(LEFT(AD102,4)),"Southbound","NorthBound")</f>
        <v>Southbound</v>
      </c>
      <c r="U102" s="144">
        <f>IF(AG102="EC",COUNTIFS(Variables!$M$2:$M$19,IF(T102="NorthBound","&gt;=","&lt;=")&amp;Y102,Variables!$M$2:$M$19,IF(T102="NorthBound","&lt;=","&gt;=")&amp;Z102),COUNTIFS(Variables!$P$2:$P$19,IF(T102="NorthBound","&gt;=","&lt;=")&amp;Y102,Variables!$P$2:$P$19,IF(T102="NorthBound","&lt;=","&gt;=")&amp;Z102))</f>
        <v>12</v>
      </c>
      <c r="V102" s="98" t="str">
        <f>"https://search-rtdc-monitor-bjffxe2xuh6vdkpspy63sjmuny.us-east-1.es.amazonaws.com/_plugin/kibana/#/discover/Steve-Slow-Train-Analysis-(2080s-and-2083s)?_g=(refreshInterval:(display:Off,section:0,value:0),time:(from:'"&amp;TEXT(E102-1/24,"yyyy-MM-DD hh:mm:ss")&amp;"-0600',mode:absolute,to:'"&amp;TEXT(I102+1/24,"yyyy-MM-DD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102&amp;"%22')),sort:!(Time,asc))"</f>
        <v>https://search-rtdc-monitor-bjffxe2xuh6vdkpspy63sjmuny.us-east-1.es.amazonaws.com/_plugin/kibana/#/discover/Steve-Slow-Train-Analysis-(2080s-and-2083s)?_g=(refreshInterval:(display:Off,section:0,value:0),time:(from:'2016-10-13 14:36:25-0600',mode:absolute,to:'2016-10-13 17: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02" s="52" t="str">
        <f>IF(AA102&lt;IF(AG102="EC",23,5.65),"Y","N")</f>
        <v>N</v>
      </c>
      <c r="X102" s="149">
        <f>VALUE(LEFT(AD102,4))-VALUE(LEFT(AD101,4))</f>
        <v>1</v>
      </c>
      <c r="Y102" s="67">
        <f>RIGHT(D102,LEN(D102)-4)/10000</f>
        <v>23.3</v>
      </c>
      <c r="Z102" s="67">
        <f>RIGHT(H102,LEN(H102)-4)/10000</f>
        <v>1.4999999999999999E-2</v>
      </c>
      <c r="AA102" s="67">
        <f>ABS(Z102-Y102)</f>
        <v>23.285</v>
      </c>
      <c r="AB102" s="64" t="e">
        <f>VLOOKUP(A102,Enforcements!$C$7:$K$21,8,0)</f>
        <v>#N/A</v>
      </c>
      <c r="AC102" s="60" t="e">
        <f>VLOOKUP(A102,Enforcements!$C$7:$E$21,3,0)</f>
        <v>#N/A</v>
      </c>
      <c r="AD102" s="61" t="str">
        <f>IF(LEN(A102)=6,"0"&amp;A102,A102)</f>
        <v>0190-13</v>
      </c>
      <c r="AE102" s="91" t="str">
        <f>"aws s3 cp "&amp;s3_bucket&amp;"/RTDC"&amp;B102&amp;"/ "&amp;search_path&amp;"\RTDC"&amp;B102&amp;"\"&amp;TEXT(F102,"YYYY-MM-DD")&amp;" --exclude ""*"" --recursive --include ""*"&amp;TEXT(F102,"YYYYMMDD")&amp;"*"" &amp; """&amp;walkandungz&amp;""" "&amp;search_path&amp;"\RTDC"&amp;B102&amp;"\"&amp;TEXT(F102,"YYYY-MM-DD")
&amp;" &amp; "&amp;"aws s3 cp "&amp;s3_bucket&amp;"/RTDC"&amp;B102&amp;"/ "&amp;search_path&amp;"\RTDC"&amp;B102&amp;"\"&amp;TEXT(F102+1,"YYYY-MM-DD")&amp;" --exclude ""*"" --recursive --include ""*"&amp;TEXT(F102+1,"YYYYMMDD")&amp;"*"" &amp; """&amp;walkandungz&amp;""" "&amp;search_path&amp;"\RTDC"&amp;B102&amp;"\"&amp;TEXT(F102+1,"YYYY-MM-DD")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02" s="88" t="str">
        <f>astrogrep_path&amp;" /spath="&amp;search_path&amp;" /stypes=""app*"&amp;B102&amp;"*"&amp;TEXT(I102-utc_offset/24,"YYYYMMDD")&amp;"*"" /stext="" "&amp;TEXT(I102-utc_offset/24,"HH")&amp;search_regexp&amp;""" /e /r /s"</f>
        <v>"C:\Program Files (x86)\AstroGrep\AstroGrep.exe" /spath="%USERPROFILE%\AppData\Local\Temp\OnboardLogs" /stypes="app*4043*20161013*" /stext=" 22:.+((SYSTEM_STATE.+slice.+state.+changed )|(ment ac)|(system.+state.+changed )|(\[timeout)|(PRM\|1\|D)|(kpr)|(kdp)|(\|lc)|(penalty))" /e /r /s</v>
      </c>
      <c r="AG102" s="1" t="str">
        <f>IFERROR(IF(VALUE(LEFT(AD102,2))&lt;=2,"EC",IF(OR(VALUE(LEFT(AD102,2))=8,VALUE(LEFT(AD102,2))=18),"NW","Other")),"Other")</f>
        <v>EC</v>
      </c>
      <c r="AH102" s="92" t="str">
        <f t="shared" si="6"/>
        <v>"%USERPROFILE%\Documents\GitHub\eaglep3\Utilities\RefineRTDCRunTimes.py" --tripid 190-13 --locoid 4043 --swversion DE.1.0.7.0 --startMP 204:233000 --initTime 2016-10-13T15:36:25 --startdatetime 2016-10-13T15:41:43 --delay 1 --endMP 204:150 --enddatetime 2016-10-13T16:20:44 --enforcementcount 1 &gt;&gt;C:\Users\stu\Documents\GitHub\eaglep3-reporting\EC\2016-10-13-refined-times.txt</v>
      </c>
      <c r="AI102" s="122" t="str">
        <f t="shared" si="7"/>
        <v>echo {"issue":{"subject":"","project_id":79,"tracker_id":40,"status_id":1,"priority_id":2,"assigned_to_id":23,"start_date":"2016-10-13","description":"","custom_fields":[{"id":1,"name":"Subdivision","value":"EC"},{"id":4,"name":"Milepost","value":"0.015"},{"id":17,"name":"Train ID","value":"190-13"},{"id":16,"name":"Locomotive ID","value":"4043"},{"id":130,"name":"Impact","value":""},{"id":150,"name":"Time of Event (Mountain Time)","value":"16:20:44"},{"id":151,"name":"Denver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526</v>
      </c>
      <c r="B103" s="7">
        <v>4018</v>
      </c>
      <c r="C103" s="22" t="s">
        <v>99</v>
      </c>
      <c r="D103" s="22" t="s">
        <v>292</v>
      </c>
      <c r="E103" s="13">
        <v>42656.621990740743</v>
      </c>
      <c r="F103" s="13">
        <v>42656.625243055554</v>
      </c>
      <c r="G103" s="7">
        <v>1</v>
      </c>
      <c r="H103" s="13" t="s">
        <v>269</v>
      </c>
      <c r="I103" s="13">
        <v>42656.650393518517</v>
      </c>
      <c r="J103" s="7">
        <v>1</v>
      </c>
      <c r="K103" s="112" t="str">
        <f>IF(ISEVEN(B103),(B103-1)&amp;"/"&amp;B103,B103&amp;"/"&amp;(B103+1))</f>
        <v>4017/4018</v>
      </c>
      <c r="L103" s="22" t="str">
        <f>VLOOKUP(A103,'Trips&amp;Operators'!$C$1:$E$10000,3,FALSE)</f>
        <v>MOSES</v>
      </c>
      <c r="M103" s="6">
        <f>I103-F103</f>
        <v>2.5150462963210884E-2</v>
      </c>
      <c r="N103" s="7">
        <f>24*60*SUM($M103:$M103)</f>
        <v>36.216666667023674</v>
      </c>
      <c r="O103" s="7"/>
      <c r="P103" s="7"/>
      <c r="Q103" s="23"/>
      <c r="R103" s="23"/>
      <c r="S103" s="35">
        <f>SUM(U103:U103)/IF(AG103="EC",12,1)</f>
        <v>1</v>
      </c>
      <c r="T103" s="50" t="str">
        <f>IF(ISEVEN(LEFT(AD103,4)),"Southbound","NorthBound")</f>
        <v>NorthBound</v>
      </c>
      <c r="U103" s="144">
        <f>IF(AG103="EC",COUNTIFS(Variables!$M$2:$M$19,IF(T103="NorthBound","&gt;=","&lt;=")&amp;Y103,Variables!$M$2:$M$19,IF(T103="NorthBound","&lt;=","&gt;=")&amp;Z103),COUNTIFS(Variables!$P$2:$P$19,IF(T103="NorthBound","&gt;=","&lt;=")&amp;Y103,Variables!$P$2:$P$19,IF(T103="NorthBound","&lt;=","&gt;=")&amp;Z103))</f>
        <v>12</v>
      </c>
      <c r="V103" s="98" t="str">
        <f>"https://search-rtdc-monitor-bjffxe2xuh6vdkpspy63sjmuny.us-east-1.es.amazonaws.com/_plugin/kibana/#/discover/Steve-Slow-Train-Analysis-(2080s-and-2083s)?_g=(refreshInterval:(display:Off,section:0,value:0),time:(from:'"&amp;TEXT(E103-1/24,"yyyy-MM-DD hh:mm:ss")&amp;"-0600',mode:absolute,to:'"&amp;TEXT(I103+1/24,"yyyy-MM-DD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103&amp;"%22')),sort:!(Time,asc))"</f>
        <v>https://search-rtdc-monitor-bjffxe2xuh6vdkpspy63sjmuny.us-east-1.es.amazonaws.com/_plugin/kibana/#/discover/Steve-Slow-Train-Analysis-(2080s-and-2083s)?_g=(refreshInterval:(display:Off,section:0,value:0),time:(from:'2016-10-13 13:55:40-0600',mode:absolute,to:'2016-10-13 16: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03" s="52" t="str">
        <f>IF(AA103&lt;IF(AG103="EC",23,5.65),"Y","N")</f>
        <v>N</v>
      </c>
      <c r="X103" s="149">
        <f>VALUE(LEFT(AD103,4))-VALUE(LEFT(AD102,4))</f>
        <v>1</v>
      </c>
      <c r="Y103" s="67">
        <f>RIGHT(D103,LEN(D103)-4)/10000</f>
        <v>4.6699999999999998E-2</v>
      </c>
      <c r="Z103" s="67">
        <f>RIGHT(H103,LEN(H103)-4)/10000</f>
        <v>23.3293</v>
      </c>
      <c r="AA103" s="67">
        <f>ABS(Z103-Y103)</f>
        <v>23.282599999999999</v>
      </c>
      <c r="AB103" s="64" t="e">
        <f>VLOOKUP(A103,Enforcements!$C$7:$K$21,8,0)</f>
        <v>#N/A</v>
      </c>
      <c r="AC103" s="60" t="e">
        <f>VLOOKUP(A103,Enforcements!$C$7:$E$21,3,0)</f>
        <v>#N/A</v>
      </c>
      <c r="AD103" s="61" t="str">
        <f>IF(LEN(A103)=6,"0"&amp;A103,A103)</f>
        <v>0191-13</v>
      </c>
      <c r="AE103" s="91" t="str">
        <f>"aws s3 cp "&amp;s3_bucket&amp;"/RTDC"&amp;B103&amp;"/ "&amp;search_path&amp;"\RTDC"&amp;B103&amp;"\"&amp;TEXT(F103,"YYYY-MM-DD")&amp;" --exclude ""*"" --recursive --include ""*"&amp;TEXT(F103,"YYYYMMDD")&amp;"*"" &amp; """&amp;walkandungz&amp;""" "&amp;search_path&amp;"\RTDC"&amp;B103&amp;"\"&amp;TEXT(F103,"YYYY-MM-DD")
&amp;" &amp; "&amp;"aws s3 cp "&amp;s3_bucket&amp;"/RTDC"&amp;B103&amp;"/ "&amp;search_path&amp;"\RTDC"&amp;B103&amp;"\"&amp;TEXT(F103+1,"YYYY-MM-DD")&amp;" --exclude ""*"" --recursive --include ""*"&amp;TEXT(F103+1,"YYYYMMDD")&amp;"*"" &amp; """&amp;walkandungz&amp;""" "&amp;search_path&amp;"\RTDC"&amp;B103&amp;"\"&amp;TEXT(F103+1,"YYYY-MM-DD")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03" s="88" t="str">
        <f>astrogrep_path&amp;" /spath="&amp;search_path&amp;" /stypes=""app*"&amp;B103&amp;"*"&amp;TEXT(I103-utc_offset/24,"YYYYMMDD")&amp;"*"" /stext="" "&amp;TEXT(I103-utc_offset/24,"HH")&amp;search_regexp&amp;""" /e /r /s"</f>
        <v>"C:\Program Files (x86)\AstroGrep\AstroGrep.exe" /spath="%USERPROFILE%\AppData\Local\Temp\OnboardLogs" /stypes="app*4018*20161013*" /stext=" 21:.+((SYSTEM_STATE.+slice.+state.+changed )|(ment ac)|(system.+state.+changed )|(\[timeout)|(PRM\|1\|D)|(kpr)|(kdp)|(\|lc)|(penalty))" /e /r /s</v>
      </c>
      <c r="AG103" s="1" t="str">
        <f>IFERROR(IF(VALUE(LEFT(AD103,2))&lt;=2,"EC",IF(OR(VALUE(LEFT(AD103,2))=8,VALUE(LEFT(AD103,2))=18),"NW","Other")),"Other")</f>
        <v>EC</v>
      </c>
      <c r="AH103" s="92" t="str">
        <f t="shared" si="6"/>
        <v>"%USERPROFILE%\Documents\GitHub\eaglep3\Utilities\RefineRTDCRunTimes.py" --tripid 191-13 --locoid 4018 --swversion DE.1.0.7.0 --startMP 204:467 --initTime 2016-10-13T14:55:40 --startdatetime 2016-10-13T15:00:21 --delay 1 --endMP 204:233293 --enddatetime 2016-10-13T15:36:34 --enforcementcount 1 &gt;&gt;C:\Users\stu\Documents\GitHub\eaglep3-reporting\EC\2016-10-13-refined-times.txt</v>
      </c>
      <c r="AI103" s="122" t="str">
        <f t="shared" si="7"/>
        <v>echo {"issue":{"subject":"","project_id":79,"tracker_id":40,"status_id":1,"priority_id":2,"assigned_to_id":23,"start_date":"2016-10-13","description":"","custom_fields":[{"id":1,"name":"Subdivision","value":"EC"},{"id":4,"name":"Milepost","value":"23.3293"},{"id":17,"name":"Train ID","value":"191-13"},{"id":16,"name":"Locomotive ID","value":"4018"},{"id":130,"name":"Impact","value":""},{"id":150,"name":"Time of Event (Mountain Time)","value":"15:36:34"},{"id":151,"name":"Denver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536</v>
      </c>
      <c r="B104" s="7">
        <v>4017</v>
      </c>
      <c r="C104" s="22" t="s">
        <v>99</v>
      </c>
      <c r="D104" s="22" t="s">
        <v>656</v>
      </c>
      <c r="E104" s="13">
        <v>42656.660266203704</v>
      </c>
      <c r="F104" s="13">
        <v>42656.664155092592</v>
      </c>
      <c r="G104" s="7">
        <v>1</v>
      </c>
      <c r="H104" s="13" t="s">
        <v>657</v>
      </c>
      <c r="I104" s="13">
        <v>42656.69332175926</v>
      </c>
      <c r="J104" s="7">
        <v>1</v>
      </c>
      <c r="K104" s="112" t="str">
        <f>IF(ISEVEN(B104),(B104-1)&amp;"/"&amp;B104,B104&amp;"/"&amp;(B104+1))</f>
        <v>4017/4018</v>
      </c>
      <c r="L104" s="22" t="str">
        <f>VLOOKUP(A104,'Trips&amp;Operators'!$C$1:$E$10000,3,FALSE)</f>
        <v>MOSES</v>
      </c>
      <c r="M104" s="6">
        <f>I104-F104</f>
        <v>2.9166666667151731E-2</v>
      </c>
      <c r="N104" s="7">
        <f>24*60*SUM($M104:$M104)</f>
        <v>42.000000000698492</v>
      </c>
      <c r="O104" s="7"/>
      <c r="P104" s="7"/>
      <c r="Q104" s="23"/>
      <c r="R104" s="23"/>
      <c r="S104" s="35">
        <f>SUM(U104:U104)/IF(AG104="EC",12,1)</f>
        <v>1</v>
      </c>
      <c r="T104" s="50" t="str">
        <f>IF(ISEVEN(LEFT(AD104,4)),"Southbound","NorthBound")</f>
        <v>Southbound</v>
      </c>
      <c r="U104" s="144">
        <f>IF(AG104="EC",COUNTIFS(Variables!$M$2:$M$19,IF(T104="NorthBound","&gt;=","&lt;=")&amp;Y104,Variables!$M$2:$M$19,IF(T104="NorthBound","&lt;=","&gt;=")&amp;Z104),COUNTIFS(Variables!$P$2:$P$19,IF(T104="NorthBound","&gt;=","&lt;=")&amp;Y104,Variables!$P$2:$P$19,IF(T104="NorthBound","&lt;=","&gt;=")&amp;Z104))</f>
        <v>12</v>
      </c>
      <c r="V104" s="98" t="str">
        <f>"https://search-rtdc-monitor-bjffxe2xuh6vdkpspy63sjmuny.us-east-1.es.amazonaws.com/_plugin/kibana/#/discover/Steve-Slow-Train-Analysis-(2080s-and-2083s)?_g=(refreshInterval:(display:Off,section:0,value:0),time:(from:'"&amp;TEXT(E104-1/24,"yyyy-MM-DD hh:mm:ss")&amp;"-0600',mode:absolute,to:'"&amp;TEXT(I104+1/24,"yyyy-MM-DD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104&amp;"%22')),sort:!(Time,asc))"</f>
        <v>https://search-rtdc-monitor-bjffxe2xuh6vdkpspy63sjmuny.us-east-1.es.amazonaws.com/_plugin/kibana/#/discover/Steve-Slow-Train-Analysis-(2080s-and-2083s)?_g=(refreshInterval:(display:Off,section:0,value:0),time:(from:'2016-10-13 14:50:47-0600',mode:absolute,to:'2016-10-13 17:38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04" s="52" t="str">
        <f>IF(AA104&lt;IF(AG104="EC",23,5.65),"Y","N")</f>
        <v>N</v>
      </c>
      <c r="X104" s="149">
        <f>VALUE(LEFT(AD104,4))-VALUE(LEFT(AD103,4))</f>
        <v>1</v>
      </c>
      <c r="Y104" s="67">
        <f>RIGHT(D104,LEN(D104)-4)/10000</f>
        <v>23.2988</v>
      </c>
      <c r="Z104" s="67">
        <f>RIGHT(H104,LEN(H104)-4)/10000</f>
        <v>1.9599999999999999E-2</v>
      </c>
      <c r="AA104" s="67">
        <f>ABS(Z104-Y104)</f>
        <v>23.279199999999999</v>
      </c>
      <c r="AB104" s="64" t="e">
        <f>VLOOKUP(A104,Enforcements!$C$7:$K$21,8,0)</f>
        <v>#N/A</v>
      </c>
      <c r="AC104" s="60" t="e">
        <f>VLOOKUP(A104,Enforcements!$C$7:$E$21,3,0)</f>
        <v>#N/A</v>
      </c>
      <c r="AD104" s="61" t="str">
        <f>IF(LEN(A104)=6,"0"&amp;A104,A104)</f>
        <v>0192-13</v>
      </c>
      <c r="AE104" s="91" t="str">
        <f>"aws s3 cp "&amp;s3_bucket&amp;"/RTDC"&amp;B104&amp;"/ "&amp;search_path&amp;"\RTDC"&amp;B104&amp;"\"&amp;TEXT(F104,"YYYY-MM-DD")&amp;" --exclude ""*"" --recursive --include ""*"&amp;TEXT(F104,"YYYYMMDD")&amp;"*"" &amp; """&amp;walkandungz&amp;""" "&amp;search_path&amp;"\RTDC"&amp;B104&amp;"\"&amp;TEXT(F104,"YYYY-MM-DD")
&amp;" &amp; "&amp;"aws s3 cp "&amp;s3_bucket&amp;"/RTDC"&amp;B104&amp;"/ "&amp;search_path&amp;"\RTDC"&amp;B104&amp;"\"&amp;TEXT(F104+1,"YYYY-MM-DD")&amp;" --exclude ""*"" --recursive --include ""*"&amp;TEXT(F104+1,"YYYYMMDD")&amp;"*"" &amp; """&amp;walkandungz&amp;""" "&amp;search_path&amp;"\RTDC"&amp;B104&amp;"\"&amp;TEXT(F104+1,"YYYY-MM-DD")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04" s="88" t="str">
        <f>astrogrep_path&amp;" /spath="&amp;search_path&amp;" /stypes=""app*"&amp;B104&amp;"*"&amp;TEXT(I104-utc_offset/24,"YYYYMMDD")&amp;"*"" /stext="" "&amp;TEXT(I104-utc_offset/24,"HH")&amp;search_regexp&amp;""" /e /r /s"</f>
        <v>"C:\Program Files (x86)\AstroGrep\AstroGrep.exe" /spath="%USERPROFILE%\AppData\Local\Temp\OnboardLogs" /stypes="app*4017*20161013*" /stext=" 22:.+((SYSTEM_STATE.+slice.+state.+changed )|(ment ac)|(system.+state.+changed )|(\[timeout)|(PRM\|1\|D)|(kpr)|(kdp)|(\|lc)|(penalty))" /e /r /s</v>
      </c>
      <c r="AG104" s="1" t="str">
        <f>IFERROR(IF(VALUE(LEFT(AD104,2))&lt;=2,"EC",IF(OR(VALUE(LEFT(AD104,2))=8,VALUE(LEFT(AD104,2))=18),"NW","Other")),"Other")</f>
        <v>EC</v>
      </c>
      <c r="AH104" s="92" t="str">
        <f t="shared" si="6"/>
        <v>"%USERPROFILE%\Documents\GitHub\eaglep3\Utilities\RefineRTDCRunTimes.py" --tripid 192-13 --locoid 4017 --swversion DE.1.0.7.0 --startMP 204:232988 --initTime 2016-10-13T15:50:47 --startdatetime 2016-10-13T15:56:23 --delay 1 --endMP 204:196 --enddatetime 2016-10-13T16:38:23 --enforcementcount 1 &gt;&gt;C:\Users\stu\Documents\GitHub\eaglep3-reporting\EC\2016-10-13-refined-times.txt</v>
      </c>
      <c r="AI104" s="122" t="str">
        <f t="shared" si="7"/>
        <v>echo {"issue":{"subject":"","project_id":79,"tracker_id":40,"status_id":1,"priority_id":2,"assigned_to_id":23,"start_date":"2016-10-13","description":"","custom_fields":[{"id":1,"name":"Subdivision","value":"EC"},{"id":4,"name":"Milepost","value":"0.0196"},{"id":17,"name":"Train ID","value":"192-13"},{"id":16,"name":"Locomotive ID","value":"4017"},{"id":130,"name":"Impact","value":""},{"id":150,"name":"Time of Event (Mountain Time)","value":"16:38:23"},{"id":151,"name":"Denver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x14ac:dyDescent="0.25">
      <c r="A105" s="37" t="s">
        <v>528</v>
      </c>
      <c r="B105" s="7">
        <v>4014</v>
      </c>
      <c r="C105" s="22" t="s">
        <v>99</v>
      </c>
      <c r="D105" s="22" t="s">
        <v>288</v>
      </c>
      <c r="E105" s="13">
        <v>42656.631111111114</v>
      </c>
      <c r="F105" s="13">
        <v>42656.635821759257</v>
      </c>
      <c r="G105" s="7">
        <v>1</v>
      </c>
      <c r="H105" s="13" t="s">
        <v>305</v>
      </c>
      <c r="I105" s="13">
        <v>42656.661377314813</v>
      </c>
      <c r="J105" s="7">
        <v>1</v>
      </c>
      <c r="K105" s="112" t="str">
        <f>IF(ISEVEN(B105),(B105-1)&amp;"/"&amp;B105,B105&amp;"/"&amp;(B105+1))</f>
        <v>4013/4014</v>
      </c>
      <c r="L105" s="22" t="str">
        <f>VLOOKUP(A105,'Trips&amp;Operators'!$C$1:$E$10000,3,FALSE)</f>
        <v>NEWELL</v>
      </c>
      <c r="M105" s="6">
        <f>I105-F105</f>
        <v>2.5555555555911269E-2</v>
      </c>
      <c r="N105" s="7">
        <f>24*60*SUM($M105:$M105)</f>
        <v>36.800000000512227</v>
      </c>
      <c r="O105" s="7"/>
      <c r="P105" s="7"/>
      <c r="Q105" s="23"/>
      <c r="R105" s="23"/>
      <c r="S105" s="35">
        <f>SUM(U105:U105)/IF(AG105="EC",12,1)</f>
        <v>1</v>
      </c>
      <c r="T105" s="50" t="str">
        <f>IF(ISEVEN(LEFT(AD105,4)),"Southbound","NorthBound")</f>
        <v>NorthBound</v>
      </c>
      <c r="U105" s="144">
        <f>IF(AG105="EC",COUNTIFS(Variables!$M$2:$M$19,IF(T105="NorthBound","&gt;=","&lt;=")&amp;Y105,Variables!$M$2:$M$19,IF(T105="NorthBound","&lt;=","&gt;=")&amp;Z105),COUNTIFS(Variables!$P$2:$P$19,IF(T105="NorthBound","&gt;=","&lt;=")&amp;Y105,Variables!$P$2:$P$19,IF(T105="NorthBound","&lt;=","&gt;=")&amp;Z105))</f>
        <v>12</v>
      </c>
      <c r="V105" s="98" t="str">
        <f>"https://search-rtdc-monitor-bjffxe2xuh6vdkpspy63sjmuny.us-east-1.es.amazonaws.com/_plugin/kibana/#/discover/Steve-Slow-Train-Analysis-(2080s-and-2083s)?_g=(refreshInterval:(display:Off,section:0,value:0),time:(from:'"&amp;TEXT(E105-1/24,"yyyy-MM-DD hh:mm:ss")&amp;"-0600',mode:absolute,to:'"&amp;TEXT(I105+1/24,"yyyy-MM-DD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105&amp;"%22')),sort:!(Time,asc))"</f>
        <v>https://search-rtdc-monitor-bjffxe2xuh6vdkpspy63sjmuny.us-east-1.es.amazonaws.com/_plugin/kibana/#/discover/Steve-Slow-Train-Analysis-(2080s-and-2083s)?_g=(refreshInterval:(display:Off,section:0,value:0),time:(from:'2016-10-13 14:08:48-0600',mode:absolute,to:'2016-10-13 16:52: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05" s="52" t="str">
        <f>IF(AA105&lt;IF(AG105="EC",23,5.65),"Y","N")</f>
        <v>N</v>
      </c>
      <c r="X105" s="149">
        <f>VALUE(LEFT(AD105,4))-VALUE(LEFT(AD104,4))</f>
        <v>1</v>
      </c>
      <c r="Y105" s="67">
        <f>RIGHT(D105,LEN(D105)-4)/10000</f>
        <v>4.5499999999999999E-2</v>
      </c>
      <c r="Z105" s="67">
        <f>RIGHT(H105,LEN(H105)-4)/10000</f>
        <v>23.329499999999999</v>
      </c>
      <c r="AA105" s="67">
        <f>ABS(Z105-Y105)</f>
        <v>23.283999999999999</v>
      </c>
      <c r="AB105" s="64" t="e">
        <f>VLOOKUP(A105,Enforcements!$C$7:$K$21,8,0)</f>
        <v>#N/A</v>
      </c>
      <c r="AC105" s="60" t="e">
        <f>VLOOKUP(A105,Enforcements!$C$7:$E$21,3,0)</f>
        <v>#N/A</v>
      </c>
      <c r="AD105" s="61" t="str">
        <f>IF(LEN(A105)=6,"0"&amp;A105,A105)</f>
        <v>0193-13</v>
      </c>
      <c r="AE105" s="91" t="str">
        <f>"aws s3 cp "&amp;s3_bucket&amp;"/RTDC"&amp;B105&amp;"/ "&amp;search_path&amp;"\RTDC"&amp;B105&amp;"\"&amp;TEXT(F105,"YYYY-MM-DD")&amp;" --exclude ""*"" --recursive --include ""*"&amp;TEXT(F105,"YYYYMMDD")&amp;"*"" &amp; """&amp;walkandungz&amp;""" "&amp;search_path&amp;"\RTDC"&amp;B105&amp;"\"&amp;TEXT(F105,"YYYY-MM-DD")
&amp;" &amp; "&amp;"aws s3 cp "&amp;s3_bucket&amp;"/RTDC"&amp;B105&amp;"/ "&amp;search_path&amp;"\RTDC"&amp;B105&amp;"\"&amp;TEXT(F105+1,"YYYY-MM-DD")&amp;" --exclude ""*"" --recursive --include ""*"&amp;TEXT(F105+1,"YYYYMMDD")&amp;"*"" &amp; """&amp;walkandungz&amp;""" "&amp;search_path&amp;"\RTDC"&amp;B105&amp;"\"&amp;TEXT(F105+1,"YYYY-MM-DD")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05" s="88" t="str">
        <f>astrogrep_path&amp;" /spath="&amp;search_path&amp;" /stypes=""app*"&amp;B105&amp;"*"&amp;TEXT(I105-utc_offset/24,"YYYYMMDD")&amp;"*"" /stext="" "&amp;TEXT(I105-utc_offset/24,"HH")&amp;search_regexp&amp;""" /e /r /s"</f>
        <v>"C:\Program Files (x86)\AstroGrep\AstroGrep.exe" /spath="%USERPROFILE%\AppData\Local\Temp\OnboardLogs" /stypes="app*4014*20161013*" /stext=" 21:.+((SYSTEM_STATE.+slice.+state.+changed )|(ment ac)|(system.+state.+changed )|(\[timeout)|(PRM\|1\|D)|(kpr)|(kdp)|(\|lc)|(penalty))" /e /r /s</v>
      </c>
      <c r="AG105" s="1" t="str">
        <f>IFERROR(IF(VALUE(LEFT(AD105,2))&lt;=2,"EC",IF(OR(VALUE(LEFT(AD105,2))=8,VALUE(LEFT(AD105,2))=18),"NW","Other")),"Other")</f>
        <v>EC</v>
      </c>
      <c r="AH105" s="92" t="str">
        <f t="shared" si="6"/>
        <v>"%USERPROFILE%\Documents\GitHub\eaglep3\Utilities\RefineRTDCRunTimes.py" --tripid 193-13 --locoid 4014 --swversion DE.1.0.7.0 --startMP 204:455 --initTime 2016-10-13T15:08:48 --startdatetime 2016-10-13T15:15:35 --delay 1 --endMP 204:233295 --enddatetime 2016-10-13T15:52:23 --enforcementcount 1 &gt;&gt;C:\Users\stu\Documents\GitHub\eaglep3-reporting\EC\2016-10-13-refined-times.txt</v>
      </c>
      <c r="AI105" s="122" t="str">
        <f t="shared" si="7"/>
        <v>echo {"issue":{"subject":"","project_id":79,"tracker_id":40,"status_id":1,"priority_id":2,"assigned_to_id":23,"start_date":"2016-10-13","description":"","custom_fields":[{"id":1,"name":"Subdivision","value":"EC"},{"id":4,"name":"Milepost","value":"23.3295"},{"id":17,"name":"Train ID","value":"193-13"},{"id":16,"name":"Locomotive ID","value":"4014"},{"id":130,"name":"Impact","value":""},{"id":150,"name":"Time of Event (Mountain Time)","value":"15:52:23"},{"id":151,"name":"Denver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row>
    <row r="106" spans="1:91" x14ac:dyDescent="0.25">
      <c r="A106" s="37" t="s">
        <v>538</v>
      </c>
      <c r="B106" s="7">
        <v>4013</v>
      </c>
      <c r="C106" s="22" t="s">
        <v>99</v>
      </c>
      <c r="D106" s="22" t="s">
        <v>308</v>
      </c>
      <c r="E106" s="13">
        <v>42656.662997685184</v>
      </c>
      <c r="F106" s="13">
        <v>42656.674618055556</v>
      </c>
      <c r="G106" s="7">
        <v>1</v>
      </c>
      <c r="H106" s="13" t="s">
        <v>301</v>
      </c>
      <c r="I106" s="13">
        <v>42656.701689814814</v>
      </c>
      <c r="J106" s="7">
        <v>1</v>
      </c>
      <c r="K106" s="112" t="str">
        <f>IF(ISEVEN(B106),(B106-1)&amp;"/"&amp;B106,B106&amp;"/"&amp;(B106+1))</f>
        <v>4013/4014</v>
      </c>
      <c r="L106" s="22" t="str">
        <f>VLOOKUP(A106,'Trips&amp;Operators'!$C$1:$E$10000,3,FALSE)</f>
        <v>NEWELL</v>
      </c>
      <c r="M106" s="6">
        <f>I106-F106</f>
        <v>2.7071759257523809E-2</v>
      </c>
      <c r="N106" s="7">
        <f>24*60*SUM($M106:$M106)</f>
        <v>38.983333330834284</v>
      </c>
      <c r="O106" s="7"/>
      <c r="P106" s="7"/>
      <c r="Q106" s="23"/>
      <c r="R106" s="23"/>
      <c r="S106" s="35">
        <f>SUM(U106:U106)/IF(AG106="EC",12,1)</f>
        <v>1</v>
      </c>
      <c r="T106" s="50" t="str">
        <f>IF(ISEVEN(LEFT(AD106,4)),"Southbound","NorthBound")</f>
        <v>Southbound</v>
      </c>
      <c r="U106" s="144">
        <f>IF(AG106="EC",COUNTIFS(Variables!$M$2:$M$19,IF(T106="NorthBound","&gt;=","&lt;=")&amp;Y106,Variables!$M$2:$M$19,IF(T106="NorthBound","&lt;=","&gt;=")&amp;Z106),COUNTIFS(Variables!$P$2:$P$19,IF(T106="NorthBound","&gt;=","&lt;=")&amp;Y106,Variables!$P$2:$P$19,IF(T106="NorthBound","&lt;=","&gt;=")&amp;Z106))</f>
        <v>12</v>
      </c>
      <c r="V106" s="98" t="str">
        <f>"https://search-rtdc-monitor-bjffxe2xuh6vdkpspy63sjmuny.us-east-1.es.amazonaws.com/_plugin/kibana/#/discover/Steve-Slow-Train-Analysis-(2080s-and-2083s)?_g=(refreshInterval:(display:Off,section:0,value:0),time:(from:'"&amp;TEXT(E106-1/24,"yyyy-MM-DD hh:mm:ss")&amp;"-0600',mode:absolute,to:'"&amp;TEXT(I106+1/24,"yyyy-MM-DD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106&amp;"%22')),sort:!(Time,asc))"</f>
        <v>https://search-rtdc-monitor-bjffxe2xuh6vdkpspy63sjmuny.us-east-1.es.amazonaws.com/_plugin/kibana/#/discover/Steve-Slow-Train-Analysis-(2080s-and-2083s)?_g=(refreshInterval:(display:Off,section:0,value:0),time:(from:'2016-10-13 14:54:43-0600',mode:absolute,to:'2016-10-13 17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06" s="52" t="str">
        <f>IF(AA106&lt;IF(AG106="EC",23,5.65),"Y","N")</f>
        <v>N</v>
      </c>
      <c r="X106" s="149">
        <f>VALUE(LEFT(AD106,4))-VALUE(LEFT(AD105,4))</f>
        <v>1</v>
      </c>
      <c r="Y106" s="67">
        <f>RIGHT(D106,LEN(D106)-4)/10000</f>
        <v>23.3004</v>
      </c>
      <c r="Z106" s="67">
        <f>RIGHT(H106,LEN(H106)-4)/10000</f>
        <v>1.5800000000000002E-2</v>
      </c>
      <c r="AA106" s="67">
        <f>ABS(Z106-Y106)</f>
        <v>23.284600000000001</v>
      </c>
      <c r="AB106" s="64" t="e">
        <f>VLOOKUP(A106,Enforcements!$C$7:$K$21,8,0)</f>
        <v>#N/A</v>
      </c>
      <c r="AC106" s="60" t="e">
        <f>VLOOKUP(A106,Enforcements!$C$7:$E$21,3,0)</f>
        <v>#N/A</v>
      </c>
      <c r="AD106" s="61" t="str">
        <f>IF(LEN(A106)=6,"0"&amp;A106,A106)</f>
        <v>0194-13</v>
      </c>
      <c r="AE106" s="91" t="str">
        <f>"aws s3 cp "&amp;s3_bucket&amp;"/RTDC"&amp;B106&amp;"/ "&amp;search_path&amp;"\RTDC"&amp;B106&amp;"\"&amp;TEXT(F106,"YYYY-MM-DD")&amp;" --exclude ""*"" --recursive --include ""*"&amp;TEXT(F106,"YYYYMMDD")&amp;"*"" &amp; """&amp;walkandungz&amp;""" "&amp;search_path&amp;"\RTDC"&amp;B106&amp;"\"&amp;TEXT(F106,"YYYY-MM-DD")
&amp;" &amp; "&amp;"aws s3 cp "&amp;s3_bucket&amp;"/RTDC"&amp;B106&amp;"/ "&amp;search_path&amp;"\RTDC"&amp;B106&amp;"\"&amp;TEXT(F106+1,"YYYY-MM-DD")&amp;" --exclude ""*"" --recursive --include ""*"&amp;TEXT(F106+1,"YYYYMMDD")&amp;"*"" &amp; """&amp;walkandungz&amp;""" "&amp;search_path&amp;"\RTDC"&amp;B106&amp;"\"&amp;TEXT(F106+1,"YYYY-MM-DD")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06" s="88" t="str">
        <f>astrogrep_path&amp;" /spath="&amp;search_path&amp;" /stypes=""app*"&amp;B106&amp;"*"&amp;TEXT(I106-utc_offset/24,"YYYYMMDD")&amp;"*"" /stext="" "&amp;TEXT(I106-utc_offset/24,"HH")&amp;search_regexp&amp;""" /e /r /s"</f>
        <v>"C:\Program Files (x86)\AstroGrep\AstroGrep.exe" /spath="%USERPROFILE%\AppData\Local\Temp\OnboardLogs" /stypes="app*4013*20161013*" /stext=" 22:.+((SYSTEM_STATE.+slice.+state.+changed )|(ment ac)|(system.+state.+changed )|(\[timeout)|(PRM\|1\|D)|(kpr)|(kdp)|(\|lc)|(penalty))" /e /r /s</v>
      </c>
      <c r="AG106" s="1" t="str">
        <f>IFERROR(IF(VALUE(LEFT(AD106,2))&lt;=2,"EC",IF(OR(VALUE(LEFT(AD106,2))=8,VALUE(LEFT(AD106,2))=18),"NW","Other")),"Other")</f>
        <v>EC</v>
      </c>
      <c r="AH106" s="92" t="str">
        <f t="shared" si="6"/>
        <v>"%USERPROFILE%\Documents\GitHub\eaglep3\Utilities\RefineRTDCRunTimes.py" --tripid 194-13 --locoid 4013 --swversion DE.1.0.7.0 --startMP 204:233004 --initTime 2016-10-13T15:54:43 --startdatetime 2016-10-13T16:11:27 --delay 1 --endMP 204:158 --enddatetime 2016-10-13T16:50:26 --enforcementcount 1 &gt;&gt;C:\Users\stu\Documents\GitHub\eaglep3-reporting\EC\2016-10-13-refined-times.txt</v>
      </c>
      <c r="AI106" s="122" t="str">
        <f t="shared" si="7"/>
        <v>echo {"issue":{"subject":"","project_id":79,"tracker_id":40,"status_id":1,"priority_id":2,"assigned_to_id":23,"start_date":"2016-10-13","description":"","custom_fields":[{"id":1,"name":"Subdivision","value":"EC"},{"id":4,"name":"Milepost","value":"0.0158"},{"id":17,"name":"Train ID","value":"194-13"},{"id":16,"name":"Locomotive ID","value":"4013"},{"id":130,"name":"Impact","value":""},{"id":150,"name":"Time of Event (Mountain Time)","value":"16:50:26"},{"id":151,"name":"Denver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s="21" customFormat="1" x14ac:dyDescent="0.25">
      <c r="A107" s="37" t="s">
        <v>531</v>
      </c>
      <c r="B107" s="7">
        <v>4038</v>
      </c>
      <c r="C107" s="22" t="s">
        <v>99</v>
      </c>
      <c r="D107" s="22" t="s">
        <v>658</v>
      </c>
      <c r="E107" s="13">
        <v>42656.647812499999</v>
      </c>
      <c r="F107" s="13">
        <v>42656.648541666669</v>
      </c>
      <c r="G107" s="7">
        <v>0</v>
      </c>
      <c r="H107" s="13" t="s">
        <v>310</v>
      </c>
      <c r="I107" s="13">
        <v>42656.674155092594</v>
      </c>
      <c r="J107" s="7">
        <v>1</v>
      </c>
      <c r="K107" s="112" t="str">
        <f>IF(ISEVEN(B107),(B107-1)&amp;"/"&amp;B107,B107&amp;"/"&amp;(B107+1))</f>
        <v>4037/4038</v>
      </c>
      <c r="L107" s="22" t="str">
        <f>VLOOKUP(A107,'Trips&amp;Operators'!$C$1:$E$10000,3,FALSE)</f>
        <v>YOUNG</v>
      </c>
      <c r="M107" s="6">
        <f>I107-F107</f>
        <v>2.5613425925257616E-2</v>
      </c>
      <c r="N107" s="7">
        <f>24*60*SUM($M107:$M107)</f>
        <v>36.883333332370967</v>
      </c>
      <c r="O107" s="7"/>
      <c r="P107" s="7"/>
      <c r="Q107" s="23"/>
      <c r="R107" s="23"/>
      <c r="S107" s="35">
        <f>SUM(U107:U107)/IF(AG107="EC",12,1)</f>
        <v>1</v>
      </c>
      <c r="T107" s="50" t="str">
        <f>IF(ISEVEN(LEFT(AD107,4)),"Southbound","NorthBound")</f>
        <v>NorthBound</v>
      </c>
      <c r="U107" s="144">
        <f>IF(AG107="EC",COUNTIFS(Variables!$M$2:$M$19,IF(T107="NorthBound","&gt;=","&lt;=")&amp;Y107,Variables!$M$2:$M$19,IF(T107="NorthBound","&lt;=","&gt;=")&amp;Z107),COUNTIFS(Variables!$P$2:$P$19,IF(T107="NorthBound","&gt;=","&lt;=")&amp;Y107,Variables!$P$2:$P$19,IF(T107="NorthBound","&lt;=","&gt;=")&amp;Z107))</f>
        <v>12</v>
      </c>
      <c r="V107" s="98" t="str">
        <f>"https://search-rtdc-monitor-bjffxe2xuh6vdkpspy63sjmuny.us-east-1.es.amazonaws.com/_plugin/kibana/#/discover/Steve-Slow-Train-Analysis-(2080s-and-2083s)?_g=(refreshInterval:(display:Off,section:0,value:0),time:(from:'"&amp;TEXT(E107-1/24,"yyyy-MM-DD hh:mm:ss")&amp;"-0600',mode:absolute,to:'"&amp;TEXT(I107+1/24,"yyyy-MM-DD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107&amp;"%22')),sort:!(Time,asc))"</f>
        <v>https://search-rtdc-monitor-bjffxe2xuh6vdkpspy63sjmuny.us-east-1.es.amazonaws.com/_plugin/kibana/#/discover/Steve-Slow-Train-Analysis-(2080s-and-2083s)?_g=(refreshInterval:(display:Off,section:0,value:0),time:(from:'2016-10-13 14:32:51-0600',mode:absolute,to:'2016-10-13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7" s="52" t="str">
        <f>IF(AA107&lt;IF(AG107="EC",23,5.65),"Y","N")</f>
        <v>N</v>
      </c>
      <c r="X107" s="149">
        <f>VALUE(LEFT(AD107,4))-VALUE(LEFT(AD106,4))</f>
        <v>1</v>
      </c>
      <c r="Y107" s="67">
        <f>RIGHT(D107,LEN(D107)-4)/10000</f>
        <v>0.26390000000000002</v>
      </c>
      <c r="Z107" s="67">
        <f>RIGHT(H107,LEN(H107)-4)/10000</f>
        <v>23.329899999999999</v>
      </c>
      <c r="AA107" s="67">
        <f>ABS(Z107-Y107)</f>
        <v>23.065999999999999</v>
      </c>
      <c r="AB107" s="64" t="e">
        <f>VLOOKUP(A107,Enforcements!$C$7:$K$21,8,0)</f>
        <v>#N/A</v>
      </c>
      <c r="AC107" s="60" t="e">
        <f>VLOOKUP(A107,Enforcements!$C$7:$E$21,3,0)</f>
        <v>#N/A</v>
      </c>
      <c r="AD107" s="61" t="str">
        <f>IF(LEN(A107)=6,"0"&amp;A107,A107)</f>
        <v>0195-13</v>
      </c>
      <c r="AE107" s="91" t="str">
        <f>"aws s3 cp "&amp;s3_bucket&amp;"/RTDC"&amp;B107&amp;"/ "&amp;search_path&amp;"\RTDC"&amp;B107&amp;"\"&amp;TEXT(F107,"YYYY-MM-DD")&amp;" --exclude ""*"" --recursive --include ""*"&amp;TEXT(F107,"YYYYMMDD")&amp;"*"" &amp; """&amp;walkandungz&amp;""" "&amp;search_path&amp;"\RTDC"&amp;B107&amp;"\"&amp;TEXT(F107,"YYYY-MM-DD")
&amp;" &amp; "&amp;"aws s3 cp "&amp;s3_bucket&amp;"/RTDC"&amp;B107&amp;"/ "&amp;search_path&amp;"\RTDC"&amp;B107&amp;"\"&amp;TEXT(F107+1,"YYYY-MM-DD")&amp;" --exclude ""*"" --recursive --include ""*"&amp;TEXT(F107+1,"YYYYMMDD")&amp;"*"" &amp; """&amp;walkandungz&amp;""" "&amp;search_path&amp;"\RTDC"&amp;B107&amp;"\"&amp;TEXT(F107+1,"YYYY-MM-DD")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7" s="88" t="str">
        <f>astrogrep_path&amp;" /spath="&amp;search_path&amp;" /stypes=""app*"&amp;B107&amp;"*"&amp;TEXT(I107-utc_offset/24,"YYYYMMDD")&amp;"*"" /stext="" "&amp;TEXT(I107-utc_offset/24,"HH")&amp;search_regexp&amp;""" /e /r /s"</f>
        <v>"C:\Program Files (x86)\AstroGrep\AstroGrep.exe" /spath="%USERPROFILE%\AppData\Local\Temp\OnboardLogs" /stypes="app*4038*20161013*" /stext=" 22:.+((SYSTEM_STATE.+slice.+state.+changed )|(ment ac)|(system.+state.+changed )|(\[timeout)|(PRM\|1\|D)|(kpr)|(kdp)|(\|lc)|(penalty))" /e /r /s</v>
      </c>
      <c r="AG107" s="1" t="str">
        <f>IFERROR(IF(VALUE(LEFT(AD107,2))&lt;=2,"EC",IF(OR(VALUE(LEFT(AD107,2))=8,VALUE(LEFT(AD107,2))=18),"NW","Other")),"Other")</f>
        <v>EC</v>
      </c>
      <c r="AH107" s="92" t="str">
        <f t="shared" si="6"/>
        <v>"%USERPROFILE%\Documents\GitHub\eaglep3\Utilities\RefineRTDCRunTimes.py" --tripid 195-13 --locoid 4038 --swversion DE.1.0.7.0 --startMP 204:2639 --initTime 2016-10-13T15:32:51 --startdatetime 2016-10-13T15:33:54 --delay 0 --endMP 204:233299 --enddatetime 2016-10-13T16:10:47 --enforcementcount 1 &gt;&gt;C:\Users\stu\Documents\GitHub\eaglep3-reporting\EC\2016-10-13-refined-times.txt</v>
      </c>
      <c r="AI107" s="122" t="str">
        <f t="shared" si="7"/>
        <v>echo {"issue":{"subject":"","project_id":79,"tracker_id":40,"status_id":1,"priority_id":2,"assigned_to_id":23,"start_date":"2016-10-13","description":"","custom_fields":[{"id":1,"name":"Subdivision","value":"EC"},{"id":4,"name":"Milepost","value":"23.3299"},{"id":17,"name":"Train ID","value":"195-13"},{"id":16,"name":"Locomotive ID","value":"4038"},{"id":130,"name":"Impact","value":""},{"id":150,"name":"Time of Event (Mountain Time)","value":"16:10:47"},{"id":151,"name":"Denver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531</v>
      </c>
      <c r="B108" s="7">
        <v>4038</v>
      </c>
      <c r="C108" s="22" t="s">
        <v>99</v>
      </c>
      <c r="D108" s="22" t="s">
        <v>659</v>
      </c>
      <c r="E108" s="13">
        <v>42656.642175925925</v>
      </c>
      <c r="F108" s="13">
        <v>42656.648541666669</v>
      </c>
      <c r="G108" s="7">
        <v>0</v>
      </c>
      <c r="H108" s="13" t="s">
        <v>660</v>
      </c>
      <c r="I108" s="13">
        <v>42656.674155092594</v>
      </c>
      <c r="J108" s="7">
        <v>1</v>
      </c>
      <c r="K108" s="112" t="str">
        <f>IF(ISEVEN(B108),(B108-1)&amp;"/"&amp;B108,B108&amp;"/"&amp;(B108+1))</f>
        <v>4037/4038</v>
      </c>
      <c r="L108" s="22" t="str">
        <f>VLOOKUP(A108,'Trips&amp;Operators'!$C$1:$E$10000,3,FALSE)</f>
        <v>YOUNG</v>
      </c>
      <c r="M108" s="6">
        <f>I108-F108</f>
        <v>2.5613425925257616E-2</v>
      </c>
      <c r="N108" s="7"/>
      <c r="O108" s="7"/>
      <c r="P108" s="7">
        <f>24*60*SUM($M108:$M108)</f>
        <v>36.883333332370967</v>
      </c>
      <c r="Q108" s="23"/>
      <c r="R108" s="23" t="s">
        <v>770</v>
      </c>
      <c r="S108" s="35">
        <f>SUM(U108:U108)/IF(AG108="EC",12,1)</f>
        <v>0</v>
      </c>
      <c r="T108" s="50" t="str">
        <f>IF(ISEVEN(LEFT(AD108,4)),"Southbound","NorthBound")</f>
        <v>NorthBound</v>
      </c>
      <c r="U108" s="144">
        <f>IF(AG108="EC",COUNTIFS(Variables!$M$2:$M$19,IF(T108="NorthBound","&gt;=","&lt;=")&amp;Y108,Variables!$M$2:$M$19,IF(T108="NorthBound","&lt;=","&gt;=")&amp;Z108),COUNTIFS(Variables!$P$2:$P$19,IF(T108="NorthBound","&gt;=","&lt;=")&amp;Y108,Variables!$P$2:$P$19,IF(T108="NorthBound","&lt;=","&gt;=")&amp;Z108))</f>
        <v>0</v>
      </c>
      <c r="V108" s="98" t="str">
        <f>"https://search-rtdc-monitor-bjffxe2xuh6vdkpspy63sjmuny.us-east-1.es.amazonaws.com/_plugin/kibana/#/discover/Steve-Slow-Train-Analysis-(2080s-and-2083s)?_g=(refreshInterval:(display:Off,section:0,value:0),time:(from:'"&amp;TEXT(E108-1/24,"yyyy-MM-DD hh:mm:ss")&amp;"-0600',mode:absolute,to:'"&amp;TEXT(I108+1/24,"yyyy-MM-DD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108&amp;"%22')),sort:!(Time,asc))"</f>
        <v>https://search-rtdc-monitor-bjffxe2xuh6vdkpspy63sjmuny.us-east-1.es.amazonaws.com/_plugin/kibana/#/discover/Steve-Slow-Train-Analysis-(2080s-and-2083s)?_g=(refreshInterval:(display:Off,section:0,value:0),time:(from:'2016-10-13 14:24:44-0600',mode:absolute,to:'2016-10-13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8" s="52" t="str">
        <f>IF(AA108&lt;IF(AG108="EC",23,5.65),"Y","N")</f>
        <v>Y</v>
      </c>
      <c r="X108" s="149">
        <f>VALUE(LEFT(AD108,4))-VALUE(LEFT(AD107,4))</f>
        <v>0</v>
      </c>
      <c r="Y108" s="67">
        <f>RIGHT(D108,LEN(D108)-4)/10000</f>
        <v>5.0599999999999999E-2</v>
      </c>
      <c r="Z108" s="67">
        <f>RIGHT(H108,LEN(H108)-4)/10000</f>
        <v>0.1003</v>
      </c>
      <c r="AA108" s="67">
        <f>ABS(Z108-Y108)</f>
        <v>4.9700000000000001E-2</v>
      </c>
      <c r="AB108" s="64" t="e">
        <f>VLOOKUP(A108,Enforcements!$C$7:$K$21,8,0)</f>
        <v>#N/A</v>
      </c>
      <c r="AC108" s="60" t="e">
        <f>VLOOKUP(A108,Enforcements!$C$7:$E$21,3,0)</f>
        <v>#N/A</v>
      </c>
      <c r="AD108" s="61" t="str">
        <f>IF(LEN(A108)=6,"0"&amp;A108,A108)</f>
        <v>0195-13</v>
      </c>
      <c r="AE108" s="91" t="str">
        <f>"aws s3 cp "&amp;s3_bucket&amp;"/RTDC"&amp;B108&amp;"/ "&amp;search_path&amp;"\RTDC"&amp;B108&amp;"\"&amp;TEXT(F108,"YYYY-MM-DD")&amp;" --exclude ""*"" --recursive --include ""*"&amp;TEXT(F108,"YYYYMMDD")&amp;"*"" &amp; """&amp;walkandungz&amp;""" "&amp;search_path&amp;"\RTDC"&amp;B108&amp;"\"&amp;TEXT(F108,"YYYY-MM-DD")
&amp;" &amp; "&amp;"aws s3 cp "&amp;s3_bucket&amp;"/RTDC"&amp;B108&amp;"/ "&amp;search_path&amp;"\RTDC"&amp;B108&amp;"\"&amp;TEXT(F108+1,"YYYY-MM-DD")&amp;" --exclude ""*"" --recursive --include ""*"&amp;TEXT(F108+1,"YYYYMMDD")&amp;"*"" &amp; """&amp;walkandungz&amp;""" "&amp;search_path&amp;"\RTDC"&amp;B108&amp;"\"&amp;TEXT(F108+1,"YYYY-MM-DD")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8" s="88" t="str">
        <f>astrogrep_path&amp;" /spath="&amp;search_path&amp;" /stypes=""app*"&amp;B108&amp;"*"&amp;TEXT(I108-utc_offset/24,"YYYYMMDD")&amp;"*"" /stext="" "&amp;TEXT(I108-utc_offset/24,"HH")&amp;search_regexp&amp;""" /e /r /s"</f>
        <v>"C:\Program Files (x86)\AstroGrep\AstroGrep.exe" /spath="%USERPROFILE%\AppData\Local\Temp\OnboardLogs" /stypes="app*4038*20161013*" /stext=" 22:.+((SYSTEM_STATE.+slice.+state.+changed )|(ment ac)|(system.+state.+changed )|(\[timeout)|(PRM\|1\|D)|(kpr)|(kdp)|(\|lc)|(penalty))" /e /r /s</v>
      </c>
      <c r="AG108" s="1" t="str">
        <f>IFERROR(IF(VALUE(LEFT(AD108,2))&lt;=2,"EC",IF(OR(VALUE(LEFT(AD108,2))=8,VALUE(LEFT(AD108,2))=18),"NW","Other")),"Other")</f>
        <v>EC</v>
      </c>
      <c r="AH108" s="92" t="str">
        <f t="shared" si="6"/>
        <v>"%USERPROFILE%\Documents\GitHub\eaglep3\Utilities\RefineRTDCRunTimes.py" --tripid 195-13 --locoid 4038 --swversion DE.1.0.7.0 --startMP 204:506 --initTime 2016-10-13T15:24:44 --startdatetime 2016-10-13T15:33:54 --delay 0 --endMP 204:1003 --enddatetime 2016-10-13T16:10:47 --enforcementcount 1 &gt;&gt;C:\Users\stu\Documents\GitHub\eaglep3-reporting\EC\2016-10-13-refined-times.txt</v>
      </c>
      <c r="AI108" s="122" t="str">
        <f t="shared" si="7"/>
        <v>echo {"issue":{"subject":"DUS 4N STOP because Main 2 &gt; Main 1 route had not been aligned yet, also 22N was STOP","project_id":79,"tracker_id":40,"status_id":1,"priority_id":2,"assigned_to_id":23,"start_date":"2016-10-13","description":"See title","custom_fields":[{"id":1,"name":"Subdivision","value":"EC"},{"id":4,"name":"Milepost","value":"0.1003"},{"id":17,"name":"Train ID","value":"195-13"},{"id":16,"name":"Locomotive ID","value":"4038"},{"id":130,"name":"Impact","value":"Unexpected Cut-Out or Disengaged"},{"id":150,"name":"Time of Event (Mountain Time)","value":"16:10:47"},{"id":151,"name":"Denver Issue ID","value":""},{"id":178,"name":"Operational Impact","value":"Yes"},{"id":179,"name":"Denver Segment Assigned","value":"Training"}]}} | curl -X POST -H "Content-Type: application/json" -H "X-Redmine-API-Key: d6333d4a04012a730768444271f8ca06482dae87" https://secure.xorail.net/redmine/issues.json --data @-</v>
      </c>
      <c r="AJ108" s="53" t="s">
        <v>771</v>
      </c>
      <c r="AK108" s="53" t="s">
        <v>132</v>
      </c>
      <c r="AL108" s="53" t="s">
        <v>144</v>
      </c>
    </row>
    <row r="109" spans="1:91" x14ac:dyDescent="0.25">
      <c r="A109" s="37" t="s">
        <v>541</v>
      </c>
      <c r="B109" s="7">
        <v>4037</v>
      </c>
      <c r="C109" s="22" t="s">
        <v>99</v>
      </c>
      <c r="D109" s="22" t="s">
        <v>299</v>
      </c>
      <c r="E109" s="13">
        <v>42656.676886574074</v>
      </c>
      <c r="F109" s="13">
        <v>42656.684999999998</v>
      </c>
      <c r="G109" s="7">
        <v>1</v>
      </c>
      <c r="H109" s="13" t="s">
        <v>661</v>
      </c>
      <c r="I109" s="13">
        <v>42656.714780092596</v>
      </c>
      <c r="J109" s="7">
        <v>1</v>
      </c>
      <c r="K109" s="112" t="str">
        <f>IF(ISEVEN(B109),(B109-1)&amp;"/"&amp;B109,B109&amp;"/"&amp;(B109+1))</f>
        <v>4037/4038</v>
      </c>
      <c r="L109" s="22" t="str">
        <f>VLOOKUP(A109,'Trips&amp;Operators'!$C$1:$E$10000,3,FALSE)</f>
        <v>YOUNG</v>
      </c>
      <c r="M109" s="6">
        <f>I109-F109</f>
        <v>2.9780092598230112E-2</v>
      </c>
      <c r="N109" s="7">
        <f>24*60*SUM($M109:$M109)</f>
        <v>42.883333341451362</v>
      </c>
      <c r="O109" s="7"/>
      <c r="P109" s="7"/>
      <c r="Q109" s="23"/>
      <c r="R109" s="23"/>
      <c r="S109" s="35">
        <f>SUM(U109:U109)/IF(AG109="EC",12,1)</f>
        <v>1</v>
      </c>
      <c r="T109" s="50" t="str">
        <f>IF(ISEVEN(LEFT(AD109,4)),"Southbound","NorthBound")</f>
        <v>Southbound</v>
      </c>
      <c r="U109" s="144">
        <f>IF(AG109="EC",COUNTIFS(Variables!$M$2:$M$19,IF(T109="NorthBound","&gt;=","&lt;=")&amp;Y109,Variables!$M$2:$M$19,IF(T109="NorthBound","&lt;=","&gt;=")&amp;Z109),COUNTIFS(Variables!$P$2:$P$19,IF(T109="NorthBound","&gt;=","&lt;=")&amp;Y109,Variables!$P$2:$P$19,IF(T109="NorthBound","&lt;=","&gt;=")&amp;Z109))</f>
        <v>12</v>
      </c>
      <c r="V109" s="98" t="str">
        <f>"https://search-rtdc-monitor-bjffxe2xuh6vdkpspy63sjmuny.us-east-1.es.amazonaws.com/_plugin/kibana/#/discover/Steve-Slow-Train-Analysis-(2080s-and-2083s)?_g=(refreshInterval:(display:Off,section:0,value:0),time:(from:'"&amp;TEXT(E109-1/24,"yyyy-MM-DD hh:mm:ss")&amp;"-0600',mode:absolute,to:'"&amp;TEXT(I109+1/24,"yyyy-MM-DD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109&amp;"%22')),sort:!(Time,asc))"</f>
        <v>https://search-rtdc-monitor-bjffxe2xuh6vdkpspy63sjmuny.us-east-1.es.amazonaws.com/_plugin/kibana/#/discover/Steve-Slow-Train-Analysis-(2080s-and-2083s)?_g=(refreshInterval:(display:Off,section:0,value:0),time:(from:'2016-10-13 15:14:43-0600',mode:absolute,to:'2016-10-13 18:09: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09" s="52" t="str">
        <f>IF(AA109&lt;IF(AG109="EC",23,5.65),"Y","N")</f>
        <v>N</v>
      </c>
      <c r="X109" s="149">
        <f>VALUE(LEFT(AD109,4))-VALUE(LEFT(AD108,4))</f>
        <v>1</v>
      </c>
      <c r="Y109" s="67">
        <f>RIGHT(D109,LEN(D109)-4)/10000</f>
        <v>23.297799999999999</v>
      </c>
      <c r="Z109" s="67">
        <f>RIGHT(H109,LEN(H109)-4)/10000</f>
        <v>1.8499999999999999E-2</v>
      </c>
      <c r="AA109" s="67">
        <f>ABS(Z109-Y109)</f>
        <v>23.279299999999999</v>
      </c>
      <c r="AB109" s="64" t="e">
        <f>VLOOKUP(A109,Enforcements!$C$7:$K$21,8,0)</f>
        <v>#N/A</v>
      </c>
      <c r="AC109" s="60" t="e">
        <f>VLOOKUP(A109,Enforcements!$C$7:$E$21,3,0)</f>
        <v>#N/A</v>
      </c>
      <c r="AD109" s="61" t="str">
        <f>IF(LEN(A109)=6,"0"&amp;A109,A109)</f>
        <v>0196-13</v>
      </c>
      <c r="AE109" s="91" t="str">
        <f>"aws s3 cp "&amp;s3_bucket&amp;"/RTDC"&amp;B109&amp;"/ "&amp;search_path&amp;"\RTDC"&amp;B109&amp;"\"&amp;TEXT(F109,"YYYY-MM-DD")&amp;" --exclude ""*"" --recursive --include ""*"&amp;TEXT(F109,"YYYYMMDD")&amp;"*"" &amp; """&amp;walkandungz&amp;""" "&amp;search_path&amp;"\RTDC"&amp;B109&amp;"\"&amp;TEXT(F109,"YYYY-MM-DD")
&amp;" &amp; "&amp;"aws s3 cp "&amp;s3_bucket&amp;"/RTDC"&amp;B109&amp;"/ "&amp;search_path&amp;"\RTDC"&amp;B109&amp;"\"&amp;TEXT(F109+1,"YYYY-MM-DD")&amp;" --exclude ""*"" --recursive --include ""*"&amp;TEXT(F109+1,"YYYYMMDD")&amp;"*"" &amp; """&amp;walkandungz&amp;""" "&amp;search_path&amp;"\RTDC"&amp;B109&amp;"\"&amp;TEXT(F109+1,"YYYY-MM-DD")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09" s="88" t="str">
        <f>astrogrep_path&amp;" /spath="&amp;search_path&amp;" /stypes=""app*"&amp;B109&amp;"*"&amp;TEXT(I109-utc_offset/24,"YYYYMMDD")&amp;"*"" /stext="" "&amp;TEXT(I109-utc_offset/24,"HH")&amp;search_regexp&amp;""" /e /r /s"</f>
        <v>"C:\Program Files (x86)\AstroGrep\AstroGrep.exe" /spath="%USERPROFILE%\AppData\Local\Temp\OnboardLogs" /stypes="app*4037*20161013*" /stext=" 23:.+((SYSTEM_STATE.+slice.+state.+changed )|(ment ac)|(system.+state.+changed )|(\[timeout)|(PRM\|1\|D)|(kpr)|(kdp)|(\|lc)|(penalty))" /e /r /s</v>
      </c>
      <c r="AG109" s="1" t="str">
        <f>IFERROR(IF(VALUE(LEFT(AD109,2))&lt;=2,"EC",IF(OR(VALUE(LEFT(AD109,2))=8,VALUE(LEFT(AD109,2))=18),"NW","Other")),"Other")</f>
        <v>EC</v>
      </c>
      <c r="AH109" s="92" t="str">
        <f t="shared" si="6"/>
        <v>"%USERPROFILE%\Documents\GitHub\eaglep3\Utilities\RefineRTDCRunTimes.py" --tripid 196-13 --locoid 4037 --swversion DE.1.0.7.0 --startMP 204:232978 --initTime 2016-10-13T16:14:43 --startdatetime 2016-10-13T16:26:24 --delay 1 --endMP 204:185 --enddatetime 2016-10-13T17:09:17 --enforcementcount 1 &gt;&gt;C:\Users\stu\Documents\GitHub\eaglep3-reporting\EC\2016-10-13-refined-times.txt</v>
      </c>
      <c r="AI109" s="122" t="str">
        <f t="shared" si="7"/>
        <v>echo {"issue":{"subject":"","project_id":79,"tracker_id":40,"status_id":1,"priority_id":2,"assigned_to_id":23,"start_date":"2016-10-13","description":"","custom_fields":[{"id":1,"name":"Subdivision","value":"EC"},{"id":4,"name":"Milepost","value":"0.0185"},{"id":17,"name":"Train ID","value":"196-13"},{"id":16,"name":"Locomotive ID","value":"4037"},{"id":130,"name":"Impact","value":""},{"id":150,"name":"Time of Event (Mountain Time)","value":"17:09:17"},{"id":151,"name":"Denver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534</v>
      </c>
      <c r="B110" s="7">
        <v>4002</v>
      </c>
      <c r="C110" s="22" t="s">
        <v>99</v>
      </c>
      <c r="D110" s="22" t="s">
        <v>299</v>
      </c>
      <c r="E110" s="13">
        <v>42656.676886574074</v>
      </c>
      <c r="F110" s="13">
        <v>42656.656481481485</v>
      </c>
      <c r="G110" s="7">
        <v>1</v>
      </c>
      <c r="H110" s="13" t="s">
        <v>661</v>
      </c>
      <c r="I110" s="13">
        <v>42656.683298611111</v>
      </c>
      <c r="J110" s="7">
        <v>1</v>
      </c>
      <c r="K110" s="112" t="str">
        <f>IF(ISEVEN(B110),(B110-1)&amp;"/"&amp;B110,B110&amp;"/"&amp;(B110+1))</f>
        <v>4001/4002</v>
      </c>
      <c r="L110" s="22" t="str">
        <f>VLOOKUP(A110,'Trips&amp;Operators'!$C$1:$E$10000,3,FALSE)</f>
        <v>BROWN</v>
      </c>
      <c r="M110" s="6">
        <f>I110-F110</f>
        <v>2.6817129626579117E-2</v>
      </c>
      <c r="N110" s="7">
        <f>24*60*SUM($M110:$M110)</f>
        <v>38.616666662273929</v>
      </c>
      <c r="O110" s="7"/>
      <c r="P110" s="7"/>
      <c r="Q110" s="23"/>
      <c r="R110" s="23"/>
      <c r="S110" s="35">
        <f>SUM(U110:U110)/IF(AG110="EC",12,1)</f>
        <v>1</v>
      </c>
      <c r="T110" s="50" t="str">
        <f>IF(ISEVEN(LEFT(AD110,4)),"Southbound","NorthBound")</f>
        <v>NorthBound</v>
      </c>
      <c r="U110" s="144">
        <f>IF(AG110="EC",COUNTIFS(Variables!$M$2:$M$19,IF(T110="NorthBound","&gt;=","&lt;=")&amp;Y110,Variables!$M$2:$M$19,IF(T110="NorthBound","&lt;=","&gt;=")&amp;Z110),COUNTIFS(Variables!$P$2:$P$19,IF(T110="NorthBound","&gt;=","&lt;=")&amp;Y110,Variables!$P$2:$P$19,IF(T110="NorthBound","&lt;=","&gt;=")&amp;Z110))</f>
        <v>12</v>
      </c>
      <c r="V110" s="98" t="str">
        <f>"https://search-rtdc-monitor-bjffxe2xuh6vdkpspy63sjmuny.us-east-1.es.amazonaws.com/_plugin/kibana/#/discover/Steve-Slow-Train-Analysis-(2080s-and-2083s)?_g=(refreshInterval:(display:Off,section:0,value:0),time:(from:'"&amp;TEXT(E110-1/24,"yyyy-MM-DD hh:mm:ss")&amp;"-0600',mode:absolute,to:'"&amp;TEXT(I110+1/24,"yyyy-MM-DD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110&amp;"%22')),sort:!(Time,asc))"</f>
        <v>https://search-rtdc-monitor-bjffxe2xuh6vdkpspy63sjmuny.us-east-1.es.amazonaws.com/_plugin/kibana/#/discover/Steve-Slow-Train-Analysis-(2080s-and-2083s)?_g=(refreshInterval:(display:Off,section:0,value:0),time:(from:'2016-10-13 15:14:43-0600',mode:absolute,to:'2016-10-13 17:23: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10" s="52" t="str">
        <f>IF(AA110&lt;IF(AG110="EC",23,5.65),"Y","N")</f>
        <v>N</v>
      </c>
      <c r="X110" s="149">
        <f>VALUE(LEFT(AD110,4))-VALUE(LEFT(AD109,4))</f>
        <v>1</v>
      </c>
      <c r="Y110" s="67">
        <v>4.5499999999999999E-2</v>
      </c>
      <c r="Z110" s="67">
        <v>23.329499999999999</v>
      </c>
      <c r="AA110" s="67">
        <f>ABS(Z110-Y110)</f>
        <v>23.283999999999999</v>
      </c>
      <c r="AB110" s="64" t="e">
        <f>VLOOKUP(A110,Enforcements!$C$7:$K$21,8,0)</f>
        <v>#N/A</v>
      </c>
      <c r="AC110" s="60" t="e">
        <f>VLOOKUP(A110,Enforcements!$C$7:$E$21,3,0)</f>
        <v>#N/A</v>
      </c>
      <c r="AD110" s="61" t="str">
        <f>IF(LEN(A110)=6,"0"&amp;A110,A110)</f>
        <v>0197-13</v>
      </c>
      <c r="AE110" s="91" t="str">
        <f>"aws s3 cp "&amp;s3_bucket&amp;"/RTDC"&amp;B110&amp;"/ "&amp;search_path&amp;"\RTDC"&amp;B110&amp;"\"&amp;TEXT(F110,"YYYY-MM-DD")&amp;" --exclude ""*"" --recursive --include ""*"&amp;TEXT(F110,"YYYYMMDD")&amp;"*"" &amp; """&amp;walkandungz&amp;""" "&amp;search_path&amp;"\RTDC"&amp;B110&amp;"\"&amp;TEXT(F110,"YYYY-MM-DD")
&amp;" &amp; "&amp;"aws s3 cp "&amp;s3_bucket&amp;"/RTDC"&amp;B110&amp;"/ "&amp;search_path&amp;"\RTDC"&amp;B110&amp;"\"&amp;TEXT(F110+1,"YYYY-MM-DD")&amp;" --exclude ""*"" --recursive --include ""*"&amp;TEXT(F110+1,"YYYYMMDD")&amp;"*"" &amp; """&amp;walkandungz&amp;""" "&amp;search_path&amp;"\RTDC"&amp;B110&amp;"\"&amp;TEXT(F110+1,"YYYY-MM-DD")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10" s="88" t="str">
        <f>astrogrep_path&amp;" /spath="&amp;search_path&amp;" /stypes=""app*"&amp;B110&amp;"*"&amp;TEXT(I110-utc_offset/24,"YYYYMMDD")&amp;"*"" /stext="" "&amp;TEXT(I110-utc_offset/24,"HH")&amp;search_regexp&amp;""" /e /r /s"</f>
        <v>"C:\Program Files (x86)\AstroGrep\AstroGrep.exe" /spath="%USERPROFILE%\AppData\Local\Temp\OnboardLogs" /stypes="app*4002*20161013*" /stext=" 22:.+((SYSTEM_STATE.+slice.+state.+changed )|(ment ac)|(system.+state.+changed )|(\[timeout)|(PRM\|1\|D)|(kpr)|(kdp)|(\|lc)|(penalty))" /e /r /s</v>
      </c>
      <c r="AG110" s="1" t="str">
        <f>IFERROR(IF(VALUE(LEFT(AD110,2))&lt;=2,"EC",IF(OR(VALUE(LEFT(AD110,2))=8,VALUE(LEFT(AD110,2))=18),"NW","Other")),"Other")</f>
        <v>EC</v>
      </c>
      <c r="AH110" s="92" t="str">
        <f t="shared" ref="AH110" si="9">refinertdcruntimes&amp;" --tripid "&amp;A110&amp;" --locoid "&amp;B110&amp;" --swversion "&amp;C110&amp;" --startMP "&amp;D110&amp;" --initTime "&amp;TEXT(E110,"yyyy-mm-ddTHH:MM:SS")&amp;" --startdatetime "&amp;TEXT(F110,"yyyy-mm-ddTHH:MM:SS")&amp;" --delay "&amp;G110&amp;" --endMP "&amp;H110&amp;" --enddatetime "&amp;TEXT(I110,"yyyy-mm-ddTHH:MM:SS")&amp;" --enforcementcount "&amp;J110&amp;IF(outputrefinedruntimes," &gt;&gt;"&amp;RefinedRTDCRunTimesOutputFile,"")</f>
        <v>"%USERPROFILE%\Documents\GitHub\eaglep3\Utilities\RefineRTDCRunTimes.py" --tripid 197-13 --locoid 4002 --swversion DE.1.0.7.0 --startMP 204:232978 --initTime 2016-10-13T16:14:43 --startdatetime 2016-10-13T15:45:20 --delay 1 --endMP 204:185 --enddatetime 2016-10-13T16:23:57 --enforcementcount 1 &gt;&gt;C:\Users\stu\Documents\GitHub\eaglep3-reporting\EC\2016-10-13-refined-times.txt</v>
      </c>
      <c r="AI110" s="122" t="str">
        <f t="shared" ref="AI110" si="10">"echo {""issue"":{""subject"":"""&amp;R110&amp;""",""project_id"":79,""tracker_id"":40,""status_id"":"&amp;redmine_status&amp;",""priority_id"":"&amp;redmine_priority&amp;",""assigned_to_id"":"&amp;redmine_assignee&amp;",""start_date"":"""&amp;TEXT(I110,"YYYY-mm-dd")&amp;""",""description"":"""&amp;AJ110&amp;""",""custom_fields"":[{""id"":1,""name"":""Subdivision"",""value"":"""&amp;AG110&amp;"""},{""id"":4,""name"":""Milepost"",""value"":"""&amp;Z110&amp;"""},{""id"":17,""name"":""Train ID"",""value"":"""&amp;A110&amp;"""},{""id"":16,""name"":""Locomotive ID"",""value"":"""&amp;B110&amp;"""},{""id"":130,""name"":""Impact"",""value"":"""&amp;AK110&amp;"""},{""id"":150,""name"":""Time of Event (Mountain Time)"",""value"":"""&amp;TEXT(I110,"hh:mm:ss")&amp;"""},{""id"":151,""name"":""Denver Issue ID"",""value"":"""&amp;"""},{""id"":178,""name"":""Operational Impact"",""value"":"""&amp;redmine_op_impact&amp;"""},{""id"":179,""name"":""Denver Segment Assigned"",""value"":"""&amp;AL110&amp;"""}]}}"&amp;" | curl -X POST -H ""Content-Type: application/json"" -H ""X-Redmine-API-Key: "&amp;redm_api_key&amp;""" "&amp;redm_url&amp;" --data @-"</f>
        <v>echo {"issue":{"subject":"","project_id":79,"tracker_id":40,"status_id":1,"priority_id":2,"assigned_to_id":23,"start_date":"2016-10-13","description":"","custom_fields":[{"id":1,"name":"Subdivision","value":"EC"},{"id":4,"name":"Milepost","value":"23.3295"},{"id":17,"name":"Train ID","value":"197-13"},{"id":16,"name":"Locomotive ID","value":"4002"},{"id":130,"name":"Impact","value":""},{"id":150,"name":"Time of Event (Mountain Time)","value":"16:23:57"},{"id":151,"name":"Denver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row>
    <row r="111" spans="1:91" s="21" customFormat="1" x14ac:dyDescent="0.25">
      <c r="A111" s="37" t="s">
        <v>543</v>
      </c>
      <c r="B111" s="7">
        <v>4001</v>
      </c>
      <c r="C111" s="22" t="s">
        <v>99</v>
      </c>
      <c r="D111" s="22" t="s">
        <v>295</v>
      </c>
      <c r="E111" s="13">
        <v>42656.686990740738</v>
      </c>
      <c r="F111" s="13">
        <v>42656.695289351854</v>
      </c>
      <c r="G111" s="7">
        <v>1</v>
      </c>
      <c r="H111" s="13" t="s">
        <v>291</v>
      </c>
      <c r="I111" s="13">
        <v>42656.72216435185</v>
      </c>
      <c r="J111" s="7">
        <v>1</v>
      </c>
      <c r="K111" s="112" t="str">
        <f>IF(ISEVEN(B111),(B111-1)&amp;"/"&amp;B111,B111&amp;"/"&amp;(B111+1))</f>
        <v>4001/4002</v>
      </c>
      <c r="L111" s="22" t="str">
        <f>VLOOKUP(A111,'Trips&amp;Operators'!$C$1:$E$10000,3,FALSE)</f>
        <v>BROWN</v>
      </c>
      <c r="M111" s="6">
        <f>I111-F111</f>
        <v>2.6874999995925464E-2</v>
      </c>
      <c r="N111" s="7">
        <f>24*60*SUM($M111:$M111)</f>
        <v>38.699999994132668</v>
      </c>
      <c r="O111" s="7"/>
      <c r="P111" s="7"/>
      <c r="Q111" s="23"/>
      <c r="R111" s="23"/>
      <c r="S111" s="35">
        <f>SUM(U111:U111)/IF(AG111="EC",12,1)</f>
        <v>1</v>
      </c>
      <c r="T111" s="50" t="str">
        <f>IF(ISEVEN(LEFT(AD111,4)),"Southbound","NorthBound")</f>
        <v>Southbound</v>
      </c>
      <c r="U111" s="144">
        <f>IF(AG111="EC",COUNTIFS(Variables!$M$2:$M$19,IF(T111="NorthBound","&gt;=","&lt;=")&amp;Y111,Variables!$M$2:$M$19,IF(T111="NorthBound","&lt;=","&gt;=")&amp;Z111),COUNTIFS(Variables!$P$2:$P$19,IF(T111="NorthBound","&gt;=","&lt;=")&amp;Y111,Variables!$P$2:$P$19,IF(T111="NorthBound","&lt;=","&gt;=")&amp;Z111))</f>
        <v>12</v>
      </c>
      <c r="V111" s="98" t="str">
        <f>"https://search-rtdc-monitor-bjffxe2xuh6vdkpspy63sjmuny.us-east-1.es.amazonaws.com/_plugin/kibana/#/discover/Steve-Slow-Train-Analysis-(2080s-and-2083s)?_g=(refreshInterval:(display:Off,section:0,value:0),time:(from:'"&amp;TEXT(E111-1/24,"yyyy-MM-DD hh:mm:ss")&amp;"-0600',mode:absolute,to:'"&amp;TEXT(I111+1/24,"yyyy-MM-DD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111&amp;"%22')),sort:!(Time,asc))"</f>
        <v>https://search-rtdc-monitor-bjffxe2xuh6vdkpspy63sjmuny.us-east-1.es.amazonaws.com/_plugin/kibana/#/discover/Steve-Slow-Train-Analysis-(2080s-and-2083s)?_g=(refreshInterval:(display:Off,section:0,value:0),time:(from:'2016-10-13 15:29:16-0600',mode:absolute,to:'2016-10-13 18:19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11" s="52" t="str">
        <f>IF(AA111&lt;IF(AG111="EC",23,5.65),"Y","N")</f>
        <v>N</v>
      </c>
      <c r="X111" s="149">
        <f>VALUE(LEFT(AD111,4))-VALUE(LEFT(AD110,4))</f>
        <v>1</v>
      </c>
      <c r="Y111" s="67">
        <f>RIGHT(D111,LEN(D111)-4)/10000</f>
        <v>23.297599999999999</v>
      </c>
      <c r="Z111" s="67">
        <f>RIGHT(H111,LEN(H111)-4)/10000</f>
        <v>1.3599999999999999E-2</v>
      </c>
      <c r="AA111" s="67">
        <f>ABS(Z111-Y111)</f>
        <v>23.283999999999999</v>
      </c>
      <c r="AB111" s="64" t="e">
        <f>VLOOKUP(A111,Enforcements!$C$7:$K$21,8,0)</f>
        <v>#N/A</v>
      </c>
      <c r="AC111" s="60" t="e">
        <f>VLOOKUP(A111,Enforcements!$C$7:$E$21,3,0)</f>
        <v>#N/A</v>
      </c>
      <c r="AD111" s="61" t="str">
        <f>IF(LEN(A111)=6,"0"&amp;A111,A111)</f>
        <v>0198-13</v>
      </c>
      <c r="AE111" s="91" t="str">
        <f>"aws s3 cp "&amp;s3_bucket&amp;"/RTDC"&amp;B111&amp;"/ "&amp;search_path&amp;"\RTDC"&amp;B111&amp;"\"&amp;TEXT(F111,"YYYY-MM-DD")&amp;" --exclude ""*"" --recursive --include ""*"&amp;TEXT(F111,"YYYYMMDD")&amp;"*"" &amp; """&amp;walkandungz&amp;""" "&amp;search_path&amp;"\RTDC"&amp;B111&amp;"\"&amp;TEXT(F111,"YYYY-MM-DD")
&amp;" &amp; "&amp;"aws s3 cp "&amp;s3_bucket&amp;"/RTDC"&amp;B111&amp;"/ "&amp;search_path&amp;"\RTDC"&amp;B111&amp;"\"&amp;TEXT(F111+1,"YYYY-MM-DD")&amp;" --exclude ""*"" --recursive --include ""*"&amp;TEXT(F111+1,"YYYYMMDD")&amp;"*"" &amp; """&amp;walkandungz&amp;""" "&amp;search_path&amp;"\RTDC"&amp;B111&amp;"\"&amp;TEXT(F111+1,"YYYY-MM-DD")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11" s="88" t="str">
        <f>astrogrep_path&amp;" /spath="&amp;search_path&amp;" /stypes=""app*"&amp;B111&amp;"*"&amp;TEXT(I111-utc_offset/24,"YYYYMMDD")&amp;"*"" /stext="" "&amp;TEXT(I111-utc_offset/24,"HH")&amp;search_regexp&amp;""" /e /r /s"</f>
        <v>"C:\Program Files (x86)\AstroGrep\AstroGrep.exe" /spath="%USERPROFILE%\AppData\Local\Temp\OnboardLogs" /stypes="app*4001*20161013*" /stext=" 23:.+((SYSTEM_STATE.+slice.+state.+changed )|(ment ac)|(system.+state.+changed )|(\[timeout)|(PRM\|1\|D)|(kpr)|(kdp)|(\|lc)|(penalty))" /e /r /s</v>
      </c>
      <c r="AG111" s="1" t="str">
        <f>IFERROR(IF(VALUE(LEFT(AD111,2))&lt;=2,"EC",IF(OR(VALUE(LEFT(AD111,2))=8,VALUE(LEFT(AD111,2))=18),"NW","Other")),"Other")</f>
        <v>EC</v>
      </c>
      <c r="AH111" s="92" t="str">
        <f t="shared" si="6"/>
        <v>"%USERPROFILE%\Documents\GitHub\eaglep3\Utilities\RefineRTDCRunTimes.py" --tripid 198-13 --locoid 4001 --swversion DE.1.0.7.0 --startMP 204:232976 --initTime 2016-10-13T16:29:16 --startdatetime 2016-10-13T16:41:13 --delay 1 --endMP 204:136 --enddatetime 2016-10-13T17:19:55 --enforcementcount 1 &gt;&gt;C:\Users\stu\Documents\GitHub\eaglep3-reporting\EC\2016-10-13-refined-times.txt</v>
      </c>
      <c r="AI111" s="122" t="str">
        <f t="shared" si="7"/>
        <v>echo {"issue":{"subject":"","project_id":79,"tracker_id":40,"status_id":1,"priority_id":2,"assigned_to_id":23,"start_date":"2016-10-13","description":"","custom_fields":[{"id":1,"name":"Subdivision","value":"EC"},{"id":4,"name":"Milepost","value":"0.0136"},{"id":17,"name":"Train ID","value":"198-13"},{"id":16,"name":"Locomotive ID","value":"4001"},{"id":130,"name":"Impact","value":""},{"id":150,"name":"Time of Event (Mountain Time)","value":"17:19:55"},{"id":151,"name":"Denver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537</v>
      </c>
      <c r="B112" s="7">
        <v>4025</v>
      </c>
      <c r="C112" s="22" t="s">
        <v>99</v>
      </c>
      <c r="D112" s="22" t="s">
        <v>662</v>
      </c>
      <c r="E112" s="13">
        <v>42656.661226851851</v>
      </c>
      <c r="F112" s="13">
        <v>42656.667048611111</v>
      </c>
      <c r="G112" s="7">
        <v>2</v>
      </c>
      <c r="H112" s="13" t="s">
        <v>310</v>
      </c>
      <c r="I112" s="13">
        <v>42656.692511574074</v>
      </c>
      <c r="J112" s="7">
        <v>1</v>
      </c>
      <c r="K112" s="112" t="str">
        <f>IF(ISEVEN(B112),(B112-1)&amp;"/"&amp;B112,B112&amp;"/"&amp;(B112+1))</f>
        <v>4025/4026</v>
      </c>
      <c r="L112" s="22" t="str">
        <f>VLOOKUP(A112,'Trips&amp;Operators'!$C$1:$E$10000,3,FALSE)</f>
        <v>STORY</v>
      </c>
      <c r="M112" s="6">
        <f>I112-F112</f>
        <v>2.5462962963501923E-2</v>
      </c>
      <c r="N112" s="7">
        <f>24*60*SUM($M112:$M112)</f>
        <v>36.666666667442769</v>
      </c>
      <c r="O112" s="7"/>
      <c r="P112" s="7"/>
      <c r="Q112" s="23"/>
      <c r="R112" s="23"/>
      <c r="S112" s="35">
        <f>SUM(U112:U112)/IF(AG112="EC",12,1)</f>
        <v>1</v>
      </c>
      <c r="T112" s="50" t="str">
        <f>IF(ISEVEN(LEFT(AD112,4)),"Southbound","NorthBound")</f>
        <v>NorthBound</v>
      </c>
      <c r="U112" s="144">
        <f>IF(AG112="EC",COUNTIFS(Variables!$M$2:$M$19,IF(T112="NorthBound","&gt;=","&lt;=")&amp;Y112,Variables!$M$2:$M$19,IF(T112="NorthBound","&lt;=","&gt;=")&amp;Z112),COUNTIFS(Variables!$P$2:$P$19,IF(T112="NorthBound","&gt;=","&lt;=")&amp;Y112,Variables!$P$2:$P$19,IF(T112="NorthBound","&lt;=","&gt;=")&amp;Z112))</f>
        <v>12</v>
      </c>
      <c r="V112" s="98" t="str">
        <f>"https://search-rtdc-monitor-bjffxe2xuh6vdkpspy63sjmuny.us-east-1.es.amazonaws.com/_plugin/kibana/#/discover/Steve-Slow-Train-Analysis-(2080s-and-2083s)?_g=(refreshInterval:(display:Off,section:0,value:0),time:(from:'"&amp;TEXT(E112-1/24,"yyyy-MM-DD hh:mm:ss")&amp;"-0600',mode:absolute,to:'"&amp;TEXT(I112+1/24,"yyyy-MM-DD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112&amp;"%22')),sort:!(Time,asc))"</f>
        <v>https://search-rtdc-monitor-bjffxe2xuh6vdkpspy63sjmuny.us-east-1.es.amazonaws.com/_plugin/kibana/#/discover/Steve-Slow-Train-Analysis-(2080s-and-2083s)?_g=(refreshInterval:(display:Off,section:0,value:0),time:(from:'2016-10-13 14:52:10-0600',mode:absolute,to:'2016-10-13 17:37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2" s="52" t="str">
        <f>IF(AA112&lt;IF(AG112="EC",23,5.65),"Y","N")</f>
        <v>N</v>
      </c>
      <c r="X112" s="149">
        <f>VALUE(LEFT(AD112,4))-VALUE(LEFT(AD111,4))</f>
        <v>1</v>
      </c>
      <c r="Y112" s="67">
        <f>RIGHT(D112,LEN(D112)-4)/10000</f>
        <v>4.7500000000000001E-2</v>
      </c>
      <c r="Z112" s="67">
        <f>RIGHT(H112,LEN(H112)-4)/10000</f>
        <v>23.329899999999999</v>
      </c>
      <c r="AA112" s="67">
        <f>ABS(Z112-Y112)</f>
        <v>23.282399999999999</v>
      </c>
      <c r="AB112" s="64" t="e">
        <f>VLOOKUP(A112,Enforcements!$C$7:$K$21,8,0)</f>
        <v>#N/A</v>
      </c>
      <c r="AC112" s="60" t="e">
        <f>VLOOKUP(A112,Enforcements!$C$7:$E$21,3,0)</f>
        <v>#N/A</v>
      </c>
      <c r="AD112" s="61" t="str">
        <f>IF(LEN(A112)=6,"0"&amp;A112,A112)</f>
        <v>0199-13</v>
      </c>
      <c r="AE112" s="91" t="str">
        <f>"aws s3 cp "&amp;s3_bucket&amp;"/RTDC"&amp;B112&amp;"/ "&amp;search_path&amp;"\RTDC"&amp;B112&amp;"\"&amp;TEXT(F112,"YYYY-MM-DD")&amp;" --exclude ""*"" --recursive --include ""*"&amp;TEXT(F112,"YYYYMMDD")&amp;"*"" &amp; """&amp;walkandungz&amp;""" "&amp;search_path&amp;"\RTDC"&amp;B112&amp;"\"&amp;TEXT(F112,"YYYY-MM-DD")
&amp;" &amp; "&amp;"aws s3 cp "&amp;s3_bucket&amp;"/RTDC"&amp;B112&amp;"/ "&amp;search_path&amp;"\RTDC"&amp;B112&amp;"\"&amp;TEXT(F112+1,"YYYY-MM-DD")&amp;" --exclude ""*"" --recursive --include ""*"&amp;TEXT(F112+1,"YYYYMMDD")&amp;"*"" &amp; """&amp;walkandungz&amp;""" "&amp;search_path&amp;"\RTDC"&amp;B112&amp;"\"&amp;TEXT(F112+1,"YYYY-MM-DD")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12" s="88" t="str">
        <f>astrogrep_path&amp;" /spath="&amp;search_path&amp;" /stypes=""app*"&amp;B112&amp;"*"&amp;TEXT(I112-utc_offset/24,"YYYYMMDD")&amp;"*"" /stext="" "&amp;TEXT(I112-utc_offset/24,"HH")&amp;search_regexp&amp;""" /e /r /s"</f>
        <v>"C:\Program Files (x86)\AstroGrep\AstroGrep.exe" /spath="%USERPROFILE%\AppData\Local\Temp\OnboardLogs" /stypes="app*4025*20161013*" /stext=" 22:.+((SYSTEM_STATE.+slice.+state.+changed )|(ment ac)|(system.+state.+changed )|(\[timeout)|(PRM\|1\|D)|(kpr)|(kdp)|(\|lc)|(penalty))" /e /r /s</v>
      </c>
      <c r="AG112" s="1" t="str">
        <f>IFERROR(IF(VALUE(LEFT(AD112,2))&lt;=2,"EC",IF(OR(VALUE(LEFT(AD112,2))=8,VALUE(LEFT(AD112,2))=18),"NW","Other")),"Other")</f>
        <v>EC</v>
      </c>
      <c r="AH112" s="92" t="str">
        <f t="shared" si="6"/>
        <v>"%USERPROFILE%\Documents\GitHub\eaglep3\Utilities\RefineRTDCRunTimes.py" --tripid 199-13 --locoid 4025 --swversion DE.1.0.7.0 --startMP 204:475 --initTime 2016-10-13T15:52:10 --startdatetime 2016-10-13T16:00:33 --delay 2 --endMP 204:233299 --enddatetime 2016-10-13T16:37:13 --enforcementcount 1 &gt;&gt;C:\Users\stu\Documents\GitHub\eaglep3-reporting\EC\2016-10-13-refined-times.txt</v>
      </c>
      <c r="AI112" s="122" t="str">
        <f t="shared" si="7"/>
        <v>echo {"issue":{"subject":"","project_id":79,"tracker_id":40,"status_id":1,"priority_id":2,"assigned_to_id":23,"start_date":"2016-10-13","description":"","custom_fields":[{"id":1,"name":"Subdivision","value":"EC"},{"id":4,"name":"Milepost","value":"23.3299"},{"id":17,"name":"Train ID","value":"199-13"},{"id":16,"name":"Locomotive ID","value":"4025"},{"id":130,"name":"Impact","value":""},{"id":150,"name":"Time of Event (Mountain Time)","value":"16:37:13"},{"id":151,"name":"Denver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547</v>
      </c>
      <c r="B113" s="7">
        <v>4026</v>
      </c>
      <c r="C113" s="22" t="s">
        <v>99</v>
      </c>
      <c r="D113" s="22" t="s">
        <v>267</v>
      </c>
      <c r="E113" s="13">
        <v>42656.700775462959</v>
      </c>
      <c r="F113" s="13">
        <v>42656.705995370372</v>
      </c>
      <c r="G113" s="7">
        <v>1</v>
      </c>
      <c r="H113" s="13" t="s">
        <v>268</v>
      </c>
      <c r="I113" s="13">
        <v>42656.732604166667</v>
      </c>
      <c r="J113" s="7">
        <v>1</v>
      </c>
      <c r="K113" s="112" t="str">
        <f>IF(ISEVEN(B113),(B113-1)&amp;"/"&amp;B113,B113&amp;"/"&amp;(B113+1))</f>
        <v>4025/4026</v>
      </c>
      <c r="L113" s="22" t="str">
        <f>VLOOKUP(A113,'Trips&amp;Operators'!$C$1:$E$10000,3,FALSE)</f>
        <v>STORY</v>
      </c>
      <c r="M113" s="6">
        <f>I113-F113</f>
        <v>2.6608796295477077E-2</v>
      </c>
      <c r="N113" s="7">
        <f>24*60*SUM($M113:$M113)</f>
        <v>38.316666665486991</v>
      </c>
      <c r="O113" s="7"/>
      <c r="P113" s="7"/>
      <c r="Q113" s="23"/>
      <c r="R113" s="23"/>
      <c r="S113" s="35">
        <f>SUM(U113:U113)/IF(AG113="EC",12,1)</f>
        <v>1</v>
      </c>
      <c r="T113" s="50" t="str">
        <f>IF(ISEVEN(LEFT(AD113,4)),"Southbound","NorthBound")</f>
        <v>Southbound</v>
      </c>
      <c r="U113" s="144">
        <f>IF(AG113="EC",COUNTIFS(Variables!$M$2:$M$19,IF(T113="NorthBound","&gt;=","&lt;=")&amp;Y113,Variables!$M$2:$M$19,IF(T113="NorthBound","&lt;=","&gt;=")&amp;Z113),COUNTIFS(Variables!$P$2:$P$19,IF(T113="NorthBound","&gt;=","&lt;=")&amp;Y113,Variables!$P$2:$P$19,IF(T113="NorthBound","&lt;=","&gt;=")&amp;Z113))</f>
        <v>12</v>
      </c>
      <c r="V113" s="98" t="str">
        <f>"https://search-rtdc-monitor-bjffxe2xuh6vdkpspy63sjmuny.us-east-1.es.amazonaws.com/_plugin/kibana/#/discover/Steve-Slow-Train-Analysis-(2080s-and-2083s)?_g=(refreshInterval:(display:Off,section:0,value:0),time:(from:'"&amp;TEXT(E113-1/24,"yyyy-MM-DD hh:mm:ss")&amp;"-0600',mode:absolute,to:'"&amp;TEXT(I113+1/24,"yyyy-MM-DD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113&amp;"%22')),sort:!(Time,asc))"</f>
        <v>https://search-rtdc-monitor-bjffxe2xuh6vdkpspy63sjmuny.us-east-1.es.amazonaws.com/_plugin/kibana/#/discover/Steve-Slow-Train-Analysis-(2080s-and-2083s)?_g=(refreshInterval:(display:Off,section:0,value:0),time:(from:'2016-10-13 15:49:07-0600',mode:absolute,to:'2016-10-13 18: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3" s="52" t="str">
        <f>IF(AA113&lt;IF(AG113="EC",23,5.65),"Y","N")</f>
        <v>N</v>
      </c>
      <c r="X113" s="149">
        <f>VALUE(LEFT(AD113,4))-VALUE(LEFT(AD112,4))</f>
        <v>1</v>
      </c>
      <c r="Y113" s="67">
        <f>RIGHT(D113,LEN(D113)-4)/10000</f>
        <v>23.2959</v>
      </c>
      <c r="Z113" s="67">
        <f>RIGHT(H113,LEN(H113)-4)/10000</f>
        <v>1.49E-2</v>
      </c>
      <c r="AA113" s="67">
        <f>ABS(Z113-Y113)</f>
        <v>23.280999999999999</v>
      </c>
      <c r="AB113" s="64" t="e">
        <f>VLOOKUP(A113,Enforcements!$C$7:$K$21,8,0)</f>
        <v>#N/A</v>
      </c>
      <c r="AC113" s="60" t="e">
        <f>VLOOKUP(A113,Enforcements!$C$7:$E$21,3,0)</f>
        <v>#N/A</v>
      </c>
      <c r="AD113" s="61" t="str">
        <f>IF(LEN(A113)=6,"0"&amp;A113,A113)</f>
        <v>0200-13</v>
      </c>
      <c r="AE113" s="91" t="str">
        <f>"aws s3 cp "&amp;s3_bucket&amp;"/RTDC"&amp;B113&amp;"/ "&amp;search_path&amp;"\RTDC"&amp;B113&amp;"\"&amp;TEXT(F113,"YYYY-MM-DD")&amp;" --exclude ""*"" --recursive --include ""*"&amp;TEXT(F113,"YYYYMMDD")&amp;"*"" &amp; """&amp;walkandungz&amp;""" "&amp;search_path&amp;"\RTDC"&amp;B113&amp;"\"&amp;TEXT(F113,"YYYY-MM-DD")
&amp;" &amp; "&amp;"aws s3 cp "&amp;s3_bucket&amp;"/RTDC"&amp;B113&amp;"/ "&amp;search_path&amp;"\RTDC"&amp;B113&amp;"\"&amp;TEXT(F113+1,"YYYY-MM-DD")&amp;" --exclude ""*"" --recursive --include ""*"&amp;TEXT(F113+1,"YYYYMMDD")&amp;"*"" &amp; """&amp;walkandungz&amp;""" "&amp;search_path&amp;"\RTDC"&amp;B113&amp;"\"&amp;TEXT(F113+1,"YYYY-MM-DD")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13" s="88" t="str">
        <f>astrogrep_path&amp;" /spath="&amp;search_path&amp;" /stypes=""app*"&amp;B113&amp;"*"&amp;TEXT(I113-utc_offset/24,"YYYYMMDD")&amp;"*"" /stext="" "&amp;TEXT(I113-utc_offset/24,"HH")&amp;search_regexp&amp;""" /e /r /s"</f>
        <v>"C:\Program Files (x86)\AstroGrep\AstroGrep.exe" /spath="%USERPROFILE%\AppData\Local\Temp\OnboardLogs" /stypes="app*4026*20161013*" /stext=" 23:.+((SYSTEM_STATE.+slice.+state.+changed )|(ment ac)|(system.+state.+changed )|(\[timeout)|(PRM\|1\|D)|(kpr)|(kdp)|(\|lc)|(penalty))" /e /r /s</v>
      </c>
      <c r="AG113" s="1" t="str">
        <f>IFERROR(IF(VALUE(LEFT(AD113,2))&lt;=2,"EC",IF(OR(VALUE(LEFT(AD113,2))=8,VALUE(LEFT(AD113,2))=18),"NW","Other")),"Other")</f>
        <v>EC</v>
      </c>
      <c r="AH113" s="92" t="str">
        <f t="shared" si="6"/>
        <v>"%USERPROFILE%\Documents\GitHub\eaglep3\Utilities\RefineRTDCRunTimes.py" --tripid 200-13 --locoid 4026 --swversion DE.1.0.7.0 --startMP 204:232959 --initTime 2016-10-13T16:49:07 --startdatetime 2016-10-13T16:56:38 --delay 1 --endMP 204:149 --enddatetime 2016-10-13T17:34:57 --enforcementcount 1 &gt;&gt;C:\Users\stu\Documents\GitHub\eaglep3-reporting\EC\2016-10-13-refined-times.txt</v>
      </c>
      <c r="AI113" s="122" t="str">
        <f t="shared" si="7"/>
        <v>echo {"issue":{"subject":"","project_id":79,"tracker_id":40,"status_id":1,"priority_id":2,"assigned_to_id":23,"start_date":"2016-10-13","description":"","custom_fields":[{"id":1,"name":"Subdivision","value":"EC"},{"id":4,"name":"Milepost","value":"0.0149"},{"id":17,"name":"Train ID","value":"200-13"},{"id":16,"name":"Locomotive ID","value":"4026"},{"id":130,"name":"Impact","value":""},{"id":150,"name":"Time of Event (Mountain Time)","value":"17:34:57"},{"id":151,"name":"Denver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539</v>
      </c>
      <c r="B114" s="7">
        <v>4042</v>
      </c>
      <c r="C114" s="22" t="s">
        <v>99</v>
      </c>
      <c r="D114" s="22" t="s">
        <v>663</v>
      </c>
      <c r="E114" s="13">
        <v>42656.671296296299</v>
      </c>
      <c r="F114" s="13">
        <v>42656.677430555559</v>
      </c>
      <c r="G114" s="7">
        <v>1</v>
      </c>
      <c r="H114" s="13" t="s">
        <v>664</v>
      </c>
      <c r="I114" s="13">
        <v>42656.702731481484</v>
      </c>
      <c r="J114" s="7">
        <v>1</v>
      </c>
      <c r="K114" s="112" t="str">
        <f>IF(ISEVEN(B114),(B114-1)&amp;"/"&amp;B114,B114&amp;"/"&amp;(B114+1))</f>
        <v>4041/4042</v>
      </c>
      <c r="L114" s="22" t="str">
        <f>VLOOKUP(A114,'Trips&amp;Operators'!$C$1:$E$10000,3,FALSE)</f>
        <v>BONDS</v>
      </c>
      <c r="M114" s="6">
        <f>I114-F114</f>
        <v>2.5300925924966577E-2</v>
      </c>
      <c r="N114" s="7">
        <f>24*60*SUM($M114:$M114)</f>
        <v>36.433333331951872</v>
      </c>
      <c r="O114" s="7"/>
      <c r="P114" s="7"/>
      <c r="Q114" s="23"/>
      <c r="R114" s="23"/>
      <c r="S114" s="35">
        <f>SUM(U114:U114)/IF(AG114="EC",12,1)</f>
        <v>1</v>
      </c>
      <c r="T114" s="50" t="str">
        <f>IF(ISEVEN(LEFT(AD114,4)),"Southbound","NorthBound")</f>
        <v>NorthBound</v>
      </c>
      <c r="U114" s="144">
        <f>IF(AG114="EC",COUNTIFS(Variables!$M$2:$M$19,IF(T114="NorthBound","&gt;=","&lt;=")&amp;Y114,Variables!$M$2:$M$19,IF(T114="NorthBound","&lt;=","&gt;=")&amp;Z114),COUNTIFS(Variables!$P$2:$P$19,IF(T114="NorthBound","&gt;=","&lt;=")&amp;Y114,Variables!$P$2:$P$19,IF(T114="NorthBound","&lt;=","&gt;=")&amp;Z114))</f>
        <v>12</v>
      </c>
      <c r="V114" s="98" t="str">
        <f>"https://search-rtdc-monitor-bjffxe2xuh6vdkpspy63sjmuny.us-east-1.es.amazonaws.com/_plugin/kibana/#/discover/Steve-Slow-Train-Analysis-(2080s-and-2083s)?_g=(refreshInterval:(display:Off,section:0,value:0),time:(from:'"&amp;TEXT(E114-1/24,"yyyy-MM-DD hh:mm:ss")&amp;"-0600',mode:absolute,to:'"&amp;TEXT(I114+1/24,"yyyy-MM-DD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114&amp;"%22')),sort:!(Time,asc))"</f>
        <v>https://search-rtdc-monitor-bjffxe2xuh6vdkpspy63sjmuny.us-east-1.es.amazonaws.com/_plugin/kibana/#/discover/Steve-Slow-Train-Analysis-(2080s-and-2083s)?_g=(refreshInterval:(display:Off,section:0,value:0),time:(from:'2016-10-13 15:06:40-0600',mode:absolute,to:'2016-10-13 17:51: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14" s="52" t="str">
        <f>IF(AA114&lt;IF(AG114="EC",23,5.65),"Y","N")</f>
        <v>N</v>
      </c>
      <c r="X114" s="149">
        <f>VALUE(LEFT(AD114,4))-VALUE(LEFT(AD113,4))</f>
        <v>1</v>
      </c>
      <c r="Y114" s="67">
        <f>RIGHT(D114,LEN(D114)-4)/10000</f>
        <v>4.7300000000000002E-2</v>
      </c>
      <c r="Z114" s="67">
        <f>RIGHT(H114,LEN(H114)-4)/10000</f>
        <v>23.331499999999998</v>
      </c>
      <c r="AA114" s="67">
        <f>ABS(Z114-Y114)</f>
        <v>23.284199999999998</v>
      </c>
      <c r="AB114" s="64" t="e">
        <f>VLOOKUP(A114,Enforcements!$C$7:$K$21,8,0)</f>
        <v>#N/A</v>
      </c>
      <c r="AC114" s="60" t="e">
        <f>VLOOKUP(A114,Enforcements!$C$7:$E$21,3,0)</f>
        <v>#N/A</v>
      </c>
      <c r="AD114" s="61" t="str">
        <f>IF(LEN(A114)=6,"0"&amp;A114,A114)</f>
        <v>0201-13</v>
      </c>
      <c r="AE114" s="91" t="str">
        <f>"aws s3 cp "&amp;s3_bucket&amp;"/RTDC"&amp;B114&amp;"/ "&amp;search_path&amp;"\RTDC"&amp;B114&amp;"\"&amp;TEXT(F114,"YYYY-MM-DD")&amp;" --exclude ""*"" --recursive --include ""*"&amp;TEXT(F114,"YYYYMMDD")&amp;"*"" &amp; """&amp;walkandungz&amp;""" "&amp;search_path&amp;"\RTDC"&amp;B114&amp;"\"&amp;TEXT(F114,"YYYY-MM-DD")
&amp;" &amp; "&amp;"aws s3 cp "&amp;s3_bucket&amp;"/RTDC"&amp;B114&amp;"/ "&amp;search_path&amp;"\RTDC"&amp;B114&amp;"\"&amp;TEXT(F114+1,"YYYY-MM-DD")&amp;" --exclude ""*"" --recursive --include ""*"&amp;TEXT(F114+1,"YYYYMMDD")&amp;"*"" &amp; """&amp;walkandungz&amp;""" "&amp;search_path&amp;"\RTDC"&amp;B114&amp;"\"&amp;TEXT(F114+1,"YYYY-MM-DD")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14" s="88" t="str">
        <f>astrogrep_path&amp;" /spath="&amp;search_path&amp;" /stypes=""app*"&amp;B114&amp;"*"&amp;TEXT(I114-utc_offset/24,"YYYYMMDD")&amp;"*"" /stext="" "&amp;TEXT(I114-utc_offset/24,"HH")&amp;search_regexp&amp;""" /e /r /s"</f>
        <v>"C:\Program Files (x86)\AstroGrep\AstroGrep.exe" /spath="%USERPROFILE%\AppData\Local\Temp\OnboardLogs" /stypes="app*4042*20161013*" /stext=" 22:.+((SYSTEM_STATE.+slice.+state.+changed )|(ment ac)|(system.+state.+changed )|(\[timeout)|(PRM\|1\|D)|(kpr)|(kdp)|(\|lc)|(penalty))" /e /r /s</v>
      </c>
      <c r="AG114" s="1" t="str">
        <f>IFERROR(IF(VALUE(LEFT(AD114,2))&lt;=2,"EC",IF(OR(VALUE(LEFT(AD114,2))=8,VALUE(LEFT(AD114,2))=18),"NW","Other")),"Other")</f>
        <v>EC</v>
      </c>
      <c r="AH114" s="92" t="str">
        <f t="shared" si="6"/>
        <v>"%USERPROFILE%\Documents\GitHub\eaglep3\Utilities\RefineRTDCRunTimes.py" --tripid 201-13 --locoid 4042 --swversion DE.1.0.7.0 --startMP 204:473 --initTime 2016-10-13T16:06:40 --startdatetime 2016-10-13T16:15:30 --delay 1 --endMP 204:233315 --enddatetime 2016-10-13T16:51:56 --enforcementcount 1 &gt;&gt;C:\Users\stu\Documents\GitHub\eaglep3-reporting\EC\2016-10-13-refined-times.txt</v>
      </c>
      <c r="AI114" s="122" t="str">
        <f t="shared" si="7"/>
        <v>echo {"issue":{"subject":"","project_id":79,"tracker_id":40,"status_id":1,"priority_id":2,"assigned_to_id":23,"start_date":"2016-10-13","description":"","custom_fields":[{"id":1,"name":"Subdivision","value":"EC"},{"id":4,"name":"Milepost","value":"23.3315"},{"id":17,"name":"Train ID","value":"201-13"},{"id":16,"name":"Locomotive ID","value":"4042"},{"id":130,"name":"Impact","value":""},{"id":150,"name":"Time of Event (Mountain Time)","value":"16:51:56"},{"id":151,"name":"Denver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549</v>
      </c>
      <c r="B115" s="7">
        <v>4041</v>
      </c>
      <c r="C115" s="22" t="s">
        <v>99</v>
      </c>
      <c r="D115" s="22" t="s">
        <v>309</v>
      </c>
      <c r="E115" s="13">
        <v>42656.707245370373</v>
      </c>
      <c r="F115" s="13">
        <v>42656.716157407405</v>
      </c>
      <c r="G115" s="7">
        <v>1</v>
      </c>
      <c r="H115" s="13" t="s">
        <v>291</v>
      </c>
      <c r="I115" s="13">
        <v>42656.744108796294</v>
      </c>
      <c r="J115" s="7">
        <v>1</v>
      </c>
      <c r="K115" s="112" t="str">
        <f>IF(ISEVEN(B115),(B115-1)&amp;"/"&amp;B115,B115&amp;"/"&amp;(B115+1))</f>
        <v>4041/4042</v>
      </c>
      <c r="L115" s="22" t="str">
        <f>VLOOKUP(A115,'Trips&amp;Operators'!$C$1:$E$10000,3,FALSE)</f>
        <v>BONDS</v>
      </c>
      <c r="M115" s="6">
        <f>I115-F115</f>
        <v>2.7951388889050577E-2</v>
      </c>
      <c r="N115" s="7">
        <f>24*60*SUM($M115:$M115)</f>
        <v>40.250000000232831</v>
      </c>
      <c r="O115" s="7"/>
      <c r="P115" s="7"/>
      <c r="Q115" s="23"/>
      <c r="R115" s="23"/>
      <c r="S115" s="35">
        <f>SUM(U115:U115)/IF(AG115="EC",12,1)</f>
        <v>1</v>
      </c>
      <c r="T115" s="50" t="str">
        <f>IF(ISEVEN(LEFT(AD115,4)),"Southbound","NorthBound")</f>
        <v>Southbound</v>
      </c>
      <c r="U115" s="144">
        <f>IF(AG115="EC",COUNTIFS(Variables!$M$2:$M$19,IF(T115="NorthBound","&gt;=","&lt;=")&amp;Y115,Variables!$M$2:$M$19,IF(T115="NorthBound","&lt;=","&gt;=")&amp;Z115),COUNTIFS(Variables!$P$2:$P$19,IF(T115="NorthBound","&gt;=","&lt;=")&amp;Y115,Variables!$P$2:$P$19,IF(T115="NorthBound","&lt;=","&gt;=")&amp;Z115))</f>
        <v>12</v>
      </c>
      <c r="V115" s="98" t="str">
        <f>"https://search-rtdc-monitor-bjffxe2xuh6vdkpspy63sjmuny.us-east-1.es.amazonaws.com/_plugin/kibana/#/discover/Steve-Slow-Train-Analysis-(2080s-and-2083s)?_g=(refreshInterval:(display:Off,section:0,value:0),time:(from:'"&amp;TEXT(E115-1/24,"yyyy-MM-DD hh:mm:ss")&amp;"-0600',mode:absolute,to:'"&amp;TEXT(I115+1/24,"yyyy-MM-DD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115&amp;"%22')),sort:!(Time,asc))"</f>
        <v>https://search-rtdc-monitor-bjffxe2xuh6vdkpspy63sjmuny.us-east-1.es.amazonaws.com/_plugin/kibana/#/discover/Steve-Slow-Train-Analysis-(2080s-and-2083s)?_g=(refreshInterval:(display:Off,section:0,value:0),time:(from:'2016-10-13 15:58:26-0600',mode:absolute,to:'2016-10-13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15" s="52" t="str">
        <f>IF(AA115&lt;IF(AG115="EC",23,5.65),"Y","N")</f>
        <v>N</v>
      </c>
      <c r="X115" s="149">
        <f>VALUE(LEFT(AD115,4))-VALUE(LEFT(AD114,4))</f>
        <v>1</v>
      </c>
      <c r="Y115" s="67">
        <f>RIGHT(D115,LEN(D115)-4)/10000</f>
        <v>23.299600000000002</v>
      </c>
      <c r="Z115" s="67">
        <f>RIGHT(H115,LEN(H115)-4)/10000</f>
        <v>1.3599999999999999E-2</v>
      </c>
      <c r="AA115" s="67">
        <f>ABS(Z115-Y115)</f>
        <v>23.286000000000001</v>
      </c>
      <c r="AB115" s="64" t="e">
        <f>VLOOKUP(A115,Enforcements!$C$7:$K$21,8,0)</f>
        <v>#N/A</v>
      </c>
      <c r="AC115" s="60" t="e">
        <f>VLOOKUP(A115,Enforcements!$C$7:$E$21,3,0)</f>
        <v>#N/A</v>
      </c>
      <c r="AD115" s="61" t="str">
        <f>IF(LEN(A115)=6,"0"&amp;A115,A115)</f>
        <v>0202-13</v>
      </c>
      <c r="AE115" s="91" t="str">
        <f>"aws s3 cp "&amp;s3_bucket&amp;"/RTDC"&amp;B115&amp;"/ "&amp;search_path&amp;"\RTDC"&amp;B115&amp;"\"&amp;TEXT(F115,"YYYY-MM-DD")&amp;" --exclude ""*"" --recursive --include ""*"&amp;TEXT(F115,"YYYYMMDD")&amp;"*"" &amp; """&amp;walkandungz&amp;""" "&amp;search_path&amp;"\RTDC"&amp;B115&amp;"\"&amp;TEXT(F115,"YYYY-MM-DD")
&amp;" &amp; "&amp;"aws s3 cp "&amp;s3_bucket&amp;"/RTDC"&amp;B115&amp;"/ "&amp;search_path&amp;"\RTDC"&amp;B115&amp;"\"&amp;TEXT(F115+1,"YYYY-MM-DD")&amp;" --exclude ""*"" --recursive --include ""*"&amp;TEXT(F115+1,"YYYYMMDD")&amp;"*"" &amp; """&amp;walkandungz&amp;""" "&amp;search_path&amp;"\RTDC"&amp;B115&amp;"\"&amp;TEXT(F115+1,"YYYY-MM-DD")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15" s="88" t="str">
        <f>astrogrep_path&amp;" /spath="&amp;search_path&amp;" /stypes=""app*"&amp;B115&amp;"*"&amp;TEXT(I115-utc_offset/24,"YYYYMMDD")&amp;"*"" /stext="" "&amp;TEXT(I115-utc_offset/24,"HH")&amp;search_regexp&amp;""" /e /r /s"</f>
        <v>"C:\Program Files (x86)\AstroGrep\AstroGrep.exe" /spath="%USERPROFILE%\AppData\Local\Temp\OnboardLogs" /stypes="app*4041*20161013*" /stext=" 23:.+((SYSTEM_STATE.+slice.+state.+changed )|(ment ac)|(system.+state.+changed )|(\[timeout)|(PRM\|1\|D)|(kpr)|(kdp)|(\|lc)|(penalty))" /e /r /s</v>
      </c>
      <c r="AG115" s="1" t="str">
        <f>IFERROR(IF(VALUE(LEFT(AD115,2))&lt;=2,"EC",IF(OR(VALUE(LEFT(AD115,2))=8,VALUE(LEFT(AD115,2))=18),"NW","Other")),"Other")</f>
        <v>EC</v>
      </c>
      <c r="AH115" s="92" t="str">
        <f t="shared" si="6"/>
        <v>"%USERPROFILE%\Documents\GitHub\eaglep3\Utilities\RefineRTDCRunTimes.py" --tripid 202-13 --locoid 4041 --swversion DE.1.0.7.0 --startMP 204:232996 --initTime 2016-10-13T16:58:26 --startdatetime 2016-10-13T17:11:16 --delay 1 --endMP 204:136 --enddatetime 2016-10-13T17:51:31 --enforcementcount 1 &gt;&gt;C:\Users\stu\Documents\GitHub\eaglep3-reporting\EC\2016-10-13-refined-times.txt</v>
      </c>
      <c r="AI115" s="122" t="str">
        <f t="shared" si="7"/>
        <v>echo {"issue":{"subject":"","project_id":79,"tracker_id":40,"status_id":1,"priority_id":2,"assigned_to_id":23,"start_date":"2016-10-13","description":"","custom_fields":[{"id":1,"name":"Subdivision","value":"EC"},{"id":4,"name":"Milepost","value":"0.0136"},{"id":17,"name":"Train ID","value":"202-13"},{"id":16,"name":"Locomotive ID","value":"4041"},{"id":130,"name":"Impact","value":""},{"id":150,"name":"Time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542</v>
      </c>
      <c r="B116" s="7">
        <v>4044</v>
      </c>
      <c r="C116" s="22" t="s">
        <v>99</v>
      </c>
      <c r="D116" s="22" t="s">
        <v>298</v>
      </c>
      <c r="E116" s="13">
        <v>42656.684814814813</v>
      </c>
      <c r="F116" s="13">
        <v>42656.687951388885</v>
      </c>
      <c r="G116" s="7">
        <v>1</v>
      </c>
      <c r="H116" s="13" t="s">
        <v>183</v>
      </c>
      <c r="I116" s="13">
        <v>42656.712037037039</v>
      </c>
      <c r="J116" s="7">
        <v>1</v>
      </c>
      <c r="K116" s="112" t="str">
        <f>IF(ISEVEN(B116),(B116-1)&amp;"/"&amp;B116,B116&amp;"/"&amp;(B116+1))</f>
        <v>4043/4044</v>
      </c>
      <c r="L116" s="22" t="str">
        <f>VLOOKUP(A116,'Trips&amp;Operators'!$C$1:$E$10000,3,FALSE)</f>
        <v>STAMBAUGH</v>
      </c>
      <c r="M116" s="6">
        <f>I116-F116</f>
        <v>2.4085648154141381E-2</v>
      </c>
      <c r="N116" s="7">
        <f>24*60*SUM($M116:$M116)</f>
        <v>34.683333341963589</v>
      </c>
      <c r="O116" s="7"/>
      <c r="P116" s="7"/>
      <c r="Q116" s="23"/>
      <c r="R116" s="23"/>
      <c r="S116" s="35">
        <f>SUM(U116:U116)/IF(AG116="EC",12,1)</f>
        <v>1</v>
      </c>
      <c r="T116" s="50" t="str">
        <f>IF(ISEVEN(LEFT(AD116,4)),"Southbound","NorthBound")</f>
        <v>NorthBound</v>
      </c>
      <c r="U116" s="144">
        <f>IF(AG116="EC",COUNTIFS(Variables!$M$2:$M$19,IF(T116="NorthBound","&gt;=","&lt;=")&amp;Y116,Variables!$M$2:$M$19,IF(T116="NorthBound","&lt;=","&gt;=")&amp;Z116),COUNTIFS(Variables!$P$2:$P$19,IF(T116="NorthBound","&gt;=","&lt;=")&amp;Y116,Variables!$P$2:$P$19,IF(T116="NorthBound","&lt;=","&gt;=")&amp;Z116))</f>
        <v>12</v>
      </c>
      <c r="V116" s="98" t="str">
        <f>"https://search-rtdc-monitor-bjffxe2xuh6vdkpspy63sjmuny.us-east-1.es.amazonaws.com/_plugin/kibana/#/discover/Steve-Slow-Train-Analysis-(2080s-and-2083s)?_g=(refreshInterval:(display:Off,section:0,value:0),time:(from:'"&amp;TEXT(E116-1/24,"yyyy-MM-DD hh:mm:ss")&amp;"-0600',mode:absolute,to:'"&amp;TEXT(I116+1/24,"yyyy-MM-DD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116&amp;"%22')),sort:!(Time,asc))"</f>
        <v>https://search-rtdc-monitor-bjffxe2xuh6vdkpspy63sjmuny.us-east-1.es.amazonaws.com/_plugin/kibana/#/discover/Steve-Slow-Train-Analysis-(2080s-and-2083s)?_g=(refreshInterval:(display:Off,section:0,value:0),time:(from:'2016-10-13 15:26:08-0600',mode:absolute,to:'2016-10-13 18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16" s="52" t="str">
        <f>IF(AA116&lt;IF(AG116="EC",23,5.65),"Y","N")</f>
        <v>N</v>
      </c>
      <c r="X116" s="149">
        <f>VALUE(LEFT(AD116,4))-VALUE(LEFT(AD115,4))</f>
        <v>1</v>
      </c>
      <c r="Y116" s="67">
        <f>RIGHT(D116,LEN(D116)-4)/10000</f>
        <v>4.6199999999999998E-2</v>
      </c>
      <c r="Z116" s="67">
        <f>RIGHT(H116,LEN(H116)-4)/10000</f>
        <v>23.331199999999999</v>
      </c>
      <c r="AA116" s="67">
        <f>ABS(Z116-Y116)</f>
        <v>23.285</v>
      </c>
      <c r="AB116" s="64" t="e">
        <f>VLOOKUP(A116,Enforcements!$C$7:$K$21,8,0)</f>
        <v>#N/A</v>
      </c>
      <c r="AC116" s="60" t="e">
        <f>VLOOKUP(A116,Enforcements!$C$7:$E$21,3,0)</f>
        <v>#N/A</v>
      </c>
      <c r="AD116" s="61" t="str">
        <f>IF(LEN(A116)=6,"0"&amp;A116,A116)</f>
        <v>0203-13</v>
      </c>
      <c r="AE116" s="91" t="str">
        <f>"aws s3 cp "&amp;s3_bucket&amp;"/RTDC"&amp;B116&amp;"/ "&amp;search_path&amp;"\RTDC"&amp;B116&amp;"\"&amp;TEXT(F116,"YYYY-MM-DD")&amp;" --exclude ""*"" --recursive --include ""*"&amp;TEXT(F116,"YYYYMMDD")&amp;"*"" &amp; """&amp;walkandungz&amp;""" "&amp;search_path&amp;"\RTDC"&amp;B116&amp;"\"&amp;TEXT(F116,"YYYY-MM-DD")
&amp;" &amp; "&amp;"aws s3 cp "&amp;s3_bucket&amp;"/RTDC"&amp;B116&amp;"/ "&amp;search_path&amp;"\RTDC"&amp;B116&amp;"\"&amp;TEXT(F116+1,"YYYY-MM-DD")&amp;" --exclude ""*"" --recursive --include ""*"&amp;TEXT(F116+1,"YYYYMMDD")&amp;"*"" &amp; """&amp;walkandungz&amp;""" "&amp;search_path&amp;"\RTDC"&amp;B116&amp;"\"&amp;TEXT(F116+1,"YYYY-MM-DD")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16" s="88" t="str">
        <f>astrogrep_path&amp;" /spath="&amp;search_path&amp;" /stypes=""app*"&amp;B116&amp;"*"&amp;TEXT(I116-utc_offset/24,"YYYYMMDD")&amp;"*"" /stext="" "&amp;TEXT(I116-utc_offset/24,"HH")&amp;search_regexp&amp;""" /e /r /s"</f>
        <v>"C:\Program Files (x86)\AstroGrep\AstroGrep.exe" /spath="%USERPROFILE%\AppData\Local\Temp\OnboardLogs" /stypes="app*4044*20161013*" /stext=" 23:.+((SYSTEM_STATE.+slice.+state.+changed )|(ment ac)|(system.+state.+changed )|(\[timeout)|(PRM\|1\|D)|(kpr)|(kdp)|(\|lc)|(penalty))" /e /r /s</v>
      </c>
      <c r="AG116" s="1" t="str">
        <f>IFERROR(IF(VALUE(LEFT(AD116,2))&lt;=2,"EC",IF(OR(VALUE(LEFT(AD116,2))=8,VALUE(LEFT(AD116,2))=18),"NW","Other")),"Other")</f>
        <v>EC</v>
      </c>
      <c r="AH116" s="92" t="str">
        <f t="shared" si="6"/>
        <v>"%USERPROFILE%\Documents\GitHub\eaglep3\Utilities\RefineRTDCRunTimes.py" --tripid 203-13 --locoid 4044 --swversion DE.1.0.7.0 --startMP 204:462 --initTime 2016-10-13T16:26:08 --startdatetime 2016-10-13T16:30:39 --delay 1 --endMP 204:233312 --enddatetime 2016-10-13T17:05:20 --enforcementcount 1 &gt;&gt;C:\Users\stu\Documents\GitHub\eaglep3-reporting\EC\2016-10-13-refined-times.txt</v>
      </c>
      <c r="AI116" s="122" t="str">
        <f t="shared" si="7"/>
        <v>echo {"issue":{"subject":"","project_id":79,"tracker_id":40,"status_id":1,"priority_id":2,"assigned_to_id":23,"start_date":"2016-10-13","description":"","custom_fields":[{"id":1,"name":"Subdivision","value":"EC"},{"id":4,"name":"Milepost","value":"23.3312"},{"id":17,"name":"Train ID","value":"203-13"},{"id":16,"name":"Locomotive ID","value":"4044"},{"id":130,"name":"Impact","value":""},{"id":150,"name":"Time of Event (Mountain Time)","value":"17:05:20"},{"id":151,"name":"Denver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x14ac:dyDescent="0.25">
      <c r="A117" s="37" t="s">
        <v>412</v>
      </c>
      <c r="B117" s="7">
        <v>4043</v>
      </c>
      <c r="C117" s="22" t="s">
        <v>99</v>
      </c>
      <c r="D117" s="22" t="s">
        <v>272</v>
      </c>
      <c r="E117" s="13">
        <v>42656.723692129628</v>
      </c>
      <c r="F117" s="13">
        <v>42656.726631944446</v>
      </c>
      <c r="G117" s="7">
        <v>1</v>
      </c>
      <c r="H117" s="13" t="s">
        <v>268</v>
      </c>
      <c r="I117" s="13">
        <v>42656.75476851852</v>
      </c>
      <c r="J117" s="7">
        <v>1</v>
      </c>
      <c r="K117" s="112" t="str">
        <f>IF(ISEVEN(B117),(B117-1)&amp;"/"&amp;B117,B117&amp;"/"&amp;(B117+1))</f>
        <v>4043/4044</v>
      </c>
      <c r="L117" s="22" t="str">
        <f>VLOOKUP(A117,'Trips&amp;Operators'!$C$1:$E$10000,3,FALSE)</f>
        <v>STAMBAUGH</v>
      </c>
      <c r="M117" s="6">
        <f>I117-F117</f>
        <v>2.8136574073869269E-2</v>
      </c>
      <c r="N117" s="7">
        <f>24*60*SUM($M117:$M117)</f>
        <v>40.516666666371748</v>
      </c>
      <c r="O117" s="7"/>
      <c r="P117" s="7"/>
      <c r="Q117" s="23"/>
      <c r="R117" s="23"/>
      <c r="S117" s="35">
        <f>SUM(U117:U117)/IF(AG117="EC",12,1)</f>
        <v>1</v>
      </c>
      <c r="T117" s="50" t="str">
        <f>IF(ISEVEN(LEFT(AD117,4)),"Southbound","NorthBound")</f>
        <v>Southbound</v>
      </c>
      <c r="U117" s="144">
        <f>IF(AG117="EC",COUNTIFS(Variables!$M$2:$M$19,IF(T117="NorthBound","&gt;=","&lt;=")&amp;Y117,Variables!$M$2:$M$19,IF(T117="NorthBound","&lt;=","&gt;=")&amp;Z117),COUNTIFS(Variables!$P$2:$P$19,IF(T117="NorthBound","&gt;=","&lt;=")&amp;Y117,Variables!$P$2:$P$19,IF(T117="NorthBound","&lt;=","&gt;=")&amp;Z117))</f>
        <v>12</v>
      </c>
      <c r="V117" s="98" t="str">
        <f>"https://search-rtdc-monitor-bjffxe2xuh6vdkpspy63sjmuny.us-east-1.es.amazonaws.com/_plugin/kibana/#/discover/Steve-Slow-Train-Analysis-(2080s-and-2083s)?_g=(refreshInterval:(display:Off,section:0,value:0),time:(from:'"&amp;TEXT(E117-1/24,"yyyy-MM-DD hh:mm:ss")&amp;"-0600',mode:absolute,to:'"&amp;TEXT(I117+1/24,"yyyy-MM-DD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117&amp;"%22')),sort:!(Time,asc))"</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17" s="52" t="str">
        <f>IF(AA117&lt;IF(AG117="EC",23,5.65),"Y","N")</f>
        <v>N</v>
      </c>
      <c r="X117" s="149">
        <f>VALUE(LEFT(AD117,4))-VALUE(LEFT(AD116,4))</f>
        <v>1</v>
      </c>
      <c r="Y117" s="67">
        <f>RIGHT(D117,LEN(D117)-4)/10000</f>
        <v>23.298999999999999</v>
      </c>
      <c r="Z117" s="67">
        <f>RIGHT(H117,LEN(H117)-4)/10000</f>
        <v>1.49E-2</v>
      </c>
      <c r="AA117" s="67">
        <f>ABS(Z117-Y117)</f>
        <v>23.284099999999999</v>
      </c>
      <c r="AB117" s="64" t="str">
        <f>VLOOKUP(A117,Enforcements!$C$7:$K$21,8,0)</f>
        <v>Speed (6)</v>
      </c>
      <c r="AC117" s="60" t="str">
        <f>VLOOKUP(A117,Enforcements!$C$7:$E$21,3,0)</f>
        <v>PERMANENT SPEED RESTRICTION</v>
      </c>
      <c r="AD117" s="61" t="str">
        <f>IF(LEN(A117)=6,"0"&amp;A117,A117)</f>
        <v>0204-13</v>
      </c>
      <c r="AE117" s="91" t="str">
        <f>"aws s3 cp "&amp;s3_bucket&amp;"/RTDC"&amp;B117&amp;"/ "&amp;search_path&amp;"\RTDC"&amp;B117&amp;"\"&amp;TEXT(F117,"YYYY-MM-DD")&amp;" --exclude ""*"" --recursive --include ""*"&amp;TEXT(F117,"YYYYMMDD")&amp;"*"" &amp; """&amp;walkandungz&amp;""" "&amp;search_path&amp;"\RTDC"&amp;B117&amp;"\"&amp;TEXT(F117,"YYYY-MM-DD")
&amp;" &amp; "&amp;"aws s3 cp "&amp;s3_bucket&amp;"/RTDC"&amp;B117&amp;"/ "&amp;search_path&amp;"\RTDC"&amp;B117&amp;"\"&amp;TEXT(F117+1,"YYYY-MM-DD")&amp;" --exclude ""*"" --recursive --include ""*"&amp;TEXT(F117+1,"YYYYMMDD")&amp;"*"" &amp; """&amp;walkandungz&amp;""" "&amp;search_path&amp;"\RTDC"&amp;B117&amp;"\"&amp;TEXT(F117+1,"YYYY-MM-DD")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17" s="88" t="str">
        <f>astrogrep_path&amp;" /spath="&amp;search_path&amp;" /stypes=""app*"&amp;B117&amp;"*"&amp;TEXT(I117-utc_offset/24,"YYYYMMDD")&amp;"*"" /stext="" "&amp;TEXT(I117-utc_offset/24,"HH")&amp;search_regexp&amp;""" /e /r /s"</f>
        <v>"C:\Program Files (x86)\AstroGrep\AstroGrep.exe" /spath="%USERPROFILE%\AppData\Local\Temp\OnboardLogs" /stypes="app*4043*20161014*" /stext=" 00:.+((SYSTEM_STATE.+slice.+state.+changed )|(ment ac)|(system.+state.+changed )|(\[timeout)|(PRM\|1\|D)|(kpr)|(kdp)|(\|lc)|(penalty))" /e /r /s</v>
      </c>
      <c r="AG117" s="1" t="str">
        <f>IFERROR(IF(VALUE(LEFT(AD117,2))&lt;=2,"EC",IF(OR(VALUE(LEFT(AD117,2))=8,VALUE(LEFT(AD117,2))=18),"NW","Other")),"Other")</f>
        <v>EC</v>
      </c>
      <c r="AH117" s="92" t="str">
        <f t="shared" si="6"/>
        <v>"%USERPROFILE%\Documents\GitHub\eaglep3\Utilities\RefineRTDCRunTimes.py" --tripid 204-13 --locoid 4043 --swversion DE.1.0.7.0 --startMP 204:232990 --initTime 2016-10-13T17:22:07 --startdatetime 2016-10-13T17:26:21 --delay 1 --endMP 204:149 --enddatetime 2016-10-13T18:06:52 --enforcementcount 1 &gt;&gt;C:\Users\stu\Documents\GitHub\eaglep3-reporting\EC\2016-10-13-refined-times.txt</v>
      </c>
      <c r="AI117" s="122" t="str">
        <f t="shared" si="7"/>
        <v>echo {"issue":{"subject":"","project_id":79,"tracker_id":40,"status_id":1,"priority_id":2,"assigned_to_id":23,"start_date":"2016-10-13","description":"","custom_fields":[{"id":1,"name":"Subdivision","value":"EC"},{"id":4,"name":"Milepost","value":"0.0149"},{"id":17,"name":"Train ID","value":"204-13"},{"id":16,"name":"Locomotive ID","value":"4043"},{"id":130,"name":"Impact","value":""},{"id":150,"name":"Time of Event (Mountain Time)","value":"18:06:52"},{"id":151,"name":"Denver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row>
    <row r="118" spans="1:91" s="21" customFormat="1" x14ac:dyDescent="0.25">
      <c r="A118" s="37" t="s">
        <v>546</v>
      </c>
      <c r="B118" s="7">
        <v>4018</v>
      </c>
      <c r="C118" s="22" t="s">
        <v>99</v>
      </c>
      <c r="D118" s="22" t="s">
        <v>665</v>
      </c>
      <c r="E118" s="13">
        <v>42656.696412037039</v>
      </c>
      <c r="F118" s="13">
        <v>42656.698321759257</v>
      </c>
      <c r="G118" s="7">
        <v>1</v>
      </c>
      <c r="H118" s="13" t="s">
        <v>320</v>
      </c>
      <c r="I118" s="13">
        <v>42656.723993055559</v>
      </c>
      <c r="J118" s="7">
        <v>1</v>
      </c>
      <c r="K118" s="112" t="str">
        <f>IF(ISEVEN(B118),(B118-1)&amp;"/"&amp;B118,B118&amp;"/"&amp;(B118+1))</f>
        <v>4017/4018</v>
      </c>
      <c r="L118" s="22" t="str">
        <f>VLOOKUP(A118,'Trips&amp;Operators'!$C$1:$E$10000,3,FALSE)</f>
        <v>MOSES</v>
      </c>
      <c r="M118" s="6">
        <f>I118-F118</f>
        <v>2.567129630187992E-2</v>
      </c>
      <c r="N118" s="7">
        <f>24*60*SUM($M118:$M118)</f>
        <v>36.966666674707085</v>
      </c>
      <c r="O118" s="7"/>
      <c r="P118" s="7"/>
      <c r="Q118" s="23"/>
      <c r="R118" s="23"/>
      <c r="S118" s="35">
        <f>SUM(U118:U118)/IF(AG118="EC",12,1)</f>
        <v>1</v>
      </c>
      <c r="T118" s="50" t="str">
        <f>IF(ISEVEN(LEFT(AD118,4)),"Southbound","NorthBound")</f>
        <v>NorthBound</v>
      </c>
      <c r="U118" s="144">
        <f>IF(AG118="EC",COUNTIFS(Variables!$M$2:$M$19,IF(T118="NorthBound","&gt;=","&lt;=")&amp;Y118,Variables!$M$2:$M$19,IF(T118="NorthBound","&lt;=","&gt;=")&amp;Z118),COUNTIFS(Variables!$P$2:$P$19,IF(T118="NorthBound","&gt;=","&lt;=")&amp;Y118,Variables!$P$2:$P$19,IF(T118="NorthBound","&lt;=","&gt;=")&amp;Z118))</f>
        <v>12</v>
      </c>
      <c r="V118" s="98" t="str">
        <f>"https://search-rtdc-monitor-bjffxe2xuh6vdkpspy63sjmuny.us-east-1.es.amazonaws.com/_plugin/kibana/#/discover/Steve-Slow-Train-Analysis-(2080s-and-2083s)?_g=(refreshInterval:(display:Off,section:0,value:0),time:(from:'"&amp;TEXT(E118-1/24,"yyyy-MM-DD hh:mm:ss")&amp;"-0600',mode:absolute,to:'"&amp;TEXT(I118+1/24,"yyyy-MM-DD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118&amp;"%22')),sort:!(Time,asc))"</f>
        <v>https://search-rtdc-monitor-bjffxe2xuh6vdkpspy63sjmuny.us-east-1.es.amazonaws.com/_plugin/kibana/#/discover/Steve-Slow-Train-Analysis-(2080s-and-2083s)?_g=(refreshInterval:(display:Off,section:0,value:0),time:(from:'2016-10-13 15:42:50-0600',mode:absolute,to:'2016-10-13 18: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8" s="52" t="str">
        <f>IF(AA118&lt;IF(AG118="EC",23,5.65),"Y","N")</f>
        <v>N</v>
      </c>
      <c r="X118" s="149">
        <f>VALUE(LEFT(AD118,4))-VALUE(LEFT(AD117,4))</f>
        <v>1</v>
      </c>
      <c r="Y118" s="67">
        <f>RIGHT(D118,LEN(D118)-4)/10000</f>
        <v>5.0200000000000002E-2</v>
      </c>
      <c r="Z118" s="67">
        <f>RIGHT(H118,LEN(H118)-4)/10000</f>
        <v>23.3306</v>
      </c>
      <c r="AA118" s="67">
        <f>ABS(Z118-Y118)</f>
        <v>23.2804</v>
      </c>
      <c r="AB118" s="64" t="e">
        <f>VLOOKUP(A118,Enforcements!$C$7:$K$21,8,0)</f>
        <v>#N/A</v>
      </c>
      <c r="AC118" s="60" t="e">
        <f>VLOOKUP(A118,Enforcements!$C$7:$E$21,3,0)</f>
        <v>#N/A</v>
      </c>
      <c r="AD118" s="61" t="str">
        <f>IF(LEN(A118)=6,"0"&amp;A118,A118)</f>
        <v>0205-13</v>
      </c>
      <c r="AE118" s="91" t="str">
        <f>"aws s3 cp "&amp;s3_bucket&amp;"/RTDC"&amp;B118&amp;"/ "&amp;search_path&amp;"\RTDC"&amp;B118&amp;"\"&amp;TEXT(F118,"YYYY-MM-DD")&amp;" --exclude ""*"" --recursive --include ""*"&amp;TEXT(F118,"YYYYMMDD")&amp;"*"" &amp; """&amp;walkandungz&amp;""" "&amp;search_path&amp;"\RTDC"&amp;B118&amp;"\"&amp;TEXT(F118,"YYYY-MM-DD")
&amp;" &amp; "&amp;"aws s3 cp "&amp;s3_bucket&amp;"/RTDC"&amp;B118&amp;"/ "&amp;search_path&amp;"\RTDC"&amp;B118&amp;"\"&amp;TEXT(F118+1,"YYYY-MM-DD")&amp;" --exclude ""*"" --recursive --include ""*"&amp;TEXT(F118+1,"YYYYMMDD")&amp;"*"" &amp; """&amp;walkandungz&amp;""" "&amp;search_path&amp;"\RTDC"&amp;B118&amp;"\"&amp;TEXT(F118+1,"YYYY-MM-DD")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18" s="88" t="str">
        <f>astrogrep_path&amp;" /spath="&amp;search_path&amp;" /stypes=""app*"&amp;B118&amp;"*"&amp;TEXT(I118-utc_offset/24,"YYYYMMDD")&amp;"*"" /stext="" "&amp;TEXT(I118-utc_offset/24,"HH")&amp;search_regexp&amp;""" /e /r /s"</f>
        <v>"C:\Program Files (x86)\AstroGrep\AstroGrep.exe" /spath="%USERPROFILE%\AppData\Local\Temp\OnboardLogs" /stypes="app*4018*20161013*" /stext=" 23:.+((SYSTEM_STATE.+slice.+state.+changed )|(ment ac)|(system.+state.+changed )|(\[timeout)|(PRM\|1\|D)|(kpr)|(kdp)|(\|lc)|(penalty))" /e /r /s</v>
      </c>
      <c r="AG118" s="1" t="str">
        <f>IFERROR(IF(VALUE(LEFT(AD118,2))&lt;=2,"EC",IF(OR(VALUE(LEFT(AD118,2))=8,VALUE(LEFT(AD118,2))=18),"NW","Other")),"Other")</f>
        <v>EC</v>
      </c>
      <c r="AH118" s="92" t="str">
        <f t="shared" si="6"/>
        <v>"%USERPROFILE%\Documents\GitHub\eaglep3\Utilities\RefineRTDCRunTimes.py" --tripid 205-13 --locoid 4018 --swversion DE.1.0.7.0 --startMP 204:502 --initTime 2016-10-13T16:42:50 --startdatetime 2016-10-13T16:45:35 --delay 1 --endMP 204:233306 --enddatetime 2016-10-13T17:22:33 --enforcementcount 1 &gt;&gt;C:\Users\stu\Documents\GitHub\eaglep3-reporting\EC\2016-10-13-refined-times.txt</v>
      </c>
      <c r="AI118" s="122" t="str">
        <f t="shared" si="7"/>
        <v>echo {"issue":{"subject":"","project_id":79,"tracker_id":40,"status_id":1,"priority_id":2,"assigned_to_id":23,"start_date":"2016-10-13","description":"","custom_fields":[{"id":1,"name":"Subdivision","value":"EC"},{"id":4,"name":"Milepost","value":"23.3306"},{"id":17,"name":"Train ID","value":"205-13"},{"id":16,"name":"Locomotive ID","value":"4018"},{"id":130,"name":"Impact","value":""},{"id":150,"name":"Time of Event (Mountain Time)","value":"17:22:33"},{"id":151,"name":"Denver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413</v>
      </c>
      <c r="B119" s="7">
        <v>4017</v>
      </c>
      <c r="C119" s="22" t="s">
        <v>99</v>
      </c>
      <c r="D119" s="22" t="s">
        <v>615</v>
      </c>
      <c r="E119" s="13">
        <v>42656.732465277775</v>
      </c>
      <c r="F119" s="13">
        <v>42656.737083333333</v>
      </c>
      <c r="G119" s="7">
        <v>1</v>
      </c>
      <c r="H119" s="13" t="s">
        <v>301</v>
      </c>
      <c r="I119" s="13">
        <v>42656.765648148146</v>
      </c>
      <c r="J119" s="7">
        <v>1</v>
      </c>
      <c r="K119" s="112" t="str">
        <f>IF(ISEVEN(B119),(B119-1)&amp;"/"&amp;B119,B119&amp;"/"&amp;(B119+1))</f>
        <v>4017/4018</v>
      </c>
      <c r="L119" s="22" t="str">
        <f>VLOOKUP(A119,'Trips&amp;Operators'!$C$1:$E$10000,3,FALSE)</f>
        <v>MOSES</v>
      </c>
      <c r="M119" s="6">
        <f>I119-F119</f>
        <v>2.8564814812853001E-2</v>
      </c>
      <c r="N119" s="7">
        <f>24*60*SUM($M119:$M119)</f>
        <v>41.133333330508322</v>
      </c>
      <c r="O119" s="7"/>
      <c r="P119" s="7"/>
      <c r="Q119" s="23"/>
      <c r="R119" s="23"/>
      <c r="S119" s="35">
        <f>SUM(U119:U119)/IF(AG119="EC",12,1)</f>
        <v>1</v>
      </c>
      <c r="T119" s="50" t="str">
        <f>IF(ISEVEN(LEFT(AD119,4)),"Southbound","NorthBound")</f>
        <v>Southbound</v>
      </c>
      <c r="U119" s="144">
        <f>IF(AG119="EC",COUNTIFS(Variables!$M$2:$M$19,IF(T119="NorthBound","&gt;=","&lt;=")&amp;Y119,Variables!$M$2:$M$19,IF(T119="NorthBound","&lt;=","&gt;=")&amp;Z119),COUNTIFS(Variables!$P$2:$P$19,IF(T119="NorthBound","&gt;=","&lt;=")&amp;Y119,Variables!$P$2:$P$19,IF(T119="NorthBound","&lt;=","&gt;=")&amp;Z119))</f>
        <v>12</v>
      </c>
      <c r="V119" s="98" t="str">
        <f>"https://search-rtdc-monitor-bjffxe2xuh6vdkpspy63sjmuny.us-east-1.es.amazonaws.com/_plugin/kibana/#/discover/Steve-Slow-Train-Analysis-(2080s-and-2083s)?_g=(refreshInterval:(display:Off,section:0,value:0),time:(from:'"&amp;TEXT(E119-1/24,"yyyy-MM-DD hh:mm:ss")&amp;"-0600',mode:absolute,to:'"&amp;TEXT(I119+1/24,"yyyy-MM-DD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119&amp;"%22')),sort:!(Time,asc))"</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9" s="52" t="str">
        <f>IF(AA119&lt;IF(AG119="EC",23,5.65),"Y","N")</f>
        <v>N</v>
      </c>
      <c r="X119" s="149">
        <f>VALUE(LEFT(AD119,4))-VALUE(LEFT(AD118,4))</f>
        <v>1</v>
      </c>
      <c r="Y119" s="67">
        <f>RIGHT(D119,LEN(D119)-4)/10000</f>
        <v>23.297699999999999</v>
      </c>
      <c r="Z119" s="67">
        <f>RIGHT(H119,LEN(H119)-4)/10000</f>
        <v>1.5800000000000002E-2</v>
      </c>
      <c r="AA119" s="67">
        <f>ABS(Z119-Y119)</f>
        <v>23.2819</v>
      </c>
      <c r="AB119" s="64" t="str">
        <f>VLOOKUP(A119,Enforcements!$C$7:$K$21,8,0)</f>
        <v>Speed (6)</v>
      </c>
      <c r="AC119" s="60" t="str">
        <f>VLOOKUP(A119,Enforcements!$C$7:$E$21,3,0)</f>
        <v>PERMANENT SPEED RESTRICTION</v>
      </c>
      <c r="AD119" s="61" t="str">
        <f>IF(LEN(A119)=6,"0"&amp;A119,A119)</f>
        <v>0206-13</v>
      </c>
      <c r="AE119" s="91" t="str">
        <f>"aws s3 cp "&amp;s3_bucket&amp;"/RTDC"&amp;B119&amp;"/ "&amp;search_path&amp;"\RTDC"&amp;B119&amp;"\"&amp;TEXT(F119,"YYYY-MM-DD")&amp;" --exclude ""*"" --recursive --include ""*"&amp;TEXT(F119,"YYYYMMDD")&amp;"*"" &amp; """&amp;walkandungz&amp;""" "&amp;search_path&amp;"\RTDC"&amp;B119&amp;"\"&amp;TEXT(F119,"YYYY-MM-DD")
&amp;" &amp; "&amp;"aws s3 cp "&amp;s3_bucket&amp;"/RTDC"&amp;B119&amp;"/ "&amp;search_path&amp;"\RTDC"&amp;B119&amp;"\"&amp;TEXT(F119+1,"YYYY-MM-DD")&amp;" --exclude ""*"" --recursive --include ""*"&amp;TEXT(F119+1,"YYYYMMDD")&amp;"*"" &amp; """&amp;walkandungz&amp;""" "&amp;search_path&amp;"\RTDC"&amp;B119&amp;"\"&amp;TEXT(F119+1,"YYYY-MM-DD")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19" s="88" t="str">
        <f>astrogrep_path&amp;" /spath="&amp;search_path&amp;" /stypes=""app*"&amp;B119&amp;"*"&amp;TEXT(I119-utc_offset/24,"YYYYMMDD")&amp;"*"" /stext="" "&amp;TEXT(I119-utc_offset/24,"HH")&amp;search_regexp&amp;""" /e /r /s"</f>
        <v>"C:\Program Files (x86)\AstroGrep\AstroGrep.exe" /spath="%USERPROFILE%\AppData\Local\Temp\OnboardLogs" /stypes="app*4017*20161014*" /stext=" 00:.+((SYSTEM_STATE.+slice.+state.+changed )|(ment ac)|(system.+state.+changed )|(\[timeout)|(PRM\|1\|D)|(kpr)|(kdp)|(\|lc)|(penalty))" /e /r /s</v>
      </c>
      <c r="AG119" s="1" t="str">
        <f>IFERROR(IF(VALUE(LEFT(AD119,2))&lt;=2,"EC",IF(OR(VALUE(LEFT(AD119,2))=8,VALUE(LEFT(AD119,2))=18),"NW","Other")),"Other")</f>
        <v>EC</v>
      </c>
      <c r="AH119" s="92" t="str">
        <f t="shared" si="6"/>
        <v>"%USERPROFILE%\Documents\GitHub\eaglep3\Utilities\RefineRTDCRunTimes.py" --tripid 206-13 --locoid 4017 --swversion DE.1.0.7.0 --startMP 204:232977 --initTime 2016-10-13T17:34:45 --startdatetime 2016-10-13T17:41:24 --delay 1 --endMP 204:158 --enddatetime 2016-10-13T18:22:32 --enforcementcount 1 &gt;&gt;C:\Users\stu\Documents\GitHub\eaglep3-reporting\EC\2016-10-13-refined-times.txt</v>
      </c>
      <c r="AI119" s="122" t="str">
        <f t="shared" si="7"/>
        <v>echo {"issue":{"subject":"","project_id":79,"tracker_id":40,"status_id":1,"priority_id":2,"assigned_to_id":23,"start_date":"2016-10-13","description":"","custom_fields":[{"id":1,"name":"Subdivision","value":"EC"},{"id":4,"name":"Milepost","value":"0.0158"},{"id":17,"name":"Train ID","value":"206-13"},{"id":16,"name":"Locomotive ID","value":"4017"},{"id":130,"name":"Impact","value":""},{"id":150,"name":"Time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548</v>
      </c>
      <c r="B120" s="7">
        <v>4014</v>
      </c>
      <c r="C120" s="22" t="s">
        <v>99</v>
      </c>
      <c r="D120" s="22" t="s">
        <v>293</v>
      </c>
      <c r="E120" s="13">
        <v>42656.702986111108</v>
      </c>
      <c r="F120" s="13">
        <v>42656.710578703707</v>
      </c>
      <c r="G120" s="7">
        <v>9</v>
      </c>
      <c r="H120" s="13" t="s">
        <v>269</v>
      </c>
      <c r="I120" s="13">
        <v>42656.735833333332</v>
      </c>
      <c r="J120" s="7">
        <v>1</v>
      </c>
      <c r="K120" s="112" t="str">
        <f>IF(ISEVEN(B120),(B120-1)&amp;"/"&amp;B120,B120&amp;"/"&amp;(B120+1))</f>
        <v>4013/4014</v>
      </c>
      <c r="L120" s="22" t="str">
        <f>VLOOKUP(A120,'Trips&amp;Operators'!$C$1:$E$10000,3,FALSE)</f>
        <v>NEWELL</v>
      </c>
      <c r="M120" s="6">
        <f>I120-F120</f>
        <v>2.5254629625123926E-2</v>
      </c>
      <c r="N120" s="7">
        <f>24*60*SUM($M120:$M120)</f>
        <v>36.366666660178453</v>
      </c>
      <c r="O120" s="7"/>
      <c r="P120" s="7"/>
      <c r="Q120" s="23"/>
      <c r="R120" s="23"/>
      <c r="S120" s="35">
        <f>SUM(U120:U120)/IF(AG120="EC",12,1)</f>
        <v>1</v>
      </c>
      <c r="T120" s="50" t="str">
        <f>IF(ISEVEN(LEFT(AD120,4)),"Southbound","NorthBound")</f>
        <v>NorthBound</v>
      </c>
      <c r="U120" s="144">
        <f>IF(AG120="EC",COUNTIFS(Variables!$M$2:$M$19,IF(T120="NorthBound","&gt;=","&lt;=")&amp;Y120,Variables!$M$2:$M$19,IF(T120="NorthBound","&lt;=","&gt;=")&amp;Z120),COUNTIFS(Variables!$P$2:$P$19,IF(T120="NorthBound","&gt;=","&lt;=")&amp;Y120,Variables!$P$2:$P$19,IF(T120="NorthBound","&lt;=","&gt;=")&amp;Z120))</f>
        <v>12</v>
      </c>
      <c r="V120" s="98" t="str">
        <f>"https://search-rtdc-monitor-bjffxe2xuh6vdkpspy63sjmuny.us-east-1.es.amazonaws.com/_plugin/kibana/#/discover/Steve-Slow-Train-Analysis-(2080s-and-2083s)?_g=(refreshInterval:(display:Off,section:0,value:0),time:(from:'"&amp;TEXT(E120-1/24,"yyyy-MM-DD hh:mm:ss")&amp;"-0600',mode:absolute,to:'"&amp;TEXT(I120+1/24,"yyyy-MM-DD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120&amp;"%22')),sort:!(Time,asc))"</f>
        <v>https://search-rtdc-monitor-bjffxe2xuh6vdkpspy63sjmuny.us-east-1.es.amazonaws.com/_plugin/kibana/#/discover/Steve-Slow-Train-Analysis-(2080s-and-2083s)?_g=(refreshInterval:(display:Off,section:0,value:0),time:(from:'2016-10-13 15:52:18-0600',mode:absolute,to:'2016-10-13 18:39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20" s="52" t="str">
        <f>IF(AA120&lt;IF(AG120="EC",23,5.65),"Y","N")</f>
        <v>N</v>
      </c>
      <c r="X120" s="149">
        <f>VALUE(LEFT(AD120,4))-VALUE(LEFT(AD119,4))</f>
        <v>1</v>
      </c>
      <c r="Y120" s="67">
        <f>RIGHT(D120,LEN(D120)-4)/10000</f>
        <v>4.4900000000000002E-2</v>
      </c>
      <c r="Z120" s="67">
        <f>RIGHT(H120,LEN(H120)-4)/10000</f>
        <v>23.3293</v>
      </c>
      <c r="AA120" s="67">
        <f>ABS(Z120-Y120)</f>
        <v>23.284400000000002</v>
      </c>
      <c r="AB120" s="64" t="e">
        <f>VLOOKUP(A120,Enforcements!$C$7:$K$21,8,0)</f>
        <v>#N/A</v>
      </c>
      <c r="AC120" s="60" t="e">
        <f>VLOOKUP(A120,Enforcements!$C$7:$E$21,3,0)</f>
        <v>#N/A</v>
      </c>
      <c r="AD120" s="61" t="str">
        <f>IF(LEN(A120)=6,"0"&amp;A120,A120)</f>
        <v>0207-13</v>
      </c>
      <c r="AE120" s="91" t="str">
        <f>"aws s3 cp "&amp;s3_bucket&amp;"/RTDC"&amp;B120&amp;"/ "&amp;search_path&amp;"\RTDC"&amp;B120&amp;"\"&amp;TEXT(F120,"YYYY-MM-DD")&amp;" --exclude ""*"" --recursive --include ""*"&amp;TEXT(F120,"YYYYMMDD")&amp;"*"" &amp; """&amp;walkandungz&amp;""" "&amp;search_path&amp;"\RTDC"&amp;B120&amp;"\"&amp;TEXT(F120,"YYYY-MM-DD")
&amp;" &amp; "&amp;"aws s3 cp "&amp;s3_bucket&amp;"/RTDC"&amp;B120&amp;"/ "&amp;search_path&amp;"\RTDC"&amp;B120&amp;"\"&amp;TEXT(F120+1,"YYYY-MM-DD")&amp;" --exclude ""*"" --recursive --include ""*"&amp;TEXT(F120+1,"YYYYMMDD")&amp;"*"" &amp; """&amp;walkandungz&amp;""" "&amp;search_path&amp;"\RTDC"&amp;B120&amp;"\"&amp;TEXT(F120+1,"YYYY-MM-DD")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20" s="88" t="str">
        <f>astrogrep_path&amp;" /spath="&amp;search_path&amp;" /stypes=""app*"&amp;B120&amp;"*"&amp;TEXT(I120-utc_offset/24,"YYYYMMDD")&amp;"*"" /stext="" "&amp;TEXT(I120-utc_offset/24,"HH")&amp;search_regexp&amp;""" /e /r /s"</f>
        <v>"C:\Program Files (x86)\AstroGrep\AstroGrep.exe" /spath="%USERPROFILE%\AppData\Local\Temp\OnboardLogs" /stypes="app*4014*20161013*" /stext=" 23:.+((SYSTEM_STATE.+slice.+state.+changed )|(ment ac)|(system.+state.+changed )|(\[timeout)|(PRM\|1\|D)|(kpr)|(kdp)|(\|lc)|(penalty))" /e /r /s</v>
      </c>
      <c r="AG120" s="1" t="str">
        <f>IFERROR(IF(VALUE(LEFT(AD120,2))&lt;=2,"EC",IF(OR(VALUE(LEFT(AD120,2))=8,VALUE(LEFT(AD120,2))=18),"NW","Other")),"Other")</f>
        <v>EC</v>
      </c>
      <c r="AH120" s="92" t="str">
        <f t="shared" si="6"/>
        <v>"%USERPROFILE%\Documents\GitHub\eaglep3\Utilities\RefineRTDCRunTimes.py" --tripid 207-13 --locoid 4014 --swversion DE.1.0.7.0 --startMP 204:449 --initTime 2016-10-13T16:52:18 --startdatetime 2016-10-13T17:03:14 --delay 9 --endMP 204:233293 --enddatetime 2016-10-13T17:39:36 --enforcementcount 1 &gt;&gt;C:\Users\stu\Documents\GitHub\eaglep3-reporting\EC\2016-10-13-refined-times.txt</v>
      </c>
      <c r="AI120" s="122" t="str">
        <f t="shared" si="7"/>
        <v>echo {"issue":{"subject":"","project_id":79,"tracker_id":40,"status_id":1,"priority_id":2,"assigned_to_id":23,"start_date":"2016-10-13","description":"","custom_fields":[{"id":1,"name":"Subdivision","value":"EC"},{"id":4,"name":"Milepost","value":"23.3293"},{"id":17,"name":"Train ID","value":"207-13"},{"id":16,"name":"Locomotive ID","value":"4014"},{"id":130,"name":"Impact","value":""},{"id":150,"name":"Time of Event (Mountain Time)","value":"17:39:36"},{"id":151,"name":"Denver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556</v>
      </c>
      <c r="B121" s="7">
        <v>4013</v>
      </c>
      <c r="C121" s="22" t="s">
        <v>99</v>
      </c>
      <c r="D121" s="22" t="s">
        <v>666</v>
      </c>
      <c r="E121" s="13">
        <v>42656.737303240741</v>
      </c>
      <c r="F121" s="13">
        <v>42656.747384259259</v>
      </c>
      <c r="G121" s="7">
        <v>1</v>
      </c>
      <c r="H121" s="13" t="s">
        <v>619</v>
      </c>
      <c r="I121" s="13">
        <v>42656.775775462964</v>
      </c>
      <c r="J121" s="7">
        <v>1</v>
      </c>
      <c r="K121" s="112" t="str">
        <f>IF(ISEVEN(B121),(B121-1)&amp;"/"&amp;B121,B121&amp;"/"&amp;(B121+1))</f>
        <v>4013/4014</v>
      </c>
      <c r="L121" s="22" t="str">
        <f>VLOOKUP(A121,'Trips&amp;Operators'!$C$1:$E$10000,3,FALSE)</f>
        <v>NEWELL</v>
      </c>
      <c r="M121" s="6">
        <f>I121-F121</f>
        <v>2.8391203704813961E-2</v>
      </c>
      <c r="N121" s="7">
        <f>24*60*SUM($M121:$M121)</f>
        <v>40.883333334932104</v>
      </c>
      <c r="O121" s="7"/>
      <c r="P121" s="7"/>
      <c r="Q121" s="23"/>
      <c r="R121" s="23"/>
      <c r="S121" s="35">
        <f>SUM(U121:U121)/IF(AG121="EC",12,1)</f>
        <v>1</v>
      </c>
      <c r="T121" s="50" t="str">
        <f>IF(ISEVEN(LEFT(AD121,4)),"Southbound","NorthBound")</f>
        <v>Southbound</v>
      </c>
      <c r="U121" s="144">
        <f>IF(AG121="EC",COUNTIFS(Variables!$M$2:$M$19,IF(T121="NorthBound","&gt;=","&lt;=")&amp;Y121,Variables!$M$2:$M$19,IF(T121="NorthBound","&lt;=","&gt;=")&amp;Z121),COUNTIFS(Variables!$P$2:$P$19,IF(T121="NorthBound","&gt;=","&lt;=")&amp;Y121,Variables!$P$2:$P$19,IF(T121="NorthBound","&lt;=","&gt;=")&amp;Z121))</f>
        <v>12</v>
      </c>
      <c r="V121" s="98" t="str">
        <f>"https://search-rtdc-monitor-bjffxe2xuh6vdkpspy63sjmuny.us-east-1.es.amazonaws.com/_plugin/kibana/#/discover/Steve-Slow-Train-Analysis-(2080s-and-2083s)?_g=(refreshInterval:(display:Off,section:0,value:0),time:(from:'"&amp;TEXT(E121-1/24,"yyyy-MM-DD hh:mm:ss")&amp;"-0600',mode:absolute,to:'"&amp;TEXT(I121+1/24,"yyyy-MM-DD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121&amp;"%22')),sort:!(Time,asc))"</f>
        <v>https://search-rtdc-monitor-bjffxe2xuh6vdkpspy63sjmuny.us-east-1.es.amazonaws.com/_plugin/kibana/#/discover/Steve-Slow-Train-Analysis-(2080s-and-2083s)?_g=(refreshInterval:(display:Off,section:0,value:0),time:(from:'2016-10-13 16:41:43-0600',mode:absolute,to:'2016-10-13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21" s="52" t="str">
        <f>IF(AA121&lt;IF(AG121="EC",23,5.65),"Y","N")</f>
        <v>N</v>
      </c>
      <c r="X121" s="149">
        <f>VALUE(LEFT(AD121,4))-VALUE(LEFT(AD120,4))</f>
        <v>1</v>
      </c>
      <c r="Y121" s="67">
        <f>RIGHT(D121,LEN(D121)-4)/10000</f>
        <v>23.2971</v>
      </c>
      <c r="Z121" s="67">
        <f>RIGHT(H121,LEN(H121)-4)/10000</f>
        <v>1.5599999999999999E-2</v>
      </c>
      <c r="AA121" s="67">
        <f>ABS(Z121-Y121)</f>
        <v>23.281500000000001</v>
      </c>
      <c r="AB121" s="64" t="e">
        <f>VLOOKUP(A121,Enforcements!$C$7:$K$21,8,0)</f>
        <v>#N/A</v>
      </c>
      <c r="AC121" s="60" t="e">
        <f>VLOOKUP(A121,Enforcements!$C$7:$E$21,3,0)</f>
        <v>#N/A</v>
      </c>
      <c r="AD121" s="61" t="str">
        <f>IF(LEN(A121)=6,"0"&amp;A121,A121)</f>
        <v>0208-13</v>
      </c>
      <c r="AE121" s="91" t="str">
        <f>"aws s3 cp "&amp;s3_bucket&amp;"/RTDC"&amp;B121&amp;"/ "&amp;search_path&amp;"\RTDC"&amp;B121&amp;"\"&amp;TEXT(F121,"YYYY-MM-DD")&amp;" --exclude ""*"" --recursive --include ""*"&amp;TEXT(F121,"YYYYMMDD")&amp;"*"" &amp; """&amp;walkandungz&amp;""" "&amp;search_path&amp;"\RTDC"&amp;B121&amp;"\"&amp;TEXT(F121,"YYYY-MM-DD")
&amp;" &amp; "&amp;"aws s3 cp "&amp;s3_bucket&amp;"/RTDC"&amp;B121&amp;"/ "&amp;search_path&amp;"\RTDC"&amp;B121&amp;"\"&amp;TEXT(F121+1,"YYYY-MM-DD")&amp;" --exclude ""*"" --recursive --include ""*"&amp;TEXT(F121+1,"YYYYMMDD")&amp;"*"" &amp; """&amp;walkandungz&amp;""" "&amp;search_path&amp;"\RTDC"&amp;B121&amp;"\"&amp;TEXT(F121+1,"YYYY-MM-DD")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21" s="88" t="str">
        <f>astrogrep_path&amp;" /spath="&amp;search_path&amp;" /stypes=""app*"&amp;B121&amp;"*"&amp;TEXT(I121-utc_offset/24,"YYYYMMDD")&amp;"*"" /stext="" "&amp;TEXT(I121-utc_offset/24,"HH")&amp;search_regexp&amp;""" /e /r /s"</f>
        <v>"C:\Program Files (x86)\AstroGrep\AstroGrep.exe" /spath="%USERPROFILE%\AppData\Local\Temp\OnboardLogs" /stypes="app*4013*20161014*" /stext=" 00:.+((SYSTEM_STATE.+slice.+state.+changed )|(ment ac)|(system.+state.+changed )|(\[timeout)|(PRM\|1\|D)|(kpr)|(kdp)|(\|lc)|(penalty))" /e /r /s</v>
      </c>
      <c r="AG121" s="1" t="str">
        <f>IFERROR(IF(VALUE(LEFT(AD121,2))&lt;=2,"EC",IF(OR(VALUE(LEFT(AD121,2))=8,VALUE(LEFT(AD121,2))=18),"NW","Other")),"Other")</f>
        <v>EC</v>
      </c>
      <c r="AH121" s="92" t="str">
        <f t="shared" si="6"/>
        <v>"%USERPROFILE%\Documents\GitHub\eaglep3\Utilities\RefineRTDCRunTimes.py" --tripid 208-13 --locoid 4013 --swversion DE.1.0.7.0 --startMP 204:232971 --initTime 2016-10-13T17:41:43 --startdatetime 2016-10-13T17:56:14 --delay 1 --endMP 204:156 --enddatetime 2016-10-13T18:37:07 --enforcementcount 1 &gt;&gt;C:\Users\stu\Documents\GitHub\eaglep3-reporting\EC\2016-10-13-refined-times.txt</v>
      </c>
      <c r="AI121" s="122" t="str">
        <f t="shared" si="7"/>
        <v>echo {"issue":{"subject":"","project_id":79,"tracker_id":40,"status_id":1,"priority_id":2,"assigned_to_id":23,"start_date":"2016-10-13","description":"","custom_fields":[{"id":1,"name":"Subdivision","value":"EC"},{"id":4,"name":"Milepost","value":"0.0156"},{"id":17,"name":"Train ID","value":"208-13"},{"id":16,"name":"Locomotive ID","value":"4013"},{"id":130,"name":"Impact","value":""},{"id":150,"name":"Time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x14ac:dyDescent="0.25">
      <c r="A122" s="37" t="s">
        <v>550</v>
      </c>
      <c r="B122" s="7">
        <v>4038</v>
      </c>
      <c r="C122" s="22" t="s">
        <v>99</v>
      </c>
      <c r="D122" s="22" t="s">
        <v>667</v>
      </c>
      <c r="E122" s="13">
        <v>42656.716666666667</v>
      </c>
      <c r="F122" s="13">
        <v>42656.719039351854</v>
      </c>
      <c r="G122" s="7">
        <v>1</v>
      </c>
      <c r="H122" s="13" t="s">
        <v>655</v>
      </c>
      <c r="I122" s="13">
        <v>42656.744513888887</v>
      </c>
      <c r="J122" s="7">
        <v>1</v>
      </c>
      <c r="K122" s="112" t="str">
        <f>IF(ISEVEN(B122),(B122-1)&amp;"/"&amp;B122,B122&amp;"/"&amp;(B122+1))</f>
        <v>4037/4038</v>
      </c>
      <c r="L122" s="22" t="str">
        <f>VLOOKUP(A122,'Trips&amp;Operators'!$C$1:$E$10000,3,FALSE)</f>
        <v>LEVERE</v>
      </c>
      <c r="M122" s="6">
        <f>I122-F122</f>
        <v>2.5474537033005618E-2</v>
      </c>
      <c r="N122" s="7">
        <f>24*60*SUM($M122:$M122)</f>
        <v>36.683333327528089</v>
      </c>
      <c r="O122" s="7"/>
      <c r="P122" s="7"/>
      <c r="Q122" s="23"/>
      <c r="R122" s="23"/>
      <c r="S122" s="35">
        <f>SUM(U122:U122)/IF(AG122="EC",12,1)</f>
        <v>1</v>
      </c>
      <c r="T122" s="50" t="str">
        <f>IF(ISEVEN(LEFT(AD122,4)),"Southbound","NorthBound")</f>
        <v>NorthBound</v>
      </c>
      <c r="U122" s="144">
        <f>IF(AG122="EC",COUNTIFS(Variables!$M$2:$M$19,IF(T122="NorthBound","&gt;=","&lt;=")&amp;Y122,Variables!$M$2:$M$19,IF(T122="NorthBound","&lt;=","&gt;=")&amp;Z122),COUNTIFS(Variables!$P$2:$P$19,IF(T122="NorthBound","&gt;=","&lt;=")&amp;Y122,Variables!$P$2:$P$19,IF(T122="NorthBound","&lt;=","&gt;=")&amp;Z122))</f>
        <v>12</v>
      </c>
      <c r="V122" s="98" t="str">
        <f>"https://search-rtdc-monitor-bjffxe2xuh6vdkpspy63sjmuny.us-east-1.es.amazonaws.com/_plugin/kibana/#/discover/Steve-Slow-Train-Analysis-(2080s-and-2083s)?_g=(refreshInterval:(display:Off,section:0,value:0),time:(from:'"&amp;TEXT(E122-1/24,"yyyy-MM-DD hh:mm:ss")&amp;"-0600',mode:absolute,to:'"&amp;TEXT(I122+1/24,"yyyy-MM-DD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122&amp;"%22')),sort:!(Time,asc))"</f>
        <v>https://search-rtdc-monitor-bjffxe2xuh6vdkpspy63sjmuny.us-east-1.es.amazonaws.com/_plugin/kibana/#/discover/Steve-Slow-Train-Analysis-(2080s-and-2083s)?_g=(refreshInterval:(display:Off,section:0,value:0),time:(from:'2016-10-13 16:12:00-0600',mode:absolute,to:'2016-10-13 18:52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22" s="52" t="str">
        <f>IF(AA122&lt;IF(AG122="EC",23,5.65),"Y","N")</f>
        <v>N</v>
      </c>
      <c r="X122" s="149">
        <f>VALUE(LEFT(AD122,4))-VALUE(LEFT(AD121,4))</f>
        <v>1</v>
      </c>
      <c r="Y122" s="67">
        <f>RIGHT(D122,LEN(D122)-4)/10000</f>
        <v>4.9700000000000001E-2</v>
      </c>
      <c r="Z122" s="67">
        <f>RIGHT(H122,LEN(H122)-4)/10000</f>
        <v>23.331</v>
      </c>
      <c r="AA122" s="67">
        <f>ABS(Z122-Y122)</f>
        <v>23.281299999999998</v>
      </c>
      <c r="AB122" s="64" t="e">
        <f>VLOOKUP(A122,Enforcements!$C$7:$K$21,8,0)</f>
        <v>#N/A</v>
      </c>
      <c r="AC122" s="60" t="e">
        <f>VLOOKUP(A122,Enforcements!$C$7:$E$21,3,0)</f>
        <v>#N/A</v>
      </c>
      <c r="AD122" s="61" t="str">
        <f>IF(LEN(A122)=6,"0"&amp;A122,A122)</f>
        <v>0209-13</v>
      </c>
      <c r="AE122" s="91" t="str">
        <f>"aws s3 cp "&amp;s3_bucket&amp;"/RTDC"&amp;B122&amp;"/ "&amp;search_path&amp;"\RTDC"&amp;B122&amp;"\"&amp;TEXT(F122,"YYYY-MM-DD")&amp;" --exclude ""*"" --recursive --include ""*"&amp;TEXT(F122,"YYYYMMDD")&amp;"*"" &amp; """&amp;walkandungz&amp;""" "&amp;search_path&amp;"\RTDC"&amp;B122&amp;"\"&amp;TEXT(F122,"YYYY-MM-DD")
&amp;" &amp; "&amp;"aws s3 cp "&amp;s3_bucket&amp;"/RTDC"&amp;B122&amp;"/ "&amp;search_path&amp;"\RTDC"&amp;B122&amp;"\"&amp;TEXT(F122+1,"YYYY-MM-DD")&amp;" --exclude ""*"" --recursive --include ""*"&amp;TEXT(F122+1,"YYYYMMDD")&amp;"*"" &amp; """&amp;walkandungz&amp;""" "&amp;search_path&amp;"\RTDC"&amp;B122&amp;"\"&amp;TEXT(F122+1,"YYYY-MM-DD")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22" s="88" t="str">
        <f>astrogrep_path&amp;" /spath="&amp;search_path&amp;" /stypes=""app*"&amp;B122&amp;"*"&amp;TEXT(I122-utc_offset/24,"YYYYMMDD")&amp;"*"" /stext="" "&amp;TEXT(I122-utc_offset/24,"HH")&amp;search_regexp&amp;""" /e /r /s"</f>
        <v>"C:\Program Files (x86)\AstroGrep\AstroGrep.exe" /spath="%USERPROFILE%\AppData\Local\Temp\OnboardLogs" /stypes="app*4038*20161013*" /stext=" 23:.+((SYSTEM_STATE.+slice.+state.+changed )|(ment ac)|(system.+state.+changed )|(\[timeout)|(PRM\|1\|D)|(kpr)|(kdp)|(\|lc)|(penalty))" /e /r /s</v>
      </c>
      <c r="AG122" s="1" t="str">
        <f>IFERROR(IF(VALUE(LEFT(AD122,2))&lt;=2,"EC",IF(OR(VALUE(LEFT(AD122,2))=8,VALUE(LEFT(AD122,2))=18),"NW","Other")),"Other")</f>
        <v>EC</v>
      </c>
      <c r="AH122" s="92" t="str">
        <f t="shared" si="6"/>
        <v>"%USERPROFILE%\Documents\GitHub\eaglep3\Utilities\RefineRTDCRunTimes.py" --tripid 209-13 --locoid 4038 --swversion DE.1.0.7.0 --startMP 204:497 --initTime 2016-10-13T17:12:00 --startdatetime 2016-10-13T17:15:25 --delay 1 --endMP 204:233310 --enddatetime 2016-10-13T17:52:06 --enforcementcount 1 &gt;&gt;C:\Users\stu\Documents\GitHub\eaglep3-reporting\EC\2016-10-13-refined-times.txt</v>
      </c>
      <c r="AI122" s="122" t="str">
        <f t="shared" si="7"/>
        <v>echo {"issue":{"subject":"","project_id":79,"tracker_id":40,"status_id":1,"priority_id":2,"assigned_to_id":23,"start_date":"2016-10-13","description":"","custom_fields":[{"id":1,"name":"Subdivision","value":"EC"},{"id":4,"name":"Milepost","value":"23.331"},{"id":17,"name":"Train ID","value":"209-13"},{"id":16,"name":"Locomotive ID","value":"4038"},{"id":130,"name":"Impact","value":""},{"id":150,"name":"Time of Event (Mountain Time)","value":"17:52:06"},{"id":151,"name":"Denver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row>
    <row r="123" spans="1:91" s="21" customFormat="1" x14ac:dyDescent="0.25">
      <c r="A123" s="37" t="s">
        <v>559</v>
      </c>
      <c r="B123" s="7">
        <v>4037</v>
      </c>
      <c r="C123" s="22" t="s">
        <v>99</v>
      </c>
      <c r="D123" s="22" t="s">
        <v>289</v>
      </c>
      <c r="E123" s="13">
        <v>42656.748680555553</v>
      </c>
      <c r="F123" s="13">
        <v>42656.757870370369</v>
      </c>
      <c r="G123" s="7">
        <v>1</v>
      </c>
      <c r="H123" s="13" t="s">
        <v>262</v>
      </c>
      <c r="I123" s="13">
        <v>42656.784953703704</v>
      </c>
      <c r="J123" s="7">
        <v>1</v>
      </c>
      <c r="K123" s="112" t="str">
        <f>IF(ISEVEN(B123),(B123-1)&amp;"/"&amp;B123,B123&amp;"/"&amp;(B123+1))</f>
        <v>4037/4038</v>
      </c>
      <c r="L123" s="22" t="str">
        <f>VLOOKUP(A123,'Trips&amp;Operators'!$C$1:$E$10000,3,FALSE)</f>
        <v>LEVERE</v>
      </c>
      <c r="M123" s="6">
        <f>I123-F123</f>
        <v>2.7083333334303461E-2</v>
      </c>
      <c r="N123" s="7">
        <f>24*60*SUM($M123:$M123)</f>
        <v>39.000000001396984</v>
      </c>
      <c r="O123" s="7"/>
      <c r="P123" s="7"/>
      <c r="Q123" s="23"/>
      <c r="R123" s="23"/>
      <c r="S123" s="35">
        <f>SUM(U123:U123)/IF(AG123="EC",12,1)</f>
        <v>1</v>
      </c>
      <c r="T123" s="50" t="str">
        <f>IF(ISEVEN(LEFT(AD123,4)),"Southbound","NorthBound")</f>
        <v>Southbound</v>
      </c>
      <c r="U123" s="144">
        <f>IF(AG123="EC",COUNTIFS(Variables!$M$2:$M$19,IF(T123="NorthBound","&gt;=","&lt;=")&amp;Y123,Variables!$M$2:$M$19,IF(T123="NorthBound","&lt;=","&gt;=")&amp;Z123),COUNTIFS(Variables!$P$2:$P$19,IF(T123="NorthBound","&gt;=","&lt;=")&amp;Y123,Variables!$P$2:$P$19,IF(T123="NorthBound","&lt;=","&gt;=")&amp;Z123))</f>
        <v>12</v>
      </c>
      <c r="V123" s="98" t="str">
        <f>"https://search-rtdc-monitor-bjffxe2xuh6vdkpspy63sjmuny.us-east-1.es.amazonaws.com/_plugin/kibana/#/discover/Steve-Slow-Train-Analysis-(2080s-and-2083s)?_g=(refreshInterval:(display:Off,section:0,value:0),time:(from:'"&amp;TEXT(E123-1/24,"yyyy-MM-DD hh:mm:ss")&amp;"-0600',mode:absolute,to:'"&amp;TEXT(I123+1/24,"yyyy-MM-DD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123&amp;"%22')),sort:!(Time,asc))"</f>
        <v>https://search-rtdc-monitor-bjffxe2xuh6vdkpspy63sjmuny.us-east-1.es.amazonaws.com/_plugin/kibana/#/discover/Steve-Slow-Train-Analysis-(2080s-and-2083s)?_g=(refreshInterval:(display:Off,section:0,value:0),time:(from:'2016-10-13 16:58:06-0600',mode:absolute,to:'2016-10-13 19:50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23" s="52" t="str">
        <f>IF(AA123&lt;IF(AG123="EC",23,5.65),"Y","N")</f>
        <v>N</v>
      </c>
      <c r="X123" s="149">
        <f>VALUE(LEFT(AD123,4))-VALUE(LEFT(AD122,4))</f>
        <v>1</v>
      </c>
      <c r="Y123" s="67">
        <f>RIGHT(D123,LEN(D123)-4)/10000</f>
        <v>23.2974</v>
      </c>
      <c r="Z123" s="67">
        <f>RIGHT(H123,LEN(H123)-4)/10000</f>
        <v>1.4500000000000001E-2</v>
      </c>
      <c r="AA123" s="67">
        <f>ABS(Z123-Y123)</f>
        <v>23.282899999999998</v>
      </c>
      <c r="AB123" s="64" t="e">
        <f>VLOOKUP(A123,Enforcements!$C$7:$K$21,8,0)</f>
        <v>#N/A</v>
      </c>
      <c r="AC123" s="60" t="e">
        <f>VLOOKUP(A123,Enforcements!$C$7:$E$21,3,0)</f>
        <v>#N/A</v>
      </c>
      <c r="AD123" s="61" t="str">
        <f>IF(LEN(A123)=6,"0"&amp;A123,A123)</f>
        <v>0210-13</v>
      </c>
      <c r="AE123" s="91" t="str">
        <f>"aws s3 cp "&amp;s3_bucket&amp;"/RTDC"&amp;B123&amp;"/ "&amp;search_path&amp;"\RTDC"&amp;B123&amp;"\"&amp;TEXT(F123,"YYYY-MM-DD")&amp;" --exclude ""*"" --recursive --include ""*"&amp;TEXT(F123,"YYYYMMDD")&amp;"*"" &amp; """&amp;walkandungz&amp;""" "&amp;search_path&amp;"\RTDC"&amp;B123&amp;"\"&amp;TEXT(F123,"YYYY-MM-DD")
&amp;" &amp; "&amp;"aws s3 cp "&amp;s3_bucket&amp;"/RTDC"&amp;B123&amp;"/ "&amp;search_path&amp;"\RTDC"&amp;B123&amp;"\"&amp;TEXT(F123+1,"YYYY-MM-DD")&amp;" --exclude ""*"" --recursive --include ""*"&amp;TEXT(F123+1,"YYYYMMDD")&amp;"*"" &amp; """&amp;walkandungz&amp;""" "&amp;search_path&amp;"\RTDC"&amp;B123&amp;"\"&amp;TEXT(F123+1,"YYYY-MM-DD")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23" s="88" t="str">
        <f>astrogrep_path&amp;" /spath="&amp;search_path&amp;" /stypes=""app*"&amp;B123&amp;"*"&amp;TEXT(I123-utc_offset/24,"YYYYMMDD")&amp;"*"" /stext="" "&amp;TEXT(I123-utc_offset/24,"HH")&amp;search_regexp&amp;""" /e /r /s"</f>
        <v>"C:\Program Files (x86)\AstroGrep\AstroGrep.exe" /spath="%USERPROFILE%\AppData\Local\Temp\OnboardLogs" /stypes="app*4037*20161014*" /stext=" 00:.+((SYSTEM_STATE.+slice.+state.+changed )|(ment ac)|(system.+state.+changed )|(\[timeout)|(PRM\|1\|D)|(kpr)|(kdp)|(\|lc)|(penalty))" /e /r /s</v>
      </c>
      <c r="AG123" s="1" t="str">
        <f>IFERROR(IF(VALUE(LEFT(AD123,2))&lt;=2,"EC",IF(OR(VALUE(LEFT(AD123,2))=8,VALUE(LEFT(AD123,2))=18),"NW","Other")),"Other")</f>
        <v>EC</v>
      </c>
      <c r="AH123" s="92" t="str">
        <f t="shared" si="6"/>
        <v>"%USERPROFILE%\Documents\GitHub\eaglep3\Utilities\RefineRTDCRunTimes.py" --tripid 210-13 --locoid 4037 --swversion DE.1.0.7.0 --startMP 204:232974 --initTime 2016-10-13T17:58:06 --startdatetime 2016-10-13T18:11:20 --delay 1 --endMP 204:145 --enddatetime 2016-10-13T18:50:20 --enforcementcount 1 &gt;&gt;C:\Users\stu\Documents\GitHub\eaglep3-reporting\EC\2016-10-13-refined-times.txt</v>
      </c>
      <c r="AI123" s="122" t="str">
        <f t="shared" si="7"/>
        <v>echo {"issue":{"subject":"","project_id":79,"tracker_id":40,"status_id":1,"priority_id":2,"assigned_to_id":23,"start_date":"2016-10-13","description":"","custom_fields":[{"id":1,"name":"Subdivision","value":"EC"},{"id":4,"name":"Milepost","value":"0.0145"},{"id":17,"name":"Train ID","value":"210-13"},{"id":16,"name":"Locomotive ID","value":"4037"},{"id":130,"name":"Impact","value":""},{"id":150,"name":"Time of Event (Mountain Time)","value":"18:50:20"},{"id":151,"name":"Denver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552</v>
      </c>
      <c r="B124" s="7">
        <v>4002</v>
      </c>
      <c r="C124" s="22" t="s">
        <v>99</v>
      </c>
      <c r="D124" s="22" t="s">
        <v>300</v>
      </c>
      <c r="E124" s="13">
        <v>42656.724953703706</v>
      </c>
      <c r="F124" s="13">
        <v>42656.729363425926</v>
      </c>
      <c r="G124" s="7">
        <v>1</v>
      </c>
      <c r="H124" s="13" t="s">
        <v>668</v>
      </c>
      <c r="I124" s="13">
        <v>42656.757013888891</v>
      </c>
      <c r="J124" s="7">
        <v>1</v>
      </c>
      <c r="K124" s="112" t="str">
        <f>IF(ISEVEN(B124),(B124-1)&amp;"/"&amp;B124,B124&amp;"/"&amp;(B124+1))</f>
        <v>4001/4002</v>
      </c>
      <c r="L124" s="22" t="str">
        <f>VLOOKUP(A124,'Trips&amp;Operators'!$C$1:$E$10000,3,FALSE)</f>
        <v>YOUNG</v>
      </c>
      <c r="M124" s="6">
        <f>I124-F124</f>
        <v>2.7650462965539191E-2</v>
      </c>
      <c r="N124" s="7">
        <f>24*60*SUM($M124:$M124)</f>
        <v>39.816666670376435</v>
      </c>
      <c r="O124" s="7"/>
      <c r="P124" s="7"/>
      <c r="Q124" s="23"/>
      <c r="R124" s="23"/>
      <c r="S124" s="35">
        <f>SUM(U124:U124)/IF(AG124="EC",12,1)</f>
        <v>1</v>
      </c>
      <c r="T124" s="50" t="str">
        <f>IF(ISEVEN(LEFT(AD124,4)),"Southbound","NorthBound")</f>
        <v>NorthBound</v>
      </c>
      <c r="U124" s="144">
        <f>IF(AG124="EC",COUNTIFS(Variables!$M$2:$M$19,IF(T124="NorthBound","&gt;=","&lt;=")&amp;Y124,Variables!$M$2:$M$19,IF(T124="NorthBound","&lt;=","&gt;=")&amp;Z124),COUNTIFS(Variables!$P$2:$P$19,IF(T124="NorthBound","&gt;=","&lt;=")&amp;Y124,Variables!$P$2:$P$19,IF(T124="NorthBound","&lt;=","&gt;=")&amp;Z124))</f>
        <v>12</v>
      </c>
      <c r="V124" s="98" t="str">
        <f>"https://search-rtdc-monitor-bjffxe2xuh6vdkpspy63sjmuny.us-east-1.es.amazonaws.com/_plugin/kibana/#/discover/Steve-Slow-Train-Analysis-(2080s-and-2083s)?_g=(refreshInterval:(display:Off,section:0,value:0),time:(from:'"&amp;TEXT(E124-1/24,"yyyy-MM-DD hh:mm:ss")&amp;"-0600',mode:absolute,to:'"&amp;TEXT(I124+1/24,"yyyy-MM-DD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124&amp;"%22')),sort:!(Time,asc))"</f>
        <v>https://search-rtdc-monitor-bjffxe2xuh6vdkpspy63sjmuny.us-east-1.es.amazonaws.com/_plugin/kibana/#/discover/Steve-Slow-Train-Analysis-(2080s-and-2083s)?_g=(refreshInterval:(display:Off,section:0,value:0),time:(from:'2016-10-13 16:23:56-0600',mode:absolute,to:'2016-10-13 19:10: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4" s="52" t="str">
        <f>IF(AA124&lt;IF(AG124="EC",23,5.65),"Y","N")</f>
        <v>N</v>
      </c>
      <c r="X124" s="149">
        <f>VALUE(LEFT(AD124,4))-VALUE(LEFT(AD123,4))</f>
        <v>1</v>
      </c>
      <c r="Y124" s="67">
        <f>RIGHT(D124,LEN(D124)-4)/10000</f>
        <v>4.3799999999999999E-2</v>
      </c>
      <c r="Z124" s="67">
        <f>RIGHT(H124,LEN(H124)-4)/10000</f>
        <v>23.3278</v>
      </c>
      <c r="AA124" s="67">
        <f>ABS(Z124-Y124)</f>
        <v>23.283999999999999</v>
      </c>
      <c r="AB124" s="64" t="e">
        <f>VLOOKUP(A124,Enforcements!$C$7:$K$21,8,0)</f>
        <v>#N/A</v>
      </c>
      <c r="AC124" s="60" t="e">
        <f>VLOOKUP(A124,Enforcements!$C$7:$E$21,3,0)</f>
        <v>#N/A</v>
      </c>
      <c r="AD124" s="61" t="str">
        <f>IF(LEN(A124)=6,"0"&amp;A124,A124)</f>
        <v>0211-13</v>
      </c>
      <c r="AE124" s="91" t="str">
        <f>"aws s3 cp "&amp;s3_bucket&amp;"/RTDC"&amp;B124&amp;"/ "&amp;search_path&amp;"\RTDC"&amp;B124&amp;"\"&amp;TEXT(F124,"YYYY-MM-DD")&amp;" --exclude ""*"" --recursive --include ""*"&amp;TEXT(F124,"YYYYMMDD")&amp;"*"" &amp; """&amp;walkandungz&amp;""" "&amp;search_path&amp;"\RTDC"&amp;B124&amp;"\"&amp;TEXT(F124,"YYYY-MM-DD")
&amp;" &amp; "&amp;"aws s3 cp "&amp;s3_bucket&amp;"/RTDC"&amp;B124&amp;"/ "&amp;search_path&amp;"\RTDC"&amp;B124&amp;"\"&amp;TEXT(F124+1,"YYYY-MM-DD")&amp;" --exclude ""*"" --recursive --include ""*"&amp;TEXT(F124+1,"YYYYMMDD")&amp;"*"" &amp; """&amp;walkandungz&amp;""" "&amp;search_path&amp;"\RTDC"&amp;B124&amp;"\"&amp;TEXT(F124+1,"YYYY-MM-DD")</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24" s="88" t="str">
        <f>astrogrep_path&amp;" /spath="&amp;search_path&amp;" /stypes=""app*"&amp;B124&amp;"*"&amp;TEXT(I124-utc_offset/24,"YYYYMMDD")&amp;"*"" /stext="" "&amp;TEXT(I124-utc_offset/24,"HH")&amp;search_regexp&amp;""" /e /r /s"</f>
        <v>"C:\Program Files (x86)\AstroGrep\AstroGrep.exe" /spath="%USERPROFILE%\AppData\Local\Temp\OnboardLogs" /stypes="app*4002*20161014*" /stext=" 00:.+((SYSTEM_STATE.+slice.+state.+changed )|(ment ac)|(system.+state.+changed )|(\[timeout)|(PRM\|1\|D)|(kpr)|(kdp)|(\|lc)|(penalty))" /e /r /s</v>
      </c>
      <c r="AG124" s="1" t="str">
        <f>IFERROR(IF(VALUE(LEFT(AD124,2))&lt;=2,"EC",IF(OR(VALUE(LEFT(AD124,2))=8,VALUE(LEFT(AD124,2))=18),"NW","Other")),"Other")</f>
        <v>EC</v>
      </c>
      <c r="AH124" s="92" t="str">
        <f t="shared" si="6"/>
        <v>"%USERPROFILE%\Documents\GitHub\eaglep3\Utilities\RefineRTDCRunTimes.py" --tripid 211-13 --locoid 4002 --swversion DE.1.0.7.0 --startMP 204:438 --initTime 2016-10-13T17:23:56 --startdatetime 2016-10-13T17:30:17 --delay 1 --endMP 204:233278 --enddatetime 2016-10-13T18:10:06 --enforcementcount 1 &gt;&gt;C:\Users\stu\Documents\GitHub\eaglep3-reporting\EC\2016-10-13-refined-times.txt</v>
      </c>
      <c r="AI124" s="122" t="str">
        <f t="shared" si="7"/>
        <v>echo {"issue":{"subject":"","project_id":79,"tracker_id":40,"status_id":1,"priority_id":2,"assigned_to_id":23,"start_date":"2016-10-13","description":"","custom_fields":[{"id":1,"name":"Subdivision","value":"EC"},{"id":4,"name":"Milepost","value":"23.3278"},{"id":17,"name":"Train ID","value":"211-13"},{"id":16,"name":"Locomotive ID","value":"4002"},{"id":130,"name":"Impact","value":""},{"id":150,"name":"Time of Event (Mountain Time)","value":"18:10:06"},{"id":151,"name":"Denver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564</v>
      </c>
      <c r="B125" s="7">
        <v>4001</v>
      </c>
      <c r="C125" s="22" t="s">
        <v>99</v>
      </c>
      <c r="D125" s="22" t="s">
        <v>287</v>
      </c>
      <c r="E125" s="13">
        <v>42656.763321759259</v>
      </c>
      <c r="F125" s="13">
        <v>42656.768240740741</v>
      </c>
      <c r="G125" s="7">
        <v>1</v>
      </c>
      <c r="H125" s="13" t="s">
        <v>301</v>
      </c>
      <c r="I125" s="13">
        <v>42656.797395833331</v>
      </c>
      <c r="J125" s="7">
        <v>1</v>
      </c>
      <c r="K125" s="112" t="str">
        <f>IF(ISEVEN(B125),(B125-1)&amp;"/"&amp;B125,B125&amp;"/"&amp;(B125+1))</f>
        <v>4001/4002</v>
      </c>
      <c r="L125" s="22" t="str">
        <f>VLOOKUP(A125,'Trips&amp;Operators'!$C$1:$E$10000,3,FALSE)</f>
        <v>YOUNG</v>
      </c>
      <c r="M125" s="6">
        <f>I125-F125</f>
        <v>2.9155092590372078E-2</v>
      </c>
      <c r="N125" s="7">
        <f>24*60*SUM($M125:$M125)</f>
        <v>41.983333330135792</v>
      </c>
      <c r="O125" s="7"/>
      <c r="P125" s="7"/>
      <c r="Q125" s="23"/>
      <c r="R125" s="23"/>
      <c r="S125" s="35">
        <f>SUM(U125:U125)/IF(AG125="EC",12,1)</f>
        <v>1</v>
      </c>
      <c r="T125" s="50" t="str">
        <f>IF(ISEVEN(LEFT(AD125,4)),"Southbound","NorthBound")</f>
        <v>Southbound</v>
      </c>
      <c r="U125" s="144">
        <f>IF(AG125="EC",COUNTIFS(Variables!$M$2:$M$19,IF(T125="NorthBound","&gt;=","&lt;=")&amp;Y125,Variables!$M$2:$M$19,IF(T125="NorthBound","&lt;=","&gt;=")&amp;Z125),COUNTIFS(Variables!$P$2:$P$19,IF(T125="NorthBound","&gt;=","&lt;=")&amp;Y125,Variables!$P$2:$P$19,IF(T125="NorthBound","&lt;=","&gt;=")&amp;Z125))</f>
        <v>12</v>
      </c>
      <c r="V125" s="98" t="str">
        <f>"https://search-rtdc-monitor-bjffxe2xuh6vdkpspy63sjmuny.us-east-1.es.amazonaws.com/_plugin/kibana/#/discover/Steve-Slow-Train-Analysis-(2080s-and-2083s)?_g=(refreshInterval:(display:Off,section:0,value:0),time:(from:'"&amp;TEXT(E125-1/24,"yyyy-MM-DD hh:mm:ss")&amp;"-0600',mode:absolute,to:'"&amp;TEXT(I125+1/24,"yyyy-MM-DD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125&amp;"%22')),sort:!(Time,asc))"</f>
        <v>https://search-rtdc-monitor-bjffxe2xuh6vdkpspy63sjmuny.us-east-1.es.amazonaws.com/_plugin/kibana/#/discover/Steve-Slow-Train-Analysis-(2080s-and-2083s)?_g=(refreshInterval:(display:Off,section:0,value:0),time:(from:'2016-10-13 17:19:11-0600',mode:absolute,to:'2016-10-13 20:08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5" s="52" t="str">
        <f>IF(AA125&lt;IF(AG125="EC",23,5.65),"Y","N")</f>
        <v>N</v>
      </c>
      <c r="X125" s="149">
        <f>VALUE(LEFT(AD125,4))-VALUE(LEFT(AD124,4))</f>
        <v>1</v>
      </c>
      <c r="Y125" s="67">
        <f>RIGHT(D125,LEN(D125)-4)/10000</f>
        <v>23.2973</v>
      </c>
      <c r="Z125" s="67">
        <f>RIGHT(H125,LEN(H125)-4)/10000</f>
        <v>1.5800000000000002E-2</v>
      </c>
      <c r="AA125" s="67">
        <f>ABS(Z125-Y125)</f>
        <v>23.281500000000001</v>
      </c>
      <c r="AB125" s="64" t="e">
        <f>VLOOKUP(A125,Enforcements!$C$7:$K$21,8,0)</f>
        <v>#N/A</v>
      </c>
      <c r="AC125" s="60" t="e">
        <f>VLOOKUP(A125,Enforcements!$C$7:$E$21,3,0)</f>
        <v>#N/A</v>
      </c>
      <c r="AD125" s="61" t="str">
        <f>IF(LEN(A125)=6,"0"&amp;A125,A125)</f>
        <v>0212-13</v>
      </c>
      <c r="AE125" s="91" t="str">
        <f>"aws s3 cp "&amp;s3_bucket&amp;"/RTDC"&amp;B125&amp;"/ "&amp;search_path&amp;"\RTDC"&amp;B125&amp;"\"&amp;TEXT(F125,"YYYY-MM-DD")&amp;" --exclude ""*"" --recursive --include ""*"&amp;TEXT(F125,"YYYYMMDD")&amp;"*"" &amp; """&amp;walkandungz&amp;""" "&amp;search_path&amp;"\RTDC"&amp;B125&amp;"\"&amp;TEXT(F125,"YYYY-MM-DD")
&amp;" &amp; "&amp;"aws s3 cp "&amp;s3_bucket&amp;"/RTDC"&amp;B125&amp;"/ "&amp;search_path&amp;"\RTDC"&amp;B125&amp;"\"&amp;TEXT(F125+1,"YYYY-MM-DD")&amp;" --exclude ""*"" --recursive --include ""*"&amp;TEXT(F125+1,"YYYYMMDD")&amp;"*"" &amp; """&amp;walkandungz&amp;""" "&amp;search_path&amp;"\RTDC"&amp;B125&amp;"\"&amp;TEXT(F125+1,"YYYY-MM-DD")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25" s="88" t="str">
        <f>astrogrep_path&amp;" /spath="&amp;search_path&amp;" /stypes=""app*"&amp;B125&amp;"*"&amp;TEXT(I125-utc_offset/24,"YYYYMMDD")&amp;"*"" /stext="" "&amp;TEXT(I125-utc_offset/24,"HH")&amp;search_regexp&amp;""" /e /r /s"</f>
        <v>"C:\Program Files (x86)\AstroGrep\AstroGrep.exe" /spath="%USERPROFILE%\AppData\Local\Temp\OnboardLogs" /stypes="app*4001*20161014*" /stext=" 01:.+((SYSTEM_STATE.+slice.+state.+changed )|(ment ac)|(system.+state.+changed )|(\[timeout)|(PRM\|1\|D)|(kpr)|(kdp)|(\|lc)|(penalty))" /e /r /s</v>
      </c>
      <c r="AG125" s="1" t="str">
        <f>IFERROR(IF(VALUE(LEFT(AD125,2))&lt;=2,"EC",IF(OR(VALUE(LEFT(AD125,2))=8,VALUE(LEFT(AD125,2))=18),"NW","Other")),"Other")</f>
        <v>EC</v>
      </c>
      <c r="AH125" s="92" t="str">
        <f t="shared" si="6"/>
        <v>"%USERPROFILE%\Documents\GitHub\eaglep3\Utilities\RefineRTDCRunTimes.py" --tripid 212-13 --locoid 4001 --swversion DE.1.0.7.0 --startMP 204:232973 --initTime 2016-10-13T18:19:11 --startdatetime 2016-10-13T18:26:16 --delay 1 --endMP 204:158 --enddatetime 2016-10-13T19:08:15 --enforcementcount 1 &gt;&gt;C:\Users\stu\Documents\GitHub\eaglep3-reporting\EC\2016-10-13-refined-times.txt</v>
      </c>
      <c r="AI125" s="122" t="str">
        <f t="shared" si="7"/>
        <v>echo {"issue":{"subject":"","project_id":79,"tracker_id":40,"status_id":1,"priority_id":2,"assigned_to_id":23,"start_date":"2016-10-13","description":"","custom_fields":[{"id":1,"name":"Subdivision","value":"EC"},{"id":4,"name":"Milepost","value":"0.0158"},{"id":17,"name":"Train ID","value":"212-13"},{"id":16,"name":"Locomotive ID","value":"4001"},{"id":130,"name":"Impact","value":""},{"id":150,"name":"Time of Event (Mountain Time)","value":"19:08:15"},{"id":151,"name":"Denver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414</v>
      </c>
      <c r="B126" s="7">
        <v>4025</v>
      </c>
      <c r="C126" s="22" t="s">
        <v>99</v>
      </c>
      <c r="D126" s="22" t="s">
        <v>297</v>
      </c>
      <c r="E126" s="13">
        <v>42656.734467592592</v>
      </c>
      <c r="F126" s="13">
        <v>42656.739861111113</v>
      </c>
      <c r="G126" s="7">
        <v>6</v>
      </c>
      <c r="H126" s="13" t="s">
        <v>669</v>
      </c>
      <c r="I126" s="13">
        <v>42656.7656712963</v>
      </c>
      <c r="J126" s="7">
        <v>1</v>
      </c>
      <c r="K126" s="112" t="str">
        <f>IF(ISEVEN(B126),(B126-1)&amp;"/"&amp;B126,B126&amp;"/"&amp;(B126+1))</f>
        <v>4025/4026</v>
      </c>
      <c r="L126" s="22" t="str">
        <f>VLOOKUP(A126,'Trips&amp;Operators'!$C$1:$E$10000,3,FALSE)</f>
        <v>COOLAHAN</v>
      </c>
      <c r="M126" s="6">
        <f>I126-F126</f>
        <v>2.5810185186855961E-2</v>
      </c>
      <c r="N126" s="7">
        <f>24*60*SUM($M126:$M126)</f>
        <v>37.166666669072583</v>
      </c>
      <c r="O126" s="7"/>
      <c r="P126" s="7"/>
      <c r="Q126" s="23"/>
      <c r="R126" s="23"/>
      <c r="S126" s="35">
        <f>SUM(U126:U126)/IF(AG126="EC",12,1)</f>
        <v>1</v>
      </c>
      <c r="T126" s="50" t="str">
        <f>IF(ISEVEN(LEFT(AD126,4)),"Southbound","NorthBound")</f>
        <v>NorthBound</v>
      </c>
      <c r="U126" s="144">
        <f>IF(AG126="EC",COUNTIFS(Variables!$M$2:$M$19,IF(T126="NorthBound","&gt;=","&lt;=")&amp;Y126,Variables!$M$2:$M$19,IF(T126="NorthBound","&lt;=","&gt;=")&amp;Z126),COUNTIFS(Variables!$P$2:$P$19,IF(T126="NorthBound","&gt;=","&lt;=")&amp;Y126,Variables!$P$2:$P$19,IF(T126="NorthBound","&lt;=","&gt;=")&amp;Z126))</f>
        <v>12</v>
      </c>
      <c r="V126" s="98" t="str">
        <f>"https://search-rtdc-monitor-bjffxe2xuh6vdkpspy63sjmuny.us-east-1.es.amazonaws.com/_plugin/kibana/#/discover/Steve-Slow-Train-Analysis-(2080s-and-2083s)?_g=(refreshInterval:(display:Off,section:0,value:0),time:(from:'"&amp;TEXT(E126-1/24,"yyyy-MM-DD hh:mm:ss")&amp;"-0600',mode:absolute,to:'"&amp;TEXT(I126+1/24,"yyyy-MM-DD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126&amp;"%22')),sort:!(Time,asc))"</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6" s="52" t="str">
        <f>IF(AA126&lt;IF(AG126="EC",23,5.65),"Y","N")</f>
        <v>N</v>
      </c>
      <c r="X126" s="149">
        <f>VALUE(LEFT(AD126,4))-VALUE(LEFT(AD125,4))</f>
        <v>1</v>
      </c>
      <c r="Y126" s="67">
        <f>RIGHT(D126,LEN(D126)-4)/10000</f>
        <v>4.5699999999999998E-2</v>
      </c>
      <c r="Z126" s="67">
        <f>RIGHT(H126,LEN(H126)-4)/10000</f>
        <v>23.3308</v>
      </c>
      <c r="AA126" s="67">
        <f>ABS(Z126-Y126)</f>
        <v>23.2851</v>
      </c>
      <c r="AB126" s="64" t="str">
        <f>VLOOKUP(A126,Enforcements!$C$7:$K$21,8,0)</f>
        <v>Speed (6)</v>
      </c>
      <c r="AC126" s="60" t="str">
        <f>VLOOKUP(A126,Enforcements!$C$7:$E$21,3,0)</f>
        <v>PERMANENT SPEED RESTRICTION</v>
      </c>
      <c r="AD126" s="61" t="str">
        <f>IF(LEN(A126)=6,"0"&amp;A126,A126)</f>
        <v>0213-13</v>
      </c>
      <c r="AE126" s="91" t="str">
        <f>"aws s3 cp "&amp;s3_bucket&amp;"/RTDC"&amp;B126&amp;"/ "&amp;search_path&amp;"\RTDC"&amp;B126&amp;"\"&amp;TEXT(F126,"YYYY-MM-DD")&amp;" --exclude ""*"" --recursive --include ""*"&amp;TEXT(F126,"YYYYMMDD")&amp;"*"" &amp; """&amp;walkandungz&amp;""" "&amp;search_path&amp;"\RTDC"&amp;B126&amp;"\"&amp;TEXT(F126,"YYYY-MM-DD")
&amp;" &amp; "&amp;"aws s3 cp "&amp;s3_bucket&amp;"/RTDC"&amp;B126&amp;"/ "&amp;search_path&amp;"\RTDC"&amp;B126&amp;"\"&amp;TEXT(F126+1,"YYYY-MM-DD")&amp;" --exclude ""*"" --recursive --include ""*"&amp;TEXT(F126+1,"YYYYMMDD")&amp;"*"" &amp; """&amp;walkandungz&amp;""" "&amp;search_path&amp;"\RTDC"&amp;B126&amp;"\"&amp;TEXT(F126+1,"YYYY-MM-DD")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26" s="88" t="str">
        <f>astrogrep_path&amp;" /spath="&amp;search_path&amp;" /stypes=""app*"&amp;B126&amp;"*"&amp;TEXT(I126-utc_offset/24,"YYYYMMDD")&amp;"*"" /stext="" "&amp;TEXT(I126-utc_offset/24,"HH")&amp;search_regexp&amp;""" /e /r /s"</f>
        <v>"C:\Program Files (x86)\AstroGrep\AstroGrep.exe" /spath="%USERPROFILE%\AppData\Local\Temp\OnboardLogs" /stypes="app*4025*20161014*" /stext=" 00:.+((SYSTEM_STATE.+slice.+state.+changed )|(ment ac)|(system.+state.+changed )|(\[timeout)|(PRM\|1\|D)|(kpr)|(kdp)|(\|lc)|(penalty))" /e /r /s</v>
      </c>
      <c r="AG126" s="1" t="str">
        <f>IFERROR(IF(VALUE(LEFT(AD126,2))&lt;=2,"EC",IF(OR(VALUE(LEFT(AD126,2))=8,VALUE(LEFT(AD126,2))=18),"NW","Other")),"Other")</f>
        <v>EC</v>
      </c>
      <c r="AH126" s="92" t="str">
        <f t="shared" si="6"/>
        <v>"%USERPROFILE%\Documents\GitHub\eaglep3\Utilities\RefineRTDCRunTimes.py" --tripid 213-13 --locoid 4025 --swversion DE.1.0.7.0 --startMP 204:457 --initTime 2016-10-13T17:37:38 --startdatetime 2016-10-13T17:45:24 --delay 6 --endMP 204:233308 --enddatetime 2016-10-13T18:22:34 --enforcementcount 1 &gt;&gt;C:\Users\stu\Documents\GitHub\eaglep3-reporting\EC\2016-10-13-refined-times.txt</v>
      </c>
      <c r="AI126" s="122" t="str">
        <f t="shared" si="7"/>
        <v>echo {"issue":{"subject":"","project_id":79,"tracker_id":40,"status_id":1,"priority_id":2,"assigned_to_id":23,"start_date":"2016-10-13","description":"","custom_fields":[{"id":1,"name":"Subdivision","value":"EC"},{"id":4,"name":"Milepost","value":"23.3308"},{"id":17,"name":"Train ID","value":"213-13"},{"id":16,"name":"Locomotive ID","value":"4025"},{"id":130,"name":"Impact","value":""},{"id":150,"name":"Time of Event (Mountain Time)","value":"18:22:34"},{"id":151,"name":"Denver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417</v>
      </c>
      <c r="B127" s="7">
        <v>4026</v>
      </c>
      <c r="C127" s="22" t="s">
        <v>99</v>
      </c>
      <c r="D127" s="22" t="s">
        <v>315</v>
      </c>
      <c r="E127" s="13">
        <v>42656.778541666667</v>
      </c>
      <c r="F127" s="13">
        <v>42656.780069444445</v>
      </c>
      <c r="G127" s="7">
        <v>1</v>
      </c>
      <c r="H127" s="13" t="s">
        <v>670</v>
      </c>
      <c r="I127" s="13">
        <v>42656.805960648147</v>
      </c>
      <c r="J127" s="7">
        <v>1</v>
      </c>
      <c r="K127" s="112" t="str">
        <f>IF(ISEVEN(B127),(B127-1)&amp;"/"&amp;B127,B127&amp;"/"&amp;(B127+1))</f>
        <v>4025/4026</v>
      </c>
      <c r="L127" s="22" t="str">
        <f>VLOOKUP(A127,'Trips&amp;Operators'!$C$1:$E$10000,3,FALSE)</f>
        <v>COOLAHAN</v>
      </c>
      <c r="M127" s="6">
        <f>I127-F127</f>
        <v>2.5891203702485655E-2</v>
      </c>
      <c r="N127" s="7">
        <f>24*60*SUM($M127:$M127)</f>
        <v>37.283333331579342</v>
      </c>
      <c r="O127" s="7"/>
      <c r="P127" s="7"/>
      <c r="Q127" s="23"/>
      <c r="R127" s="23"/>
      <c r="S127" s="35">
        <f>SUM(U127:U127)/IF(AG127="EC",12,1)</f>
        <v>1</v>
      </c>
      <c r="T127" s="50" t="str">
        <f>IF(ISEVEN(LEFT(AD127,4)),"Southbound","NorthBound")</f>
        <v>Southbound</v>
      </c>
      <c r="U127" s="144">
        <f>IF(AG127="EC",COUNTIFS(Variables!$M$2:$M$19,IF(T127="NorthBound","&gt;=","&lt;=")&amp;Y127,Variables!$M$2:$M$19,IF(T127="NorthBound","&lt;=","&gt;=")&amp;Z127),COUNTIFS(Variables!$P$2:$P$19,IF(T127="NorthBound","&gt;=","&lt;=")&amp;Y127,Variables!$P$2:$P$19,IF(T127="NorthBound","&lt;=","&gt;=")&amp;Z127))</f>
        <v>12</v>
      </c>
      <c r="V127" s="98" t="str">
        <f>"https://search-rtdc-monitor-bjffxe2xuh6vdkpspy63sjmuny.us-east-1.es.amazonaws.com/_plugin/kibana/#/discover/Steve-Slow-Train-Analysis-(2080s-and-2083s)?_g=(refreshInterval:(display:Off,section:0,value:0),time:(from:'"&amp;TEXT(E127-1/24,"yyyy-MM-DD hh:mm:ss")&amp;"-0600',mode:absolute,to:'"&amp;TEXT(I127+1/24,"yyyy-MM-DD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127&amp;"%22')),sort:!(Time,asc))"</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27" s="52" t="str">
        <f>IF(AA127&lt;IF(AG127="EC",23,5.65),"Y","N")</f>
        <v>N</v>
      </c>
      <c r="X127" s="149">
        <f>VALUE(LEFT(AD127,4))-VALUE(LEFT(AD126,4))</f>
        <v>1</v>
      </c>
      <c r="Y127" s="67">
        <f>RIGHT(D127,LEN(D127)-4)/10000</f>
        <v>23.2989</v>
      </c>
      <c r="Z127" s="67">
        <f>RIGHT(H127,LEN(H127)-4)/10000</f>
        <v>3.1600000000000003E-2</v>
      </c>
      <c r="AA127" s="67">
        <f>ABS(Z127-Y127)</f>
        <v>23.267299999999999</v>
      </c>
      <c r="AB127" s="64" t="e">
        <f>VLOOKUP(A127,Enforcements!$C$7:$K$21,8,0)</f>
        <v>#N/A</v>
      </c>
      <c r="AC127" s="60" t="e">
        <f>VLOOKUP(A127,Enforcements!$C$7:$E$21,3,0)</f>
        <v>#N/A</v>
      </c>
      <c r="AD127" s="61" t="str">
        <f>IF(LEN(A127)=6,"0"&amp;A127,A127)</f>
        <v>0214-13</v>
      </c>
      <c r="AE127" s="91" t="str">
        <f>"aws s3 cp "&amp;s3_bucket&amp;"/RTDC"&amp;B127&amp;"/ "&amp;search_path&amp;"\RTDC"&amp;B127&amp;"\"&amp;TEXT(F127,"YYYY-MM-DD")&amp;" --exclude ""*"" --recursive --include ""*"&amp;TEXT(F127,"YYYYMMDD")&amp;"*"" &amp; """&amp;walkandungz&amp;""" "&amp;search_path&amp;"\RTDC"&amp;B127&amp;"\"&amp;TEXT(F127,"YYYY-MM-DD")
&amp;" &amp; "&amp;"aws s3 cp "&amp;s3_bucket&amp;"/RTDC"&amp;B127&amp;"/ "&amp;search_path&amp;"\RTDC"&amp;B127&amp;"\"&amp;TEXT(F127+1,"YYYY-MM-DD")&amp;" --exclude ""*"" --recursive --include ""*"&amp;TEXT(F127+1,"YYYYMMDD")&amp;"*"" &amp; """&amp;walkandungz&amp;""" "&amp;search_path&amp;"\RTDC"&amp;B127&amp;"\"&amp;TEXT(F127+1,"YYYY-MM-DD")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27" s="88" t="str">
        <f>astrogrep_path&amp;" /spath="&amp;search_path&amp;" /stypes=""app*"&amp;B127&amp;"*"&amp;TEXT(I127-utc_offset/24,"YYYYMMDD")&amp;"*"" /stext="" "&amp;TEXT(I127-utc_offset/24,"HH")&amp;search_regexp&amp;""" /e /r /s"</f>
        <v>"C:\Program Files (x86)\AstroGrep\AstroGrep.exe" /spath="%USERPROFILE%\AppData\Local\Temp\OnboardLogs" /stypes="app*4026*20161014*" /stext=" 01:.+((SYSTEM_STATE.+slice.+state.+changed )|(ment ac)|(system.+state.+changed )|(\[timeout)|(PRM\|1\|D)|(kpr)|(kdp)|(\|lc)|(penalty))" /e /r /s</v>
      </c>
      <c r="AG127" s="1" t="str">
        <f>IFERROR(IF(VALUE(LEFT(AD127,2))&lt;=2,"EC",IF(OR(VALUE(LEFT(AD127,2))=8,VALUE(LEFT(AD127,2))=18),"NW","Other")),"Other")</f>
        <v>EC</v>
      </c>
      <c r="AH127" s="92" t="str">
        <f t="shared" si="6"/>
        <v>"%USERPROFILE%\Documents\GitHub\eaglep3\Utilities\RefineRTDCRunTimes.py" --tripid 214-13 --locoid 4026 --swversion DE.1.0.7.0 --startMP 204:232989 --initTime 2016-10-13T18:41:06 --startdatetime 2016-10-13T18:43:18 --delay 1 --endMP 204:316 --enddatetime 2016-10-13T19:20:35 --enforcementcount 1 &gt;&gt;C:\Users\stu\Documents\GitHub\eaglep3-reporting\EC\2016-10-13-refined-times.txt</v>
      </c>
      <c r="AI127" s="122" t="str">
        <f t="shared" si="7"/>
        <v>echo {"issue":{"subject":"","project_id":79,"tracker_id":40,"status_id":1,"priority_id":2,"assigned_to_id":23,"start_date":"2016-10-13","description":"","custom_fields":[{"id":1,"name":"Subdivision","value":"EC"},{"id":4,"name":"Milepost","value":"0.0316"},{"id":17,"name":"Train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558</v>
      </c>
      <c r="B128" s="7">
        <v>4042</v>
      </c>
      <c r="C128" s="22" t="s">
        <v>99</v>
      </c>
      <c r="D128" s="22" t="s">
        <v>307</v>
      </c>
      <c r="E128" s="13">
        <v>42656.746041666665</v>
      </c>
      <c r="F128" s="13">
        <v>42656.750405092593</v>
      </c>
      <c r="G128" s="7">
        <v>6</v>
      </c>
      <c r="H128" s="13" t="s">
        <v>632</v>
      </c>
      <c r="I128" s="13">
        <v>42656.775625000002</v>
      </c>
      <c r="J128" s="7">
        <v>1</v>
      </c>
      <c r="K128" s="112" t="str">
        <f>IF(ISEVEN(B128),(B128-1)&amp;"/"&amp;B128,B128&amp;"/"&amp;(B128+1))</f>
        <v>4041/4042</v>
      </c>
      <c r="L128" s="22" t="str">
        <f>VLOOKUP(A128,'Trips&amp;Operators'!$C$1:$E$10000,3,FALSE)</f>
        <v>STORY</v>
      </c>
      <c r="M128" s="6">
        <f>I128-F128</f>
        <v>2.5219907409336884E-2</v>
      </c>
      <c r="N128" s="7">
        <f>24*60*SUM($M128:$M128)</f>
        <v>36.316666669445112</v>
      </c>
      <c r="O128" s="7"/>
      <c r="P128" s="7"/>
      <c r="Q128" s="23"/>
      <c r="R128" s="23"/>
      <c r="S128" s="35">
        <f>SUM(U128:U128)/IF(AG128="EC",12,1)</f>
        <v>1</v>
      </c>
      <c r="T128" s="50" t="str">
        <f>IF(ISEVEN(LEFT(AD128,4)),"Southbound","NorthBound")</f>
        <v>NorthBound</v>
      </c>
      <c r="U128" s="144">
        <f>IF(AG128="EC",COUNTIFS(Variables!$M$2:$M$19,IF(T128="NorthBound","&gt;=","&lt;=")&amp;Y128,Variables!$M$2:$M$19,IF(T128="NorthBound","&lt;=","&gt;=")&amp;Z128),COUNTIFS(Variables!$P$2:$P$19,IF(T128="NorthBound","&gt;=","&lt;=")&amp;Y128,Variables!$P$2:$P$19,IF(T128="NorthBound","&lt;=","&gt;=")&amp;Z128))</f>
        <v>12</v>
      </c>
      <c r="V128" s="98" t="str">
        <f>"https://search-rtdc-monitor-bjffxe2xuh6vdkpspy63sjmuny.us-east-1.es.amazonaws.com/_plugin/kibana/#/discover/Steve-Slow-Train-Analysis-(2080s-and-2083s)?_g=(refreshInterval:(display:Off,section:0,value:0),time:(from:'"&amp;TEXT(E128-1/24,"yyyy-MM-DD hh:mm:ss")&amp;"-0600',mode:absolute,to:'"&amp;TEXT(I128+1/24,"yyyy-MM-DD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128&amp;"%22')),sort:!(Time,asc))"</f>
        <v>https://search-rtdc-monitor-bjffxe2xuh6vdkpspy63sjmuny.us-east-1.es.amazonaws.com/_plugin/kibana/#/discover/Steve-Slow-Train-Analysis-(2080s-and-2083s)?_g=(refreshInterval:(display:Off,section:0,value:0),time:(from:'2016-10-13 16:54:18-0600',mode:absolute,to:'2016-10-13 19: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28" s="52" t="str">
        <f>IF(AA128&lt;IF(AG128="EC",23,5.65),"Y","N")</f>
        <v>N</v>
      </c>
      <c r="X128" s="149">
        <f>VALUE(LEFT(AD128,4))-VALUE(LEFT(AD127,4))</f>
        <v>1</v>
      </c>
      <c r="Y128" s="67">
        <f>RIGHT(D128,LEN(D128)-4)/10000</f>
        <v>4.4600000000000001E-2</v>
      </c>
      <c r="Z128" s="67">
        <f>RIGHT(H128,LEN(H128)-4)/10000</f>
        <v>23.330100000000002</v>
      </c>
      <c r="AA128" s="67">
        <f>ABS(Z128-Y128)</f>
        <v>23.285500000000003</v>
      </c>
      <c r="AB128" s="64" t="e">
        <f>VLOOKUP(A128,Enforcements!$C$7:$K$21,8,0)</f>
        <v>#N/A</v>
      </c>
      <c r="AC128" s="60" t="e">
        <f>VLOOKUP(A128,Enforcements!$C$7:$E$21,3,0)</f>
        <v>#N/A</v>
      </c>
      <c r="AD128" s="61" t="str">
        <f>IF(LEN(A128)=6,"0"&amp;A128,A128)</f>
        <v>0215-13</v>
      </c>
      <c r="AE128" s="91" t="str">
        <f>"aws s3 cp "&amp;s3_bucket&amp;"/RTDC"&amp;B128&amp;"/ "&amp;search_path&amp;"\RTDC"&amp;B128&amp;"\"&amp;TEXT(F128,"YYYY-MM-DD")&amp;" --exclude ""*"" --recursive --include ""*"&amp;TEXT(F128,"YYYYMMDD")&amp;"*"" &amp; """&amp;walkandungz&amp;""" "&amp;search_path&amp;"\RTDC"&amp;B128&amp;"\"&amp;TEXT(F128,"YYYY-MM-DD")
&amp;" &amp; "&amp;"aws s3 cp "&amp;s3_bucket&amp;"/RTDC"&amp;B128&amp;"/ "&amp;search_path&amp;"\RTDC"&amp;B128&amp;"\"&amp;TEXT(F128+1,"YYYY-MM-DD")&amp;" --exclude ""*"" --recursive --include ""*"&amp;TEXT(F128+1,"YYYYMMDD")&amp;"*"" &amp; """&amp;walkandungz&amp;""" "&amp;search_path&amp;"\RTDC"&amp;B128&amp;"\"&amp;TEXT(F128+1,"YYYY-MM-DD")</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28" s="88" t="str">
        <f>astrogrep_path&amp;" /spath="&amp;search_path&amp;" /stypes=""app*"&amp;B128&amp;"*"&amp;TEXT(I128-utc_offset/24,"YYYYMMDD")&amp;"*"" /stext="" "&amp;TEXT(I128-utc_offset/24,"HH")&amp;search_regexp&amp;""" /e /r /s"</f>
        <v>"C:\Program Files (x86)\AstroGrep\AstroGrep.exe" /spath="%USERPROFILE%\AppData\Local\Temp\OnboardLogs" /stypes="app*4042*20161014*" /stext=" 00:.+((SYSTEM_STATE.+slice.+state.+changed )|(ment ac)|(system.+state.+changed )|(\[timeout)|(PRM\|1\|D)|(kpr)|(kdp)|(\|lc)|(penalty))" /e /r /s</v>
      </c>
      <c r="AG128" s="1" t="str">
        <f>IFERROR(IF(VALUE(LEFT(AD128,2))&lt;=2,"EC",IF(OR(VALUE(LEFT(AD128,2))=8,VALUE(LEFT(AD128,2))=18),"NW","Other")),"Other")</f>
        <v>EC</v>
      </c>
      <c r="AH128" s="92" t="str">
        <f t="shared" si="6"/>
        <v>"%USERPROFILE%\Documents\GitHub\eaglep3\Utilities\RefineRTDCRunTimes.py" --tripid 215-13 --locoid 4042 --swversion DE.1.0.7.0 --startMP 204:446 --initTime 2016-10-13T17:54:18 --startdatetime 2016-10-13T18:00:35 --delay 6 --endMP 204:233301 --enddatetime 2016-10-13T18:36:54 --enforcementcount 1 &gt;&gt;C:\Users\stu\Documents\GitHub\eaglep3-reporting\EC\2016-10-13-refined-times.txt</v>
      </c>
      <c r="AI128" s="122" t="str">
        <f t="shared" si="7"/>
        <v>echo {"issue":{"subject":"","project_id":79,"tracker_id":40,"status_id":1,"priority_id":2,"assigned_to_id":23,"start_date":"2016-10-13","description":"","custom_fields":[{"id":1,"name":"Subdivision","value":"EC"},{"id":4,"name":"Milepost","value":"23.3301"},{"id":17,"name":"Train ID","value":"215-13"},{"id":16,"name":"Locomotive ID","value":"4042"},{"id":130,"name":"Impact","value":""},{"id":150,"name":"Time of Event (Mountain Time)","value":"18:36:54"},{"id":151,"name":"Denver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571</v>
      </c>
      <c r="B129" s="7">
        <v>4041</v>
      </c>
      <c r="C129" s="22" t="s">
        <v>99</v>
      </c>
      <c r="D129" s="22" t="s">
        <v>290</v>
      </c>
      <c r="E129" s="13">
        <v>42656.785173611112</v>
      </c>
      <c r="F129" s="13">
        <v>42656.789131944446</v>
      </c>
      <c r="G129" s="7">
        <v>1</v>
      </c>
      <c r="H129" s="13" t="s">
        <v>313</v>
      </c>
      <c r="I129" s="13">
        <v>42656.816180555557</v>
      </c>
      <c r="J129" s="7">
        <v>1</v>
      </c>
      <c r="K129" s="112" t="str">
        <f>IF(ISEVEN(B129),(B129-1)&amp;"/"&amp;B129,B129&amp;"/"&amp;(B129+1))</f>
        <v>4041/4042</v>
      </c>
      <c r="L129" s="22" t="str">
        <f>VLOOKUP(A129,'Trips&amp;Operators'!$C$1:$E$10000,3,FALSE)</f>
        <v>STORY</v>
      </c>
      <c r="M129" s="6">
        <f>I129-F129</f>
        <v>2.7048611111240461E-2</v>
      </c>
      <c r="N129" s="7">
        <f>24*60*SUM($M129:$M129)</f>
        <v>38.950000000186265</v>
      </c>
      <c r="O129" s="7"/>
      <c r="P129" s="7"/>
      <c r="Q129" s="23"/>
      <c r="R129" s="23"/>
      <c r="S129" s="35">
        <f>SUM(U129:U129)/IF(AG129="EC",12,1)</f>
        <v>1</v>
      </c>
      <c r="T129" s="50" t="str">
        <f>IF(ISEVEN(LEFT(AD129,4)),"Southbound","NorthBound")</f>
        <v>Southbound</v>
      </c>
      <c r="U129" s="144">
        <f>IF(AG129="EC",COUNTIFS(Variables!$M$2:$M$19,IF(T129="NorthBound","&gt;=","&lt;=")&amp;Y129,Variables!$M$2:$M$19,IF(T129="NorthBound","&lt;=","&gt;=")&amp;Z129),COUNTIFS(Variables!$P$2:$P$19,IF(T129="NorthBound","&gt;=","&lt;=")&amp;Y129,Variables!$P$2:$P$19,IF(T129="NorthBound","&lt;=","&gt;=")&amp;Z129))</f>
        <v>12</v>
      </c>
      <c r="V129" s="98" t="str">
        <f>"https://search-rtdc-monitor-bjffxe2xuh6vdkpspy63sjmuny.us-east-1.es.amazonaws.com/_plugin/kibana/#/discover/Steve-Slow-Train-Analysis-(2080s-and-2083s)?_g=(refreshInterval:(display:Off,section:0,value:0),time:(from:'"&amp;TEXT(E129-1/24,"yyyy-MM-DD hh:mm:ss")&amp;"-0600',mode:absolute,to:'"&amp;TEXT(I129+1/24,"yyyy-MM-DD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129&amp;"%22')),sort:!(Time,asc))"</f>
        <v>https://search-rtdc-monitor-bjffxe2xuh6vdkpspy63sjmuny.us-east-1.es.amazonaws.com/_plugin/kibana/#/discover/Steve-Slow-Train-Analysis-(2080s-and-2083s)?_g=(refreshInterval:(display:Off,section:0,value:0),time:(from:'2016-10-13 17:50:39-0600',mode:absolute,to:'2016-10-13 20: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29" s="52" t="str">
        <f>IF(AA129&lt;IF(AG129="EC",23,5.65),"Y","N")</f>
        <v>N</v>
      </c>
      <c r="X129" s="149">
        <f>VALUE(LEFT(AD129,4))-VALUE(LEFT(AD128,4))</f>
        <v>1</v>
      </c>
      <c r="Y129" s="67">
        <f>RIGHT(D129,LEN(D129)-4)/10000</f>
        <v>23.298200000000001</v>
      </c>
      <c r="Z129" s="67">
        <f>RIGHT(H129,LEN(H129)-4)/10000</f>
        <v>1.67E-2</v>
      </c>
      <c r="AA129" s="67">
        <f>ABS(Z129-Y129)</f>
        <v>23.281500000000001</v>
      </c>
      <c r="AB129" s="64" t="e">
        <f>VLOOKUP(A129,Enforcements!$C$7:$K$21,8,0)</f>
        <v>#N/A</v>
      </c>
      <c r="AC129" s="60" t="e">
        <f>VLOOKUP(A129,Enforcements!$C$7:$E$21,3,0)</f>
        <v>#N/A</v>
      </c>
      <c r="AD129" s="61" t="str">
        <f>IF(LEN(A129)=6,"0"&amp;A129,A129)</f>
        <v>0216-13</v>
      </c>
      <c r="AE129" s="91" t="str">
        <f>"aws s3 cp "&amp;s3_bucket&amp;"/RTDC"&amp;B129&amp;"/ "&amp;search_path&amp;"\RTDC"&amp;B129&amp;"\"&amp;TEXT(F129,"YYYY-MM-DD")&amp;" --exclude ""*"" --recursive --include ""*"&amp;TEXT(F129,"YYYYMMDD")&amp;"*"" &amp; """&amp;walkandungz&amp;""" "&amp;search_path&amp;"\RTDC"&amp;B129&amp;"\"&amp;TEXT(F129,"YYYY-MM-DD")
&amp;" &amp; "&amp;"aws s3 cp "&amp;s3_bucket&amp;"/RTDC"&amp;B129&amp;"/ "&amp;search_path&amp;"\RTDC"&amp;B129&amp;"\"&amp;TEXT(F129+1,"YYYY-MM-DD")&amp;" --exclude ""*"" --recursive --include ""*"&amp;TEXT(F129+1,"YYYYMMDD")&amp;"*"" &amp; """&amp;walkandungz&amp;""" "&amp;search_path&amp;"\RTDC"&amp;B129&amp;"\"&amp;TEXT(F129+1,"YYYY-MM-DD")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29" s="88" t="str">
        <f>astrogrep_path&amp;" /spath="&amp;search_path&amp;" /stypes=""app*"&amp;B129&amp;"*"&amp;TEXT(I129-utc_offset/24,"YYYYMMDD")&amp;"*"" /stext="" "&amp;TEXT(I129-utc_offset/24,"HH")&amp;search_regexp&amp;""" /e /r /s"</f>
        <v>"C:\Program Files (x86)\AstroGrep\AstroGrep.exe" /spath="%USERPROFILE%\AppData\Local\Temp\OnboardLogs" /stypes="app*4041*20161014*" /stext=" 01:.+((SYSTEM_STATE.+slice.+state.+changed )|(ment ac)|(system.+state.+changed )|(\[timeout)|(PRM\|1\|D)|(kpr)|(kdp)|(\|lc)|(penalty))" /e /r /s</v>
      </c>
      <c r="AG129" s="1" t="str">
        <f>IFERROR(IF(VALUE(LEFT(AD129,2))&lt;=2,"EC",IF(OR(VALUE(LEFT(AD129,2))=8,VALUE(LEFT(AD129,2))=18),"NW","Other")),"Other")</f>
        <v>EC</v>
      </c>
      <c r="AH129" s="92" t="str">
        <f t="shared" si="6"/>
        <v>"%USERPROFILE%\Documents\GitHub\eaglep3\Utilities\RefineRTDCRunTimes.py" --tripid 216-13 --locoid 4041 --swversion DE.1.0.7.0 --startMP 204:232982 --initTime 2016-10-13T18:50:39 --startdatetime 2016-10-13T18:56:21 --delay 1 --endMP 204:167 --enddatetime 2016-10-13T19:35:18 --enforcementcount 1 &gt;&gt;C:\Users\stu\Documents\GitHub\eaglep3-reporting\EC\2016-10-13-refined-times.txt</v>
      </c>
      <c r="AI129" s="122" t="str">
        <f t="shared" si="7"/>
        <v>echo {"issue":{"subject":"","project_id":79,"tracker_id":40,"status_id":1,"priority_id":2,"assigned_to_id":23,"start_date":"2016-10-13","description":"","custom_fields":[{"id":1,"name":"Subdivision","value":"EC"},{"id":4,"name":"Milepost","value":"0.0167"},{"id":17,"name":"Train ID","value":"216-13"},{"id":16,"name":"Locomotive ID","value":"4041"},{"id":130,"name":"Impact","value":""},{"id":150,"name":"Time of Event (Mountain Time)","value":"19:35:18"},{"id":151,"name":"Denver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x14ac:dyDescent="0.25">
      <c r="A130" s="37" t="s">
        <v>562</v>
      </c>
      <c r="B130" s="7">
        <v>4044</v>
      </c>
      <c r="C130" s="22" t="s">
        <v>99</v>
      </c>
      <c r="D130" s="22" t="s">
        <v>288</v>
      </c>
      <c r="E130" s="13">
        <v>42656.75681712963</v>
      </c>
      <c r="F130" s="13">
        <v>42656.760613425926</v>
      </c>
      <c r="G130" s="7">
        <v>2</v>
      </c>
      <c r="H130" s="13" t="s">
        <v>671</v>
      </c>
      <c r="I130" s="13">
        <v>42656.785682870373</v>
      </c>
      <c r="J130" s="7">
        <v>1</v>
      </c>
      <c r="K130" s="112" t="str">
        <f>IF(ISEVEN(B130),(B130-1)&amp;"/"&amp;B130,B130&amp;"/"&amp;(B130+1))</f>
        <v>4043/4044</v>
      </c>
      <c r="L130" s="22" t="str">
        <f>VLOOKUP(A130,'Trips&amp;Operators'!$C$1:$E$10000,3,FALSE)</f>
        <v>BERLING</v>
      </c>
      <c r="M130" s="6">
        <f>I130-F130</f>
        <v>2.5069444447581191E-2</v>
      </c>
      <c r="N130" s="7">
        <f>24*60*SUM($M130:$M130)</f>
        <v>36.100000004516914</v>
      </c>
      <c r="O130" s="7"/>
      <c r="P130" s="7"/>
      <c r="Q130" s="23"/>
      <c r="R130" s="23"/>
      <c r="S130" s="35">
        <f>SUM(U130:U130)/IF(AG130="EC",12,1)</f>
        <v>1</v>
      </c>
      <c r="T130" s="50" t="str">
        <f>IF(ISEVEN(LEFT(AD130,4)),"Southbound","NorthBound")</f>
        <v>NorthBound</v>
      </c>
      <c r="U130" s="144">
        <f>IF(AG130="EC",COUNTIFS(Variables!$M$2:$M$19,IF(T130="NorthBound","&gt;=","&lt;=")&amp;Y130,Variables!$M$2:$M$19,IF(T130="NorthBound","&lt;=","&gt;=")&amp;Z130),COUNTIFS(Variables!$P$2:$P$19,IF(T130="NorthBound","&gt;=","&lt;=")&amp;Y130,Variables!$P$2:$P$19,IF(T130="NorthBound","&lt;=","&gt;=")&amp;Z130))</f>
        <v>12</v>
      </c>
      <c r="V130" s="98" t="str">
        <f>"https://search-rtdc-monitor-bjffxe2xuh6vdkpspy63sjmuny.us-east-1.es.amazonaws.com/_plugin/kibana/#/discover/Steve-Slow-Train-Analysis-(2080s-and-2083s)?_g=(refreshInterval:(display:Off,section:0,value:0),time:(from:'"&amp;TEXT(E130-1/24,"yyyy-MM-DD hh:mm:ss")&amp;"-0600',mode:absolute,to:'"&amp;TEXT(I130+1/24,"yyyy-MM-DD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130&amp;"%22')),sort:!(Time,asc))"</f>
        <v>https://search-rtdc-monitor-bjffxe2xuh6vdkpspy63sjmuny.us-east-1.es.amazonaws.com/_plugin/kibana/#/discover/Steve-Slow-Train-Analysis-(2080s-and-2083s)?_g=(refreshInterval:(display:Off,section:0,value:0),time:(from:'2016-10-13 17:09:49-0600',mode:absolute,to:'2016-10-13 19:51: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0" s="52" t="str">
        <f>IF(AA130&lt;IF(AG130="EC",23,5.65),"Y","N")</f>
        <v>N</v>
      </c>
      <c r="X130" s="149">
        <f>VALUE(LEFT(AD130,4))-VALUE(LEFT(AD129,4))</f>
        <v>1</v>
      </c>
      <c r="Y130" s="67">
        <f>RIGHT(D130,LEN(D130)-4)/10000</f>
        <v>4.5499999999999999E-2</v>
      </c>
      <c r="Z130" s="67">
        <f>RIGHT(H130,LEN(H130)-4)/10000</f>
        <v>23.3323</v>
      </c>
      <c r="AA130" s="67">
        <f>ABS(Z130-Y130)</f>
        <v>23.286799999999999</v>
      </c>
      <c r="AB130" s="64" t="e">
        <f>VLOOKUP(A130,Enforcements!$C$7:$K$21,8,0)</f>
        <v>#N/A</v>
      </c>
      <c r="AC130" s="60" t="e">
        <f>VLOOKUP(A130,Enforcements!$C$7:$E$21,3,0)</f>
        <v>#N/A</v>
      </c>
      <c r="AD130" s="61" t="str">
        <f>IF(LEN(A130)=6,"0"&amp;A130,A130)</f>
        <v>0217-13</v>
      </c>
      <c r="AE130" s="91" t="str">
        <f>"aws s3 cp "&amp;s3_bucket&amp;"/RTDC"&amp;B130&amp;"/ "&amp;search_path&amp;"\RTDC"&amp;B130&amp;"\"&amp;TEXT(F130,"YYYY-MM-DD")&amp;" --exclude ""*"" --recursive --include ""*"&amp;TEXT(F130,"YYYYMMDD")&amp;"*"" &amp; """&amp;walkandungz&amp;""" "&amp;search_path&amp;"\RTDC"&amp;B130&amp;"\"&amp;TEXT(F130,"YYYY-MM-DD")
&amp;" &amp; "&amp;"aws s3 cp "&amp;s3_bucket&amp;"/RTDC"&amp;B130&amp;"/ "&amp;search_path&amp;"\RTDC"&amp;B130&amp;"\"&amp;TEXT(F130+1,"YYYY-MM-DD")&amp;" --exclude ""*"" --recursive --include ""*"&amp;TEXT(F130+1,"YYYYMMDD")&amp;"*"" &amp; """&amp;walkandungz&amp;""" "&amp;search_path&amp;"\RTDC"&amp;B130&amp;"\"&amp;TEXT(F130+1,"YYYY-MM-DD")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0" s="88" t="str">
        <f>astrogrep_path&amp;" /spath="&amp;search_path&amp;" /stypes=""app*"&amp;B130&amp;"*"&amp;TEXT(I130-utc_offset/24,"YYYYMMDD")&amp;"*"" /stext="" "&amp;TEXT(I130-utc_offset/24,"HH")&amp;search_regexp&amp;""" /e /r /s"</f>
        <v>"C:\Program Files (x86)\AstroGrep\AstroGrep.exe" /spath="%USERPROFILE%\AppData\Local\Temp\OnboardLogs" /stypes="app*4044*20161014*" /stext=" 00:.+((SYSTEM_STATE.+slice.+state.+changed )|(ment ac)|(system.+state.+changed )|(\[timeout)|(PRM\|1\|D)|(kpr)|(kdp)|(\|lc)|(penalty))" /e /r /s</v>
      </c>
      <c r="AG130" s="1" t="str">
        <f>IFERROR(IF(VALUE(LEFT(AD130,2))&lt;=2,"EC",IF(OR(VALUE(LEFT(AD130,2))=8,VALUE(LEFT(AD130,2))=18),"NW","Other")),"Other")</f>
        <v>EC</v>
      </c>
      <c r="AH130" s="92" t="str">
        <f t="shared" si="6"/>
        <v>"%USERPROFILE%\Documents\GitHub\eaglep3\Utilities\RefineRTDCRunTimes.py" --tripid 217-13 --locoid 4044 --swversion DE.1.0.7.0 --startMP 204:455 --initTime 2016-10-13T18:09:49 --startdatetime 2016-10-13T18:15:17 --delay 2 --endMP 204:233323 --enddatetime 2016-10-13T18:51:23 --enforcementcount 1 &gt;&gt;C:\Users\stu\Documents\GitHub\eaglep3-reporting\EC\2016-10-13-refined-times.txt</v>
      </c>
      <c r="AI130" s="122" t="str">
        <f t="shared" si="7"/>
        <v>echo {"issue":{"subject":"","project_id":79,"tracker_id":40,"status_id":1,"priority_id":2,"assigned_to_id":23,"start_date":"2016-10-13","description":"","custom_fields":[{"id":1,"name":"Subdivision","value":"EC"},{"id":4,"name":"Milepost","value":"23.3323"},{"id":17,"name":"Train ID","value":"217-13"},{"id":16,"name":"Locomotive ID","value":"4044"},{"id":130,"name":"Impact","value":""},{"id":150,"name":"Time of Event (Mountain Time)","value":"18:51:23"},{"id":151,"name":"Denver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row>
    <row r="131" spans="1:91" s="21" customFormat="1" x14ac:dyDescent="0.25">
      <c r="A131" s="37" t="s">
        <v>573</v>
      </c>
      <c r="B131" s="7">
        <v>4043</v>
      </c>
      <c r="C131" s="22" t="s">
        <v>99</v>
      </c>
      <c r="D131" s="22" t="s">
        <v>288</v>
      </c>
      <c r="E131" s="13">
        <v>42656.75681712963</v>
      </c>
      <c r="F131" s="13">
        <v>42656.799525462964</v>
      </c>
      <c r="G131" s="7">
        <v>2</v>
      </c>
      <c r="H131" s="13" t="s">
        <v>671</v>
      </c>
      <c r="I131" s="13">
        <v>42656.818599537037</v>
      </c>
      <c r="J131" s="7">
        <v>1</v>
      </c>
      <c r="K131" s="112" t="str">
        <f>IF(ISEVEN(B131),(B131-1)&amp;"/"&amp;B131,B131&amp;"/"&amp;(B131+1))</f>
        <v>4043/4044</v>
      </c>
      <c r="L131" s="22" t="str">
        <f>VLOOKUP(A131,'Trips&amp;Operators'!$C$1:$E$10000,3,FALSE)</f>
        <v>BERLING</v>
      </c>
      <c r="M131" s="6">
        <f>I131-F131</f>
        <v>1.9074074072705116E-2</v>
      </c>
      <c r="N131" s="7"/>
      <c r="O131" s="7"/>
      <c r="P131" s="7">
        <f>24*60*SUM($M131:$M131)</f>
        <v>27.466666664695367</v>
      </c>
      <c r="Q131" s="23"/>
      <c r="R131" s="23" t="s">
        <v>279</v>
      </c>
      <c r="S131" s="35">
        <f>SUM(U131:U131)/IF(AG131="EC",12,1)</f>
        <v>0.58333333333333337</v>
      </c>
      <c r="T131" s="50" t="str">
        <f>IF(ISEVEN(LEFT(AD131,4)),"Southbound","NorthBound")</f>
        <v>Southbound</v>
      </c>
      <c r="U131" s="144">
        <f>IF(AG131="EC",COUNTIFS(Variables!$M$2:$M$19,IF(T131="NorthBound","&gt;=","&lt;=")&amp;Y131,Variables!$M$2:$M$19,IF(T131="NorthBound","&lt;=","&gt;=")&amp;Z131),COUNTIFS(Variables!$P$2:$P$19,IF(T131="NorthBound","&gt;=","&lt;=")&amp;Y131,Variables!$P$2:$P$19,IF(T131="NorthBound","&lt;=","&gt;=")&amp;Z131))</f>
        <v>7</v>
      </c>
      <c r="V131" s="98" t="str">
        <f>"https://search-rtdc-monitor-bjffxe2xuh6vdkpspy63sjmuny.us-east-1.es.amazonaws.com/_plugin/kibana/#/discover/Steve-Slow-Train-Analysis-(2080s-and-2083s)?_g=(refreshInterval:(display:Off,section:0,value:0),time:(from:'"&amp;TEXT(E131-1/24,"yyyy-MM-DD hh:mm:ss")&amp;"-0600',mode:absolute,to:'"&amp;TEXT(I131+1/24,"yyyy-MM-DD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131&amp;"%22')),sort:!(Time,asc))"</f>
        <v>https://search-rtdc-monitor-bjffxe2xuh6vdkpspy63sjmuny.us-east-1.es.amazonaws.com/_plugin/kibana/#/discover/Steve-Slow-Train-Analysis-(2080s-and-2083s)?_g=(refreshInterval:(display:Off,section:0,value:0),time:(from:'2016-10-13 17:09:49-0600',mode:absolute,to:'2016-10-13 20:38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1" s="52" t="str">
        <f>IF(AA131&lt;IF(AG131="EC",23,5.65),"Y","N")</f>
        <v>Y</v>
      </c>
      <c r="X131" s="149">
        <f>VALUE(LEFT(AD131,4))-VALUE(LEFT(AD130,4))</f>
        <v>1</v>
      </c>
      <c r="Y131" s="67">
        <v>23.2807</v>
      </c>
      <c r="Z131" s="67">
        <v>5.2248000000000001</v>
      </c>
      <c r="AA131" s="67">
        <f>ABS(Z131-Y131)</f>
        <v>18.055900000000001</v>
      </c>
      <c r="AB131" s="64" t="e">
        <f>VLOOKUP(A131,Enforcements!$C$7:$K$21,8,0)</f>
        <v>#N/A</v>
      </c>
      <c r="AC131" s="60" t="e">
        <f>VLOOKUP(A131,Enforcements!$C$7:$E$21,3,0)</f>
        <v>#N/A</v>
      </c>
      <c r="AD131" s="61" t="str">
        <f>IF(LEN(A131)=6,"0"&amp;A131,A131)</f>
        <v>0218-13</v>
      </c>
      <c r="AE131" s="91" t="str">
        <f>"aws s3 cp "&amp;s3_bucket&amp;"/RTDC"&amp;B131&amp;"/ "&amp;search_path&amp;"\RTDC"&amp;B131&amp;"\"&amp;TEXT(F131,"YYYY-MM-DD")&amp;" --exclude ""*"" --recursive --include ""*"&amp;TEXT(F131,"YYYYMMDD")&amp;"*"" &amp; """&amp;walkandungz&amp;""" "&amp;search_path&amp;"\RTDC"&amp;B131&amp;"\"&amp;TEXT(F131,"YYYY-MM-DD")
&amp;" &amp; "&amp;"aws s3 cp "&amp;s3_bucket&amp;"/RTDC"&amp;B131&amp;"/ "&amp;search_path&amp;"\RTDC"&amp;B131&amp;"\"&amp;TEXT(F131+1,"YYYY-MM-DD")&amp;" --exclude ""*"" --recursive --include ""*"&amp;TEXT(F131+1,"YYYYMMDD")&amp;"*"" &amp; """&amp;walkandungz&amp;""" "&amp;search_path&amp;"\RTDC"&amp;B131&amp;"\"&amp;TEXT(F131+1,"YYYY-MM-DD")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1" s="88" t="str">
        <f>astrogrep_path&amp;" /spath="&amp;search_path&amp;" /stypes=""app*"&amp;B131&amp;"*"&amp;TEXT(I131-utc_offset/24,"YYYYMMDD")&amp;"*"" /stext="" "&amp;TEXT(I131-utc_offset/24,"HH")&amp;search_regexp&amp;""" /e /r /s"</f>
        <v>"C:\Program Files (x86)\AstroGrep\AstroGrep.exe" /spath="%USERPROFILE%\AppData\Local\Temp\OnboardLogs" /stypes="app*4043*20161014*" /stext=" 01:.+((SYSTEM_STATE.+slice.+state.+changed )|(ment ac)|(system.+state.+changed )|(\[timeout)|(PRM\|1\|D)|(kpr)|(kdp)|(\|lc)|(penalty))" /e /r /s</v>
      </c>
      <c r="AG131" s="1" t="str">
        <f>IFERROR(IF(VALUE(LEFT(AD131,2))&lt;=2,"EC",IF(OR(VALUE(LEFT(AD131,2))=8,VALUE(LEFT(AD131,2))=18),"NW","Other")),"Other")</f>
        <v>EC</v>
      </c>
      <c r="AH131" s="92" t="str">
        <f t="shared" ref="AH131" si="11">refinertdcruntimes&amp;" --tripid "&amp;A131&amp;" --locoid "&amp;B131&amp;" --swversion "&amp;C131&amp;" --startMP "&amp;D131&amp;" --initTime "&amp;TEXT(E131,"yyyy-mm-ddTHH:MM:SS")&amp;" --startdatetime "&amp;TEXT(F131,"yyyy-mm-ddTHH:MM:SS")&amp;" --delay "&amp;G131&amp;" --endMP "&amp;H131&amp;" --enddatetime "&amp;TEXT(I131,"yyyy-mm-ddTHH:MM:SS")&amp;" --enforcementcount "&amp;J131&amp;IF(outputrefinedruntimes," &gt;&gt;"&amp;RefinedRTDCRunTimesOutputFile,"")</f>
        <v>"%USERPROFILE%\Documents\GitHub\eaglep3\Utilities\RefineRTDCRunTimes.py" --tripid 218-13 --locoid 4043 --swversion DE.1.0.7.0 --startMP 204:455 --initTime 2016-10-13T18:09:49 --startdatetime 2016-10-13T19:11:19 --delay 2 --endMP 204:233323 --enddatetime 2016-10-13T19:38:47 --enforcementcount 1 &gt;&gt;C:\Users\stu\Documents\GitHub\eaglep3-reporting\EC\2016-10-13-refined-times.txt</v>
      </c>
      <c r="AI131" s="122" t="str">
        <f t="shared" ref="AI131" si="12">"echo {""issue"":{""subject"":"""&amp;R131&amp;""",""project_id"":79,""tracker_id"":40,""status_id"":"&amp;redmine_status&amp;",""priority_id"":"&amp;redmine_priority&amp;",""assigned_to_id"":"&amp;redmine_assignee&amp;",""start_date"":"""&amp;TEXT(I131,"YYYY-mm-dd")&amp;""",""description"":"""&amp;AJ131&amp;""",""custom_fields"":[{""id"":1,""name"":""Subdivision"",""value"":"""&amp;AG131&amp;"""},{""id"":4,""name"":""Milepost"",""value"":"""&amp;Z131&amp;"""},{""id"":17,""name"":""Train ID"",""value"":"""&amp;A131&amp;"""},{""id"":16,""name"":""Locomotive ID"",""value"":"""&amp;B131&amp;"""},{""id"":130,""name"":""Impact"",""value"":"""&amp;AK131&amp;"""},{""id"":150,""name"":""Time of Event (Mountain Time)"",""value"":"""&amp;TEXT(I131,"hh:mm:ss")&amp;"""},{""id"":151,""name"":""Denver Issue ID"",""value"":"""&amp;"""},{""id"":178,""name"":""Operational Impact"",""value"":"""&amp;redmine_op_impact&amp;"""},{""id"":179,""name"":""Denver Segment Assigned"",""value"":"""&amp;AL131&amp;"""}]}}"&amp;" | curl -X POST -H ""Content-Type: application/json"" -H ""X-Redmine-API-Key: "&amp;redm_api_key&amp;""" "&amp;redm_url&amp;" --data @-"</f>
        <v>echo {"issue":{"subject":"Onboard in-route failure","project_id":79,"tracker_id":40,"status_id":1,"priority_id":2,"assigned_to_id":23,"start_date":"2016-10-13","description":"multiple cpu faults @ 2016-10-13 19:38:55 ","custom_fields":[{"id":1,"name":"Subdivision","value":"EC"},{"id":4,"name":"Milepost","value":"5.2248"},{"id":17,"name":"Train ID","value":"218-13"},{"id":16,"name":"Locomotive ID","value":"4043"},{"id":130,"name":"Impact","value":"Failed State"},{"id":150,"name":"Time of Event (Mountain Time)","value":"19:38:47"},{"id":151,"name":"Denver Issue ID","value":""},{"id":178,"name":"Operational Impact","value":"Yes"},{"id":179,"name":"Denver Segment Assigned","value":"Loco - PTC"}]}} | curl -X POST -H "Content-Type: application/json" -H "X-Redmine-API-Key: d6333d4a04012a730768444271f8ca06482dae87" https://secure.xorail.net/redmine/issues.json --data @-</v>
      </c>
      <c r="AJ131" s="53" t="s">
        <v>777</v>
      </c>
      <c r="AK131" s="53" t="s">
        <v>129</v>
      </c>
      <c r="AL131" s="53" t="s">
        <v>179</v>
      </c>
    </row>
    <row r="132" spans="1:91" s="21" customFormat="1" x14ac:dyDescent="0.25">
      <c r="A132" s="37" t="s">
        <v>565</v>
      </c>
      <c r="B132" s="7">
        <v>4018</v>
      </c>
      <c r="C132" s="22" t="s">
        <v>99</v>
      </c>
      <c r="D132" s="22" t="s">
        <v>302</v>
      </c>
      <c r="E132" s="13">
        <v>42656.768460648149</v>
      </c>
      <c r="F132" s="13">
        <v>42656.771180555559</v>
      </c>
      <c r="G132" s="7">
        <v>2</v>
      </c>
      <c r="H132" s="13" t="s">
        <v>305</v>
      </c>
      <c r="I132" s="13">
        <v>42656.796585648146</v>
      </c>
      <c r="J132" s="7">
        <v>1</v>
      </c>
      <c r="K132" s="112" t="str">
        <f>IF(ISEVEN(B132),(B132-1)&amp;"/"&amp;B132,B132&amp;"/"&amp;(B132+1))</f>
        <v>4017/4018</v>
      </c>
      <c r="L132" s="22" t="str">
        <f>VLOOKUP(A132,'Trips&amp;Operators'!$C$1:$E$10000,3,FALSE)</f>
        <v>STURGEON</v>
      </c>
      <c r="M132" s="6">
        <f>I132-F132</f>
        <v>2.5405092586879618E-2</v>
      </c>
      <c r="N132" s="7">
        <f>24*60*SUM($M132:$M132)</f>
        <v>36.583333325106651</v>
      </c>
      <c r="O132" s="7"/>
      <c r="P132" s="7"/>
      <c r="Q132" s="23"/>
      <c r="R132" s="23"/>
      <c r="S132" s="35">
        <f>SUM(U132:U132)/IF(AG132="EC",12,1)</f>
        <v>1</v>
      </c>
      <c r="T132" s="50" t="str">
        <f>IF(ISEVEN(LEFT(AD132,4)),"Southbound","NorthBound")</f>
        <v>NorthBound</v>
      </c>
      <c r="U132" s="144">
        <f>IF(AG132="EC",COUNTIFS(Variables!$M$2:$M$19,IF(T132="NorthBound","&gt;=","&lt;=")&amp;Y132,Variables!$M$2:$M$19,IF(T132="NorthBound","&lt;=","&gt;=")&amp;Z132),COUNTIFS(Variables!$P$2:$P$19,IF(T132="NorthBound","&gt;=","&lt;=")&amp;Y132,Variables!$P$2:$P$19,IF(T132="NorthBound","&lt;=","&gt;=")&amp;Z132))</f>
        <v>12</v>
      </c>
      <c r="V132" s="98" t="str">
        <f>"https://search-rtdc-monitor-bjffxe2xuh6vdkpspy63sjmuny.us-east-1.es.amazonaws.com/_plugin/kibana/#/discover/Steve-Slow-Train-Analysis-(2080s-and-2083s)?_g=(refreshInterval:(display:Off,section:0,value:0),time:(from:'"&amp;TEXT(E132-1/24,"yyyy-MM-DD hh:mm:ss")&amp;"-0600',mode:absolute,to:'"&amp;TEXT(I132+1/24,"yyyy-MM-DD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132&amp;"%22')),sort:!(Time,asc))"</f>
        <v>https://search-rtdc-monitor-bjffxe2xuh6vdkpspy63sjmuny.us-east-1.es.amazonaws.com/_plugin/kibana/#/discover/Steve-Slow-Train-Analysis-(2080s-and-2083s)?_g=(refreshInterval:(display:Off,section:0,value:0),time:(from:'2016-10-13 17:26:35-0600',mode:absolute,to:'2016-10-13 20:07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32" s="52" t="str">
        <f>IF(AA132&lt;IF(AG132="EC",23,5.65),"Y","N")</f>
        <v>N</v>
      </c>
      <c r="X132" s="149">
        <f>VALUE(LEFT(AD132,4))-VALUE(LEFT(AD131,4))</f>
        <v>1</v>
      </c>
      <c r="Y132" s="67">
        <f>RIGHT(D132,LEN(D132)-4)/10000</f>
        <v>4.6600000000000003E-2</v>
      </c>
      <c r="Z132" s="67">
        <f>RIGHT(H132,LEN(H132)-4)/10000</f>
        <v>23.329499999999999</v>
      </c>
      <c r="AA132" s="67">
        <f>ABS(Z132-Y132)</f>
        <v>23.282899999999998</v>
      </c>
      <c r="AB132" s="64" t="e">
        <f>VLOOKUP(A132,Enforcements!$C$7:$K$21,8,0)</f>
        <v>#N/A</v>
      </c>
      <c r="AC132" s="60" t="e">
        <f>VLOOKUP(A132,Enforcements!$C$7:$E$21,3,0)</f>
        <v>#N/A</v>
      </c>
      <c r="AD132" s="61" t="str">
        <f>IF(LEN(A132)=6,"0"&amp;A132,A132)</f>
        <v>0219-13</v>
      </c>
      <c r="AE132" s="91" t="str">
        <f>"aws s3 cp "&amp;s3_bucket&amp;"/RTDC"&amp;B132&amp;"/ "&amp;search_path&amp;"\RTDC"&amp;B132&amp;"\"&amp;TEXT(F132,"YYYY-MM-DD")&amp;" --exclude ""*"" --recursive --include ""*"&amp;TEXT(F132,"YYYYMMDD")&amp;"*"" &amp; """&amp;walkandungz&amp;""" "&amp;search_path&amp;"\RTDC"&amp;B132&amp;"\"&amp;TEXT(F132,"YYYY-MM-DD")
&amp;" &amp; "&amp;"aws s3 cp "&amp;s3_bucket&amp;"/RTDC"&amp;B132&amp;"/ "&amp;search_path&amp;"\RTDC"&amp;B132&amp;"\"&amp;TEXT(F132+1,"YYYY-MM-DD")&amp;" --exclude ""*"" --recursive --include ""*"&amp;TEXT(F132+1,"YYYYMMDD")&amp;"*"" &amp; """&amp;walkandungz&amp;""" "&amp;search_path&amp;"\RTDC"&amp;B132&amp;"\"&amp;TEXT(F132+1,"YYYY-MM-DD")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32" s="88" t="str">
        <f>astrogrep_path&amp;" /spath="&amp;search_path&amp;" /stypes=""app*"&amp;B132&amp;"*"&amp;TEXT(I132-utc_offset/24,"YYYYMMDD")&amp;"*"" /stext="" "&amp;TEXT(I132-utc_offset/24,"HH")&amp;search_regexp&amp;""" /e /r /s"</f>
        <v>"C:\Program Files (x86)\AstroGrep\AstroGrep.exe" /spath="%USERPROFILE%\AppData\Local\Temp\OnboardLogs" /stypes="app*4018*20161014*" /stext=" 01:.+((SYSTEM_STATE.+slice.+state.+changed )|(ment ac)|(system.+state.+changed )|(\[timeout)|(PRM\|1\|D)|(kpr)|(kdp)|(\|lc)|(penalty))" /e /r /s</v>
      </c>
      <c r="AG132" s="1" t="str">
        <f>IFERROR(IF(VALUE(LEFT(AD132,2))&lt;=2,"EC",IF(OR(VALUE(LEFT(AD132,2))=8,VALUE(LEFT(AD132,2))=18),"NW","Other")),"Other")</f>
        <v>EC</v>
      </c>
      <c r="AH132" s="92" t="str">
        <f t="shared" si="6"/>
        <v>"%USERPROFILE%\Documents\GitHub\eaglep3\Utilities\RefineRTDCRunTimes.py" --tripid 219-13 --locoid 4018 --swversion DE.1.0.7.0 --startMP 204:466 --initTime 2016-10-13T18:26:35 --startdatetime 2016-10-13T18:30:30 --delay 2 --endMP 204:233295 --enddatetime 2016-10-13T19:07:05 --enforcementcount 1 &gt;&gt;C:\Users\stu\Documents\GitHub\eaglep3-reporting\EC\2016-10-13-refined-times.txt</v>
      </c>
      <c r="AI132" s="122" t="str">
        <f t="shared" si="7"/>
        <v>echo {"issue":{"subject":"","project_id":79,"tracker_id":40,"status_id":1,"priority_id":2,"assigned_to_id":23,"start_date":"2016-10-13","description":"","custom_fields":[{"id":1,"name":"Subdivision","value":"EC"},{"id":4,"name":"Milepost","value":"23.3295"},{"id":17,"name":"Train ID","value":"219-13"},{"id":16,"name":"Locomotive ID","value":"4018"},{"id":130,"name":"Impact","value":""},{"id":150,"name":"Time of Event (Mountain Time)","value":"19:07:05"},{"id":151,"name":"Denver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x14ac:dyDescent="0.25">
      <c r="A133" s="37" t="s">
        <v>575</v>
      </c>
      <c r="B133" s="7">
        <v>4017</v>
      </c>
      <c r="C133" s="22" t="s">
        <v>99</v>
      </c>
      <c r="D133" s="22" t="s">
        <v>275</v>
      </c>
      <c r="E133" s="13">
        <v>42656.799791666665</v>
      </c>
      <c r="F133" s="13">
        <v>42656.809942129628</v>
      </c>
      <c r="G133" s="7">
        <v>2</v>
      </c>
      <c r="H133" s="13" t="s">
        <v>260</v>
      </c>
      <c r="I133" s="13">
        <v>42656.837187500001</v>
      </c>
      <c r="J133" s="7">
        <v>1</v>
      </c>
      <c r="K133" s="112" t="str">
        <f>IF(ISEVEN(B133),(B133-1)&amp;"/"&amp;B133,B133&amp;"/"&amp;(B133+1))</f>
        <v>4017/4018</v>
      </c>
      <c r="L133" s="22" t="str">
        <f>VLOOKUP(A133,'Trips&amp;Operators'!$C$1:$E$10000,3,FALSE)</f>
        <v>STURGEON</v>
      </c>
      <c r="M133" s="6">
        <f>I133-F133</f>
        <v>2.7245370372838806E-2</v>
      </c>
      <c r="N133" s="7">
        <f>24*60*SUM($M133:$M133)</f>
        <v>39.233333336887881</v>
      </c>
      <c r="O133" s="7"/>
      <c r="P133" s="7"/>
      <c r="Q133" s="23"/>
      <c r="R133" s="23"/>
      <c r="S133" s="35">
        <f>SUM(U133:U133)/IF(AG133="EC",12,1)</f>
        <v>1</v>
      </c>
      <c r="T133" s="50" t="str">
        <f>IF(ISEVEN(LEFT(AD133,4)),"Southbound","NorthBound")</f>
        <v>Southbound</v>
      </c>
      <c r="U133" s="144">
        <f>IF(AG133="EC",COUNTIFS(Variables!$M$2:$M$19,IF(T133="NorthBound","&gt;=","&lt;=")&amp;Y133,Variables!$M$2:$M$19,IF(T133="NorthBound","&lt;=","&gt;=")&amp;Z133),COUNTIFS(Variables!$P$2:$P$19,IF(T133="NorthBound","&gt;=","&lt;=")&amp;Y133,Variables!$P$2:$P$19,IF(T133="NorthBound","&lt;=","&gt;=")&amp;Z133))</f>
        <v>12</v>
      </c>
      <c r="V133" s="98" t="str">
        <f>"https://search-rtdc-monitor-bjffxe2xuh6vdkpspy63sjmuny.us-east-1.es.amazonaws.com/_plugin/kibana/#/discover/Steve-Slow-Train-Analysis-(2080s-and-2083s)?_g=(refreshInterval:(display:Off,section:0,value:0),time:(from:'"&amp;TEXT(E133-1/24,"yyyy-MM-DD hh:mm:ss")&amp;"-0600',mode:absolute,to:'"&amp;TEXT(I133+1/24,"yyyy-MM-DD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133&amp;"%22')),sort:!(Time,asc))"</f>
        <v>https://search-rtdc-monitor-bjffxe2xuh6vdkpspy63sjmuny.us-east-1.es.amazonaws.com/_plugin/kibana/#/discover/Steve-Slow-Train-Analysis-(2080s-and-2083s)?_g=(refreshInterval:(display:Off,section:0,value:0),time:(from:'2016-10-13 18:11:42-0600',mode:absolute,to:'2016-10-13 21: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33" s="52" t="str">
        <f>IF(AA133&lt;IF(AG133="EC",23,5.65),"Y","N")</f>
        <v>N</v>
      </c>
      <c r="X133" s="149">
        <f>VALUE(LEFT(AD133,4))-VALUE(LEFT(AD132,4))</f>
        <v>1</v>
      </c>
      <c r="Y133" s="67">
        <f>RIGHT(D133,LEN(D133)-4)/10000</f>
        <v>23.296900000000001</v>
      </c>
      <c r="Z133" s="67">
        <f>RIGHT(H133,LEN(H133)-4)/10000</f>
        <v>1.54E-2</v>
      </c>
      <c r="AA133" s="67">
        <f>ABS(Z133-Y133)</f>
        <v>23.281500000000001</v>
      </c>
      <c r="AB133" s="64" t="e">
        <f>VLOOKUP(A133,Enforcements!$C$7:$K$21,8,0)</f>
        <v>#N/A</v>
      </c>
      <c r="AC133" s="60" t="e">
        <f>VLOOKUP(A133,Enforcements!$C$7:$E$21,3,0)</f>
        <v>#N/A</v>
      </c>
      <c r="AD133" s="61" t="str">
        <f>IF(LEN(A133)=6,"0"&amp;A133,A133)</f>
        <v>0220-13</v>
      </c>
      <c r="AE133" s="91" t="str">
        <f>"aws s3 cp "&amp;s3_bucket&amp;"/RTDC"&amp;B133&amp;"/ "&amp;search_path&amp;"\RTDC"&amp;B133&amp;"\"&amp;TEXT(F133,"YYYY-MM-DD")&amp;" --exclude ""*"" --recursive --include ""*"&amp;TEXT(F133,"YYYYMMDD")&amp;"*"" &amp; """&amp;walkandungz&amp;""" "&amp;search_path&amp;"\RTDC"&amp;B133&amp;"\"&amp;TEXT(F133,"YYYY-MM-DD")
&amp;" &amp; "&amp;"aws s3 cp "&amp;s3_bucket&amp;"/RTDC"&amp;B133&amp;"/ "&amp;search_path&amp;"\RTDC"&amp;B133&amp;"\"&amp;TEXT(F133+1,"YYYY-MM-DD")&amp;" --exclude ""*"" --recursive --include ""*"&amp;TEXT(F133+1,"YYYYMMDD")&amp;"*"" &amp; """&amp;walkandungz&amp;""" "&amp;search_path&amp;"\RTDC"&amp;B133&amp;"\"&amp;TEXT(F133+1,"YYYY-MM-DD")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33" s="88" t="str">
        <f>astrogrep_path&amp;" /spath="&amp;search_path&amp;" /stypes=""app*"&amp;B133&amp;"*"&amp;TEXT(I133-utc_offset/24,"YYYYMMDD")&amp;"*"" /stext="" "&amp;TEXT(I133-utc_offset/24,"HH")&amp;search_regexp&amp;""" /e /r /s"</f>
        <v>"C:\Program Files (x86)\AstroGrep\AstroGrep.exe" /spath="%USERPROFILE%\AppData\Local\Temp\OnboardLogs" /stypes="app*4017*20161014*" /stext=" 02:.+((SYSTEM_STATE.+slice.+state.+changed )|(ment ac)|(system.+state.+changed )|(\[timeout)|(PRM\|1\|D)|(kpr)|(kdp)|(\|lc)|(penalty))" /e /r /s</v>
      </c>
      <c r="AG133" s="1" t="str">
        <f>IFERROR(IF(VALUE(LEFT(AD133,2))&lt;=2,"EC",IF(OR(VALUE(LEFT(AD133,2))=8,VALUE(LEFT(AD133,2))=18),"NW","Other")),"Other")</f>
        <v>EC</v>
      </c>
      <c r="AH133" s="92" t="str">
        <f t="shared" si="6"/>
        <v>"%USERPROFILE%\Documents\GitHub\eaglep3\Utilities\RefineRTDCRunTimes.py" --tripid 220-13 --locoid 4017 --swversion DE.1.0.7.0 --startMP 204:232969 --initTime 2016-10-13T19:11:42 --startdatetime 2016-10-13T19:26:19 --delay 2 --endMP 204:154 --enddatetime 2016-10-13T20:05:33 --enforcementcount 1 &gt;&gt;C:\Users\stu\Documents\GitHub\eaglep3-reporting\EC\2016-10-13-refined-times.txt</v>
      </c>
      <c r="AI133" s="122" t="str">
        <f t="shared" si="7"/>
        <v>echo {"issue":{"subject":"","project_id":79,"tracker_id":40,"status_id":1,"priority_id":2,"assigned_to_id":23,"start_date":"2016-10-13","description":"","custom_fields":[{"id":1,"name":"Subdivision","value":"EC"},{"id":4,"name":"Milepost","value":"0.0154"},{"id":17,"name":"Train ID","value":"220-13"},{"id":16,"name":"Locomotive ID","value":"4017"},{"id":130,"name":"Impact","value":""},{"id":150,"name":"Time of Event (Mountain Time)","value":"20:05:33"},{"id":151,"name":"Denver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row>
    <row r="134" spans="1:91" s="21" customFormat="1" x14ac:dyDescent="0.25">
      <c r="A134" s="37" t="s">
        <v>572</v>
      </c>
      <c r="B134" s="7">
        <v>4038</v>
      </c>
      <c r="C134" s="22" t="s">
        <v>99</v>
      </c>
      <c r="D134" s="22" t="s">
        <v>300</v>
      </c>
      <c r="E134" s="13">
        <v>42656.787060185183</v>
      </c>
      <c r="F134" s="13">
        <v>42656.791863425926</v>
      </c>
      <c r="G134" s="7">
        <v>1</v>
      </c>
      <c r="H134" s="13" t="s">
        <v>669</v>
      </c>
      <c r="I134" s="13">
        <v>42656.817384259259</v>
      </c>
      <c r="J134" s="7">
        <v>1</v>
      </c>
      <c r="K134" s="112" t="str">
        <f>IF(ISEVEN(B134),(B134-1)&amp;"/"&amp;B134,B134&amp;"/"&amp;(B134+1))</f>
        <v>4037/4038</v>
      </c>
      <c r="L134" s="22" t="str">
        <f>VLOOKUP(A134,'Trips&amp;Operators'!$C$1:$E$10000,3,FALSE)</f>
        <v>LEVERE</v>
      </c>
      <c r="M134" s="6">
        <f>I134-F134</f>
        <v>2.5520833332848269E-2</v>
      </c>
      <c r="N134" s="7">
        <f>24*60*SUM($M134:$M134)</f>
        <v>36.749999999301508</v>
      </c>
      <c r="O134" s="7"/>
      <c r="P134" s="7"/>
      <c r="Q134" s="23"/>
      <c r="R134" s="23"/>
      <c r="S134" s="35">
        <f>SUM(U134:U134)/IF(AG134="EC",12,1)</f>
        <v>1</v>
      </c>
      <c r="T134" s="50" t="str">
        <f>IF(ISEVEN(LEFT(AD134,4)),"Southbound","NorthBound")</f>
        <v>NorthBound</v>
      </c>
      <c r="U134" s="144">
        <f>IF(AG134="EC",COUNTIFS(Variables!$M$2:$M$19,IF(T134="NorthBound","&gt;=","&lt;=")&amp;Y134,Variables!$M$2:$M$19,IF(T134="NorthBound","&lt;=","&gt;=")&amp;Z134),COUNTIFS(Variables!$P$2:$P$19,IF(T134="NorthBound","&gt;=","&lt;=")&amp;Y134,Variables!$P$2:$P$19,IF(T134="NorthBound","&lt;=","&gt;=")&amp;Z134))</f>
        <v>12</v>
      </c>
      <c r="V134" s="98" t="str">
        <f>"https://search-rtdc-monitor-bjffxe2xuh6vdkpspy63sjmuny.us-east-1.es.amazonaws.com/_plugin/kibana/#/discover/Steve-Slow-Train-Analysis-(2080s-and-2083s)?_g=(refreshInterval:(display:Off,section:0,value:0),time:(from:'"&amp;TEXT(E134-1/24,"yyyy-MM-DD hh:mm:ss")&amp;"-0600',mode:absolute,to:'"&amp;TEXT(I134+1/24,"yyyy-MM-DD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134&amp;"%22')),sort:!(Time,asc))"</f>
        <v>https://search-rtdc-monitor-bjffxe2xuh6vdkpspy63sjmuny.us-east-1.es.amazonaws.com/_plugin/kibana/#/discover/Steve-Slow-Train-Analysis-(2080s-and-2083s)?_g=(refreshInterval:(display:Off,section:0,value:0),time:(from:'2016-10-13 17:53:22-0600',mode:absolute,to:'2016-10-13 20:37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4" s="52" t="str">
        <f>IF(AA134&lt;IF(AG134="EC",23,5.65),"Y","N")</f>
        <v>N</v>
      </c>
      <c r="X134" s="149">
        <f>VALUE(LEFT(AD134,4))-VALUE(LEFT(AD133,4))</f>
        <v>1</v>
      </c>
      <c r="Y134" s="67">
        <f>RIGHT(D134,LEN(D134)-4)/10000</f>
        <v>4.3799999999999999E-2</v>
      </c>
      <c r="Z134" s="67">
        <f>RIGHT(H134,LEN(H134)-4)/10000</f>
        <v>23.3308</v>
      </c>
      <c r="AA134" s="67">
        <f>ABS(Z134-Y134)</f>
        <v>23.286999999999999</v>
      </c>
      <c r="AB134" s="64" t="e">
        <f>VLOOKUP(A134,Enforcements!$C$7:$K$21,8,0)</f>
        <v>#N/A</v>
      </c>
      <c r="AC134" s="60" t="e">
        <f>VLOOKUP(A134,Enforcements!$C$7:$E$21,3,0)</f>
        <v>#N/A</v>
      </c>
      <c r="AD134" s="61" t="str">
        <f>IF(LEN(A134)=6,"0"&amp;A134,A134)</f>
        <v>0221-13</v>
      </c>
      <c r="AE134" s="91" t="str">
        <f>"aws s3 cp "&amp;s3_bucket&amp;"/RTDC"&amp;B134&amp;"/ "&amp;search_path&amp;"\RTDC"&amp;B134&amp;"\"&amp;TEXT(F134,"YYYY-MM-DD")&amp;" --exclude ""*"" --recursive --include ""*"&amp;TEXT(F134,"YYYYMMDD")&amp;"*"" &amp; """&amp;walkandungz&amp;""" "&amp;search_path&amp;"\RTDC"&amp;B134&amp;"\"&amp;TEXT(F134,"YYYY-MM-DD")
&amp;" &amp; "&amp;"aws s3 cp "&amp;s3_bucket&amp;"/RTDC"&amp;B134&amp;"/ "&amp;search_path&amp;"\RTDC"&amp;B134&amp;"\"&amp;TEXT(F134+1,"YYYY-MM-DD")&amp;" --exclude ""*"" --recursive --include ""*"&amp;TEXT(F134+1,"YYYYMMDD")&amp;"*"" &amp; """&amp;walkandungz&amp;""" "&amp;search_path&amp;"\RTDC"&amp;B134&amp;"\"&amp;TEXT(F134+1,"YYYY-MM-DD")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4" s="88" t="str">
        <f>astrogrep_path&amp;" /spath="&amp;search_path&amp;" /stypes=""app*"&amp;B134&amp;"*"&amp;TEXT(I134-utc_offset/24,"YYYYMMDD")&amp;"*"" /stext="" "&amp;TEXT(I134-utc_offset/24,"HH")&amp;search_regexp&amp;""" /e /r /s"</f>
        <v>"C:\Program Files (x86)\AstroGrep\AstroGrep.exe" /spath="%USERPROFILE%\AppData\Local\Temp\OnboardLogs" /stypes="app*4038*20161014*" /stext=" 01:.+((SYSTEM_STATE.+slice.+state.+changed )|(ment ac)|(system.+state.+changed )|(\[timeout)|(PRM\|1\|D)|(kpr)|(kdp)|(\|lc)|(penalty))" /e /r /s</v>
      </c>
      <c r="AG134" s="1" t="str">
        <f>IFERROR(IF(VALUE(LEFT(AD134,2))&lt;=2,"EC",IF(OR(VALUE(LEFT(AD134,2))=8,VALUE(LEFT(AD134,2))=18),"NW","Other")),"Other")</f>
        <v>EC</v>
      </c>
      <c r="AH134" s="92" t="str">
        <f t="shared" si="6"/>
        <v>"%USERPROFILE%\Documents\GitHub\eaglep3\Utilities\RefineRTDCRunTimes.py" --tripid 221-13 --locoid 4038 --swversion DE.1.0.7.0 --startMP 204:438 --initTime 2016-10-13T18:53:22 --startdatetime 2016-10-13T19:00:17 --delay 1 --endMP 204:233308 --enddatetime 2016-10-13T19:37:02 --enforcementcount 1 &gt;&gt;C:\Users\stu\Documents\GitHub\eaglep3-reporting\EC\2016-10-13-refined-times.txt</v>
      </c>
      <c r="AI134" s="122" t="str">
        <f t="shared" si="7"/>
        <v>echo {"issue":{"subject":"","project_id":79,"tracker_id":40,"status_id":1,"priority_id":2,"assigned_to_id":23,"start_date":"2016-10-13","description":"","custom_fields":[{"id":1,"name":"Subdivision","value":"EC"},{"id":4,"name":"Milepost","value":"23.3308"},{"id":17,"name":"Train ID","value":"221-13"},{"id":16,"name":"Locomotive ID","value":"4038"},{"id":130,"name":"Impact","value":""},{"id":150,"name":"Time of Event (Mountain Time)","value":"19:37:02"},{"id":151,"name":"Denver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580</v>
      </c>
      <c r="B135" s="7">
        <v>4037</v>
      </c>
      <c r="C135" s="22" t="s">
        <v>99</v>
      </c>
      <c r="D135" s="22" t="s">
        <v>318</v>
      </c>
      <c r="E135" s="13">
        <v>42656.823113425926</v>
      </c>
      <c r="F135" s="13">
        <v>42656.831145833334</v>
      </c>
      <c r="G135" s="7">
        <v>1</v>
      </c>
      <c r="H135" s="13" t="s">
        <v>177</v>
      </c>
      <c r="I135" s="13">
        <v>42656.859351851854</v>
      </c>
      <c r="J135" s="7">
        <v>1</v>
      </c>
      <c r="K135" s="112" t="str">
        <f>IF(ISEVEN(B135),(B135-1)&amp;"/"&amp;B135,B135&amp;"/"&amp;(B135+1))</f>
        <v>4037/4038</v>
      </c>
      <c r="L135" s="22" t="str">
        <f>VLOOKUP(A135,'Trips&amp;Operators'!$C$1:$E$10000,3,FALSE)</f>
        <v>LEVERE</v>
      </c>
      <c r="M135" s="6">
        <f>I135-F135</f>
        <v>2.8206018519995268E-2</v>
      </c>
      <c r="N135" s="7">
        <f>24*60*SUM($M135:$M135)</f>
        <v>40.616666668793187</v>
      </c>
      <c r="O135" s="7"/>
      <c r="P135" s="7"/>
      <c r="Q135" s="23"/>
      <c r="R135" s="23"/>
      <c r="S135" s="35">
        <f>SUM(U135:U135)/IF(AG135="EC",12,1)</f>
        <v>1</v>
      </c>
      <c r="T135" s="50" t="str">
        <f>IF(ISEVEN(LEFT(AD135,4)),"Southbound","NorthBound")</f>
        <v>Southbound</v>
      </c>
      <c r="U135" s="144">
        <f>IF(AG135="EC",COUNTIFS(Variables!$M$2:$M$19,IF(T135="NorthBound","&gt;=","&lt;=")&amp;Y135,Variables!$M$2:$M$19,IF(T135="NorthBound","&lt;=","&gt;=")&amp;Z135),COUNTIFS(Variables!$P$2:$P$19,IF(T135="NorthBound","&gt;=","&lt;=")&amp;Y135,Variables!$P$2:$P$19,IF(T135="NorthBound","&lt;=","&gt;=")&amp;Z135))</f>
        <v>12</v>
      </c>
      <c r="V135" s="98" t="str">
        <f>"https://search-rtdc-monitor-bjffxe2xuh6vdkpspy63sjmuny.us-east-1.es.amazonaws.com/_plugin/kibana/#/discover/Steve-Slow-Train-Analysis-(2080s-and-2083s)?_g=(refreshInterval:(display:Off,section:0,value:0),time:(from:'"&amp;TEXT(E135-1/24,"yyyy-MM-DD hh:mm:ss")&amp;"-0600',mode:absolute,to:'"&amp;TEXT(I135+1/24,"yyyy-MM-DD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135&amp;"%22')),sort:!(Time,asc))"</f>
        <v>https://search-rtdc-monitor-bjffxe2xuh6vdkpspy63sjmuny.us-east-1.es.amazonaws.com/_plugin/kibana/#/discover/Steve-Slow-Train-Analysis-(2080s-and-2083s)?_g=(refreshInterval:(display:Off,section:0,value:0),time:(from:'2016-10-13 18:45:17-0600',mode:absolute,to:'2016-10-13 21:37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35" s="52" t="str">
        <f>IF(AA135&lt;IF(AG135="EC",23,5.65),"Y","N")</f>
        <v>N</v>
      </c>
      <c r="X135" s="149">
        <f>VALUE(LEFT(AD135,4))-VALUE(LEFT(AD134,4))</f>
        <v>1</v>
      </c>
      <c r="Y135" s="67">
        <f>RIGHT(D135,LEN(D135)-4)/10000</f>
        <v>23.297899999999998</v>
      </c>
      <c r="Z135" s="67">
        <f>RIGHT(H135,LEN(H135)-4)/10000</f>
        <v>1.52E-2</v>
      </c>
      <c r="AA135" s="67">
        <f>ABS(Z135-Y135)</f>
        <v>23.282699999999998</v>
      </c>
      <c r="AB135" s="64" t="e">
        <f>VLOOKUP(A135,Enforcements!$C$7:$K$21,8,0)</f>
        <v>#N/A</v>
      </c>
      <c r="AC135" s="60" t="e">
        <f>VLOOKUP(A135,Enforcements!$C$7:$E$21,3,0)</f>
        <v>#N/A</v>
      </c>
      <c r="AD135" s="61" t="str">
        <f>IF(LEN(A135)=6,"0"&amp;A135,A135)</f>
        <v>0222-13</v>
      </c>
      <c r="AE135" s="91" t="str">
        <f>"aws s3 cp "&amp;s3_bucket&amp;"/RTDC"&amp;B135&amp;"/ "&amp;search_path&amp;"\RTDC"&amp;B135&amp;"\"&amp;TEXT(F135,"YYYY-MM-DD")&amp;" --exclude ""*"" --recursive --include ""*"&amp;TEXT(F135,"YYYYMMDD")&amp;"*"" &amp; """&amp;walkandungz&amp;""" "&amp;search_path&amp;"\RTDC"&amp;B135&amp;"\"&amp;TEXT(F135,"YYYY-MM-DD")
&amp;" &amp; "&amp;"aws s3 cp "&amp;s3_bucket&amp;"/RTDC"&amp;B135&amp;"/ "&amp;search_path&amp;"\RTDC"&amp;B135&amp;"\"&amp;TEXT(F135+1,"YYYY-MM-DD")&amp;" --exclude ""*"" --recursive --include ""*"&amp;TEXT(F135+1,"YYYYMMDD")&amp;"*"" &amp; """&amp;walkandungz&amp;""" "&amp;search_path&amp;"\RTDC"&amp;B135&amp;"\"&amp;TEXT(F135+1,"YYYY-MM-DD")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35" s="88" t="str">
        <f>astrogrep_path&amp;" /spath="&amp;search_path&amp;" /stypes=""app*"&amp;B135&amp;"*"&amp;TEXT(I135-utc_offset/24,"YYYYMMDD")&amp;"*"" /stext="" "&amp;TEXT(I135-utc_offset/24,"HH")&amp;search_regexp&amp;""" /e /r /s"</f>
        <v>"C:\Program Files (x86)\AstroGrep\AstroGrep.exe" /spath="%USERPROFILE%\AppData\Local\Temp\OnboardLogs" /stypes="app*4037*20161014*" /stext=" 02:.+((SYSTEM_STATE.+slice.+state.+changed )|(ment ac)|(system.+state.+changed )|(\[timeout)|(PRM\|1\|D)|(kpr)|(kdp)|(\|lc)|(penalty))" /e /r /s</v>
      </c>
      <c r="AG135" s="1" t="str">
        <f>IFERROR(IF(VALUE(LEFT(AD135,2))&lt;=2,"EC",IF(OR(VALUE(LEFT(AD135,2))=8,VALUE(LEFT(AD135,2))=18),"NW","Other")),"Other")</f>
        <v>EC</v>
      </c>
      <c r="AH135" s="92" t="str">
        <f t="shared" si="6"/>
        <v>"%USERPROFILE%\Documents\GitHub\eaglep3\Utilities\RefineRTDCRunTimes.py" --tripid 222-13 --locoid 4037 --swversion DE.1.0.7.0 --startMP 204:232979 --initTime 2016-10-13T19:45:17 --startdatetime 2016-10-13T19:56:51 --delay 1 --endMP 204:152 --enddatetime 2016-10-13T20:37:28 --enforcementcount 1 &gt;&gt;C:\Users\stu\Documents\GitHub\eaglep3-reporting\EC\2016-10-13-refined-times.txt</v>
      </c>
      <c r="AI135" s="122" t="str">
        <f t="shared" si="7"/>
        <v>echo {"issue":{"subject":"","project_id":79,"tracker_id":40,"status_id":1,"priority_id":2,"assigned_to_id":23,"start_date":"2016-10-13","description":"","custom_fields":[{"id":1,"name":"Subdivision","value":"EC"},{"id":4,"name":"Milepost","value":"0.0152"},{"id":17,"name":"Train ID","value":"222-13"},{"id":16,"name":"Locomotive ID","value":"4037"},{"id":130,"name":"Impact","value":""},{"id":150,"name":"Time of Event (Mountain Time)","value":"20:37:28"},{"id":151,"name":"Denver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577</v>
      </c>
      <c r="B136" s="7">
        <v>4025</v>
      </c>
      <c r="C136" s="22" t="s">
        <v>99</v>
      </c>
      <c r="D136" s="22" t="s">
        <v>672</v>
      </c>
      <c r="E136" s="13">
        <v>42656.811805555553</v>
      </c>
      <c r="F136" s="13">
        <v>42656.814930555556</v>
      </c>
      <c r="G136" s="7">
        <v>1</v>
      </c>
      <c r="H136" s="13" t="s">
        <v>673</v>
      </c>
      <c r="I136" s="13">
        <v>42656.840011574073</v>
      </c>
      <c r="J136" s="7">
        <v>1</v>
      </c>
      <c r="K136" s="112" t="str">
        <f>IF(ISEVEN(B136),(B136-1)&amp;"/"&amp;B136,B136&amp;"/"&amp;(B136+1))</f>
        <v>4025/4026</v>
      </c>
      <c r="L136" s="22" t="str">
        <f>VLOOKUP(A136,'Trips&amp;Operators'!$C$1:$E$10000,3,FALSE)</f>
        <v>COOLAHAN</v>
      </c>
      <c r="M136" s="6">
        <f>I136-F136</f>
        <v>2.5081018517084885E-2</v>
      </c>
      <c r="N136" s="7">
        <f>24*60*SUM($M136:$M136)</f>
        <v>36.116666664602235</v>
      </c>
      <c r="O136" s="7"/>
      <c r="P136" s="7"/>
      <c r="Q136" s="23"/>
      <c r="R136" s="23"/>
      <c r="S136" s="35">
        <f>SUM(U136:U136)/IF(AG136="EC",12,1)</f>
        <v>1</v>
      </c>
      <c r="T136" s="50" t="str">
        <f>IF(ISEVEN(LEFT(AD136,4)),"Southbound","NorthBound")</f>
        <v>NorthBound</v>
      </c>
      <c r="U136" s="144">
        <f>IF(AG136="EC",COUNTIFS(Variables!$M$2:$M$19,IF(T136="NorthBound","&gt;=","&lt;=")&amp;Y136,Variables!$M$2:$M$19,IF(T136="NorthBound","&lt;=","&gt;=")&amp;Z136),COUNTIFS(Variables!$P$2:$P$19,IF(T136="NorthBound","&gt;=","&lt;=")&amp;Y136,Variables!$P$2:$P$19,IF(T136="NorthBound","&lt;=","&gt;=")&amp;Z136))</f>
        <v>12</v>
      </c>
      <c r="V136" s="98" t="str">
        <f>"https://search-rtdc-monitor-bjffxe2xuh6vdkpspy63sjmuny.us-east-1.es.amazonaws.com/_plugin/kibana/#/discover/Steve-Slow-Train-Analysis-(2080s-and-2083s)?_g=(refreshInterval:(display:Off,section:0,value:0),time:(from:'"&amp;TEXT(E136-1/24,"yyyy-MM-DD hh:mm:ss")&amp;"-0600',mode:absolute,to:'"&amp;TEXT(I136+1/24,"yyyy-MM-DD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136&amp;"%22')),sort:!(Time,asc))"</f>
        <v>https://search-rtdc-monitor-bjffxe2xuh6vdkpspy63sjmuny.us-east-1.es.amazonaws.com/_plugin/kibana/#/discover/Steve-Slow-Train-Analysis-(2080s-and-2083s)?_g=(refreshInterval:(display:Off,section:0,value:0),time:(from:'2016-10-13 18:29:00-0600',mode:absolute,to:'2016-10-13 21:09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6" s="52" t="str">
        <f>IF(AA136&lt;IF(AG136="EC",23,5.65),"Y","N")</f>
        <v>N</v>
      </c>
      <c r="X136" s="149">
        <f>VALUE(LEFT(AD136,4))-VALUE(LEFT(AD135,4))</f>
        <v>1</v>
      </c>
      <c r="Y136" s="67">
        <f>RIGHT(D136,LEN(D136)-4)/10000</f>
        <v>6.0600000000000001E-2</v>
      </c>
      <c r="Z136" s="67">
        <f>RIGHT(H136,LEN(H136)-4)/10000</f>
        <v>23.333200000000001</v>
      </c>
      <c r="AA136" s="67">
        <f>ABS(Z136-Y136)</f>
        <v>23.272600000000001</v>
      </c>
      <c r="AB136" s="64" t="e">
        <f>VLOOKUP(A136,Enforcements!$C$7:$K$21,8,0)</f>
        <v>#N/A</v>
      </c>
      <c r="AC136" s="60" t="e">
        <f>VLOOKUP(A136,Enforcements!$C$7:$E$21,3,0)</f>
        <v>#N/A</v>
      </c>
      <c r="AD136" s="61" t="str">
        <f>IF(LEN(A136)=6,"0"&amp;A136,A136)</f>
        <v>0223-13</v>
      </c>
      <c r="AE136" s="91" t="str">
        <f>"aws s3 cp "&amp;s3_bucket&amp;"/RTDC"&amp;B136&amp;"/ "&amp;search_path&amp;"\RTDC"&amp;B136&amp;"\"&amp;TEXT(F136,"YYYY-MM-DD")&amp;" --exclude ""*"" --recursive --include ""*"&amp;TEXT(F136,"YYYYMMDD")&amp;"*"" &amp; """&amp;walkandungz&amp;""" "&amp;search_path&amp;"\RTDC"&amp;B136&amp;"\"&amp;TEXT(F136,"YYYY-MM-DD")
&amp;" &amp; "&amp;"aws s3 cp "&amp;s3_bucket&amp;"/RTDC"&amp;B136&amp;"/ "&amp;search_path&amp;"\RTDC"&amp;B136&amp;"\"&amp;TEXT(F136+1,"YYYY-MM-DD")&amp;" --exclude ""*"" --recursive --include ""*"&amp;TEXT(F136+1,"YYYYMMDD")&amp;"*"" &amp; """&amp;walkandungz&amp;""" "&amp;search_path&amp;"\RTDC"&amp;B136&amp;"\"&amp;TEXT(F136+1,"YYYY-MM-DD")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36" s="88" t="str">
        <f>astrogrep_path&amp;" /spath="&amp;search_path&amp;" /stypes=""app*"&amp;B136&amp;"*"&amp;TEXT(I136-utc_offset/24,"YYYYMMDD")&amp;"*"" /stext="" "&amp;TEXT(I136-utc_offset/24,"HH")&amp;search_regexp&amp;""" /e /r /s"</f>
        <v>"C:\Program Files (x86)\AstroGrep\AstroGrep.exe" /spath="%USERPROFILE%\AppData\Local\Temp\OnboardLogs" /stypes="app*4025*20161014*" /stext=" 02:.+((SYSTEM_STATE.+slice.+state.+changed )|(ment ac)|(system.+state.+changed )|(\[timeout)|(PRM\|1\|D)|(kpr)|(kdp)|(\|lc)|(penalty))" /e /r /s</v>
      </c>
      <c r="AG136" s="1" t="str">
        <f>IFERROR(IF(VALUE(LEFT(AD136,2))&lt;=2,"EC",IF(OR(VALUE(LEFT(AD136,2))=8,VALUE(LEFT(AD136,2))=18),"NW","Other")),"Other")</f>
        <v>EC</v>
      </c>
      <c r="AH136" s="92" t="str">
        <f t="shared" si="6"/>
        <v>"%USERPROFILE%\Documents\GitHub\eaglep3\Utilities\RefineRTDCRunTimes.py" --tripid 223-13 --locoid 4025 --swversion DE.1.0.7.0 --startMP 204:606 --initTime 2016-10-13T19:29:00 --startdatetime 2016-10-13T19:33:30 --delay 1 --endMP 204:233332 --enddatetime 2016-10-13T20:09:37 --enforcementcount 1 &gt;&gt;C:\Users\stu\Documents\GitHub\eaglep3-reporting\EC\2016-10-13-refined-times.txt</v>
      </c>
      <c r="AI136" s="122" t="str">
        <f t="shared" si="7"/>
        <v>echo {"issue":{"subject":"","project_id":79,"tracker_id":40,"status_id":1,"priority_id":2,"assigned_to_id":23,"start_date":"2016-10-13","description":"","custom_fields":[{"id":1,"name":"Subdivision","value":"EC"},{"id":4,"name":"Milepost","value":"23.3332"},{"id":17,"name":"Train ID","value":"223-13"},{"id":16,"name":"Locomotive ID","value":"4025"},{"id":130,"name":"Impact","value":""},{"id":150,"name":"Time of Event (Mountain Time)","value":"20:09:37"},{"id":151,"name":"Denver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x14ac:dyDescent="0.25">
      <c r="A137" s="37" t="s">
        <v>583</v>
      </c>
      <c r="B137" s="7">
        <v>4026</v>
      </c>
      <c r="C137" s="22" t="s">
        <v>99</v>
      </c>
      <c r="D137" s="22" t="s">
        <v>282</v>
      </c>
      <c r="E137" s="13">
        <v>42656.84883101852</v>
      </c>
      <c r="F137" s="13">
        <v>42656.851967592593</v>
      </c>
      <c r="G137" s="7">
        <v>1</v>
      </c>
      <c r="H137" s="13" t="s">
        <v>268</v>
      </c>
      <c r="I137" s="13">
        <v>42656.878738425927</v>
      </c>
      <c r="J137" s="7">
        <v>1</v>
      </c>
      <c r="K137" s="112" t="str">
        <f>IF(ISEVEN(B137),(B137-1)&amp;"/"&amp;B137,B137&amp;"/"&amp;(B137+1))</f>
        <v>4025/4026</v>
      </c>
      <c r="L137" s="22" t="str">
        <f>VLOOKUP(A137,'Trips&amp;Operators'!$C$1:$E$10000,3,FALSE)</f>
        <v>COOLAHAN</v>
      </c>
      <c r="M137" s="6">
        <f>I137-F137</f>
        <v>2.6770833334012423E-2</v>
      </c>
      <c r="N137" s="7">
        <f>24*60*SUM($M137:$M137)</f>
        <v>38.550000000977889</v>
      </c>
      <c r="O137" s="7"/>
      <c r="P137" s="7"/>
      <c r="Q137" s="23"/>
      <c r="R137" s="23"/>
      <c r="S137" s="35">
        <f>SUM(U137:U137)/IF(AG137="EC",12,1)</f>
        <v>1</v>
      </c>
      <c r="T137" s="50" t="str">
        <f>IF(ISEVEN(LEFT(AD137,4)),"Southbound","NorthBound")</f>
        <v>Southbound</v>
      </c>
      <c r="U137" s="144">
        <f>IF(AG137="EC",COUNTIFS(Variables!$M$2:$M$19,IF(T137="NorthBound","&gt;=","&lt;=")&amp;Y137,Variables!$M$2:$M$19,IF(T137="NorthBound","&lt;=","&gt;=")&amp;Z137),COUNTIFS(Variables!$P$2:$P$19,IF(T137="NorthBound","&gt;=","&lt;=")&amp;Y137,Variables!$P$2:$P$19,IF(T137="NorthBound","&lt;=","&gt;=")&amp;Z137))</f>
        <v>12</v>
      </c>
      <c r="V137" s="98" t="str">
        <f>"https://search-rtdc-monitor-bjffxe2xuh6vdkpspy63sjmuny.us-east-1.es.amazonaws.com/_plugin/kibana/#/discover/Steve-Slow-Train-Analysis-(2080s-and-2083s)?_g=(refreshInterval:(display:Off,section:0,value:0),time:(from:'"&amp;TEXT(E137-1/24,"yyyy-MM-DD hh:mm:ss")&amp;"-0600',mode:absolute,to:'"&amp;TEXT(I137+1/24,"yyyy-MM-DD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137&amp;"%22')),sort:!(Time,asc))"</f>
        <v>https://search-rtdc-monitor-bjffxe2xuh6vdkpspy63sjmuny.us-east-1.es.amazonaws.com/_plugin/kibana/#/discover/Steve-Slow-Train-Analysis-(2080s-and-2083s)?_g=(refreshInterval:(display:Off,section:0,value:0),time:(from:'2016-10-13 19:22:19-0600',mode:absolute,to:'2016-10-13 22:05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7" s="52" t="str">
        <f>IF(AA137&lt;IF(AG137="EC",23,5.65),"Y","N")</f>
        <v>N</v>
      </c>
      <c r="X137" s="149">
        <f>VALUE(LEFT(AD137,4))-VALUE(LEFT(AD136,4))</f>
        <v>1</v>
      </c>
      <c r="Y137" s="67">
        <f>RIGHT(D137,LEN(D137)-4)/10000</f>
        <v>23.298300000000001</v>
      </c>
      <c r="Z137" s="67">
        <f>RIGHT(H137,LEN(H137)-4)/10000</f>
        <v>1.49E-2</v>
      </c>
      <c r="AA137" s="67">
        <f>ABS(Z137-Y137)</f>
        <v>23.2834</v>
      </c>
      <c r="AB137" s="64" t="e">
        <f>VLOOKUP(A137,Enforcements!$C$7:$K$21,8,0)</f>
        <v>#N/A</v>
      </c>
      <c r="AC137" s="60" t="e">
        <f>VLOOKUP(A137,Enforcements!$C$7:$E$21,3,0)</f>
        <v>#N/A</v>
      </c>
      <c r="AD137" s="61" t="str">
        <f>IF(LEN(A137)=6,"0"&amp;A137,A137)</f>
        <v>0224-13</v>
      </c>
      <c r="AE137" s="91" t="str">
        <f>"aws s3 cp "&amp;s3_bucket&amp;"/RTDC"&amp;B137&amp;"/ "&amp;search_path&amp;"\RTDC"&amp;B137&amp;"\"&amp;TEXT(F137,"YYYY-MM-DD")&amp;" --exclude ""*"" --recursive --include ""*"&amp;TEXT(F137,"YYYYMMDD")&amp;"*"" &amp; """&amp;walkandungz&amp;""" "&amp;search_path&amp;"\RTDC"&amp;B137&amp;"\"&amp;TEXT(F137,"YYYY-MM-DD")
&amp;" &amp; "&amp;"aws s3 cp "&amp;s3_bucket&amp;"/RTDC"&amp;B137&amp;"/ "&amp;search_path&amp;"\RTDC"&amp;B137&amp;"\"&amp;TEXT(F137+1,"YYYY-MM-DD")&amp;" --exclude ""*"" --recursive --include ""*"&amp;TEXT(F137+1,"YYYYMMDD")&amp;"*"" &amp; """&amp;walkandungz&amp;""" "&amp;search_path&amp;"\RTDC"&amp;B137&amp;"\"&amp;TEXT(F137+1,"YYYY-MM-DD")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37" s="88" t="str">
        <f>astrogrep_path&amp;" /spath="&amp;search_path&amp;" /stypes=""app*"&amp;B137&amp;"*"&amp;TEXT(I137-utc_offset/24,"YYYYMMDD")&amp;"*"" /stext="" "&amp;TEXT(I137-utc_offset/24,"HH")&amp;search_regexp&amp;""" /e /r /s"</f>
        <v>"C:\Program Files (x86)\AstroGrep\AstroGrep.exe" /spath="%USERPROFILE%\AppData\Local\Temp\OnboardLogs" /stypes="app*4026*20161014*" /stext=" 03:.+((SYSTEM_STATE.+slice.+state.+changed )|(ment ac)|(system.+state.+changed )|(\[timeout)|(PRM\|1\|D)|(kpr)|(kdp)|(\|lc)|(penalty))" /e /r /s</v>
      </c>
      <c r="AG137" s="1" t="str">
        <f>IFERROR(IF(VALUE(LEFT(AD137,2))&lt;=2,"EC",IF(OR(VALUE(LEFT(AD137,2))=8,VALUE(LEFT(AD137,2))=18),"NW","Other")),"Other")</f>
        <v>EC</v>
      </c>
      <c r="AH137" s="92" t="str">
        <f t="shared" si="6"/>
        <v>"%USERPROFILE%\Documents\GitHub\eaglep3\Utilities\RefineRTDCRunTimes.py" --tripid 224-13 --locoid 4026 --swversion DE.1.0.7.0 --startMP 204:232983 --initTime 2016-10-13T20:22:19 --startdatetime 2016-10-13T20:26:50 --delay 1 --endMP 204:149 --enddatetime 2016-10-13T21:05:23 --enforcementcount 1 &gt;&gt;C:\Users\stu\Documents\GitHub\eaglep3-reporting\EC\2016-10-13-refined-times.txt</v>
      </c>
      <c r="AI137" s="122" t="str">
        <f t="shared" si="7"/>
        <v>echo {"issue":{"subject":"","project_id":79,"tracker_id":40,"status_id":1,"priority_id":2,"assigned_to_id":23,"start_date":"2016-10-13","description":"","custom_fields":[{"id":1,"name":"Subdivision","value":"EC"},{"id":4,"name":"Milepost","value":"0.0149"},{"id":17,"name":"Train ID","value":"224-13"},{"id":16,"name":"Locomotive ID","value":"4026"},{"id":130,"name":"Impact","value":""},{"id":150,"name":"Time of Event (Mountain Time)","value":"21:05:23"},{"id":151,"name":"Denver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row>
    <row r="138" spans="1:91" x14ac:dyDescent="0.25">
      <c r="A138" s="37" t="s">
        <v>582</v>
      </c>
      <c r="B138" s="7">
        <v>4044</v>
      </c>
      <c r="C138" s="22" t="s">
        <v>99</v>
      </c>
      <c r="D138" s="22" t="s">
        <v>674</v>
      </c>
      <c r="E138" s="13">
        <v>42656.832291666666</v>
      </c>
      <c r="F138" s="13">
        <v>42656.833796296298</v>
      </c>
      <c r="G138" s="7">
        <v>1</v>
      </c>
      <c r="H138" s="13" t="s">
        <v>281</v>
      </c>
      <c r="I138" s="13">
        <v>42656.859016203707</v>
      </c>
      <c r="J138" s="7">
        <v>1</v>
      </c>
      <c r="K138" s="112" t="str">
        <f>IF(ISEVEN(B138),(B138-1)&amp;"/"&amp;B138,B138&amp;"/"&amp;(B138+1))</f>
        <v>4043/4044</v>
      </c>
      <c r="L138" s="22" t="str">
        <f>VLOOKUP(A138,'Trips&amp;Operators'!$C$1:$E$10000,3,FALSE)</f>
        <v>BERLING</v>
      </c>
      <c r="M138" s="6">
        <f>I138-F138</f>
        <v>2.5219907409336884E-2</v>
      </c>
      <c r="N138" s="7">
        <f>24*60*SUM($M138:$M138)</f>
        <v>36.316666669445112</v>
      </c>
      <c r="O138" s="7"/>
      <c r="P138" s="7"/>
      <c r="Q138" s="23"/>
      <c r="R138" s="23"/>
      <c r="S138" s="35">
        <f>SUM(U138:U138)/IF(AG138="EC",12,1)</f>
        <v>1</v>
      </c>
      <c r="T138" s="50" t="str">
        <f>IF(ISEVEN(LEFT(AD138,4)),"Southbound","NorthBound")</f>
        <v>NorthBound</v>
      </c>
      <c r="U138" s="144">
        <f>IF(AG138="EC",COUNTIFS(Variables!$M$2:$M$19,IF(T138="NorthBound","&gt;=","&lt;=")&amp;Y138,Variables!$M$2:$M$19,IF(T138="NorthBound","&lt;=","&gt;=")&amp;Z138),COUNTIFS(Variables!$P$2:$P$19,IF(T138="NorthBound","&gt;=","&lt;=")&amp;Y138,Variables!$P$2:$P$19,IF(T138="NorthBound","&lt;=","&gt;=")&amp;Z138))</f>
        <v>12</v>
      </c>
      <c r="V138" s="98" t="str">
        <f>"https://search-rtdc-monitor-bjffxe2xuh6vdkpspy63sjmuny.us-east-1.es.amazonaws.com/_plugin/kibana/#/discover/Steve-Slow-Train-Analysis-(2080s-and-2083s)?_g=(refreshInterval:(display:Off,section:0,value:0),time:(from:'"&amp;TEXT(E138-1/24,"yyyy-MM-DD hh:mm:ss")&amp;"-0600',mode:absolute,to:'"&amp;TEXT(I138+1/24,"yyyy-MM-DD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138&amp;"%22')),sort:!(Time,asc))"</f>
        <v>https://search-rtdc-monitor-bjffxe2xuh6vdkpspy63sjmuny.us-east-1.es.amazonaws.com/_plugin/kibana/#/discover/Steve-Slow-Train-Analysis-(2080s-and-2083s)?_g=(refreshInterval:(display:Off,section:0,value:0),time:(from:'2016-10-13 18:58:30-0600',mode:absolute,to:'2016-10-13 21: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8" s="52" t="str">
        <f>IF(AA138&lt;IF(AG138="EC",23,5.65),"Y","N")</f>
        <v>N</v>
      </c>
      <c r="X138" s="149">
        <f>VALUE(LEFT(AD138,4))-VALUE(LEFT(AD137,4))</f>
        <v>1</v>
      </c>
      <c r="Y138" s="67">
        <f>RIGHT(D138,LEN(D138)-4)/10000</f>
        <v>4.2900000000000001E-2</v>
      </c>
      <c r="Z138" s="67">
        <f>RIGHT(H138,LEN(H138)-4)/10000</f>
        <v>23.33</v>
      </c>
      <c r="AA138" s="67">
        <f>ABS(Z138-Y138)</f>
        <v>23.287099999999999</v>
      </c>
      <c r="AB138" s="64" t="e">
        <f>VLOOKUP(A138,Enforcements!$C$7:$K$21,8,0)</f>
        <v>#N/A</v>
      </c>
      <c r="AC138" s="60" t="e">
        <f>VLOOKUP(A138,Enforcements!$C$7:$E$21,3,0)</f>
        <v>#N/A</v>
      </c>
      <c r="AD138" s="61" t="str">
        <f>IF(LEN(A138)=6,"0"&amp;A138,A138)</f>
        <v>0225-13</v>
      </c>
      <c r="AE138" s="91" t="str">
        <f>"aws s3 cp "&amp;s3_bucket&amp;"/RTDC"&amp;B138&amp;"/ "&amp;search_path&amp;"\RTDC"&amp;B138&amp;"\"&amp;TEXT(F138,"YYYY-MM-DD")&amp;" --exclude ""*"" --recursive --include ""*"&amp;TEXT(F138,"YYYYMMDD")&amp;"*"" &amp; """&amp;walkandungz&amp;""" "&amp;search_path&amp;"\RTDC"&amp;B138&amp;"\"&amp;TEXT(F138,"YYYY-MM-DD")
&amp;" &amp; "&amp;"aws s3 cp "&amp;s3_bucket&amp;"/RTDC"&amp;B138&amp;"/ "&amp;search_path&amp;"\RTDC"&amp;B138&amp;"\"&amp;TEXT(F138+1,"YYYY-MM-DD")&amp;" --exclude ""*"" --recursive --include ""*"&amp;TEXT(F138+1,"YYYYMMDD")&amp;"*"" &amp; """&amp;walkandungz&amp;""" "&amp;search_path&amp;"\RTDC"&amp;B138&amp;"\"&amp;TEXT(F138+1,"YYYY-MM-DD")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8" s="88" t="str">
        <f>astrogrep_path&amp;" /spath="&amp;search_path&amp;" /stypes=""app*"&amp;B138&amp;"*"&amp;TEXT(I138-utc_offset/24,"YYYYMMDD")&amp;"*"" /stext="" "&amp;TEXT(I138-utc_offset/24,"HH")&amp;search_regexp&amp;""" /e /r /s"</f>
        <v>"C:\Program Files (x86)\AstroGrep\AstroGrep.exe" /spath="%USERPROFILE%\AppData\Local\Temp\OnboardLogs" /stypes="app*4044*20161014*" /stext=" 02:.+((SYSTEM_STATE.+slice.+state.+changed )|(ment ac)|(system.+state.+changed )|(\[timeout)|(PRM\|1\|D)|(kpr)|(kdp)|(\|lc)|(penalty))" /e /r /s</v>
      </c>
      <c r="AG138" s="1" t="str">
        <f>IFERROR(IF(VALUE(LEFT(AD138,2))&lt;=2,"EC",IF(OR(VALUE(LEFT(AD138,2))=8,VALUE(LEFT(AD138,2))=18),"NW","Other")),"Other")</f>
        <v>EC</v>
      </c>
      <c r="AH138" s="92" t="str">
        <f t="shared" si="6"/>
        <v>"%USERPROFILE%\Documents\GitHub\eaglep3\Utilities\RefineRTDCRunTimes.py" --tripid 225-13 --locoid 4044 --swversion DE.1.0.7.0 --startMP 204:429 --initTime 2016-10-13T19:58:30 --startdatetime 2016-10-13T20:00:40 --delay 1 --endMP 204:233300 --enddatetime 2016-10-13T20:36:59 --enforcementcount 1 &gt;&gt;C:\Users\stu\Documents\GitHub\eaglep3-reporting\EC\2016-10-13-refined-times.txt</v>
      </c>
      <c r="AI138" s="122" t="str">
        <f t="shared" si="7"/>
        <v>echo {"issue":{"subject":"","project_id":79,"tracker_id":40,"status_id":1,"priority_id":2,"assigned_to_id":23,"start_date":"2016-10-13","description":"","custom_fields":[{"id":1,"name":"Subdivision","value":"EC"},{"id":4,"name":"Milepost","value":"23.33"},{"id":17,"name":"Train ID","value":"225-13"},{"id":16,"name":"Locomotive ID","value":"4044"},{"id":130,"name":"Impact","value":""},{"id":150,"name":"Time of Event (Mountain Time)","value":"20:36:59"},{"id":151,"name":"Denver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x14ac:dyDescent="0.25">
      <c r="A139" s="37" t="s">
        <v>586</v>
      </c>
      <c r="B139" s="7">
        <v>4043</v>
      </c>
      <c r="C139" s="22" t="s">
        <v>99</v>
      </c>
      <c r="D139" s="22" t="s">
        <v>308</v>
      </c>
      <c r="E139" s="13">
        <v>42656.869074074071</v>
      </c>
      <c r="F139" s="13">
        <v>42656.872407407405</v>
      </c>
      <c r="G139" s="7">
        <v>2</v>
      </c>
      <c r="H139" s="13" t="s">
        <v>675</v>
      </c>
      <c r="I139" s="13">
        <v>42656.901620370372</v>
      </c>
      <c r="J139" s="7">
        <v>1</v>
      </c>
      <c r="K139" s="112" t="str">
        <f>IF(ISEVEN(B139),(B139-1)&amp;"/"&amp;B139,B139&amp;"/"&amp;(B139+1))</f>
        <v>4043/4044</v>
      </c>
      <c r="L139" s="22" t="str">
        <f>VLOOKUP(A139,'Trips&amp;Operators'!$C$1:$E$10000,3,FALSE)</f>
        <v>BERLING</v>
      </c>
      <c r="M139" s="6">
        <f>I139-F139</f>
        <v>2.9212962966994382E-2</v>
      </c>
      <c r="N139" s="7">
        <f>24*60*SUM($M139:$M139)</f>
        <v>42.066666672471911</v>
      </c>
      <c r="O139" s="7"/>
      <c r="P139" s="7"/>
      <c r="Q139" s="23"/>
      <c r="R139" s="23"/>
      <c r="S139" s="35">
        <f>SUM(U139:U139)/IF(AG139="EC",12,1)</f>
        <v>1</v>
      </c>
      <c r="T139" s="50" t="str">
        <f>IF(ISEVEN(LEFT(AD139,4)),"Southbound","NorthBound")</f>
        <v>Southbound</v>
      </c>
      <c r="U139" s="144">
        <f>IF(AG139="EC",COUNTIFS(Variables!$M$2:$M$19,IF(T139="NorthBound","&gt;=","&lt;=")&amp;Y139,Variables!$M$2:$M$19,IF(T139="NorthBound","&lt;=","&gt;=")&amp;Z139),COUNTIFS(Variables!$P$2:$P$19,IF(T139="NorthBound","&gt;=","&lt;=")&amp;Y139,Variables!$P$2:$P$19,IF(T139="NorthBound","&lt;=","&gt;=")&amp;Z139))</f>
        <v>12</v>
      </c>
      <c r="V139" s="98" t="str">
        <f>"https://search-rtdc-monitor-bjffxe2xuh6vdkpspy63sjmuny.us-east-1.es.amazonaws.com/_plugin/kibana/#/discover/Steve-Slow-Train-Analysis-(2080s-and-2083s)?_g=(refreshInterval:(display:Off,section:0,value:0),time:(from:'"&amp;TEXT(E139-1/24,"yyyy-MM-DD hh:mm:ss")&amp;"-0600',mode:absolute,to:'"&amp;TEXT(I139+1/24,"yyyy-MM-DD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139&amp;"%22')),sort:!(Time,asc))"</f>
        <v>https://search-rtdc-monitor-bjffxe2xuh6vdkpspy63sjmuny.us-east-1.es.amazonaws.com/_plugin/kibana/#/discover/Steve-Slow-Train-Analysis-(2080s-and-2083s)?_g=(refreshInterval:(display:Off,section:0,value:0),time:(from:'2016-10-13 19:51:28-0600',mode:absolute,to:'2016-10-13 22:38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9" s="52" t="str">
        <f>IF(AA139&lt;IF(AG139="EC",23,5.65),"Y","N")</f>
        <v>N</v>
      </c>
      <c r="X139" s="149">
        <f>VALUE(LEFT(AD139,4))-VALUE(LEFT(AD138,4))</f>
        <v>1</v>
      </c>
      <c r="Y139" s="67">
        <f>RIGHT(D139,LEN(D139)-4)/10000</f>
        <v>23.3004</v>
      </c>
      <c r="Z139" s="67">
        <f>RIGHT(H139,LEN(H139)-4)/10000</f>
        <v>1.23E-2</v>
      </c>
      <c r="AA139" s="67">
        <f>ABS(Z139-Y139)</f>
        <v>23.2881</v>
      </c>
      <c r="AB139" s="64" t="e">
        <f>VLOOKUP(A139,Enforcements!$C$7:$K$21,8,0)</f>
        <v>#N/A</v>
      </c>
      <c r="AC139" s="60" t="e">
        <f>VLOOKUP(A139,Enforcements!$C$7:$E$21,3,0)</f>
        <v>#N/A</v>
      </c>
      <c r="AD139" s="61" t="str">
        <f>IF(LEN(A139)=6,"0"&amp;A139,A139)</f>
        <v>0226-13</v>
      </c>
      <c r="AE139" s="91" t="str">
        <f>"aws s3 cp "&amp;s3_bucket&amp;"/RTDC"&amp;B139&amp;"/ "&amp;search_path&amp;"\RTDC"&amp;B139&amp;"\"&amp;TEXT(F139,"YYYY-MM-DD")&amp;" --exclude ""*"" --recursive --include ""*"&amp;TEXT(F139,"YYYYMMDD")&amp;"*"" &amp; """&amp;walkandungz&amp;""" "&amp;search_path&amp;"\RTDC"&amp;B139&amp;"\"&amp;TEXT(F139,"YYYY-MM-DD")
&amp;" &amp; "&amp;"aws s3 cp "&amp;s3_bucket&amp;"/RTDC"&amp;B139&amp;"/ "&amp;search_path&amp;"\RTDC"&amp;B139&amp;"\"&amp;TEXT(F139+1,"YYYY-MM-DD")&amp;" --exclude ""*"" --recursive --include ""*"&amp;TEXT(F139+1,"YYYYMMDD")&amp;"*"" &amp; """&amp;walkandungz&amp;""" "&amp;search_path&amp;"\RTDC"&amp;B139&amp;"\"&amp;TEXT(F139+1,"YYYY-MM-DD")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9" s="88" t="str">
        <f>astrogrep_path&amp;" /spath="&amp;search_path&amp;" /stypes=""app*"&amp;B139&amp;"*"&amp;TEXT(I139-utc_offset/24,"YYYYMMDD")&amp;"*"" /stext="" "&amp;TEXT(I139-utc_offset/24,"HH")&amp;search_regexp&amp;""" /e /r /s"</f>
        <v>"C:\Program Files (x86)\AstroGrep\AstroGrep.exe" /spath="%USERPROFILE%\AppData\Local\Temp\OnboardLogs" /stypes="app*4043*20161014*" /stext=" 03:.+((SYSTEM_STATE.+slice.+state.+changed )|(ment ac)|(system.+state.+changed )|(\[timeout)|(PRM\|1\|D)|(kpr)|(kdp)|(\|lc)|(penalty))" /e /r /s</v>
      </c>
      <c r="AG139" s="1" t="str">
        <f>IFERROR(IF(VALUE(LEFT(AD139,2))&lt;=2,"EC",IF(OR(VALUE(LEFT(AD139,2))=8,VALUE(LEFT(AD139,2))=18),"NW","Other")),"Other")</f>
        <v>EC</v>
      </c>
      <c r="AH139" s="92" t="str">
        <f t="shared" si="6"/>
        <v>"%USERPROFILE%\Documents\GitHub\eaglep3\Utilities\RefineRTDCRunTimes.py" --tripid 226-13 --locoid 4043 --swversion DE.1.0.7.0 --startMP 204:233004 --initTime 2016-10-13T20:51:28 --startdatetime 2016-10-13T20:56:16 --delay 2 --endMP 204:123 --enddatetime 2016-10-13T21:38:20 --enforcementcount 1 &gt;&gt;C:\Users\stu\Documents\GitHub\eaglep3-reporting\EC\2016-10-13-refined-times.txt</v>
      </c>
      <c r="AI139" s="122" t="str">
        <f t="shared" si="7"/>
        <v>echo {"issue":{"subject":"","project_id":79,"tracker_id":40,"status_id":1,"priority_id":2,"assigned_to_id":23,"start_date":"2016-10-13","description":"","custom_fields":[{"id":1,"name":"Subdivision","value":"EC"},{"id":4,"name":"Milepost","value":"0.0123"},{"id":17,"name":"Train ID","value":"226-13"},{"id":16,"name":"Locomotive ID","value":"4043"},{"id":130,"name":"Impact","value":""},{"id":150,"name":"Time of Event (Mountain Time)","value":"21:38:20"},{"id":151,"name":"Denver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row>
    <row r="140" spans="1:91" s="21" customFormat="1" x14ac:dyDescent="0.25">
      <c r="A140" s="37" t="s">
        <v>584</v>
      </c>
      <c r="B140" s="7">
        <v>4018</v>
      </c>
      <c r="C140" s="22" t="s">
        <v>99</v>
      </c>
      <c r="D140" s="22" t="s">
        <v>644</v>
      </c>
      <c r="E140" s="13">
        <v>42656.849189814813</v>
      </c>
      <c r="F140" s="13">
        <v>42656.854456018518</v>
      </c>
      <c r="G140" s="7">
        <v>1</v>
      </c>
      <c r="H140" s="13" t="s">
        <v>198</v>
      </c>
      <c r="I140" s="13">
        <v>42656.882303240738</v>
      </c>
      <c r="J140" s="7">
        <v>1</v>
      </c>
      <c r="K140" s="112" t="str">
        <f>IF(ISEVEN(B140),(B140-1)&amp;"/"&amp;B140,B140&amp;"/"&amp;(B140+1))</f>
        <v>4017/4018</v>
      </c>
      <c r="L140" s="22" t="str">
        <f>VLOOKUP(A140,'Trips&amp;Operators'!$C$1:$E$10000,3,FALSE)</f>
        <v>STURGEON</v>
      </c>
      <c r="M140" s="6">
        <f>I140-F140</f>
        <v>2.7847222219861578E-2</v>
      </c>
      <c r="N140" s="7">
        <f>24*60*SUM($M140:$M140)</f>
        <v>40.099999996600673</v>
      </c>
      <c r="O140" s="7"/>
      <c r="P140" s="7"/>
      <c r="Q140" s="23"/>
      <c r="R140" s="23"/>
      <c r="S140" s="35">
        <f>SUM(U140:U140)/IF(AG140="EC",12,1)</f>
        <v>1</v>
      </c>
      <c r="T140" s="50" t="str">
        <f>IF(ISEVEN(LEFT(AD140,4)),"Southbound","NorthBound")</f>
        <v>NorthBound</v>
      </c>
      <c r="U140" s="144">
        <f>IF(AG140="EC",COUNTIFS(Variables!$M$2:$M$19,IF(T140="NorthBound","&gt;=","&lt;=")&amp;Y140,Variables!$M$2:$M$19,IF(T140="NorthBound","&lt;=","&gt;=")&amp;Z140),COUNTIFS(Variables!$P$2:$P$19,IF(T140="NorthBound","&gt;=","&lt;=")&amp;Y140,Variables!$P$2:$P$19,IF(T140="NorthBound","&lt;=","&gt;=")&amp;Z140))</f>
        <v>12</v>
      </c>
      <c r="V140" s="98" t="str">
        <f>"https://search-rtdc-monitor-bjffxe2xuh6vdkpspy63sjmuny.us-east-1.es.amazonaws.com/_plugin/kibana/#/discover/Steve-Slow-Train-Analysis-(2080s-and-2083s)?_g=(refreshInterval:(display:Off,section:0,value:0),time:(from:'"&amp;TEXT(E140-1/24,"yyyy-MM-DD hh:mm:ss")&amp;"-0600',mode:absolute,to:'"&amp;TEXT(I140+1/24,"yyyy-MM-DD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140&amp;"%22')),sort:!(Time,asc))"</f>
        <v>https://search-rtdc-monitor-bjffxe2xuh6vdkpspy63sjmuny.us-east-1.es.amazonaws.com/_plugin/kibana/#/discover/Steve-Slow-Train-Analysis-(2080s-and-2083s)?_g=(refreshInterval:(display:Off,section:0,value:0),time:(from:'2016-10-13 19:22:50-0600',mode:absolute,to:'2016-10-13 22:10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0" s="52" t="str">
        <f>IF(AA140&lt;IF(AG140="EC",23,5.65),"Y","N")</f>
        <v>N</v>
      </c>
      <c r="X140" s="149">
        <f>VALUE(LEFT(AD140,4))-VALUE(LEFT(AD139,4))</f>
        <v>1</v>
      </c>
      <c r="Y140" s="67">
        <f>RIGHT(D140,LEN(D140)-4)/10000</f>
        <v>4.8399999999999999E-2</v>
      </c>
      <c r="Z140" s="67">
        <f>RIGHT(H140,LEN(H140)-4)/10000</f>
        <v>23.329699999999999</v>
      </c>
      <c r="AA140" s="67">
        <f>ABS(Z140-Y140)</f>
        <v>23.281299999999998</v>
      </c>
      <c r="AB140" s="64" t="e">
        <f>VLOOKUP(A140,Enforcements!$C$7:$K$21,8,0)</f>
        <v>#N/A</v>
      </c>
      <c r="AC140" s="60" t="e">
        <f>VLOOKUP(A140,Enforcements!$C$7:$E$21,3,0)</f>
        <v>#N/A</v>
      </c>
      <c r="AD140" s="61" t="str">
        <f>IF(LEN(A140)=6,"0"&amp;A140,A140)</f>
        <v>0227-13</v>
      </c>
      <c r="AE140" s="91" t="str">
        <f>"aws s3 cp "&amp;s3_bucket&amp;"/RTDC"&amp;B140&amp;"/ "&amp;search_path&amp;"\RTDC"&amp;B140&amp;"\"&amp;TEXT(F140,"YYYY-MM-DD")&amp;" --exclude ""*"" --recursive --include ""*"&amp;TEXT(F140,"YYYYMMDD")&amp;"*"" &amp; """&amp;walkandungz&amp;""" "&amp;search_path&amp;"\RTDC"&amp;B140&amp;"\"&amp;TEXT(F140,"YYYY-MM-DD")
&amp;" &amp; "&amp;"aws s3 cp "&amp;s3_bucket&amp;"/RTDC"&amp;B140&amp;"/ "&amp;search_path&amp;"\RTDC"&amp;B140&amp;"\"&amp;TEXT(F140+1,"YYYY-MM-DD")&amp;" --exclude ""*"" --recursive --include ""*"&amp;TEXT(F140+1,"YYYYMMDD")&amp;"*"" &amp; """&amp;walkandungz&amp;""" "&amp;search_path&amp;"\RTDC"&amp;B140&amp;"\"&amp;TEXT(F140+1,"YYYY-MM-DD")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0" s="88" t="str">
        <f>astrogrep_path&amp;" /spath="&amp;search_path&amp;" /stypes=""app*"&amp;B140&amp;"*"&amp;TEXT(I140-utc_offset/24,"YYYYMMDD")&amp;"*"" /stext="" "&amp;TEXT(I140-utc_offset/24,"HH")&amp;search_regexp&amp;""" /e /r /s"</f>
        <v>"C:\Program Files (x86)\AstroGrep\AstroGrep.exe" /spath="%USERPROFILE%\AppData\Local\Temp\OnboardLogs" /stypes="app*4018*20161014*" /stext=" 03:.+((SYSTEM_STATE.+slice.+state.+changed )|(ment ac)|(system.+state.+changed )|(\[timeout)|(PRM\|1\|D)|(kpr)|(kdp)|(\|lc)|(penalty))" /e /r /s</v>
      </c>
      <c r="AG140" s="1" t="str">
        <f>IFERROR(IF(VALUE(LEFT(AD140,2))&lt;=2,"EC",IF(OR(VALUE(LEFT(AD140,2))=8,VALUE(LEFT(AD140,2))=18),"NW","Other")),"Other")</f>
        <v>EC</v>
      </c>
      <c r="AH140" s="92" t="str">
        <f t="shared" si="6"/>
        <v>"%USERPROFILE%\Documents\GitHub\eaglep3\Utilities\RefineRTDCRunTimes.py" --tripid 227-13 --locoid 4018 --swversion DE.1.0.7.0 --startMP 204:484 --initTime 2016-10-13T20:22:50 --startdatetime 2016-10-13T20:30:25 --delay 1 --endMP 204:233297 --enddatetime 2016-10-13T21:10:31 --enforcementcount 1 &gt;&gt;C:\Users\stu\Documents\GitHub\eaglep3-reporting\EC\2016-10-13-refined-times.txt</v>
      </c>
      <c r="AI140" s="122" t="str">
        <f t="shared" si="7"/>
        <v>echo {"issue":{"subject":"","project_id":79,"tracker_id":40,"status_id":1,"priority_id":2,"assigned_to_id":23,"start_date":"2016-10-13","description":"","custom_fields":[{"id":1,"name":"Subdivision","value":"EC"},{"id":4,"name":"Milepost","value":"23.3297"},{"id":17,"name":"Train ID","value":"227-13"},{"id":16,"name":"Locomotive ID","value":"4018"},{"id":130,"name":"Impact","value":""},{"id":150,"name":"Time of Event (Mountain Time)","value":"21:10:31"},{"id":151,"name":"Denver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588</v>
      </c>
      <c r="B141" s="7">
        <v>4017</v>
      </c>
      <c r="C141" s="22" t="s">
        <v>99</v>
      </c>
      <c r="D141" s="22" t="s">
        <v>676</v>
      </c>
      <c r="E141" s="13">
        <v>42656.886504629627</v>
      </c>
      <c r="F141" s="13">
        <v>42656.893645833334</v>
      </c>
      <c r="G141" s="7">
        <v>1</v>
      </c>
      <c r="H141" s="13" t="s">
        <v>326</v>
      </c>
      <c r="I141" s="13">
        <v>42656.921041666668</v>
      </c>
      <c r="J141" s="7">
        <v>1</v>
      </c>
      <c r="K141" s="112" t="str">
        <f>IF(ISEVEN(B141),(B141-1)&amp;"/"&amp;B141,B141&amp;"/"&amp;(B141+1))</f>
        <v>4017/4018</v>
      </c>
      <c r="L141" s="22" t="str">
        <f>VLOOKUP(A141,'Trips&amp;Operators'!$C$1:$E$10000,3,FALSE)</f>
        <v>STURGEON</v>
      </c>
      <c r="M141" s="6">
        <f>I141-F141</f>
        <v>2.7395833334594499E-2</v>
      </c>
      <c r="N141" s="7">
        <f>24*60*SUM($M141:$M141)</f>
        <v>39.450000001816079</v>
      </c>
      <c r="O141" s="7"/>
      <c r="P141" s="7"/>
      <c r="Q141" s="23"/>
      <c r="R141" s="23"/>
      <c r="S141" s="35">
        <f>SUM(U141:U141)/IF(AG141="EC",12,1)</f>
        <v>1</v>
      </c>
      <c r="T141" s="50" t="str">
        <f>IF(ISEVEN(LEFT(AD141,4)),"Southbound","NorthBound")</f>
        <v>Southbound</v>
      </c>
      <c r="U141" s="144">
        <f>IF(AG141="EC",COUNTIFS(Variables!$M$2:$M$19,IF(T141="NorthBound","&gt;=","&lt;=")&amp;Y141,Variables!$M$2:$M$19,IF(T141="NorthBound","&lt;=","&gt;=")&amp;Z141),COUNTIFS(Variables!$P$2:$P$19,IF(T141="NorthBound","&gt;=","&lt;=")&amp;Y141,Variables!$P$2:$P$19,IF(T141="NorthBound","&lt;=","&gt;=")&amp;Z141))</f>
        <v>12</v>
      </c>
      <c r="V141" s="98" t="str">
        <f>"https://search-rtdc-monitor-bjffxe2xuh6vdkpspy63sjmuny.us-east-1.es.amazonaws.com/_plugin/kibana/#/discover/Steve-Slow-Train-Analysis-(2080s-and-2083s)?_g=(refreshInterval:(display:Off,section:0,value:0),time:(from:'"&amp;TEXT(E141-1/24,"yyyy-MM-DD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https://search-rtdc-monitor-bjffxe2xuh6vdkpspy63sjmuny.us-east-1.es.amazonaws.com/_plugin/kibana/#/discover/Steve-Slow-Train-Analysis-(2080s-and-2083s)?_g=(refreshInterval:(display:Off,section:0,value:0),time:(from:'2016-10-13 20:16:34-0600',mode:absolute,to:'2016-10-13 23: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1" s="52" t="str">
        <f>IF(AA141&lt;IF(AG141="EC",23,5.65),"Y","N")</f>
        <v>N</v>
      </c>
      <c r="X141" s="149">
        <f>VALUE(LEFT(AD141,4))-VALUE(LEFT(AD140,4))</f>
        <v>1</v>
      </c>
      <c r="Y141" s="67">
        <f>RIGHT(D141,LEN(D141)-4)/10000</f>
        <v>23.2972</v>
      </c>
      <c r="Z141" s="67">
        <f>RIGHT(H141,LEN(H141)-4)/10000</f>
        <v>1.6899999999999998E-2</v>
      </c>
      <c r="AA141" s="67">
        <f>ABS(Z141-Y141)</f>
        <v>23.2803</v>
      </c>
      <c r="AB141" s="64" t="e">
        <f>VLOOKUP(A141,Enforcements!$C$7:$K$21,8,0)</f>
        <v>#N/A</v>
      </c>
      <c r="AC141" s="60" t="e">
        <f>VLOOKUP(A141,Enforcements!$C$7:$E$21,3,0)</f>
        <v>#N/A</v>
      </c>
      <c r="AD141" s="61" t="str">
        <f>IF(LEN(A141)=6,"0"&amp;A141,A141)</f>
        <v>0228-13</v>
      </c>
      <c r="AE141" s="91" t="str">
        <f>"aws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41" s="88" t="str">
        <f>astrogrep_path&amp;" /spath="&amp;search_path&amp;" /stypes=""app*"&amp;B141&amp;"*"&amp;TEXT(I141-utc_offset/24,"YYYYMMDD")&amp;"*"" /stext="" "&amp;TEXT(I141-utc_offset/24,"HH")&amp;search_regexp&amp;""" /e /r /s"</f>
        <v>"C:\Program Files (x86)\AstroGrep\AstroGrep.exe" /spath="%USERPROFILE%\AppData\Local\Temp\OnboardLogs" /stypes="app*4017*20161014*" /stext=" 04:.+((SYSTEM_STATE.+slice.+state.+changed )|(ment ac)|(system.+state.+changed )|(\[timeout)|(PRM\|1\|D)|(kpr)|(kdp)|(\|lc)|(penalty))" /e /r /s</v>
      </c>
      <c r="AG141" s="1" t="str">
        <f>IFERROR(IF(VALUE(LEFT(AD141,2))&lt;=2,"EC",IF(OR(VALUE(LEFT(AD141,2))=8,VALUE(LEFT(AD141,2))=18),"NW","Other")),"Other")</f>
        <v>EC</v>
      </c>
      <c r="AH141" s="92" t="str">
        <f t="shared" ref="AH141:AH205" si="13">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228-13 --locoid 4017 --swversion DE.1.0.7.0 --startMP 204:232972 --initTime 2016-10-13T21:16:34 --startdatetime 2016-10-13T21:26:51 --delay 1 --endMP 204:169 --enddatetime 2016-10-13T22:06:18 --enforcementcount 1 &gt;&gt;C:\Users\stu\Documents\GitHub\eaglep3-reporting\EC\2016-10-13-refined-times.txt</v>
      </c>
      <c r="AI141" s="122" t="str">
        <f t="shared" ref="AI141:AI205" si="14">"echo {""issue"":{""subject"":"""&amp;R141&amp;""",""project_id"":79,""tracker_id"":40,""status_id"":"&amp;redmine_status&amp;",""priority_id"":"&amp;redmine_priority&amp;",""assigned_to_id"":"&amp;redmine_assignee&amp;",""start_date"":"""&amp;TEXT(I141,"YYYY-mm-dd")&amp;""",""description"":"""&amp;AJ141&amp;""",""custom_fields"":[{""id"":1,""name"":""Subdivision"",""value"":"""&amp;AG141&amp;"""},{""id"":4,""name"":""Milepost"",""value"":"""&amp;Z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{"issue":{"subject":"","project_id":79,"tracker_id":40,"status_id":1,"priority_id":2,"assigned_to_id":23,"start_date":"2016-10-13","description":"","custom_fields":[{"id":1,"name":"Subdivision","value":"EC"},{"id":4,"name":"Milepost","value":"0.0169"},{"id":17,"name":"Train ID","value":"228-13"},{"id":16,"name":"Locomotive ID","value":"4017"},{"id":130,"name":"Impact","value":""},{"id":150,"name":"Time of Event (Mountain Time)","value":"22:06:18"},{"id":151,"name":"Denver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587</v>
      </c>
      <c r="B142" s="7">
        <v>4038</v>
      </c>
      <c r="C142" s="22" t="s">
        <v>99</v>
      </c>
      <c r="D142" s="22" t="s">
        <v>644</v>
      </c>
      <c r="E142" s="13">
        <v>42656.869039351855</v>
      </c>
      <c r="F142" s="13">
        <v>42656.875451388885</v>
      </c>
      <c r="G142" s="7">
        <v>1</v>
      </c>
      <c r="H142" s="13" t="s">
        <v>677</v>
      </c>
      <c r="I142" s="13">
        <v>42656.900787037041</v>
      </c>
      <c r="J142" s="7">
        <v>1</v>
      </c>
      <c r="K142" s="112" t="str">
        <f>IF(ISEVEN(B142),(B142-1)&amp;"/"&amp;B142,B142&amp;"/"&amp;(B142+1))</f>
        <v>4037/4038</v>
      </c>
      <c r="L142" s="22" t="str">
        <f>VLOOKUP(A142,'Trips&amp;Operators'!$C$1:$E$10000,3,FALSE)</f>
        <v>LEVERE</v>
      </c>
      <c r="M142" s="6">
        <f>I142-F142</f>
        <v>2.5335648155305535E-2</v>
      </c>
      <c r="N142" s="7">
        <f>24*60*SUM($M142:$M142)</f>
        <v>36.48333334363997</v>
      </c>
      <c r="O142" s="7"/>
      <c r="P142" s="7"/>
      <c r="Q142" s="23"/>
      <c r="R142" s="23"/>
      <c r="S142" s="35">
        <f>SUM(U142:U142)/IF(AG142="EC",12,1)</f>
        <v>1</v>
      </c>
      <c r="T142" s="50" t="str">
        <f>IF(ISEVEN(LEFT(AD142,4)),"Southbound","NorthBound")</f>
        <v>NorthBound</v>
      </c>
      <c r="U142" s="144">
        <f>IF(AG142="EC",COUNTIFS(Variables!$M$2:$M$19,IF(T142="NorthBound","&gt;=","&lt;=")&amp;Y142,Variables!$M$2:$M$19,IF(T142="NorthBound","&lt;=","&gt;=")&amp;Z142),COUNTIFS(Variables!$P$2:$P$19,IF(T142="NorthBound","&gt;=","&lt;=")&amp;Y142,Variables!$P$2:$P$19,IF(T142="NorthBound","&lt;=","&gt;=")&amp;Z142))</f>
        <v>12</v>
      </c>
      <c r="V142" s="98" t="str">
        <f>"https://search-rtdc-monitor-bjffxe2xuh6vdkpspy63sjmuny.us-east-1.es.amazonaws.com/_plugin/kibana/#/discover/Steve-Slow-Train-Analysis-(2080s-and-2083s)?_g=(refreshInterval:(display:Off,section:0,value:0),time:(from:'"&amp;TEXT(E142-1/24,"yyyy-MM-DD hh:mm:ss")&amp;"-0600',mode:absolute,to:'"&amp;TEXT(I142+1/24,"yyyy-MM-DD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142&amp;"%22')),sort:!(Time,asc))"</f>
        <v>https://search-rtdc-monitor-bjffxe2xuh6vdkpspy63sjmuny.us-east-1.es.amazonaws.com/_plugin/kibana/#/discover/Steve-Slow-Train-Analysis-(2080s-and-2083s)?_g=(refreshInterval:(display:Off,section:0,value:0),time:(from:'2016-10-13 19:51:25-0600',mode:absolute,to:'2016-10-13 22:37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42" s="52" t="str">
        <f>IF(AA142&lt;IF(AG142="EC",23,5.65),"Y","N")</f>
        <v>N</v>
      </c>
      <c r="X142" s="149">
        <f>VALUE(LEFT(AD142,4))-VALUE(LEFT(AD141,4))</f>
        <v>1</v>
      </c>
      <c r="Y142" s="67">
        <f>RIGHT(D142,LEN(D142)-4)/10000</f>
        <v>4.8399999999999999E-2</v>
      </c>
      <c r="Z142" s="67">
        <f>RIGHT(H142,LEN(H142)-4)/10000</f>
        <v>23.330200000000001</v>
      </c>
      <c r="AA142" s="67">
        <f>ABS(Z142-Y142)</f>
        <v>23.2818</v>
      </c>
      <c r="AB142" s="64" t="e">
        <f>VLOOKUP(A142,Enforcements!$C$7:$K$21,8,0)</f>
        <v>#N/A</v>
      </c>
      <c r="AC142" s="60" t="e">
        <f>VLOOKUP(A142,Enforcements!$C$7:$E$21,3,0)</f>
        <v>#N/A</v>
      </c>
      <c r="AD142" s="61" t="str">
        <f>IF(LEN(A142)=6,"0"&amp;A142,A142)</f>
        <v>0229-13</v>
      </c>
      <c r="AE142" s="91" t="str">
        <f>"aws s3 cp "&amp;s3_bucket&amp;"/RTDC"&amp;B142&amp;"/ "&amp;search_path&amp;"\RTDC"&amp;B142&amp;"\"&amp;TEXT(F142,"YYYY-MM-DD")&amp;" --exclude ""*"" --recursive --include ""*"&amp;TEXT(F142,"YYYYMMDD")&amp;"*"" &amp; """&amp;walkandungz&amp;""" "&amp;search_path&amp;"\RTDC"&amp;B142&amp;"\"&amp;TEXT(F142,"YYYY-MM-DD")
&amp;" &amp; "&amp;"aws s3 cp "&amp;s3_bucket&amp;"/RTDC"&amp;B142&amp;"/ "&amp;search_path&amp;"\RTDC"&amp;B142&amp;"\"&amp;TEXT(F142+1,"YYYY-MM-DD")&amp;" --exclude ""*"" --recursive --include ""*"&amp;TEXT(F142+1,"YYYYMMDD")&amp;"*"" &amp; """&amp;walkandungz&amp;""" "&amp;search_path&amp;"\RTDC"&amp;B142&amp;"\"&amp;TEXT(F142+1,"YYYY-MM-DD")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42" s="88" t="str">
        <f>astrogrep_path&amp;" /spath="&amp;search_path&amp;" /stypes=""app*"&amp;B142&amp;"*"&amp;TEXT(I142-utc_offset/24,"YYYYMMDD")&amp;"*"" /stext="" "&amp;TEXT(I142-utc_offset/24,"HH")&amp;search_regexp&amp;""" /e /r /s"</f>
        <v>"C:\Program Files (x86)\AstroGrep\AstroGrep.exe" /spath="%USERPROFILE%\AppData\Local\Temp\OnboardLogs" /stypes="app*4038*20161014*" /stext=" 03:.+((SYSTEM_STATE.+slice.+state.+changed )|(ment ac)|(system.+state.+changed )|(\[timeout)|(PRM\|1\|D)|(kpr)|(kdp)|(\|lc)|(penalty))" /e /r /s</v>
      </c>
      <c r="AG142" s="1" t="str">
        <f>IFERROR(IF(VALUE(LEFT(AD142,2))&lt;=2,"EC",IF(OR(VALUE(LEFT(AD142,2))=8,VALUE(LEFT(AD142,2))=18),"NW","Other")),"Other")</f>
        <v>EC</v>
      </c>
      <c r="AH142" s="92" t="str">
        <f t="shared" si="13"/>
        <v>"%USERPROFILE%\Documents\GitHub\eaglep3\Utilities\RefineRTDCRunTimes.py" --tripid 229-13 --locoid 4038 --swversion DE.1.0.7.0 --startMP 204:484 --initTime 2016-10-13T20:51:25 --startdatetime 2016-10-13T21:00:39 --delay 1 --endMP 204:233302 --enddatetime 2016-10-13T21:37:08 --enforcementcount 1 &gt;&gt;C:\Users\stu\Documents\GitHub\eaglep3-reporting\EC\2016-10-13-refined-times.txt</v>
      </c>
      <c r="AI142" s="122" t="str">
        <f t="shared" si="14"/>
        <v>echo {"issue":{"subject":"","project_id":79,"tracker_id":40,"status_id":1,"priority_id":2,"assigned_to_id":23,"start_date":"2016-10-13","description":"","custom_fields":[{"id":1,"name":"Subdivision","value":"EC"},{"id":4,"name":"Milepost","value":"23.3302"},{"id":17,"name":"Train ID","value":"229-13"},{"id":16,"name":"Locomotive ID","value":"4038"},{"id":130,"name":"Impact","value":""},{"id":150,"name":"Time of Event (Mountain Time)","value":"21:37:08"},{"id":151,"name":"Denver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419</v>
      </c>
      <c r="B143" s="7">
        <v>4037</v>
      </c>
      <c r="C143" s="22" t="s">
        <v>99</v>
      </c>
      <c r="D143" s="22" t="s">
        <v>676</v>
      </c>
      <c r="E143" s="13">
        <v>42656.909826388888</v>
      </c>
      <c r="F143" s="13">
        <v>42656.914085648146</v>
      </c>
      <c r="G143" s="7">
        <v>1</v>
      </c>
      <c r="H143" s="13" t="s">
        <v>678</v>
      </c>
      <c r="I143" s="13">
        <v>42656.942430555559</v>
      </c>
      <c r="J143" s="7">
        <v>1</v>
      </c>
      <c r="K143" s="112" t="str">
        <f>IF(ISEVEN(B143),(B143-1)&amp;"/"&amp;B143,B143&amp;"/"&amp;(B143+1))</f>
        <v>4037/4038</v>
      </c>
      <c r="L143" s="22" t="str">
        <f>VLOOKUP(A143,'Trips&amp;Operators'!$C$1:$E$10000,3,FALSE)</f>
        <v>LEVERE</v>
      </c>
      <c r="M143" s="6">
        <f>I143-F143</f>
        <v>2.8344907412247267E-2</v>
      </c>
      <c r="N143" s="7"/>
      <c r="O143" s="7"/>
      <c r="P143" s="7">
        <f>24*60*SUM($M143:$M143)</f>
        <v>40.816666673636064</v>
      </c>
      <c r="Q143" s="23"/>
      <c r="R143" s="23" t="s">
        <v>773</v>
      </c>
      <c r="S143" s="35">
        <f>SUM(U143:U143)/IF(AG143="EC",12,1)</f>
        <v>1</v>
      </c>
      <c r="T143" s="50" t="str">
        <f>IF(ISEVEN(LEFT(AD143,4)),"Southbound","NorthBound")</f>
        <v>Southbound</v>
      </c>
      <c r="U143" s="144">
        <f>IF(AG143="EC",COUNTIFS(Variables!$M$2:$M$19,IF(T143="NorthBound","&gt;=","&lt;=")&amp;Y143,Variables!$M$2:$M$19,IF(T143="NorthBound","&lt;=","&gt;=")&amp;Z143),COUNTIFS(Variables!$P$2:$P$19,IF(T143="NorthBound","&gt;=","&lt;=")&amp;Y143,Variables!$P$2:$P$19,IF(T143="NorthBound","&lt;=","&gt;=")&amp;Z143))</f>
        <v>12</v>
      </c>
      <c r="V143" s="98" t="str">
        <f>"https://search-rtdc-monitor-bjffxe2xuh6vdkpspy63sjmuny.us-east-1.es.amazonaws.com/_plugin/kibana/#/discover/Steve-Slow-Train-Analysis-(2080s-and-2083s)?_g=(refreshInterval:(display:Off,section:0,value:0),time:(from:'"&amp;TEXT(E143-1/24,"yyyy-MM-DD hh:mm:ss")&amp;"-0600',mode:absolute,to:'"&amp;TEXT(I143+1/24,"yyyy-MM-DD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143&amp;"%22')),sort:!(Time,asc))"</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43" s="52" t="str">
        <f>IF(AA143&lt;IF(AG143="EC",23,5.65),"Y","N")</f>
        <v>Y</v>
      </c>
      <c r="X143" s="149">
        <f>VALUE(LEFT(AD143,4))-VALUE(LEFT(AD142,4))</f>
        <v>1</v>
      </c>
      <c r="Y143" s="67">
        <f>RIGHT(D143,LEN(D143)-4)/10000</f>
        <v>23.2972</v>
      </c>
      <c r="Z143" s="67">
        <f>RIGHT(H143,LEN(H143)-4)/10000</f>
        <v>0.5131</v>
      </c>
      <c r="AA143" s="67">
        <f>ABS(Z143-Y143)</f>
        <v>22.784099999999999</v>
      </c>
      <c r="AB143" s="64" t="e">
        <f>VLOOKUP(A143,Enforcements!$C$7:$K$21,8,0)</f>
        <v>#N/A</v>
      </c>
      <c r="AC143" s="60" t="e">
        <f>VLOOKUP(A143,Enforcements!$C$7:$E$21,3,0)</f>
        <v>#N/A</v>
      </c>
      <c r="AD143" s="61" t="str">
        <f>IF(LEN(A143)=6,"0"&amp;A143,A143)</f>
        <v>0230-13</v>
      </c>
      <c r="AE143" s="91" t="str">
        <f>"aws s3 cp "&amp;s3_bucket&amp;"/RTDC"&amp;B143&amp;"/ "&amp;search_path&amp;"\RTDC"&amp;B143&amp;"\"&amp;TEXT(F143,"YYYY-MM-DD")&amp;" --exclude ""*"" --recursive --include ""*"&amp;TEXT(F143,"YYYYMMDD")&amp;"*"" &amp; """&amp;walkandungz&amp;""" "&amp;search_path&amp;"\RTDC"&amp;B143&amp;"\"&amp;TEXT(F143,"YYYY-MM-DD")
&amp;" &amp; "&amp;"aws s3 cp "&amp;s3_bucket&amp;"/RTDC"&amp;B143&amp;"/ "&amp;search_path&amp;"\RTDC"&amp;B143&amp;"\"&amp;TEXT(F143+1,"YYYY-MM-DD")&amp;" --exclude ""*"" --recursive --include ""*"&amp;TEXT(F143+1,"YYYYMMDD")&amp;"*"" &amp; """&amp;walkandungz&amp;""" "&amp;search_path&amp;"\RTDC"&amp;B143&amp;"\"&amp;TEXT(F143+1,"YYYY-MM-DD")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43" s="88" t="str">
        <f>astrogrep_path&amp;" /spath="&amp;search_path&amp;" /stypes=""app*"&amp;B143&amp;"*"&amp;TEXT(I143-utc_offset/24,"YYYYMMDD")&amp;"*"" /stext="" "&amp;TEXT(I143-utc_offset/24,"HH")&amp;search_regexp&amp;""" /e /r /s"</f>
        <v>"C:\Program Files (x86)\AstroGrep\AstroGrep.exe" /spath="%USERPROFILE%\AppData\Local\Temp\OnboardLogs" /stypes="app*4037*20161014*" /stext=" 04:.+((SYSTEM_STATE.+slice.+state.+changed )|(ment ac)|(system.+state.+changed )|(\[timeout)|(PRM\|1\|D)|(kpr)|(kdp)|(\|lc)|(penalty))" /e /r /s</v>
      </c>
      <c r="AG143" s="1" t="str">
        <f>IFERROR(IF(VALUE(LEFT(AD143,2))&lt;=2,"EC",IF(OR(VALUE(LEFT(AD143,2))=8,VALUE(LEFT(AD143,2))=18),"NW","Other")),"Other")</f>
        <v>EC</v>
      </c>
      <c r="AH143" s="92" t="str">
        <f t="shared" si="13"/>
        <v>"%USERPROFILE%\Documents\GitHub\eaglep3\Utilities\RefineRTDCRunTimes.py" --tripid 230-13 --locoid 4037 --swversion DE.1.0.7.0 --startMP 204:232972 --initTime 2016-10-13T21:50:09 --startdatetime 2016-10-13T21:56:17 --delay 1 --endMP 204:5131 --enddatetime 2016-10-13T22:37:06 --enforcementcount 1 &gt;&gt;C:\Users\stu\Documents\GitHub\eaglep3-reporting\EC\2016-10-13-refined-times.txt</v>
      </c>
      <c r="AI143" s="122" t="str">
        <f t="shared" si="14"/>
        <v>echo {"issue":{"subject":"DUS bungalow power outage","project_id":79,"tracker_id":40,"status_id":1,"priority_id":2,"assigned_to_id":23,"start_date":"2016-10-13","description":"Train approached DUS 22S. It was cycling back and forth between STOP and PROCEED CAB, but all analysis shows that the changes were normal based on train movement. This case looks like it was caused by heavy traffic","custom_fields":[{"id":1,"name":"Subdivision","value":"EC"},{"id":4,"name":"Milepost","value":"0.5131"},{"id":17,"name":"Train ID","value":"230-13"},{"id":16,"name":"Locomotive ID","value":"4037"},{"id":130,"name":"Impact","value":"Unexpected Cut-Out or Disengaged"},{"id":150,"name":"Time of Event (Mountain Time)","value":"22:37:06"},{"id":151,"name":"Denver Issue ID","value":""},{"id":178,"name":"Operational Impact","value":"Yes"},{"id":179,"name":"Denver Segment Assigned","value":"Training"}]}} | curl -X POST -H "Content-Type: application/json" -H "X-Redmine-API-Key: d6333d4a04012a730768444271f8ca06482dae87" https://secure.xorail.net/redmine/issues.json --data @-</v>
      </c>
      <c r="AJ143" s="53" t="s">
        <v>772</v>
      </c>
      <c r="AK143" s="53" t="s">
        <v>132</v>
      </c>
      <c r="AL143" s="53" t="s">
        <v>144</v>
      </c>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590</v>
      </c>
      <c r="B144" s="7">
        <v>4025</v>
      </c>
      <c r="C144" s="22" t="s">
        <v>99</v>
      </c>
      <c r="D144" s="22" t="s">
        <v>304</v>
      </c>
      <c r="E144" s="13">
        <v>42656.890914351854</v>
      </c>
      <c r="F144" s="13">
        <v>42656.896226851852</v>
      </c>
      <c r="G144" s="7">
        <v>2</v>
      </c>
      <c r="H144" s="13" t="s">
        <v>245</v>
      </c>
      <c r="I144" s="13">
        <v>42656.920729166668</v>
      </c>
      <c r="J144" s="7">
        <v>1</v>
      </c>
      <c r="K144" s="112" t="str">
        <f>IF(ISEVEN(B144),(B144-1)&amp;"/"&amp;B144,B144&amp;"/"&amp;(B144+1))</f>
        <v>4025/4026</v>
      </c>
      <c r="L144" s="22" t="str">
        <f>VLOOKUP(A144,'Trips&amp;Operators'!$C$1:$E$10000,3,FALSE)</f>
        <v>COOLAHAN</v>
      </c>
      <c r="M144" s="6">
        <f>I144-F144</f>
        <v>2.4502314816345461E-2</v>
      </c>
      <c r="N144" s="7">
        <f>24*60*SUM($M144:$M144)</f>
        <v>35.283333335537463</v>
      </c>
      <c r="O144" s="7"/>
      <c r="P144" s="7"/>
      <c r="Q144" s="23"/>
      <c r="R144" s="23"/>
      <c r="S144" s="35">
        <f>SUM(U144:U144)/IF(AG144="EC",12,1)</f>
        <v>1</v>
      </c>
      <c r="T144" s="50" t="str">
        <f>IF(ISEVEN(LEFT(AD144,4)),"Southbound","NorthBound")</f>
        <v>NorthBound</v>
      </c>
      <c r="U144" s="144">
        <f>IF(AG144="EC",COUNTIFS(Variables!$M$2:$M$19,IF(T144="NorthBound","&gt;=","&lt;=")&amp;Y144,Variables!$M$2:$M$19,IF(T144="NorthBound","&lt;=","&gt;=")&amp;Z144),COUNTIFS(Variables!$P$2:$P$19,IF(T144="NorthBound","&gt;=","&lt;=")&amp;Y144,Variables!$P$2:$P$19,IF(T144="NorthBound","&lt;=","&gt;=")&amp;Z144))</f>
        <v>12</v>
      </c>
      <c r="V144" s="98" t="str">
        <f>"https://search-rtdc-monitor-bjffxe2xuh6vdkpspy63sjmuny.us-east-1.es.amazonaws.com/_plugin/kibana/#/discover/Steve-Slow-Train-Analysis-(2080s-and-2083s)?_g=(refreshInterval:(display:Off,section:0,value:0),time:(from:'"&amp;TEXT(E144-1/24,"yyyy-MM-DD hh:mm:ss")&amp;"-0600',mode:absolute,to:'"&amp;TEXT(I144+1/24,"yyyy-MM-DD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144&amp;"%22')),sort:!(Time,asc))"</f>
        <v>https://search-rtdc-monitor-bjffxe2xuh6vdkpspy63sjmuny.us-east-1.es.amazonaws.com/_plugin/kibana/#/discover/Steve-Slow-Train-Analysis-(2080s-and-2083s)?_g=(refreshInterval:(display:Off,section:0,value:0),time:(from:'2016-10-13 20:22:55-0600',mode:absolute,to:'2016-10-13 23: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4" s="52" t="str">
        <f>IF(AA144&lt;IF(AG144="EC",23,5.65),"Y","N")</f>
        <v>N</v>
      </c>
      <c r="X144" s="149">
        <f>VALUE(LEFT(AD144,4))-VALUE(LEFT(AD143,4))</f>
        <v>1</v>
      </c>
      <c r="Y144" s="67">
        <f>RIGHT(D144,LEN(D144)-4)/10000</f>
        <v>4.7800000000000002E-2</v>
      </c>
      <c r="Z144" s="67">
        <f>RIGHT(H144,LEN(H144)-4)/10000</f>
        <v>23.331399999999999</v>
      </c>
      <c r="AA144" s="67">
        <f>ABS(Z144-Y144)</f>
        <v>23.2836</v>
      </c>
      <c r="AB144" s="64" t="e">
        <f>VLOOKUP(A144,Enforcements!$C$7:$K$21,8,0)</f>
        <v>#N/A</v>
      </c>
      <c r="AC144" s="60" t="e">
        <f>VLOOKUP(A144,Enforcements!$C$7:$E$21,3,0)</f>
        <v>#N/A</v>
      </c>
      <c r="AD144" s="61" t="str">
        <f>IF(LEN(A144)=6,"0"&amp;A144,A144)</f>
        <v>0231-13</v>
      </c>
      <c r="AE144" s="91" t="str">
        <f>"aws s3 cp "&amp;s3_bucket&amp;"/RTDC"&amp;B144&amp;"/ "&amp;search_path&amp;"\RTDC"&amp;B144&amp;"\"&amp;TEXT(F144,"YYYY-MM-DD")&amp;" --exclude ""*"" --recursive --include ""*"&amp;TEXT(F144,"YYYYMMDD")&amp;"*"" &amp; """&amp;walkandungz&amp;""" "&amp;search_path&amp;"\RTDC"&amp;B144&amp;"\"&amp;TEXT(F144,"YYYY-MM-DD")
&amp;" &amp; "&amp;"aws s3 cp "&amp;s3_bucket&amp;"/RTDC"&amp;B144&amp;"/ "&amp;search_path&amp;"\RTDC"&amp;B144&amp;"\"&amp;TEXT(F144+1,"YYYY-MM-DD")&amp;" --exclude ""*"" --recursive --include ""*"&amp;TEXT(F144+1,"YYYYMMDD")&amp;"*"" &amp; """&amp;walkandungz&amp;""" "&amp;search_path&amp;"\RTDC"&amp;B144&amp;"\"&amp;TEXT(F144+1,"YYYY-MM-DD")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44" s="88" t="str">
        <f>astrogrep_path&amp;" /spath="&amp;search_path&amp;" /stypes=""app*"&amp;B144&amp;"*"&amp;TEXT(I144-utc_offset/24,"YYYYMMDD")&amp;"*"" /stext="" "&amp;TEXT(I144-utc_offset/24,"HH")&amp;search_regexp&amp;""" /e /r /s"</f>
        <v>"C:\Program Files (x86)\AstroGrep\AstroGrep.exe" /spath="%USERPROFILE%\AppData\Local\Temp\OnboardLogs" /stypes="app*4025*20161014*" /stext=" 04:.+((SYSTEM_STATE.+slice.+state.+changed )|(ment ac)|(system.+state.+changed )|(\[timeout)|(PRM\|1\|D)|(kpr)|(kdp)|(\|lc)|(penalty))" /e /r /s</v>
      </c>
      <c r="AG144" s="1" t="str">
        <f>IFERROR(IF(VALUE(LEFT(AD144,2))&lt;=2,"EC",IF(OR(VALUE(LEFT(AD144,2))=8,VALUE(LEFT(AD144,2))=18),"NW","Other")),"Other")</f>
        <v>EC</v>
      </c>
      <c r="AH144" s="92" t="str">
        <f t="shared" si="13"/>
        <v>"%USERPROFILE%\Documents\GitHub\eaglep3\Utilities\RefineRTDCRunTimes.py" --tripid 231-13 --locoid 4025 --swversion DE.1.0.7.0 --startMP 204:478 --initTime 2016-10-13T21:22:55 --startdatetime 2016-10-13T21:30:34 --delay 2 --endMP 204:233314 --enddatetime 2016-10-13T22:05:51 --enforcementcount 1 &gt;&gt;C:\Users\stu\Documents\GitHub\eaglep3-reporting\EC\2016-10-13-refined-times.txt</v>
      </c>
      <c r="AI144" s="122" t="str">
        <f t="shared" si="14"/>
        <v>echo {"issue":{"subject":"","project_id":79,"tracker_id":40,"status_id":1,"priority_id":2,"assigned_to_id":23,"start_date":"2016-10-13","description":"","custom_fields":[{"id":1,"name":"Subdivision","value":"EC"},{"id":4,"name":"Milepost","value":"23.3314"},{"id":17,"name":"Train ID","value":"231-13"},{"id":16,"name":"Locomotive ID","value":"4025"},{"id":130,"name":"Impact","value":""},{"id":150,"name":"Time of Event (Mountain Time)","value":"22:05:51"},{"id":151,"name":"Denver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420</v>
      </c>
      <c r="B145" s="7">
        <v>4026</v>
      </c>
      <c r="C145" s="22" t="s">
        <v>99</v>
      </c>
      <c r="D145" s="22" t="s">
        <v>650</v>
      </c>
      <c r="E145" s="13">
        <v>42656.93041666667</v>
      </c>
      <c r="F145" s="13">
        <v>42656.934999999998</v>
      </c>
      <c r="G145" s="7">
        <v>6</v>
      </c>
      <c r="H145" s="13" t="s">
        <v>679</v>
      </c>
      <c r="I145" s="13">
        <v>42656.96130787037</v>
      </c>
      <c r="J145" s="7">
        <v>1</v>
      </c>
      <c r="K145" s="112" t="str">
        <f>IF(ISEVEN(B145),(B145-1)&amp;"/"&amp;B145,B145&amp;"/"&amp;(B145+1))</f>
        <v>4025/4026</v>
      </c>
      <c r="L145" s="22" t="str">
        <f>VLOOKUP(A145,'Trips&amp;Operators'!$C$1:$E$10000,3,FALSE)</f>
        <v>COOLAHAN</v>
      </c>
      <c r="M145" s="6">
        <f>I145-F145</f>
        <v>2.6307870371965691E-2</v>
      </c>
      <c r="N145" s="7">
        <f>24*60*SUM($M145:$M145)</f>
        <v>37.883333335630596</v>
      </c>
      <c r="O145" s="7"/>
      <c r="P145" s="7"/>
      <c r="Q145" s="23"/>
      <c r="R145" s="23"/>
      <c r="S145" s="35">
        <f>SUM(U145:U145)/IF(AG145="EC",12,1)</f>
        <v>1</v>
      </c>
      <c r="T145" s="50" t="str">
        <f>IF(ISEVEN(LEFT(AD145,4)),"Southbound","NorthBound")</f>
        <v>Southbound</v>
      </c>
      <c r="U145" s="144">
        <f>IF(AG145="EC",COUNTIFS(Variables!$M$2:$M$19,IF(T145="NorthBound","&gt;=","&lt;=")&amp;Y145,Variables!$M$2:$M$19,IF(T145="NorthBound","&lt;=","&gt;=")&amp;Z145),COUNTIFS(Variables!$P$2:$P$19,IF(T145="NorthBound","&gt;=","&lt;=")&amp;Y145,Variables!$P$2:$P$19,IF(T145="NorthBound","&lt;=","&gt;=")&amp;Z145))</f>
        <v>12</v>
      </c>
      <c r="V145" s="98" t="str">
        <f>"https://search-rtdc-monitor-bjffxe2xuh6vdkpspy63sjmuny.us-east-1.es.amazonaws.com/_plugin/kibana/#/discover/Steve-Slow-Train-Analysis-(2080s-and-2083s)?_g=(refreshInterval:(display:Off,section:0,value:0),time:(from:'"&amp;TEXT(E145-1/24,"yyyy-MM-DD hh:mm:ss")&amp;"-0600',mode:absolute,to:'"&amp;TEXT(I145+1/24,"yyyy-MM-DD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145&amp;"%22')),sort:!(Time,asc))"</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5" s="52" t="str">
        <f>IF(AA145&lt;IF(AG145="EC",23,5.65),"Y","N")</f>
        <v>N</v>
      </c>
      <c r="X145" s="149">
        <f>VALUE(LEFT(AD145,4))-VALUE(LEFT(AD144,4))</f>
        <v>1</v>
      </c>
      <c r="Y145" s="67">
        <f>RIGHT(D145,LEN(D145)-4)/10000</f>
        <v>23.3002</v>
      </c>
      <c r="Z145" s="67">
        <f>RIGHT(H145,LEN(H145)-4)/10000</f>
        <v>1.1299999999999999E-2</v>
      </c>
      <c r="AA145" s="67">
        <f>ABS(Z145-Y145)</f>
        <v>23.288900000000002</v>
      </c>
      <c r="AB145" s="64" t="e">
        <f>VLOOKUP(A145,Enforcements!$C$7:$K$21,8,0)</f>
        <v>#N/A</v>
      </c>
      <c r="AC145" s="60" t="e">
        <f>VLOOKUP(A145,Enforcements!$C$7:$E$21,3,0)</f>
        <v>#N/A</v>
      </c>
      <c r="AD145" s="61" t="str">
        <f>IF(LEN(A145)=6,"0"&amp;A145,A145)</f>
        <v>0232-13</v>
      </c>
      <c r="AE145" s="91" t="str">
        <f>"aws s3 cp "&amp;s3_bucket&amp;"/RTDC"&amp;B145&amp;"/ "&amp;search_path&amp;"\RTDC"&amp;B145&amp;"\"&amp;TEXT(F145,"YYYY-MM-DD")&amp;" --exclude ""*"" --recursive --include ""*"&amp;TEXT(F145,"YYYYMMDD")&amp;"*"" &amp; """&amp;walkandungz&amp;""" "&amp;search_path&amp;"\RTDC"&amp;B145&amp;"\"&amp;TEXT(F145,"YYYY-MM-DD")
&amp;" &amp; "&amp;"aws s3 cp "&amp;s3_bucket&amp;"/RTDC"&amp;B145&amp;"/ "&amp;search_path&amp;"\RTDC"&amp;B145&amp;"\"&amp;TEXT(F145+1,"YYYY-MM-DD")&amp;" --exclude ""*"" --recursive --include ""*"&amp;TEXT(F145+1,"YYYYMMDD")&amp;"*"" &amp; """&amp;walkandungz&amp;""" "&amp;search_path&amp;"\RTDC"&amp;B145&amp;"\"&amp;TEXT(F145+1,"YYYY-MM-DD")</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45" s="88" t="str">
        <f>astrogrep_path&amp;" /spath="&amp;search_path&amp;" /stypes=""app*"&amp;B145&amp;"*"&amp;TEXT(I145-utc_offset/24,"YYYYMMDD")&amp;"*"" /stext="" "&amp;TEXT(I145-utc_offset/24,"HH")&amp;search_regexp&amp;""" /e /r /s"</f>
        <v>"C:\Program Files (x86)\AstroGrep\AstroGrep.exe" /spath="%USERPROFILE%\AppData\Local\Temp\OnboardLogs" /stypes="app*4026*20161014*" /stext=" 05:.+((SYSTEM_STATE.+slice.+state.+changed )|(ment ac)|(system.+state.+changed )|(\[timeout)|(PRM\|1\|D)|(kpr)|(kdp)|(\|lc)|(penalty))" /e /r /s</v>
      </c>
      <c r="AG145" s="1" t="str">
        <f>IFERROR(IF(VALUE(LEFT(AD145,2))&lt;=2,"EC",IF(OR(VALUE(LEFT(AD145,2))=8,VALUE(LEFT(AD145,2))=18),"NW","Other")),"Other")</f>
        <v>EC</v>
      </c>
      <c r="AH145" s="92" t="str">
        <f t="shared" si="13"/>
        <v>"%USERPROFILE%\Documents\GitHub\eaglep3\Utilities\RefineRTDCRunTimes.py" --tripid 232-13 --locoid 4026 --swversion DE.1.0.7.0 --startMP 204:233002 --initTime 2016-10-13T22:19:48 --startdatetime 2016-10-13T22:26:24 --delay 6 --endMP 204:113 --enddatetime 2016-10-13T23:04:17 --enforcementcount 1 &gt;&gt;C:\Users\stu\Documents\GitHub\eaglep3-reporting\EC\2016-10-13-refined-times.txt</v>
      </c>
      <c r="AI145" s="122" t="str">
        <f t="shared" si="14"/>
        <v>echo {"issue":{"subject":"","project_id":79,"tracker_id":40,"status_id":1,"priority_id":2,"assigned_to_id":23,"start_date":"2016-10-13","description":"","custom_fields":[{"id":1,"name":"Subdivision","value":"EC"},{"id":4,"name":"Milepost","value":"0.0113"},{"id":17,"name":"Train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s="21" customFormat="1" x14ac:dyDescent="0.25">
      <c r="A146" s="37" t="s">
        <v>592</v>
      </c>
      <c r="B146" s="7">
        <v>4044</v>
      </c>
      <c r="C146" s="22" t="s">
        <v>99</v>
      </c>
      <c r="D146" s="22" t="s">
        <v>306</v>
      </c>
      <c r="E146" s="13">
        <v>42656.912673611114</v>
      </c>
      <c r="F146" s="13">
        <v>42656.916851851849</v>
      </c>
      <c r="G146" s="7">
        <v>1</v>
      </c>
      <c r="H146" s="13" t="s">
        <v>261</v>
      </c>
      <c r="I146" s="13">
        <v>42656.942060185182</v>
      </c>
      <c r="J146" s="7">
        <v>1</v>
      </c>
      <c r="K146" s="112" t="str">
        <f>IF(ISEVEN(B146),(B146-1)&amp;"/"&amp;B146,B146&amp;"/"&amp;(B146+1))</f>
        <v>4043/4044</v>
      </c>
      <c r="L146" s="22" t="str">
        <f>VLOOKUP(A146,'Trips&amp;Operators'!$C$1:$E$10000,3,FALSE)</f>
        <v>BERLING</v>
      </c>
      <c r="M146" s="6">
        <f>I146-F146</f>
        <v>2.5208333332557231E-2</v>
      </c>
      <c r="N146" s="7">
        <f>24*60*SUM($M146:$M146)</f>
        <v>36.299999998882413</v>
      </c>
      <c r="O146" s="7"/>
      <c r="P146" s="7"/>
      <c r="Q146" s="23"/>
      <c r="R146" s="23"/>
      <c r="S146" s="35">
        <f>SUM(U146:U146)/IF(AG146="EC",12,1)</f>
        <v>1</v>
      </c>
      <c r="T146" s="50" t="str">
        <f>IF(ISEVEN(LEFT(AD146,4)),"Southbound","NorthBound")</f>
        <v>NorthBound</v>
      </c>
      <c r="U146" s="144">
        <f>IF(AG146="EC",COUNTIFS(Variables!$M$2:$M$19,IF(T146="NorthBound","&gt;=","&lt;=")&amp;Y146,Variables!$M$2:$M$19,IF(T146="NorthBound","&lt;=","&gt;=")&amp;Z146),COUNTIFS(Variables!$P$2:$P$19,IF(T146="NorthBound","&gt;=","&lt;=")&amp;Y146,Variables!$P$2:$P$19,IF(T146="NorthBound","&lt;=","&gt;=")&amp;Z146))</f>
        <v>12</v>
      </c>
      <c r="V146" s="98" t="str">
        <f>"https://search-rtdc-monitor-bjffxe2xuh6vdkpspy63sjmuny.us-east-1.es.amazonaws.com/_plugin/kibana/#/discover/Steve-Slow-Train-Analysis-(2080s-and-2083s)?_g=(refreshInterval:(display:Off,section:0,value:0),time:(from:'"&amp;TEXT(E146-1/24,"yyyy-MM-DD hh:mm:ss")&amp;"-0600',mode:absolute,to:'"&amp;TEXT(I146+1/24,"yyyy-MM-DD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146&amp;"%22')),sort:!(Time,asc))"</f>
        <v>https://search-rtdc-monitor-bjffxe2xuh6vdkpspy63sjmuny.us-east-1.es.amazonaws.com/_plugin/kibana/#/discover/Steve-Slow-Train-Analysis-(2080s-and-2083s)?_g=(refreshInterval:(display:Off,section:0,value:0),time:(from:'2016-10-13 20:54:15-0600',mode:absolute,to:'2016-10-13 23: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46" s="52" t="str">
        <f>IF(AA146&lt;IF(AG146="EC",23,5.65),"Y","N")</f>
        <v>N</v>
      </c>
      <c r="X146" s="149">
        <f>VALUE(LEFT(AD146,4))-VALUE(LEFT(AD145,4))</f>
        <v>1</v>
      </c>
      <c r="Y146" s="67">
        <f>RIGHT(D146,LEN(D146)-4)/10000</f>
        <v>4.3499999999999997E-2</v>
      </c>
      <c r="Z146" s="67">
        <f>RIGHT(H146,LEN(H146)-4)/10000</f>
        <v>23.331700000000001</v>
      </c>
      <c r="AA146" s="67">
        <f>ABS(Z146-Y146)</f>
        <v>23.2882</v>
      </c>
      <c r="AB146" s="64" t="e">
        <f>VLOOKUP(A146,Enforcements!$C$7:$K$21,8,0)</f>
        <v>#N/A</v>
      </c>
      <c r="AC146" s="60" t="e">
        <f>VLOOKUP(A146,Enforcements!$C$7:$E$21,3,0)</f>
        <v>#N/A</v>
      </c>
      <c r="AD146" s="61" t="str">
        <f>IF(LEN(A146)=6,"0"&amp;A146,A146)</f>
        <v>0233-13</v>
      </c>
      <c r="AE146" s="91" t="str">
        <f>"aws s3 cp "&amp;s3_bucket&amp;"/RTDC"&amp;B146&amp;"/ "&amp;search_path&amp;"\RTDC"&amp;B146&amp;"\"&amp;TEXT(F146,"YYYY-MM-DD")&amp;" --exclude ""*"" --recursive --include ""*"&amp;TEXT(F146,"YYYYMMDD")&amp;"*"" &amp; """&amp;walkandungz&amp;""" "&amp;search_path&amp;"\RTDC"&amp;B146&amp;"\"&amp;TEXT(F146,"YYYY-MM-DD")
&amp;" &amp; "&amp;"aws s3 cp "&amp;s3_bucket&amp;"/RTDC"&amp;B146&amp;"/ "&amp;search_path&amp;"\RTDC"&amp;B146&amp;"\"&amp;TEXT(F146+1,"YYYY-MM-DD")&amp;" --exclude ""*"" --recursive --include ""*"&amp;TEXT(F146+1,"YYYYMMDD")&amp;"*"" &amp; """&amp;walkandungz&amp;""" "&amp;search_path&amp;"\RTDC"&amp;B146&amp;"\"&amp;TEXT(F146+1,"YYYY-MM-DD")</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46" s="88" t="str">
        <f>astrogrep_path&amp;" /spath="&amp;search_path&amp;" /stypes=""app*"&amp;B146&amp;"*"&amp;TEXT(I146-utc_offset/24,"YYYYMMDD")&amp;"*"" /stext="" "&amp;TEXT(I146-utc_offset/24,"HH")&amp;search_regexp&amp;""" /e /r /s"</f>
        <v>"C:\Program Files (x86)\AstroGrep\AstroGrep.exe" /spath="%USERPROFILE%\AppData\Local\Temp\OnboardLogs" /stypes="app*4044*20161014*" /stext=" 04:.+((SYSTEM_STATE.+slice.+state.+changed )|(ment ac)|(system.+state.+changed )|(\[timeout)|(PRM\|1\|D)|(kpr)|(kdp)|(\|lc)|(penalty))" /e /r /s</v>
      </c>
      <c r="AG146" s="1" t="str">
        <f>IFERROR(IF(VALUE(LEFT(AD146,2))&lt;=2,"EC",IF(OR(VALUE(LEFT(AD146,2))=8,VALUE(LEFT(AD146,2))=18),"NW","Other")),"Other")</f>
        <v>EC</v>
      </c>
      <c r="AH146" s="92" t="str">
        <f t="shared" si="13"/>
        <v>"%USERPROFILE%\Documents\GitHub\eaglep3\Utilities\RefineRTDCRunTimes.py" --tripid 233-13 --locoid 4044 --swversion DE.1.0.7.0 --startMP 204:435 --initTime 2016-10-13T21:54:15 --startdatetime 2016-10-13T22:00:16 --delay 1 --endMP 204:233317 --enddatetime 2016-10-13T22:36:34 --enforcementcount 1 &gt;&gt;C:\Users\stu\Documents\GitHub\eaglep3-reporting\EC\2016-10-13-refined-times.txt</v>
      </c>
      <c r="AI146" s="122" t="str">
        <f t="shared" si="14"/>
        <v>echo {"issue":{"subject":"","project_id":79,"tracker_id":40,"status_id":1,"priority_id":2,"assigned_to_id":23,"start_date":"2016-10-13","description":"","custom_fields":[{"id":1,"name":"Subdivision","value":"EC"},{"id":4,"name":"Milepost","value":"23.3317"},{"id":17,"name":"Train ID","value":"233-13"},{"id":16,"name":"Locomotive ID","value":"4044"},{"id":130,"name":"Impact","value":""},{"id":150,"name":"Time of Event (Mountain Time)","value":"22:36:34"},{"id":151,"name":"Denver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x14ac:dyDescent="0.25">
      <c r="A147" s="37" t="s">
        <v>421</v>
      </c>
      <c r="B147" s="7">
        <v>4043</v>
      </c>
      <c r="C147" s="22" t="s">
        <v>99</v>
      </c>
      <c r="D147" s="22" t="s">
        <v>309</v>
      </c>
      <c r="E147" s="13">
        <v>42656.951898148145</v>
      </c>
      <c r="F147" s="13">
        <v>42656.955752314818</v>
      </c>
      <c r="G147" s="7">
        <v>1</v>
      </c>
      <c r="H147" s="13" t="s">
        <v>326</v>
      </c>
      <c r="I147" s="13">
        <v>42656.985844907409</v>
      </c>
      <c r="J147" s="7">
        <v>1</v>
      </c>
      <c r="K147" s="112" t="str">
        <f>IF(ISEVEN(B147),(B147-1)&amp;"/"&amp;B147,B147&amp;"/"&amp;(B147+1))</f>
        <v>4043/4044</v>
      </c>
      <c r="L147" s="22" t="str">
        <f>VLOOKUP(A147,'Trips&amp;Operators'!$C$1:$E$10000,3,FALSE)</f>
        <v>BERLING</v>
      </c>
      <c r="M147" s="6">
        <f>I147-F147</f>
        <v>3.0092592591245193E-2</v>
      </c>
      <c r="N147" s="7">
        <f>24*60*SUM($M147:$M147)</f>
        <v>43.333333331393078</v>
      </c>
      <c r="O147" s="7"/>
      <c r="P147" s="7"/>
      <c r="Q147" s="23"/>
      <c r="R147" s="23"/>
      <c r="S147" s="35">
        <f>SUM(U147:U147)/IF(AG147="EC",12,1)</f>
        <v>1</v>
      </c>
      <c r="T147" s="50" t="str">
        <f>IF(ISEVEN(LEFT(AD147,4)),"Southbound","NorthBound")</f>
        <v>Southbound</v>
      </c>
      <c r="U147" s="144">
        <f>IF(AG147="EC",COUNTIFS(Variables!$M$2:$M$19,IF(T147="NorthBound","&gt;=","&lt;=")&amp;Y147,Variables!$M$2:$M$19,IF(T147="NorthBound","&lt;=","&gt;=")&amp;Z147),COUNTIFS(Variables!$P$2:$P$19,IF(T147="NorthBound","&gt;=","&lt;=")&amp;Y147,Variables!$P$2:$P$19,IF(T147="NorthBound","&lt;=","&gt;=")&amp;Z147))</f>
        <v>12</v>
      </c>
      <c r="V147" s="98" t="str">
        <f>"https://search-rtdc-monitor-bjffxe2xuh6vdkpspy63sjmuny.us-east-1.es.amazonaws.com/_plugin/kibana/#/discover/Steve-Slow-Train-Analysis-(2080s-and-2083s)?_g=(refreshInterval:(display:Off,section:0,value:0),time:(from:'"&amp;TEXT(E147-1/24,"yyyy-MM-DD hh:mm:ss")&amp;"-0600',mode:absolute,to:'"&amp;TEXT(I147+1/24,"yyyy-MM-DD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147&amp;"%22')),sort:!(Time,asc))"</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47" s="52" t="str">
        <f>IF(AA147&lt;IF(AG147="EC",23,5.65),"Y","N")</f>
        <v>N</v>
      </c>
      <c r="X147" s="149">
        <f>VALUE(LEFT(AD147,4))-VALUE(LEFT(AD146,4))</f>
        <v>1</v>
      </c>
      <c r="Y147" s="67">
        <f>RIGHT(D147,LEN(D147)-4)/10000</f>
        <v>23.299600000000002</v>
      </c>
      <c r="Z147" s="67">
        <f>RIGHT(H147,LEN(H147)-4)/10000</f>
        <v>1.6899999999999998E-2</v>
      </c>
      <c r="AA147" s="67">
        <f>ABS(Z147-Y147)</f>
        <v>23.282700000000002</v>
      </c>
      <c r="AB147" s="64" t="e">
        <f>VLOOKUP(A147,Enforcements!$C$7:$K$21,8,0)</f>
        <v>#N/A</v>
      </c>
      <c r="AC147" s="60" t="e">
        <f>VLOOKUP(A147,Enforcements!$C$7:$E$21,3,0)</f>
        <v>#N/A</v>
      </c>
      <c r="AD147" s="61" t="str">
        <f>IF(LEN(A147)=6,"0"&amp;A147,A147)</f>
        <v>0234-13</v>
      </c>
      <c r="AE147" s="91" t="str">
        <f>"aws s3 cp "&amp;s3_bucket&amp;"/RTDC"&amp;B147&amp;"/ "&amp;search_path&amp;"\RTDC"&amp;B147&amp;"\"&amp;TEXT(F147,"YYYY-MM-DD")&amp;" --exclude ""*"" --recursive --include ""*"&amp;TEXT(F147,"YYYYMMDD")&amp;"*"" &amp; """&amp;walkandungz&amp;""" "&amp;search_path&amp;"\RTDC"&amp;B147&amp;"\"&amp;TEXT(F147,"YYYY-MM-DD")
&amp;" &amp; "&amp;"aws s3 cp "&amp;s3_bucket&amp;"/RTDC"&amp;B147&amp;"/ "&amp;search_path&amp;"\RTDC"&amp;B147&amp;"\"&amp;TEXT(F147+1,"YYYY-MM-DD")&amp;" --exclude ""*"" --recursive --include ""*"&amp;TEXT(F147+1,"YYYYMMDD")&amp;"*"" &amp; """&amp;walkandungz&amp;""" "&amp;search_path&amp;"\RTDC"&amp;B147&amp;"\"&amp;TEXT(F147+1,"YYYY-MM-DD")</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47" s="88" t="str">
        <f>astrogrep_path&amp;" /spath="&amp;search_path&amp;" /stypes=""app*"&amp;B147&amp;"*"&amp;TEXT(I147-utc_offset/24,"YYYYMMDD")&amp;"*"" /stext="" "&amp;TEXT(I147-utc_offset/24,"HH")&amp;search_regexp&amp;""" /e /r /s"</f>
        <v>"C:\Program Files (x86)\AstroGrep\AstroGrep.exe" /spath="%USERPROFILE%\AppData\Local\Temp\OnboardLogs" /stypes="app*4043*20161014*" /stext=" 05:.+((SYSTEM_STATE.+slice.+state.+changed )|(ment ac)|(system.+state.+changed )|(\[timeout)|(PRM\|1\|D)|(kpr)|(kdp)|(\|lc)|(penalty))" /e /r /s</v>
      </c>
      <c r="AG147" s="1" t="str">
        <f>IFERROR(IF(VALUE(LEFT(AD147,2))&lt;=2,"EC",IF(OR(VALUE(LEFT(AD147,2))=8,VALUE(LEFT(AD147,2))=18),"NW","Other")),"Other")</f>
        <v>EC</v>
      </c>
      <c r="AH147" s="92" t="str">
        <f t="shared" si="13"/>
        <v>"%USERPROFILE%\Documents\GitHub\eaglep3\Utilities\RefineRTDCRunTimes.py" --tripid 234-13 --locoid 4043 --swversion DE.1.0.7.0 --startMP 204:232996 --initTime 2016-10-13T22:50:44 --startdatetime 2016-10-13T22:56:17 --delay 1 --endMP 204:169 --enddatetime 2016-10-13T23:39:37 --enforcementcount 1 &gt;&gt;C:\Users\stu\Documents\GitHub\eaglep3-reporting\EC\2016-10-13-refined-times.txt</v>
      </c>
      <c r="AI147" s="122" t="str">
        <f t="shared" si="14"/>
        <v>echo {"issue":{"subject":"","project_id":79,"tracker_id":40,"status_id":1,"priority_id":2,"assigned_to_id":23,"start_date":"2016-10-13","description":"","custom_fields":[{"id":1,"name":"Subdivision","value":"EC"},{"id":4,"name":"Milepost","value":"0.0169"},{"id":17,"name":"Train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row>
    <row r="148" spans="1:91" s="21" customFormat="1" x14ac:dyDescent="0.25">
      <c r="A148" s="37" t="s">
        <v>418</v>
      </c>
      <c r="B148" s="7">
        <v>4018</v>
      </c>
      <c r="C148" s="22" t="s">
        <v>99</v>
      </c>
      <c r="D148" s="22" t="s">
        <v>680</v>
      </c>
      <c r="E148" s="13">
        <v>42656.944652777776</v>
      </c>
      <c r="F148" s="13">
        <v>42656.945706018516</v>
      </c>
      <c r="G148" s="7">
        <v>0</v>
      </c>
      <c r="H148" s="13" t="s">
        <v>325</v>
      </c>
      <c r="I148" s="13">
        <v>42656.969351851854</v>
      </c>
      <c r="J148" s="7">
        <v>1</v>
      </c>
      <c r="K148" s="112" t="str">
        <f>IF(ISEVEN(B148),(B148-1)&amp;"/"&amp;B148,B148&amp;"/"&amp;(B148+1))</f>
        <v>4017/4018</v>
      </c>
      <c r="L148" s="22" t="str">
        <f>VLOOKUP(A148,'Trips&amp;Operators'!$C$1:$E$10000,3,FALSE)</f>
        <v>STURGEON</v>
      </c>
      <c r="M148" s="6">
        <f>I148-F148</f>
        <v>2.3645833338377997E-2</v>
      </c>
      <c r="N148" s="7"/>
      <c r="O148" s="7"/>
      <c r="P148" s="7">
        <f>24*60*SUM($M148:$M148)</f>
        <v>34.050000007264316</v>
      </c>
      <c r="Q148" s="23"/>
      <c r="R148" s="23" t="s">
        <v>773</v>
      </c>
      <c r="S148" s="35">
        <f>SUM(U148:U148)/IF(AG148="EC",12,1)</f>
        <v>1</v>
      </c>
      <c r="T148" s="50" t="str">
        <f>IF(ISEVEN(LEFT(AD148,4)),"Southbound","NorthBound")</f>
        <v>NorthBound</v>
      </c>
      <c r="U148" s="144">
        <f>IF(AG148="EC",COUNTIFS(Variables!$M$2:$M$19,IF(T148="NorthBound","&gt;=","&lt;=")&amp;Y148,Variables!$M$2:$M$19,IF(T148="NorthBound","&lt;=","&gt;=")&amp;Z148),COUNTIFS(Variables!$P$2:$P$19,IF(T148="NorthBound","&gt;=","&lt;=")&amp;Y148,Variables!$P$2:$P$19,IF(T148="NorthBound","&lt;=","&gt;=")&amp;Z148))</f>
        <v>12</v>
      </c>
      <c r="V148" s="98" t="str">
        <f>"https://search-rtdc-monitor-bjffxe2xuh6vdkpspy63sjmuny.us-east-1.es.amazonaws.com/_plugin/kibana/#/discover/Steve-Slow-Train-Analysis-(2080s-and-2083s)?_g=(refreshInterval:(display:Off,section:0,value:0),time:(from:'"&amp;TEXT(E148-1/24,"yyyy-MM-DD hh:mm:ss")&amp;"-0600',mode:absolute,to:'"&amp;TEXT(I148+1/24,"yyyy-MM-DD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148&amp;"%22')),sort:!(Time,asc))"</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8" s="52" t="str">
        <f>IF(AA148&lt;IF(AG148="EC",23,5.65),"Y","N")</f>
        <v>Y</v>
      </c>
      <c r="X148" s="149">
        <f>VALUE(LEFT(AD148,4))-VALUE(LEFT(AD147,4))</f>
        <v>1</v>
      </c>
      <c r="Y148" s="67">
        <f>RIGHT(D148,LEN(D148)-4)/10000</f>
        <v>1.9126000000000001</v>
      </c>
      <c r="Z148" s="67">
        <f>RIGHT(H148,LEN(H148)-4)/10000</f>
        <v>23.3291</v>
      </c>
      <c r="AA148" s="67">
        <f>ABS(Z148-Y148)</f>
        <v>21.416499999999999</v>
      </c>
      <c r="AB148" s="64" t="str">
        <f>VLOOKUP(A148,Enforcements!$C$7:$K$21,8,0)</f>
        <v>Signal based authority (5)</v>
      </c>
      <c r="AC148" s="60" t="str">
        <f>VLOOKUP(A148,Enforcements!$C$7:$E$21,3,0)</f>
        <v>SIGNAL</v>
      </c>
      <c r="AD148" s="61" t="str">
        <f>IF(LEN(A148)=6,"0"&amp;A148,A148)</f>
        <v>0235-13</v>
      </c>
      <c r="AE148" s="91" t="str">
        <f>"aws s3 cp "&amp;s3_bucket&amp;"/RTDC"&amp;B148&amp;"/ "&amp;search_path&amp;"\RTDC"&amp;B148&amp;"\"&amp;TEXT(F148,"YYYY-MM-DD")&amp;" --exclude ""*"" --recursive --include ""*"&amp;TEXT(F148,"YYYYMMDD")&amp;"*"" &amp; """&amp;walkandungz&amp;""" "&amp;search_path&amp;"\RTDC"&amp;B148&amp;"\"&amp;TEXT(F148,"YYYY-MM-DD")
&amp;" &amp; "&amp;"aws s3 cp "&amp;s3_bucket&amp;"/RTDC"&amp;B148&amp;"/ "&amp;search_path&amp;"\RTDC"&amp;B148&amp;"\"&amp;TEXT(F148+1,"YYYY-MM-DD")&amp;" --exclude ""*"" --recursive --include ""*"&amp;TEXT(F148+1,"YYYYMMDD")&amp;"*"" &amp; """&amp;walkandungz&amp;""" "&amp;search_path&amp;"\RTDC"&amp;B148&amp;"\"&amp;TEXT(F148+1,"YYYY-MM-DD")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8" s="88" t="str">
        <f>astrogrep_path&amp;" /spath="&amp;search_path&amp;" /stypes=""app*"&amp;B148&amp;"*"&amp;TEXT(I148-utc_offset/24,"YYYYMMDD")&amp;"*"" /stext="" "&amp;TEXT(I148-utc_offset/24,"HH")&amp;search_regexp&amp;""" /e /r /s"</f>
        <v>"C:\Program Files (x86)\AstroGrep\AstroGrep.exe" /spath="%USERPROFILE%\AppData\Local\Temp\OnboardLogs" /stypes="app*4018*20161014*" /stext=" 05:.+((SYSTEM_STATE.+slice.+state.+changed )|(ment ac)|(system.+state.+changed )|(\[timeout)|(PRM\|1\|D)|(kpr)|(kdp)|(\|lc)|(penalty))" /e /r /s</v>
      </c>
      <c r="AG148" s="1" t="str">
        <f>IFERROR(IF(VALUE(LEFT(AD148,2))&lt;=2,"EC",IF(OR(VALUE(LEFT(AD148,2))=8,VALUE(LEFT(AD148,2))=18),"NW","Other")),"Other")</f>
        <v>EC</v>
      </c>
      <c r="AH148" s="92" t="str">
        <f t="shared" si="13"/>
        <v>"%USERPROFILE%\Documents\GitHub\eaglep3\Utilities\RefineRTDCRunTimes.py" --tripid 235-13 --locoid 4018 --swversion DE.1.0.7.0 --startMP 204:19126 --initTime 2016-10-13T22:40:18 --startdatetime 2016-10-13T22:41:49 --delay 0 --endMP 204:233291 --enddatetime 2016-10-13T23:15:52 --enforcementcount 1 &gt;&gt;C:\Users\stu\Documents\GitHub\eaglep3-reporting\EC\2016-10-13-refined-times.txt</v>
      </c>
      <c r="AI148" s="122" t="str">
        <f t="shared" si="14"/>
        <v>echo {"issue":{"subject":"DUS bungalow power outage","project_id":79,"tracker_id":40,"status_id":1,"priority_id":2,"assigned_to_id":23,"start_date":"2016-10-13","description":"Enforcement caused by the signals being intermittent. Power outage-caused.","custom_fields":[{"id":1,"name":"Subdivision","value":"EC"},{"id":4,"name":"Milepost","value":"23.3291"},{"id":17,"name":"Train ID","value":"235-13"},{"id":16,"name":"Locomotive ID","value":"4018"},{"id":130,"name":"Impact","value":"Enforcement"},{"id":150,"name":"Time of Event (Mountain Time)","value":"23:15:52"},{"id":151,"name":"Denver Issue ID","value":""},{"id":178,"name":"Operational Impact","value":"Yes"},{"id":179,"name":"Denver Segment Assigned","value":"Signal"}]}} | curl -X POST -H "Content-Type: application/json" -H "X-Redmine-API-Key: d6333d4a04012a730768444271f8ca06482dae87" https://secure.xorail.net/redmine/issues.json --data @-</v>
      </c>
      <c r="AJ148" s="53" t="s">
        <v>774</v>
      </c>
      <c r="AK148" s="53" t="s">
        <v>126</v>
      </c>
      <c r="AL148" s="53" t="s">
        <v>131</v>
      </c>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x14ac:dyDescent="0.25">
      <c r="A149" s="37" t="s">
        <v>418</v>
      </c>
      <c r="B149" s="7">
        <v>4018</v>
      </c>
      <c r="C149" s="22" t="s">
        <v>99</v>
      </c>
      <c r="D149" s="22" t="s">
        <v>292</v>
      </c>
      <c r="E149" s="13">
        <v>42656.930335648147</v>
      </c>
      <c r="F149" s="13">
        <v>42656.945706018516</v>
      </c>
      <c r="G149" s="7">
        <v>1</v>
      </c>
      <c r="H149" s="13" t="s">
        <v>681</v>
      </c>
      <c r="I149" s="13">
        <v>42656.969351851854</v>
      </c>
      <c r="J149" s="7">
        <v>1</v>
      </c>
      <c r="K149" s="112" t="str">
        <f>IF(ISEVEN(B149),(B149-1)&amp;"/"&amp;B149,B149&amp;"/"&amp;(B149+1))</f>
        <v>4017/4018</v>
      </c>
      <c r="L149" s="22" t="str">
        <f>VLOOKUP(A149,'Trips&amp;Operators'!$C$1:$E$10000,3,FALSE)</f>
        <v>STURGEON</v>
      </c>
      <c r="M149" s="6">
        <f>I149-F149</f>
        <v>2.3645833338377997E-2</v>
      </c>
      <c r="N149" s="7">
        <f>24*60*SUM($M149:$M149)</f>
        <v>34.050000007264316</v>
      </c>
      <c r="O149" s="7"/>
      <c r="P149" s="7"/>
      <c r="Q149" s="23"/>
      <c r="R149" s="23"/>
      <c r="S149" s="35">
        <f>SUM(U149:U149)/IF(AG149="EC",12,1)</f>
        <v>0</v>
      </c>
      <c r="T149" s="50" t="str">
        <f>IF(ISEVEN(LEFT(AD149,4)),"Southbound","NorthBound")</f>
        <v>NorthBound</v>
      </c>
      <c r="U149" s="144">
        <f>IF(AG149="EC",COUNTIFS(Variables!$M$2:$M$19,IF(T149="NorthBound","&gt;=","&lt;=")&amp;Y149,Variables!$M$2:$M$19,IF(T149="NorthBound","&lt;=","&gt;=")&amp;Z149),COUNTIFS(Variables!$P$2:$P$19,IF(T149="NorthBound","&gt;=","&lt;=")&amp;Y149,Variables!$P$2:$P$19,IF(T149="NorthBound","&lt;=","&gt;=")&amp;Z149))</f>
        <v>0</v>
      </c>
      <c r="V149" s="98" t="str">
        <f>"https://search-rtdc-monitor-bjffxe2xuh6vdkpspy63sjmuny.us-east-1.es.amazonaws.com/_plugin/kibana/#/discover/Steve-Slow-Train-Analysis-(2080s-and-2083s)?_g=(refreshInterval:(display:Off,section:0,value:0),time:(from:'"&amp;TEXT(E149-1/24,"yyyy-MM-DD hh:mm:ss")&amp;"-0600',mode:absolute,to:'"&amp;TEXT(I149+1/24,"yyyy-MM-DD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149&amp;"%22')),sort:!(Time,asc))"</f>
        <v>https://search-rtdc-monitor-bjffxe2xuh6vdkpspy63sjmuny.us-east-1.es.amazonaws.com/_plugin/kibana/#/discover/Steve-Slow-Train-Analysis-(2080s-and-2083s)?_g=(refreshInterval:(display:Off,section:0,value:0),time:(from:'2016-10-13 21:19:41-0600',mode:absolute,to:'2016-10-14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9" s="52" t="str">
        <f>IF(AA149&lt;IF(AG149="EC",23,5.65),"Y","N")</f>
        <v>Y</v>
      </c>
      <c r="X149" s="149">
        <f>VALUE(LEFT(AD149,4))-VALUE(LEFT(AD148,4))</f>
        <v>0</v>
      </c>
      <c r="Y149" s="67">
        <f>RIGHT(D149,LEN(D149)-4)/10000</f>
        <v>4.6699999999999998E-2</v>
      </c>
      <c r="Z149" s="67">
        <f>RIGHT(H149,LEN(H149)-4)/10000</f>
        <v>0.1603</v>
      </c>
      <c r="AA149" s="67">
        <f>ABS(Z149-Y149)</f>
        <v>0.11360000000000001</v>
      </c>
      <c r="AB149" s="64" t="str">
        <f>VLOOKUP(A149,Enforcements!$C$7:$K$21,8,0)</f>
        <v>Signal based authority (5)</v>
      </c>
      <c r="AC149" s="60" t="str">
        <f>VLOOKUP(A149,Enforcements!$C$7:$E$21,3,0)</f>
        <v>SIGNAL</v>
      </c>
      <c r="AD149" s="61" t="str">
        <f>IF(LEN(A149)=6,"0"&amp;A149,A149)</f>
        <v>0235-13</v>
      </c>
      <c r="AE149" s="91" t="str">
        <f>"aws s3 cp "&amp;s3_bucket&amp;"/RTDC"&amp;B149&amp;"/ "&amp;search_path&amp;"\RTDC"&amp;B149&amp;"\"&amp;TEXT(F149,"YYYY-MM-DD")&amp;" --exclude ""*"" --recursive --include ""*"&amp;TEXT(F149,"YYYYMMDD")&amp;"*"" &amp; """&amp;walkandungz&amp;""" "&amp;search_path&amp;"\RTDC"&amp;B149&amp;"\"&amp;TEXT(F149,"YYYY-MM-DD")
&amp;" &amp; "&amp;"aws s3 cp "&amp;s3_bucket&amp;"/RTDC"&amp;B149&amp;"/ "&amp;search_path&amp;"\RTDC"&amp;B149&amp;"\"&amp;TEXT(F149+1,"YYYY-MM-DD")&amp;" --exclude ""*"" --recursive --include ""*"&amp;TEXT(F149+1,"YYYYMMDD")&amp;"*"" &amp; """&amp;walkandungz&amp;""" "&amp;search_path&amp;"\RTDC"&amp;B149&amp;"\"&amp;TEXT(F149+1,"YYYY-MM-DD")</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9" s="88" t="str">
        <f>astrogrep_path&amp;" /spath="&amp;search_path&amp;" /stypes=""app*"&amp;B149&amp;"*"&amp;TEXT(I149-utc_offset/24,"YYYYMMDD")&amp;"*"" /stext="" "&amp;TEXT(I149-utc_offset/24,"HH")&amp;search_regexp&amp;""" /e /r /s"</f>
        <v>"C:\Program Files (x86)\AstroGrep\AstroGrep.exe" /spath="%USERPROFILE%\AppData\Local\Temp\OnboardLogs" /stypes="app*4018*20161014*" /stext=" 05:.+((SYSTEM_STATE.+slice.+state.+changed )|(ment ac)|(system.+state.+changed )|(\[timeout)|(PRM\|1\|D)|(kpr)|(kdp)|(\|lc)|(penalty))" /e /r /s</v>
      </c>
      <c r="AG149" s="1" t="str">
        <f>IFERROR(IF(VALUE(LEFT(AD149,2))&lt;=2,"EC",IF(OR(VALUE(LEFT(AD149,2))=8,VALUE(LEFT(AD149,2))=18),"NW","Other")),"Other")</f>
        <v>EC</v>
      </c>
      <c r="AH149" s="92" t="str">
        <f t="shared" si="13"/>
        <v>"%USERPROFILE%\Documents\GitHub\eaglep3\Utilities\RefineRTDCRunTimes.py" --tripid 235-13 --locoid 4018 --swversion DE.1.0.7.0 --startMP 204:467 --initTime 2016-10-13T22:19:41 --startdatetime 2016-10-13T22:41:49 --delay 1 --endMP 204:1603 --enddatetime 2016-10-13T23:15:52 --enforcementcount 1 &gt;&gt;C:\Users\stu\Documents\GitHub\eaglep3-reporting\EC\2016-10-13-refined-times.txt</v>
      </c>
      <c r="AI149" s="122" t="str">
        <f t="shared" si="14"/>
        <v>echo {"issue":{"subject":"","project_id":79,"tracker_id":40,"status_id":1,"priority_id":2,"assigned_to_id":23,"start_date":"2016-10-13","description":"","custom_fields":[{"id":1,"name":"Subdivision","value":"EC"},{"id":4,"name":"Milepost","value":"0.1603"},{"id":17,"name":"Train ID","value":"235-13"},{"id":16,"name":"Locomotive ID","value":"4018"},{"id":130,"name":"Impact","value":""},{"id":150,"name":"Time of Event (Mountain Time)","value":"23:15:52"},{"id":151,"name":"Denver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row>
    <row r="150" spans="1:91" s="21" customFormat="1" x14ac:dyDescent="0.25">
      <c r="A150" s="37" t="s">
        <v>596</v>
      </c>
      <c r="B150" s="7">
        <v>4017</v>
      </c>
      <c r="C150" s="22" t="s">
        <v>99</v>
      </c>
      <c r="D150" s="22" t="s">
        <v>317</v>
      </c>
      <c r="E150" s="13">
        <v>42656.973240740743</v>
      </c>
      <c r="F150" s="13">
        <v>42656.977337962962</v>
      </c>
      <c r="G150" s="7">
        <v>1</v>
      </c>
      <c r="H150" s="13" t="s">
        <v>177</v>
      </c>
      <c r="I150" s="13">
        <v>42657.007719907408</v>
      </c>
      <c r="J150" s="7">
        <v>1</v>
      </c>
      <c r="K150" s="112" t="str">
        <f>IF(ISEVEN(B150),(B150-1)&amp;"/"&amp;B150,B150&amp;"/"&amp;(B150+1))</f>
        <v>4017/4018</v>
      </c>
      <c r="L150" s="22" t="str">
        <f>VLOOKUP(A150,'Trips&amp;Operators'!$C$1:$E$10000,3,FALSE)</f>
        <v>STURGEON</v>
      </c>
      <c r="M150" s="6">
        <f>I150-F150</f>
        <v>3.0381944445252884E-2</v>
      </c>
      <c r="N150" s="7">
        <f>24*60*SUM($M150:$M150)</f>
        <v>43.750000001164153</v>
      </c>
      <c r="O150" s="7"/>
      <c r="P150" s="7"/>
      <c r="Q150" s="23"/>
      <c r="R150" s="23"/>
      <c r="S150" s="35">
        <f>SUM(U150:U150)/IF(AG150="EC",12,1)</f>
        <v>1</v>
      </c>
      <c r="T150" s="50" t="str">
        <f>IF(ISEVEN(LEFT(AD150,4)),"Southbound","NorthBound")</f>
        <v>Southbound</v>
      </c>
      <c r="U150" s="144">
        <f>IF(AG150="EC",COUNTIFS(Variables!$M$2:$M$19,IF(T150="NorthBound","&gt;=","&lt;=")&amp;Y150,Variables!$M$2:$M$19,IF(T150="NorthBound","&lt;=","&gt;=")&amp;Z150),COUNTIFS(Variables!$P$2:$P$19,IF(T150="NorthBound","&gt;=","&lt;=")&amp;Y150,Variables!$P$2:$P$19,IF(T150="NorthBound","&lt;=","&gt;=")&amp;Z150))</f>
        <v>12</v>
      </c>
      <c r="V150" s="98" t="str">
        <f>"https://search-rtdc-monitor-bjffxe2xuh6vdkpspy63sjmuny.us-east-1.es.amazonaws.com/_plugin/kibana/#/discover/Steve-Slow-Train-Analysis-(2080s-and-2083s)?_g=(refreshInterval:(display:Off,section:0,value:0),time:(from:'"&amp;TEXT(E150-1/24,"yyyy-MM-DD hh:mm:ss")&amp;"-0600',mode:absolute,to:'"&amp;TEXT(I150+1/24,"yyyy-MM-DD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150&amp;"%22')),sort:!(Time,asc))"</f>
        <v>https://search-rtdc-monitor-bjffxe2xuh6vdkpspy63sjmuny.us-east-1.es.amazonaws.com/_plugin/kibana/#/discover/Steve-Slow-Train-Analysis-(2080s-and-2083s)?_g=(refreshInterval:(display:Off,section:0,value:0),time:(from:'2016-10-13 22:21:28-0600',mode:absolute,to:'2016-10-14 01:11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50" s="52" t="str">
        <f>IF(AA150&lt;IF(AG150="EC",23,5.65),"Y","N")</f>
        <v>N</v>
      </c>
      <c r="X150" s="149">
        <f>VALUE(LEFT(AD150,4))-VALUE(LEFT(AD149,4))</f>
        <v>1</v>
      </c>
      <c r="Y150" s="67">
        <f>RIGHT(D150,LEN(D150)-4)/10000</f>
        <v>23.298100000000002</v>
      </c>
      <c r="Z150" s="67">
        <f>RIGHT(H150,LEN(H150)-4)/10000</f>
        <v>1.52E-2</v>
      </c>
      <c r="AA150" s="67">
        <f>ABS(Z150-Y150)</f>
        <v>23.282900000000001</v>
      </c>
      <c r="AB150" s="64" t="e">
        <f>VLOOKUP(A150,Enforcements!$C$7:$K$21,8,0)</f>
        <v>#N/A</v>
      </c>
      <c r="AC150" s="60" t="e">
        <f>VLOOKUP(A150,Enforcements!$C$7:$E$21,3,0)</f>
        <v>#N/A</v>
      </c>
      <c r="AD150" s="61" t="str">
        <f>IF(LEN(A150)=6,"0"&amp;A150,A150)</f>
        <v>0236-13</v>
      </c>
      <c r="AE150" s="91" t="str">
        <f>"aws s3 cp "&amp;s3_bucket&amp;"/RTDC"&amp;B150&amp;"/ "&amp;search_path&amp;"\RTDC"&amp;B150&amp;"\"&amp;TEXT(F150,"YYYY-MM-DD")&amp;" --exclude ""*"" --recursive --include ""*"&amp;TEXT(F150,"YYYYMMDD")&amp;"*"" &amp; """&amp;walkandungz&amp;""" "&amp;search_path&amp;"\RTDC"&amp;B150&amp;"\"&amp;TEXT(F150,"YYYY-MM-DD")
&amp;" &amp; "&amp;"aws s3 cp "&amp;s3_bucket&amp;"/RTDC"&amp;B150&amp;"/ "&amp;search_path&amp;"\RTDC"&amp;B150&amp;"\"&amp;TEXT(F150+1,"YYYY-MM-DD")&amp;" --exclude ""*"" --recursive --include ""*"&amp;TEXT(F150+1,"YYYYMMDD")&amp;"*"" &amp; """&amp;walkandungz&amp;""" "&amp;search_path&amp;"\RTDC"&amp;B150&amp;"\"&amp;TEXT(F150+1,"YYYY-MM-DD")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50" s="88" t="str">
        <f>astrogrep_path&amp;" /spath="&amp;search_path&amp;" /stypes=""app*"&amp;B150&amp;"*"&amp;TEXT(I150-utc_offset/24,"YYYYMMDD")&amp;"*"" /stext="" "&amp;TEXT(I150-utc_offset/24,"HH")&amp;search_regexp&amp;""" /e /r /s"</f>
        <v>"C:\Program Files (x86)\AstroGrep\AstroGrep.exe" /spath="%USERPROFILE%\AppData\Local\Temp\OnboardLogs" /stypes="app*4017*20161014*" /stext=" 06:.+((SYSTEM_STATE.+slice.+state.+changed )|(ment ac)|(system.+state.+changed )|(\[timeout)|(PRM\|1\|D)|(kpr)|(kdp)|(\|lc)|(penalty))" /e /r /s</v>
      </c>
      <c r="AG150" s="1" t="str">
        <f>IFERROR(IF(VALUE(LEFT(AD150,2))&lt;=2,"EC",IF(OR(VALUE(LEFT(AD150,2))=8,VALUE(LEFT(AD150,2))=18),"NW","Other")),"Other")</f>
        <v>EC</v>
      </c>
      <c r="AH150" s="92" t="str">
        <f t="shared" si="13"/>
        <v>"%USERPROFILE%\Documents\GitHub\eaglep3\Utilities\RefineRTDCRunTimes.py" --tripid 236-13 --locoid 4017 --swversion DE.1.0.7.0 --startMP 204:232981 --initTime 2016-10-13T23:21:28 --startdatetime 2016-10-13T23:27:22 --delay 1 --endMP 204:152 --enddatetime 2016-10-14T00:11:07 --enforcementcount 1 &gt;&gt;C:\Users\stu\Documents\GitHub\eaglep3-reporting\EC\2016-10-13-refined-times.txt</v>
      </c>
      <c r="AI150" s="122" t="str">
        <f t="shared" si="14"/>
        <v>echo {"issue":{"subject":"","project_id":79,"tracker_id":40,"status_id":1,"priority_id":2,"assigned_to_id":23,"start_date":"2016-10-14","description":"","custom_fields":[{"id":1,"name":"Subdivision","value":"EC"},{"id":4,"name":"Milepost","value":"0.0152"},{"id":17,"name":"Train ID","value":"236-13"},{"id":16,"name":"Locomotive ID","value":"4017"},{"id":130,"name":"Impact","value":""},{"id":150,"name":"Time of Event (Mountain Time)","value":"00:11:07"},{"id":151,"name":"Denver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595</v>
      </c>
      <c r="B151" s="7">
        <v>4038</v>
      </c>
      <c r="C151" s="22" t="s">
        <v>99</v>
      </c>
      <c r="D151" s="22" t="s">
        <v>319</v>
      </c>
      <c r="E151" s="13">
        <v>42656.953657407408</v>
      </c>
      <c r="F151" s="13">
        <v>42656.961168981485</v>
      </c>
      <c r="G151" s="7">
        <v>1</v>
      </c>
      <c r="H151" s="13" t="s">
        <v>281</v>
      </c>
      <c r="I151" s="13">
        <v>42656.987476851849</v>
      </c>
      <c r="J151" s="7">
        <v>1</v>
      </c>
      <c r="K151" s="112" t="str">
        <f>IF(ISEVEN(B151),(B151-1)&amp;"/"&amp;B151,B151&amp;"/"&amp;(B151+1))</f>
        <v>4037/4038</v>
      </c>
      <c r="L151" s="22" t="str">
        <f>VLOOKUP(A151,'Trips&amp;Operators'!$C$1:$E$10000,3,FALSE)</f>
        <v>LEVERE</v>
      </c>
      <c r="M151" s="6">
        <f>I151-F151</f>
        <v>2.6307870364689734E-2</v>
      </c>
      <c r="N151" s="7">
        <f>24*60*SUM($M151:$M151)</f>
        <v>37.883333325153217</v>
      </c>
      <c r="O151" s="7"/>
      <c r="P151" s="7"/>
      <c r="Q151" s="23"/>
      <c r="R151" s="23"/>
      <c r="S151" s="35">
        <f>SUM(U151:U151)/IF(AG151="EC",12,1)</f>
        <v>1</v>
      </c>
      <c r="T151" s="50" t="str">
        <f>IF(ISEVEN(LEFT(AD151,4)),"Southbound","NorthBound")</f>
        <v>NorthBound</v>
      </c>
      <c r="U151" s="144">
        <f>IF(AG151="EC",COUNTIFS(Variables!$M$2:$M$19,IF(T151="NorthBound","&gt;=","&lt;=")&amp;Y151,Variables!$M$2:$M$19,IF(T151="NorthBound","&lt;=","&gt;=")&amp;Z151),COUNTIFS(Variables!$P$2:$P$19,IF(T151="NorthBound","&gt;=","&lt;=")&amp;Y151,Variables!$P$2:$P$19,IF(T151="NorthBound","&lt;=","&gt;=")&amp;Z151))</f>
        <v>12</v>
      </c>
      <c r="V151" s="98" t="str">
        <f>"https://search-rtdc-monitor-bjffxe2xuh6vdkpspy63sjmuny.us-east-1.es.amazonaws.com/_plugin/kibana/#/discover/Steve-Slow-Train-Analysis-(2080s-and-2083s)?_g=(refreshInterval:(display:Off,section:0,value:0),time:(from:'"&amp;TEXT(E151-1/24,"yyyy-MM-DD hh:mm:ss")&amp;"-0600',mode:absolute,to:'"&amp;TEXT(I151+1/24,"yyyy-MM-DD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151&amp;"%22')),sort:!(Time,asc))"</f>
        <v>https://search-rtdc-monitor-bjffxe2xuh6vdkpspy63sjmuny.us-east-1.es.amazonaws.com/_plugin/kibana/#/discover/Steve-Slow-Train-Analysis-(2080s-and-2083s)?_g=(refreshInterval:(display:Off,section:0,value:0),time:(from:'2016-10-13 21:53:16-0600',mode:absolute,to:'2016-10-14 00:41: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51" s="52" t="str">
        <f>IF(AA151&lt;IF(AG151="EC",23,5.65),"Y","N")</f>
        <v>N</v>
      </c>
      <c r="X151" s="149">
        <f>VALUE(LEFT(AD151,4))-VALUE(LEFT(AD150,4))</f>
        <v>1</v>
      </c>
      <c r="Y151" s="67">
        <f>RIGHT(D151,LEN(D151)-4)/10000</f>
        <v>4.5999999999999999E-2</v>
      </c>
      <c r="Z151" s="67">
        <f>RIGHT(H151,LEN(H151)-4)/10000</f>
        <v>23.33</v>
      </c>
      <c r="AA151" s="67">
        <f>ABS(Z151-Y151)</f>
        <v>23.283999999999999</v>
      </c>
      <c r="AB151" s="64" t="e">
        <f>VLOOKUP(A151,Enforcements!$C$7:$K$21,8,0)</f>
        <v>#N/A</v>
      </c>
      <c r="AC151" s="60" t="e">
        <f>VLOOKUP(A151,Enforcements!$C$7:$E$21,3,0)</f>
        <v>#N/A</v>
      </c>
      <c r="AD151" s="61" t="str">
        <f>IF(LEN(A151)=6,"0"&amp;A151,A151)</f>
        <v>0237-13</v>
      </c>
      <c r="AE151" s="91" t="str">
        <f>"aws s3 cp "&amp;s3_bucket&amp;"/RTDC"&amp;B151&amp;"/ "&amp;search_path&amp;"\RTDC"&amp;B151&amp;"\"&amp;TEXT(F151,"YYYY-MM-DD")&amp;" --exclude ""*"" --recursive --include ""*"&amp;TEXT(F151,"YYYYMMDD")&amp;"*"" &amp; """&amp;walkandungz&amp;""" "&amp;search_path&amp;"\RTDC"&amp;B151&amp;"\"&amp;TEXT(F151,"YYYY-MM-DD")
&amp;" &amp; "&amp;"aws s3 cp "&amp;s3_bucket&amp;"/RTDC"&amp;B151&amp;"/ "&amp;search_path&amp;"\RTDC"&amp;B151&amp;"\"&amp;TEXT(F151+1,"YYYY-MM-DD")&amp;" --exclude ""*"" --recursive --include ""*"&amp;TEXT(F151+1,"YYYYMMDD")&amp;"*"" &amp; """&amp;walkandungz&amp;""" "&amp;search_path&amp;"\RTDC"&amp;B151&amp;"\"&amp;TEXT(F151+1,"YYYY-MM-DD")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51" s="88" t="str">
        <f>astrogrep_path&amp;" /spath="&amp;search_path&amp;" /stypes=""app*"&amp;B151&amp;"*"&amp;TEXT(I151-utc_offset/24,"YYYYMMDD")&amp;"*"" /stext="" "&amp;TEXT(I151-utc_offset/24,"HH")&amp;search_regexp&amp;""" /e /r /s"</f>
        <v>"C:\Program Files (x86)\AstroGrep\AstroGrep.exe" /spath="%USERPROFILE%\AppData\Local\Temp\OnboardLogs" /stypes="app*4038*20161014*" /stext=" 05:.+((SYSTEM_STATE.+slice.+state.+changed )|(ment ac)|(system.+state.+changed )|(\[timeout)|(PRM\|1\|D)|(kpr)|(kdp)|(\|lc)|(penalty))" /e /r /s</v>
      </c>
      <c r="AG151" s="1" t="str">
        <f>IFERROR(IF(VALUE(LEFT(AD151,2))&lt;=2,"EC",IF(OR(VALUE(LEFT(AD151,2))=8,VALUE(LEFT(AD151,2))=18),"NW","Other")),"Other")</f>
        <v>EC</v>
      </c>
      <c r="AH151" s="92" t="str">
        <f t="shared" si="13"/>
        <v>"%USERPROFILE%\Documents\GitHub\eaglep3\Utilities\RefineRTDCRunTimes.py" --tripid 237-13 --locoid 4038 --swversion DE.1.0.7.0 --startMP 204:460 --initTime 2016-10-13T22:53:16 --startdatetime 2016-10-13T23:04:05 --delay 1 --endMP 204:233300 --enddatetime 2016-10-13T23:41:58 --enforcementcount 1 &gt;&gt;C:\Users\stu\Documents\GitHub\eaglep3-reporting\EC\2016-10-13-refined-times.txt</v>
      </c>
      <c r="AI151" s="122" t="str">
        <f t="shared" si="14"/>
        <v>echo {"issue":{"subject":"","project_id":79,"tracker_id":40,"status_id":1,"priority_id":2,"assigned_to_id":23,"start_date":"2016-10-13","description":"","custom_fields":[{"id":1,"name":"Subdivision","value":"EC"},{"id":4,"name":"Milepost","value":"23.33"},{"id":17,"name":"Train ID","value":"237-13"},{"id":16,"name":"Locomotive ID","value":"4038"},{"id":130,"name":"Impact","value":""},{"id":150,"name":"Time of Event (Mountain Time)","value":"23:41:58"},{"id":151,"name":"Denver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1" customFormat="1" x14ac:dyDescent="0.25">
      <c r="A152" s="37" t="s">
        <v>598</v>
      </c>
      <c r="B152" s="7">
        <v>4037</v>
      </c>
      <c r="C152" s="22" t="s">
        <v>99</v>
      </c>
      <c r="D152" s="22" t="s">
        <v>319</v>
      </c>
      <c r="E152" s="13">
        <v>42656.953657407408</v>
      </c>
      <c r="F152" s="13">
        <v>42656.997418981482</v>
      </c>
      <c r="G152" s="7">
        <v>1</v>
      </c>
      <c r="H152" s="13" t="s">
        <v>281</v>
      </c>
      <c r="I152" s="13">
        <v>42657.027303240742</v>
      </c>
      <c r="J152" s="7">
        <v>1</v>
      </c>
      <c r="K152" s="112" t="str">
        <f>IF(ISEVEN(B152),(B152-1)&amp;"/"&amp;B152,B152&amp;"/"&amp;(B152+1))</f>
        <v>4037/4038</v>
      </c>
      <c r="L152" s="22" t="str">
        <f>VLOOKUP(A152,'Trips&amp;Operators'!$C$1:$E$10000,3,FALSE)</f>
        <v>LEVERE</v>
      </c>
      <c r="M152" s="6">
        <f>I152-F152</f>
        <v>2.9884259260143153E-2</v>
      </c>
      <c r="N152" s="7">
        <f>24*60*SUM($M152:$M152)</f>
        <v>43.033333334606141</v>
      </c>
      <c r="O152" s="7"/>
      <c r="P152" s="7"/>
      <c r="Q152" s="23"/>
      <c r="R152" s="23"/>
      <c r="S152" s="35">
        <f>SUM(U152:U152)/IF(AG152="EC",12,1)</f>
        <v>1</v>
      </c>
      <c r="T152" s="50" t="str">
        <f>IF(ISEVEN(LEFT(AD152,4)),"Southbound","NorthBound")</f>
        <v>Southbound</v>
      </c>
      <c r="U152" s="144">
        <f>IF(AG152="EC",COUNTIFS(Variables!$M$2:$M$19,IF(T152="NorthBound","&gt;=","&lt;=")&amp;Y152,Variables!$M$2:$M$19,IF(T152="NorthBound","&lt;=","&gt;=")&amp;Z152),COUNTIFS(Variables!$P$2:$P$19,IF(T152="NorthBound","&gt;=","&lt;=")&amp;Y152,Variables!$P$2:$P$19,IF(T152="NorthBound","&lt;=","&gt;=")&amp;Z152))</f>
        <v>12</v>
      </c>
      <c r="V152" s="98" t="str">
        <f>"https://search-rtdc-monitor-bjffxe2xuh6vdkpspy63sjmuny.us-east-1.es.amazonaws.com/_plugin/kibana/#/discover/Steve-Slow-Train-Analysis-(2080s-and-2083s)?_g=(refreshInterval:(display:Off,section:0,value:0),time:(from:'"&amp;TEXT(E152-1/24,"yyyy-MM-DD hh:mm:ss")&amp;"-0600',mode:absolute,to:'"&amp;TEXT(I152+1/24,"yyyy-MM-DD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152&amp;"%22')),sort:!(Time,asc))"</f>
        <v>https://search-rtdc-monitor-bjffxe2xuh6vdkpspy63sjmuny.us-east-1.es.amazonaws.com/_plugin/kibana/#/discover/Steve-Slow-Train-Analysis-(2080s-and-2083s)?_g=(refreshInterval:(display:Off,section:0,value:0),time:(from:'2016-10-13 21:53:16-0600',mode:absolute,to:'2016-10-14 01:39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52" s="52" t="str">
        <f>IF(AA152&lt;IF(AG152="EC",23,5.65),"Y","N")</f>
        <v>Y</v>
      </c>
      <c r="X152" s="149">
        <f>VALUE(LEFT(AD152,4))-VALUE(LEFT(AD151,4))</f>
        <v>1</v>
      </c>
      <c r="Y152" s="67">
        <v>23.298100000000002</v>
      </c>
      <c r="Z152" s="67">
        <v>0.31109999999999999</v>
      </c>
      <c r="AA152" s="67">
        <f>ABS(Z152-Y152)</f>
        <v>22.987000000000002</v>
      </c>
      <c r="AB152" s="64" t="e">
        <f>VLOOKUP(A152,Enforcements!$C$7:$K$21,8,0)</f>
        <v>#N/A</v>
      </c>
      <c r="AC152" s="60" t="e">
        <f>VLOOKUP(A152,Enforcements!$C$7:$E$21,3,0)</f>
        <v>#N/A</v>
      </c>
      <c r="AD152" s="61" t="str">
        <f>IF(LEN(A152)=6,"0"&amp;A152,A152)</f>
        <v>0238-13</v>
      </c>
      <c r="AE152" s="91" t="str">
        <f>"aws s3 cp "&amp;s3_bucket&amp;"/RTDC"&amp;B152&amp;"/ "&amp;search_path&amp;"\RTDC"&amp;B152&amp;"\"&amp;TEXT(F152,"YYYY-MM-DD")&amp;" --exclude ""*"" --recursive --include ""*"&amp;TEXT(F152,"YYYYMMDD")&amp;"*"" &amp; """&amp;walkandungz&amp;""" "&amp;search_path&amp;"\RTDC"&amp;B152&amp;"\"&amp;TEXT(F152,"YYYY-MM-DD")
&amp;" &amp; "&amp;"aws s3 cp "&amp;s3_bucket&amp;"/RTDC"&amp;B152&amp;"/ "&amp;search_path&amp;"\RTDC"&amp;B152&amp;"\"&amp;TEXT(F152+1,"YYYY-MM-DD")&amp;" --exclude ""*"" --recursive --include ""*"&amp;TEXT(F152+1,"YYYYMMDD")&amp;"*"" &amp; """&amp;walkandungz&amp;""" "&amp;search_path&amp;"\RTDC"&amp;B152&amp;"\"&amp;TEXT(F152+1,"YYYY-MM-DD")</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52" s="88" t="str">
        <f>astrogrep_path&amp;" /spath="&amp;search_path&amp;" /stypes=""app*"&amp;B152&amp;"*"&amp;TEXT(I152-utc_offset/24,"YYYYMMDD")&amp;"*"" /stext="" "&amp;TEXT(I152-utc_offset/24,"HH")&amp;search_regexp&amp;""" /e /r /s"</f>
        <v>"C:\Program Files (x86)\AstroGrep\AstroGrep.exe" /spath="%USERPROFILE%\AppData\Local\Temp\OnboardLogs" /stypes="app*4037*20161014*" /stext=" 06:.+((SYSTEM_STATE.+slice.+state.+changed )|(ment ac)|(system.+state.+changed )|(\[timeout)|(PRM\|1\|D)|(kpr)|(kdp)|(\|lc)|(penalty))" /e /r /s</v>
      </c>
      <c r="AG152" s="1" t="str">
        <f>IFERROR(IF(VALUE(LEFT(AD152,2))&lt;=2,"EC",IF(OR(VALUE(LEFT(AD152,2))=8,VALUE(LEFT(AD152,2))=18),"NW","Other")),"Other")</f>
        <v>EC</v>
      </c>
      <c r="AH152" s="92" t="str">
        <f t="shared" ref="AH152" si="15">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238-13 --locoid 4037 --swversion DE.1.0.7.0 --startMP 204:460 --initTime 2016-10-13T22:53:16 --startdatetime 2016-10-13T23:56:17 --delay 1 --endMP 204:233300 --enddatetime 2016-10-14T00:39:19 --enforcementcount 1 &gt;&gt;C:\Users\stu\Documents\GitHub\eaglep3-reporting\EC\2016-10-13-refined-times.txt</v>
      </c>
      <c r="AI152" s="122" t="str">
        <f t="shared" ref="AI152" si="16">"echo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-X POST -H ""Content-Type: application/json"" -H ""X-Redmine-API-Key: "&amp;redm_api_key&amp;""" "&amp;redm_url&amp;" --data @-"</f>
        <v>echo {"issue":{"subject":"","project_id":79,"tracker_id":40,"status_id":1,"priority_id":2,"assigned_to_id":23,"start_date":"2016-10-14","description":"","custom_fields":[{"id":1,"name":"Subdivision","value":"EC"},{"id":4,"name":"Milepost","value":"0.3111"},{"id":17,"name":"Train ID","value":"238-13"},{"id":16,"name":"Locomotive ID","value":"4037"},{"id":130,"name":"Impact","value":""},{"id":150,"name":"Time of Event (Mountain Time)","value":"00:39:19"},{"id":151,"name":"Denver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x14ac:dyDescent="0.25">
      <c r="A153" s="37" t="s">
        <v>597</v>
      </c>
      <c r="B153" s="7">
        <v>4025</v>
      </c>
      <c r="C153" s="22" t="s">
        <v>99</v>
      </c>
      <c r="D153" s="22" t="s">
        <v>682</v>
      </c>
      <c r="E153" s="13">
        <v>42656.976701388892</v>
      </c>
      <c r="F153" s="13">
        <v>42656.979490740741</v>
      </c>
      <c r="G153" s="7">
        <v>2</v>
      </c>
      <c r="H153" s="13" t="s">
        <v>245</v>
      </c>
      <c r="I153" s="13">
        <v>42657.004432870373</v>
      </c>
      <c r="J153" s="7">
        <v>1</v>
      </c>
      <c r="K153" s="112" t="str">
        <f>IF(ISEVEN(B153),(B153-1)&amp;"/"&amp;B153,B153&amp;"/"&amp;(B153+1))</f>
        <v>4025/4026</v>
      </c>
      <c r="L153" s="22" t="str">
        <f>VLOOKUP(A153,'Trips&amp;Operators'!$C$1:$E$10000,3,FALSE)</f>
        <v>COOLAHAN</v>
      </c>
      <c r="M153" s="6">
        <f>I153-F153</f>
        <v>2.4942129632108845E-2</v>
      </c>
      <c r="N153" s="7">
        <f>24*60*SUM($M153:$M153)</f>
        <v>35.916666670236737</v>
      </c>
      <c r="O153" s="7"/>
      <c r="P153" s="7"/>
      <c r="Q153" s="23"/>
      <c r="R153" s="23"/>
      <c r="S153" s="35">
        <f>SUM(U153:U153)/IF(AG153="EC",12,1)</f>
        <v>1</v>
      </c>
      <c r="T153" s="50" t="str">
        <f>IF(ISEVEN(LEFT(AD153,4)),"Southbound","NorthBound")</f>
        <v>NorthBound</v>
      </c>
      <c r="U153" s="144">
        <f>IF(AG153="EC",COUNTIFS(Variables!$M$2:$M$19,IF(T153="NorthBound","&gt;=","&lt;=")&amp;Y153,Variables!$M$2:$M$19,IF(T153="NorthBound","&lt;=","&gt;=")&amp;Z153),COUNTIFS(Variables!$P$2:$P$19,IF(T153="NorthBound","&gt;=","&lt;=")&amp;Y153,Variables!$P$2:$P$19,IF(T153="NorthBound","&lt;=","&gt;=")&amp;Z153))</f>
        <v>12</v>
      </c>
      <c r="V153" s="98" t="str">
        <f>"https://search-rtdc-monitor-bjffxe2xuh6vdkpspy63sjmuny.us-east-1.es.amazonaws.com/_plugin/kibana/#/discover/Steve-Slow-Train-Analysis-(2080s-and-2083s)?_g=(refreshInterval:(display:Off,section:0,value:0),time:(from:'"&amp;TEXT(E153-1/24,"yyyy-MM-DD hh:mm:ss")&amp;"-0600',mode:absolute,to:'"&amp;TEXT(I153+1/24,"yyyy-MM-DD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153&amp;"%22')),sort:!(Time,asc))"</f>
        <v>https://search-rtdc-monitor-bjffxe2xuh6vdkpspy63sjmuny.us-east-1.es.amazonaws.com/_plugin/kibana/#/discover/Steve-Slow-Train-Analysis-(2080s-and-2083s)?_g=(refreshInterval:(display:Off,section:0,value:0),time:(from:'2016-10-13 22:26:27-0600',mode:absolute,to:'2016-10-14 01: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3" s="52" t="str">
        <f>IF(AA153&lt;IF(AG153="EC",23,5.65),"Y","N")</f>
        <v>N</v>
      </c>
      <c r="X153" s="149">
        <f>VALUE(LEFT(AD153,4))-VALUE(LEFT(AD152,4))</f>
        <v>1</v>
      </c>
      <c r="Y153" s="67">
        <f>RIGHT(D153,LEN(D153)-4)/10000</f>
        <v>4.2099999999999999E-2</v>
      </c>
      <c r="Z153" s="67">
        <f>RIGHT(H153,LEN(H153)-4)/10000</f>
        <v>23.331399999999999</v>
      </c>
      <c r="AA153" s="67">
        <f>ABS(Z153-Y153)</f>
        <v>23.289299999999997</v>
      </c>
      <c r="AB153" s="64" t="e">
        <f>VLOOKUP(A153,Enforcements!$C$7:$K$21,8,0)</f>
        <v>#N/A</v>
      </c>
      <c r="AC153" s="60" t="e">
        <f>VLOOKUP(A153,Enforcements!$C$7:$E$21,3,0)</f>
        <v>#N/A</v>
      </c>
      <c r="AD153" s="61" t="str">
        <f>IF(LEN(A153)=6,"0"&amp;A153,A153)</f>
        <v>0239-13</v>
      </c>
      <c r="AE153" s="91" t="str">
        <f>"aws s3 cp "&amp;s3_bucket&amp;"/RTDC"&amp;B153&amp;"/ "&amp;search_path&amp;"\RTDC"&amp;B153&amp;"\"&amp;TEXT(F153,"YYYY-MM-DD")&amp;" --exclude ""*"" --recursive --include ""*"&amp;TEXT(F153,"YYYYMMDD")&amp;"*"" &amp; """&amp;walkandungz&amp;""" "&amp;search_path&amp;"\RTDC"&amp;B153&amp;"\"&amp;TEXT(F153,"YYYY-MM-DD")
&amp;" &amp; "&amp;"aws s3 cp "&amp;s3_bucket&amp;"/RTDC"&amp;B153&amp;"/ "&amp;search_path&amp;"\RTDC"&amp;B153&amp;"\"&amp;TEXT(F153+1,"YYYY-MM-DD")&amp;" --exclude ""*"" --recursive --include ""*"&amp;TEXT(F153+1,"YYYYMMDD")&amp;"*"" &amp; """&amp;walkandungz&amp;""" "&amp;search_path&amp;"\RTDC"&amp;B153&amp;"\"&amp;TEXT(F153+1,"YYYY-MM-DD")</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3" s="88" t="str">
        <f>astrogrep_path&amp;" /spath="&amp;search_path&amp;" /stypes=""app*"&amp;B153&amp;"*"&amp;TEXT(I153-utc_offset/24,"YYYYMMDD")&amp;"*"" /stext="" "&amp;TEXT(I153-utc_offset/24,"HH")&amp;search_regexp&amp;""" /e /r /s"</f>
        <v>"C:\Program Files (x86)\AstroGrep\AstroGrep.exe" /spath="%USERPROFILE%\AppData\Local\Temp\OnboardLogs" /stypes="app*4025*20161014*" /stext=" 06:.+((SYSTEM_STATE.+slice.+state.+changed )|(ment ac)|(system.+state.+changed )|(\[timeout)|(PRM\|1\|D)|(kpr)|(kdp)|(\|lc)|(penalty))" /e /r /s</v>
      </c>
      <c r="AG153" s="1" t="str">
        <f>IFERROR(IF(VALUE(LEFT(AD153,2))&lt;=2,"EC",IF(OR(VALUE(LEFT(AD153,2))=8,VALUE(LEFT(AD153,2))=18),"NW","Other")),"Other")</f>
        <v>EC</v>
      </c>
      <c r="AH153" s="92" t="str">
        <f t="shared" si="13"/>
        <v>"%USERPROFILE%\Documents\GitHub\eaglep3\Utilities\RefineRTDCRunTimes.py" --tripid 239-13 --locoid 4025 --swversion DE.1.0.7.0 --startMP 204:421 --initTime 2016-10-13T23:26:27 --startdatetime 2016-10-13T23:30:28 --delay 2 --endMP 204:233314 --enddatetime 2016-10-14T00:06:23 --enforcementcount 1 &gt;&gt;C:\Users\stu\Documents\GitHub\eaglep3-reporting\EC\2016-10-13-refined-times.txt</v>
      </c>
      <c r="AI153" s="122" t="str">
        <f t="shared" si="14"/>
        <v>echo {"issue":{"subject":"","project_id":79,"tracker_id":40,"status_id":1,"priority_id":2,"assigned_to_id":23,"start_date":"2016-10-14","description":"","custom_fields":[{"id":1,"name":"Subdivision","value":"EC"},{"id":4,"name":"Milepost","value":"23.3314"},{"id":17,"name":"Train ID","value":"239-13"},{"id":16,"name":"Locomotive ID","value":"4025"},{"id":130,"name":"Impact","value":""},{"id":150,"name":"Time of Event (Mountain Time)","value":"00:06:23"},{"id":151,"name":"Denver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row>
    <row r="154" spans="1:91" s="21" customFormat="1" x14ac:dyDescent="0.25">
      <c r="A154" s="37" t="s">
        <v>422</v>
      </c>
      <c r="B154" s="7">
        <v>4026</v>
      </c>
      <c r="C154" s="22" t="s">
        <v>99</v>
      </c>
      <c r="D154" s="22" t="s">
        <v>682</v>
      </c>
      <c r="E154" s="13">
        <v>42656.976701388892</v>
      </c>
      <c r="F154" s="13">
        <v>42657.01840277778</v>
      </c>
      <c r="G154" s="7">
        <v>2</v>
      </c>
      <c r="H154" s="13" t="s">
        <v>245</v>
      </c>
      <c r="I154" s="13">
        <v>42657.046412037038</v>
      </c>
      <c r="J154" s="7">
        <v>1</v>
      </c>
      <c r="K154" s="112" t="str">
        <f>IF(ISEVEN(B154),(B154-1)&amp;"/"&amp;B154,B154&amp;"/"&amp;(B154+1))</f>
        <v>4025/4026</v>
      </c>
      <c r="L154" s="22" t="s">
        <v>226</v>
      </c>
      <c r="M154" s="6">
        <f>I154-F154</f>
        <v>2.8009259258396924E-2</v>
      </c>
      <c r="N154" s="7">
        <f>24*60*SUM($M154:$M154)</f>
        <v>40.33333333209157</v>
      </c>
      <c r="O154" s="7"/>
      <c r="P154" s="7"/>
      <c r="Q154" s="23"/>
      <c r="R154" s="23"/>
      <c r="S154" s="35">
        <f>SUM(U154:U154)/IF(AG154="EC",12,1)</f>
        <v>1</v>
      </c>
      <c r="T154" s="50" t="str">
        <f>IF(ISEVEN(LEFT(AD154,4)),"Southbound","NorthBound")</f>
        <v>Southbound</v>
      </c>
      <c r="U154" s="144">
        <f>IF(AG154="EC",COUNTIFS(Variables!$M$2:$M$19,IF(T154="NorthBound","&gt;=","&lt;=")&amp;Y154,Variables!$M$2:$M$19,IF(T154="NorthBound","&lt;=","&gt;=")&amp;Z154),COUNTIFS(Variables!$P$2:$P$19,IF(T154="NorthBound","&gt;=","&lt;=")&amp;Y154,Variables!$P$2:$P$19,IF(T154="NorthBound","&lt;=","&gt;=")&amp;Z154))</f>
        <v>12</v>
      </c>
      <c r="V154" s="98" t="str">
        <f>"https://search-rtdc-monitor-bjffxe2xuh6vdkpspy63sjmuny.us-east-1.es.amazonaws.com/_plugin/kibana/#/discover/Steve-Slow-Train-Analysis-(2080s-and-2083s)?_g=(refreshInterval:(display:Off,section:0,value:0),time:(from:'"&amp;TEXT(E154-1/24,"yyyy-MM-DD hh:mm:ss")&amp;"-0600',mode:absolute,to:'"&amp;TEXT(I154+1/24,"yyyy-MM-DD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154&amp;"%22')),sort:!(Time,asc))"</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4" s="52" t="str">
        <f>IF(AA154&lt;IF(AG154="EC",23,5.65),"Y","N")</f>
        <v>N</v>
      </c>
      <c r="X154" s="149">
        <f>VALUE(LEFT(AD154,4))-VALUE(LEFT(AD153,4))</f>
        <v>1</v>
      </c>
      <c r="Y154" s="67">
        <v>23.298100000000002</v>
      </c>
      <c r="Z154" s="67">
        <v>1.52E-2</v>
      </c>
      <c r="AA154" s="67">
        <f>ABS(Z154-Y154)</f>
        <v>23.282900000000001</v>
      </c>
      <c r="AB154" s="64" t="str">
        <f>VLOOKUP(A154,Enforcements!$C$7:$K$21,8,0)</f>
        <v>Bulletin (2)</v>
      </c>
      <c r="AC154" s="60" t="str">
        <f>VLOOKUP(A154,Enforcements!$C$7:$E$21,3,0)</f>
        <v>GRADE CROSSING</v>
      </c>
      <c r="AD154" s="61" t="str">
        <f>IF(LEN(A154)=6,"0"&amp;A154,A154)</f>
        <v>0240-13</v>
      </c>
      <c r="AE154" s="91" t="str">
        <f>"aws s3 cp "&amp;s3_bucket&amp;"/RTDC"&amp;B154&amp;"/ "&amp;search_path&amp;"\RTDC"&amp;B154&amp;"\"&amp;TEXT(F154,"YYYY-MM-DD")&amp;" --exclude ""*"" --recursive --include ""*"&amp;TEXT(F154,"YYYYMMDD")&amp;"*"" &amp; """&amp;walkandungz&amp;""" "&amp;search_path&amp;"\RTDC"&amp;B154&amp;"\"&amp;TEXT(F154,"YYYY-MM-DD")
&amp;" &amp; "&amp;"aws s3 cp "&amp;s3_bucket&amp;"/RTDC"&amp;B154&amp;"/ "&amp;search_path&amp;"\RTDC"&amp;B154&amp;"\"&amp;TEXT(F154+1,"YYYY-MM-DD")&amp;" --exclude ""*"" --recursive --include ""*"&amp;TEXT(F154+1,"YYYYMMDD")&amp;"*"" &amp; """&amp;walkandungz&amp;""" "&amp;search_path&amp;"\RTDC"&amp;B154&amp;"\"&amp;TEXT(F154+1,"YYYY-MM-DD")</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AF154" s="88" t="str">
        <f>astrogrep_path&amp;" /spath="&amp;search_path&amp;" /stypes=""app*"&amp;B154&amp;"*"&amp;TEXT(I154-utc_offset/24,"YYYYMMDD")&amp;"*"" /stext="" "&amp;TEXT(I154-utc_offset/24,"HH")&amp;search_regexp&amp;""" /e /r /s"</f>
        <v>"C:\Program Files (x86)\AstroGrep\AstroGrep.exe" /spath="%USERPROFILE%\AppData\Local\Temp\OnboardLogs" /stypes="app*4026*20161014*" /stext=" 07:.+((SYSTEM_STATE.+slice.+state.+changed )|(ment ac)|(system.+state.+changed )|(\[timeout)|(PRM\|1\|D)|(kpr)|(kdp)|(\|lc)|(penalty))" /e /r /s</v>
      </c>
      <c r="AG154" s="1" t="str">
        <f>IFERROR(IF(VALUE(LEFT(AD154,2))&lt;=2,"EC",IF(OR(VALUE(LEFT(AD154,2))=8,VALUE(LEFT(AD154,2))=18),"NW","Other")),"Other")</f>
        <v>EC</v>
      </c>
      <c r="AH154" s="92" t="str">
        <f t="shared" ref="AH154" si="17">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240-13 --locoid 4026 --swversion DE.1.0.7.0 --startMP 204:421 --initTime 2016-10-13T23:26:27 --startdatetime 2016-10-14T00:26:30 --delay 2 --endMP 204:233314 --enddatetime 2016-10-14T01:06:50 --enforcementcount 1 &gt;&gt;C:\Users\stu\Documents\GitHub\eaglep3-reporting\EC\2016-10-13-refined-times.txt</v>
      </c>
      <c r="AI154" s="122" t="str">
        <f t="shared" ref="AI154" si="18">"echo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-X POST -H ""Content-Type: application/json"" -H ""X-Redmine-API-Key: "&amp;redm_api_key&amp;""" "&amp;redm_url&amp;" --data @-"</f>
        <v>echo {"issue":{"subject":"","project_id":79,"tracker_id":40,"status_id":1,"priority_id":2,"assigned_to_id":23,"start_date":"2016-10-14","description":"","custom_fields":[{"id":1,"name":"Subdivision","value":"EC"},{"id":4,"name":"Milepost","value":"0.0152"},{"id":17,"name":"Train ID","value":"240-13"},{"id":16,"name":"Locomotive ID","value":"4026"},{"id":130,"name":"Impact","value":""},{"id":150,"name":"Time of Event (Mountain Time)","value":"01:06:50"},{"id":151,"name":"Denver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row>
    <row r="155" spans="1:91" x14ac:dyDescent="0.25">
      <c r="A155" s="37" t="s">
        <v>599</v>
      </c>
      <c r="B155" s="7">
        <v>4044</v>
      </c>
      <c r="C155" s="22" t="s">
        <v>99</v>
      </c>
      <c r="D155" s="22" t="s">
        <v>302</v>
      </c>
      <c r="E155" s="13">
        <v>42656.993043981478</v>
      </c>
      <c r="F155" s="13">
        <v>42657.0002662037</v>
      </c>
      <c r="G155" s="7">
        <v>1</v>
      </c>
      <c r="H155" s="13" t="s">
        <v>320</v>
      </c>
      <c r="I155" s="13">
        <v>42657.027025462965</v>
      </c>
      <c r="J155" s="7">
        <v>1</v>
      </c>
      <c r="K155" s="112" t="str">
        <f>IF(ISEVEN(B155),(B155-1)&amp;"/"&amp;B155,B155&amp;"/"&amp;(B155+1))</f>
        <v>4043/4044</v>
      </c>
      <c r="L155" s="22" t="str">
        <f>VLOOKUP(A155,'Trips&amp;Operators'!$C$1:$E$10000,3,FALSE)</f>
        <v>BERLING</v>
      </c>
      <c r="M155" s="6">
        <f>I155-F155</f>
        <v>2.6759259264508728E-2</v>
      </c>
      <c r="N155" s="7">
        <f>24*60*SUM($M155:$M155)</f>
        <v>38.533333340892568</v>
      </c>
      <c r="O155" s="7"/>
      <c r="P155" s="7"/>
      <c r="Q155" s="23"/>
      <c r="R155" s="23"/>
      <c r="S155" s="35">
        <f>SUM(U155:U155)/IF(AG155="EC",12,1)</f>
        <v>1</v>
      </c>
      <c r="T155" s="50" t="str">
        <f>IF(ISEVEN(LEFT(AD155,4)),"Southbound","NorthBound")</f>
        <v>NorthBound</v>
      </c>
      <c r="U155" s="144">
        <f>IF(AG155="EC",COUNTIFS(Variables!$M$2:$M$19,IF(T155="NorthBound","&gt;=","&lt;=")&amp;Y155,Variables!$M$2:$M$19,IF(T155="NorthBound","&lt;=","&gt;=")&amp;Z155),COUNTIFS(Variables!$P$2:$P$19,IF(T155="NorthBound","&gt;=","&lt;=")&amp;Y155,Variables!$P$2:$P$19,IF(T155="NorthBound","&lt;=","&gt;=")&amp;Z155))</f>
        <v>12</v>
      </c>
      <c r="V155" s="98" t="str">
        <f>"https://search-rtdc-monitor-bjffxe2xuh6vdkpspy63sjmuny.us-east-1.es.amazonaws.com/_plugin/kibana/#/discover/Steve-Slow-Train-Analysis-(2080s-and-2083s)?_g=(refreshInterval:(display:Off,section:0,value:0),time:(from:'"&amp;TEXT(E155-1/24,"yyyy-MM-DD hh:mm:ss")&amp;"-0600',mode:absolute,to:'"&amp;TEXT(I155+1/24,"yyyy-MM-DD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155&amp;"%22')),sort:!(Time,asc))"</f>
        <v>https://search-rtdc-monitor-bjffxe2xuh6vdkpspy63sjmuny.us-east-1.es.amazonaws.com/_plugin/kibana/#/discover/Steve-Slow-Train-Analysis-(2080s-and-2083s)?_g=(refreshInterval:(display:Off,section:0,value:0),time:(from:'2016-10-13 22:49:59-0600',mode:absolute,to:'2016-10-14 01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55" s="52" t="str">
        <f>IF(AA155&lt;IF(AG155="EC",23,5.65),"Y","N")</f>
        <v>N</v>
      </c>
      <c r="X155" s="149">
        <f>VALUE(LEFT(AD155,4))-VALUE(LEFT(AD154,4))</f>
        <v>1</v>
      </c>
      <c r="Y155" s="67">
        <f>RIGHT(D155,LEN(D155)-4)/10000</f>
        <v>4.6600000000000003E-2</v>
      </c>
      <c r="Z155" s="67">
        <f>RIGHT(H155,LEN(H155)-4)/10000</f>
        <v>23.3306</v>
      </c>
      <c r="AA155" s="67">
        <f>ABS(Z155-Y155)</f>
        <v>23.283999999999999</v>
      </c>
      <c r="AB155" s="64" t="e">
        <f>VLOOKUP(A155,Enforcements!$C$7:$K$21,8,0)</f>
        <v>#N/A</v>
      </c>
      <c r="AC155" s="60" t="e">
        <f>VLOOKUP(A155,Enforcements!$C$7:$E$21,3,0)</f>
        <v>#N/A</v>
      </c>
      <c r="AD155" s="61" t="str">
        <f>IF(LEN(A155)=6,"0"&amp;A155,A155)</f>
        <v>0241-13</v>
      </c>
      <c r="AE155" s="91" t="str">
        <f>"aws s3 cp "&amp;s3_bucket&amp;"/RTDC"&amp;B155&amp;"/ "&amp;search_path&amp;"\RTDC"&amp;B155&amp;"\"&amp;TEXT(F155,"YYYY-MM-DD")&amp;" --exclude ""*"" --recursive --include ""*"&amp;TEXT(F155,"YYYYMMDD")&amp;"*"" &amp; """&amp;walkandungz&amp;""" "&amp;search_path&amp;"\RTDC"&amp;B155&amp;"\"&amp;TEXT(F155,"YYYY-MM-DD")
&amp;" &amp; "&amp;"aws s3 cp "&amp;s3_bucket&amp;"/RTDC"&amp;B155&amp;"/ "&amp;search_path&amp;"\RTDC"&amp;B155&amp;"\"&amp;TEXT(F155+1,"YYYY-MM-DD")&amp;" --exclude ""*"" --recursive --include ""*"&amp;TEXT(F155+1,"YYYYMMDD")&amp;"*"" &amp; """&amp;walkandungz&amp;""" "&amp;search_path&amp;"\RTDC"&amp;B155&amp;"\"&amp;TEXT(F155+1,"YYYY-MM-DD")</f>
        <v>aws s3 cp s3://rtdc.mdm.uploadarchive.raw/RTDC4044/ "%USERPROFILE%\AppData\Local\Temp\OnboardLogs"\RTDC4044\2016-10-14 --exclude "*" --recursive --include "*20161014*" &amp; "%USERPROFILE%\Documents\GitHub\mrs-test-scripts\Headless Mode &amp; Sideloading\WalkAndUnGZ.bat" "%USERPROFILE%\AppData\Local\Temp\OnboardLogs"\RTDC4044\2016-10-14 &amp; aws s3 cp s3://rtdc.mdm.uploadarchive.raw/RTDC4044/ "%USERPROFILE%\AppData\Local\Temp\OnboardLogs"\RTDC4044\2016-10-15 --exclude "*" --recursive --include "*20161015*" &amp; "%USERPROFILE%\Documents\GitHub\mrs-test-scripts\Headless Mode &amp; Sideloading\WalkAndUnGZ.bat" "%USERPROFILE%\AppData\Local\Temp\OnboardLogs"\RTDC4044\2016-10-15</v>
      </c>
      <c r="AF155" s="88" t="str">
        <f>astrogrep_path&amp;" /spath="&amp;search_path&amp;" /stypes=""app*"&amp;B155&amp;"*"&amp;TEXT(I155-utc_offset/24,"YYYYMMDD")&amp;"*"" /stext="" "&amp;TEXT(I155-utc_offset/24,"HH")&amp;search_regexp&amp;""" /e /r /s"</f>
        <v>"C:\Program Files (x86)\AstroGrep\AstroGrep.exe" /spath="%USERPROFILE%\AppData\Local\Temp\OnboardLogs" /stypes="app*4044*20161014*" /stext=" 06:.+((SYSTEM_STATE.+slice.+state.+changed )|(ment ac)|(system.+state.+changed )|(\[timeout)|(PRM\|1\|D)|(kpr)|(kdp)|(\|lc)|(penalty))" /e /r /s</v>
      </c>
      <c r="AG155" s="1" t="str">
        <f>IFERROR(IF(VALUE(LEFT(AD155,2))&lt;=2,"EC",IF(OR(VALUE(LEFT(AD155,2))=8,VALUE(LEFT(AD155,2))=18),"NW","Other")),"Other")</f>
        <v>EC</v>
      </c>
      <c r="AH155" s="92" t="str">
        <f t="shared" si="13"/>
        <v>"%USERPROFILE%\Documents\GitHub\eaglep3\Utilities\RefineRTDCRunTimes.py" --tripid 241-13 --locoid 4044 --swversion DE.1.0.7.0 --startMP 204:466 --initTime 2016-10-13T23:49:59 --startdatetime 2016-10-14T00:00:23 --delay 1 --endMP 204:233306 --enddatetime 2016-10-14T00:38:55 --enforcementcount 1 &gt;&gt;C:\Users\stu\Documents\GitHub\eaglep3-reporting\EC\2016-10-13-refined-times.txt</v>
      </c>
      <c r="AI155" s="122" t="str">
        <f t="shared" si="14"/>
        <v>echo {"issue":{"subject":"","project_id":79,"tracker_id":40,"status_id":1,"priority_id":2,"assigned_to_id":23,"start_date":"2016-10-14","description":"","custom_fields":[{"id":1,"name":"Subdivision","value":"EC"},{"id":4,"name":"Milepost","value":"23.3306"},{"id":17,"name":"Train ID","value":"241-13"},{"id":16,"name":"Locomotive ID","value":"4044"},{"id":130,"name":"Impact","value":""},{"id":150,"name":"Time of Event (Mountain Time)","value":"00:38:55"},{"id":151,"name":"Denver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row>
    <row r="156" spans="1:91" s="21" customFormat="1" x14ac:dyDescent="0.25">
      <c r="A156" s="37" t="s">
        <v>602</v>
      </c>
      <c r="B156" s="7">
        <v>4043</v>
      </c>
      <c r="C156" s="22" t="s">
        <v>99</v>
      </c>
      <c r="D156" s="22" t="s">
        <v>683</v>
      </c>
      <c r="E156" s="13">
        <v>42657.032349537039</v>
      </c>
      <c r="F156" s="13">
        <v>42657.039131944446</v>
      </c>
      <c r="G156" s="7">
        <v>1</v>
      </c>
      <c r="H156" s="13" t="s">
        <v>321</v>
      </c>
      <c r="I156" s="13">
        <v>42657.066203703704</v>
      </c>
      <c r="J156" s="7">
        <v>1</v>
      </c>
      <c r="K156" s="112" t="str">
        <f>IF(ISEVEN(B156),(B156-1)&amp;"/"&amp;B156,B156&amp;"/"&amp;(B156+1))</f>
        <v>4043/4044</v>
      </c>
      <c r="L156" s="22" t="str">
        <f>VLOOKUP(A156,'Trips&amp;Operators'!$C$1:$E$10000,3,FALSE)</f>
        <v>BERLING</v>
      </c>
      <c r="M156" s="6">
        <f>I156-F156</f>
        <v>2.7071759257523809E-2</v>
      </c>
      <c r="N156" s="7">
        <f>24*60*SUM($M156:$M156)</f>
        <v>38.983333330834284</v>
      </c>
      <c r="O156" s="7"/>
      <c r="P156" s="7"/>
      <c r="Q156" s="23"/>
      <c r="R156" s="23"/>
      <c r="S156" s="35">
        <f>SUM(U156:U156)/IF(AG156="EC",12,1)</f>
        <v>1</v>
      </c>
      <c r="T156" s="50" t="str">
        <f>IF(ISEVEN(LEFT(AD156,4)),"Southbound","NorthBound")</f>
        <v>Southbound</v>
      </c>
      <c r="U156" s="144">
        <f>IF(AG156="EC",COUNTIFS(Variables!$M$2:$M$19,IF(T156="NorthBound","&gt;=","&lt;=")&amp;Y156,Variables!$M$2:$M$19,IF(T156="NorthBound","&lt;=","&gt;=")&amp;Z156),COUNTIFS(Variables!$P$2:$P$19,IF(T156="NorthBound","&gt;=","&lt;=")&amp;Y156,Variables!$P$2:$P$19,IF(T156="NorthBound","&lt;=","&gt;=")&amp;Z156))</f>
        <v>12</v>
      </c>
      <c r="V156" s="98" t="str">
        <f>"https://search-rtdc-monitor-bjffxe2xuh6vdkpspy63sjmuny.us-east-1.es.amazonaws.com/_plugin/kibana/#/discover/Steve-Slow-Train-Analysis-(2080s-and-2083s)?_g=(refreshInterval:(display:Off,section:0,value:0),time:(from:'"&amp;TEXT(E156-1/24,"yyyy-MM-DD hh:mm:ss")&amp;"-0600',mode:absolute,to:'"&amp;TEXT(I156+1/24,"yyyy-MM-DD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156&amp;"%22')),sort:!(Time,asc))"</f>
        <v>https://search-rtdc-monitor-bjffxe2xuh6vdkpspy63sjmuny.us-east-1.es.amazonaws.com/_plugin/kibana/#/discover/Steve-Slow-Train-Analysis-(2080s-and-2083s)?_g=(refreshInterval:(display:Off,section:0,value:0),time:(from:'2016-10-13 23:46:35-0600',mode:absolute,to:'2016-10-14 02: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56" s="52" t="str">
        <f>IF(AA156&lt;IF(AG156="EC",23,5.65),"Y","N")</f>
        <v>N</v>
      </c>
      <c r="X156" s="149">
        <f>VALUE(LEFT(AD156,4))-VALUE(LEFT(AD155,4))</f>
        <v>1</v>
      </c>
      <c r="Y156" s="67">
        <f>RIGHT(D156,LEN(D156)-4)/10000</f>
        <v>23.299099999999999</v>
      </c>
      <c r="Z156" s="67">
        <f>RIGHT(H156,LEN(H156)-4)/10000</f>
        <v>1.3899999999999999E-2</v>
      </c>
      <c r="AA156" s="67">
        <f>ABS(Z156-Y156)</f>
        <v>23.2852</v>
      </c>
      <c r="AB156" s="64" t="e">
        <f>VLOOKUP(A156,Enforcements!$C$7:$K$21,8,0)</f>
        <v>#N/A</v>
      </c>
      <c r="AC156" s="60" t="e">
        <f>VLOOKUP(A156,Enforcements!$C$7:$E$21,3,0)</f>
        <v>#N/A</v>
      </c>
      <c r="AD156" s="61" t="str">
        <f>IF(LEN(A156)=6,"0"&amp;A156,A156)</f>
        <v>0242-13</v>
      </c>
      <c r="AE156" s="91" t="str">
        <f>"aws s3 cp "&amp;s3_bucket&amp;"/RTDC"&amp;B156&amp;"/ "&amp;search_path&amp;"\RTDC"&amp;B156&amp;"\"&amp;TEXT(F156,"YYYY-MM-DD")&amp;" --exclude ""*"" --recursive --include ""*"&amp;TEXT(F156,"YYYYMMDD")&amp;"*"" &amp; """&amp;walkandungz&amp;""" "&amp;search_path&amp;"\RTDC"&amp;B156&amp;"\"&amp;TEXT(F156,"YYYY-MM-DD")
&amp;" &amp; "&amp;"aws s3 cp "&amp;s3_bucket&amp;"/RTDC"&amp;B156&amp;"/ "&amp;search_path&amp;"\RTDC"&amp;B156&amp;"\"&amp;TEXT(F156+1,"YYYY-MM-DD")&amp;" --exclude ""*"" --recursive --include ""*"&amp;TEXT(F156+1,"YYYYMMDD")&amp;"*"" &amp; """&amp;walkandungz&amp;""" "&amp;search_path&amp;"\RTDC"&amp;B156&amp;"\"&amp;TEXT(F156+1,"YYYY-MM-DD")</f>
        <v>aws s3 cp s3://rtdc.mdm.uploadarchive.raw/RTDC4043/ "%USERPROFILE%\AppData\Local\Temp\OnboardLogs"\RTDC4043\2016-10-14 --exclude "*" --recursive --include "*20161014*" &amp; "%USERPROFILE%\Documents\GitHub\mrs-test-scripts\Headless Mode &amp; Sideloading\WalkAndUnGZ.bat" "%USERPROFILE%\AppData\Local\Temp\OnboardLogs"\RTDC4043\2016-10-14 &amp; aws s3 cp s3://rtdc.mdm.uploadarchive.raw/RTDC4043/ "%USERPROFILE%\AppData\Local\Temp\OnboardLogs"\RTDC4043\2016-10-15 --exclude "*" --recursive --include "*20161015*" &amp; "%USERPROFILE%\Documents\GitHub\mrs-test-scripts\Headless Mode &amp; Sideloading\WalkAndUnGZ.bat" "%USERPROFILE%\AppData\Local\Temp\OnboardLogs"\RTDC4043\2016-10-15</v>
      </c>
      <c r="AF156" s="88" t="str">
        <f>astrogrep_path&amp;" /spath="&amp;search_path&amp;" /stypes=""app*"&amp;B156&amp;"*"&amp;TEXT(I156-utc_offset/24,"YYYYMMDD")&amp;"*"" /stext="" "&amp;TEXT(I156-utc_offset/24,"HH")&amp;search_regexp&amp;""" /e /r /s"</f>
        <v>"C:\Program Files (x86)\AstroGrep\AstroGrep.exe" /spath="%USERPROFILE%\AppData\Local\Temp\OnboardLogs" /stypes="app*4043*20161014*" /stext=" 07:.+((SYSTEM_STATE.+slice.+state.+changed )|(ment ac)|(system.+state.+changed )|(\[timeout)|(PRM\|1\|D)|(kpr)|(kdp)|(\|lc)|(penalty))" /e /r /s</v>
      </c>
      <c r="AG156" s="1" t="str">
        <f>IFERROR(IF(VALUE(LEFT(AD156,2))&lt;=2,"EC",IF(OR(VALUE(LEFT(AD156,2))=8,VALUE(LEFT(AD156,2))=18),"NW","Other")),"Other")</f>
        <v>EC</v>
      </c>
      <c r="AH156" s="92" t="str">
        <f t="shared" si="13"/>
        <v>"%USERPROFILE%\Documents\GitHub\eaglep3\Utilities\RefineRTDCRunTimes.py" --tripid 242-13 --locoid 4043 --swversion DE.1.0.7.0 --startMP 204:232991 --initTime 2016-10-14T00:46:35 --startdatetime 2016-10-14T00:56:21 --delay 1 --endMP 204:139 --enddatetime 2016-10-14T01:35:20 --enforcementcount 1 &gt;&gt;C:\Users\stu\Documents\GitHub\eaglep3-reporting\EC\2016-10-13-refined-times.txt</v>
      </c>
      <c r="AI156" s="122" t="str">
        <f t="shared" si="14"/>
        <v>echo {"issue":{"subject":"","project_id":79,"tracker_id":40,"status_id":1,"priority_id":2,"assigned_to_id":23,"start_date":"2016-10-14","description":"","custom_fields":[{"id":1,"name":"Subdivision","value":"EC"},{"id":4,"name":"Milepost","value":"0.0139"},{"id":17,"name":"Train ID","value":"242-13"},{"id":16,"name":"Locomotive ID","value":"4043"},{"id":130,"name":"Impact","value":""},{"id":150,"name":"Time of Event (Mountain Time)","value":"01:35:20"},{"id":151,"name":"Denver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x14ac:dyDescent="0.25">
      <c r="A157" s="37" t="s">
        <v>438</v>
      </c>
      <c r="B157" s="7">
        <v>4039</v>
      </c>
      <c r="C157" s="22" t="s">
        <v>99</v>
      </c>
      <c r="D157" s="22" t="s">
        <v>706</v>
      </c>
      <c r="E157" s="13">
        <v>42656.214085648149</v>
      </c>
      <c r="F157" s="13">
        <v>42656.216099537036</v>
      </c>
      <c r="G157" s="7">
        <v>1</v>
      </c>
      <c r="H157" s="13" t="s">
        <v>707</v>
      </c>
      <c r="I157" s="13">
        <v>42656.225416666668</v>
      </c>
      <c r="J157" s="7">
        <v>1</v>
      </c>
      <c r="K157" s="112" t="str">
        <f>IF(ISEVEN(B157),(B157-1)&amp;"/"&amp;B157,B157&amp;"/"&amp;(B157+1))</f>
        <v>4039/4040</v>
      </c>
      <c r="L157" s="22" t="str">
        <f>VLOOKUP(A157,'Trips&amp;Operators'!$C$1:$E$10000,3,FALSE)</f>
        <v>YORK</v>
      </c>
      <c r="M157" s="6">
        <f>I157-F157</f>
        <v>9.3171296321088448E-3</v>
      </c>
      <c r="N157" s="7">
        <f>24*60*SUM($M157:$M157)</f>
        <v>13.416666670236737</v>
      </c>
      <c r="O157" s="7"/>
      <c r="P157" s="7"/>
      <c r="Q157" s="23"/>
      <c r="R157" s="23"/>
      <c r="S157" s="35">
        <f>SUM(U157:U157)/IF(AG157="EC",12,1)</f>
        <v>1</v>
      </c>
      <c r="T157" s="50" t="str">
        <f>IF(ISEVEN(LEFT(AD157,4)),"Southbound","NorthBound")</f>
        <v>Southbound</v>
      </c>
      <c r="U157" s="144">
        <f>IF(AG157="EC",COUNTIFS(Variables!$M$2:$M$19,IF(T157="NorthBound","&gt;=","&lt;=")&amp;Y157,Variables!$M$2:$M$19,IF(T157="NorthBound","&lt;=","&gt;=")&amp;Z157),COUNTIFS(Variables!$P$2:$P$19,IF(T157="NorthBound","&gt;=","&lt;=")&amp;Y157,Variables!$P$2:$P$19,IF(T157="NorthBound","&lt;=","&gt;=")&amp;Z157))</f>
        <v>1</v>
      </c>
      <c r="V157" s="98" t="str">
        <f>"https://search-rtdc-monitor-bjffxe2xuh6vdkpspy63sjmuny.us-east-1.es.amazonaws.com/_plugin/kibana/#/discover/Steve-Slow-Train-Analysis-(2080s-and-2083s)?_g=(refreshInterval:(display:Off,section:0,value:0),time:(from:'"&amp;TEXT(E157-1/24,"yyyy-MM-DD hh:mm:ss")&amp;"-0600',mode:absolute,to:'"&amp;TEXT(I157+1/24,"yyyy-MM-DD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157&amp;"%22')),sort:!(Time,asc))"</f>
        <v>https://search-rtdc-monitor-bjffxe2xuh6vdkpspy63sjmuny.us-east-1.es.amazonaws.com/_plugin/kibana/#/discover/Steve-Slow-Train-Analysis-(2080s-and-2083s)?_g=(refreshInterval:(display:Off,section:0,value:0),time:(from:'2016-10-13 04:08:17-0600',mode:absolute,to:'2016-10-13 06:24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7" s="52" t="str">
        <f>IF(AA157&lt;IF(AG157="EC",23,5.65),"Y","N")</f>
        <v>N</v>
      </c>
      <c r="X157" s="149">
        <f>VALUE(LEFT(AD157,4))-VALUE(LEFT(AD156,4))</f>
        <v>558</v>
      </c>
      <c r="Y157" s="67">
        <f>RIGHT(D157,LEN(D157)-4)/10000</f>
        <v>5.8615000000000004</v>
      </c>
      <c r="Z157" s="67">
        <f>RIGHT(H157,LEN(H157)-4)/10000</f>
        <v>7.7299999999999994E-2</v>
      </c>
      <c r="AA157" s="67">
        <f>ABS(Z157-Y157)</f>
        <v>5.7842000000000002</v>
      </c>
      <c r="AB157" s="64" t="e">
        <f>VLOOKUP(A157,Enforcements!$C$7:$K$21,8,0)</f>
        <v>#N/A</v>
      </c>
      <c r="AC157" s="60" t="e">
        <f>VLOOKUP(A157,Enforcements!$C$7:$E$21,3,0)</f>
        <v>#N/A</v>
      </c>
      <c r="AD157" s="61" t="str">
        <f>IF(LEN(A157)=6,"0"&amp;A157,A157)</f>
        <v>0800-13</v>
      </c>
      <c r="AE157" s="91" t="str">
        <f>"aws s3 cp "&amp;s3_bucket&amp;"/RTDC"&amp;B157&amp;"/ "&amp;search_path&amp;"\RTDC"&amp;B157&amp;"\"&amp;TEXT(F157,"YYYY-MM-DD")&amp;" --exclude ""*"" --recursive --include ""*"&amp;TEXT(F157,"YYYYMMDD")&amp;"*"" &amp; """&amp;walkandungz&amp;""" "&amp;search_path&amp;"\RTDC"&amp;B157&amp;"\"&amp;TEXT(F157,"YYYY-MM-DD")
&amp;" &amp; "&amp;"aws s3 cp "&amp;s3_bucket&amp;"/RTDC"&amp;B157&amp;"/ "&amp;search_path&amp;"\RTDC"&amp;B157&amp;"\"&amp;TEXT(F157+1,"YYYY-MM-DD")&amp;" --exclude ""*"" --recursive --include ""*"&amp;TEXT(F157+1,"YYYYMMDD")&amp;"*"" &amp; """&amp;walkandungz&amp;""" "&amp;search_path&amp;"\RTDC"&amp;B157&amp;"\"&amp;TEXT(F157+1,"YYYY-MM-DD")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7" s="88" t="str">
        <f>astrogrep_path&amp;" /spath="&amp;search_path&amp;" /stypes=""app*"&amp;B157&amp;"*"&amp;TEXT(I157-utc_offset/24,"YYYYMMDD")&amp;"*"" /stext="" "&amp;TEXT(I157-utc_offset/24,"HH")&amp;search_regexp&amp;""" /e /r /s"</f>
        <v>"C:\Program Files (x86)\AstroGrep\AstroGrep.exe" /spath="%USERPROFILE%\AppData\Local\Temp\OnboardLogs" /stypes="app*4039*20161013*" /stext=" 11:.+((SYSTEM_STATE.+slice.+state.+changed )|(ment ac)|(system.+state.+changed )|(\[timeout)|(PRM\|1\|D)|(kpr)|(kdp)|(\|lc)|(penalty))" /e /r /s</v>
      </c>
      <c r="AG157" s="1" t="str">
        <f>IFERROR(IF(VALUE(LEFT(AD157,2))&lt;=2,"EC",IF(OR(VALUE(LEFT(AD157,2))=8,VALUE(LEFT(AD157,2))=18),"NW","Other")),"Other")</f>
        <v>NW</v>
      </c>
      <c r="AH157" s="92" t="str">
        <f t="shared" si="13"/>
        <v>"%USERPROFILE%\Documents\GitHub\eaglep3\Utilities\RefineRTDCRunTimes.py" --tripid 800-13 --locoid 4039 --swversion DE.1.0.7.0 --startMP 300:58615 --initTime 2016-10-13T05:08:17 --startdatetime 2016-10-13T05:11:11 --delay 1 --endMP 204:773 --enddatetime 2016-10-13T05:24:36 --enforcementcount 1 &gt;&gt;C:\Users\stu\Documents\GitHub\eaglep3-reporting\EC\2016-10-13-refined-times.txt</v>
      </c>
      <c r="AI157" s="122" t="str">
        <f t="shared" si="14"/>
        <v>echo {"issue":{"subject":"","project_id":79,"tracker_id":40,"status_id":1,"priority_id":2,"assigned_to_id":23,"start_date":"2016-10-13","description":"","custom_fields":[{"id":1,"name":"Subdivision","value":"NW"},{"id":4,"name":"Milepost","value":"0.0773"},{"id":17,"name":"Train ID","value":"800-13"},{"id":16,"name":"Locomotive ID","value":"4039"},{"id":130,"name":"Impact","value":""},{"id":150,"name":"Time of Event (Mountain Time)","value":"05:24:36"},{"id":151,"name":"Denver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row>
    <row r="158" spans="1:91" x14ac:dyDescent="0.25">
      <c r="A158" s="37" t="s">
        <v>444</v>
      </c>
      <c r="B158" s="7">
        <v>4040</v>
      </c>
      <c r="C158" s="22" t="s">
        <v>99</v>
      </c>
      <c r="D158" s="22" t="s">
        <v>708</v>
      </c>
      <c r="E158" s="13">
        <v>42656.226967592593</v>
      </c>
      <c r="F158" s="13">
        <v>42656.244120370371</v>
      </c>
      <c r="G158" s="7">
        <v>1</v>
      </c>
      <c r="H158" s="13" t="s">
        <v>335</v>
      </c>
      <c r="I158" s="13">
        <v>42656.253495370373</v>
      </c>
      <c r="J158" s="7">
        <v>1</v>
      </c>
      <c r="K158" s="112" t="str">
        <f>IF(ISEVEN(B158),(B158-1)&amp;"/"&amp;B158,B158&amp;"/"&amp;(B158+1))</f>
        <v>4039/4040</v>
      </c>
      <c r="L158" s="22" t="str">
        <f>VLOOKUP(A158,'Trips&amp;Operators'!$C$1:$E$10000,3,FALSE)</f>
        <v>YORK</v>
      </c>
      <c r="M158" s="6">
        <f>I158-F158</f>
        <v>9.3750000014551915E-3</v>
      </c>
      <c r="N158" s="7">
        <f>24*60*SUM($M158:$M158)</f>
        <v>13.500000002095476</v>
      </c>
      <c r="O158" s="7"/>
      <c r="P158" s="7"/>
      <c r="Q158" s="23"/>
      <c r="R158" s="23"/>
      <c r="S158" s="35">
        <f>SUM(U158:U158)/IF(AG158="EC",12,1)</f>
        <v>1</v>
      </c>
      <c r="T158" s="50" t="str">
        <f>IF(ISEVEN(LEFT(AD158,4)),"Southbound","NorthBound")</f>
        <v>NorthBound</v>
      </c>
      <c r="U158" s="144">
        <f>IF(AG158="EC",COUNTIFS(Variables!$M$2:$M$19,IF(T158="NorthBound","&gt;=","&lt;=")&amp;Y158,Variables!$M$2:$M$19,IF(T158="NorthBound","&lt;=","&gt;=")&amp;Z158),COUNTIFS(Variables!$P$2:$P$19,IF(T158="NorthBound","&gt;=","&lt;=")&amp;Y158,Variables!$P$2:$P$19,IF(T158="NorthBound","&lt;=","&gt;=")&amp;Z158))</f>
        <v>1</v>
      </c>
      <c r="V158" s="98" t="str">
        <f>"https://search-rtdc-monitor-bjffxe2xuh6vdkpspy63sjmuny.us-east-1.es.amazonaws.com/_plugin/kibana/#/discover/Steve-Slow-Train-Analysis-(2080s-and-2083s)?_g=(refreshInterval:(display:Off,section:0,value:0),time:(from:'"&amp;TEXT(E158-1/24,"yyyy-MM-DD hh:mm:ss")&amp;"-0600',mode:absolute,to:'"&amp;TEXT(I158+1/24,"yyyy-MM-DD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158&amp;"%22')),sort:!(Time,asc))"</f>
        <v>https://search-rtdc-monitor-bjffxe2xuh6vdkpspy63sjmuny.us-east-1.es.amazonaws.com/_plugin/kibana/#/discover/Steve-Slow-Train-Analysis-(2080s-and-2083s)?_g=(refreshInterval:(display:Off,section:0,value:0),time:(from:'2016-10-13 04:26:50-0600',mode:absolute,to:'2016-10-13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58" s="52" t="str">
        <f>IF(AA158&lt;IF(AG158="EC",23,5.65),"Y","N")</f>
        <v>N</v>
      </c>
      <c r="X158" s="149">
        <f>VALUE(LEFT(AD158,4))-VALUE(LEFT(AD157,4))</f>
        <v>1</v>
      </c>
      <c r="Y158" s="67">
        <f>RIGHT(D158,LEN(D158)-4)/10000</f>
        <v>0.10440000000000001</v>
      </c>
      <c r="Z158" s="67">
        <f>RIGHT(H158,LEN(H158)-4)/10000</f>
        <v>5.8939000000000004</v>
      </c>
      <c r="AA158" s="67">
        <f>ABS(Z158-Y158)</f>
        <v>5.7895000000000003</v>
      </c>
      <c r="AB158" s="64" t="e">
        <f>VLOOKUP(A158,Enforcements!$C$7:$K$21,8,0)</f>
        <v>#N/A</v>
      </c>
      <c r="AC158" s="60" t="e">
        <f>VLOOKUP(A158,Enforcements!$C$7:$E$21,3,0)</f>
        <v>#N/A</v>
      </c>
      <c r="AD158" s="61" t="str">
        <f>IF(LEN(A158)=6,"0"&amp;A158,A158)</f>
        <v>0801-13</v>
      </c>
      <c r="AE158" s="91" t="str">
        <f>"aws s3 cp "&amp;s3_bucket&amp;"/RTDC"&amp;B158&amp;"/ "&amp;search_path&amp;"\RTDC"&amp;B158&amp;"\"&amp;TEXT(F158,"YYYY-MM-DD")&amp;" --exclude ""*"" --recursive --include ""*"&amp;TEXT(F158,"YYYYMMDD")&amp;"*"" &amp; """&amp;walkandungz&amp;""" "&amp;search_path&amp;"\RTDC"&amp;B158&amp;"\"&amp;TEXT(F158,"YYYY-MM-DD")
&amp;" &amp; "&amp;"aws s3 cp "&amp;s3_bucket&amp;"/RTDC"&amp;B158&amp;"/ "&amp;search_path&amp;"\RTDC"&amp;B158&amp;"\"&amp;TEXT(F158+1,"YYYY-MM-DD")&amp;" --exclude ""*"" --recursive --include ""*"&amp;TEXT(F158+1,"YYYYMMDD")&amp;"*"" &amp; """&amp;walkandungz&amp;""" "&amp;search_path&amp;"\RTDC"&amp;B158&amp;"\"&amp;TEXT(F158+1,"YYYY-MM-DD")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58" s="88" t="str">
        <f>astrogrep_path&amp;" /spath="&amp;search_path&amp;" /stypes=""app*"&amp;B158&amp;"*"&amp;TEXT(I158-utc_offset/24,"YYYYMMDD")&amp;"*"" /stext="" "&amp;TEXT(I158-utc_offset/24,"HH")&amp;search_regexp&amp;""" /e /r /s"</f>
        <v>"C:\Program Files (x86)\AstroGrep\AstroGrep.exe" /spath="%USERPROFILE%\AppData\Local\Temp\OnboardLogs" /stypes="app*4040*20161013*" /stext=" 12:.+((SYSTEM_STATE.+slice.+state.+changed )|(ment ac)|(system.+state.+changed )|(\[timeout)|(PRM\|1\|D)|(kpr)|(kdp)|(\|lc)|(penalty))" /e /r /s</v>
      </c>
      <c r="AG158" s="1" t="str">
        <f>IFERROR(IF(VALUE(LEFT(AD158,2))&lt;=2,"EC",IF(OR(VALUE(LEFT(AD158,2))=8,VALUE(LEFT(AD158,2))=18),"NW","Other")),"Other")</f>
        <v>NW</v>
      </c>
      <c r="AH158" s="92" t="str">
        <f t="shared" si="13"/>
        <v>"%USERPROFILE%\Documents\GitHub\eaglep3\Utilities\RefineRTDCRunTimes.py" --tripid 801-13 --locoid 4040 --swversion DE.1.0.7.0 --startMP 204:1044 --initTime 2016-10-13T05:26:50 --startdatetime 2016-10-13T05:51:32 --delay 1 --endMP 300:58939 --enddatetime 2016-10-13T06:05:02 --enforcementcount 1 &gt;&gt;C:\Users\stu\Documents\GitHub\eaglep3-reporting\EC\2016-10-13-refined-times.txt</v>
      </c>
      <c r="AI158" s="122" t="str">
        <f t="shared" si="14"/>
        <v>echo {"issue":{"subject":"","project_id":79,"tracker_id":40,"status_id":1,"priority_id":2,"assigned_to_id":23,"start_date":"2016-10-13","description":"","custom_fields":[{"id":1,"name":"Subdivision","value":"NW"},{"id":4,"name":"Milepost","value":"5.8939"},{"id":17,"name":"Train ID","value":"801-13"},{"id":16,"name":"Locomotive ID","value":"4040"},{"id":130,"name":"Impact","value":""},{"id":150,"name":"Time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x14ac:dyDescent="0.25">
      <c r="A159" s="37" t="s">
        <v>448</v>
      </c>
      <c r="B159" s="7">
        <v>4039</v>
      </c>
      <c r="C159" s="22" t="s">
        <v>99</v>
      </c>
      <c r="D159" s="22" t="s">
        <v>332</v>
      </c>
      <c r="E159" s="13">
        <v>42656.255162037036</v>
      </c>
      <c r="F159" s="13">
        <v>42656.257152777776</v>
      </c>
      <c r="G159" s="7">
        <v>1</v>
      </c>
      <c r="H159" s="13" t="s">
        <v>709</v>
      </c>
      <c r="I159" s="13">
        <v>42656.267789351848</v>
      </c>
      <c r="J159" s="7">
        <v>1</v>
      </c>
      <c r="K159" s="112" t="str">
        <f>IF(ISEVEN(B159),(B159-1)&amp;"/"&amp;B159,B159&amp;"/"&amp;(B159+1))</f>
        <v>4039/4040</v>
      </c>
      <c r="L159" s="22" t="str">
        <f>VLOOKUP(A159,'Trips&amp;Operators'!$C$1:$E$10000,3,FALSE)</f>
        <v>YORK</v>
      </c>
      <c r="M159" s="6">
        <f>I159-F159</f>
        <v>1.063657407212304E-2</v>
      </c>
      <c r="N159" s="7">
        <f>24*60*SUM($M159:$M159)</f>
        <v>15.316666663857177</v>
      </c>
      <c r="O159" s="7"/>
      <c r="P159" s="7"/>
      <c r="Q159" s="23"/>
      <c r="R159" s="23"/>
      <c r="S159" s="35">
        <f>SUM(U159:U159)/IF(AG159="EC",12,1)</f>
        <v>1</v>
      </c>
      <c r="T159" s="50" t="str">
        <f>IF(ISEVEN(LEFT(AD159,4)),"Southbound","NorthBound")</f>
        <v>Southbound</v>
      </c>
      <c r="U159" s="144">
        <f>IF(AG159="EC",COUNTIFS(Variables!$M$2:$M$19,IF(T159="NorthBound","&gt;=","&lt;=")&amp;Y159,Variables!$M$2:$M$19,IF(T159="NorthBound","&lt;=","&gt;=")&amp;Z159),COUNTIFS(Variables!$P$2:$P$19,IF(T159="NorthBound","&gt;=","&lt;=")&amp;Y159,Variables!$P$2:$P$19,IF(T159="NorthBound","&lt;=","&gt;=")&amp;Z159))</f>
        <v>1</v>
      </c>
      <c r="V159" s="98" t="str">
        <f>"https://search-rtdc-monitor-bjffxe2xuh6vdkpspy63sjmuny.us-east-1.es.amazonaws.com/_plugin/kibana/#/discover/Steve-Slow-Train-Analysis-(2080s-and-2083s)?_g=(refreshInterval:(display:Off,section:0,value:0),time:(from:'"&amp;TEXT(E159-1/24,"yyyy-MM-DD hh:mm:ss")&amp;"-0600',mode:absolute,to:'"&amp;TEXT(I159+1/24,"yyyy-MM-DD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159&amp;"%22')),sort:!(Time,asc))"</f>
        <v>https://search-rtdc-monitor-bjffxe2xuh6vdkpspy63sjmuny.us-east-1.es.amazonaws.com/_plugin/kibana/#/discover/Steve-Slow-Train-Analysis-(2080s-and-2083s)?_g=(refreshInterval:(display:Off,section:0,value:0),time:(from:'2016-10-13 05:07:26-0600',mode:absolute,to:'2016-10-13 07:25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9" s="52" t="str">
        <f>IF(AA159&lt;IF(AG159="EC",23,5.65),"Y","N")</f>
        <v>N</v>
      </c>
      <c r="X159" s="149">
        <f>VALUE(LEFT(AD159,4))-VALUE(LEFT(AD158,4))</f>
        <v>1</v>
      </c>
      <c r="Y159" s="67">
        <f>RIGHT(D159,LEN(D159)-4)/10000</f>
        <v>5.8613</v>
      </c>
      <c r="Z159" s="67">
        <f>RIGHT(H159,LEN(H159)-4)/10000</f>
        <v>7.4099999999999999E-2</v>
      </c>
      <c r="AA159" s="67">
        <f>ABS(Z159-Y159)</f>
        <v>5.7872000000000003</v>
      </c>
      <c r="AB159" s="64" t="e">
        <f>VLOOKUP(A159,Enforcements!$C$7:$K$21,8,0)</f>
        <v>#N/A</v>
      </c>
      <c r="AC159" s="60" t="e">
        <f>VLOOKUP(A159,Enforcements!$C$7:$E$21,3,0)</f>
        <v>#N/A</v>
      </c>
      <c r="AD159" s="61" t="str">
        <f>IF(LEN(A159)=6,"0"&amp;A159,A159)</f>
        <v>0802-13</v>
      </c>
      <c r="AE159" s="91" t="str">
        <f>"aws s3 cp "&amp;s3_bucket&amp;"/RTDC"&amp;B159&amp;"/ "&amp;search_path&amp;"\RTDC"&amp;B159&amp;"\"&amp;TEXT(F159,"YYYY-MM-DD")&amp;" --exclude ""*"" --recursive --include ""*"&amp;TEXT(F159,"YYYYMMDD")&amp;"*"" &amp; """&amp;walkandungz&amp;""" "&amp;search_path&amp;"\RTDC"&amp;B159&amp;"\"&amp;TEXT(F159,"YYYY-MM-DD")
&amp;" &amp; "&amp;"aws s3 cp "&amp;s3_bucket&amp;"/RTDC"&amp;B159&amp;"/ "&amp;search_path&amp;"\RTDC"&amp;B159&amp;"\"&amp;TEXT(F159+1,"YYYY-MM-DD")&amp;" --exclude ""*"" --recursive --include ""*"&amp;TEXT(F159+1,"YYYYMMDD")&amp;"*"" &amp; """&amp;walkandungz&amp;""" "&amp;search_path&amp;"\RTDC"&amp;B159&amp;"\"&amp;TEXT(F159+1,"YYYY-MM-DD")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9" s="88" t="str">
        <f>astrogrep_path&amp;" /spath="&amp;search_path&amp;" /stypes=""app*"&amp;B159&amp;"*"&amp;TEXT(I159-utc_offset/24,"YYYYMMDD")&amp;"*"" /stext="" "&amp;TEXT(I159-utc_offset/24,"HH")&amp;search_regexp&amp;""" /e /r /s"</f>
        <v>"C:\Program Files (x86)\AstroGrep\AstroGrep.exe" /spath="%USERPROFILE%\AppData\Local\Temp\OnboardLogs" /stypes="app*4039*20161013*" /stext=" 12:.+((SYSTEM_STATE.+slice.+state.+changed )|(ment ac)|(system.+state.+changed )|(\[timeout)|(PRM\|1\|D)|(kpr)|(kdp)|(\|lc)|(penalty))" /e /r /s</v>
      </c>
      <c r="AG159" s="1" t="str">
        <f>IFERROR(IF(VALUE(LEFT(AD159,2))&lt;=2,"EC",IF(OR(VALUE(LEFT(AD159,2))=8,VALUE(LEFT(AD159,2))=18),"NW","Other")),"Other")</f>
        <v>NW</v>
      </c>
      <c r="AH159" s="92" t="str">
        <f t="shared" si="13"/>
        <v>"%USERPROFILE%\Documents\GitHub\eaglep3\Utilities\RefineRTDCRunTimes.py" --tripid 802-13 --locoid 4039 --swversion DE.1.0.7.0 --startMP 300:58613 --initTime 2016-10-13T06:07:26 --startdatetime 2016-10-13T06:10:18 --delay 1 --endMP 204:741 --enddatetime 2016-10-13T06:25:37 --enforcementcount 1 &gt;&gt;C:\Users\stu\Documents\GitHub\eaglep3-reporting\EC\2016-10-13-refined-times.txt</v>
      </c>
      <c r="AI159" s="122" t="str">
        <f t="shared" si="14"/>
        <v>echo {"issue":{"subject":"","project_id":79,"tracker_id":40,"status_id":1,"priority_id":2,"assigned_to_id":23,"start_date":"2016-10-13","description":"","custom_fields":[{"id":1,"name":"Subdivision","value":"NW"},{"id":4,"name":"Milepost","value":"0.0741"},{"id":17,"name":"Train ID","value":"802-13"},{"id":16,"name":"Locomotive ID","value":"4039"},{"id":130,"name":"Impact","value":""},{"id":150,"name":"Time of Event (Mountain Time)","value":"06:25:37"},{"id":151,"name":"Denver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row>
    <row r="160" spans="1:91" x14ac:dyDescent="0.25">
      <c r="A160" s="37" t="s">
        <v>451</v>
      </c>
      <c r="B160" s="7">
        <v>4031</v>
      </c>
      <c r="C160" s="22" t="s">
        <v>99</v>
      </c>
      <c r="D160" s="22" t="s">
        <v>333</v>
      </c>
      <c r="E160" s="13">
        <v>42656.260127314818</v>
      </c>
      <c r="F160" s="13">
        <v>42656.264756944445</v>
      </c>
      <c r="G160" s="7">
        <v>1</v>
      </c>
      <c r="H160" s="13" t="s">
        <v>710</v>
      </c>
      <c r="I160" s="13">
        <v>42656.27380787037</v>
      </c>
      <c r="J160" s="7">
        <v>1</v>
      </c>
      <c r="K160" s="112" t="str">
        <f>IF(ISEVEN(B160),(B160-1)&amp;"/"&amp;B160,B160&amp;"/"&amp;(B160+1))</f>
        <v>4031/4032</v>
      </c>
      <c r="L160" s="22" t="str">
        <f>VLOOKUP(A160,'Trips&amp;Operators'!$C$1:$E$10000,3,FALSE)</f>
        <v>GEBRETEKLE</v>
      </c>
      <c r="M160" s="6">
        <f>I160-F160</f>
        <v>9.0509259243845008E-3</v>
      </c>
      <c r="N160" s="7">
        <f>24*60*SUM($M160:$M160)</f>
        <v>13.033333331113681</v>
      </c>
      <c r="O160" s="7"/>
      <c r="P160" s="7"/>
      <c r="Q160" s="23"/>
      <c r="R160" s="23"/>
      <c r="S160" s="35">
        <f>SUM(U160:U160)/IF(AG160="EC",12,1)</f>
        <v>1</v>
      </c>
      <c r="T160" s="50" t="str">
        <f>IF(ISEVEN(LEFT(AD160,4)),"Southbound","NorthBound")</f>
        <v>NorthBound</v>
      </c>
      <c r="U160" s="144">
        <f>IF(AG160="EC",COUNTIFS(Variables!$M$2:$M$19,IF(T160="NorthBound","&gt;=","&lt;=")&amp;Y160,Variables!$M$2:$M$19,IF(T160="NorthBound","&lt;=","&gt;=")&amp;Z160),COUNTIFS(Variables!$P$2:$P$19,IF(T160="NorthBound","&gt;=","&lt;=")&amp;Y160,Variables!$P$2:$P$19,IF(T160="NorthBound","&lt;=","&gt;=")&amp;Z160))</f>
        <v>1</v>
      </c>
      <c r="V160" s="98" t="str">
        <f>"https://search-rtdc-monitor-bjffxe2xuh6vdkpspy63sjmuny.us-east-1.es.amazonaws.com/_plugin/kibana/#/discover/Steve-Slow-Train-Analysis-(2080s-and-2083s)?_g=(refreshInterval:(display:Off,section:0,value:0),time:(from:'"&amp;TEXT(E160-1/24,"yyyy-MM-DD hh:mm:ss")&amp;"-0600',mode:absolute,to:'"&amp;TEXT(I160+1/24,"yyyy-MM-DD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160&amp;"%22')),sort:!(Time,asc))"</f>
        <v>https://search-rtdc-monitor-bjffxe2xuh6vdkpspy63sjmuny.us-east-1.es.amazonaws.com/_plugin/kibana/#/discover/Steve-Slow-Train-Analysis-(2080s-and-2083s)?_g=(refreshInterval:(display:Off,section:0,value:0),time:(from:'2016-10-13 05:14:35-0600',mode:absolute,to:'2016-10-13 07:34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0" s="52" t="str">
        <f>IF(AA160&lt;IF(AG160="EC",23,5.65),"Y","N")</f>
        <v>N</v>
      </c>
      <c r="X160" s="149">
        <f>VALUE(LEFT(AD160,4))-VALUE(LEFT(AD159,4))</f>
        <v>1</v>
      </c>
      <c r="Y160" s="67">
        <f>RIGHT(D160,LEN(D160)-4)/10000</f>
        <v>0.1</v>
      </c>
      <c r="Z160" s="67">
        <f>RIGHT(H160,LEN(H160)-4)/10000</f>
        <v>5.9012000000000002</v>
      </c>
      <c r="AA160" s="67">
        <f>ABS(Z160-Y160)</f>
        <v>5.8012000000000006</v>
      </c>
      <c r="AB160" s="64" t="e">
        <f>VLOOKUP(A160,Enforcements!$C$7:$K$21,8,0)</f>
        <v>#N/A</v>
      </c>
      <c r="AC160" s="60" t="e">
        <f>VLOOKUP(A160,Enforcements!$C$7:$E$21,3,0)</f>
        <v>#N/A</v>
      </c>
      <c r="AD160" s="61" t="str">
        <f>IF(LEN(A160)=6,"0"&amp;A160,A160)</f>
        <v>0803-13</v>
      </c>
      <c r="AE160" s="91" t="str">
        <f>"aws s3 cp "&amp;s3_bucket&amp;"/RTDC"&amp;B160&amp;"/ "&amp;search_path&amp;"\RTDC"&amp;B160&amp;"\"&amp;TEXT(F160,"YYYY-MM-DD")&amp;" --exclude ""*"" --recursive --include ""*"&amp;TEXT(F160,"YYYYMMDD")&amp;"*"" &amp; """&amp;walkandungz&amp;""" "&amp;search_path&amp;"\RTDC"&amp;B160&amp;"\"&amp;TEXT(F160,"YYYY-MM-DD")
&amp;" &amp; "&amp;"aws s3 cp "&amp;s3_bucket&amp;"/RTDC"&amp;B160&amp;"/ "&amp;search_path&amp;"\RTDC"&amp;B160&amp;"\"&amp;TEXT(F160+1,"YYYY-MM-DD")&amp;" --exclude ""*"" --recursive --include ""*"&amp;TEXT(F160+1,"YYYYMMDD")&amp;"*"" &amp; """&amp;walkandungz&amp;""" "&amp;search_path&amp;"\RTDC"&amp;B160&amp;"\"&amp;TEXT(F160+1,"YYYY-MM-DD")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0" s="88" t="str">
        <f>astrogrep_path&amp;" /spath="&amp;search_path&amp;" /stypes=""app*"&amp;B160&amp;"*"&amp;TEXT(I160-utc_offset/24,"YYYYMMDD")&amp;"*"" /stext="" "&amp;TEXT(I160-utc_offset/24,"HH")&amp;search_regexp&amp;""" /e /r /s"</f>
        <v>"C:\Program Files (x86)\AstroGrep\AstroGrep.exe" /spath="%USERPROFILE%\AppData\Local\Temp\OnboardLogs" /stypes="app*4031*20161013*" /stext=" 12:.+((SYSTEM_STATE.+slice.+state.+changed )|(ment ac)|(system.+state.+changed )|(\[timeout)|(PRM\|1\|D)|(kpr)|(kdp)|(\|lc)|(penalty))" /e /r /s</v>
      </c>
      <c r="AG160" s="1" t="str">
        <f>IFERROR(IF(VALUE(LEFT(AD160,2))&lt;=2,"EC",IF(OR(VALUE(LEFT(AD160,2))=8,VALUE(LEFT(AD160,2))=18),"NW","Other")),"Other")</f>
        <v>NW</v>
      </c>
      <c r="AH160" s="92" t="str">
        <f t="shared" si="13"/>
        <v>"%USERPROFILE%\Documents\GitHub\eaglep3\Utilities\RefineRTDCRunTimes.py" --tripid 803-13 --locoid 4031 --swversion DE.1.0.7.0 --startMP 204:1000 --initTime 2016-10-13T06:14:35 --startdatetime 2016-10-13T06:21:15 --delay 1 --endMP 300:59012 --enddatetime 2016-10-13T06:34:17 --enforcementcount 1 &gt;&gt;C:\Users\stu\Documents\GitHub\eaglep3-reporting\EC\2016-10-13-refined-times.txt</v>
      </c>
      <c r="AI160" s="122" t="str">
        <f t="shared" si="14"/>
        <v>echo {"issue":{"subject":"","project_id":79,"tracker_id":40,"status_id":1,"priority_id":2,"assigned_to_id":23,"start_date":"2016-10-13","description":"","custom_fields":[{"id":1,"name":"Subdivision","value":"NW"},{"id":4,"name":"Milepost","value":"5.9012"},{"id":17,"name":"Train ID","value":"803-13"},{"id":16,"name":"Locomotive ID","value":"4031"},{"id":130,"name":"Impact","value":""},{"id":150,"name":"Time of Event (Mountain Time)","value":"06:34:17"},{"id":151,"name":"Denver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row>
    <row r="161" spans="1:91" x14ac:dyDescent="0.25">
      <c r="A161" s="37" t="s">
        <v>454</v>
      </c>
      <c r="B161" s="7">
        <v>4032</v>
      </c>
      <c r="C161" s="22" t="s">
        <v>99</v>
      </c>
      <c r="D161" s="22" t="s">
        <v>711</v>
      </c>
      <c r="E161" s="13">
        <v>42656.275185185186</v>
      </c>
      <c r="F161" s="13">
        <v>42656.277094907404</v>
      </c>
      <c r="G161" s="7">
        <v>1</v>
      </c>
      <c r="H161" s="13" t="s">
        <v>712</v>
      </c>
      <c r="I161" s="13">
        <v>42656.288645833331</v>
      </c>
      <c r="J161" s="7">
        <v>1</v>
      </c>
      <c r="K161" s="112" t="str">
        <f>IF(ISEVEN(B161),(B161-1)&amp;"/"&amp;B161,B161&amp;"/"&amp;(B161+1))</f>
        <v>4031/4032</v>
      </c>
      <c r="L161" s="22" t="str">
        <f>VLOOKUP(A161,'Trips&amp;Operators'!$C$1:$E$10000,3,FALSE)</f>
        <v>GEBRETEKLE</v>
      </c>
      <c r="M161" s="6">
        <f>I161-F161</f>
        <v>1.1550925926712807E-2</v>
      </c>
      <c r="N161" s="7">
        <f>24*60*SUM($M161:$M161)</f>
        <v>16.633333334466442</v>
      </c>
      <c r="O161" s="7"/>
      <c r="P161" s="7"/>
      <c r="Q161" s="23"/>
      <c r="R161" s="23"/>
      <c r="S161" s="35">
        <f>SUM(U161:U161)/IF(AG161="EC",12,1)</f>
        <v>1</v>
      </c>
      <c r="T161" s="50" t="str">
        <f>IF(ISEVEN(LEFT(AD161,4)),"Southbound","NorthBound")</f>
        <v>Southbound</v>
      </c>
      <c r="U161" s="144">
        <f>IF(AG161="EC",COUNTIFS(Variables!$M$2:$M$19,IF(T161="NorthBound","&gt;=","&lt;=")&amp;Y161,Variables!$M$2:$M$19,IF(T161="NorthBound","&lt;=","&gt;=")&amp;Z161),COUNTIFS(Variables!$P$2:$P$19,IF(T161="NorthBound","&gt;=","&lt;=")&amp;Y161,Variables!$P$2:$P$19,IF(T161="NorthBound","&lt;=","&gt;=")&amp;Z161))</f>
        <v>1</v>
      </c>
      <c r="V161" s="98" t="str">
        <f>"https://search-rtdc-monitor-bjffxe2xuh6vdkpspy63sjmuny.us-east-1.es.amazonaws.com/_plugin/kibana/#/discover/Steve-Slow-Train-Analysis-(2080s-and-2083s)?_g=(refreshInterval:(display:Off,section:0,value:0),time:(from:'"&amp;TEXT(E161-1/24,"yyyy-MM-DD hh:mm:ss")&amp;"-0600',mode:absolute,to:'"&amp;TEXT(I161+1/24,"yyyy-MM-DD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161&amp;"%22')),sort:!(Time,asc))"</f>
        <v>https://search-rtdc-monitor-bjffxe2xuh6vdkpspy63sjmuny.us-east-1.es.amazonaws.com/_plugin/kibana/#/discover/Steve-Slow-Train-Analysis-(2080s-and-2083s)?_g=(refreshInterval:(display:Off,section:0,value:0),time:(from:'2016-10-13 05:36:16-0600',mode:absolute,to:'2016-10-13 07:55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1" s="52" t="str">
        <f>IF(AA161&lt;IF(AG161="EC",23,5.65),"Y","N")</f>
        <v>N</v>
      </c>
      <c r="X161" s="149">
        <f>VALUE(LEFT(AD161,4))-VALUE(LEFT(AD160,4))</f>
        <v>1</v>
      </c>
      <c r="Y161" s="67">
        <f>RIGHT(D161,LEN(D161)-4)/10000</f>
        <v>5.8688000000000002</v>
      </c>
      <c r="Z161" s="67">
        <f>RIGHT(H161,LEN(H161)-4)/10000</f>
        <v>6.9099999999999995E-2</v>
      </c>
      <c r="AA161" s="67">
        <f>ABS(Z161-Y161)</f>
        <v>5.7997000000000005</v>
      </c>
      <c r="AB161" s="64" t="e">
        <f>VLOOKUP(A161,Enforcements!$C$7:$K$21,8,0)</f>
        <v>#N/A</v>
      </c>
      <c r="AC161" s="60" t="e">
        <f>VLOOKUP(A161,Enforcements!$C$7:$E$21,3,0)</f>
        <v>#N/A</v>
      </c>
      <c r="AD161" s="61" t="str">
        <f>IF(LEN(A161)=6,"0"&amp;A161,A161)</f>
        <v>0804-13</v>
      </c>
      <c r="AE161" s="91" t="str">
        <f>"aws s3 cp "&amp;s3_bucket&amp;"/RTDC"&amp;B161&amp;"/ "&amp;search_path&amp;"\RTDC"&amp;B161&amp;"\"&amp;TEXT(F161,"YYYY-MM-DD")&amp;" --exclude ""*"" --recursive --include ""*"&amp;TEXT(F161,"YYYYMMDD")&amp;"*"" &amp; """&amp;walkandungz&amp;""" "&amp;search_path&amp;"\RTDC"&amp;B161&amp;"\"&amp;TEXT(F161,"YYYY-MM-DD")
&amp;" &amp; "&amp;"aws s3 cp "&amp;s3_bucket&amp;"/RTDC"&amp;B161&amp;"/ "&amp;search_path&amp;"\RTDC"&amp;B161&amp;"\"&amp;TEXT(F161+1,"YYYY-MM-DD")&amp;" --exclude ""*"" --recursive --include ""*"&amp;TEXT(F161+1,"YYYYMMDD")&amp;"*"" &amp; """&amp;walkandungz&amp;""" "&amp;search_path&amp;"\RTDC"&amp;B161&amp;"\"&amp;TEXT(F161+1,"YYYY-MM-DD")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1" s="88" t="str">
        <f>astrogrep_path&amp;" /spath="&amp;search_path&amp;" /stypes=""app*"&amp;B161&amp;"*"&amp;TEXT(I161-utc_offset/24,"YYYYMMDD")&amp;"*"" /stext="" "&amp;TEXT(I161-utc_offset/24,"HH")&amp;search_regexp&amp;""" /e /r /s"</f>
        <v>"C:\Program Files (x86)\AstroGrep\AstroGrep.exe" /spath="%USERPROFILE%\AppData\Local\Temp\OnboardLogs" /stypes="app*4032*20161013*" /stext=" 12:.+((SYSTEM_STATE.+slice.+state.+changed )|(ment ac)|(system.+state.+changed )|(\[timeout)|(PRM\|1\|D)|(kpr)|(kdp)|(\|lc)|(penalty))" /e /r /s</v>
      </c>
      <c r="AG161" s="1" t="str">
        <f>IFERROR(IF(VALUE(LEFT(AD161,2))&lt;=2,"EC",IF(OR(VALUE(LEFT(AD161,2))=8,VALUE(LEFT(AD161,2))=18),"NW","Other")),"Other")</f>
        <v>NW</v>
      </c>
      <c r="AH161" s="92" t="str">
        <f t="shared" si="13"/>
        <v>"%USERPROFILE%\Documents\GitHub\eaglep3\Utilities\RefineRTDCRunTimes.py" --tripid 804-13 --locoid 4032 --swversion DE.1.0.7.0 --startMP 300:58688 --initTime 2016-10-13T06:36:16 --startdatetime 2016-10-13T06:39:01 --delay 1 --endMP 204:691 --enddatetime 2016-10-13T06:55:39 --enforcementcount 1 &gt;&gt;C:\Users\stu\Documents\GitHub\eaglep3-reporting\EC\2016-10-13-refined-times.txt</v>
      </c>
      <c r="AI161" s="122" t="str">
        <f t="shared" si="14"/>
        <v>echo {"issue":{"subject":"","project_id":79,"tracker_id":40,"status_id":1,"priority_id":2,"assigned_to_id":23,"start_date":"2016-10-13","description":"","custom_fields":[{"id":1,"name":"Subdivision","value":"NW"},{"id":4,"name":"Milepost","value":"0.0691"},{"id":17,"name":"Train ID","value":"804-13"},{"id":16,"name":"Locomotive ID","value":"4032"},{"id":130,"name":"Impact","value":""},{"id":150,"name":"Time of Event (Mountain Time)","value":"06:55:39"},{"id":151,"name":"Denver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row>
    <row r="162" spans="1:91" x14ac:dyDescent="0.25">
      <c r="A162" s="37" t="s">
        <v>453</v>
      </c>
      <c r="B162" s="7">
        <v>4040</v>
      </c>
      <c r="C162" s="22" t="s">
        <v>99</v>
      </c>
      <c r="D162" s="22" t="s">
        <v>713</v>
      </c>
      <c r="E162" s="13">
        <v>42656.269467592596</v>
      </c>
      <c r="F162" s="13">
        <v>42656.285578703704</v>
      </c>
      <c r="G162" s="7">
        <v>1</v>
      </c>
      <c r="H162" s="13" t="s">
        <v>344</v>
      </c>
      <c r="I162" s="13">
        <v>42656.294803240744</v>
      </c>
      <c r="J162" s="7">
        <v>1</v>
      </c>
      <c r="K162" s="112" t="str">
        <f>IF(ISEVEN(B162),(B162-1)&amp;"/"&amp;B162,B162&amp;"/"&amp;(B162+1))</f>
        <v>4039/4040</v>
      </c>
      <c r="L162" s="22" t="str">
        <f>VLOOKUP(A162,'Trips&amp;Operators'!$C$1:$E$10000,3,FALSE)</f>
        <v>YORK</v>
      </c>
      <c r="M162" s="6">
        <f>I162-F162</f>
        <v>9.2245370396994986E-3</v>
      </c>
      <c r="N162" s="7">
        <f>24*60*SUM($M162:$M162)</f>
        <v>13.283333337167278</v>
      </c>
      <c r="O162" s="7"/>
      <c r="P162" s="7"/>
      <c r="Q162" s="23"/>
      <c r="R162" s="23"/>
      <c r="S162" s="35">
        <f>SUM(U162:U162)/IF(AG162="EC",12,1)</f>
        <v>1</v>
      </c>
      <c r="T162" s="50" t="str">
        <f>IF(ISEVEN(LEFT(AD162,4)),"Southbound","NorthBound")</f>
        <v>NorthBound</v>
      </c>
      <c r="U162" s="144">
        <f>IF(AG162="EC",COUNTIFS(Variables!$M$2:$M$19,IF(T162="NorthBound","&gt;=","&lt;=")&amp;Y162,Variables!$M$2:$M$19,IF(T162="NorthBound","&lt;=","&gt;=")&amp;Z162),COUNTIFS(Variables!$P$2:$P$19,IF(T162="NorthBound","&gt;=","&lt;=")&amp;Y162,Variables!$P$2:$P$19,IF(T162="NorthBound","&lt;=","&gt;=")&amp;Z162))</f>
        <v>1</v>
      </c>
      <c r="V162" s="98" t="str">
        <f>"https://search-rtdc-monitor-bjffxe2xuh6vdkpspy63sjmuny.us-east-1.es.amazonaws.com/_plugin/kibana/#/discover/Steve-Slow-Train-Analysis-(2080s-and-2083s)?_g=(refreshInterval:(display:Off,section:0,value:0),time:(from:'"&amp;TEXT(E162-1/24,"yyyy-MM-DD hh:mm:ss")&amp;"-0600',mode:absolute,to:'"&amp;TEXT(I162+1/24,"yyyy-MM-DD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162&amp;"%22')),sort:!(Time,asc))"</f>
        <v>https://search-rtdc-monitor-bjffxe2xuh6vdkpspy63sjmuny.us-east-1.es.amazonaws.com/_plugin/kibana/#/discover/Steve-Slow-Train-Analysis-(2080s-and-2083s)?_g=(refreshInterval:(display:Off,section:0,value:0),time:(from:'2016-10-13 05:28:02-0600',mode:absolute,to:'2016-10-13 08:04: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2" s="52" t="str">
        <f>IF(AA162&lt;IF(AG162="EC",23,5.65),"Y","N")</f>
        <v>N</v>
      </c>
      <c r="X162" s="149">
        <f>VALUE(LEFT(AD162,4))-VALUE(LEFT(AD161,4))</f>
        <v>1</v>
      </c>
      <c r="Y162" s="67">
        <f>RIGHT(D162,LEN(D162)-4)/10000</f>
        <v>0.1027</v>
      </c>
      <c r="Z162" s="67">
        <f>RIGHT(H162,LEN(H162)-4)/10000</f>
        <v>5.8912000000000004</v>
      </c>
      <c r="AA162" s="67">
        <f>ABS(Z162-Y162)</f>
        <v>5.7885000000000009</v>
      </c>
      <c r="AB162" s="64" t="e">
        <f>VLOOKUP(A162,Enforcements!$C$7:$K$21,8,0)</f>
        <v>#N/A</v>
      </c>
      <c r="AC162" s="60" t="e">
        <f>VLOOKUP(A162,Enforcements!$C$7:$E$21,3,0)</f>
        <v>#N/A</v>
      </c>
      <c r="AD162" s="61" t="str">
        <f>IF(LEN(A162)=6,"0"&amp;A162,A162)</f>
        <v>0805-13</v>
      </c>
      <c r="AE162" s="91" t="str">
        <f>"aws s3 cp "&amp;s3_bucket&amp;"/RTDC"&amp;B162&amp;"/ "&amp;search_path&amp;"\RTDC"&amp;B162&amp;"\"&amp;TEXT(F162,"YYYY-MM-DD")&amp;" --exclude ""*"" --recursive --include ""*"&amp;TEXT(F162,"YYYYMMDD")&amp;"*"" &amp; """&amp;walkandungz&amp;""" "&amp;search_path&amp;"\RTDC"&amp;B162&amp;"\"&amp;TEXT(F162,"YYYY-MM-DD")
&amp;" &amp; "&amp;"aws s3 cp "&amp;s3_bucket&amp;"/RTDC"&amp;B162&amp;"/ "&amp;search_path&amp;"\RTDC"&amp;B162&amp;"\"&amp;TEXT(F162+1,"YYYY-MM-DD")&amp;" --exclude ""*"" --recursive --include ""*"&amp;TEXT(F162+1,"YYYYMMDD")&amp;"*"" &amp; """&amp;walkandungz&amp;""" "&amp;search_path&amp;"\RTDC"&amp;B162&amp;"\"&amp;TEXT(F162+1,"YYYY-MM-DD")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2" s="88" t="str">
        <f>astrogrep_path&amp;" /spath="&amp;search_path&amp;" /stypes=""app*"&amp;B162&amp;"*"&amp;TEXT(I162-utc_offset/24,"YYYYMMDD")&amp;"*"" /stext="" "&amp;TEXT(I162-utc_offset/24,"HH")&amp;search_regexp&amp;""" /e /r /s"</f>
        <v>"C:\Program Files (x86)\AstroGrep\AstroGrep.exe" /spath="%USERPROFILE%\AppData\Local\Temp\OnboardLogs" /stypes="app*4040*20161013*" /stext=" 13:.+((SYSTEM_STATE.+slice.+state.+changed )|(ment ac)|(system.+state.+changed )|(\[timeout)|(PRM\|1\|D)|(kpr)|(kdp)|(\|lc)|(penalty))" /e /r /s</v>
      </c>
      <c r="AG162" s="1" t="str">
        <f>IFERROR(IF(VALUE(LEFT(AD162,2))&lt;=2,"EC",IF(OR(VALUE(LEFT(AD162,2))=8,VALUE(LEFT(AD162,2))=18),"NW","Other")),"Other")</f>
        <v>NW</v>
      </c>
      <c r="AH162" s="92" t="str">
        <f t="shared" si="13"/>
        <v>"%USERPROFILE%\Documents\GitHub\eaglep3\Utilities\RefineRTDCRunTimes.py" --tripid 805-13 --locoid 4040 --swversion DE.1.0.7.0 --startMP 204:1027 --initTime 2016-10-13T06:28:02 --startdatetime 2016-10-13T06:51:14 --delay 1 --endMP 300:58912 --enddatetime 2016-10-13T07:04:31 --enforcementcount 1 &gt;&gt;C:\Users\stu\Documents\GitHub\eaglep3-reporting\EC\2016-10-13-refined-times.txt</v>
      </c>
      <c r="AI162" s="122" t="str">
        <f t="shared" si="14"/>
        <v>echo {"issue":{"subject":"","project_id":79,"tracker_id":40,"status_id":1,"priority_id":2,"assigned_to_id":23,"start_date":"2016-10-13","description":"","custom_fields":[{"id":1,"name":"Subdivision","value":"NW"},{"id":4,"name":"Milepost","value":"5.8912"},{"id":17,"name":"Train ID","value":"805-13"},{"id":16,"name":"Locomotive ID","value":"4040"},{"id":130,"name":"Impact","value":""},{"id":150,"name":"Time of Event (Mountain Time)","value":"07:04:31"},{"id":151,"name":"Denver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row>
    <row r="163" spans="1:91" s="21" customFormat="1" x14ac:dyDescent="0.25">
      <c r="A163" s="37" t="s">
        <v>383</v>
      </c>
      <c r="B163" s="7">
        <v>4039</v>
      </c>
      <c r="C163" s="22" t="s">
        <v>99</v>
      </c>
      <c r="D163" s="22" t="s">
        <v>356</v>
      </c>
      <c r="E163" s="13">
        <v>42656.297094907408</v>
      </c>
      <c r="F163" s="13">
        <v>42656.299305555556</v>
      </c>
      <c r="G163" s="7">
        <v>1</v>
      </c>
      <c r="H163" s="13" t="s">
        <v>714</v>
      </c>
      <c r="I163" s="13">
        <v>42656.309444444443</v>
      </c>
      <c r="J163" s="7">
        <v>1</v>
      </c>
      <c r="K163" s="112" t="str">
        <f>IF(ISEVEN(B163),(B163-1)&amp;"/"&amp;B163,B163&amp;"/"&amp;(B163+1))</f>
        <v>4039/4040</v>
      </c>
      <c r="L163" s="22" t="str">
        <f>VLOOKUP(A163,'Trips&amp;Operators'!$C$1:$E$10000,3,FALSE)</f>
        <v>YORK</v>
      </c>
      <c r="M163" s="6">
        <f>I163-F163</f>
        <v>1.0138888887013309E-2</v>
      </c>
      <c r="N163" s="7">
        <f>24*60*SUM($M163:$M163)</f>
        <v>14.599999997299165</v>
      </c>
      <c r="O163" s="7"/>
      <c r="P163" s="7"/>
      <c r="Q163" s="23"/>
      <c r="R163" s="23"/>
      <c r="S163" s="35">
        <f>SUM(U163:U163)/IF(AG163="EC",12,1)</f>
        <v>1</v>
      </c>
      <c r="T163" s="50" t="str">
        <f>IF(ISEVEN(LEFT(AD163,4)),"Southbound","NorthBound")</f>
        <v>Southbound</v>
      </c>
      <c r="U163" s="144">
        <f>IF(AG163="EC",COUNTIFS(Variables!$M$2:$M$19,IF(T163="NorthBound","&gt;=","&lt;=")&amp;Y163,Variables!$M$2:$M$19,IF(T163="NorthBound","&lt;=","&gt;=")&amp;Z163),COUNTIFS(Variables!$P$2:$P$19,IF(T163="NorthBound","&gt;=","&lt;=")&amp;Y163,Variables!$P$2:$P$19,IF(T163="NorthBound","&lt;=","&gt;=")&amp;Z163))</f>
        <v>1</v>
      </c>
      <c r="V163" s="98" t="str">
        <f>"https://search-rtdc-monitor-bjffxe2xuh6vdkpspy63sjmuny.us-east-1.es.amazonaws.com/_plugin/kibana/#/discover/Steve-Slow-Train-Analysis-(2080s-and-2083s)?_g=(refreshInterval:(display:Off,section:0,value:0),time:(from:'"&amp;TEXT(E163-1/24,"yyyy-MM-DD hh:mm:ss")&amp;"-0600',mode:absolute,to:'"&amp;TEXT(I163+1/24,"yyyy-MM-DD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163&amp;"%22')),sort:!(Time,asc))"</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3" s="52" t="str">
        <f>IF(AA163&lt;IF(AG163="EC",23,5.65),"Y","N")</f>
        <v>N</v>
      </c>
      <c r="X163" s="149">
        <f>VALUE(LEFT(AD163,4))-VALUE(LEFT(AD162,4))</f>
        <v>1</v>
      </c>
      <c r="Y163" s="67">
        <f>RIGHT(D163,LEN(D163)-4)/10000</f>
        <v>5.8596000000000004</v>
      </c>
      <c r="Z163" s="67">
        <f>RIGHT(H163,LEN(H163)-4)/10000</f>
        <v>7.7799999999999994E-2</v>
      </c>
      <c r="AA163" s="67">
        <f>ABS(Z163-Y163)</f>
        <v>5.7818000000000005</v>
      </c>
      <c r="AB163" s="64" t="e">
        <f>VLOOKUP(A163,Enforcements!$C$7:$K$21,8,0)</f>
        <v>#N/A</v>
      </c>
      <c r="AC163" s="60" t="e">
        <f>VLOOKUP(A163,Enforcements!$C$7:$E$21,3,0)</f>
        <v>#N/A</v>
      </c>
      <c r="AD163" s="61" t="str">
        <f>IF(LEN(A163)=6,"0"&amp;A163,A163)</f>
        <v>0806-13</v>
      </c>
      <c r="AE163" s="91" t="str">
        <f>"aws s3 cp "&amp;s3_bucket&amp;"/RTDC"&amp;B163&amp;"/ "&amp;search_path&amp;"\RTDC"&amp;B163&amp;"\"&amp;TEXT(F163,"YYYY-MM-DD")&amp;" --exclude ""*"" --recursive --include ""*"&amp;TEXT(F163,"YYYYMMDD")&amp;"*"" &amp; """&amp;walkandungz&amp;""" "&amp;search_path&amp;"\RTDC"&amp;B163&amp;"\"&amp;TEXT(F163,"YYYY-MM-DD")
&amp;" &amp; "&amp;"aws s3 cp "&amp;s3_bucket&amp;"/RTDC"&amp;B163&amp;"/ "&amp;search_path&amp;"\RTDC"&amp;B163&amp;"\"&amp;TEXT(F163+1,"YYYY-MM-DD")&amp;" --exclude ""*"" --recursive --include ""*"&amp;TEXT(F163+1,"YYYYMMDD")&amp;"*"" &amp; """&amp;walkandungz&amp;""" "&amp;search_path&amp;"\RTDC"&amp;B163&amp;"\"&amp;TEXT(F163+1,"YYYY-MM-DD")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3" s="88" t="str">
        <f>astrogrep_path&amp;" /spath="&amp;search_path&amp;" /stypes=""app*"&amp;B163&amp;"*"&amp;TEXT(I163-utc_offset/24,"YYYYMMDD")&amp;"*"" /stext="" "&amp;TEXT(I163-utc_offset/24,"HH")&amp;search_regexp&amp;""" /e /r /s"</f>
        <v>"C:\Program Files (x86)\AstroGrep\AstroGrep.exe" /spath="%USERPROFILE%\AppData\Local\Temp\OnboardLogs" /stypes="app*4039*20161013*" /stext=" 13:.+((SYSTEM_STATE.+slice.+state.+changed )|(ment ac)|(system.+state.+changed )|(\[timeout)|(PRM\|1\|D)|(kpr)|(kdp)|(\|lc)|(penalty))" /e /r /s</v>
      </c>
      <c r="AG163" s="1" t="str">
        <f>IFERROR(IF(VALUE(LEFT(AD163,2))&lt;=2,"EC",IF(OR(VALUE(LEFT(AD163,2))=8,VALUE(LEFT(AD163,2))=18),"NW","Other")),"Other")</f>
        <v>NW</v>
      </c>
      <c r="AH163" s="92" t="str">
        <f t="shared" si="13"/>
        <v>"%USERPROFILE%\Documents\GitHub\eaglep3\Utilities\RefineRTDCRunTimes.py" --tripid 806-13 --locoid 4039 --swversion DE.1.0.7.0 --startMP 300:58596 --initTime 2016-10-13T07:07:49 --startdatetime 2016-10-13T07:11:00 --delay 1 --endMP 204:778 --enddatetime 2016-10-13T07:25:36 --enforcementcount 1 &gt;&gt;C:\Users\stu\Documents\GitHub\eaglep3-reporting\EC\2016-10-13-refined-times.txt</v>
      </c>
      <c r="AI163" s="122" t="str">
        <f t="shared" si="14"/>
        <v>echo {"issue":{"subject":"","project_id":79,"tracker_id":40,"status_id":1,"priority_id":2,"assigned_to_id":23,"start_date":"2016-10-13","description":"","custom_fields":[{"id":1,"name":"Subdivision","value":"NW"},{"id":4,"name":"Milepost","value":"0.0778"},{"id":17,"name":"Train ID","value":"806-13"},{"id":16,"name":"Locomotive ID","value":"4039"},{"id":130,"name":"Impact","value":""},{"id":150,"name":"Time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382</v>
      </c>
      <c r="B164" s="7">
        <v>4031</v>
      </c>
      <c r="C164" s="22" t="s">
        <v>99</v>
      </c>
      <c r="D164" s="22" t="s">
        <v>715</v>
      </c>
      <c r="E164" s="13">
        <v>42656.291250000002</v>
      </c>
      <c r="F164" s="13">
        <v>42656.306423611109</v>
      </c>
      <c r="G164" s="7">
        <v>1</v>
      </c>
      <c r="H164" s="13" t="s">
        <v>716</v>
      </c>
      <c r="I164" s="13">
        <v>42656.316805555558</v>
      </c>
      <c r="J164" s="7">
        <v>1</v>
      </c>
      <c r="K164" s="112" t="str">
        <f>IF(ISEVEN(B164),(B164-1)&amp;"/"&amp;B164,B164&amp;"/"&amp;(B164+1))</f>
        <v>4031/4032</v>
      </c>
      <c r="L164" s="22" t="str">
        <f>VLOOKUP(A164,'Trips&amp;Operators'!$C$1:$E$10000,3,FALSE)</f>
        <v>GEBRETEKLE</v>
      </c>
      <c r="M164" s="6">
        <f>I164-F164</f>
        <v>1.0381944448454306E-2</v>
      </c>
      <c r="N164" s="7">
        <f>24*60*SUM($M164:$M164)</f>
        <v>14.9500000057742</v>
      </c>
      <c r="O164" s="7"/>
      <c r="P164" s="7"/>
      <c r="Q164" s="23"/>
      <c r="R164" s="23"/>
      <c r="S164" s="35">
        <f>SUM(U164:U164)/IF(AG164="EC",12,1)</f>
        <v>1</v>
      </c>
      <c r="T164" s="50" t="str">
        <f>IF(ISEVEN(LEFT(AD164,4)),"Southbound","NorthBound")</f>
        <v>NorthBound</v>
      </c>
      <c r="U164" s="144">
        <f>IF(AG164="EC",COUNTIFS(Variables!$M$2:$M$19,IF(T164="NorthBound","&gt;=","&lt;=")&amp;Y164,Variables!$M$2:$M$19,IF(T164="NorthBound","&lt;=","&gt;=")&amp;Z164),COUNTIFS(Variables!$P$2:$P$19,IF(T164="NorthBound","&gt;=","&lt;=")&amp;Y164,Variables!$P$2:$P$19,IF(T164="NorthBound","&lt;=","&gt;=")&amp;Z164))</f>
        <v>1</v>
      </c>
      <c r="V164" s="98" t="str">
        <f>"https://search-rtdc-monitor-bjffxe2xuh6vdkpspy63sjmuny.us-east-1.es.amazonaws.com/_plugin/kibana/#/discover/Steve-Slow-Train-Analysis-(2080s-and-2083s)?_g=(refreshInterval:(display:Off,section:0,value:0),time:(from:'"&amp;TEXT(E164-1/24,"yyyy-MM-DD hh:mm:ss")&amp;"-0600',mode:absolute,to:'"&amp;TEXT(I164+1/24,"yyyy-MM-DD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164&amp;"%22')),sort:!(Time,asc))"</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4" s="52" t="str">
        <f>IF(AA164&lt;IF(AG164="EC",23,5.65),"Y","N")</f>
        <v>N</v>
      </c>
      <c r="X164" s="149">
        <f>VALUE(LEFT(AD164,4))-VALUE(LEFT(AD163,4))</f>
        <v>1</v>
      </c>
      <c r="Y164" s="67">
        <f>RIGHT(D164,LEN(D164)-4)/10000</f>
        <v>9.9299999999999999E-2</v>
      </c>
      <c r="Z164" s="67">
        <f>RIGHT(H164,LEN(H164)-4)/10000</f>
        <v>5.8968999999999996</v>
      </c>
      <c r="AA164" s="67">
        <f>ABS(Z164-Y164)</f>
        <v>5.7975999999999992</v>
      </c>
      <c r="AB164" s="64" t="e">
        <f>VLOOKUP(A164,Enforcements!$C$7:$K$21,8,0)</f>
        <v>#N/A</v>
      </c>
      <c r="AC164" s="60" t="e">
        <f>VLOOKUP(A164,Enforcements!$C$7:$E$21,3,0)</f>
        <v>#N/A</v>
      </c>
      <c r="AD164" s="61" t="str">
        <f>IF(LEN(A164)=6,"0"&amp;A164,A164)</f>
        <v>0807-13</v>
      </c>
      <c r="AE164" s="91" t="str">
        <f>"aws s3 cp "&amp;s3_bucket&amp;"/RTDC"&amp;B164&amp;"/ "&amp;search_path&amp;"\RTDC"&amp;B164&amp;"\"&amp;TEXT(F164,"YYYY-MM-DD")&amp;" --exclude ""*"" --recursive --include ""*"&amp;TEXT(F164,"YYYYMMDD")&amp;"*"" &amp; """&amp;walkandungz&amp;""" "&amp;search_path&amp;"\RTDC"&amp;B164&amp;"\"&amp;TEXT(F164,"YYYY-MM-DD")
&amp;" &amp; "&amp;"aws s3 cp "&amp;s3_bucket&amp;"/RTDC"&amp;B164&amp;"/ "&amp;search_path&amp;"\RTDC"&amp;B164&amp;"\"&amp;TEXT(F164+1,"YYYY-MM-DD")&amp;" --exclude ""*"" --recursive --include ""*"&amp;TEXT(F164+1,"YYYYMMDD")&amp;"*"" &amp; """&amp;walkandungz&amp;""" "&amp;search_path&amp;"\RTDC"&amp;B164&amp;"\"&amp;TEXT(F164+1,"YYYY-MM-DD")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4" s="88" t="str">
        <f>astrogrep_path&amp;" /spath="&amp;search_path&amp;" /stypes=""app*"&amp;B164&amp;"*"&amp;TEXT(I164-utc_offset/24,"YYYYMMDD")&amp;"*"" /stext="" "&amp;TEXT(I164-utc_offset/24,"HH")&amp;search_regexp&amp;""" /e /r /s"</f>
        <v>"C:\Program Files (x86)\AstroGrep\AstroGrep.exe" /spath="%USERPROFILE%\AppData\Local\Temp\OnboardLogs" /stypes="app*4031*20161013*" /stext=" 13:.+((SYSTEM_STATE.+slice.+state.+changed )|(ment ac)|(system.+state.+changed )|(\[timeout)|(PRM\|1\|D)|(kpr)|(kdp)|(\|lc)|(penalty))" /e /r /s</v>
      </c>
      <c r="AG164" s="1" t="str">
        <f>IFERROR(IF(VALUE(LEFT(AD164,2))&lt;=2,"EC",IF(OR(VALUE(LEFT(AD164,2))=8,VALUE(LEFT(AD164,2))=18),"NW","Other")),"Other")</f>
        <v>NW</v>
      </c>
      <c r="AH164" s="92" t="str">
        <f t="shared" si="13"/>
        <v>"%USERPROFILE%\Documents\GitHub\eaglep3\Utilities\RefineRTDCRunTimes.py" --tripid 807-13 --locoid 4031 --swversion DE.1.0.7.0 --startMP 204:993 --initTime 2016-10-13T06:59:24 --startdatetime 2016-10-13T07:21:15 --delay 1 --endMP 300:58969 --enddatetime 2016-10-13T07:36:12 --enforcementcount 1 &gt;&gt;C:\Users\stu\Documents\GitHub\eaglep3-reporting\EC\2016-10-13-refined-times.txt</v>
      </c>
      <c r="AI164" s="122" t="str">
        <f t="shared" si="14"/>
        <v>echo {"issue":{"subject":"","project_id":79,"tracker_id":40,"status_id":1,"priority_id":2,"assigned_to_id":23,"start_date":"2016-10-13","description":"","custom_fields":[{"id":1,"name":"Subdivision","value":"NW"},{"id":4,"name":"Milepost","value":"5.8969"},{"id":17,"name":"Train ID","value":"807-13"},{"id":16,"name":"Locomotive ID","value":"4031"},{"id":130,"name":"Impact","value":""},{"id":150,"name":"Time of Event (Mountain Time)","value":"07:36:12"},{"id":151,"name":"Denver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384</v>
      </c>
      <c r="B165" s="7">
        <v>4032</v>
      </c>
      <c r="C165" s="22" t="s">
        <v>99</v>
      </c>
      <c r="D165" s="22" t="s">
        <v>717</v>
      </c>
      <c r="E165" s="13">
        <v>42656.318171296298</v>
      </c>
      <c r="F165" s="13">
        <v>42656.319988425923</v>
      </c>
      <c r="G165" s="7">
        <v>1</v>
      </c>
      <c r="H165" s="13" t="s">
        <v>707</v>
      </c>
      <c r="I165" s="13">
        <v>42656.331053240741</v>
      </c>
      <c r="J165" s="7">
        <v>1</v>
      </c>
      <c r="K165" s="112" t="str">
        <f>IF(ISEVEN(B165),(B165-1)&amp;"/"&amp;B165,B165&amp;"/"&amp;(B165+1))</f>
        <v>4031/4032</v>
      </c>
      <c r="L165" s="22" t="str">
        <f>VLOOKUP(A165,'Trips&amp;Operators'!$C$1:$E$10000,3,FALSE)</f>
        <v>GEBRETEKLE</v>
      </c>
      <c r="M165" s="6">
        <f>I165-F165</f>
        <v>1.1064814818382729E-2</v>
      </c>
      <c r="N165" s="7">
        <f>24*60*SUM($M165:$M165)</f>
        <v>15.93333333847113</v>
      </c>
      <c r="O165" s="7"/>
      <c r="P165" s="7"/>
      <c r="Q165" s="23"/>
      <c r="R165" s="23"/>
      <c r="S165" s="35">
        <f>SUM(U165:U165)/IF(AG165="EC",12,1)</f>
        <v>1</v>
      </c>
      <c r="T165" s="50" t="str">
        <f>IF(ISEVEN(LEFT(AD165,4)),"Southbound","NorthBound")</f>
        <v>Southbound</v>
      </c>
      <c r="U165" s="144">
        <f>IF(AG165="EC",COUNTIFS(Variables!$M$2:$M$19,IF(T165="NorthBound","&gt;=","&lt;=")&amp;Y165,Variables!$M$2:$M$19,IF(T165="NorthBound","&lt;=","&gt;=")&amp;Z165),COUNTIFS(Variables!$P$2:$P$19,IF(T165="NorthBound","&gt;=","&lt;=")&amp;Y165,Variables!$P$2:$P$19,IF(T165="NorthBound","&lt;=","&gt;=")&amp;Z165))</f>
        <v>1</v>
      </c>
      <c r="V165" s="98" t="str">
        <f>"https://search-rtdc-monitor-bjffxe2xuh6vdkpspy63sjmuny.us-east-1.es.amazonaws.com/_plugin/kibana/#/discover/Steve-Slow-Train-Analysis-(2080s-and-2083s)?_g=(refreshInterval:(display:Off,section:0,value:0),time:(from:'"&amp;TEXT(E165-1/24,"yyyy-MM-DD hh:mm:ss")&amp;"-0600',mode:absolute,to:'"&amp;TEXT(I165+1/24,"yyyy-MM-DD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165&amp;"%22')),sort:!(Time,asc))"</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5" s="52" t="str">
        <f>IF(AA165&lt;IF(AG165="EC",23,5.65),"Y","N")</f>
        <v>N</v>
      </c>
      <c r="X165" s="149">
        <f>VALUE(LEFT(AD165,4))-VALUE(LEFT(AD164,4))</f>
        <v>1</v>
      </c>
      <c r="Y165" s="67">
        <f>RIGHT(D165,LEN(D165)-4)/10000</f>
        <v>5.8647</v>
      </c>
      <c r="Z165" s="67">
        <f>RIGHT(H165,LEN(H165)-4)/10000</f>
        <v>7.7299999999999994E-2</v>
      </c>
      <c r="AA165" s="67">
        <f>ABS(Z165-Y165)</f>
        <v>5.7873999999999999</v>
      </c>
      <c r="AB165" s="64" t="e">
        <f>VLOOKUP(A165,Enforcements!$C$7:$K$21,8,0)</f>
        <v>#N/A</v>
      </c>
      <c r="AC165" s="60" t="e">
        <f>VLOOKUP(A165,Enforcements!$C$7:$E$21,3,0)</f>
        <v>#N/A</v>
      </c>
      <c r="AD165" s="61" t="str">
        <f>IF(LEN(A165)=6,"0"&amp;A165,A165)</f>
        <v>0808-13</v>
      </c>
      <c r="AE165" s="91" t="str">
        <f>"aws s3 cp "&amp;s3_bucket&amp;"/RTDC"&amp;B165&amp;"/ "&amp;search_path&amp;"\RTDC"&amp;B165&amp;"\"&amp;TEXT(F165,"YYYY-MM-DD")&amp;" --exclude ""*"" --recursive --include ""*"&amp;TEXT(F165,"YYYYMMDD")&amp;"*"" &amp; """&amp;walkandungz&amp;""" "&amp;search_path&amp;"\RTDC"&amp;B165&amp;"\"&amp;TEXT(F165,"YYYY-MM-DD")
&amp;" &amp; "&amp;"aws s3 cp "&amp;s3_bucket&amp;"/RTDC"&amp;B165&amp;"/ "&amp;search_path&amp;"\RTDC"&amp;B165&amp;"\"&amp;TEXT(F165+1,"YYYY-MM-DD")&amp;" --exclude ""*"" --recursive --include ""*"&amp;TEXT(F165+1,"YYYYMMDD")&amp;"*"" &amp; """&amp;walkandungz&amp;""" "&amp;search_path&amp;"\RTDC"&amp;B165&amp;"\"&amp;TEXT(F165+1,"YYYY-MM-DD")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5" s="88" t="str">
        <f>astrogrep_path&amp;" /spath="&amp;search_path&amp;" /stypes=""app*"&amp;B165&amp;"*"&amp;TEXT(I165-utc_offset/24,"YYYYMMDD")&amp;"*"" /stext="" "&amp;TEXT(I165-utc_offset/24,"HH")&amp;search_regexp&amp;""" /e /r /s"</f>
        <v>"C:\Program Files (x86)\AstroGrep\AstroGrep.exe" /spath="%USERPROFILE%\AppData\Local\Temp\OnboardLogs" /stypes="app*4032*20161013*" /stext=" 13:.+((SYSTEM_STATE.+slice.+state.+changed )|(ment ac)|(system.+state.+changed )|(\[timeout)|(PRM\|1\|D)|(kpr)|(kdp)|(\|lc)|(penalty))" /e /r /s</v>
      </c>
      <c r="AG165" s="1" t="str">
        <f>IFERROR(IF(VALUE(LEFT(AD165,2))&lt;=2,"EC",IF(OR(VALUE(LEFT(AD165,2))=8,VALUE(LEFT(AD165,2))=18),"NW","Other")),"Other")</f>
        <v>NW</v>
      </c>
      <c r="AH165" s="92" t="str">
        <f t="shared" si="13"/>
        <v>"%USERPROFILE%\Documents\GitHub\eaglep3\Utilities\RefineRTDCRunTimes.py" --tripid 808-13 --locoid 4032 --swversion DE.1.0.7.0 --startMP 300:58647 --initTime 2016-10-13T07:38:10 --startdatetime 2016-10-13T07:40:47 --delay 1 --endMP 204:773 --enddatetime 2016-10-13T07:56:43 --enforcementcount 1 &gt;&gt;C:\Users\stu\Documents\GitHub\eaglep3-reporting\EC\2016-10-13-refined-times.txt</v>
      </c>
      <c r="AI165" s="122" t="str">
        <f t="shared" si="14"/>
        <v>echo {"issue":{"subject":"","project_id":79,"tracker_id":40,"status_id":1,"priority_id":2,"assigned_to_id":23,"start_date":"2016-10-13","description":"","custom_fields":[{"id":1,"name":"Subdivision","value":"NW"},{"id":4,"name":"Milepost","value":"0.0773"},{"id":17,"name":"Train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s="21" customFormat="1" x14ac:dyDescent="0.25">
      <c r="A166" s="37" t="s">
        <v>462</v>
      </c>
      <c r="B166" s="7">
        <v>4040</v>
      </c>
      <c r="C166" s="22" t="s">
        <v>99</v>
      </c>
      <c r="D166" s="22" t="s">
        <v>718</v>
      </c>
      <c r="E166" s="13">
        <v>42656.311527777776</v>
      </c>
      <c r="F166" s="13">
        <v>42656.327245370368</v>
      </c>
      <c r="G166" s="7">
        <v>2</v>
      </c>
      <c r="H166" s="13" t="s">
        <v>331</v>
      </c>
      <c r="I166" s="13">
        <v>42656.336365740739</v>
      </c>
      <c r="J166" s="7">
        <v>1</v>
      </c>
      <c r="K166" s="112" t="str">
        <f>IF(ISEVEN(B166),(B166-1)&amp;"/"&amp;B166,B166&amp;"/"&amp;(B166+1))</f>
        <v>4039/4040</v>
      </c>
      <c r="L166" s="22" t="str">
        <f>VLOOKUP(A166,'Trips&amp;Operators'!$C$1:$E$10000,3,FALSE)</f>
        <v>YORK</v>
      </c>
      <c r="M166" s="6">
        <f>I166-F166</f>
        <v>9.1203703705104999E-3</v>
      </c>
      <c r="N166" s="7">
        <f>24*60*SUM($M166:$M166)</f>
        <v>13.13333333353512</v>
      </c>
      <c r="O166" s="7"/>
      <c r="P166" s="7"/>
      <c r="Q166" s="23"/>
      <c r="R166" s="23"/>
      <c r="S166" s="35">
        <f>SUM(U166:U166)/IF(AG166="EC",12,1)</f>
        <v>1</v>
      </c>
      <c r="T166" s="50" t="str">
        <f>IF(ISEVEN(LEFT(AD166,4)),"Southbound","NorthBound")</f>
        <v>NorthBound</v>
      </c>
      <c r="U166" s="144">
        <f>IF(AG166="EC",COUNTIFS(Variables!$M$2:$M$19,IF(T166="NorthBound","&gt;=","&lt;=")&amp;Y166,Variables!$M$2:$M$19,IF(T166="NorthBound","&lt;=","&gt;=")&amp;Z166),COUNTIFS(Variables!$P$2:$P$19,IF(T166="NorthBound","&gt;=","&lt;=")&amp;Y166,Variables!$P$2:$P$19,IF(T166="NorthBound","&lt;=","&gt;=")&amp;Z166))</f>
        <v>1</v>
      </c>
      <c r="V166" s="98" t="str">
        <f>"https://search-rtdc-monitor-bjffxe2xuh6vdkpspy63sjmuny.us-east-1.es.amazonaws.com/_plugin/kibana/#/discover/Steve-Slow-Train-Analysis-(2080s-and-2083s)?_g=(refreshInterval:(display:Off,section:0,value:0),time:(from:'"&amp;TEXT(E166-1/24,"yyyy-MM-DD hh:mm:ss")&amp;"-0600',mode:absolute,to:'"&amp;TEXT(I166+1/24,"yyyy-MM-DD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166&amp;"%22')),sort:!(Time,asc))"</f>
        <v>https://search-rtdc-monitor-bjffxe2xuh6vdkpspy63sjmuny.us-east-1.es.amazonaws.com/_plugin/kibana/#/discover/Steve-Slow-Train-Analysis-(2080s-and-2083s)?_g=(refreshInterval:(display:Off,section:0,value:0),time:(from:'2016-10-13 06:28:36-0600',mode:absolute,to:'2016-10-13 09:04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6" s="52" t="str">
        <f>IF(AA166&lt;IF(AG166="EC",23,5.65),"Y","N")</f>
        <v>N</v>
      </c>
      <c r="X166" s="149">
        <f>VALUE(LEFT(AD166,4))-VALUE(LEFT(AD165,4))</f>
        <v>1</v>
      </c>
      <c r="Y166" s="67">
        <f>RIGHT(D166,LEN(D166)-4)/10000</f>
        <v>0.1067</v>
      </c>
      <c r="Z166" s="67">
        <f>RIGHT(H166,LEN(H166)-4)/10000</f>
        <v>5.8924000000000003</v>
      </c>
      <c r="AA166" s="67">
        <f>ABS(Z166-Y166)</f>
        <v>5.7857000000000003</v>
      </c>
      <c r="AB166" s="64" t="e">
        <f>VLOOKUP(A166,Enforcements!$C$7:$K$21,8,0)</f>
        <v>#N/A</v>
      </c>
      <c r="AC166" s="60" t="e">
        <f>VLOOKUP(A166,Enforcements!$C$7:$E$21,3,0)</f>
        <v>#N/A</v>
      </c>
      <c r="AD166" s="61" t="str">
        <f>IF(LEN(A166)=6,"0"&amp;A166,A166)</f>
        <v>0809-13</v>
      </c>
      <c r="AE166" s="91" t="str">
        <f>"aws s3 cp "&amp;s3_bucket&amp;"/RTDC"&amp;B166&amp;"/ "&amp;search_path&amp;"\RTDC"&amp;B166&amp;"\"&amp;TEXT(F166,"YYYY-MM-DD")&amp;" --exclude ""*"" --recursive --include ""*"&amp;TEXT(F166,"YYYYMMDD")&amp;"*"" &amp; """&amp;walkandungz&amp;""" "&amp;search_path&amp;"\RTDC"&amp;B166&amp;"\"&amp;TEXT(F166,"YYYY-MM-DD")
&amp;" &amp; "&amp;"aws s3 cp "&amp;s3_bucket&amp;"/RTDC"&amp;B166&amp;"/ "&amp;search_path&amp;"\RTDC"&amp;B166&amp;"\"&amp;TEXT(F166+1,"YYYY-MM-DD")&amp;" --exclude ""*"" --recursive --include ""*"&amp;TEXT(F166+1,"YYYYMMDD")&amp;"*"" &amp; """&amp;walkandungz&amp;""" "&amp;search_path&amp;"\RTDC"&amp;B166&amp;"\"&amp;TEXT(F166+1,"YYYY-MM-DD")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6" s="88" t="str">
        <f>astrogrep_path&amp;" /spath="&amp;search_path&amp;" /stypes=""app*"&amp;B166&amp;"*"&amp;TEXT(I166-utc_offset/24,"YYYYMMDD")&amp;"*"" /stext="" "&amp;TEXT(I166-utc_offset/24,"HH")&amp;search_regexp&amp;""" /e /r /s"</f>
        <v>"C:\Program Files (x86)\AstroGrep\AstroGrep.exe" /spath="%USERPROFILE%\AppData\Local\Temp\OnboardLogs" /stypes="app*4040*20161013*" /stext=" 14:.+((SYSTEM_STATE.+slice.+state.+changed )|(ment ac)|(system.+state.+changed )|(\[timeout)|(PRM\|1\|D)|(kpr)|(kdp)|(\|lc)|(penalty))" /e /r /s</v>
      </c>
      <c r="AG166" s="1" t="str">
        <f>IFERROR(IF(VALUE(LEFT(AD166,2))&lt;=2,"EC",IF(OR(VALUE(LEFT(AD166,2))=8,VALUE(LEFT(AD166,2))=18),"NW","Other")),"Other")</f>
        <v>NW</v>
      </c>
      <c r="AH166" s="92" t="str">
        <f t="shared" si="13"/>
        <v>"%USERPROFILE%\Documents\GitHub\eaglep3\Utilities\RefineRTDCRunTimes.py" --tripid 809-13 --locoid 4040 --swversion DE.1.0.7.0 --startMP 204:1067 --initTime 2016-10-13T07:28:36 --startdatetime 2016-10-13T07:51:14 --delay 2 --endMP 300:58924 --enddatetime 2016-10-13T08:04:22 --enforcementcount 1 &gt;&gt;C:\Users\stu\Documents\GitHub\eaglep3-reporting\EC\2016-10-13-refined-times.txt</v>
      </c>
      <c r="AI166" s="122" t="str">
        <f t="shared" si="14"/>
        <v>echo {"issue":{"subject":"","project_id":79,"tracker_id":40,"status_id":1,"priority_id":2,"assigned_to_id":23,"start_date":"2016-10-13","description":"","custom_fields":[{"id":1,"name":"Subdivision","value":"NW"},{"id":4,"name":"Milepost","value":"5.8924"},{"id":17,"name":"Train ID","value":"809-13"},{"id":16,"name":"Locomotive ID","value":"4040"},{"id":130,"name":"Impact","value":""},{"id":150,"name":"Time of Event (Mountain Time)","value":"08:04:22"},{"id":151,"name":"Denver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1" customFormat="1" x14ac:dyDescent="0.25">
      <c r="A167" s="37" t="s">
        <v>386</v>
      </c>
      <c r="B167" s="7">
        <v>4039</v>
      </c>
      <c r="C167" s="22" t="s">
        <v>99</v>
      </c>
      <c r="D167" s="22" t="s">
        <v>719</v>
      </c>
      <c r="E167" s="13">
        <v>42656.337997685187</v>
      </c>
      <c r="F167" s="13">
        <v>42656.340312499997</v>
      </c>
      <c r="G167" s="7">
        <v>1</v>
      </c>
      <c r="H167" s="13" t="s">
        <v>720</v>
      </c>
      <c r="I167" s="13">
        <v>42656.350671296299</v>
      </c>
      <c r="J167" s="7">
        <v>1</v>
      </c>
      <c r="K167" s="112" t="str">
        <f>IF(ISEVEN(B167),(B167-1)&amp;"/"&amp;B167,B167&amp;"/"&amp;(B167+1))</f>
        <v>4039/4040</v>
      </c>
      <c r="L167" s="22" t="str">
        <f>VLOOKUP(A167,'Trips&amp;Operators'!$C$1:$E$10000,3,FALSE)</f>
        <v>YORK</v>
      </c>
      <c r="M167" s="6">
        <f>I167-F167</f>
        <v>1.0358796302170958E-2</v>
      </c>
      <c r="N167" s="7">
        <f>24*60*SUM($M167:$M167)</f>
        <v>14.91666667512618</v>
      </c>
      <c r="O167" s="7"/>
      <c r="P167" s="7"/>
      <c r="Q167" s="23"/>
      <c r="R167" s="23"/>
      <c r="S167" s="35">
        <f>SUM(U167:U167)/IF(AG167="EC",12,1)</f>
        <v>1</v>
      </c>
      <c r="T167" s="50" t="str">
        <f>IF(ISEVEN(LEFT(AD167,4)),"Southbound","NorthBound")</f>
        <v>Southbound</v>
      </c>
      <c r="U167" s="144">
        <f>IF(AG167="EC",COUNTIFS(Variables!$M$2:$M$19,IF(T167="NorthBound","&gt;=","&lt;=")&amp;Y167,Variables!$M$2:$M$19,IF(T167="NorthBound","&lt;=","&gt;=")&amp;Z167),COUNTIFS(Variables!$P$2:$P$19,IF(T167="NorthBound","&gt;=","&lt;=")&amp;Y167,Variables!$P$2:$P$19,IF(T167="NorthBound","&lt;=","&gt;=")&amp;Z167))</f>
        <v>1</v>
      </c>
      <c r="V167" s="98" t="str">
        <f>"https://search-rtdc-monitor-bjffxe2xuh6vdkpspy63sjmuny.us-east-1.es.amazonaws.com/_plugin/kibana/#/discover/Steve-Slow-Train-Analysis-(2080s-and-2083s)?_g=(refreshInterval:(display:Off,section:0,value:0),time:(from:'"&amp;TEXT(E167-1/24,"yyyy-MM-DD hh:mm:ss")&amp;"-0600',mode:absolute,to:'"&amp;TEXT(I167+1/24,"yyyy-MM-DD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167&amp;"%22')),sort:!(Time,asc))"</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7" s="52" t="str">
        <f>IF(AA167&lt;IF(AG167="EC",23,5.65),"Y","N")</f>
        <v>N</v>
      </c>
      <c r="X167" s="149">
        <f>VALUE(LEFT(AD167,4))-VALUE(LEFT(AD166,4))</f>
        <v>1</v>
      </c>
      <c r="Y167" s="67">
        <f>RIGHT(D167,LEN(D167)-4)/10000</f>
        <v>5.8589000000000002</v>
      </c>
      <c r="Z167" s="67">
        <f>RIGHT(H167,LEN(H167)-4)/10000</f>
        <v>9.74E-2</v>
      </c>
      <c r="AA167" s="67">
        <f>ABS(Z167-Y167)</f>
        <v>5.7614999999999998</v>
      </c>
      <c r="AB167" s="64" t="e">
        <f>VLOOKUP(A167,Enforcements!$C$7:$K$21,8,0)</f>
        <v>#N/A</v>
      </c>
      <c r="AC167" s="60" t="e">
        <f>VLOOKUP(A167,Enforcements!$C$7:$E$21,3,0)</f>
        <v>#N/A</v>
      </c>
      <c r="AD167" s="61" t="str">
        <f>IF(LEN(A167)=6,"0"&amp;A167,A167)</f>
        <v>0810-13</v>
      </c>
      <c r="AE167" s="91" t="str">
        <f>"aws s3 cp "&amp;s3_bucket&amp;"/RTDC"&amp;B167&amp;"/ "&amp;search_path&amp;"\RTDC"&amp;B167&amp;"\"&amp;TEXT(F167,"YYYY-MM-DD")&amp;" --exclude ""*"" --recursive --include ""*"&amp;TEXT(F167,"YYYYMMDD")&amp;"*"" &amp; """&amp;walkandungz&amp;""" "&amp;search_path&amp;"\RTDC"&amp;B167&amp;"\"&amp;TEXT(F167,"YYYY-MM-DD")
&amp;" &amp; "&amp;"aws s3 cp "&amp;s3_bucket&amp;"/RTDC"&amp;B167&amp;"/ "&amp;search_path&amp;"\RTDC"&amp;B167&amp;"\"&amp;TEXT(F167+1,"YYYY-MM-DD")&amp;" --exclude ""*"" --recursive --include ""*"&amp;TEXT(F167+1,"YYYYMMDD")&amp;"*"" &amp; """&amp;walkandungz&amp;""" "&amp;search_path&amp;"\RTDC"&amp;B167&amp;"\"&amp;TEXT(F167+1,"YYYY-MM-DD")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7" s="88" t="str">
        <f>astrogrep_path&amp;" /spath="&amp;search_path&amp;" /stypes=""app*"&amp;B167&amp;"*"&amp;TEXT(I167-utc_offset/24,"YYYYMMDD")&amp;"*"" /stext="" "&amp;TEXT(I167-utc_offset/24,"HH")&amp;search_regexp&amp;""" /e /r /s"</f>
        <v>"C:\Program Files (x86)\AstroGrep\AstroGrep.exe" /spath="%USERPROFILE%\AppData\Local\Temp\OnboardLogs" /stypes="app*4039*20161013*" /stext=" 14:.+((SYSTEM_STATE.+slice.+state.+changed )|(ment ac)|(system.+state.+changed )|(\[timeout)|(PRM\|1\|D)|(kpr)|(kdp)|(\|lc)|(penalty))" /e /r /s</v>
      </c>
      <c r="AG167" s="1" t="str">
        <f>IFERROR(IF(VALUE(LEFT(AD167,2))&lt;=2,"EC",IF(OR(VALUE(LEFT(AD167,2))=8,VALUE(LEFT(AD167,2))=18),"NW","Other")),"Other")</f>
        <v>NW</v>
      </c>
      <c r="AH167" s="92" t="str">
        <f t="shared" si="13"/>
        <v>"%USERPROFILE%\Documents\GitHub\eaglep3\Utilities\RefineRTDCRunTimes.py" --tripid 810-13 --locoid 4039 --swversion DE.1.0.7.0 --startMP 300:58589 --initTime 2016-10-13T08:06:43 --startdatetime 2016-10-13T08:10:03 --delay 1 --endMP 204:974 --enddatetime 2016-10-13T08:24:58 --enforcementcount 1 &gt;&gt;C:\Users\stu\Documents\GitHub\eaglep3-reporting\EC\2016-10-13-refined-times.txt</v>
      </c>
      <c r="AI167" s="122" t="str">
        <f t="shared" si="14"/>
        <v>echo {"issue":{"subject":"","project_id":79,"tracker_id":40,"status_id":1,"priority_id":2,"assigned_to_id":23,"start_date":"2016-10-13","description":"","custom_fields":[{"id":1,"name":"Subdivision","value":"NW"},{"id":4,"name":"Milepost","value":"0.0974"},{"id":17,"name":"Train ID","value":"810-13"},{"id":16,"name":"Locomotive ID","value":"4039"},{"id":130,"name":"Impact","value":""},{"id":150,"name":"Time of Event (Mountain Time)","value":"08:24:58"},{"id":151,"name":"Denver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1" customFormat="1" x14ac:dyDescent="0.25">
      <c r="A168" s="37" t="s">
        <v>467</v>
      </c>
      <c r="B168" s="7">
        <v>4031</v>
      </c>
      <c r="C168" s="22" t="s">
        <v>99</v>
      </c>
      <c r="D168" s="22" t="s">
        <v>721</v>
      </c>
      <c r="E168" s="13">
        <v>42656.336597222224</v>
      </c>
      <c r="F168" s="13">
        <v>42656.348321759258</v>
      </c>
      <c r="G168" s="7">
        <v>2</v>
      </c>
      <c r="H168" s="13" t="s">
        <v>722</v>
      </c>
      <c r="I168" s="13">
        <v>42656.358287037037</v>
      </c>
      <c r="J168" s="7">
        <v>1</v>
      </c>
      <c r="K168" s="112" t="str">
        <f>IF(ISEVEN(B168),(B168-1)&amp;"/"&amp;B168,B168&amp;"/"&amp;(B168+1))</f>
        <v>4031/4032</v>
      </c>
      <c r="L168" s="22" t="str">
        <f>VLOOKUP(A168,'Trips&amp;Operators'!$C$1:$E$10000,3,FALSE)</f>
        <v>GEBRETEKLE</v>
      </c>
      <c r="M168" s="6">
        <f>I168-F168</f>
        <v>9.9652777789742686E-3</v>
      </c>
      <c r="N168" s="7">
        <f>24*60*SUM($M168:$M168)</f>
        <v>14.350000001722947</v>
      </c>
      <c r="O168" s="7"/>
      <c r="P168" s="7"/>
      <c r="Q168" s="23"/>
      <c r="R168" s="23"/>
      <c r="S168" s="35">
        <f>SUM(U168:U168)/IF(AG168="EC",12,1)</f>
        <v>1</v>
      </c>
      <c r="T168" s="50" t="str">
        <f>IF(ISEVEN(LEFT(AD168,4)),"Southbound","NorthBound")</f>
        <v>NorthBound</v>
      </c>
      <c r="U168" s="144">
        <f>IF(AG168="EC",COUNTIFS(Variables!$M$2:$M$19,IF(T168="NorthBound","&gt;=","&lt;=")&amp;Y168,Variables!$M$2:$M$19,IF(T168="NorthBound","&lt;=","&gt;=")&amp;Z168),COUNTIFS(Variables!$P$2:$P$19,IF(T168="NorthBound","&gt;=","&lt;=")&amp;Y168,Variables!$P$2:$P$19,IF(T168="NorthBound","&lt;=","&gt;=")&amp;Z168))</f>
        <v>1</v>
      </c>
      <c r="V168" s="98" t="str">
        <f>"https://search-rtdc-monitor-bjffxe2xuh6vdkpspy63sjmuny.us-east-1.es.amazonaws.com/_plugin/kibana/#/discover/Steve-Slow-Train-Analysis-(2080s-and-2083s)?_g=(refreshInterval:(display:Off,section:0,value:0),time:(from:'"&amp;TEXT(E168-1/24,"yyyy-MM-DD hh:mm:ss")&amp;"-0600',mode:absolute,to:'"&amp;TEXT(I168+1/24,"yyyy-MM-DD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168&amp;"%22')),sort:!(Time,asc))"</f>
        <v>https://search-rtdc-monitor-bjffxe2xuh6vdkpspy63sjmuny.us-east-1.es.amazonaws.com/_plugin/kibana/#/discover/Steve-Slow-Train-Analysis-(2080s-and-2083s)?_g=(refreshInterval:(display:Off,section:0,value:0),time:(from:'2016-10-13 07:04:42-0600',mode:absolute,to:'2016-10-13 09:35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8" s="52" t="str">
        <f>IF(AA168&lt;IF(AG168="EC",23,5.65),"Y","N")</f>
        <v>N</v>
      </c>
      <c r="X168" s="149">
        <f>VALUE(LEFT(AD168,4))-VALUE(LEFT(AD167,4))</f>
        <v>1</v>
      </c>
      <c r="Y168" s="67">
        <f>RIGHT(D168,LEN(D168)-4)/10000</f>
        <v>0.1056</v>
      </c>
      <c r="Z168" s="67">
        <f>RIGHT(H168,LEN(H168)-4)/10000</f>
        <v>5.8978000000000002</v>
      </c>
      <c r="AA168" s="67">
        <f>ABS(Z168-Y168)</f>
        <v>5.7922000000000002</v>
      </c>
      <c r="AB168" s="64" t="e">
        <f>VLOOKUP(A168,Enforcements!$C$7:$K$21,8,0)</f>
        <v>#N/A</v>
      </c>
      <c r="AC168" s="60" t="e">
        <f>VLOOKUP(A168,Enforcements!$C$7:$E$21,3,0)</f>
        <v>#N/A</v>
      </c>
      <c r="AD168" s="61" t="str">
        <f>IF(LEN(A168)=6,"0"&amp;A168,A168)</f>
        <v>0811-13</v>
      </c>
      <c r="AE168" s="91" t="str">
        <f>"aws s3 cp "&amp;s3_bucket&amp;"/RTDC"&amp;B168&amp;"/ "&amp;search_path&amp;"\RTDC"&amp;B168&amp;"\"&amp;TEXT(F168,"YYYY-MM-DD")&amp;" --exclude ""*"" --recursive --include ""*"&amp;TEXT(F168,"YYYYMMDD")&amp;"*"" &amp; """&amp;walkandungz&amp;""" "&amp;search_path&amp;"\RTDC"&amp;B168&amp;"\"&amp;TEXT(F168,"YYYY-MM-DD")
&amp;" &amp; "&amp;"aws s3 cp "&amp;s3_bucket&amp;"/RTDC"&amp;B168&amp;"/ "&amp;search_path&amp;"\RTDC"&amp;B168&amp;"\"&amp;TEXT(F168+1,"YYYY-MM-DD")&amp;" --exclude ""*"" --recursive --include ""*"&amp;TEXT(F168+1,"YYYYMMDD")&amp;"*"" &amp; """&amp;walkandungz&amp;""" "&amp;search_path&amp;"\RTDC"&amp;B168&amp;"\"&amp;TEXT(F168+1,"YYYY-MM-DD")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8" s="88" t="str">
        <f>astrogrep_path&amp;" /spath="&amp;search_path&amp;" /stypes=""app*"&amp;B168&amp;"*"&amp;TEXT(I168-utc_offset/24,"YYYYMMDD")&amp;"*"" /stext="" "&amp;TEXT(I168-utc_offset/24,"HH")&amp;search_regexp&amp;""" /e /r /s"</f>
        <v>"C:\Program Files (x86)\AstroGrep\AstroGrep.exe" /spath="%USERPROFILE%\AppData\Local\Temp\OnboardLogs" /stypes="app*4031*20161013*" /stext=" 14:.+((SYSTEM_STATE.+slice.+state.+changed )|(ment ac)|(system.+state.+changed )|(\[timeout)|(PRM\|1\|D)|(kpr)|(kdp)|(\|lc)|(penalty))" /e /r /s</v>
      </c>
      <c r="AG168" s="1" t="str">
        <f>IFERROR(IF(VALUE(LEFT(AD168,2))&lt;=2,"EC",IF(OR(VALUE(LEFT(AD168,2))=8,VALUE(LEFT(AD168,2))=18),"NW","Other")),"Other")</f>
        <v>NW</v>
      </c>
      <c r="AH168" s="92" t="str">
        <f t="shared" si="13"/>
        <v>"%USERPROFILE%\Documents\GitHub\eaglep3\Utilities\RefineRTDCRunTimes.py" --tripid 811-13 --locoid 4031 --swversion DE.1.0.7.0 --startMP 204:1056 --initTime 2016-10-13T08:04:42 --startdatetime 2016-10-13T08:21:35 --delay 2 --endMP 300:58978 --enddatetime 2016-10-13T08:35:56 --enforcementcount 1 &gt;&gt;C:\Users\stu\Documents\GitHub\eaglep3-reporting\EC\2016-10-13-refined-times.txt</v>
      </c>
      <c r="AI168" s="122" t="str">
        <f t="shared" si="14"/>
        <v>echo {"issue":{"subject":"","project_id":79,"tracker_id":40,"status_id":1,"priority_id":2,"assigned_to_id":23,"start_date":"2016-10-13","description":"","custom_fields":[{"id":1,"name":"Subdivision","value":"NW"},{"id":4,"name":"Milepost","value":"5.8978"},{"id":17,"name":"Train ID","value":"811-13"},{"id":16,"name":"Locomotive ID","value":"4031"},{"id":130,"name":"Impact","value":""},{"id":150,"name":"Time of Event (Mountain Time)","value":"08:35:56"},{"id":151,"name":"Denver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1" customFormat="1" x14ac:dyDescent="0.25">
      <c r="A169" s="37" t="s">
        <v>389</v>
      </c>
      <c r="B169" s="7">
        <v>4032</v>
      </c>
      <c r="C169" s="22" t="s">
        <v>99</v>
      </c>
      <c r="D169" s="22" t="s">
        <v>723</v>
      </c>
      <c r="E169" s="13">
        <v>42656.359942129631</v>
      </c>
      <c r="F169" s="13">
        <v>42656.361655092594</v>
      </c>
      <c r="G169" s="7">
        <v>1</v>
      </c>
      <c r="H169" s="13" t="s">
        <v>336</v>
      </c>
      <c r="I169" s="13">
        <v>42656.372604166667</v>
      </c>
      <c r="J169" s="7">
        <v>1</v>
      </c>
      <c r="K169" s="112" t="str">
        <f>IF(ISEVEN(B169),(B169-1)&amp;"/"&amp;B169,B169&amp;"/"&amp;(B169+1))</f>
        <v>4031/4032</v>
      </c>
      <c r="L169" s="22" t="str">
        <f>VLOOKUP(A169,'Trips&amp;Operators'!$C$1:$E$10000,3,FALSE)</f>
        <v>GEBRETEKLE</v>
      </c>
      <c r="M169" s="6">
        <f>I169-F169</f>
        <v>1.0949074072414078E-2</v>
      </c>
      <c r="N169" s="7">
        <f>24*60*SUM($M169:$M169)</f>
        <v>15.766666664276272</v>
      </c>
      <c r="O169" s="7"/>
      <c r="P169" s="7"/>
      <c r="Q169" s="23"/>
      <c r="R169" s="23"/>
      <c r="S169" s="35">
        <f>SUM(U169:U169)/IF(AG169="EC",12,1)</f>
        <v>1</v>
      </c>
      <c r="T169" s="50" t="str">
        <f>IF(ISEVEN(LEFT(AD169,4)),"Southbound","NorthBound")</f>
        <v>Southbound</v>
      </c>
      <c r="U169" s="144">
        <f>IF(AG169="EC",COUNTIFS(Variables!$M$2:$M$19,IF(T169="NorthBound","&gt;=","&lt;=")&amp;Y169,Variables!$M$2:$M$19,IF(T169="NorthBound","&lt;=","&gt;=")&amp;Z169),COUNTIFS(Variables!$P$2:$P$19,IF(T169="NorthBound","&gt;=","&lt;=")&amp;Y169,Variables!$P$2:$P$19,IF(T169="NorthBound","&lt;=","&gt;=")&amp;Z169))</f>
        <v>1</v>
      </c>
      <c r="V169" s="98" t="str">
        <f>"https://search-rtdc-monitor-bjffxe2xuh6vdkpspy63sjmuny.us-east-1.es.amazonaws.com/_plugin/kibana/#/discover/Steve-Slow-Train-Analysis-(2080s-and-2083s)?_g=(refreshInterval:(display:Off,section:0,value:0),time:(from:'"&amp;TEXT(E169-1/24,"yyyy-MM-DD hh:mm:ss")&amp;"-0600',mode:absolute,to:'"&amp;TEXT(I169+1/24,"yyyy-MM-DD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169&amp;"%22')),sort:!(Time,asc))"</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9" s="52" t="str">
        <f>IF(AA169&lt;IF(AG169="EC",23,5.65),"Y","N")</f>
        <v>N</v>
      </c>
      <c r="X169" s="149">
        <f>VALUE(LEFT(AD169,4))-VALUE(LEFT(AD168,4))</f>
        <v>1</v>
      </c>
      <c r="Y169" s="67">
        <f>RIGHT(D169,LEN(D169)-4)/10000</f>
        <v>5.8654999999999999</v>
      </c>
      <c r="Z169" s="67">
        <f>RIGHT(H169,LEN(H169)-4)/10000</f>
        <v>6.9400000000000003E-2</v>
      </c>
      <c r="AA169" s="67">
        <f>ABS(Z169-Y169)</f>
        <v>5.7961</v>
      </c>
      <c r="AB169" s="64" t="e">
        <f>VLOOKUP(A169,Enforcements!$C$7:$K$21,8,0)</f>
        <v>#N/A</v>
      </c>
      <c r="AC169" s="60" t="e">
        <f>VLOOKUP(A169,Enforcements!$C$7:$E$21,3,0)</f>
        <v>#N/A</v>
      </c>
      <c r="AD169" s="61" t="str">
        <f>IF(LEN(A169)=6,"0"&amp;A169,A169)</f>
        <v>0812-13</v>
      </c>
      <c r="AE169" s="91" t="str">
        <f>"aws s3 cp "&amp;s3_bucket&amp;"/RTDC"&amp;B169&amp;"/ "&amp;search_path&amp;"\RTDC"&amp;B169&amp;"\"&amp;TEXT(F169,"YYYY-MM-DD")&amp;" --exclude ""*"" --recursive --include ""*"&amp;TEXT(F169,"YYYYMMDD")&amp;"*"" &amp; """&amp;walkandungz&amp;""" "&amp;search_path&amp;"\RTDC"&amp;B169&amp;"\"&amp;TEXT(F169,"YYYY-MM-DD")
&amp;" &amp; "&amp;"aws s3 cp "&amp;s3_bucket&amp;"/RTDC"&amp;B169&amp;"/ "&amp;search_path&amp;"\RTDC"&amp;B169&amp;"\"&amp;TEXT(F169+1,"YYYY-MM-DD")&amp;" --exclude ""*"" --recursive --include ""*"&amp;TEXT(F169+1,"YYYYMMDD")&amp;"*"" &amp; """&amp;walkandungz&amp;""" "&amp;search_path&amp;"\RTDC"&amp;B169&amp;"\"&amp;TEXT(F169+1,"YYYY-MM-DD")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9" s="88" t="str">
        <f>astrogrep_path&amp;" /spath="&amp;search_path&amp;" /stypes=""app*"&amp;B169&amp;"*"&amp;TEXT(I169-utc_offset/24,"YYYYMMDD")&amp;"*"" /stext="" "&amp;TEXT(I169-utc_offset/24,"HH")&amp;search_regexp&amp;""" /e /r /s"</f>
        <v>"C:\Program Files (x86)\AstroGrep\AstroGrep.exe" /spath="%USERPROFILE%\AppData\Local\Temp\OnboardLogs" /stypes="app*4032*20161013*" /stext=" 14:.+((SYSTEM_STATE.+slice.+state.+changed )|(ment ac)|(system.+state.+changed )|(\[timeout)|(PRM\|1\|D)|(kpr)|(kdp)|(\|lc)|(penalty))" /e /r /s</v>
      </c>
      <c r="AG169" s="1" t="str">
        <f>IFERROR(IF(VALUE(LEFT(AD169,2))&lt;=2,"EC",IF(OR(VALUE(LEFT(AD169,2))=8,VALUE(LEFT(AD169,2))=18),"NW","Other")),"Other")</f>
        <v>NW</v>
      </c>
      <c r="AH169" s="92" t="str">
        <f t="shared" si="13"/>
        <v>"%USERPROFILE%\Documents\GitHub\eaglep3\Utilities\RefineRTDCRunTimes.py" --tripid 812-13 --locoid 4032 --swversion DE.1.0.7.0 --startMP 300:58655 --initTime 2016-10-13T08:38:19 --startdatetime 2016-10-13T08:40:47 --delay 1 --endMP 204:694 --enddatetime 2016-10-13T08:56:33 --enforcementcount 1 &gt;&gt;C:\Users\stu\Documents\GitHub\eaglep3-reporting\EC\2016-10-13-refined-times.txt</v>
      </c>
      <c r="AI169" s="122" t="str">
        <f t="shared" si="14"/>
        <v>echo {"issue":{"subject":"","project_id":79,"tracker_id":40,"status_id":1,"priority_id":2,"assigned_to_id":23,"start_date":"2016-10-13","description":"","custom_fields":[{"id":1,"name":"Subdivision","value":"NW"},{"id":4,"name":"Milepost","value":"0.0694"},{"id":17,"name":"Train ID","value":"812-13"},{"id":16,"name":"Locomotive ID","value":"4032"},{"id":130,"name":"Impact","value":""},{"id":150,"name":"Time of Event (Mountain Time)","value":"08:56:33"},{"id":151,"name":"Denver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1" customFormat="1" x14ac:dyDescent="0.25">
      <c r="A170" s="37" t="s">
        <v>474</v>
      </c>
      <c r="B170" s="7">
        <v>4031</v>
      </c>
      <c r="C170" s="22" t="s">
        <v>99</v>
      </c>
      <c r="D170" s="22" t="s">
        <v>343</v>
      </c>
      <c r="E170" s="13">
        <v>42656.378298611111</v>
      </c>
      <c r="F170" s="13">
        <v>42656.389745370368</v>
      </c>
      <c r="G170" s="7">
        <v>1</v>
      </c>
      <c r="H170" s="13" t="s">
        <v>724</v>
      </c>
      <c r="I170" s="13">
        <v>42656.399340277778</v>
      </c>
      <c r="J170" s="7">
        <v>1</v>
      </c>
      <c r="K170" s="112" t="str">
        <f>IF(ISEVEN(B170),(B170-1)&amp;"/"&amp;B170,B170&amp;"/"&amp;(B170+1))</f>
        <v>4031/4032</v>
      </c>
      <c r="L170" s="22" t="str">
        <f>VLOOKUP(A170,'Trips&amp;Operators'!$C$1:$E$10000,3,FALSE)</f>
        <v>GEBRETEKLE</v>
      </c>
      <c r="M170" s="6">
        <f>I170-F170</f>
        <v>9.5949074093368836E-3</v>
      </c>
      <c r="N170" s="7">
        <f>24*60*SUM($M170:$M170)</f>
        <v>13.816666669445112</v>
      </c>
      <c r="O170" s="7"/>
      <c r="P170" s="7"/>
      <c r="Q170" s="23"/>
      <c r="R170" s="23"/>
      <c r="S170" s="35">
        <f>SUM(U170:U170)/IF(AG170="EC",12,1)</f>
        <v>1</v>
      </c>
      <c r="T170" s="50" t="str">
        <f>IF(ISEVEN(LEFT(AD170,4)),"Southbound","NorthBound")</f>
        <v>NorthBound</v>
      </c>
      <c r="U170" s="144">
        <f>IF(AG170="EC",COUNTIFS(Variables!$M$2:$M$19,IF(T170="NorthBound","&gt;=","&lt;=")&amp;Y170,Variables!$M$2:$M$19,IF(T170="NorthBound","&lt;=","&gt;=")&amp;Z170),COUNTIFS(Variables!$P$2:$P$19,IF(T170="NorthBound","&gt;=","&lt;=")&amp;Y170,Variables!$P$2:$P$19,IF(T170="NorthBound","&lt;=","&gt;=")&amp;Z170))</f>
        <v>1</v>
      </c>
      <c r="V170" s="98" t="str">
        <f>"https://search-rtdc-monitor-bjffxe2xuh6vdkpspy63sjmuny.us-east-1.es.amazonaws.com/_plugin/kibana/#/discover/Steve-Slow-Train-Analysis-(2080s-and-2083s)?_g=(refreshInterval:(display:Off,section:0,value:0),time:(from:'"&amp;TEXT(E170-1/24,"yyyy-MM-DD hh:mm:ss")&amp;"-0600',mode:absolute,to:'"&amp;TEXT(I170+1/24,"yyyy-MM-DD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170&amp;"%22')),sort:!(Time,asc))"</f>
        <v>https://search-rtdc-monitor-bjffxe2xuh6vdkpspy63sjmuny.us-east-1.es.amazonaws.com/_plugin/kibana/#/discover/Steve-Slow-Train-Analysis-(2080s-and-2083s)?_g=(refreshInterval:(display:Off,section:0,value:0),time:(from:'2016-10-13 08:04:45-0600',mode:absolute,to:'2016-10-13 10: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0" s="52" t="str">
        <f>IF(AA170&lt;IF(AG170="EC",23,5.65),"Y","N")</f>
        <v>N</v>
      </c>
      <c r="X170" s="149">
        <f>VALUE(LEFT(AD170,4))-VALUE(LEFT(AD169,4))</f>
        <v>1</v>
      </c>
      <c r="Y170" s="67">
        <f>RIGHT(D170,LEN(D170)-4)/10000</f>
        <v>9.9199999999999997E-2</v>
      </c>
      <c r="Z170" s="67">
        <f>RIGHT(H170,LEN(H170)-4)/10000</f>
        <v>5.8979999999999997</v>
      </c>
      <c r="AA170" s="67">
        <f>ABS(Z170-Y170)</f>
        <v>5.7988</v>
      </c>
      <c r="AB170" s="64" t="e">
        <f>VLOOKUP(A170,Enforcements!$C$7:$K$21,8,0)</f>
        <v>#N/A</v>
      </c>
      <c r="AC170" s="60" t="e">
        <f>VLOOKUP(A170,Enforcements!$C$7:$E$21,3,0)</f>
        <v>#N/A</v>
      </c>
      <c r="AD170" s="61" t="str">
        <f>IF(LEN(A170)=6,"0"&amp;A170,A170)</f>
        <v>0813-13</v>
      </c>
      <c r="AE170" s="91" t="str">
        <f>"aws s3 cp "&amp;s3_bucket&amp;"/RTDC"&amp;B170&amp;"/ "&amp;search_path&amp;"\RTDC"&amp;B170&amp;"\"&amp;TEXT(F170,"YYYY-MM-DD")&amp;" --exclude ""*"" --recursive --include ""*"&amp;TEXT(F170,"YYYYMMDD")&amp;"*"" &amp; """&amp;walkandungz&amp;""" "&amp;search_path&amp;"\RTDC"&amp;B170&amp;"\"&amp;TEXT(F170,"YYYY-MM-DD")
&amp;" &amp; "&amp;"aws s3 cp "&amp;s3_bucket&amp;"/RTDC"&amp;B170&amp;"/ "&amp;search_path&amp;"\RTDC"&amp;B170&amp;"\"&amp;TEXT(F170+1,"YYYY-MM-DD")&amp;" --exclude ""*"" --recursive --include ""*"&amp;TEXT(F170+1,"YYYYMMDD")&amp;"*"" &amp; """&amp;walkandungz&amp;""" "&amp;search_path&amp;"\RTDC"&amp;B170&amp;"\"&amp;TEXT(F170+1,"YYYY-MM-DD")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0" s="88" t="str">
        <f>astrogrep_path&amp;" /spath="&amp;search_path&amp;" /stypes=""app*"&amp;B170&amp;"*"&amp;TEXT(I170-utc_offset/24,"YYYYMMDD")&amp;"*"" /stext="" "&amp;TEXT(I170-utc_offset/24,"HH")&amp;search_regexp&amp;""" /e /r /s"</f>
        <v>"C:\Program Files (x86)\AstroGrep\AstroGrep.exe" /spath="%USERPROFILE%\AppData\Local\Temp\OnboardLogs" /stypes="app*4031*20161013*" /stext=" 15:.+((SYSTEM_STATE.+slice.+state.+changed )|(ment ac)|(system.+state.+changed )|(\[timeout)|(PRM\|1\|D)|(kpr)|(kdp)|(\|lc)|(penalty))" /e /r /s</v>
      </c>
      <c r="AG170" s="1" t="str">
        <f>IFERROR(IF(VALUE(LEFT(AD170,2))&lt;=2,"EC",IF(OR(VALUE(LEFT(AD170,2))=8,VALUE(LEFT(AD170,2))=18),"NW","Other")),"Other")</f>
        <v>NW</v>
      </c>
      <c r="AH170" s="92" t="str">
        <f t="shared" si="13"/>
        <v>"%USERPROFILE%\Documents\GitHub\eaglep3\Utilities\RefineRTDCRunTimes.py" --tripid 813-13 --locoid 4031 --swversion DE.1.0.7.0 --startMP 204:992 --initTime 2016-10-13T09:04:45 --startdatetime 2016-10-13T09:21:14 --delay 1 --endMP 300:58980 --enddatetime 2016-10-13T09:35:03 --enforcementcount 1 &gt;&gt;C:\Users\stu\Documents\GitHub\eaglep3-reporting\EC\2016-10-13-refined-times.txt</v>
      </c>
      <c r="AI170" s="122" t="str">
        <f t="shared" si="14"/>
        <v>echo {"issue":{"subject":"","project_id":79,"tracker_id":40,"status_id":1,"priority_id":2,"assigned_to_id":23,"start_date":"2016-10-13","description":"","custom_fields":[{"id":1,"name":"Subdivision","value":"NW"},{"id":4,"name":"Milepost","value":"5.898"},{"id":17,"name":"Train ID","value":"813-13"},{"id":16,"name":"Locomotive ID","value":"4031"},{"id":130,"name":"Impact","value":""},{"id":150,"name":"Time of Event (Mountain Time)","value":"09:35:03"},{"id":151,"name":"Denver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478</v>
      </c>
      <c r="B171" s="7">
        <v>4032</v>
      </c>
      <c r="C171" s="22" t="s">
        <v>99</v>
      </c>
      <c r="D171" s="22" t="s">
        <v>725</v>
      </c>
      <c r="E171" s="13">
        <v>42656.400671296295</v>
      </c>
      <c r="F171" s="13">
        <v>42656.402430555558</v>
      </c>
      <c r="G171" s="7">
        <v>1</v>
      </c>
      <c r="H171" s="13" t="s">
        <v>337</v>
      </c>
      <c r="I171" s="13">
        <v>42656.412974537037</v>
      </c>
      <c r="J171" s="7">
        <v>1</v>
      </c>
      <c r="K171" s="112" t="str">
        <f>IF(ISEVEN(B171),(B171-1)&amp;"/"&amp;B171,B171&amp;"/"&amp;(B171+1))</f>
        <v>4031/4032</v>
      </c>
      <c r="L171" s="22" t="str">
        <f>VLOOKUP(A171,'Trips&amp;Operators'!$C$1:$E$10000,3,FALSE)</f>
        <v>GEBRETEKLE</v>
      </c>
      <c r="M171" s="6">
        <f>I171-F171</f>
        <v>1.0543981479713693E-2</v>
      </c>
      <c r="N171" s="7">
        <f>24*60*SUM($M171:$M171)</f>
        <v>15.183333330787718</v>
      </c>
      <c r="O171" s="7"/>
      <c r="P171" s="7"/>
      <c r="Q171" s="23"/>
      <c r="R171" s="23"/>
      <c r="S171" s="35">
        <f>SUM(U171:U171)/IF(AG171="EC",12,1)</f>
        <v>1</v>
      </c>
      <c r="T171" s="50" t="str">
        <f>IF(ISEVEN(LEFT(AD171,4)),"Southbound","NorthBound")</f>
        <v>Southbound</v>
      </c>
      <c r="U171" s="144">
        <f>IF(AG171="EC",COUNTIFS(Variables!$M$2:$M$19,IF(T171="NorthBound","&gt;=","&lt;=")&amp;Y171,Variables!$M$2:$M$19,IF(T171="NorthBound","&lt;=","&gt;=")&amp;Z171),COUNTIFS(Variables!$P$2:$P$19,IF(T171="NorthBound","&gt;=","&lt;=")&amp;Y171,Variables!$P$2:$P$19,IF(T171="NorthBound","&lt;=","&gt;=")&amp;Z171))</f>
        <v>1</v>
      </c>
      <c r="V171" s="98" t="str">
        <f>"https://search-rtdc-monitor-bjffxe2xuh6vdkpspy63sjmuny.us-east-1.es.amazonaws.com/_plugin/kibana/#/discover/Steve-Slow-Train-Analysis-(2080s-and-2083s)?_g=(refreshInterval:(display:Off,section:0,value:0),time:(from:'"&amp;TEXT(E171-1/24,"yyyy-MM-DD hh:mm:ss")&amp;"-0600',mode:absolute,to:'"&amp;TEXT(I171+1/24,"yyyy-MM-DD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171&amp;"%22')),sort:!(Time,asc))"</f>
        <v>https://search-rtdc-monitor-bjffxe2xuh6vdkpspy63sjmuny.us-east-1.es.amazonaws.com/_plugin/kibana/#/discover/Steve-Slow-Train-Analysis-(2080s-and-2083s)?_g=(refreshInterval:(display:Off,section:0,value:0),time:(from:'2016-10-13 08:36:58-0600',mode:absolute,to:'2016-10-13 10:54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1" s="52" t="str">
        <f>IF(AA171&lt;IF(AG171="EC",23,5.65),"Y","N")</f>
        <v>N</v>
      </c>
      <c r="X171" s="149">
        <f>VALUE(LEFT(AD171,4))-VALUE(LEFT(AD170,4))</f>
        <v>1</v>
      </c>
      <c r="Y171" s="67">
        <f>RIGHT(D171,LEN(D171)-4)/10000</f>
        <v>5.8655999999999997</v>
      </c>
      <c r="Z171" s="67">
        <f>RIGHT(H171,LEN(H171)-4)/10000</f>
        <v>7.0499999999999993E-2</v>
      </c>
      <c r="AA171" s="67">
        <f>ABS(Z171-Y171)</f>
        <v>5.7950999999999997</v>
      </c>
      <c r="AB171" s="64" t="e">
        <f>VLOOKUP(A171,Enforcements!$C$7:$K$21,8,0)</f>
        <v>#N/A</v>
      </c>
      <c r="AC171" s="60" t="e">
        <f>VLOOKUP(A171,Enforcements!$C$7:$E$21,3,0)</f>
        <v>#N/A</v>
      </c>
      <c r="AD171" s="61" t="str">
        <f>IF(LEN(A171)=6,"0"&amp;A171,A171)</f>
        <v>0814-13</v>
      </c>
      <c r="AE171" s="91" t="str">
        <f>"aws s3 cp "&amp;s3_bucket&amp;"/RTDC"&amp;B171&amp;"/ "&amp;search_path&amp;"\RTDC"&amp;B171&amp;"\"&amp;TEXT(F171,"YYYY-MM-DD")&amp;" --exclude ""*"" --recursive --include ""*"&amp;TEXT(F171,"YYYYMMDD")&amp;"*"" &amp; """&amp;walkandungz&amp;""" "&amp;search_path&amp;"\RTDC"&amp;B171&amp;"\"&amp;TEXT(F171,"YYYY-MM-DD")
&amp;" &amp; "&amp;"aws s3 cp "&amp;s3_bucket&amp;"/RTDC"&amp;B171&amp;"/ "&amp;search_path&amp;"\RTDC"&amp;B171&amp;"\"&amp;TEXT(F171+1,"YYYY-MM-DD")&amp;" --exclude ""*"" --recursive --include ""*"&amp;TEXT(F171+1,"YYYYMMDD")&amp;"*"" &amp; """&amp;walkandungz&amp;""" "&amp;search_path&amp;"\RTDC"&amp;B171&amp;"\"&amp;TEXT(F171+1,"YYYY-MM-DD")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1" s="88" t="str">
        <f>astrogrep_path&amp;" /spath="&amp;search_path&amp;" /stypes=""app*"&amp;B171&amp;"*"&amp;TEXT(I171-utc_offset/24,"YYYYMMDD")&amp;"*"" /stext="" "&amp;TEXT(I171-utc_offset/24,"HH")&amp;search_regexp&amp;""" /e /r /s"</f>
        <v>"C:\Program Files (x86)\AstroGrep\AstroGrep.exe" /spath="%USERPROFILE%\AppData\Local\Temp\OnboardLogs" /stypes="app*4032*20161013*" /stext=" 15:.+((SYSTEM_STATE.+slice.+state.+changed )|(ment ac)|(system.+state.+changed )|(\[timeout)|(PRM\|1\|D)|(kpr)|(kdp)|(\|lc)|(penalty))" /e /r /s</v>
      </c>
      <c r="AG171" s="1" t="str">
        <f>IFERROR(IF(VALUE(LEFT(AD171,2))&lt;=2,"EC",IF(OR(VALUE(LEFT(AD171,2))=8,VALUE(LEFT(AD171,2))=18),"NW","Other")),"Other")</f>
        <v>NW</v>
      </c>
      <c r="AH171" s="92" t="str">
        <f t="shared" si="13"/>
        <v>"%USERPROFILE%\Documents\GitHub\eaglep3\Utilities\RefineRTDCRunTimes.py" --tripid 814-13 --locoid 4032 --swversion DE.1.0.7.0 --startMP 300:58656 --initTime 2016-10-13T09:36:58 --startdatetime 2016-10-13T09:39:30 --delay 1 --endMP 204:705 --enddatetime 2016-10-13T09:54:41 --enforcementcount 1 &gt;&gt;C:\Users\stu\Documents\GitHub\eaglep3-reporting\EC\2016-10-13-refined-times.txt</v>
      </c>
      <c r="AI171" s="122" t="str">
        <f t="shared" si="14"/>
        <v>echo {"issue":{"subject":"","project_id":79,"tracker_id":40,"status_id":1,"priority_id":2,"assigned_to_id":23,"start_date":"2016-10-13","description":"","custom_fields":[{"id":1,"name":"Subdivision","value":"NW"},{"id":4,"name":"Milepost","value":"0.0705"},{"id":17,"name":"Train ID","value":"814-13"},{"id":16,"name":"Locomotive ID","value":"4032"},{"id":130,"name":"Impact","value":""},{"id":150,"name":"Time of Event (Mountain Time)","value":"09:54:41"},{"id":151,"name":"Denver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482</v>
      </c>
      <c r="B172" s="7">
        <v>4031</v>
      </c>
      <c r="C172" s="22" t="s">
        <v>99</v>
      </c>
      <c r="D172" s="22" t="s">
        <v>715</v>
      </c>
      <c r="E172" s="13">
        <v>42656.415613425925</v>
      </c>
      <c r="F172" s="13">
        <v>42656.431469907409</v>
      </c>
      <c r="G172" s="7">
        <v>1</v>
      </c>
      <c r="H172" s="13" t="s">
        <v>339</v>
      </c>
      <c r="I172" s="13">
        <v>42656.440694444442</v>
      </c>
      <c r="J172" s="7">
        <v>1</v>
      </c>
      <c r="K172" s="112" t="str">
        <f>IF(ISEVEN(B172),(B172-1)&amp;"/"&amp;B172,B172&amp;"/"&amp;(B172+1))</f>
        <v>4031/4032</v>
      </c>
      <c r="L172" s="22" t="str">
        <f>VLOOKUP(A172,'Trips&amp;Operators'!$C$1:$E$10000,3,FALSE)</f>
        <v>GEBRETEKLE</v>
      </c>
      <c r="M172" s="6">
        <f>I172-F172</f>
        <v>9.2245370324235409E-3</v>
      </c>
      <c r="N172" s="7">
        <f>24*60*SUM($M172:$M172)</f>
        <v>13.283333326689899</v>
      </c>
      <c r="O172" s="7"/>
      <c r="P172" s="7"/>
      <c r="Q172" s="23"/>
      <c r="R172" s="23"/>
      <c r="S172" s="35">
        <f>SUM(U172:U172)/IF(AG172="EC",12,1)</f>
        <v>1</v>
      </c>
      <c r="T172" s="50" t="str">
        <f>IF(ISEVEN(LEFT(AD172,4)),"Southbound","NorthBound")</f>
        <v>NorthBound</v>
      </c>
      <c r="U172" s="144">
        <f>IF(AG172="EC",COUNTIFS(Variables!$M$2:$M$19,IF(T172="NorthBound","&gt;=","&lt;=")&amp;Y172,Variables!$M$2:$M$19,IF(T172="NorthBound","&lt;=","&gt;=")&amp;Z172),COUNTIFS(Variables!$P$2:$P$19,IF(T172="NorthBound","&gt;=","&lt;=")&amp;Y172,Variables!$P$2:$P$19,IF(T172="NorthBound","&lt;=","&gt;=")&amp;Z172))</f>
        <v>1</v>
      </c>
      <c r="V172" s="98" t="str">
        <f>"https://search-rtdc-monitor-bjffxe2xuh6vdkpspy63sjmuny.us-east-1.es.amazonaws.com/_plugin/kibana/#/discover/Steve-Slow-Train-Analysis-(2080s-and-2083s)?_g=(refreshInterval:(display:Off,section:0,value:0),time:(from:'"&amp;TEXT(E172-1/24,"yyyy-MM-DD hh:mm:ss")&amp;"-0600',mode:absolute,to:'"&amp;TEXT(I172+1/24,"yyyy-MM-DD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172&amp;"%22')),sort:!(Time,asc))"</f>
        <v>https://search-rtdc-monitor-bjffxe2xuh6vdkpspy63sjmuny.us-east-1.es.amazonaws.com/_plugin/kibana/#/discover/Steve-Slow-Train-Analysis-(2080s-and-2083s)?_g=(refreshInterval:(display:Off,section:0,value:0),time:(from:'2016-10-13 08:58:29-0600',mode:absolute,to:'2016-10-13 11: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2" s="52" t="str">
        <f>IF(AA172&lt;IF(AG172="EC",23,5.65),"Y","N")</f>
        <v>N</v>
      </c>
      <c r="X172" s="149">
        <f>VALUE(LEFT(AD172,4))-VALUE(LEFT(AD171,4))</f>
        <v>1</v>
      </c>
      <c r="Y172" s="67">
        <f>RIGHT(D172,LEN(D172)-4)/10000</f>
        <v>9.9299999999999999E-2</v>
      </c>
      <c r="Z172" s="67">
        <f>RIGHT(H172,LEN(H172)-4)/10000</f>
        <v>5.8994999999999997</v>
      </c>
      <c r="AA172" s="67">
        <f>ABS(Z172-Y172)</f>
        <v>5.8001999999999994</v>
      </c>
      <c r="AB172" s="64" t="e">
        <f>VLOOKUP(A172,Enforcements!$C$7:$K$21,8,0)</f>
        <v>#N/A</v>
      </c>
      <c r="AC172" s="60" t="e">
        <f>VLOOKUP(A172,Enforcements!$C$7:$E$21,3,0)</f>
        <v>#N/A</v>
      </c>
      <c r="AD172" s="61" t="str">
        <f>IF(LEN(A172)=6,"0"&amp;A172,A172)</f>
        <v>0815-13</v>
      </c>
      <c r="AE172" s="91" t="str">
        <f>"aws s3 cp "&amp;s3_bucket&amp;"/RTDC"&amp;B172&amp;"/ "&amp;search_path&amp;"\RTDC"&amp;B172&amp;"\"&amp;TEXT(F172,"YYYY-MM-DD")&amp;" --exclude ""*"" --recursive --include ""*"&amp;TEXT(F172,"YYYYMMDD")&amp;"*"" &amp; """&amp;walkandungz&amp;""" "&amp;search_path&amp;"\RTDC"&amp;B172&amp;"\"&amp;TEXT(F172,"YYYY-MM-DD")
&amp;" &amp; "&amp;"aws s3 cp "&amp;s3_bucket&amp;"/RTDC"&amp;B172&amp;"/ "&amp;search_path&amp;"\RTDC"&amp;B172&amp;"\"&amp;TEXT(F172+1,"YYYY-MM-DD")&amp;" --exclude ""*"" --recursive --include ""*"&amp;TEXT(F172+1,"YYYYMMDD")&amp;"*"" &amp; """&amp;walkandungz&amp;""" "&amp;search_path&amp;"\RTDC"&amp;B172&amp;"\"&amp;TEXT(F172+1,"YYYY-MM-DD")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2" s="88" t="str">
        <f>astrogrep_path&amp;" /spath="&amp;search_path&amp;" /stypes=""app*"&amp;B172&amp;"*"&amp;TEXT(I172-utc_offset/24,"YYYYMMDD")&amp;"*"" /stext="" "&amp;TEXT(I172-utc_offset/24,"HH")&amp;search_regexp&amp;""" /e /r /s"</f>
        <v>"C:\Program Files (x86)\AstroGrep\AstroGrep.exe" /spath="%USERPROFILE%\AppData\Local\Temp\OnboardLogs" /stypes="app*4031*20161013*" /stext=" 16:.+((SYSTEM_STATE.+slice.+state.+changed )|(ment ac)|(system.+state.+changed )|(\[timeout)|(PRM\|1\|D)|(kpr)|(kdp)|(\|lc)|(penalty))" /e /r /s</v>
      </c>
      <c r="AG172" s="1" t="str">
        <f>IFERROR(IF(VALUE(LEFT(AD172,2))&lt;=2,"EC",IF(OR(VALUE(LEFT(AD172,2))=8,VALUE(LEFT(AD172,2))=18),"NW","Other")),"Other")</f>
        <v>NW</v>
      </c>
      <c r="AH172" s="92" t="str">
        <f t="shared" si="13"/>
        <v>"%USERPROFILE%\Documents\GitHub\eaglep3\Utilities\RefineRTDCRunTimes.py" --tripid 815-13 --locoid 4031 --swversion DE.1.0.7.0 --startMP 204:993 --initTime 2016-10-13T09:58:29 --startdatetime 2016-10-13T10:21:19 --delay 1 --endMP 300:58995 --enddatetime 2016-10-13T10:34:36 --enforcementcount 1 &gt;&gt;C:\Users\stu\Documents\GitHub\eaglep3-reporting\EC\2016-10-13-refined-times.txt</v>
      </c>
      <c r="AI172" s="122" t="str">
        <f t="shared" si="14"/>
        <v>echo {"issue":{"subject":"","project_id":79,"tracker_id":40,"status_id":1,"priority_id":2,"assigned_to_id":23,"start_date":"2016-10-13","description":"","custom_fields":[{"id":1,"name":"Subdivision","value":"NW"},{"id":4,"name":"Milepost","value":"5.8995"},{"id":17,"name":"Train ID","value":"815-13"},{"id":16,"name":"Locomotive ID","value":"4031"},{"id":130,"name":"Impact","value":""},{"id":150,"name":"Time of Event (Mountain Time)","value":"10:34:36"},{"id":151,"name":"Denver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1" customFormat="1" x14ac:dyDescent="0.25">
      <c r="A173" s="37" t="s">
        <v>485</v>
      </c>
      <c r="B173" s="7">
        <v>4032</v>
      </c>
      <c r="C173" s="22" t="s">
        <v>99</v>
      </c>
      <c r="D173" s="22" t="s">
        <v>726</v>
      </c>
      <c r="E173" s="13">
        <v>42656.441944444443</v>
      </c>
      <c r="F173" s="13">
        <v>42656.443599537037</v>
      </c>
      <c r="G173" s="7">
        <v>1</v>
      </c>
      <c r="H173" s="13" t="s">
        <v>685</v>
      </c>
      <c r="I173" s="13">
        <v>42656.45480324074</v>
      </c>
      <c r="J173" s="7">
        <v>1</v>
      </c>
      <c r="K173" s="112" t="str">
        <f>IF(ISEVEN(B173),(B173-1)&amp;"/"&amp;B173,B173&amp;"/"&amp;(B173+1))</f>
        <v>4031/4032</v>
      </c>
      <c r="L173" s="22" t="str">
        <f>VLOOKUP(A173,'Trips&amp;Operators'!$C$1:$E$10000,3,FALSE)</f>
        <v>GEBRETEKLE</v>
      </c>
      <c r="M173" s="6">
        <f>I173-F173</f>
        <v>1.1203703703358769E-2</v>
      </c>
      <c r="N173" s="7">
        <f>24*60*SUM($M173:$M173)</f>
        <v>16.133333332836628</v>
      </c>
      <c r="O173" s="7"/>
      <c r="P173" s="7"/>
      <c r="Q173" s="23"/>
      <c r="R173" s="23"/>
      <c r="S173" s="35">
        <f>SUM(U173:U173)/IF(AG173="EC",12,1)</f>
        <v>1</v>
      </c>
      <c r="T173" s="50" t="str">
        <f>IF(ISEVEN(LEFT(AD173,4)),"Southbound","NorthBound")</f>
        <v>Southbound</v>
      </c>
      <c r="U173" s="144">
        <f>IF(AG173="EC",COUNTIFS(Variables!$M$2:$M$19,IF(T173="NorthBound","&gt;=","&lt;=")&amp;Y173,Variables!$M$2:$M$19,IF(T173="NorthBound","&lt;=","&gt;=")&amp;Z173),COUNTIFS(Variables!$P$2:$P$19,IF(T173="NorthBound","&gt;=","&lt;=")&amp;Y173,Variables!$P$2:$P$19,IF(T173="NorthBound","&lt;=","&gt;=")&amp;Z173))</f>
        <v>1</v>
      </c>
      <c r="V173" s="98" t="str">
        <f>"https://search-rtdc-monitor-bjffxe2xuh6vdkpspy63sjmuny.us-east-1.es.amazonaws.com/_plugin/kibana/#/discover/Steve-Slow-Train-Analysis-(2080s-and-2083s)?_g=(refreshInterval:(display:Off,section:0,value:0),time:(from:'"&amp;TEXT(E173-1/24,"yyyy-MM-DD hh:mm:ss")&amp;"-0600',mode:absolute,to:'"&amp;TEXT(I173+1/24,"yyyy-MM-DD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173&amp;"%22')),sort:!(Time,asc))"</f>
        <v>https://search-rtdc-monitor-bjffxe2xuh6vdkpspy63sjmuny.us-east-1.es.amazonaws.com/_plugin/kibana/#/discover/Steve-Slow-Train-Analysis-(2080s-and-2083s)?_g=(refreshInterval:(display:Off,section:0,value:0),time:(from:'2016-10-13 09:36:24-0600',mode:absolute,to:'2016-10-13 11:54: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3" s="52" t="str">
        <f>IF(AA173&lt;IF(AG173="EC",23,5.65),"Y","N")</f>
        <v>N</v>
      </c>
      <c r="X173" s="149">
        <f>VALUE(LEFT(AD173,4))-VALUE(LEFT(AD172,4))</f>
        <v>1</v>
      </c>
      <c r="Y173" s="67">
        <f>RIGHT(D173,LEN(D173)-4)/10000</f>
        <v>5.8677000000000001</v>
      </c>
      <c r="Z173" s="67">
        <f>RIGHT(H173,LEN(H173)-4)/10000</f>
        <v>1.1900000000000001E-2</v>
      </c>
      <c r="AA173" s="67">
        <f>ABS(Z173-Y173)</f>
        <v>5.8558000000000003</v>
      </c>
      <c r="AB173" s="64" t="e">
        <f>VLOOKUP(A173,Enforcements!$C$7:$K$21,8,0)</f>
        <v>#N/A</v>
      </c>
      <c r="AC173" s="60" t="e">
        <f>VLOOKUP(A173,Enforcements!$C$7:$E$21,3,0)</f>
        <v>#N/A</v>
      </c>
      <c r="AD173" s="61" t="str">
        <f>IF(LEN(A173)=6,"0"&amp;A173,A173)</f>
        <v>0816-13</v>
      </c>
      <c r="AE173" s="91" t="str">
        <f>"aws s3 cp "&amp;s3_bucket&amp;"/RTDC"&amp;B173&amp;"/ "&amp;search_path&amp;"\RTDC"&amp;B173&amp;"\"&amp;TEXT(F173,"YYYY-MM-DD")&amp;" --exclude ""*"" --recursive --include ""*"&amp;TEXT(F173,"YYYYMMDD")&amp;"*"" &amp; """&amp;walkandungz&amp;""" "&amp;search_path&amp;"\RTDC"&amp;B173&amp;"\"&amp;TEXT(F173,"YYYY-MM-DD")
&amp;" &amp; "&amp;"aws s3 cp "&amp;s3_bucket&amp;"/RTDC"&amp;B173&amp;"/ "&amp;search_path&amp;"\RTDC"&amp;B173&amp;"\"&amp;TEXT(F173+1,"YYYY-MM-DD")&amp;" --exclude ""*"" --recursive --include ""*"&amp;TEXT(F173+1,"YYYYMMDD")&amp;"*"" &amp; """&amp;walkandungz&amp;""" "&amp;search_path&amp;"\RTDC"&amp;B173&amp;"\"&amp;TEXT(F173+1,"YYYY-MM-DD")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3" s="88" t="str">
        <f>astrogrep_path&amp;" /spath="&amp;search_path&amp;" /stypes=""app*"&amp;B173&amp;"*"&amp;TEXT(I173-utc_offset/24,"YYYYMMDD")&amp;"*"" /stext="" "&amp;TEXT(I173-utc_offset/24,"HH")&amp;search_regexp&amp;""" /e /r /s"</f>
        <v>"C:\Program Files (x86)\AstroGrep\AstroGrep.exe" /spath="%USERPROFILE%\AppData\Local\Temp\OnboardLogs" /stypes="app*4032*20161013*" /stext=" 16:.+((SYSTEM_STATE.+slice.+state.+changed )|(ment ac)|(system.+state.+changed )|(\[timeout)|(PRM\|1\|D)|(kpr)|(kdp)|(\|lc)|(penalty))" /e /r /s</v>
      </c>
      <c r="AG173" s="1" t="str">
        <f>IFERROR(IF(VALUE(LEFT(AD173,2))&lt;=2,"EC",IF(OR(VALUE(LEFT(AD173,2))=8,VALUE(LEFT(AD173,2))=18),"NW","Other")),"Other")</f>
        <v>NW</v>
      </c>
      <c r="AH173" s="92" t="str">
        <f t="shared" si="13"/>
        <v>"%USERPROFILE%\Documents\GitHub\eaglep3\Utilities\RefineRTDCRunTimes.py" --tripid 816-13 --locoid 4032 --swversion DE.1.0.7.0 --startMP 300:58677 --initTime 2016-10-13T10:36:24 --startdatetime 2016-10-13T10:38:47 --delay 1 --endMP 204:119 --enddatetime 2016-10-13T10:54:55 --enforcementcount 1 &gt;&gt;C:\Users\stu\Documents\GitHub\eaglep3-reporting\EC\2016-10-13-refined-times.txt</v>
      </c>
      <c r="AI173" s="122" t="str">
        <f t="shared" si="14"/>
        <v>echo {"issue":{"subject":"","project_id":79,"tracker_id":40,"status_id":1,"priority_id":2,"assigned_to_id":23,"start_date":"2016-10-13","description":"","custom_fields":[{"id":1,"name":"Subdivision","value":"NW"},{"id":4,"name":"Milepost","value":"0.0119"},{"id":17,"name":"Train ID","value":"816-13"},{"id":16,"name":"Locomotive ID","value":"4032"},{"id":130,"name":"Impact","value":""},{"id":150,"name":"Time of Event (Mountain Time)","value":"10:54:55"},{"id":151,"name":"Denver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400</v>
      </c>
      <c r="B174" s="7">
        <v>4031</v>
      </c>
      <c r="C174" s="22" t="s">
        <v>99</v>
      </c>
      <c r="D174" s="22" t="s">
        <v>727</v>
      </c>
      <c r="E174" s="13">
        <v>42656.458981481483</v>
      </c>
      <c r="F174" s="13">
        <v>42656.473541666666</v>
      </c>
      <c r="G174" s="7">
        <v>6</v>
      </c>
      <c r="H174" s="13" t="s">
        <v>728</v>
      </c>
      <c r="I174" s="13">
        <v>42656.484305555554</v>
      </c>
      <c r="J174" s="7">
        <v>1</v>
      </c>
      <c r="K174" s="112" t="str">
        <f>IF(ISEVEN(B174),(B174-1)&amp;"/"&amp;B174,B174&amp;"/"&amp;(B174+1))</f>
        <v>4031/4032</v>
      </c>
      <c r="L174" s="22" t="str">
        <f>VLOOKUP(A174,'Trips&amp;Operators'!$C$1:$E$10000,3,FALSE)</f>
        <v>GEBRETEKLE</v>
      </c>
      <c r="M174" s="6">
        <f>I174-F174</f>
        <v>1.0763888887595385E-2</v>
      </c>
      <c r="N174" s="7">
        <f>24*60*SUM($M174:$M174)</f>
        <v>15.499999998137355</v>
      </c>
      <c r="O174" s="7"/>
      <c r="P174" s="7"/>
      <c r="Q174" s="23"/>
      <c r="R174" s="23"/>
      <c r="S174" s="35">
        <f>SUM(U174:U174)/IF(AG174="EC",12,1)</f>
        <v>1</v>
      </c>
      <c r="T174" s="50" t="str">
        <f>IF(ISEVEN(LEFT(AD174,4)),"Southbound","NorthBound")</f>
        <v>NorthBound</v>
      </c>
      <c r="U174" s="144">
        <f>IF(AG174="EC",COUNTIFS(Variables!$M$2:$M$19,IF(T174="NorthBound","&gt;=","&lt;=")&amp;Y174,Variables!$M$2:$M$19,IF(T174="NorthBound","&lt;=","&gt;=")&amp;Z174),COUNTIFS(Variables!$P$2:$P$19,IF(T174="NorthBound","&gt;=","&lt;=")&amp;Y174,Variables!$P$2:$P$19,IF(T174="NorthBound","&lt;=","&gt;=")&amp;Z174))</f>
        <v>1</v>
      </c>
      <c r="V174" s="98" t="str">
        <f>"https://search-rtdc-monitor-bjffxe2xuh6vdkpspy63sjmuny.us-east-1.es.amazonaws.com/_plugin/kibana/#/discover/Steve-Slow-Train-Analysis-(2080s-and-2083s)?_g=(refreshInterval:(display:Off,section:0,value:0),time:(from:'"&amp;TEXT(E174-1/24,"yyyy-MM-DD hh:mm:ss")&amp;"-0600',mode:absolute,to:'"&amp;TEXT(I174+1/24,"yyyy-MM-DD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174&amp;"%22')),sort:!(Time,asc))"</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4" s="52" t="str">
        <f>IF(AA174&lt;IF(AG174="EC",23,5.65),"Y","N")</f>
        <v>N</v>
      </c>
      <c r="X174" s="149">
        <f>VALUE(LEFT(AD174,4))-VALUE(LEFT(AD173,4))</f>
        <v>1</v>
      </c>
      <c r="Y174" s="67">
        <f>RIGHT(D174,LEN(D174)-4)/10000</f>
        <v>4.41E-2</v>
      </c>
      <c r="Z174" s="67">
        <f>RIGHT(H174,LEN(H174)-4)/10000</f>
        <v>5.8930999999999996</v>
      </c>
      <c r="AA174" s="67">
        <f>ABS(Z174-Y174)</f>
        <v>5.8489999999999993</v>
      </c>
      <c r="AB174" s="64" t="e">
        <f>VLOOKUP(A174,Enforcements!$C$7:$K$21,8,0)</f>
        <v>#N/A</v>
      </c>
      <c r="AC174" s="60" t="e">
        <f>VLOOKUP(A174,Enforcements!$C$7:$E$21,3,0)</f>
        <v>#N/A</v>
      </c>
      <c r="AD174" s="61" t="str">
        <f>IF(LEN(A174)=6,"0"&amp;A174,A174)</f>
        <v>0817-13</v>
      </c>
      <c r="AE174" s="91" t="str">
        <f>"aws s3 cp "&amp;s3_bucket&amp;"/RTDC"&amp;B174&amp;"/ "&amp;search_path&amp;"\RTDC"&amp;B174&amp;"\"&amp;TEXT(F174,"YYYY-MM-DD")&amp;" --exclude ""*"" --recursive --include ""*"&amp;TEXT(F174,"YYYYMMDD")&amp;"*"" &amp; """&amp;walkandungz&amp;""" "&amp;search_path&amp;"\RTDC"&amp;B174&amp;"\"&amp;TEXT(F174,"YYYY-MM-DD")
&amp;" &amp; "&amp;"aws s3 cp "&amp;s3_bucket&amp;"/RTDC"&amp;B174&amp;"/ "&amp;search_path&amp;"\RTDC"&amp;B174&amp;"\"&amp;TEXT(F174+1,"YYYY-MM-DD")&amp;" --exclude ""*"" --recursive --include ""*"&amp;TEXT(F174+1,"YYYYMMDD")&amp;"*"" &amp; """&amp;walkandungz&amp;""" "&amp;search_path&amp;"\RTDC"&amp;B174&amp;"\"&amp;TEXT(F174+1,"YYYY-MM-DD")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4" s="88" t="str">
        <f>astrogrep_path&amp;" /spath="&amp;search_path&amp;" /stypes=""app*"&amp;B174&amp;"*"&amp;TEXT(I174-utc_offset/24,"YYYYMMDD")&amp;"*"" /stext="" "&amp;TEXT(I174-utc_offset/24,"HH")&amp;search_regexp&amp;""" /e /r /s"</f>
        <v>"C:\Program Files (x86)\AstroGrep\AstroGrep.exe" /spath="%USERPROFILE%\AppData\Local\Temp\OnboardLogs" /stypes="app*4031*20161013*" /stext=" 17:.+((SYSTEM_STATE.+slice.+state.+changed )|(ment ac)|(system.+state.+changed )|(\[timeout)|(PRM\|1\|D)|(kpr)|(kdp)|(\|lc)|(penalty))" /e /r /s</v>
      </c>
      <c r="AG174" s="1" t="str">
        <f>IFERROR(IF(VALUE(LEFT(AD174,2))&lt;=2,"EC",IF(OR(VALUE(LEFT(AD174,2))=8,VALUE(LEFT(AD174,2))=18),"NW","Other")),"Other")</f>
        <v>NW</v>
      </c>
      <c r="AH174" s="92" t="str">
        <f t="shared" si="13"/>
        <v>"%USERPROFILE%\Documents\GitHub\eaglep3\Utilities\RefineRTDCRunTimes.py" --tripid 817-13 --locoid 4031 --swversion DE.1.0.7.0 --startMP 204:441 --initTime 2016-10-13T11:00:56 --startdatetime 2016-10-13T11:21:54 --delay 6 --endMP 300:58931 --enddatetime 2016-10-13T11:37:24 --enforcementcount 1 &gt;&gt;C:\Users\stu\Documents\GitHub\eaglep3-reporting\EC\2016-10-13-refined-times.txt</v>
      </c>
      <c r="AI174" s="122" t="str">
        <f t="shared" si="14"/>
        <v>echo {"issue":{"subject":"","project_id":79,"tracker_id":40,"status_id":1,"priority_id":2,"assigned_to_id":23,"start_date":"2016-10-13","description":"","custom_fields":[{"id":1,"name":"Subdivision","value":"NW"},{"id":4,"name":"Milepost","value":"5.8931"},{"id":17,"name":"Train ID","value":"817-13"},{"id":16,"name":"Locomotive ID","value":"4031"},{"id":130,"name":"Impact","value":""},{"id":150,"name":"Time of Event (Mountain Time)","value":"11:37:24"},{"id":151,"name":"Denver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403</v>
      </c>
      <c r="B175" s="7">
        <v>4032</v>
      </c>
      <c r="C175" s="22" t="s">
        <v>99</v>
      </c>
      <c r="D175" s="22" t="s">
        <v>729</v>
      </c>
      <c r="E175" s="13">
        <v>42656.485636574071</v>
      </c>
      <c r="F175" s="13">
        <v>42656.487488425926</v>
      </c>
      <c r="G175" s="7">
        <v>1</v>
      </c>
      <c r="H175" s="13" t="s">
        <v>697</v>
      </c>
      <c r="I175" s="13">
        <v>42656.500231481485</v>
      </c>
      <c r="J175" s="7">
        <v>1</v>
      </c>
      <c r="K175" s="112" t="str">
        <f>IF(ISEVEN(B175),(B175-1)&amp;"/"&amp;B175,B175&amp;"/"&amp;(B175+1))</f>
        <v>4031/4032</v>
      </c>
      <c r="L175" s="22" t="str">
        <f>VLOOKUP(A175,'Trips&amp;Operators'!$C$1:$E$10000,3,FALSE)</f>
        <v>BARTELL</v>
      </c>
      <c r="M175" s="6">
        <f>I175-F175</f>
        <v>1.2743055558530614E-2</v>
      </c>
      <c r="N175" s="7">
        <f>24*60*SUM($M175:$M175)</f>
        <v>18.350000004284084</v>
      </c>
      <c r="O175" s="7"/>
      <c r="P175" s="7"/>
      <c r="Q175" s="23"/>
      <c r="R175" s="23"/>
      <c r="S175" s="35">
        <f>SUM(U175:U175)/IF(AG175="EC",12,1)</f>
        <v>1</v>
      </c>
      <c r="T175" s="50" t="str">
        <f>IF(ISEVEN(LEFT(AD175,4)),"Southbound","NorthBound")</f>
        <v>Southbound</v>
      </c>
      <c r="U175" s="144">
        <f>IF(AG175="EC",COUNTIFS(Variables!$M$2:$M$19,IF(T175="NorthBound","&gt;=","&lt;=")&amp;Y175,Variables!$M$2:$M$19,IF(T175="NorthBound","&lt;=","&gt;=")&amp;Z175),COUNTIFS(Variables!$P$2:$P$19,IF(T175="NorthBound","&gt;=","&lt;=")&amp;Y175,Variables!$P$2:$P$19,IF(T175="NorthBound","&lt;=","&gt;=")&amp;Z175))</f>
        <v>1</v>
      </c>
      <c r="V175" s="98" t="str">
        <f>"https://search-rtdc-monitor-bjffxe2xuh6vdkpspy63sjmuny.us-east-1.es.amazonaws.com/_plugin/kibana/#/discover/Steve-Slow-Train-Analysis-(2080s-and-2083s)?_g=(refreshInterval:(display:Off,section:0,value:0),time:(from:'"&amp;TEXT(E175-1/24,"yyyy-MM-DD hh:mm:ss")&amp;"-0600',mode:absolute,to:'"&amp;TEXT(I175+1/24,"yyyy-MM-DD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175&amp;"%22')),sort:!(Time,asc))"</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5" s="52" t="str">
        <f>IF(AA175&lt;IF(AG175="EC",23,5.65),"Y","N")</f>
        <v>N</v>
      </c>
      <c r="X175" s="149">
        <f>VALUE(LEFT(AD175,4))-VALUE(LEFT(AD174,4))</f>
        <v>1</v>
      </c>
      <c r="Y175" s="67">
        <f>RIGHT(D175,LEN(D175)-4)/10000</f>
        <v>5.8628</v>
      </c>
      <c r="Z175" s="67">
        <f>RIGHT(H175,LEN(H175)-4)/10000</f>
        <v>1.3299999999999999E-2</v>
      </c>
      <c r="AA175" s="67">
        <f>ABS(Z175-Y175)</f>
        <v>5.8494999999999999</v>
      </c>
      <c r="AB175" s="64" t="e">
        <f>VLOOKUP(A175,Enforcements!$C$7:$K$21,8,0)</f>
        <v>#N/A</v>
      </c>
      <c r="AC175" s="60" t="e">
        <f>VLOOKUP(A175,Enforcements!$C$7:$E$21,3,0)</f>
        <v>#N/A</v>
      </c>
      <c r="AD175" s="61" t="str">
        <f>IF(LEN(A175)=6,"0"&amp;A175,A175)</f>
        <v>0818-13</v>
      </c>
      <c r="AE175" s="91" t="str">
        <f>"aws s3 cp "&amp;s3_bucket&amp;"/RTDC"&amp;B175&amp;"/ "&amp;search_path&amp;"\RTDC"&amp;B175&amp;"\"&amp;TEXT(F175,"YYYY-MM-DD")&amp;" --exclude ""*"" --recursive --include ""*"&amp;TEXT(F175,"YYYYMMDD")&amp;"*"" &amp; """&amp;walkandungz&amp;""" "&amp;search_path&amp;"\RTDC"&amp;B175&amp;"\"&amp;TEXT(F175,"YYYY-MM-DD")
&amp;" &amp; "&amp;"aws s3 cp "&amp;s3_bucket&amp;"/RTDC"&amp;B175&amp;"/ "&amp;search_path&amp;"\RTDC"&amp;B175&amp;"\"&amp;TEXT(F175+1,"YYYY-MM-DD")&amp;" --exclude ""*"" --recursive --include ""*"&amp;TEXT(F175+1,"YYYYMMDD")&amp;"*"" &amp; """&amp;walkandungz&amp;""" "&amp;search_path&amp;"\RTDC"&amp;B175&amp;"\"&amp;TEXT(F175+1,"YYYY-MM-DD")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5" s="88" t="str">
        <f>astrogrep_path&amp;" /spath="&amp;search_path&amp;" /stypes=""app*"&amp;B175&amp;"*"&amp;TEXT(I175-utc_offset/24,"YYYYMMDD")&amp;"*"" /stext="" "&amp;TEXT(I175-utc_offset/24,"HH")&amp;search_regexp&amp;""" /e /r /s"</f>
        <v>"C:\Program Files (x86)\AstroGrep\AstroGrep.exe" /spath="%USERPROFILE%\AppData\Local\Temp\OnboardLogs" /stypes="app*4032*20161013*" /stext=" 18:.+((SYSTEM_STATE.+slice.+state.+changed )|(ment ac)|(system.+state.+changed )|(\[timeout)|(PRM\|1\|D)|(kpr)|(kdp)|(\|lc)|(penalty))" /e /r /s</v>
      </c>
      <c r="AG175" s="1" t="str">
        <f>IFERROR(IF(VALUE(LEFT(AD175,2))&lt;=2,"EC",IF(OR(VALUE(LEFT(AD175,2))=8,VALUE(LEFT(AD175,2))=18),"NW","Other")),"Other")</f>
        <v>NW</v>
      </c>
      <c r="AH175" s="92" t="str">
        <f t="shared" si="13"/>
        <v>"%USERPROFILE%\Documents\GitHub\eaglep3\Utilities\RefineRTDCRunTimes.py" --tripid 818-13 --locoid 4032 --swversion DE.1.0.7.0 --startMP 300:58628 --initTime 2016-10-13T11:39:19 --startdatetime 2016-10-13T11:41:59 --delay 1 --endMP 204:133 --enddatetime 2016-10-13T12:00:20 --enforcementcount 1 &gt;&gt;C:\Users\stu\Documents\GitHub\eaglep3-reporting\EC\2016-10-13-refined-times.txt</v>
      </c>
      <c r="AI175" s="122" t="str">
        <f t="shared" si="14"/>
        <v>echo {"issue":{"subject":"","project_id":79,"tracker_id":40,"status_id":1,"priority_id":2,"assigned_to_id":23,"start_date":"2016-10-13","description":"","custom_fields":[{"id":1,"name":"Subdivision","value":"NW"},{"id":4,"name":"Milepost","value":"0.0133"},{"id":17,"name":"Train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404</v>
      </c>
      <c r="B176" s="7">
        <v>4031</v>
      </c>
      <c r="C176" s="22" t="s">
        <v>99</v>
      </c>
      <c r="D176" s="22" t="s">
        <v>288</v>
      </c>
      <c r="E176" s="13">
        <v>42656.503263888888</v>
      </c>
      <c r="F176" s="13">
        <v>42656.514780092592</v>
      </c>
      <c r="G176" s="7">
        <v>2</v>
      </c>
      <c r="H176" s="13" t="s">
        <v>722</v>
      </c>
      <c r="I176" s="13">
        <v>42656.525196759256</v>
      </c>
      <c r="J176" s="7">
        <v>1</v>
      </c>
      <c r="K176" s="112" t="str">
        <f>IF(ISEVEN(B176),(B176-1)&amp;"/"&amp;B176,B176&amp;"/"&amp;(B176+1))</f>
        <v>4031/4032</v>
      </c>
      <c r="L176" s="22" t="str">
        <f>VLOOKUP(A176,'Trips&amp;Operators'!$C$1:$E$10000,3,FALSE)</f>
        <v>GEBRETEKLE</v>
      </c>
      <c r="M176" s="6">
        <f>I176-F176</f>
        <v>1.0416666664241347E-2</v>
      </c>
      <c r="N176" s="7">
        <f>24*60*SUM($M176:$M176)</f>
        <v>14.99999999650754</v>
      </c>
      <c r="O176" s="7"/>
      <c r="P176" s="7"/>
      <c r="Q176" s="23"/>
      <c r="R176" s="23"/>
      <c r="S176" s="35">
        <f>SUM(U176:U176)/IF(AG176="EC",12,1)</f>
        <v>1</v>
      </c>
      <c r="T176" s="50" t="str">
        <f>IF(ISEVEN(LEFT(AD176,4)),"Southbound","NorthBound")</f>
        <v>NorthBound</v>
      </c>
      <c r="U176" s="144">
        <f>IF(AG176="EC",COUNTIFS(Variables!$M$2:$M$19,IF(T176="NorthBound","&gt;=","&lt;=")&amp;Y176,Variables!$M$2:$M$19,IF(T176="NorthBound","&lt;=","&gt;=")&amp;Z176),COUNTIFS(Variables!$P$2:$P$19,IF(T176="NorthBound","&gt;=","&lt;=")&amp;Y176,Variables!$P$2:$P$19,IF(T176="NorthBound","&lt;=","&gt;=")&amp;Z176))</f>
        <v>1</v>
      </c>
      <c r="V176" s="98" t="str">
        <f>"https://search-rtdc-monitor-bjffxe2xuh6vdkpspy63sjmuny.us-east-1.es.amazonaws.com/_plugin/kibana/#/discover/Steve-Slow-Train-Analysis-(2080s-and-2083s)?_g=(refreshInterval:(display:Off,section:0,value:0),time:(from:'"&amp;TEXT(E176-1/24,"yyyy-MM-DD hh:mm:ss")&amp;"-0600',mode:absolute,to:'"&amp;TEXT(I176+1/24,"yyyy-MM-DD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176&amp;"%22')),sort:!(Time,asc))"</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6" s="52" t="str">
        <f>IF(AA176&lt;IF(AG176="EC",23,5.65),"Y","N")</f>
        <v>N</v>
      </c>
      <c r="X176" s="149">
        <f>VALUE(LEFT(AD176,4))-VALUE(LEFT(AD175,4))</f>
        <v>1</v>
      </c>
      <c r="Y176" s="67">
        <f>RIGHT(D176,LEN(D176)-4)/10000</f>
        <v>4.5499999999999999E-2</v>
      </c>
      <c r="Z176" s="67">
        <f>RIGHT(H176,LEN(H176)-4)/10000</f>
        <v>5.8978000000000002</v>
      </c>
      <c r="AA176" s="67">
        <f>ABS(Z176-Y176)</f>
        <v>5.8523000000000005</v>
      </c>
      <c r="AB176" s="64" t="e">
        <f>VLOOKUP(A176,Enforcements!$C$7:$K$21,8,0)</f>
        <v>#N/A</v>
      </c>
      <c r="AC176" s="60" t="e">
        <f>VLOOKUP(A176,Enforcements!$C$7:$E$21,3,0)</f>
        <v>#N/A</v>
      </c>
      <c r="AD176" s="61" t="str">
        <f>IF(LEN(A176)=6,"0"&amp;A176,A176)</f>
        <v>0819-13</v>
      </c>
      <c r="AE176" s="91" t="str">
        <f>"aws s3 cp "&amp;s3_bucket&amp;"/RTDC"&amp;B176&amp;"/ "&amp;search_path&amp;"\RTDC"&amp;B176&amp;"\"&amp;TEXT(F176,"YYYY-MM-DD")&amp;" --exclude ""*"" --recursive --include ""*"&amp;TEXT(F176,"YYYYMMDD")&amp;"*"" &amp; """&amp;walkandungz&amp;""" "&amp;search_path&amp;"\RTDC"&amp;B176&amp;"\"&amp;TEXT(F176,"YYYY-MM-DD")
&amp;" &amp; "&amp;"aws s3 cp "&amp;s3_bucket&amp;"/RTDC"&amp;B176&amp;"/ "&amp;search_path&amp;"\RTDC"&amp;B176&amp;"\"&amp;TEXT(F176+1,"YYYY-MM-DD")&amp;" --exclude ""*"" --recursive --include ""*"&amp;TEXT(F176+1,"YYYYMMDD")&amp;"*"" &amp; """&amp;walkandungz&amp;""" "&amp;search_path&amp;"\RTDC"&amp;B176&amp;"\"&amp;TEXT(F176+1,"YYYY-MM-DD")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6" s="88" t="str">
        <f>astrogrep_path&amp;" /spath="&amp;search_path&amp;" /stypes=""app*"&amp;B176&amp;"*"&amp;TEXT(I176-utc_offset/24,"YYYYMMDD")&amp;"*"" /stext="" "&amp;TEXT(I176-utc_offset/24,"HH")&amp;search_regexp&amp;""" /e /r /s"</f>
        <v>"C:\Program Files (x86)\AstroGrep\AstroGrep.exe" /spath="%USERPROFILE%\AppData\Local\Temp\OnboardLogs" /stypes="app*4031*20161013*" /stext=" 18:.+((SYSTEM_STATE.+slice.+state.+changed )|(ment ac)|(system.+state.+changed )|(\[timeout)|(PRM\|1\|D)|(kpr)|(kdp)|(\|lc)|(penalty))" /e /r /s</v>
      </c>
      <c r="AG176" s="1" t="str">
        <f>IFERROR(IF(VALUE(LEFT(AD176,2))&lt;=2,"EC",IF(OR(VALUE(LEFT(AD176,2))=8,VALUE(LEFT(AD176,2))=18),"NW","Other")),"Other")</f>
        <v>NW</v>
      </c>
      <c r="AH176" s="92" t="str">
        <f t="shared" si="13"/>
        <v>"%USERPROFILE%\Documents\GitHub\eaglep3\Utilities\RefineRTDCRunTimes.py" --tripid 819-13 --locoid 4031 --swversion DE.1.0.7.0 --startMP 204:455 --initTime 2016-10-13T12:04:42 --startdatetime 2016-10-13T12:21:17 --delay 2 --endMP 300:58978 --enddatetime 2016-10-13T12:36:17 --enforcementcount 1 &gt;&gt;C:\Users\stu\Documents\GitHub\eaglep3-reporting\EC\2016-10-13-refined-times.txt</v>
      </c>
      <c r="AI176" s="122" t="str">
        <f t="shared" si="14"/>
        <v>echo {"issue":{"subject":"","project_id":79,"tracker_id":40,"status_id":1,"priority_id":2,"assigned_to_id":23,"start_date":"2016-10-13","description":"","custom_fields":[{"id":1,"name":"Subdivision","value":"NW"},{"id":4,"name":"Milepost","value":"5.8978"},{"id":17,"name":"Train ID","value":"819-13"},{"id":16,"name":"Locomotive ID","value":"4031"},{"id":130,"name":"Impact","value":""},{"id":150,"name":"Time of Event (Mountain Time)","value":"12:36:17"},{"id":151,"name":"Denver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x14ac:dyDescent="0.25">
      <c r="A177" s="37" t="s">
        <v>502</v>
      </c>
      <c r="B177" s="7">
        <v>4032</v>
      </c>
      <c r="C177" s="22" t="s">
        <v>99</v>
      </c>
      <c r="D177" s="22" t="s">
        <v>730</v>
      </c>
      <c r="E177" s="13">
        <v>42656.52716435185</v>
      </c>
      <c r="F177" s="13">
        <v>42656.528946759259</v>
      </c>
      <c r="G177" s="7">
        <v>1</v>
      </c>
      <c r="H177" s="13" t="s">
        <v>341</v>
      </c>
      <c r="I177" s="13">
        <v>42656.538101851853</v>
      </c>
      <c r="J177" s="7">
        <v>1</v>
      </c>
      <c r="K177" s="112" t="str">
        <f>IF(ISEVEN(B177),(B177-1)&amp;"/"&amp;B177,B177&amp;"/"&amp;(B177+1))</f>
        <v>4031/4032</v>
      </c>
      <c r="L177" s="22" t="str">
        <f>VLOOKUP(A177,'Trips&amp;Operators'!$C$1:$E$10000,3,FALSE)</f>
        <v>GEBRETEKLE</v>
      </c>
      <c r="M177" s="6">
        <f>I177-F177</f>
        <v>9.1550925935734995E-3</v>
      </c>
      <c r="N177" s="7">
        <f>24*60*SUM($M177:$M177)</f>
        <v>13.183333334745839</v>
      </c>
      <c r="O177" s="7"/>
      <c r="P177" s="7"/>
      <c r="Q177" s="23"/>
      <c r="R177" s="23"/>
      <c r="S177" s="35">
        <f>SUM(U177:U177)/IF(AG177="EC",12,1)</f>
        <v>1</v>
      </c>
      <c r="T177" s="50" t="str">
        <f>IF(ISEVEN(LEFT(AD177,4)),"Southbound","NorthBound")</f>
        <v>Southbound</v>
      </c>
      <c r="U177" s="144">
        <f>IF(AG177="EC",COUNTIFS(Variables!$M$2:$M$19,IF(T177="NorthBound","&gt;=","&lt;=")&amp;Y177,Variables!$M$2:$M$19,IF(T177="NorthBound","&lt;=","&gt;=")&amp;Z177),COUNTIFS(Variables!$P$2:$P$19,IF(T177="NorthBound","&gt;=","&lt;=")&amp;Y177,Variables!$P$2:$P$19,IF(T177="NorthBound","&lt;=","&gt;=")&amp;Z177))</f>
        <v>1</v>
      </c>
      <c r="V177" s="98" t="str">
        <f>"https://search-rtdc-monitor-bjffxe2xuh6vdkpspy63sjmuny.us-east-1.es.amazonaws.com/_plugin/kibana/#/discover/Steve-Slow-Train-Analysis-(2080s-and-2083s)?_g=(refreshInterval:(display:Off,section:0,value:0),time:(from:'"&amp;TEXT(E177-1/24,"yyyy-MM-DD hh:mm:ss")&amp;"-0600',mode:absolute,to:'"&amp;TEXT(I177+1/24,"yyyy-MM-DD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177&amp;"%22')),sort:!(Time,asc))"</f>
        <v>https://search-rtdc-monitor-bjffxe2xuh6vdkpspy63sjmuny.us-east-1.es.amazonaws.com/_plugin/kibana/#/discover/Steve-Slow-Train-Analysis-(2080s-and-2083s)?_g=(refreshInterval:(display:Off,section:0,value:0),time:(from:'2016-10-13 11:39:07-0600',mode:absolute,to:'2016-10-13 13:54: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7" s="52" t="str">
        <f>IF(AA177&lt;IF(AG177="EC",23,5.65),"Y","N")</f>
        <v>N</v>
      </c>
      <c r="X177" s="149">
        <f>VALUE(LEFT(AD177,4))-VALUE(LEFT(AD176,4))</f>
        <v>1</v>
      </c>
      <c r="Y177" s="67">
        <f>RIGHT(D177,LEN(D177)-4)/10000</f>
        <v>5.8658000000000001</v>
      </c>
      <c r="Z177" s="67">
        <f>RIGHT(H177,LEN(H177)-4)/10000</f>
        <v>6.9800000000000001E-2</v>
      </c>
      <c r="AA177" s="67">
        <f>ABS(Z177-Y177)</f>
        <v>5.7960000000000003</v>
      </c>
      <c r="AB177" s="64" t="e">
        <f>VLOOKUP(A177,Enforcements!$C$7:$K$21,8,0)</f>
        <v>#N/A</v>
      </c>
      <c r="AC177" s="60" t="e">
        <f>VLOOKUP(A177,Enforcements!$C$7:$E$21,3,0)</f>
        <v>#N/A</v>
      </c>
      <c r="AD177" s="61" t="str">
        <f>IF(LEN(A177)=6,"0"&amp;A177,A177)</f>
        <v>0820-13</v>
      </c>
      <c r="AE177" s="91" t="str">
        <f>"aws s3 cp "&amp;s3_bucket&amp;"/RTDC"&amp;B177&amp;"/ "&amp;search_path&amp;"\RTDC"&amp;B177&amp;"\"&amp;TEXT(F177,"YYYY-MM-DD")&amp;" --exclude ""*"" --recursive --include ""*"&amp;TEXT(F177,"YYYYMMDD")&amp;"*"" &amp; """&amp;walkandungz&amp;""" "&amp;search_path&amp;"\RTDC"&amp;B177&amp;"\"&amp;TEXT(F177,"YYYY-MM-DD")
&amp;" &amp; "&amp;"aws s3 cp "&amp;s3_bucket&amp;"/RTDC"&amp;B177&amp;"/ "&amp;search_path&amp;"\RTDC"&amp;B177&amp;"\"&amp;TEXT(F177+1,"YYYY-MM-DD")&amp;" --exclude ""*"" --recursive --include ""*"&amp;TEXT(F177+1,"YYYYMMDD")&amp;"*"" &amp; """&amp;walkandungz&amp;""" "&amp;search_path&amp;"\RTDC"&amp;B177&amp;"\"&amp;TEXT(F177+1,"YYYY-MM-DD")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7" s="88" t="str">
        <f>astrogrep_path&amp;" /spath="&amp;search_path&amp;" /stypes=""app*"&amp;B177&amp;"*"&amp;TEXT(I177-utc_offset/24,"YYYYMMDD")&amp;"*"" /stext="" "&amp;TEXT(I177-utc_offset/24,"HH")&amp;search_regexp&amp;""" /e /r /s"</f>
        <v>"C:\Program Files (x86)\AstroGrep\AstroGrep.exe" /spath="%USERPROFILE%\AppData\Local\Temp\OnboardLogs" /stypes="app*4032*20161013*" /stext=" 18:.+((SYSTEM_STATE.+slice.+state.+changed )|(ment ac)|(system.+state.+changed )|(\[timeout)|(PRM\|1\|D)|(kpr)|(kdp)|(\|lc)|(penalty))" /e /r /s</v>
      </c>
      <c r="AG177" s="1" t="str">
        <f>IFERROR(IF(VALUE(LEFT(AD177,2))&lt;=2,"EC",IF(OR(VALUE(LEFT(AD177,2))=8,VALUE(LEFT(AD177,2))=18),"NW","Other")),"Other")</f>
        <v>NW</v>
      </c>
      <c r="AH177" s="92" t="str">
        <f t="shared" si="13"/>
        <v>"%USERPROFILE%\Documents\GitHub\eaglep3\Utilities\RefineRTDCRunTimes.py" --tripid 820-13 --locoid 4032 --swversion DE.1.0.7.0 --startMP 300:58658 --initTime 2016-10-13T12:39:07 --startdatetime 2016-10-13T12:41:41 --delay 1 --endMP 204:698 --enddatetime 2016-10-13T12:54:52 --enforcementcount 1 &gt;&gt;C:\Users\stu\Documents\GitHub\eaglep3-reporting\EC\2016-10-13-refined-times.txt</v>
      </c>
      <c r="AI177" s="122" t="str">
        <f t="shared" si="14"/>
        <v>echo {"issue":{"subject":"","project_id":79,"tracker_id":40,"status_id":1,"priority_id":2,"assigned_to_id":23,"start_date":"2016-10-13","description":"","custom_fields":[{"id":1,"name":"Subdivision","value":"NW"},{"id":4,"name":"Milepost","value":"0.0698"},{"id":17,"name":"Train ID","value":"820-13"},{"id":16,"name":"Locomotive ID","value":"4032"},{"id":130,"name":"Impact","value":""},{"id":150,"name":"Time of Event (Mountain Time)","value":"12:54:52"},{"id":151,"name":"Denver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row>
    <row r="178" spans="1:91" s="21" customFormat="1" x14ac:dyDescent="0.25">
      <c r="A178" s="37" t="s">
        <v>505</v>
      </c>
      <c r="B178" s="7">
        <v>4031</v>
      </c>
      <c r="C178" s="22" t="s">
        <v>99</v>
      </c>
      <c r="D178" s="22" t="s">
        <v>338</v>
      </c>
      <c r="E178" s="13">
        <v>42656.544479166667</v>
      </c>
      <c r="F178" s="13">
        <v>42656.556516203702</v>
      </c>
      <c r="G178" s="7">
        <v>3</v>
      </c>
      <c r="H178" s="13" t="s">
        <v>731</v>
      </c>
      <c r="I178" s="13">
        <v>42656.565972222219</v>
      </c>
      <c r="J178" s="7">
        <v>1</v>
      </c>
      <c r="K178" s="112" t="str">
        <f>IF(ISEVEN(B178),(B178-1)&amp;"/"&amp;B178,B178&amp;"/"&amp;(B178+1))</f>
        <v>4031/4032</v>
      </c>
      <c r="L178" s="22" t="str">
        <f>VLOOKUP(A178,'Trips&amp;Operators'!$C$1:$E$10000,3,FALSE)</f>
        <v>HELVIE</v>
      </c>
      <c r="M178" s="6">
        <f>I178-F178</f>
        <v>9.4560185170848854E-3</v>
      </c>
      <c r="N178" s="7">
        <f>24*60*SUM($M178:$M178)</f>
        <v>13.616666664602235</v>
      </c>
      <c r="O178" s="7"/>
      <c r="P178" s="7"/>
      <c r="Q178" s="23"/>
      <c r="R178" s="23"/>
      <c r="S178" s="35">
        <f>SUM(U178:U178)/IF(AG178="EC",12,1)</f>
        <v>1</v>
      </c>
      <c r="T178" s="50" t="str">
        <f>IF(ISEVEN(LEFT(AD178,4)),"Southbound","NorthBound")</f>
        <v>NorthBound</v>
      </c>
      <c r="U178" s="144">
        <f>IF(AG178="EC",COUNTIFS(Variables!$M$2:$M$19,IF(T178="NorthBound","&gt;=","&lt;=")&amp;Y178,Variables!$M$2:$M$19,IF(T178="NorthBound","&lt;=","&gt;=")&amp;Z178),COUNTIFS(Variables!$P$2:$P$19,IF(T178="NorthBound","&gt;=","&lt;=")&amp;Y178,Variables!$P$2:$P$19,IF(T178="NorthBound","&lt;=","&gt;=")&amp;Z178))</f>
        <v>1</v>
      </c>
      <c r="V178" s="98" t="str">
        <f>"https://search-rtdc-monitor-bjffxe2xuh6vdkpspy63sjmuny.us-east-1.es.amazonaws.com/_plugin/kibana/#/discover/Steve-Slow-Train-Analysis-(2080s-and-2083s)?_g=(refreshInterval:(display:Off,section:0,value:0),time:(from:'"&amp;TEXT(E178-1/24,"yyyy-MM-DD hh:mm:ss")&amp;"-0600',mode:absolute,to:'"&amp;TEXT(I178+1/24,"yyyy-MM-DD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178&amp;"%22')),sort:!(Time,asc))"</f>
        <v>https://search-rtdc-monitor-bjffxe2xuh6vdkpspy63sjmuny.us-east-1.es.amazonaws.com/_plugin/kibana/#/discover/Steve-Slow-Train-Analysis-(2080s-and-2083s)?_g=(refreshInterval:(display:Off,section:0,value:0),time:(from:'2016-10-13 12:04:03-0600',mode:absolute,to:'2016-10-13 14: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8" s="52" t="str">
        <f>IF(AA178&lt;IF(AG178="EC",23,5.65),"Y","N")</f>
        <v>N</v>
      </c>
      <c r="X178" s="149">
        <f t="shared" ref="X178:X185" si="19">VALUE(LEFT(AD178,4))-VALUE(LEFT(AD177,4))</f>
        <v>1</v>
      </c>
      <c r="Y178" s="67">
        <f>RIGHT(D178,LEN(D178)-4)/10000</f>
        <v>9.7799999999999998E-2</v>
      </c>
      <c r="Z178" s="67">
        <f>RIGHT(H178,LEN(H178)-4)/10000</f>
        <v>5.8952</v>
      </c>
      <c r="AA178" s="67">
        <f>ABS(Z178-Y178)</f>
        <v>5.7973999999999997</v>
      </c>
      <c r="AB178" s="64" t="e">
        <f>VLOOKUP(A178,Enforcements!$C$7:$K$21,8,0)</f>
        <v>#N/A</v>
      </c>
      <c r="AC178" s="60" t="e">
        <f>VLOOKUP(A178,Enforcements!$C$7:$E$21,3,0)</f>
        <v>#N/A</v>
      </c>
      <c r="AD178" s="61" t="str">
        <f>IF(LEN(A178)=6,"0"&amp;A178,A178)</f>
        <v>0821-13</v>
      </c>
      <c r="AE178" s="91" t="str">
        <f>"aws s3 cp "&amp;s3_bucket&amp;"/RTDC"&amp;B178&amp;"/ "&amp;search_path&amp;"\RTDC"&amp;B178&amp;"\"&amp;TEXT(F178,"YYYY-MM-DD")&amp;" --exclude ""*"" --recursive --include ""*"&amp;TEXT(F178,"YYYYMMDD")&amp;"*"" &amp; """&amp;walkandungz&amp;""" "&amp;search_path&amp;"\RTDC"&amp;B178&amp;"\"&amp;TEXT(F178,"YYYY-MM-DD")
&amp;" &amp; "&amp;"aws s3 cp "&amp;s3_bucket&amp;"/RTDC"&amp;B178&amp;"/ "&amp;search_path&amp;"\RTDC"&amp;B178&amp;"\"&amp;TEXT(F178+1,"YYYY-MM-DD")&amp;" --exclude ""*"" --recursive --include ""*"&amp;TEXT(F178+1,"YYYYMMDD")&amp;"*"" &amp; """&amp;walkandungz&amp;""" "&amp;search_path&amp;"\RTDC"&amp;B178&amp;"\"&amp;TEXT(F178+1,"YYYY-MM-DD")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8" s="88" t="str">
        <f>astrogrep_path&amp;" /spath="&amp;search_path&amp;" /stypes=""app*"&amp;B178&amp;"*"&amp;TEXT(I178-utc_offset/24,"YYYYMMDD")&amp;"*"" /stext="" "&amp;TEXT(I178-utc_offset/24,"HH")&amp;search_regexp&amp;""" /e /r /s"</f>
        <v>"C:\Program Files (x86)\AstroGrep\AstroGrep.exe" /spath="%USERPROFILE%\AppData\Local\Temp\OnboardLogs" /stypes="app*4031*20161013*" /stext=" 19:.+((SYSTEM_STATE.+slice.+state.+changed )|(ment ac)|(system.+state.+changed )|(\[timeout)|(PRM\|1\|D)|(kpr)|(kdp)|(\|lc)|(penalty))" /e /r /s</v>
      </c>
      <c r="AG178" s="1" t="str">
        <f>IFERROR(IF(VALUE(LEFT(AD178,2))&lt;=2,"EC",IF(OR(VALUE(LEFT(AD178,2))=8,VALUE(LEFT(AD178,2))=18),"NW","Other")),"Other")</f>
        <v>NW</v>
      </c>
      <c r="AH178" s="92" t="str">
        <f t="shared" si="13"/>
        <v>"%USERPROFILE%\Documents\GitHub\eaglep3\Utilities\RefineRTDCRunTimes.py" --tripid 821-13 --locoid 4031 --swversion DE.1.0.7.0 --startMP 204:978 --initTime 2016-10-13T13:04:03 --startdatetime 2016-10-13T13:21:23 --delay 3 --endMP 300:58952 --enddatetime 2016-10-13T13:35:00 --enforcementcount 1 &gt;&gt;C:\Users\stu\Documents\GitHub\eaglep3-reporting\EC\2016-10-13-refined-times.txt</v>
      </c>
      <c r="AI178" s="122" t="str">
        <f t="shared" si="14"/>
        <v>echo {"issue":{"subject":"","project_id":79,"tracker_id":40,"status_id":1,"priority_id":2,"assigned_to_id":23,"start_date":"2016-10-13","description":"","custom_fields":[{"id":1,"name":"Subdivision","value":"NW"},{"id":4,"name":"Milepost","value":"5.8952"},{"id":17,"name":"Train ID","value":"821-13"},{"id":16,"name":"Locomotive ID","value":"4031"},{"id":130,"name":"Impact","value":""},{"id":150,"name":"Time of Event (Mountain Time)","value":"13:35:00"},{"id":151,"name":"Denver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7" t="s">
        <v>512</v>
      </c>
      <c r="B179" s="7">
        <v>4032</v>
      </c>
      <c r="C179" s="22" t="s">
        <v>99</v>
      </c>
      <c r="D179" s="22" t="s">
        <v>732</v>
      </c>
      <c r="E179" s="13">
        <v>42656.56759259259</v>
      </c>
      <c r="F179" s="13">
        <v>42656.569814814815</v>
      </c>
      <c r="G179" s="7">
        <v>1</v>
      </c>
      <c r="H179" s="13" t="s">
        <v>618</v>
      </c>
      <c r="I179" s="13">
        <v>42656.579560185186</v>
      </c>
      <c r="J179" s="7">
        <v>1</v>
      </c>
      <c r="K179" s="112" t="str">
        <f>IF(ISEVEN(B179),(B179-1)&amp;"/"&amp;B179,B179&amp;"/"&amp;(B179+1))</f>
        <v>4031/4032</v>
      </c>
      <c r="L179" s="22" t="str">
        <f>VLOOKUP(A179,'Trips&amp;Operators'!$C$1:$E$10000,3,FALSE)</f>
        <v>HELVIE</v>
      </c>
      <c r="M179" s="6">
        <f>I179-F179</f>
        <v>9.7453703710925765E-3</v>
      </c>
      <c r="N179" s="7">
        <f>24*60*SUM($M179:$M179)</f>
        <v>14.03333333437331</v>
      </c>
      <c r="O179" s="7"/>
      <c r="P179" s="7"/>
      <c r="Q179" s="23"/>
      <c r="R179" s="23"/>
      <c r="S179" s="35">
        <f>SUM(U179:U179)/IF(AG179="EC",12,1)</f>
        <v>1</v>
      </c>
      <c r="T179" s="50" t="str">
        <f>IF(ISEVEN(LEFT(AD179,4)),"Southbound","NorthBound")</f>
        <v>Southbound</v>
      </c>
      <c r="U179" s="144">
        <f>IF(AG179="EC",COUNTIFS(Variables!$M$2:$M$19,IF(T179="NorthBound","&gt;=","&lt;=")&amp;Y179,Variables!$M$2:$M$19,IF(T179="NorthBound","&lt;=","&gt;=")&amp;Z179),COUNTIFS(Variables!$P$2:$P$19,IF(T179="NorthBound","&gt;=","&lt;=")&amp;Y179,Variables!$P$2:$P$19,IF(T179="NorthBound","&lt;=","&gt;=")&amp;Z179))</f>
        <v>1</v>
      </c>
      <c r="V179" s="98" t="str">
        <f>"https://search-rtdc-monitor-bjffxe2xuh6vdkpspy63sjmuny.us-east-1.es.amazonaws.com/_plugin/kibana/#/discover/Steve-Slow-Train-Analysis-(2080s-and-2083s)?_g=(refreshInterval:(display:Off,section:0,value:0),time:(from:'"&amp;TEXT(E179-1/24,"yyyy-MM-DD hh:mm:ss")&amp;"-0600',mode:absolute,to:'"&amp;TEXT(I179+1/24,"yyyy-MM-DD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179&amp;"%22')),sort:!(Time,asc))"</f>
        <v>https://search-rtdc-monitor-bjffxe2xuh6vdkpspy63sjmuny.us-east-1.es.amazonaws.com/_plugin/kibana/#/discover/Steve-Slow-Train-Analysis-(2080s-and-2083s)?_g=(refreshInterval:(display:Off,section:0,value:0),time:(from:'2016-10-13 12:37:20-0600',mode:absolute,to:'2016-10-13 14:54: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9" s="52" t="str">
        <f>IF(AA179&lt;IF(AG179="EC",23,5.65),"Y","N")</f>
        <v>N</v>
      </c>
      <c r="X179" s="149">
        <f t="shared" si="19"/>
        <v>1</v>
      </c>
      <c r="Y179" s="67">
        <f>RIGHT(D179,LEN(D179)-4)/10000</f>
        <v>5.8638000000000003</v>
      </c>
      <c r="Z179" s="67">
        <f>RIGHT(H179,LEN(H179)-4)/10000</f>
        <v>7.4800000000000005E-2</v>
      </c>
      <c r="AA179" s="67">
        <f>ABS(Z179-Y179)</f>
        <v>5.7890000000000006</v>
      </c>
      <c r="AB179" s="64" t="e">
        <f>VLOOKUP(A179,Enforcements!$C$7:$K$21,8,0)</f>
        <v>#N/A</v>
      </c>
      <c r="AC179" s="60" t="e">
        <f>VLOOKUP(A179,Enforcements!$C$7:$E$21,3,0)</f>
        <v>#N/A</v>
      </c>
      <c r="AD179" s="61" t="str">
        <f>IF(LEN(A179)=6,"0"&amp;A179,A179)</f>
        <v>0822-13</v>
      </c>
      <c r="AE179" s="91" t="str">
        <f>"aws s3 cp "&amp;s3_bucket&amp;"/RTDC"&amp;B179&amp;"/ "&amp;search_path&amp;"\RTDC"&amp;B179&amp;"\"&amp;TEXT(F179,"YYYY-MM-DD")&amp;" --exclude ""*"" --recursive --include ""*"&amp;TEXT(F179,"YYYYMMDD")&amp;"*"" &amp; """&amp;walkandungz&amp;""" "&amp;search_path&amp;"\RTDC"&amp;B179&amp;"\"&amp;TEXT(F179,"YYYY-MM-DD")
&amp;" &amp; "&amp;"aws s3 cp "&amp;s3_bucket&amp;"/RTDC"&amp;B179&amp;"/ "&amp;search_path&amp;"\RTDC"&amp;B179&amp;"\"&amp;TEXT(F179+1,"YYYY-MM-DD")&amp;" --exclude ""*"" --recursive --include ""*"&amp;TEXT(F179+1,"YYYYMMDD")&amp;"*"" &amp; """&amp;walkandungz&amp;""" "&amp;search_path&amp;"\RTDC"&amp;B179&amp;"\"&amp;TEXT(F179+1,"YYYY-MM-DD")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9" s="88" t="str">
        <f>astrogrep_path&amp;" /spath="&amp;search_path&amp;" /stypes=""app*"&amp;B179&amp;"*"&amp;TEXT(I179-utc_offset/24,"YYYYMMDD")&amp;"*"" /stext="" "&amp;TEXT(I179-utc_offset/24,"HH")&amp;search_regexp&amp;""" /e /r /s"</f>
        <v>"C:\Program Files (x86)\AstroGrep\AstroGrep.exe" /spath="%USERPROFILE%\AppData\Local\Temp\OnboardLogs" /stypes="app*4032*20161013*" /stext=" 19:.+((SYSTEM_STATE.+slice.+state.+changed )|(ment ac)|(system.+state.+changed )|(\[timeout)|(PRM\|1\|D)|(kpr)|(kdp)|(\|lc)|(penalty))" /e /r /s</v>
      </c>
      <c r="AG179" s="1" t="str">
        <f>IFERROR(IF(VALUE(LEFT(AD179,2))&lt;=2,"EC",IF(OR(VALUE(LEFT(AD179,2))=8,VALUE(LEFT(AD179,2))=18),"NW","Other")),"Other")</f>
        <v>NW</v>
      </c>
      <c r="AH179" s="92" t="str">
        <f t="shared" si="13"/>
        <v>"%USERPROFILE%\Documents\GitHub\eaglep3\Utilities\RefineRTDCRunTimes.py" --tripid 822-13 --locoid 4032 --swversion DE.1.0.7.0 --startMP 300:58638 --initTime 2016-10-13T13:37:20 --startdatetime 2016-10-13T13:40:32 --delay 1 --endMP 204:748 --enddatetime 2016-10-13T13:54:34 --enforcementcount 1 &gt;&gt;C:\Users\stu\Documents\GitHub\eaglep3-reporting\EC\2016-10-13-refined-times.txt</v>
      </c>
      <c r="AI179" s="122" t="str">
        <f t="shared" si="14"/>
        <v>echo {"issue":{"subject":"","project_id":79,"tracker_id":40,"status_id":1,"priority_id":2,"assigned_to_id":23,"start_date":"2016-10-13","description":"","custom_fields":[{"id":1,"name":"Subdivision","value":"NW"},{"id":4,"name":"Milepost","value":"0.0748"},{"id":17,"name":"Train ID","value":"822-13"},{"id":16,"name":"Locomotive ID","value":"4032"},{"id":130,"name":"Impact","value":""},{"id":150,"name":"Time of Event (Mountain Time)","value":"13:54:34"},{"id":151,"name":"Denver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row>
    <row r="180" spans="1:91" x14ac:dyDescent="0.25">
      <c r="A180" s="37" t="s">
        <v>519</v>
      </c>
      <c r="B180" s="7">
        <v>4031</v>
      </c>
      <c r="C180" s="22" t="s">
        <v>99</v>
      </c>
      <c r="D180" s="22" t="s">
        <v>733</v>
      </c>
      <c r="E180" s="13">
        <v>42656.637083333335</v>
      </c>
      <c r="F180" s="13">
        <v>42656.639861111114</v>
      </c>
      <c r="G180" s="7">
        <v>1</v>
      </c>
      <c r="H180" s="13" t="s">
        <v>355</v>
      </c>
      <c r="I180" s="13">
        <v>42656.649594907409</v>
      </c>
      <c r="J180" s="7">
        <v>1</v>
      </c>
      <c r="K180" s="112" t="str">
        <f>IF(ISEVEN(B180),(B180-1)&amp;"/"&amp;B180,B180&amp;"/"&amp;(B180+1))</f>
        <v>4031/4032</v>
      </c>
      <c r="L180" s="22" t="str">
        <f>VLOOKUP(A180,'Trips&amp;Operators'!$C$1:$E$10000,3,FALSE)</f>
        <v>HELVIE</v>
      </c>
      <c r="M180" s="6">
        <f>I180-F180</f>
        <v>9.7337962943129241E-3</v>
      </c>
      <c r="N180" s="7">
        <f>24*60*SUM($M180:$M180)</f>
        <v>14.016666663810611</v>
      </c>
      <c r="O180" s="7"/>
      <c r="P180" s="7"/>
      <c r="Q180" s="23"/>
      <c r="R180" s="23"/>
      <c r="S180" s="35">
        <f>SUM(U180:U180)/IF(AG180="EC",12,1)</f>
        <v>1</v>
      </c>
      <c r="T180" s="50" t="str">
        <f>IF(ISEVEN(LEFT(AD180,4)),"Southbound","NorthBound")</f>
        <v>NorthBound</v>
      </c>
      <c r="U180" s="144">
        <f>IF(AG180="EC",COUNTIFS(Variables!$M$2:$M$19,IF(T180="NorthBound","&gt;=","&lt;=")&amp;Y180,Variables!$M$2:$M$19,IF(T180="NorthBound","&lt;=","&gt;=")&amp;Z180),COUNTIFS(Variables!$P$2:$P$19,IF(T180="NorthBound","&gt;=","&lt;=")&amp;Y180,Variables!$P$2:$P$19,IF(T180="NorthBound","&lt;=","&gt;=")&amp;Z180))</f>
        <v>1</v>
      </c>
      <c r="V180" s="98" t="str">
        <f>"https://search-rtdc-monitor-bjffxe2xuh6vdkpspy63sjmuny.us-east-1.es.amazonaws.com/_plugin/kibana/#/discover/Steve-Slow-Train-Analysis-(2080s-and-2083s)?_g=(refreshInterval:(display:Off,section:0,value:0),time:(from:'"&amp;TEXT(E180-1/24,"yyyy-MM-DD hh:mm:ss")&amp;"-0600',mode:absolute,to:'"&amp;TEXT(I180+1/24,"yyyy-MM-DD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180&amp;"%22')),sort:!(Time,asc))"</f>
        <v>https://search-rtdc-monitor-bjffxe2xuh6vdkpspy63sjmuny.us-east-1.es.amazonaws.com/_plugin/kibana/#/discover/Steve-Slow-Train-Analysis-(2080s-and-2083s)?_g=(refreshInterval:(display:Off,section:0,value:0),time:(from:'2016-10-13 14:17:24-0600',mode:absolute,to:'2016-10-13 16: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0" s="52" t="str">
        <f>IF(AA180&lt;IF(AG180="EC",23,5.65),"Y","N")</f>
        <v>N</v>
      </c>
      <c r="X180" s="149">
        <f t="shared" si="19"/>
        <v>1</v>
      </c>
      <c r="Y180" s="67">
        <f>RIGHT(D180,LEN(D180)-4)/10000</f>
        <v>0.10299999999999999</v>
      </c>
      <c r="Z180" s="67">
        <f>RIGHT(H180,LEN(H180)-4)/10000</f>
        <v>5.8928000000000003</v>
      </c>
      <c r="AA180" s="67">
        <f>ABS(Z180-Y180)</f>
        <v>5.7898000000000005</v>
      </c>
      <c r="AB180" s="64" t="e">
        <f>VLOOKUP(A180,Enforcements!$C$7:$K$21,8,0)</f>
        <v>#N/A</v>
      </c>
      <c r="AC180" s="60" t="e">
        <f>VLOOKUP(A180,Enforcements!$C$7:$E$21,3,0)</f>
        <v>#N/A</v>
      </c>
      <c r="AD180" s="61" t="str">
        <f>IF(LEN(A180)=6,"0"&amp;A180,A180)</f>
        <v>0823-13</v>
      </c>
      <c r="AE180" s="91" t="str">
        <f>"aws s3 cp "&amp;s3_bucket&amp;"/RTDC"&amp;B180&amp;"/ "&amp;search_path&amp;"\RTDC"&amp;B180&amp;"\"&amp;TEXT(F180,"YYYY-MM-DD")&amp;" --exclude ""*"" --recursive --include ""*"&amp;TEXT(F180,"YYYYMMDD")&amp;"*"" &amp; """&amp;walkandungz&amp;""" "&amp;search_path&amp;"\RTDC"&amp;B180&amp;"\"&amp;TEXT(F180,"YYYY-MM-DD")
&amp;" &amp; "&amp;"aws s3 cp "&amp;s3_bucket&amp;"/RTDC"&amp;B180&amp;"/ "&amp;search_path&amp;"\RTDC"&amp;B180&amp;"\"&amp;TEXT(F180+1,"YYYY-MM-DD")&amp;" --exclude ""*"" --recursive --include ""*"&amp;TEXT(F180+1,"YYYYMMDD")&amp;"*"" &amp; """&amp;walkandungz&amp;""" "&amp;search_path&amp;"\RTDC"&amp;B180&amp;"\"&amp;TEXT(F180+1,"YYYY-MM-DD")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0" s="88" t="str">
        <f>astrogrep_path&amp;" /spath="&amp;search_path&amp;" /stypes=""app*"&amp;B180&amp;"*"&amp;TEXT(I180-utc_offset/24,"YYYYMMDD")&amp;"*"" /stext="" "&amp;TEXT(I180-utc_offset/24,"HH")&amp;search_regexp&amp;""" /e /r /s"</f>
        <v>"C:\Program Files (x86)\AstroGrep\AstroGrep.exe" /spath="%USERPROFILE%\AppData\Local\Temp\OnboardLogs" /stypes="app*4031*20161013*" /stext=" 21:.+((SYSTEM_STATE.+slice.+state.+changed )|(ment ac)|(system.+state.+changed )|(\[timeout)|(PRM\|1\|D)|(kpr)|(kdp)|(\|lc)|(penalty))" /e /r /s</v>
      </c>
      <c r="AG180" s="1" t="str">
        <f>IFERROR(IF(VALUE(LEFT(AD180,2))&lt;=2,"EC",IF(OR(VALUE(LEFT(AD180,2))=8,VALUE(LEFT(AD180,2))=18),"NW","Other")),"Other")</f>
        <v>NW</v>
      </c>
      <c r="AH180" s="92" t="str">
        <f t="shared" si="13"/>
        <v>"%USERPROFILE%\Documents\GitHub\eaglep3\Utilities\RefineRTDCRunTimes.py" --tripid 823-13 --locoid 4031 --swversion DE.1.0.7.0 --startMP 204:1030 --initTime 2016-10-13T15:17:24 --startdatetime 2016-10-13T15:21:24 --delay 1 --endMP 300:58928 --enddatetime 2016-10-13T15:35:25 --enforcementcount 1 &gt;&gt;C:\Users\stu\Documents\GitHub\eaglep3-reporting\EC\2016-10-13-refined-times.txt</v>
      </c>
      <c r="AI180" s="122" t="str">
        <f t="shared" si="14"/>
        <v>echo {"issue":{"subject":"","project_id":79,"tracker_id":40,"status_id":1,"priority_id":2,"assigned_to_id":23,"start_date":"2016-10-13","description":"","custom_fields":[{"id":1,"name":"Subdivision","value":"NW"},{"id":4,"name":"Milepost","value":"5.8928"},{"id":17,"name":"Train ID","value":"823-13"},{"id":16,"name":"Locomotive ID","value":"4031"},{"id":130,"name":"Impact","value":""},{"id":150,"name":"Time of Event (Mountain Time)","value":"15:35:25"},{"id":151,"name":"Denver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row>
    <row r="181" spans="1:91" x14ac:dyDescent="0.25">
      <c r="A181" s="37" t="s">
        <v>524</v>
      </c>
      <c r="B181" s="7">
        <v>4032</v>
      </c>
      <c r="C181" s="22" t="s">
        <v>99</v>
      </c>
      <c r="D181" s="22" t="s">
        <v>332</v>
      </c>
      <c r="E181" s="13">
        <v>42656.612222222226</v>
      </c>
      <c r="F181" s="13">
        <v>42656.613495370373</v>
      </c>
      <c r="G181" s="7">
        <v>1</v>
      </c>
      <c r="H181" s="13" t="s">
        <v>340</v>
      </c>
      <c r="I181" s="13">
        <v>42656.621944444443</v>
      </c>
      <c r="J181" s="7">
        <v>1</v>
      </c>
      <c r="K181" s="112" t="str">
        <f>IF(ISEVEN(B181),(B181-1)&amp;"/"&amp;B181,B181&amp;"/"&amp;(B181+1))</f>
        <v>4031/4032</v>
      </c>
      <c r="L181" s="22" t="str">
        <f>VLOOKUP(A181,'Trips&amp;Operators'!$C$1:$E$10000,3,FALSE)</f>
        <v>HELVIE</v>
      </c>
      <c r="M181" s="6">
        <f>I181-F181</f>
        <v>8.4490740700857714E-3</v>
      </c>
      <c r="N181" s="7">
        <f>24*60*SUM($M181:$M181)</f>
        <v>12.166666660923511</v>
      </c>
      <c r="O181" s="7"/>
      <c r="P181" s="7"/>
      <c r="Q181" s="23"/>
      <c r="R181" s="23"/>
      <c r="S181" s="35">
        <f>SUM(U181:U181)/IF(AG181="EC",12,1)</f>
        <v>1</v>
      </c>
      <c r="T181" s="50" t="str">
        <f>IF(ISEVEN(LEFT(AD181,4)),"Southbound","NorthBound")</f>
        <v>Southbound</v>
      </c>
      <c r="U181" s="144">
        <f>IF(AG181="EC",COUNTIFS(Variables!$M$2:$M$19,IF(T181="NorthBound","&gt;=","&lt;=")&amp;Y181,Variables!$M$2:$M$19,IF(T181="NorthBound","&lt;=","&gt;=")&amp;Z181),COUNTIFS(Variables!$P$2:$P$19,IF(T181="NorthBound","&gt;=","&lt;=")&amp;Y181,Variables!$P$2:$P$19,IF(T181="NorthBound","&lt;=","&gt;=")&amp;Z181))</f>
        <v>1</v>
      </c>
      <c r="V181" s="98" t="str">
        <f>"https://search-rtdc-monitor-bjffxe2xuh6vdkpspy63sjmuny.us-east-1.es.amazonaws.com/_plugin/kibana/#/discover/Steve-Slow-Train-Analysis-(2080s-and-2083s)?_g=(refreshInterval:(display:Off,section:0,value:0),time:(from:'"&amp;TEXT(E181-1/24,"yyyy-MM-DD hh:mm:ss")&amp;"-0600',mode:absolute,to:'"&amp;TEXT(I181+1/24,"yyyy-MM-DD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181&amp;"%22')),sort:!(Time,asc))"</f>
        <v>https://search-rtdc-monitor-bjffxe2xuh6vdkpspy63sjmuny.us-east-1.es.amazonaws.com/_plugin/kibana/#/discover/Steve-Slow-Train-Analysis-(2080s-and-2083s)?_g=(refreshInterval:(display:Off,section:0,value:0),time:(from:'2016-10-13 13:41:36-0600',mode:absolute,to:'2016-10-13 15:55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1" s="52" t="str">
        <f>IF(AA181&lt;IF(AG181="EC",23,5.65),"Y","N")</f>
        <v>N</v>
      </c>
      <c r="X181" s="149">
        <f t="shared" si="19"/>
        <v>1</v>
      </c>
      <c r="Y181" s="67">
        <f>RIGHT(D181,LEN(D181)-4)/10000</f>
        <v>5.8613</v>
      </c>
      <c r="Z181" s="67">
        <f>RIGHT(H181,LEN(H181)-4)/10000</f>
        <v>7.4700000000000003E-2</v>
      </c>
      <c r="AA181" s="67">
        <f>ABS(Z181-Y181)</f>
        <v>5.7866</v>
      </c>
      <c r="AB181" s="64" t="e">
        <f>VLOOKUP(A181,Enforcements!$C$7:$K$21,8,0)</f>
        <v>#N/A</v>
      </c>
      <c r="AC181" s="60" t="e">
        <f>VLOOKUP(A181,Enforcements!$C$7:$E$21,3,0)</f>
        <v>#N/A</v>
      </c>
      <c r="AD181" s="61" t="str">
        <f>IF(LEN(A181)=6,"0"&amp;A181,A181)</f>
        <v>0824-13</v>
      </c>
      <c r="AE181" s="91" t="str">
        <f>"aws s3 cp "&amp;s3_bucket&amp;"/RTDC"&amp;B181&amp;"/ "&amp;search_path&amp;"\RTDC"&amp;B181&amp;"\"&amp;TEXT(F181,"YYYY-MM-DD")&amp;" --exclude ""*"" --recursive --include ""*"&amp;TEXT(F181,"YYYYMMDD")&amp;"*"" &amp; """&amp;walkandungz&amp;""" "&amp;search_path&amp;"\RTDC"&amp;B181&amp;"\"&amp;TEXT(F181,"YYYY-MM-DD")
&amp;" &amp; "&amp;"aws s3 cp "&amp;s3_bucket&amp;"/RTDC"&amp;B181&amp;"/ "&amp;search_path&amp;"\RTDC"&amp;B181&amp;"\"&amp;TEXT(F181+1,"YYYY-MM-DD")&amp;" --exclude ""*"" --recursive --include ""*"&amp;TEXT(F181+1,"YYYYMMDD")&amp;"*"" &amp; """&amp;walkandungz&amp;""" "&amp;search_path&amp;"\RTDC"&amp;B181&amp;"\"&amp;TEXT(F181+1,"YYYY-MM-DD")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1" s="88" t="str">
        <f>astrogrep_path&amp;" /spath="&amp;search_path&amp;" /stypes=""app*"&amp;B181&amp;"*"&amp;TEXT(I181-utc_offset/24,"YYYYMMDD")&amp;"*"" /stext="" "&amp;TEXT(I181-utc_offset/24,"HH")&amp;search_regexp&amp;""" /e /r /s"</f>
        <v>"C:\Program Files (x86)\AstroGrep\AstroGrep.exe" /spath="%USERPROFILE%\AppData\Local\Temp\OnboardLogs" /stypes="app*4032*20161013*" /stext=" 20:.+((SYSTEM_STATE.+slice.+state.+changed )|(ment ac)|(system.+state.+changed )|(\[timeout)|(PRM\|1\|D)|(kpr)|(kdp)|(\|lc)|(penalty))" /e /r /s</v>
      </c>
      <c r="AG181" s="1" t="str">
        <f>IFERROR(IF(VALUE(LEFT(AD181,2))&lt;=2,"EC",IF(OR(VALUE(LEFT(AD181,2))=8,VALUE(LEFT(AD181,2))=18),"NW","Other")),"Other")</f>
        <v>NW</v>
      </c>
      <c r="AH181" s="92" t="str">
        <f t="shared" si="13"/>
        <v>"%USERPROFILE%\Documents\GitHub\eaglep3\Utilities\RefineRTDCRunTimes.py" --tripid 824-13 --locoid 4032 --swversion DE.1.0.7.0 --startMP 300:58613 --initTime 2016-10-13T14:41:36 --startdatetime 2016-10-13T14:43:26 --delay 1 --endMP 204:747 --enddatetime 2016-10-13T14:55:36 --enforcementcount 1 &gt;&gt;C:\Users\stu\Documents\GitHub\eaglep3-reporting\EC\2016-10-13-refined-times.txt</v>
      </c>
      <c r="AI181" s="122" t="str">
        <f t="shared" si="14"/>
        <v>echo {"issue":{"subject":"","project_id":79,"tracker_id":40,"status_id":1,"priority_id":2,"assigned_to_id":23,"start_date":"2016-10-13","description":"","custom_fields":[{"id":1,"name":"Subdivision","value":"NW"},{"id":4,"name":"Milepost","value":"0.0747"},{"id":17,"name":"Train ID","value":"824-13"},{"id":16,"name":"Locomotive ID","value":"4032"},{"id":130,"name":"Impact","value":""},{"id":150,"name":"Time of Event (Mountain Time)","value":"14:55:36"},{"id":151,"name":"Denver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533</v>
      </c>
      <c r="B182" s="7">
        <v>4032</v>
      </c>
      <c r="C182" s="22" t="s">
        <v>99</v>
      </c>
      <c r="D182" s="22" t="s">
        <v>734</v>
      </c>
      <c r="E182" s="13">
        <v>42656.65084490741</v>
      </c>
      <c r="F182" s="13">
        <v>42656.65315972222</v>
      </c>
      <c r="G182" s="7">
        <v>2</v>
      </c>
      <c r="H182" s="13" t="s">
        <v>609</v>
      </c>
      <c r="I182" s="13">
        <v>42656.664375</v>
      </c>
      <c r="J182" s="7">
        <v>1</v>
      </c>
      <c r="K182" s="112" t="str">
        <f>IF(ISEVEN(B182),(B182-1)&amp;"/"&amp;B182,B182&amp;"/"&amp;(B182+1))</f>
        <v>4031/4032</v>
      </c>
      <c r="L182" s="22" t="str">
        <f>VLOOKUP(A182,'Trips&amp;Operators'!$C$1:$E$10000,3,FALSE)</f>
        <v>HELVIE</v>
      </c>
      <c r="M182" s="6">
        <f>I182-F182</f>
        <v>1.1215277780138422E-2</v>
      </c>
      <c r="N182" s="7">
        <f>24*60*SUM($M182:$M182)</f>
        <v>16.150000003399327</v>
      </c>
      <c r="O182" s="7"/>
      <c r="P182" s="7"/>
      <c r="Q182" s="23"/>
      <c r="R182" s="23"/>
      <c r="S182" s="35">
        <f>SUM(U182:U182)/IF(AG182="EC",12,1)</f>
        <v>1</v>
      </c>
      <c r="T182" s="50" t="str">
        <f>IF(ISEVEN(LEFT(AD182,4)),"Southbound","NorthBound")</f>
        <v>Southbound</v>
      </c>
      <c r="U182" s="144">
        <f>IF(AG182="EC",COUNTIFS(Variables!$M$2:$M$19,IF(T182="NorthBound","&gt;=","&lt;=")&amp;Y182,Variables!$M$2:$M$19,IF(T182="NorthBound","&lt;=","&gt;=")&amp;Z182),COUNTIFS(Variables!$P$2:$P$19,IF(T182="NorthBound","&gt;=","&lt;=")&amp;Y182,Variables!$P$2:$P$19,IF(T182="NorthBound","&lt;=","&gt;=")&amp;Z182))</f>
        <v>1</v>
      </c>
      <c r="V182" s="98" t="str">
        <f>"https://search-rtdc-monitor-bjffxe2xuh6vdkpspy63sjmuny.us-east-1.es.amazonaws.com/_plugin/kibana/#/discover/Steve-Slow-Train-Analysis-(2080s-and-2083s)?_g=(refreshInterval:(display:Off,section:0,value:0),time:(from:'"&amp;TEXT(E182-1/24,"yyyy-MM-DD hh:mm:ss")&amp;"-0600',mode:absolute,to:'"&amp;TEXT(I182+1/24,"yyyy-MM-DD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182&amp;"%22')),sort:!(Time,asc))"</f>
        <v>https://search-rtdc-monitor-bjffxe2xuh6vdkpspy63sjmuny.us-east-1.es.amazonaws.com/_plugin/kibana/#/discover/Steve-Slow-Train-Analysis-(2080s-and-2083s)?_g=(refreshInterval:(display:Off,section:0,value:0),time:(from:'2016-10-13 14:37:13-0600',mode:absolute,to:'2016-10-13 16:56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2" s="52" t="str">
        <f>IF(AA182&lt;IF(AG182="EC",23,5.65),"Y","N")</f>
        <v>N</v>
      </c>
      <c r="X182" s="149">
        <f t="shared" si="19"/>
        <v>2</v>
      </c>
      <c r="Y182" s="67">
        <f>RIGHT(D182,LEN(D182)-4)/10000</f>
        <v>5.8616999999999999</v>
      </c>
      <c r="Z182" s="67">
        <f>RIGHT(H182,LEN(H182)-4)/10000</f>
        <v>7.6600000000000001E-2</v>
      </c>
      <c r="AA182" s="67">
        <f>ABS(Z182-Y182)</f>
        <v>5.7850999999999999</v>
      </c>
      <c r="AB182" s="64" t="e">
        <f>VLOOKUP(A182,Enforcements!$C$7:$K$21,8,0)</f>
        <v>#N/A</v>
      </c>
      <c r="AC182" s="60" t="e">
        <f>VLOOKUP(A182,Enforcements!$C$7:$E$21,3,0)</f>
        <v>#N/A</v>
      </c>
      <c r="AD182" s="61" t="str">
        <f>IF(LEN(A182)=6,"0"&amp;A182,A182)</f>
        <v>0826-13</v>
      </c>
      <c r="AE182" s="91" t="str">
        <f>"aws s3 cp "&amp;s3_bucket&amp;"/RTDC"&amp;B182&amp;"/ "&amp;search_path&amp;"\RTDC"&amp;B182&amp;"\"&amp;TEXT(F182,"YYYY-MM-DD")&amp;" --exclude ""*"" --recursive --include ""*"&amp;TEXT(F182,"YYYYMMDD")&amp;"*"" &amp; """&amp;walkandungz&amp;""" "&amp;search_path&amp;"\RTDC"&amp;B182&amp;"\"&amp;TEXT(F182,"YYYY-MM-DD")
&amp;" &amp; "&amp;"aws s3 cp "&amp;s3_bucket&amp;"/RTDC"&amp;B182&amp;"/ "&amp;search_path&amp;"\RTDC"&amp;B182&amp;"\"&amp;TEXT(F182+1,"YYYY-MM-DD")&amp;" --exclude ""*"" --recursive --include ""*"&amp;TEXT(F182+1,"YYYYMMDD")&amp;"*"" &amp; """&amp;walkandungz&amp;""" "&amp;search_path&amp;"\RTDC"&amp;B182&amp;"\"&amp;TEXT(F182+1,"YYYY-MM-DD")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2" s="88" t="str">
        <f>astrogrep_path&amp;" /spath="&amp;search_path&amp;" /stypes=""app*"&amp;B182&amp;"*"&amp;TEXT(I182-utc_offset/24,"YYYYMMDD")&amp;"*"" /stext="" "&amp;TEXT(I182-utc_offset/24,"HH")&amp;search_regexp&amp;""" /e /r /s"</f>
        <v>"C:\Program Files (x86)\AstroGrep\AstroGrep.exe" /spath="%USERPROFILE%\AppData\Local\Temp\OnboardLogs" /stypes="app*4032*20161013*" /stext=" 21:.+((SYSTEM_STATE.+slice.+state.+changed )|(ment ac)|(system.+state.+changed )|(\[timeout)|(PRM\|1\|D)|(kpr)|(kdp)|(\|lc)|(penalty))" /e /r /s</v>
      </c>
      <c r="AG182" s="1" t="str">
        <f>IFERROR(IF(VALUE(LEFT(AD182,2))&lt;=2,"EC",IF(OR(VALUE(LEFT(AD182,2))=8,VALUE(LEFT(AD182,2))=18),"NW","Other")),"Other")</f>
        <v>NW</v>
      </c>
      <c r="AH182" s="92" t="str">
        <f t="shared" si="13"/>
        <v>"%USERPROFILE%\Documents\GitHub\eaglep3\Utilities\RefineRTDCRunTimes.py" --tripid 826-13 --locoid 4032 --swversion DE.1.0.7.0 --startMP 300:58617 --initTime 2016-10-13T15:37:13 --startdatetime 2016-10-13T15:40:33 --delay 2 --endMP 204:766 --enddatetime 2016-10-13T15:56:42 --enforcementcount 1 &gt;&gt;C:\Users\stu\Documents\GitHub\eaglep3-reporting\EC\2016-10-13-refined-times.txt</v>
      </c>
      <c r="AI182" s="122" t="str">
        <f t="shared" si="14"/>
        <v>echo {"issue":{"subject":"","project_id":79,"tracker_id":40,"status_id":1,"priority_id":2,"assigned_to_id":23,"start_date":"2016-10-13","description":"","custom_fields":[{"id":1,"name":"Subdivision","value":"NW"},{"id":4,"name":"Milepost","value":"0.0766"},{"id":17,"name":"Train ID","value":"826-13"},{"id":16,"name":"Locomotive ID","value":"4032"},{"id":130,"name":"Impact","value":""},{"id":150,"name":"Time of Event (Mountain Time)","value":"15:56:42"},{"id":151,"name":"Denver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535</v>
      </c>
      <c r="B183" s="7">
        <v>4040</v>
      </c>
      <c r="C183" s="22" t="s">
        <v>99</v>
      </c>
      <c r="D183" s="22" t="s">
        <v>735</v>
      </c>
      <c r="E183" s="13">
        <v>42656.658020833333</v>
      </c>
      <c r="F183" s="13">
        <v>42656.660590277781</v>
      </c>
      <c r="G183" s="7">
        <v>1</v>
      </c>
      <c r="H183" s="13" t="s">
        <v>331</v>
      </c>
      <c r="I183" s="13">
        <v>42656.671249999999</v>
      </c>
      <c r="J183" s="7">
        <v>1</v>
      </c>
      <c r="K183" s="112" t="str">
        <f>IF(ISEVEN(B183),(B183-1)&amp;"/"&amp;B183,B183&amp;"/"&amp;(B183+1))</f>
        <v>4039/4040</v>
      </c>
      <c r="L183" s="22" t="str">
        <f>VLOOKUP(A183,'Trips&amp;Operators'!$C$1:$E$10000,3,FALSE)</f>
        <v>YANAI</v>
      </c>
      <c r="M183" s="6">
        <f>I183-F183</f>
        <v>1.0659722218406387E-2</v>
      </c>
      <c r="N183" s="7">
        <f>24*60*SUM($M183:$M183)</f>
        <v>15.349999994505197</v>
      </c>
      <c r="O183" s="7"/>
      <c r="P183" s="7"/>
      <c r="Q183" s="23"/>
      <c r="R183" s="23"/>
      <c r="S183" s="35">
        <f>SUM(U183:U183)/IF(AG183="EC",12,1)</f>
        <v>1</v>
      </c>
      <c r="T183" s="50" t="str">
        <f>IF(ISEVEN(LEFT(AD183,4)),"Southbound","NorthBound")</f>
        <v>NorthBound</v>
      </c>
      <c r="U183" s="144">
        <f>IF(AG183="EC",COUNTIFS(Variables!$M$2:$M$19,IF(T183="NorthBound","&gt;=","&lt;=")&amp;Y183,Variables!$M$2:$M$19,IF(T183="NorthBound","&lt;=","&gt;=")&amp;Z183),COUNTIFS(Variables!$P$2:$P$19,IF(T183="NorthBound","&gt;=","&lt;=")&amp;Y183,Variables!$P$2:$P$19,IF(T183="NorthBound","&lt;=","&gt;=")&amp;Z183))</f>
        <v>1</v>
      </c>
      <c r="V183" s="98" t="str">
        <f>"https://search-rtdc-monitor-bjffxe2xuh6vdkpspy63sjmuny.us-east-1.es.amazonaws.com/_plugin/kibana/#/discover/Steve-Slow-Train-Analysis-(2080s-and-2083s)?_g=(refreshInterval:(display:Off,section:0,value:0),time:(from:'"&amp;TEXT(E183-1/24,"yyyy-MM-DD hh:mm:ss")&amp;"-0600',mode:absolute,to:'"&amp;TEXT(I183+1/24,"yyyy-MM-DD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183&amp;"%22')),sort:!(Time,asc))"</f>
        <v>https://search-rtdc-monitor-bjffxe2xuh6vdkpspy63sjmuny.us-east-1.es.amazonaws.com/_plugin/kibana/#/discover/Steve-Slow-Train-Analysis-(2080s-and-2083s)?_g=(refreshInterval:(display:Off,section:0,value:0),time:(from:'2016-10-13 14:47:33-0600',mode:absolute,to:'2016-10-13 17: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3" s="52" t="str">
        <f>IF(AA183&lt;IF(AG183="EC",23,5.65),"Y","N")</f>
        <v>N</v>
      </c>
      <c r="X183" s="149">
        <f t="shared" si="19"/>
        <v>1</v>
      </c>
      <c r="Y183" s="67">
        <f>RIGHT(D183,LEN(D183)-4)/10000</f>
        <v>9.4100000000000003E-2</v>
      </c>
      <c r="Z183" s="67">
        <f>RIGHT(H183,LEN(H183)-4)/10000</f>
        <v>5.8924000000000003</v>
      </c>
      <c r="AA183" s="67">
        <f>ABS(Z183-Y183)</f>
        <v>5.7983000000000002</v>
      </c>
      <c r="AB183" s="64" t="e">
        <f>VLOOKUP(A183,Enforcements!$C$7:$K$21,8,0)</f>
        <v>#N/A</v>
      </c>
      <c r="AC183" s="60" t="e">
        <f>VLOOKUP(A183,Enforcements!$C$7:$E$21,3,0)</f>
        <v>#N/A</v>
      </c>
      <c r="AD183" s="61" t="str">
        <f>IF(LEN(A183)=6,"0"&amp;A183,A183)</f>
        <v>0827-13</v>
      </c>
      <c r="AE183" s="91" t="str">
        <f>"aws s3 cp "&amp;s3_bucket&amp;"/RTDC"&amp;B183&amp;"/ "&amp;search_path&amp;"\RTDC"&amp;B183&amp;"\"&amp;TEXT(F183,"YYYY-MM-DD")&amp;" --exclude ""*"" --recursive --include ""*"&amp;TEXT(F183,"YYYYMMDD")&amp;"*"" &amp; """&amp;walkandungz&amp;""" "&amp;search_path&amp;"\RTDC"&amp;B183&amp;"\"&amp;TEXT(F183,"YYYY-MM-DD")
&amp;" &amp; "&amp;"aws s3 cp "&amp;s3_bucket&amp;"/RTDC"&amp;B183&amp;"/ "&amp;search_path&amp;"\RTDC"&amp;B183&amp;"\"&amp;TEXT(F183+1,"YYYY-MM-DD")&amp;" --exclude ""*"" --recursive --include ""*"&amp;TEXT(F183+1,"YYYYMMDD")&amp;"*"" &amp; """&amp;walkandungz&amp;""" "&amp;search_path&amp;"\RTDC"&amp;B183&amp;"\"&amp;TEXT(F183+1,"YYYY-MM-DD")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3" s="88" t="str">
        <f>astrogrep_path&amp;" /spath="&amp;search_path&amp;" /stypes=""app*"&amp;B183&amp;"*"&amp;TEXT(I183-utc_offset/24,"YYYYMMDD")&amp;"*"" /stext="" "&amp;TEXT(I183-utc_offset/24,"HH")&amp;search_regexp&amp;""" /e /r /s"</f>
        <v>"C:\Program Files (x86)\AstroGrep\AstroGrep.exe" /spath="%USERPROFILE%\AppData\Local\Temp\OnboardLogs" /stypes="app*4040*20161013*" /stext=" 22:.+((SYSTEM_STATE.+slice.+state.+changed )|(ment ac)|(system.+state.+changed )|(\[timeout)|(PRM\|1\|D)|(kpr)|(kdp)|(\|lc)|(penalty))" /e /r /s</v>
      </c>
      <c r="AG183" s="1" t="str">
        <f>IFERROR(IF(VALUE(LEFT(AD183,2))&lt;=2,"EC",IF(OR(VALUE(LEFT(AD183,2))=8,VALUE(LEFT(AD183,2))=18),"NW","Other")),"Other")</f>
        <v>NW</v>
      </c>
      <c r="AH183" s="92" t="str">
        <f t="shared" si="13"/>
        <v>"%USERPROFILE%\Documents\GitHub\eaglep3\Utilities\RefineRTDCRunTimes.py" --tripid 827-13 --locoid 4040 --swversion DE.1.0.7.0 --startMP 204:941 --initTime 2016-10-13T15:47:33 --startdatetime 2016-10-13T15:51:15 --delay 1 --endMP 300:58924 --enddatetime 2016-10-13T16:06:36 --enforcementcount 1 &gt;&gt;C:\Users\stu\Documents\GitHub\eaglep3-reporting\EC\2016-10-13-refined-times.txt</v>
      </c>
      <c r="AI183" s="122" t="str">
        <f t="shared" si="14"/>
        <v>echo {"issue":{"subject":"","project_id":79,"tracker_id":40,"status_id":1,"priority_id":2,"assigned_to_id":23,"start_date":"2016-10-13","description":"","custom_fields":[{"id":1,"name":"Subdivision","value":"NW"},{"id":4,"name":"Milepost","value":"5.8924"},{"id":17,"name":"Train ID","value":"827-13"},{"id":16,"name":"Locomotive ID","value":"4040"},{"id":130,"name":"Impact","value":""},{"id":150,"name":"Time of Event (Mountain Time)","value":"16:06:36"},{"id":151,"name":"Denver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540</v>
      </c>
      <c r="B184" s="7">
        <v>4039</v>
      </c>
      <c r="C184" s="22" t="s">
        <v>99</v>
      </c>
      <c r="D184" s="22" t="s">
        <v>736</v>
      </c>
      <c r="E184" s="13">
        <v>42656.673333333332</v>
      </c>
      <c r="F184" s="13">
        <v>42656.675034722219</v>
      </c>
      <c r="G184" s="7">
        <v>1</v>
      </c>
      <c r="H184" s="13" t="s">
        <v>737</v>
      </c>
      <c r="I184" s="13">
        <v>42656.684548611112</v>
      </c>
      <c r="J184" s="7">
        <v>1</v>
      </c>
      <c r="K184" s="112" t="str">
        <f>IF(ISEVEN(B184),(B184-1)&amp;"/"&amp;B184,B184&amp;"/"&amp;(B184+1))</f>
        <v>4039/4040</v>
      </c>
      <c r="L184" s="22" t="str">
        <f>VLOOKUP(A184,'Trips&amp;Operators'!$C$1:$E$10000,3,FALSE)</f>
        <v>YANAI</v>
      </c>
      <c r="M184" s="6">
        <f>I184-F184</f>
        <v>9.5138888937071897E-3</v>
      </c>
      <c r="N184" s="7">
        <f>24*60*SUM($M184:$M184)</f>
        <v>13.700000006938353</v>
      </c>
      <c r="O184" s="7"/>
      <c r="P184" s="7"/>
      <c r="Q184" s="23"/>
      <c r="R184" s="23"/>
      <c r="S184" s="35">
        <f>SUM(U184:U184)/IF(AG184="EC",12,1)</f>
        <v>1</v>
      </c>
      <c r="T184" s="50" t="str">
        <f>IF(ISEVEN(LEFT(AD184,4)),"Southbound","NorthBound")</f>
        <v>Southbound</v>
      </c>
      <c r="U184" s="144">
        <f>IF(AG184="EC",COUNTIFS(Variables!$M$2:$M$19,IF(T184="NorthBound","&gt;=","&lt;=")&amp;Y184,Variables!$M$2:$M$19,IF(T184="NorthBound","&lt;=","&gt;=")&amp;Z184),COUNTIFS(Variables!$P$2:$P$19,IF(T184="NorthBound","&gt;=","&lt;=")&amp;Y184,Variables!$P$2:$P$19,IF(T184="NorthBound","&lt;=","&gt;=")&amp;Z184))</f>
        <v>1</v>
      </c>
      <c r="V184" s="98" t="str">
        <f>"https://search-rtdc-monitor-bjffxe2xuh6vdkpspy63sjmuny.us-east-1.es.amazonaws.com/_plugin/kibana/#/discover/Steve-Slow-Train-Analysis-(2080s-and-2083s)?_g=(refreshInterval:(display:Off,section:0,value:0),time:(from:'"&amp;TEXT(E184-1/24,"yyyy-MM-DD hh:mm:ss")&amp;"-0600',mode:absolute,to:'"&amp;TEXT(I184+1/24,"yyyy-MM-DD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184&amp;"%22')),sort:!(Time,asc))"</f>
        <v>https://search-rtdc-monitor-bjffxe2xuh6vdkpspy63sjmuny.us-east-1.es.amazonaws.com/_plugin/kibana/#/discover/Steve-Slow-Train-Analysis-(2080s-and-2083s)?_g=(refreshInterval:(display:Off,section:0,value:0),time:(from:'2016-10-13 15:09:36-0600',mode:absolute,to:'2016-10-13 17: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4" s="52" t="str">
        <f>IF(AA184&lt;IF(AG184="EC",23,5.65),"Y","N")</f>
        <v>N</v>
      </c>
      <c r="X184" s="149">
        <f t="shared" si="19"/>
        <v>1</v>
      </c>
      <c r="Y184" s="67">
        <f>RIGHT(D184,LEN(D184)-4)/10000</f>
        <v>5.8604000000000003</v>
      </c>
      <c r="Z184" s="67">
        <f>RIGHT(H184,LEN(H184)-4)/10000</f>
        <v>6.54E-2</v>
      </c>
      <c r="AA184" s="67">
        <f>ABS(Z184-Y184)</f>
        <v>5.7949999999999999</v>
      </c>
      <c r="AB184" s="64" t="e">
        <f>VLOOKUP(A184,Enforcements!$C$7:$K$21,8,0)</f>
        <v>#N/A</v>
      </c>
      <c r="AC184" s="60" t="e">
        <f>VLOOKUP(A184,Enforcements!$C$7:$E$21,3,0)</f>
        <v>#N/A</v>
      </c>
      <c r="AD184" s="61" t="str">
        <f>IF(LEN(A184)=6,"0"&amp;A184,A184)</f>
        <v>0828-13</v>
      </c>
      <c r="AE184" s="91" t="str">
        <f>"aws s3 cp "&amp;s3_bucket&amp;"/RTDC"&amp;B184&amp;"/ "&amp;search_path&amp;"\RTDC"&amp;B184&amp;"\"&amp;TEXT(F184,"YYYY-MM-DD")&amp;" --exclude ""*"" --recursive --include ""*"&amp;TEXT(F184,"YYYYMMDD")&amp;"*"" &amp; """&amp;walkandungz&amp;""" "&amp;search_path&amp;"\RTDC"&amp;B184&amp;"\"&amp;TEXT(F184,"YYYY-MM-DD")
&amp;" &amp; "&amp;"aws s3 cp "&amp;s3_bucket&amp;"/RTDC"&amp;B184&amp;"/ "&amp;search_path&amp;"\RTDC"&amp;B184&amp;"\"&amp;TEXT(F184+1,"YYYY-MM-DD")&amp;" --exclude ""*"" --recursive --include ""*"&amp;TEXT(F184+1,"YYYYMMDD")&amp;"*"" &amp; """&amp;walkandungz&amp;""" "&amp;search_path&amp;"\RTDC"&amp;B184&amp;"\"&amp;TEXT(F184+1,"YYYY-MM-DD")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4" s="88" t="str">
        <f>astrogrep_path&amp;" /spath="&amp;search_path&amp;" /stypes=""app*"&amp;B184&amp;"*"&amp;TEXT(I184-utc_offset/24,"YYYYMMDD")&amp;"*"" /stext="" "&amp;TEXT(I184-utc_offset/24,"HH")&amp;search_regexp&amp;""" /e /r /s"</f>
        <v>"C:\Program Files (x86)\AstroGrep\AstroGrep.exe" /spath="%USERPROFILE%\AppData\Local\Temp\OnboardLogs" /stypes="app*4039*20161013*" /stext=" 22:.+((SYSTEM_STATE.+slice.+state.+changed )|(ment ac)|(system.+state.+changed )|(\[timeout)|(PRM\|1\|D)|(kpr)|(kdp)|(\|lc)|(penalty))" /e /r /s</v>
      </c>
      <c r="AG184" s="1" t="str">
        <f>IFERROR(IF(VALUE(LEFT(AD184,2))&lt;=2,"EC",IF(OR(VALUE(LEFT(AD184,2))=8,VALUE(LEFT(AD184,2))=18),"NW","Other")),"Other")</f>
        <v>NW</v>
      </c>
      <c r="AH184" s="92" t="str">
        <f t="shared" si="13"/>
        <v>"%USERPROFILE%\Documents\GitHub\eaglep3\Utilities\RefineRTDCRunTimes.py" --tripid 828-13 --locoid 4039 --swversion DE.1.0.7.0 --startMP 300:58604 --initTime 2016-10-13T16:09:36 --startdatetime 2016-10-13T16:12:03 --delay 1 --endMP 204:654 --enddatetime 2016-10-13T16:25:45 --enforcementcount 1 &gt;&gt;C:\Users\stu\Documents\GitHub\eaglep3-reporting\EC\2016-10-13-refined-times.txt</v>
      </c>
      <c r="AI184" s="122" t="str">
        <f t="shared" si="14"/>
        <v>echo {"issue":{"subject":"","project_id":79,"tracker_id":40,"status_id":1,"priority_id":2,"assigned_to_id":23,"start_date":"2016-10-13","description":"","custom_fields":[{"id":1,"name":"Subdivision","value":"NW"},{"id":4,"name":"Milepost","value":"0.0654"},{"id":17,"name":"Train ID","value":"828-13"},{"id":16,"name":"Locomotive ID","value":"4039"},{"id":130,"name":"Impact","value":""},{"id":150,"name":"Time of Event (Mountain Time)","value":"16:25:45"},{"id":151,"name":"Denver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409</v>
      </c>
      <c r="B185" s="7">
        <v>4031</v>
      </c>
      <c r="C185" s="22" t="s">
        <v>99</v>
      </c>
      <c r="D185" s="22" t="s">
        <v>738</v>
      </c>
      <c r="E185" s="13">
        <v>42656.66777777778</v>
      </c>
      <c r="F185" s="13">
        <v>42656.681458333333</v>
      </c>
      <c r="G185" s="7">
        <v>1</v>
      </c>
      <c r="H185" s="13" t="s">
        <v>739</v>
      </c>
      <c r="I185" s="13">
        <v>42656.693124999998</v>
      </c>
      <c r="J185" s="7">
        <v>1</v>
      </c>
      <c r="K185" s="112" t="str">
        <f>IF(ISEVEN(B185),(B185-1)&amp;"/"&amp;B185,B185&amp;"/"&amp;(B185+1))</f>
        <v>4031/4032</v>
      </c>
      <c r="L185" s="22" t="str">
        <f>VLOOKUP(A185,'Trips&amp;Operators'!$C$1:$E$10000,3,FALSE)</f>
        <v>HELVIE</v>
      </c>
      <c r="M185" s="6">
        <f>I185-F185</f>
        <v>1.1666666665405501E-2</v>
      </c>
      <c r="N185" s="7">
        <f>24*60*SUM($M185:$M185)</f>
        <v>16.799999998183921</v>
      </c>
      <c r="O185" s="7"/>
      <c r="P185" s="7"/>
      <c r="Q185" s="23"/>
      <c r="R185" s="23"/>
      <c r="S185" s="35">
        <f>SUM(U185:U185)/IF(AG185="EC",12,1)</f>
        <v>1</v>
      </c>
      <c r="T185" s="50" t="str">
        <f>IF(ISEVEN(LEFT(AD185,4)),"Southbound","NorthBound")</f>
        <v>NorthBound</v>
      </c>
      <c r="U185" s="144">
        <f>IF(AG185="EC",COUNTIFS(Variables!$M$2:$M$19,IF(T185="NorthBound","&gt;=","&lt;=")&amp;Y185,Variables!$M$2:$M$19,IF(T185="NorthBound","&lt;=","&gt;=")&amp;Z185),COUNTIFS(Variables!$P$2:$P$19,IF(T185="NorthBound","&gt;=","&lt;=")&amp;Y185,Variables!$P$2:$P$19,IF(T185="NorthBound","&lt;=","&gt;=")&amp;Z185))</f>
        <v>1</v>
      </c>
      <c r="V185" s="98" t="str">
        <f>"https://search-rtdc-monitor-bjffxe2xuh6vdkpspy63sjmuny.us-east-1.es.amazonaws.com/_plugin/kibana/#/discover/Steve-Slow-Train-Analysis-(2080s-and-2083s)?_g=(refreshInterval:(display:Off,section:0,value:0),time:(from:'"&amp;TEXT(E185-1/24,"yyyy-MM-DD hh:mm:ss")&amp;"-0600',mode:absolute,to:'"&amp;TEXT(I185+1/24,"yyyy-MM-DD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185&amp;"%22')),sort:!(Time,asc))"</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5" s="52" t="str">
        <f>IF(AA185&lt;IF(AG185="EC",23,5.65),"Y","N")</f>
        <v>N</v>
      </c>
      <c r="X185" s="149">
        <f t="shared" si="19"/>
        <v>1</v>
      </c>
      <c r="Y185" s="67">
        <f>RIGHT(D185,LEN(D185)-4)/10000</f>
        <v>0.1053</v>
      </c>
      <c r="Z185" s="67">
        <f>RIGHT(H185,LEN(H185)-4)/10000</f>
        <v>5.8949999999999996</v>
      </c>
      <c r="AA185" s="67">
        <f>ABS(Z185-Y185)</f>
        <v>5.7896999999999998</v>
      </c>
      <c r="AB185" s="64" t="e">
        <f>VLOOKUP(A185,Enforcements!$C$7:$K$21,8,0)</f>
        <v>#N/A</v>
      </c>
      <c r="AC185" s="60" t="e">
        <f>VLOOKUP(A185,Enforcements!$C$7:$E$21,3,0)</f>
        <v>#N/A</v>
      </c>
      <c r="AD185" s="61" t="str">
        <f>IF(LEN(A185)=6,"0"&amp;A185,A185)</f>
        <v>0829-13</v>
      </c>
      <c r="AE185" s="91" t="str">
        <f>"aws s3 cp "&amp;s3_bucket&amp;"/RTDC"&amp;B185&amp;"/ "&amp;search_path&amp;"\RTDC"&amp;B185&amp;"\"&amp;TEXT(F185,"YYYY-MM-DD")&amp;" --exclude ""*"" --recursive --include ""*"&amp;TEXT(F185,"YYYYMMDD")&amp;"*"" &amp; """&amp;walkandungz&amp;""" "&amp;search_path&amp;"\RTDC"&amp;B185&amp;"\"&amp;TEXT(F185,"YYYY-MM-DD")
&amp;" &amp; "&amp;"aws s3 cp "&amp;s3_bucket&amp;"/RTDC"&amp;B185&amp;"/ "&amp;search_path&amp;"\RTDC"&amp;B185&amp;"\"&amp;TEXT(F185+1,"YYYY-MM-DD")&amp;" --exclude ""*"" --recursive --include ""*"&amp;TEXT(F185+1,"YYYYMMDD")&amp;"*"" &amp; """&amp;walkandungz&amp;""" "&amp;search_path&amp;"\RTDC"&amp;B185&amp;"\"&amp;TEXT(F185+1,"YYYY-MM-DD")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5" s="88" t="str">
        <f>astrogrep_path&amp;" /spath="&amp;search_path&amp;" /stypes=""app*"&amp;B185&amp;"*"&amp;TEXT(I185-utc_offset/24,"YYYYMMDD")&amp;"*"" /stext="" "&amp;TEXT(I185-utc_offset/24,"HH")&amp;search_regexp&amp;""" /e /r /s"</f>
        <v>"C:\Program Files (x86)\AstroGrep\AstroGrep.exe" /spath="%USERPROFILE%\AppData\Local\Temp\OnboardLogs" /stypes="app*4031*20161013*" /stext=" 22:.+((SYSTEM_STATE.+slice.+state.+changed )|(ment ac)|(system.+state.+changed )|(\[timeout)|(PRM\|1\|D)|(kpr)|(kdp)|(\|lc)|(penalty))" /e /r /s</v>
      </c>
      <c r="AG185" s="1" t="str">
        <f>IFERROR(IF(VALUE(LEFT(AD185,2))&lt;=2,"EC",IF(OR(VALUE(LEFT(AD185,2))=8,VALUE(LEFT(AD185,2))=18),"NW","Other")),"Other")</f>
        <v>NW</v>
      </c>
      <c r="AH185" s="92" t="str">
        <f t="shared" si="13"/>
        <v>"%USERPROFILE%\Documents\GitHub\eaglep3\Utilities\RefineRTDCRunTimes.py" --tripid 829-13 --locoid 4031 --swversion DE.1.0.7.0 --startMP 204:1053 --initTime 2016-10-13T16:01:36 --startdatetime 2016-10-13T16:21:18 --delay 1 --endMP 300:58950 --enddatetime 2016-10-13T16:38:06 --enforcementcount 1 &gt;&gt;C:\Users\stu\Documents\GitHub\eaglep3-reporting\EC\2016-10-13-refined-times.txt</v>
      </c>
      <c r="AI185" s="122" t="str">
        <f t="shared" si="14"/>
        <v>echo {"issue":{"subject":"","project_id":79,"tracker_id":40,"status_id":1,"priority_id":2,"assigned_to_id":23,"start_date":"2016-10-13","description":"","custom_fields":[{"id":1,"name":"Subdivision","value":"NW"},{"id":4,"name":"Milepost","value":"5.895"},{"id":17,"name":"Train ID","value":"829-13"},{"id":16,"name":"Locomotive ID","value":"4031"},{"id":130,"name":"Impact","value":""},{"id":150,"name":"Time of Event (Mountain Time)","value":"16:38:06"},{"id":151,"name":"Denver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544</v>
      </c>
      <c r="B186" s="7">
        <v>4032</v>
      </c>
      <c r="C186" s="22" t="s">
        <v>99</v>
      </c>
      <c r="D186" s="22" t="s">
        <v>732</v>
      </c>
      <c r="E186" s="13">
        <v>42656.695393518516</v>
      </c>
      <c r="F186" s="13">
        <v>42656.697962962964</v>
      </c>
      <c r="G186" s="7">
        <v>1</v>
      </c>
      <c r="H186" s="13" t="s">
        <v>263</v>
      </c>
      <c r="I186" s="13">
        <v>42656.708090277774</v>
      </c>
      <c r="J186" s="7">
        <v>1</v>
      </c>
      <c r="K186" s="112" t="str">
        <f>IF(ISEVEN(B186),(B186-1)&amp;"/"&amp;B186,B186&amp;"/"&amp;(B186+1))</f>
        <v>4031/4032</v>
      </c>
      <c r="L186" s="22" t="str">
        <f>VLOOKUP(A186,'Trips&amp;Operators'!$C$1:$E$10000,3,FALSE)</f>
        <v>HELVIE</v>
      </c>
      <c r="M186" s="6">
        <f>I186-F186</f>
        <v>1.0127314810233656E-2</v>
      </c>
      <c r="N186" s="7">
        <f>24*60*SUM($M186:$M186)</f>
        <v>14.583333326736465</v>
      </c>
      <c r="O186" s="7"/>
      <c r="P186" s="7"/>
      <c r="Q186" s="23"/>
      <c r="R186" s="23"/>
      <c r="S186" s="35">
        <f>SUM(U186:U186)/IF(AG186="EC",12,1)</f>
        <v>1</v>
      </c>
      <c r="T186" s="50" t="str">
        <f>IF(ISEVEN(LEFT(AD186,4)),"Southbound","NorthBound")</f>
        <v>Southbound</v>
      </c>
      <c r="U186" s="144">
        <f>IF(AG186="EC",COUNTIFS(Variables!$M$2:$M$19,IF(T186="NorthBound","&gt;=","&lt;=")&amp;Y186,Variables!$M$2:$M$19,IF(T186="NorthBound","&lt;=","&gt;=")&amp;Z186),COUNTIFS(Variables!$P$2:$P$19,IF(T186="NorthBound","&gt;=","&lt;=")&amp;Y186,Variables!$P$2:$P$19,IF(T186="NorthBound","&lt;=","&gt;=")&amp;Z186))</f>
        <v>1</v>
      </c>
      <c r="V186" s="98" t="str">
        <f>"https://search-rtdc-monitor-bjffxe2xuh6vdkpspy63sjmuny.us-east-1.es.amazonaws.com/_plugin/kibana/#/discover/Steve-Slow-Train-Analysis-(2080s-and-2083s)?_g=(refreshInterval:(display:Off,section:0,value:0),time:(from:'"&amp;TEXT(E186-1/24,"yyyy-MM-DD hh:mm:ss")&amp;"-0600',mode:absolute,to:'"&amp;TEXT(I186+1/24,"yyyy-MM-DD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186&amp;"%22')),sort:!(Time,asc))"</f>
        <v>https://search-rtdc-monitor-bjffxe2xuh6vdkpspy63sjmuny.us-east-1.es.amazonaws.com/_plugin/kibana/#/discover/Steve-Slow-Train-Analysis-(2080s-and-2083s)?_g=(refreshInterval:(display:Off,section:0,value:0),time:(from:'2016-10-13 15:41:22-0600',mode:absolute,to:'2016-10-13 17:59: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6" s="52" t="str">
        <f>IF(AA186&lt;IF(AG186="EC",23,5.65),"Y","N")</f>
        <v>N</v>
      </c>
      <c r="X186" s="149">
        <f>VALUE(LEFT(AD186,4))-VALUE(LEFT(AD185,4))</f>
        <v>1</v>
      </c>
      <c r="Y186" s="67">
        <f>RIGHT(D186,LEN(D186)-4)/10000</f>
        <v>5.8638000000000003</v>
      </c>
      <c r="Z186" s="67">
        <f>RIGHT(H186,LEN(H186)-4)/10000</f>
        <v>7.4999999999999997E-2</v>
      </c>
      <c r="AA186" s="67">
        <f>ABS(Z186-Y186)</f>
        <v>5.7888000000000002</v>
      </c>
      <c r="AB186" s="64" t="e">
        <f>VLOOKUP(A186,Enforcements!$C$7:$K$21,8,0)</f>
        <v>#N/A</v>
      </c>
      <c r="AC186" s="60" t="e">
        <f>VLOOKUP(A186,Enforcements!$C$7:$E$21,3,0)</f>
        <v>#N/A</v>
      </c>
      <c r="AD186" s="61" t="str">
        <f>IF(LEN(A186)=6,"0"&amp;A186,A186)</f>
        <v>0830-13</v>
      </c>
      <c r="AE186" s="91" t="str">
        <f>"aws s3 cp "&amp;s3_bucket&amp;"/RTDC"&amp;B186&amp;"/ "&amp;search_path&amp;"\RTDC"&amp;B186&amp;"\"&amp;TEXT(F186,"YYYY-MM-DD")&amp;" --exclude ""*"" --recursive --include ""*"&amp;TEXT(F186,"YYYYMMDD")&amp;"*"" &amp; """&amp;walkandungz&amp;""" "&amp;search_path&amp;"\RTDC"&amp;B186&amp;"\"&amp;TEXT(F186,"YYYY-MM-DD")
&amp;" &amp; "&amp;"aws s3 cp "&amp;s3_bucket&amp;"/RTDC"&amp;B186&amp;"/ "&amp;search_path&amp;"\RTDC"&amp;B186&amp;"\"&amp;TEXT(F186+1,"YYYY-MM-DD")&amp;" --exclude ""*"" --recursive --include ""*"&amp;TEXT(F186+1,"YYYYMMDD")&amp;"*"" &amp; """&amp;walkandungz&amp;""" "&amp;search_path&amp;"\RTDC"&amp;B186&amp;"\"&amp;TEXT(F186+1,"YYYY-MM-DD")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6" s="88" t="str">
        <f>astrogrep_path&amp;" /spath="&amp;search_path&amp;" /stypes=""app*"&amp;B186&amp;"*"&amp;TEXT(I186-utc_offset/24,"YYYYMMDD")&amp;"*"" /stext="" "&amp;TEXT(I186-utc_offset/24,"HH")&amp;search_regexp&amp;""" /e /r /s"</f>
        <v>"C:\Program Files (x86)\AstroGrep\AstroGrep.exe" /spath="%USERPROFILE%\AppData\Local\Temp\OnboardLogs" /stypes="app*4032*20161013*" /stext=" 22:.+((SYSTEM_STATE.+slice.+state.+changed )|(ment ac)|(system.+state.+changed )|(\[timeout)|(PRM\|1\|D)|(kpr)|(kdp)|(\|lc)|(penalty))" /e /r /s</v>
      </c>
      <c r="AG186" s="1" t="str">
        <f>IFERROR(IF(VALUE(LEFT(AD186,2))&lt;=2,"EC",IF(OR(VALUE(LEFT(AD186,2))=8,VALUE(LEFT(AD186,2))=18),"NW","Other")),"Other")</f>
        <v>NW</v>
      </c>
      <c r="AH186" s="92" t="str">
        <f t="shared" si="13"/>
        <v>"%USERPROFILE%\Documents\GitHub\eaglep3\Utilities\RefineRTDCRunTimes.py" --tripid 830-13 --locoid 4032 --swversion DE.1.0.7.0 --startMP 300:58638 --initTime 2016-10-13T16:41:22 --startdatetime 2016-10-13T16:45:04 --delay 1 --endMP 204:750 --enddatetime 2016-10-13T16:59:39 --enforcementcount 1 &gt;&gt;C:\Users\stu\Documents\GitHub\eaglep3-reporting\EC\2016-10-13-refined-times.txt</v>
      </c>
      <c r="AI186" s="122" t="str">
        <f t="shared" si="14"/>
        <v>echo {"issue":{"subject":"","project_id":79,"tracker_id":40,"status_id":1,"priority_id":2,"assigned_to_id":23,"start_date":"2016-10-13","description":"","custom_fields":[{"id":1,"name":"Subdivision","value":"NW"},{"id":4,"name":"Milepost","value":"0.075"},{"id":17,"name":"Train ID","value":"830-13"},{"id":16,"name":"Locomotive ID","value":"4032"},{"id":130,"name":"Impact","value":""},{"id":150,"name":"Time of Event (Mountain Time)","value":"16:59:39"},{"id":151,"name":"Denver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s="21" customFormat="1" x14ac:dyDescent="0.25">
      <c r="A187" s="37" t="s">
        <v>545</v>
      </c>
      <c r="B187" s="7">
        <v>4040</v>
      </c>
      <c r="C187" s="22" t="s">
        <v>99</v>
      </c>
      <c r="D187" s="22" t="s">
        <v>740</v>
      </c>
      <c r="E187" s="13">
        <v>42656.695844907408</v>
      </c>
      <c r="F187" s="13">
        <v>42656.702326388891</v>
      </c>
      <c r="G187" s="7">
        <v>1</v>
      </c>
      <c r="H187" s="13" t="s">
        <v>355</v>
      </c>
      <c r="I187" s="13">
        <v>42656.712939814817</v>
      </c>
      <c r="J187" s="7">
        <v>1</v>
      </c>
      <c r="K187" s="112" t="str">
        <f>IF(ISEVEN(B187),(B187-1)&amp;"/"&amp;B187,B187&amp;"/"&amp;(B187+1))</f>
        <v>4039/4040</v>
      </c>
      <c r="L187" s="22" t="str">
        <f>VLOOKUP(A187,'Trips&amp;Operators'!$C$1:$E$10000,3,FALSE)</f>
        <v>YANAI</v>
      </c>
      <c r="M187" s="6">
        <f>I187-F187</f>
        <v>1.0613425925839692E-2</v>
      </c>
      <c r="N187" s="7">
        <f>24*60*SUM($M187:$M187)</f>
        <v>15.283333333209157</v>
      </c>
      <c r="O187" s="7"/>
      <c r="P187" s="7"/>
      <c r="Q187" s="23"/>
      <c r="R187" s="23"/>
      <c r="S187" s="35">
        <f>SUM(U187:U187)/IF(AG187="EC",12,1)</f>
        <v>1</v>
      </c>
      <c r="T187" s="50" t="str">
        <f>IF(ISEVEN(LEFT(AD187,4)),"Southbound","NorthBound")</f>
        <v>NorthBound</v>
      </c>
      <c r="U187" s="144">
        <f>IF(AG187="EC",COUNTIFS(Variables!$M$2:$M$19,IF(T187="NorthBound","&gt;=","&lt;=")&amp;Y187,Variables!$M$2:$M$19,IF(T187="NorthBound","&lt;=","&gt;=")&amp;Z187),COUNTIFS(Variables!$P$2:$P$19,IF(T187="NorthBound","&gt;=","&lt;=")&amp;Y187,Variables!$P$2:$P$19,IF(T187="NorthBound","&lt;=","&gt;=")&amp;Z187))</f>
        <v>1</v>
      </c>
      <c r="V187" s="98" t="str">
        <f>"https://search-rtdc-monitor-bjffxe2xuh6vdkpspy63sjmuny.us-east-1.es.amazonaws.com/_plugin/kibana/#/discover/Steve-Slow-Train-Analysis-(2080s-and-2083s)?_g=(refreshInterval:(display:Off,section:0,value:0),time:(from:'"&amp;TEXT(E187-1/24,"yyyy-MM-DD hh:mm:ss")&amp;"-0600',mode:absolute,to:'"&amp;TEXT(I187+1/24,"yyyy-MM-DD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187&amp;"%22')),sort:!(Time,asc))"</f>
        <v>https://search-rtdc-monitor-bjffxe2xuh6vdkpspy63sjmuny.us-east-1.es.amazonaws.com/_plugin/kibana/#/discover/Steve-Slow-Train-Analysis-(2080s-and-2083s)?_g=(refreshInterval:(display:Off,section:0,value:0),time:(from:'2016-10-13 15:42:01-0600',mode:absolute,to:'2016-10-13 18:06: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7" s="52" t="str">
        <f>IF(AA187&lt;IF(AG187="EC",23,5.65),"Y","N")</f>
        <v>N</v>
      </c>
      <c r="X187" s="149">
        <f>VALUE(LEFT(AD187,4))-VALUE(LEFT(AD186,4))</f>
        <v>1</v>
      </c>
      <c r="Y187" s="67">
        <f>RIGHT(D187,LEN(D187)-4)/10000</f>
        <v>9.5500000000000002E-2</v>
      </c>
      <c r="Z187" s="67">
        <f>RIGHT(H187,LEN(H187)-4)/10000</f>
        <v>5.8928000000000003</v>
      </c>
      <c r="AA187" s="67">
        <f>ABS(Z187-Y187)</f>
        <v>5.7972999999999999</v>
      </c>
      <c r="AB187" s="64" t="e">
        <f>VLOOKUP(A187,Enforcements!$C$7:$K$21,8,0)</f>
        <v>#N/A</v>
      </c>
      <c r="AC187" s="60" t="e">
        <f>VLOOKUP(A187,Enforcements!$C$7:$E$21,3,0)</f>
        <v>#N/A</v>
      </c>
      <c r="AD187" s="61" t="str">
        <f>IF(LEN(A187)=6,"0"&amp;A187,A187)</f>
        <v>0831-13</v>
      </c>
      <c r="AE187" s="91" t="str">
        <f>"aws s3 cp "&amp;s3_bucket&amp;"/RTDC"&amp;B187&amp;"/ "&amp;search_path&amp;"\RTDC"&amp;B187&amp;"\"&amp;TEXT(F187,"YYYY-MM-DD")&amp;" --exclude ""*"" --recursive --include ""*"&amp;TEXT(F187,"YYYYMMDD")&amp;"*"" &amp; """&amp;walkandungz&amp;""" "&amp;search_path&amp;"\RTDC"&amp;B187&amp;"\"&amp;TEXT(F187,"YYYY-MM-DD")
&amp;" &amp; "&amp;"aws s3 cp "&amp;s3_bucket&amp;"/RTDC"&amp;B187&amp;"/ "&amp;search_path&amp;"\RTDC"&amp;B187&amp;"\"&amp;TEXT(F187+1,"YYYY-MM-DD")&amp;" --exclude ""*"" --recursive --include ""*"&amp;TEXT(F187+1,"YYYYMMDD")&amp;"*"" &amp; """&amp;walkandungz&amp;""" "&amp;search_path&amp;"\RTDC"&amp;B187&amp;"\"&amp;TEXT(F187+1,"YYYY-MM-DD")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7" s="88" t="str">
        <f>astrogrep_path&amp;" /spath="&amp;search_path&amp;" /stypes=""app*"&amp;B187&amp;"*"&amp;TEXT(I187-utc_offset/24,"YYYYMMDD")&amp;"*"" /stext="" "&amp;TEXT(I187-utc_offset/24,"HH")&amp;search_regexp&amp;""" /e /r /s"</f>
        <v>"C:\Program Files (x86)\AstroGrep\AstroGrep.exe" /spath="%USERPROFILE%\AppData\Local\Temp\OnboardLogs" /stypes="app*4040*20161013*" /stext=" 23:.+((SYSTEM_STATE.+slice.+state.+changed )|(ment ac)|(system.+state.+changed )|(\[timeout)|(PRM\|1\|D)|(kpr)|(kdp)|(\|lc)|(penalty))" /e /r /s</v>
      </c>
      <c r="AG187" s="1" t="str">
        <f>IFERROR(IF(VALUE(LEFT(AD187,2))&lt;=2,"EC",IF(OR(VALUE(LEFT(AD187,2))=8,VALUE(LEFT(AD187,2))=18),"NW","Other")),"Other")</f>
        <v>NW</v>
      </c>
      <c r="AH187" s="92" t="str">
        <f t="shared" si="13"/>
        <v>"%USERPROFILE%\Documents\GitHub\eaglep3\Utilities\RefineRTDCRunTimes.py" --tripid 831-13 --locoid 4040 --swversion DE.1.0.7.0 --startMP 204:955 --initTime 2016-10-13T16:42:01 --startdatetime 2016-10-13T16:51:21 --delay 1 --endMP 300:58928 --enddatetime 2016-10-13T17:06:38 --enforcementcount 1 &gt;&gt;C:\Users\stu\Documents\GitHub\eaglep3-reporting\EC\2016-10-13-refined-times.txt</v>
      </c>
      <c r="AI187" s="122" t="str">
        <f t="shared" si="14"/>
        <v>echo {"issue":{"subject":"","project_id":79,"tracker_id":40,"status_id":1,"priority_id":2,"assigned_to_id":23,"start_date":"2016-10-13","description":"","custom_fields":[{"id":1,"name":"Subdivision","value":"NW"},{"id":4,"name":"Milepost","value":"5.8928"},{"id":17,"name":"Train ID","value":"831-13"},{"id":16,"name":"Locomotive ID","value":"4040"},{"id":130,"name":"Impact","value":""},{"id":150,"name":"Time of Event (Mountain Time)","value":"17:06:38"},{"id":151,"name":"Denver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411</v>
      </c>
      <c r="B188" s="7">
        <v>4039</v>
      </c>
      <c r="C188" s="22" t="s">
        <v>99</v>
      </c>
      <c r="D188" s="22" t="s">
        <v>345</v>
      </c>
      <c r="E188" s="13">
        <v>42656.714895833335</v>
      </c>
      <c r="F188" s="13">
        <v>42656.716736111113</v>
      </c>
      <c r="G188" s="7">
        <v>1</v>
      </c>
      <c r="H188" s="13" t="s">
        <v>741</v>
      </c>
      <c r="I188" s="13">
        <v>42656.728425925925</v>
      </c>
      <c r="J188" s="7">
        <v>1</v>
      </c>
      <c r="K188" s="112" t="str">
        <f>IF(ISEVEN(B188),(B188-1)&amp;"/"&amp;B188,B188&amp;"/"&amp;(B188+1))</f>
        <v>4039/4040</v>
      </c>
      <c r="L188" s="22" t="str">
        <f>VLOOKUP(A188,'Trips&amp;Operators'!$C$1:$E$10000,3,FALSE)</f>
        <v>YANAI</v>
      </c>
      <c r="M188" s="6">
        <f>I188-F188</f>
        <v>1.1689814811688848E-2</v>
      </c>
      <c r="N188" s="7">
        <f>24*60*SUM($M188:$M188)</f>
        <v>16.833333328831941</v>
      </c>
      <c r="O188" s="7"/>
      <c r="P188" s="7"/>
      <c r="Q188" s="23"/>
      <c r="R188" s="23"/>
      <c r="S188" s="35">
        <f>SUM(U188:U188)/IF(AG188="EC",12,1)</f>
        <v>1</v>
      </c>
      <c r="T188" s="50" t="str">
        <f>IF(ISEVEN(LEFT(AD188,4)),"Southbound","NorthBound")</f>
        <v>Southbound</v>
      </c>
      <c r="U188" s="144">
        <f>IF(AG188="EC",COUNTIFS(Variables!$M$2:$M$19,IF(T188="NorthBound","&gt;=","&lt;=")&amp;Y188,Variables!$M$2:$M$19,IF(T188="NorthBound","&lt;=","&gt;=")&amp;Z188),COUNTIFS(Variables!$P$2:$P$19,IF(T188="NorthBound","&gt;=","&lt;=")&amp;Y188,Variables!$P$2:$P$19,IF(T188="NorthBound","&lt;=","&gt;=")&amp;Z188))</f>
        <v>1</v>
      </c>
      <c r="V188" s="98" t="str">
        <f>"https://search-rtdc-monitor-bjffxe2xuh6vdkpspy63sjmuny.us-east-1.es.amazonaws.com/_plugin/kibana/#/discover/Steve-Slow-Train-Analysis-(2080s-and-2083s)?_g=(refreshInterval:(display:Off,section:0,value:0),time:(from:'"&amp;TEXT(E188-1/24,"yyyy-MM-DD hh:mm:ss")&amp;"-0600',mode:absolute,to:'"&amp;TEXT(I188+1/24,"yyyy-MM-DD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188&amp;"%22')),sort:!(Time,asc))"</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8" s="52" t="str">
        <f>IF(AA188&lt;IF(AG188="EC",23,5.65),"Y","N")</f>
        <v>N</v>
      </c>
      <c r="X188" s="149">
        <f>VALUE(LEFT(AD188,4))-VALUE(LEFT(AD187,4))</f>
        <v>1</v>
      </c>
      <c r="Y188" s="67">
        <f>RIGHT(D188,LEN(D188)-4)/10000</f>
        <v>5.8609</v>
      </c>
      <c r="Z188" s="67">
        <f>RIGHT(H188,LEN(H188)-4)/10000</f>
        <v>7.8200000000000006E-2</v>
      </c>
      <c r="AA188" s="67">
        <f>ABS(Z188-Y188)</f>
        <v>5.7827000000000002</v>
      </c>
      <c r="AB188" s="64" t="e">
        <f>VLOOKUP(A188,Enforcements!$C$7:$K$21,8,0)</f>
        <v>#N/A</v>
      </c>
      <c r="AC188" s="60" t="e">
        <f>VLOOKUP(A188,Enforcements!$C$7:$E$21,3,0)</f>
        <v>#N/A</v>
      </c>
      <c r="AD188" s="61" t="str">
        <f>IF(LEN(A188)=6,"0"&amp;A188,A188)</f>
        <v>0832-13</v>
      </c>
      <c r="AE188" s="91" t="str">
        <f>"aws s3 cp "&amp;s3_bucket&amp;"/RTDC"&amp;B188&amp;"/ "&amp;search_path&amp;"\RTDC"&amp;B188&amp;"\"&amp;TEXT(F188,"YYYY-MM-DD")&amp;" --exclude ""*"" --recursive --include ""*"&amp;TEXT(F188,"YYYYMMDD")&amp;"*"" &amp; """&amp;walkandungz&amp;""" "&amp;search_path&amp;"\RTDC"&amp;B188&amp;"\"&amp;TEXT(F188,"YYYY-MM-DD")
&amp;" &amp; "&amp;"aws s3 cp "&amp;s3_bucket&amp;"/RTDC"&amp;B188&amp;"/ "&amp;search_path&amp;"\RTDC"&amp;B188&amp;"\"&amp;TEXT(F188+1,"YYYY-MM-DD")&amp;" --exclude ""*"" --recursive --include ""*"&amp;TEXT(F188+1,"YYYYMMDD")&amp;"*"" &amp; """&amp;walkandungz&amp;""" "&amp;search_path&amp;"\RTDC"&amp;B188&amp;"\"&amp;TEXT(F188+1,"YYYY-MM-DD")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8" s="88" t="str">
        <f>astrogrep_path&amp;" /spath="&amp;search_path&amp;" /stypes=""app*"&amp;B188&amp;"*"&amp;TEXT(I188-utc_offset/24,"YYYYMMDD")&amp;"*"" /stext="" "&amp;TEXT(I188-utc_offset/24,"HH")&amp;search_regexp&amp;""" /e /r /s"</f>
        <v>"C:\Program Files (x86)\AstroGrep\AstroGrep.exe" /spath="%USERPROFILE%\AppData\Local\Temp\OnboardLogs" /stypes="app*4039*20161013*" /stext=" 23:.+((SYSTEM_STATE.+slice.+state.+changed )|(ment ac)|(system.+state.+changed )|(\[timeout)|(PRM\|1\|D)|(kpr)|(kdp)|(\|lc)|(penalty))" /e /r /s</v>
      </c>
      <c r="AG188" s="1" t="str">
        <f>IFERROR(IF(VALUE(LEFT(AD188,2))&lt;=2,"EC",IF(OR(VALUE(LEFT(AD188,2))=8,VALUE(LEFT(AD188,2))=18),"NW","Other")),"Other")</f>
        <v>NW</v>
      </c>
      <c r="AH188" s="92" t="str">
        <f t="shared" si="13"/>
        <v>"%USERPROFILE%\Documents\GitHub\eaglep3\Utilities\RefineRTDCRunTimes.py" --tripid 832-13 --locoid 4039 --swversion DE.1.0.7.0 --startMP 300:58609 --initTime 2016-10-13T17:09:27 --startdatetime 2016-10-13T17:12:06 --delay 1 --endMP 204:782 --enddatetime 2016-10-13T17:28:56 --enforcementcount 1 &gt;&gt;C:\Users\stu\Documents\GitHub\eaglep3-reporting\EC\2016-10-13-refined-times.txt</v>
      </c>
      <c r="AI188" s="122" t="str">
        <f t="shared" si="14"/>
        <v>echo {"issue":{"subject":"","project_id":79,"tracker_id":40,"status_id":1,"priority_id":2,"assigned_to_id":23,"start_date":"2016-10-13","description":"","custom_fields":[{"id":1,"name":"Subdivision","value":"NW"},{"id":4,"name":"Milepost","value":"0.0782"},{"id":17,"name":"Train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551</v>
      </c>
      <c r="B189" s="7">
        <v>4031</v>
      </c>
      <c r="C189" s="22" t="s">
        <v>99</v>
      </c>
      <c r="D189" s="22" t="s">
        <v>742</v>
      </c>
      <c r="E189" s="13">
        <v>42656.719456018516</v>
      </c>
      <c r="F189" s="13">
        <v>42656.725740740738</v>
      </c>
      <c r="G189" s="7">
        <v>1</v>
      </c>
      <c r="H189" s="13" t="s">
        <v>743</v>
      </c>
      <c r="I189" s="13">
        <v>42656.734791666669</v>
      </c>
      <c r="J189" s="7">
        <v>1</v>
      </c>
      <c r="K189" s="112" t="str">
        <f>IF(ISEVEN(B189),(B189-1)&amp;"/"&amp;B189,B189&amp;"/"&amp;(B189+1))</f>
        <v>4031/4032</v>
      </c>
      <c r="L189" s="22" t="str">
        <f>VLOOKUP(A189,'Trips&amp;Operators'!$C$1:$E$10000,3,FALSE)</f>
        <v>HELVIE</v>
      </c>
      <c r="M189" s="6">
        <f>I189-F189</f>
        <v>9.0509259316604584E-3</v>
      </c>
      <c r="N189" s="7">
        <f>24*60*SUM($M189:$M189)</f>
        <v>13.03333334159106</v>
      </c>
      <c r="O189" s="7"/>
      <c r="P189" s="7"/>
      <c r="Q189" s="23"/>
      <c r="R189" s="23"/>
      <c r="S189" s="35">
        <f>SUM(U189:U189)/IF(AG189="EC",12,1)</f>
        <v>1</v>
      </c>
      <c r="T189" s="50" t="str">
        <f>IF(ISEVEN(LEFT(AD189,4)),"Southbound","NorthBound")</f>
        <v>NorthBound</v>
      </c>
      <c r="U189" s="144">
        <f>IF(AG189="EC",COUNTIFS(Variables!$M$2:$M$19,IF(T189="NorthBound","&gt;=","&lt;=")&amp;Y189,Variables!$M$2:$M$19,IF(T189="NorthBound","&lt;=","&gt;=")&amp;Z189),COUNTIFS(Variables!$P$2:$P$19,IF(T189="NorthBound","&gt;=","&lt;=")&amp;Y189,Variables!$P$2:$P$19,IF(T189="NorthBound","&lt;=","&gt;=")&amp;Z189))</f>
        <v>1</v>
      </c>
      <c r="V189" s="98" t="str">
        <f>"https://search-rtdc-monitor-bjffxe2xuh6vdkpspy63sjmuny.us-east-1.es.amazonaws.com/_plugin/kibana/#/discover/Steve-Slow-Train-Analysis-(2080s-and-2083s)?_g=(refreshInterval:(display:Off,section:0,value:0),time:(from:'"&amp;TEXT(E189-1/24,"yyyy-MM-DD hh:mm:ss")&amp;"-0600',mode:absolute,to:'"&amp;TEXT(I189+1/24,"yyyy-MM-DD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189&amp;"%22')),sort:!(Time,asc))"</f>
        <v>https://search-rtdc-monitor-bjffxe2xuh6vdkpspy63sjmuny.us-east-1.es.amazonaws.com/_plugin/kibana/#/discover/Steve-Slow-Train-Analysis-(2080s-and-2083s)?_g=(refreshInterval:(display:Off,section:0,value:0),time:(from:'2016-10-13 16:16:01-0600',mode:absolute,to:'2016-10-13 18: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9" s="52" t="str">
        <f>IF(AA189&lt;IF(AG189="EC",23,5.65),"Y","N")</f>
        <v>N</v>
      </c>
      <c r="X189" s="149">
        <f>VALUE(LEFT(AD189,4))-VALUE(LEFT(AD188,4))</f>
        <v>1</v>
      </c>
      <c r="Y189" s="67">
        <f>RIGHT(D189,LEN(D189)-4)/10000</f>
        <v>0.1051</v>
      </c>
      <c r="Z189" s="67">
        <f>RIGHT(H189,LEN(H189)-4)/10000</f>
        <v>5.8945999999999996</v>
      </c>
      <c r="AA189" s="67">
        <f>ABS(Z189-Y189)</f>
        <v>5.7894999999999994</v>
      </c>
      <c r="AB189" s="64" t="e">
        <f>VLOOKUP(A189,Enforcements!$C$7:$K$21,8,0)</f>
        <v>#N/A</v>
      </c>
      <c r="AC189" s="60" t="e">
        <f>VLOOKUP(A189,Enforcements!$C$7:$E$21,3,0)</f>
        <v>#N/A</v>
      </c>
      <c r="AD189" s="61" t="str">
        <f>IF(LEN(A189)=6,"0"&amp;A189,A189)</f>
        <v>0833-13</v>
      </c>
      <c r="AE189" s="91" t="str">
        <f>"aws s3 cp "&amp;s3_bucket&amp;"/RTDC"&amp;B189&amp;"/ "&amp;search_path&amp;"\RTDC"&amp;B189&amp;"\"&amp;TEXT(F189,"YYYY-MM-DD")&amp;" --exclude ""*"" --recursive --include ""*"&amp;TEXT(F189,"YYYYMMDD")&amp;"*"" &amp; """&amp;walkandungz&amp;""" "&amp;search_path&amp;"\RTDC"&amp;B189&amp;"\"&amp;TEXT(F189,"YYYY-MM-DD")
&amp;" &amp; "&amp;"aws s3 cp "&amp;s3_bucket&amp;"/RTDC"&amp;B189&amp;"/ "&amp;search_path&amp;"\RTDC"&amp;B189&amp;"\"&amp;TEXT(F189+1,"YYYY-MM-DD")&amp;" --exclude ""*"" --recursive --include ""*"&amp;TEXT(F189+1,"YYYYMMDD")&amp;"*"" &amp; """&amp;walkandungz&amp;""" "&amp;search_path&amp;"\RTDC"&amp;B189&amp;"\"&amp;TEXT(F189+1,"YYYY-MM-DD")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9" s="88" t="str">
        <f>astrogrep_path&amp;" /spath="&amp;search_path&amp;" /stypes=""app*"&amp;B189&amp;"*"&amp;TEXT(I189-utc_offset/24,"YYYYMMDD")&amp;"*"" /stext="" "&amp;TEXT(I189-utc_offset/24,"HH")&amp;search_regexp&amp;""" /e /r /s"</f>
        <v>"C:\Program Files (x86)\AstroGrep\AstroGrep.exe" /spath="%USERPROFILE%\AppData\Local\Temp\OnboardLogs" /stypes="app*4031*20161013*" /stext=" 23:.+((SYSTEM_STATE.+slice.+state.+changed )|(ment ac)|(system.+state.+changed )|(\[timeout)|(PRM\|1\|D)|(kpr)|(kdp)|(\|lc)|(penalty))" /e /r /s</v>
      </c>
      <c r="AG189" s="1" t="str">
        <f>IFERROR(IF(VALUE(LEFT(AD189,2))&lt;=2,"EC",IF(OR(VALUE(LEFT(AD189,2))=8,VALUE(LEFT(AD189,2))=18),"NW","Other")),"Other")</f>
        <v>NW</v>
      </c>
      <c r="AH189" s="92" t="str">
        <f t="shared" si="13"/>
        <v>"%USERPROFILE%\Documents\GitHub\eaglep3\Utilities\RefineRTDCRunTimes.py" --tripid 833-13 --locoid 4031 --swversion DE.1.0.7.0 --startMP 204:1051 --initTime 2016-10-13T17:16:01 --startdatetime 2016-10-13T17:25:04 --delay 1 --endMP 300:58946 --enddatetime 2016-10-13T17:38:06 --enforcementcount 1 &gt;&gt;C:\Users\stu\Documents\GitHub\eaglep3-reporting\EC\2016-10-13-refined-times.txt</v>
      </c>
      <c r="AI189" s="122" t="str">
        <f t="shared" si="14"/>
        <v>echo {"issue":{"subject":"","project_id":79,"tracker_id":40,"status_id":1,"priority_id":2,"assigned_to_id":23,"start_date":"2016-10-13","description":"","custom_fields":[{"id":1,"name":"Subdivision","value":"NW"},{"id":4,"name":"Milepost","value":"5.8946"},{"id":17,"name":"Train ID","value":"833-13"},{"id":16,"name":"Locomotive ID","value":"4031"},{"id":130,"name":"Impact","value":""},{"id":150,"name":"Time of Event (Mountain Time)","value":"17:38:06"},{"id":151,"name":"Denver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1" customFormat="1" x14ac:dyDescent="0.25">
      <c r="A190" s="37" t="s">
        <v>555</v>
      </c>
      <c r="B190" s="7">
        <v>4032</v>
      </c>
      <c r="C190" s="22" t="s">
        <v>99</v>
      </c>
      <c r="D190" s="22" t="s">
        <v>729</v>
      </c>
      <c r="E190" s="13">
        <v>42656.735555555555</v>
      </c>
      <c r="F190" s="13">
        <v>42656.738252314812</v>
      </c>
      <c r="G190" s="7">
        <v>1</v>
      </c>
      <c r="H190" s="13" t="s">
        <v>744</v>
      </c>
      <c r="I190" s="13">
        <v>42656.747129629628</v>
      </c>
      <c r="J190" s="7">
        <v>1</v>
      </c>
      <c r="K190" s="112" t="str">
        <f>IF(ISEVEN(B190),(B190-1)&amp;"/"&amp;B190,B190&amp;"/"&amp;(B190+1))</f>
        <v>4031/4032</v>
      </c>
      <c r="L190" s="22" t="str">
        <f>VLOOKUP(A190,'Trips&amp;Operators'!$C$1:$E$10000,3,FALSE)</f>
        <v>HELVIE</v>
      </c>
      <c r="M190" s="6">
        <f>I190-F190</f>
        <v>8.8773148163454607E-3</v>
      </c>
      <c r="N190" s="7">
        <f>24*60*SUM($M190:$M190)</f>
        <v>12.783333335537463</v>
      </c>
      <c r="O190" s="7"/>
      <c r="P190" s="7"/>
      <c r="Q190" s="23"/>
      <c r="R190" s="23"/>
      <c r="S190" s="35">
        <f>SUM(U190:U190)/IF(AG190="EC",12,1)</f>
        <v>1</v>
      </c>
      <c r="T190" s="50" t="str">
        <f>IF(ISEVEN(LEFT(AD190,4)),"Southbound","NorthBound")</f>
        <v>Southbound</v>
      </c>
      <c r="U190" s="144">
        <f>IF(AG190="EC",COUNTIFS(Variables!$M$2:$M$19,IF(T190="NorthBound","&gt;=","&lt;=")&amp;Y190,Variables!$M$2:$M$19,IF(T190="NorthBound","&lt;=","&gt;=")&amp;Z190),COUNTIFS(Variables!$P$2:$P$19,IF(T190="NorthBound","&gt;=","&lt;=")&amp;Y190,Variables!$P$2:$P$19,IF(T190="NorthBound","&lt;=","&gt;=")&amp;Z190))</f>
        <v>1</v>
      </c>
      <c r="V190" s="98" t="str">
        <f>"https://search-rtdc-monitor-bjffxe2xuh6vdkpspy63sjmuny.us-east-1.es.amazonaws.com/_plugin/kibana/#/discover/Steve-Slow-Train-Analysis-(2080s-and-2083s)?_g=(refreshInterval:(display:Off,section:0,value:0),time:(from:'"&amp;TEXT(E190-1/24,"yyyy-MM-DD hh:mm:ss")&amp;"-0600',mode:absolute,to:'"&amp;TEXT(I190+1/24,"yyyy-MM-DD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190&amp;"%22')),sort:!(Time,asc))"</f>
        <v>https://search-rtdc-monitor-bjffxe2xuh6vdkpspy63sjmuny.us-east-1.es.amazonaws.com/_plugin/kibana/#/discover/Steve-Slow-Train-Analysis-(2080s-and-2083s)?_g=(refreshInterval:(display:Off,section:0,value:0),time:(from:'2016-10-13 16:39:12-0600',mode:absolute,to:'2016-10-13 18:55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0" s="52" t="str">
        <f>IF(AA190&lt;IF(AG190="EC",23,5.65),"Y","N")</f>
        <v>N</v>
      </c>
      <c r="X190" s="149">
        <f>VALUE(LEFT(AD190,4))-VALUE(LEFT(AD189,4))</f>
        <v>1</v>
      </c>
      <c r="Y190" s="67">
        <f>RIGHT(D190,LEN(D190)-4)/10000</f>
        <v>5.8628</v>
      </c>
      <c r="Z190" s="67">
        <f>RIGHT(H190,LEN(H190)-4)/10000</f>
        <v>7.8E-2</v>
      </c>
      <c r="AA190" s="67">
        <f>ABS(Z190-Y190)</f>
        <v>5.7847999999999997</v>
      </c>
      <c r="AB190" s="64" t="e">
        <f>VLOOKUP(A190,Enforcements!$C$7:$K$21,8,0)</f>
        <v>#N/A</v>
      </c>
      <c r="AC190" s="60" t="e">
        <f>VLOOKUP(A190,Enforcements!$C$7:$E$21,3,0)</f>
        <v>#N/A</v>
      </c>
      <c r="AD190" s="61" t="str">
        <f>IF(LEN(A190)=6,"0"&amp;A190,A190)</f>
        <v>0834-13</v>
      </c>
      <c r="AE190" s="91" t="str">
        <f>"aws s3 cp "&amp;s3_bucket&amp;"/RTDC"&amp;B190&amp;"/ "&amp;search_path&amp;"\RTDC"&amp;B190&amp;"\"&amp;TEXT(F190,"YYYY-MM-DD")&amp;" --exclude ""*"" --recursive --include ""*"&amp;TEXT(F190,"YYYYMMDD")&amp;"*"" &amp; """&amp;walkandungz&amp;""" "&amp;search_path&amp;"\RTDC"&amp;B190&amp;"\"&amp;TEXT(F190,"YYYY-MM-DD")
&amp;" &amp; "&amp;"aws s3 cp "&amp;s3_bucket&amp;"/RTDC"&amp;B190&amp;"/ "&amp;search_path&amp;"\RTDC"&amp;B190&amp;"\"&amp;TEXT(F190+1,"YYYY-MM-DD")&amp;" --exclude ""*"" --recursive --include ""*"&amp;TEXT(F190+1,"YYYYMMDD")&amp;"*"" &amp; """&amp;walkandungz&amp;""" "&amp;search_path&amp;"\RTDC"&amp;B190&amp;"\"&amp;TEXT(F190+1,"YYYY-MM-DD")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0" s="88" t="str">
        <f>astrogrep_path&amp;" /spath="&amp;search_path&amp;" /stypes=""app*"&amp;B190&amp;"*"&amp;TEXT(I190-utc_offset/24,"YYYYMMDD")&amp;"*"" /stext="" "&amp;TEXT(I190-utc_offset/24,"HH")&amp;search_regexp&amp;""" /e /r /s"</f>
        <v>"C:\Program Files (x86)\AstroGrep\AstroGrep.exe" /spath="%USERPROFILE%\AppData\Local\Temp\OnboardLogs" /stypes="app*4032*20161013*" /stext=" 23:.+((SYSTEM_STATE.+slice.+state.+changed )|(ment ac)|(system.+state.+changed )|(\[timeout)|(PRM\|1\|D)|(kpr)|(kdp)|(\|lc)|(penalty))" /e /r /s</v>
      </c>
      <c r="AG190" s="1" t="str">
        <f>IFERROR(IF(VALUE(LEFT(AD190,2))&lt;=2,"EC",IF(OR(VALUE(LEFT(AD190,2))=8,VALUE(LEFT(AD190,2))=18),"NW","Other")),"Other")</f>
        <v>NW</v>
      </c>
      <c r="AH190" s="92" t="str">
        <f t="shared" si="13"/>
        <v>"%USERPROFILE%\Documents\GitHub\eaglep3\Utilities\RefineRTDCRunTimes.py" --tripid 834-13 --locoid 4032 --swversion DE.1.0.7.0 --startMP 300:58628 --initTime 2016-10-13T17:39:12 --startdatetime 2016-10-13T17:43:05 --delay 1 --endMP 204:780 --enddatetime 2016-10-13T17:55:52 --enforcementcount 1 &gt;&gt;C:\Users\stu\Documents\GitHub\eaglep3-reporting\EC\2016-10-13-refined-times.txt</v>
      </c>
      <c r="AI190" s="122" t="str">
        <f t="shared" si="14"/>
        <v>echo {"issue":{"subject":"","project_id":79,"tracker_id":40,"status_id":1,"priority_id":2,"assigned_to_id":23,"start_date":"2016-10-13","description":"","custom_fields":[{"id":1,"name":"Subdivision","value":"NW"},{"id":4,"name":"Milepost","value":"0.078"},{"id":17,"name":"Train ID","value":"834-13"},{"id":16,"name":"Locomotive ID","value":"4032"},{"id":130,"name":"Impact","value":""},{"id":150,"name":"Time of Event (Mountain Time)","value":"17:55:52"},{"id":151,"name":"Denver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x14ac:dyDescent="0.25">
      <c r="A191" s="37" t="s">
        <v>557</v>
      </c>
      <c r="B191" s="7">
        <v>4040</v>
      </c>
      <c r="C191" s="22" t="s">
        <v>99</v>
      </c>
      <c r="D191" s="22" t="s">
        <v>745</v>
      </c>
      <c r="E191" s="13">
        <v>42656.741759259261</v>
      </c>
      <c r="F191" s="13">
        <v>42656.743981481479</v>
      </c>
      <c r="G191" s="7">
        <v>1</v>
      </c>
      <c r="H191" s="13" t="s">
        <v>331</v>
      </c>
      <c r="I191" s="13">
        <v>42656.753599537034</v>
      </c>
      <c r="J191" s="7">
        <v>1</v>
      </c>
      <c r="K191" s="112" t="str">
        <f>IF(ISEVEN(B191),(B191-1)&amp;"/"&amp;B191,B191&amp;"/"&amp;(B191+1))</f>
        <v>4039/4040</v>
      </c>
      <c r="L191" s="22" t="str">
        <f>VLOOKUP(A191,'Trips&amp;Operators'!$C$1:$E$10000,3,FALSE)</f>
        <v>YANAI</v>
      </c>
      <c r="M191" s="6">
        <f>I191-F191</f>
        <v>9.6180555556202307E-3</v>
      </c>
      <c r="N191" s="7">
        <f>24*60*SUM($M191:$M191)</f>
        <v>13.850000000093132</v>
      </c>
      <c r="O191" s="7"/>
      <c r="P191" s="7"/>
      <c r="Q191" s="23"/>
      <c r="R191" s="23"/>
      <c r="S191" s="35">
        <f>SUM(U191:U191)/IF(AG191="EC",12,1)</f>
        <v>1</v>
      </c>
      <c r="T191" s="50" t="str">
        <f>IF(ISEVEN(LEFT(AD191,4)),"Southbound","NorthBound")</f>
        <v>NorthBound</v>
      </c>
      <c r="U191" s="144">
        <f>IF(AG191="EC",COUNTIFS(Variables!$M$2:$M$19,IF(T191="NorthBound","&gt;=","&lt;=")&amp;Y191,Variables!$M$2:$M$19,IF(T191="NorthBound","&lt;=","&gt;=")&amp;Z191),COUNTIFS(Variables!$P$2:$P$19,IF(T191="NorthBound","&gt;=","&lt;=")&amp;Y191,Variables!$P$2:$P$19,IF(T191="NorthBound","&lt;=","&gt;=")&amp;Z191))</f>
        <v>1</v>
      </c>
      <c r="V191" s="98" t="str">
        <f>"https://search-rtdc-monitor-bjffxe2xuh6vdkpspy63sjmuny.us-east-1.es.amazonaws.com/_plugin/kibana/#/discover/Steve-Slow-Train-Analysis-(2080s-and-2083s)?_g=(refreshInterval:(display:Off,section:0,value:0),time:(from:'"&amp;TEXT(E191-1/24,"yyyy-MM-DD hh:mm:ss")&amp;"-0600',mode:absolute,to:'"&amp;TEXT(I191+1/24,"yyyy-MM-DD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191&amp;"%22')),sort:!(Time,asc))"</f>
        <v>https://search-rtdc-monitor-bjffxe2xuh6vdkpspy63sjmuny.us-east-1.es.amazonaws.com/_plugin/kibana/#/discover/Steve-Slow-Train-Analysis-(2080s-and-2083s)?_g=(refreshInterval:(display:Off,section:0,value:0),time:(from:'2016-10-13 16:48:08-0600',mode:absolute,to:'2016-10-13 19:05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1" s="52" t="str">
        <f>IF(AA191&lt;IF(AG191="EC",23,5.65),"Y","N")</f>
        <v>N</v>
      </c>
      <c r="X191" s="149">
        <f>VALUE(LEFT(AD191,4))-VALUE(LEFT(AD190,4))</f>
        <v>1</v>
      </c>
      <c r="Y191" s="67">
        <f>RIGHT(D191,LEN(D191)-4)/10000</f>
        <v>0.10580000000000001</v>
      </c>
      <c r="Z191" s="67">
        <f>RIGHT(H191,LEN(H191)-4)/10000</f>
        <v>5.8924000000000003</v>
      </c>
      <c r="AA191" s="67">
        <f>ABS(Z191-Y191)</f>
        <v>5.7866</v>
      </c>
      <c r="AB191" s="64" t="e">
        <f>VLOOKUP(A191,Enforcements!$C$7:$K$21,8,0)</f>
        <v>#N/A</v>
      </c>
      <c r="AC191" s="60" t="e">
        <f>VLOOKUP(A191,Enforcements!$C$7:$E$21,3,0)</f>
        <v>#N/A</v>
      </c>
      <c r="AD191" s="61" t="str">
        <f>IF(LEN(A191)=6,"0"&amp;A191,A191)</f>
        <v>0835-13</v>
      </c>
      <c r="AE191" s="91" t="str">
        <f>"aws s3 cp "&amp;s3_bucket&amp;"/RTDC"&amp;B191&amp;"/ "&amp;search_path&amp;"\RTDC"&amp;B191&amp;"\"&amp;TEXT(F191,"YYYY-MM-DD")&amp;" --exclude ""*"" --recursive --include ""*"&amp;TEXT(F191,"YYYYMMDD")&amp;"*"" &amp; """&amp;walkandungz&amp;""" "&amp;search_path&amp;"\RTDC"&amp;B191&amp;"\"&amp;TEXT(F191,"YYYY-MM-DD")
&amp;" &amp; "&amp;"aws s3 cp "&amp;s3_bucket&amp;"/RTDC"&amp;B191&amp;"/ "&amp;search_path&amp;"\RTDC"&amp;B191&amp;"\"&amp;TEXT(F191+1,"YYYY-MM-DD")&amp;" --exclude ""*"" --recursive --include ""*"&amp;TEXT(F191+1,"YYYYMMDD")&amp;"*"" &amp; """&amp;walkandungz&amp;""" "&amp;search_path&amp;"\RTDC"&amp;B191&amp;"\"&amp;TEXT(F191+1,"YYYY-MM-DD")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1" s="88" t="str">
        <f>astrogrep_path&amp;" /spath="&amp;search_path&amp;" /stypes=""app*"&amp;B191&amp;"*"&amp;TEXT(I191-utc_offset/24,"YYYYMMDD")&amp;"*"" /stext="" "&amp;TEXT(I191-utc_offset/24,"HH")&amp;search_regexp&amp;""" /e /r /s"</f>
        <v>"C:\Program Files (x86)\AstroGrep\AstroGrep.exe" /spath="%USERPROFILE%\AppData\Local\Temp\OnboardLogs" /stypes="app*4040*20161014*" /stext=" 00:.+((SYSTEM_STATE.+slice.+state.+changed )|(ment ac)|(system.+state.+changed )|(\[timeout)|(PRM\|1\|D)|(kpr)|(kdp)|(\|lc)|(penalty))" /e /r /s</v>
      </c>
      <c r="AG191" s="1" t="str">
        <f>IFERROR(IF(VALUE(LEFT(AD191,2))&lt;=2,"EC",IF(OR(VALUE(LEFT(AD191,2))=8,VALUE(LEFT(AD191,2))=18),"NW","Other")),"Other")</f>
        <v>NW</v>
      </c>
      <c r="AH191" s="92" t="str">
        <f t="shared" si="13"/>
        <v>"%USERPROFILE%\Documents\GitHub\eaglep3\Utilities\RefineRTDCRunTimes.py" --tripid 835-13 --locoid 4040 --swversion DE.1.0.7.0 --startMP 204:1058 --initTime 2016-10-13T17:48:08 --startdatetime 2016-10-13T17:51:20 --delay 1 --endMP 300:58924 --enddatetime 2016-10-13T18:05:11 --enforcementcount 1 &gt;&gt;C:\Users\stu\Documents\GitHub\eaglep3-reporting\EC\2016-10-13-refined-times.txt</v>
      </c>
      <c r="AI191" s="122" t="str">
        <f t="shared" si="14"/>
        <v>echo {"issue":{"subject":"","project_id":79,"tracker_id":40,"status_id":1,"priority_id":2,"assigned_to_id":23,"start_date":"2016-10-13","description":"","custom_fields":[{"id":1,"name":"Subdivision","value":"NW"},{"id":4,"name":"Milepost","value":"5.8924"},{"id":17,"name":"Train ID","value":"835-13"},{"id":16,"name":"Locomotive ID","value":"4040"},{"id":130,"name":"Impact","value":""},{"id":150,"name":"Time of Event (Mountain Time)","value":"18:05:11"},{"id":151,"name":"Denver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row>
    <row r="192" spans="1:91" x14ac:dyDescent="0.25">
      <c r="A192" s="37" t="s">
        <v>415</v>
      </c>
      <c r="B192" s="7">
        <v>4039</v>
      </c>
      <c r="C192" s="22" t="s">
        <v>99</v>
      </c>
      <c r="D192" s="22" t="s">
        <v>746</v>
      </c>
      <c r="E192" s="13">
        <v>42656.754988425928</v>
      </c>
      <c r="F192" s="13">
        <v>42656.756643518522</v>
      </c>
      <c r="G192" s="7">
        <v>1</v>
      </c>
      <c r="H192" s="13" t="s">
        <v>747</v>
      </c>
      <c r="I192" s="13">
        <v>42656.768634259257</v>
      </c>
      <c r="J192" s="7">
        <v>1</v>
      </c>
      <c r="K192" s="112" t="str">
        <f>IF(ISEVEN(B192),(B192-1)&amp;"/"&amp;B192,B192&amp;"/"&amp;(B192+1))</f>
        <v>4039/4040</v>
      </c>
      <c r="L192" s="22" t="str">
        <f>VLOOKUP(A192,'Trips&amp;Operators'!$C$1:$E$10000,3,FALSE)</f>
        <v>YANAI</v>
      </c>
      <c r="M192" s="6">
        <f>I192-F192</f>
        <v>1.1990740735200234E-2</v>
      </c>
      <c r="N192" s="7">
        <f>24*60*SUM($M192:$M192)</f>
        <v>17.266666658688337</v>
      </c>
      <c r="O192" s="7"/>
      <c r="P192" s="7"/>
      <c r="Q192" s="23"/>
      <c r="R192" s="23"/>
      <c r="S192" s="35">
        <f>SUM(U192:U192)/IF(AG192="EC",12,1)</f>
        <v>1</v>
      </c>
      <c r="T192" s="50" t="str">
        <f>IF(ISEVEN(LEFT(AD192,4)),"Southbound","NorthBound")</f>
        <v>Southbound</v>
      </c>
      <c r="U192" s="144">
        <f>IF(AG192="EC",COUNTIFS(Variables!$M$2:$M$19,IF(T192="NorthBound","&gt;=","&lt;=")&amp;Y192,Variables!$M$2:$M$19,IF(T192="NorthBound","&lt;=","&gt;=")&amp;Z192),COUNTIFS(Variables!$P$2:$P$19,IF(T192="NorthBound","&gt;=","&lt;=")&amp;Y192,Variables!$P$2:$P$19,IF(T192="NorthBound","&lt;=","&gt;=")&amp;Z192))</f>
        <v>1</v>
      </c>
      <c r="V192" s="98" t="str">
        <f>"https://search-rtdc-monitor-bjffxe2xuh6vdkpspy63sjmuny.us-east-1.es.amazonaws.com/_plugin/kibana/#/discover/Steve-Slow-Train-Analysis-(2080s-and-2083s)?_g=(refreshInterval:(display:Off,section:0,value:0),time:(from:'"&amp;TEXT(E192-1/24,"yyyy-MM-DD hh:mm:ss")&amp;"-0600',mode:absolute,to:'"&amp;TEXT(I192+1/24,"yyyy-MM-DD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192&amp;"%22')),sort:!(Time,asc))"</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92" s="52" t="str">
        <f>IF(AA192&lt;IF(AG192="EC",23,5.65),"Y","N")</f>
        <v>N</v>
      </c>
      <c r="X192" s="149">
        <f>VALUE(LEFT(AD192,4))-VALUE(LEFT(AD191,4))</f>
        <v>1</v>
      </c>
      <c r="Y192" s="67">
        <f>RIGHT(D192,LEN(D192)-4)/10000</f>
        <v>5.8597999999999999</v>
      </c>
      <c r="Z192" s="67">
        <f>RIGHT(H192,LEN(H192)-4)/10000</f>
        <v>6.7000000000000004E-2</v>
      </c>
      <c r="AA192" s="67">
        <f>ABS(Z192-Y192)</f>
        <v>5.7927999999999997</v>
      </c>
      <c r="AB192" s="64" t="e">
        <f>VLOOKUP(A192,Enforcements!$C$7:$K$21,8,0)</f>
        <v>#N/A</v>
      </c>
      <c r="AC192" s="60" t="e">
        <f>VLOOKUP(A192,Enforcements!$C$7:$E$21,3,0)</f>
        <v>#N/A</v>
      </c>
      <c r="AD192" s="61" t="str">
        <f>IF(LEN(A192)=6,"0"&amp;A192,A192)</f>
        <v>0836-13</v>
      </c>
      <c r="AE192" s="91" t="str">
        <f>"aws s3 cp "&amp;s3_bucket&amp;"/RTDC"&amp;B192&amp;"/ "&amp;search_path&amp;"\RTDC"&amp;B192&amp;"\"&amp;TEXT(F192,"YYYY-MM-DD")&amp;" --exclude ""*"" --recursive --include ""*"&amp;TEXT(F192,"YYYYMMDD")&amp;"*"" &amp; """&amp;walkandungz&amp;""" "&amp;search_path&amp;"\RTDC"&amp;B192&amp;"\"&amp;TEXT(F192,"YYYY-MM-DD")
&amp;" &amp; "&amp;"aws s3 cp "&amp;s3_bucket&amp;"/RTDC"&amp;B192&amp;"/ "&amp;search_path&amp;"\RTDC"&amp;B192&amp;"\"&amp;TEXT(F192+1,"YYYY-MM-DD")&amp;" --exclude ""*"" --recursive --include ""*"&amp;TEXT(F192+1,"YYYYMMDD")&amp;"*"" &amp; """&amp;walkandungz&amp;""" "&amp;search_path&amp;"\RTDC"&amp;B192&amp;"\"&amp;TEXT(F192+1,"YYYY-MM-DD")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92" s="88" t="str">
        <f>astrogrep_path&amp;" /spath="&amp;search_path&amp;" /stypes=""app*"&amp;B192&amp;"*"&amp;TEXT(I192-utc_offset/24,"YYYYMMDD")&amp;"*"" /stext="" "&amp;TEXT(I192-utc_offset/24,"HH")&amp;search_regexp&amp;""" /e /r /s"</f>
        <v>"C:\Program Files (x86)\AstroGrep\AstroGrep.exe" /spath="%USERPROFILE%\AppData\Local\Temp\OnboardLogs" /stypes="app*4039*20161014*" /stext=" 00:.+((SYSTEM_STATE.+slice.+state.+changed )|(ment ac)|(system.+state.+changed )|(\[timeout)|(PRM\|1\|D)|(kpr)|(kdp)|(\|lc)|(penalty))" /e /r /s</v>
      </c>
      <c r="AG192" s="1" t="str">
        <f>IFERROR(IF(VALUE(LEFT(AD192,2))&lt;=2,"EC",IF(OR(VALUE(LEFT(AD192,2))=8,VALUE(LEFT(AD192,2))=18),"NW","Other")),"Other")</f>
        <v>NW</v>
      </c>
      <c r="AH192" s="92" t="str">
        <f t="shared" si="13"/>
        <v>"%USERPROFILE%\Documents\GitHub\eaglep3\Utilities\RefineRTDCRunTimes.py" --tripid 836-13 --locoid 4039 --swversion DE.1.0.7.0 --startMP 300:58598 --initTime 2016-10-13T18:07:11 --startdatetime 2016-10-13T18:09:34 --delay 1 --endMP 204:670 --enddatetime 2016-10-13T18:26:50 --enforcementcount 1 &gt;&gt;C:\Users\stu\Documents\GitHub\eaglep3-reporting\EC\2016-10-13-refined-times.txt</v>
      </c>
      <c r="AI192" s="122" t="str">
        <f t="shared" si="14"/>
        <v>echo {"issue":{"subject":"","project_id":79,"tracker_id":40,"status_id":1,"priority_id":2,"assigned_to_id":23,"start_date":"2016-10-13","description":"","custom_fields":[{"id":1,"name":"Subdivision","value":"NW"},{"id":4,"name":"Milepost","value":"0.067"},{"id":17,"name":"Train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s="21" customFormat="1" x14ac:dyDescent="0.25">
      <c r="A193" s="37" t="s">
        <v>416</v>
      </c>
      <c r="B193" s="7">
        <v>4031</v>
      </c>
      <c r="C193" s="22" t="s">
        <v>99</v>
      </c>
      <c r="D193" s="22" t="s">
        <v>748</v>
      </c>
      <c r="E193" s="13">
        <v>42656.748738425929</v>
      </c>
      <c r="F193" s="13">
        <v>42656.764826388891</v>
      </c>
      <c r="G193" s="7">
        <v>1</v>
      </c>
      <c r="H193" s="13" t="s">
        <v>728</v>
      </c>
      <c r="I193" s="13">
        <v>42656.774236111109</v>
      </c>
      <c r="J193" s="7">
        <v>1</v>
      </c>
      <c r="K193" s="112" t="str">
        <f>IF(ISEVEN(B193),(B193-1)&amp;"/"&amp;B193,B193&amp;"/"&amp;(B193+1))</f>
        <v>4031/4032</v>
      </c>
      <c r="L193" s="22" t="str">
        <f>VLOOKUP(A193,'Trips&amp;Operators'!$C$1:$E$10000,3,FALSE)</f>
        <v>HELVIE</v>
      </c>
      <c r="M193" s="6">
        <f>I193-F193</f>
        <v>9.4097222172422335E-3</v>
      </c>
      <c r="N193" s="7">
        <f>24*60*SUM($M193:$M193)</f>
        <v>13.549999992828816</v>
      </c>
      <c r="O193" s="7"/>
      <c r="P193" s="7"/>
      <c r="Q193" s="23"/>
      <c r="R193" s="23"/>
      <c r="S193" s="35">
        <f>SUM(U193:U193)/IF(AG193="EC",12,1)</f>
        <v>1</v>
      </c>
      <c r="T193" s="50" t="str">
        <f>IF(ISEVEN(LEFT(AD193,4)),"Southbound","NorthBound")</f>
        <v>NorthBound</v>
      </c>
      <c r="U193" s="144">
        <f>IF(AG193="EC",COUNTIFS(Variables!$M$2:$M$19,IF(T193="NorthBound","&gt;=","&lt;=")&amp;Y193,Variables!$M$2:$M$19,IF(T193="NorthBound","&lt;=","&gt;=")&amp;Z193),COUNTIFS(Variables!$P$2:$P$19,IF(T193="NorthBound","&gt;=","&lt;=")&amp;Y193,Variables!$P$2:$P$19,IF(T193="NorthBound","&lt;=","&gt;=")&amp;Z193))</f>
        <v>1</v>
      </c>
      <c r="V193" s="98" t="str">
        <f>"https://search-rtdc-monitor-bjffxe2xuh6vdkpspy63sjmuny.us-east-1.es.amazonaws.com/_plugin/kibana/#/discover/Steve-Slow-Train-Analysis-(2080s-and-2083s)?_g=(refreshInterval:(display:Off,section:0,value:0),time:(from:'"&amp;TEXT(E193-1/24,"yyyy-MM-DD hh:mm:ss")&amp;"-0600',mode:absolute,to:'"&amp;TEXT(I193+1/24,"yyyy-MM-DD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193&amp;"%22')),sort:!(Time,asc))"</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3" s="52" t="str">
        <f>IF(AA193&lt;IF(AG193="EC",23,5.65),"Y","N")</f>
        <v>N</v>
      </c>
      <c r="X193" s="149">
        <f>VALUE(LEFT(AD193,4))-VALUE(LEFT(AD192,4))</f>
        <v>1</v>
      </c>
      <c r="Y193" s="67">
        <f>RIGHT(D193,LEN(D193)-4)/10000</f>
        <v>0.1062</v>
      </c>
      <c r="Z193" s="67">
        <f>RIGHT(H193,LEN(H193)-4)/10000</f>
        <v>5.8930999999999996</v>
      </c>
      <c r="AA193" s="67">
        <f>ABS(Z193-Y193)</f>
        <v>5.7868999999999993</v>
      </c>
      <c r="AB193" s="64" t="e">
        <f>VLOOKUP(A193,Enforcements!$C$7:$K$21,8,0)</f>
        <v>#N/A</v>
      </c>
      <c r="AC193" s="60" t="e">
        <f>VLOOKUP(A193,Enforcements!$C$7:$E$21,3,0)</f>
        <v>#N/A</v>
      </c>
      <c r="AD193" s="61" t="str">
        <f>IF(LEN(A193)=6,"0"&amp;A193,A193)</f>
        <v>0837-13</v>
      </c>
      <c r="AE193" s="91" t="str">
        <f>"aws s3 cp "&amp;s3_bucket&amp;"/RTDC"&amp;B193&amp;"/ "&amp;search_path&amp;"\RTDC"&amp;B193&amp;"\"&amp;TEXT(F193,"YYYY-MM-DD")&amp;" --exclude ""*"" --recursive --include ""*"&amp;TEXT(F193,"YYYYMMDD")&amp;"*"" &amp; """&amp;walkandungz&amp;""" "&amp;search_path&amp;"\RTDC"&amp;B193&amp;"\"&amp;TEXT(F193,"YYYY-MM-DD")
&amp;" &amp; "&amp;"aws s3 cp "&amp;s3_bucket&amp;"/RTDC"&amp;B193&amp;"/ "&amp;search_path&amp;"\RTDC"&amp;B193&amp;"\"&amp;TEXT(F193+1,"YYYY-MM-DD")&amp;" --exclude ""*"" --recursive --include ""*"&amp;TEXT(F193+1,"YYYYMMDD")&amp;"*"" &amp; """&amp;walkandungz&amp;""" "&amp;search_path&amp;"\RTDC"&amp;B193&amp;"\"&amp;TEXT(F193+1,"YYYY-MM-DD")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3" s="88" t="str">
        <f>astrogrep_path&amp;" /spath="&amp;search_path&amp;" /stypes=""app*"&amp;B193&amp;"*"&amp;TEXT(I193-utc_offset/24,"YYYYMMDD")&amp;"*"" /stext="" "&amp;TEXT(I193-utc_offset/24,"HH")&amp;search_regexp&amp;""" /e /r /s"</f>
        <v>"C:\Program Files (x86)\AstroGrep\AstroGrep.exe" /spath="%USERPROFILE%\AppData\Local\Temp\OnboardLogs" /stypes="app*4031*20161014*" /stext=" 00:.+((SYSTEM_STATE.+slice.+state.+changed )|(ment ac)|(system.+state.+changed )|(\[timeout)|(PRM\|1\|D)|(kpr)|(kdp)|(\|lc)|(penalty))" /e /r /s</v>
      </c>
      <c r="AG193" s="1" t="str">
        <f>IFERROR(IF(VALUE(LEFT(AD193,2))&lt;=2,"EC",IF(OR(VALUE(LEFT(AD193,2))=8,VALUE(LEFT(AD193,2))=18),"NW","Other")),"Other")</f>
        <v>NW</v>
      </c>
      <c r="AH193" s="92" t="str">
        <f t="shared" si="13"/>
        <v>"%USERPROFILE%\Documents\GitHub\eaglep3\Utilities\RefineRTDCRunTimes.py" --tripid 837-13 --locoid 4031 --swversion DE.1.0.7.0 --startMP 204:1062 --initTime 2016-10-13T17:58:11 --startdatetime 2016-10-13T18:21:21 --delay 1 --endMP 300:58931 --enddatetime 2016-10-13T18:34:54 --enforcementcount 1 &gt;&gt;C:\Users\stu\Documents\GitHub\eaglep3-reporting\EC\2016-10-13-refined-times.txt</v>
      </c>
      <c r="AI193" s="122" t="str">
        <f t="shared" si="14"/>
        <v>echo {"issue":{"subject":"","project_id":79,"tracker_id":40,"status_id":1,"priority_id":2,"assigned_to_id":23,"start_date":"2016-10-13","description":"","custom_fields":[{"id":1,"name":"Subdivision","value":"NW"},{"id":4,"name":"Milepost","value":"5.8931"},{"id":17,"name":"Train ID","value":"837-13"},{"id":16,"name":"Locomotive ID","value":"4031"},{"id":130,"name":"Impact","value":""},{"id":150,"name":"Time of Event (Mountain Time)","value":"18:34:54"},{"id":151,"name":"Denver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568</v>
      </c>
      <c r="B194" s="7">
        <v>4032</v>
      </c>
      <c r="C194" s="22" t="s">
        <v>99</v>
      </c>
      <c r="D194" s="22" t="s">
        <v>330</v>
      </c>
      <c r="E194" s="13">
        <v>42656.775613425925</v>
      </c>
      <c r="F194" s="13">
        <v>42656.776886574073</v>
      </c>
      <c r="G194" s="7">
        <v>1</v>
      </c>
      <c r="H194" s="13" t="s">
        <v>749</v>
      </c>
      <c r="I194" s="13">
        <v>42656.788124999999</v>
      </c>
      <c r="J194" s="7">
        <v>1</v>
      </c>
      <c r="K194" s="112" t="str">
        <f>IF(ISEVEN(B194),(B194-1)&amp;"/"&amp;B194,B194&amp;"/"&amp;(B194+1))</f>
        <v>4031/4032</v>
      </c>
      <c r="L194" s="22" t="str">
        <f>VLOOKUP(A194,'Trips&amp;Operators'!$C$1:$E$10000,3,FALSE)</f>
        <v>HELVIE</v>
      </c>
      <c r="M194" s="6">
        <f>I194-F194</f>
        <v>1.1238425926421769E-2</v>
      </c>
      <c r="N194" s="7">
        <f>24*60*SUM($M194:$M194)</f>
        <v>16.183333334047347</v>
      </c>
      <c r="O194" s="7"/>
      <c r="P194" s="7"/>
      <c r="Q194" s="23"/>
      <c r="R194" s="23"/>
      <c r="S194" s="35">
        <f>SUM(U194:U194)/IF(AG194="EC",12,1)</f>
        <v>1</v>
      </c>
      <c r="T194" s="50" t="str">
        <f>IF(ISEVEN(LEFT(AD194,4)),"Southbound","NorthBound")</f>
        <v>Southbound</v>
      </c>
      <c r="U194" s="144">
        <f>IF(AG194="EC",COUNTIFS(Variables!$M$2:$M$19,IF(T194="NorthBound","&gt;=","&lt;=")&amp;Y194,Variables!$M$2:$M$19,IF(T194="NorthBound","&lt;=","&gt;=")&amp;Z194),COUNTIFS(Variables!$P$2:$P$19,IF(T194="NorthBound","&gt;=","&lt;=")&amp;Y194,Variables!$P$2:$P$19,IF(T194="NorthBound","&lt;=","&gt;=")&amp;Z194))</f>
        <v>1</v>
      </c>
      <c r="V194" s="98" t="str">
        <f>"https://search-rtdc-monitor-bjffxe2xuh6vdkpspy63sjmuny.us-east-1.es.amazonaws.com/_plugin/kibana/#/discover/Steve-Slow-Train-Analysis-(2080s-and-2083s)?_g=(refreshInterval:(display:Off,section:0,value:0),time:(from:'"&amp;TEXT(E194-1/24,"yyyy-MM-DD hh:mm:ss")&amp;"-0600',mode:absolute,to:'"&amp;TEXT(I194+1/24,"yyyy-MM-DD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194&amp;"%22')),sort:!(Time,asc))"</f>
        <v>https://search-rtdc-monitor-bjffxe2xuh6vdkpspy63sjmuny.us-east-1.es.amazonaws.com/_plugin/kibana/#/discover/Steve-Slow-Train-Analysis-(2080s-and-2083s)?_g=(refreshInterval:(display:Off,section:0,value:0),time:(from:'2016-10-13 17:36:53-0600',mode:absolute,to:'2016-10-13 19: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4" s="52" t="str">
        <f>IF(AA194&lt;IF(AG194="EC",23,5.65),"Y","N")</f>
        <v>N</v>
      </c>
      <c r="X194" s="149">
        <f>VALUE(LEFT(AD194,4))-VALUE(LEFT(AD193,4))</f>
        <v>1</v>
      </c>
      <c r="Y194" s="67">
        <f>RIGHT(D194,LEN(D194)-4)/10000</f>
        <v>5.8611000000000004</v>
      </c>
      <c r="Z194" s="67">
        <f>RIGHT(H194,LEN(H194)-4)/10000</f>
        <v>7.7100000000000002E-2</v>
      </c>
      <c r="AA194" s="67">
        <f>ABS(Z194-Y194)</f>
        <v>5.7840000000000007</v>
      </c>
      <c r="AB194" s="64" t="e">
        <f>VLOOKUP(A194,Enforcements!$C$7:$K$21,8,0)</f>
        <v>#N/A</v>
      </c>
      <c r="AC194" s="60" t="e">
        <f>VLOOKUP(A194,Enforcements!$C$7:$E$21,3,0)</f>
        <v>#N/A</v>
      </c>
      <c r="AD194" s="61" t="str">
        <f>IF(LEN(A194)=6,"0"&amp;A194,A194)</f>
        <v>0838-13</v>
      </c>
      <c r="AE194" s="91" t="str">
        <f>"aws s3 cp "&amp;s3_bucket&amp;"/RTDC"&amp;B194&amp;"/ "&amp;search_path&amp;"\RTDC"&amp;B194&amp;"\"&amp;TEXT(F194,"YYYY-MM-DD")&amp;" --exclude ""*"" --recursive --include ""*"&amp;TEXT(F194,"YYYYMMDD")&amp;"*"" &amp; """&amp;walkandungz&amp;""" "&amp;search_path&amp;"\RTDC"&amp;B194&amp;"\"&amp;TEXT(F194,"YYYY-MM-DD")
&amp;" &amp; "&amp;"aws s3 cp "&amp;s3_bucket&amp;"/RTDC"&amp;B194&amp;"/ "&amp;search_path&amp;"\RTDC"&amp;B194&amp;"\"&amp;TEXT(F194+1,"YYYY-MM-DD")&amp;" --exclude ""*"" --recursive --include ""*"&amp;TEXT(F194+1,"YYYYMMDD")&amp;"*"" &amp; """&amp;walkandungz&amp;""" "&amp;search_path&amp;"\RTDC"&amp;B194&amp;"\"&amp;TEXT(F194+1,"YYYY-MM-DD")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4" s="88" t="str">
        <f>astrogrep_path&amp;" /spath="&amp;search_path&amp;" /stypes=""app*"&amp;B194&amp;"*"&amp;TEXT(I194-utc_offset/24,"YYYYMMDD")&amp;"*"" /stext="" "&amp;TEXT(I194-utc_offset/24,"HH")&amp;search_regexp&amp;""" /e /r /s"</f>
        <v>"C:\Program Files (x86)\AstroGrep\AstroGrep.exe" /spath="%USERPROFILE%\AppData\Local\Temp\OnboardLogs" /stypes="app*4032*20161014*" /stext=" 00:.+((SYSTEM_STATE.+slice.+state.+changed )|(ment ac)|(system.+state.+changed )|(\[timeout)|(PRM\|1\|D)|(kpr)|(kdp)|(\|lc)|(penalty))" /e /r /s</v>
      </c>
      <c r="AG194" s="1" t="str">
        <f>IFERROR(IF(VALUE(LEFT(AD194,2))&lt;=2,"EC",IF(OR(VALUE(LEFT(AD194,2))=8,VALUE(LEFT(AD194,2))=18),"NW","Other")),"Other")</f>
        <v>NW</v>
      </c>
      <c r="AH194" s="92" t="str">
        <f t="shared" si="13"/>
        <v>"%USERPROFILE%\Documents\GitHub\eaglep3\Utilities\RefineRTDCRunTimes.py" --tripid 838-13 --locoid 4032 --swversion DE.1.0.7.0 --startMP 300:58611 --initTime 2016-10-13T18:36:53 --startdatetime 2016-10-13T18:38:43 --delay 1 --endMP 204:771 --enddatetime 2016-10-13T18:54:54 --enforcementcount 1 &gt;&gt;C:\Users\stu\Documents\GitHub\eaglep3-reporting\EC\2016-10-13-refined-times.txt</v>
      </c>
      <c r="AI194" s="122" t="str">
        <f t="shared" si="14"/>
        <v>echo {"issue":{"subject":"","project_id":79,"tracker_id":40,"status_id":1,"priority_id":2,"assigned_to_id":23,"start_date":"2016-10-13","description":"","custom_fields":[{"id":1,"name":"Subdivision","value":"NW"},{"id":4,"name":"Milepost","value":"0.0771"},{"id":17,"name":"Train ID","value":"838-13"},{"id":16,"name":"Locomotive ID","value":"4032"},{"id":130,"name":"Impact","value":""},{"id":150,"name":"Time of Event (Mountain Time)","value":"18:54:54"},{"id":151,"name":"Denver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s="21" customFormat="1" x14ac:dyDescent="0.25">
      <c r="A195" s="37" t="s">
        <v>570</v>
      </c>
      <c r="B195" s="7">
        <v>4040</v>
      </c>
      <c r="C195" s="22" t="s">
        <v>99</v>
      </c>
      <c r="D195" s="22" t="s">
        <v>750</v>
      </c>
      <c r="E195" s="13">
        <v>42656.782685185186</v>
      </c>
      <c r="F195" s="13">
        <v>42656.785567129627</v>
      </c>
      <c r="G195" s="7">
        <v>1</v>
      </c>
      <c r="H195" s="13" t="s">
        <v>355</v>
      </c>
      <c r="I195" s="13">
        <v>42656.79478009259</v>
      </c>
      <c r="J195" s="7">
        <v>1</v>
      </c>
      <c r="K195" s="112" t="str">
        <f>IF(ISEVEN(B195),(B195-1)&amp;"/"&amp;B195,B195&amp;"/"&amp;(B195+1))</f>
        <v>4039/4040</v>
      </c>
      <c r="L195" s="22" t="str">
        <f>VLOOKUP(A195,'Trips&amp;Operators'!$C$1:$E$10000,3,FALSE)</f>
        <v>YANAI</v>
      </c>
      <c r="M195" s="6">
        <f>I195-F195</f>
        <v>9.2129629629198462E-3</v>
      </c>
      <c r="N195" s="7">
        <f>24*60*SUM($M195:$M195)</f>
        <v>13.266666666604578</v>
      </c>
      <c r="O195" s="7"/>
      <c r="P195" s="7"/>
      <c r="Q195" s="23"/>
      <c r="R195" s="23"/>
      <c r="S195" s="35">
        <f>SUM(U195:U195)/IF(AG195="EC",12,1)</f>
        <v>1</v>
      </c>
      <c r="T195" s="50" t="str">
        <f>IF(ISEVEN(LEFT(AD195,4)),"Southbound","NorthBound")</f>
        <v>NorthBound</v>
      </c>
      <c r="U195" s="144">
        <f>IF(AG195="EC",COUNTIFS(Variables!$M$2:$M$19,IF(T195="NorthBound","&gt;=","&lt;=")&amp;Y195,Variables!$M$2:$M$19,IF(T195="NorthBound","&lt;=","&gt;=")&amp;Z195),COUNTIFS(Variables!$P$2:$P$19,IF(T195="NorthBound","&gt;=","&lt;=")&amp;Y195,Variables!$P$2:$P$19,IF(T195="NorthBound","&lt;=","&gt;=")&amp;Z195))</f>
        <v>1</v>
      </c>
      <c r="V195" s="98" t="str">
        <f>"https://search-rtdc-monitor-bjffxe2xuh6vdkpspy63sjmuny.us-east-1.es.amazonaws.com/_plugin/kibana/#/discover/Steve-Slow-Train-Analysis-(2080s-and-2083s)?_g=(refreshInterval:(display:Off,section:0,value:0),time:(from:'"&amp;TEXT(E195-1/24,"yyyy-MM-DD hh:mm:ss")&amp;"-0600',mode:absolute,to:'"&amp;TEXT(I195+1/24,"yyyy-MM-DD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195&amp;"%22')),sort:!(Time,asc))"</f>
        <v>https://search-rtdc-monitor-bjffxe2xuh6vdkpspy63sjmuny.us-east-1.es.amazonaws.com/_plugin/kibana/#/discover/Steve-Slow-Train-Analysis-(2080s-and-2083s)?_g=(refreshInterval:(display:Off,section:0,value:0),time:(from:'2016-10-13 17:47:04-0600',mode:absolute,to:'2016-10-13 20:04: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5" s="52" t="str">
        <f>IF(AA195&lt;IF(AG195="EC",23,5.65),"Y","N")</f>
        <v>N</v>
      </c>
      <c r="X195" s="149">
        <f>VALUE(LEFT(AD195,4))-VALUE(LEFT(AD194,4))</f>
        <v>1</v>
      </c>
      <c r="Y195" s="67">
        <f>RIGHT(D195,LEN(D195)-4)/10000</f>
        <v>9.5299999999999996E-2</v>
      </c>
      <c r="Z195" s="67">
        <f>RIGHT(H195,LEN(H195)-4)/10000</f>
        <v>5.8928000000000003</v>
      </c>
      <c r="AA195" s="67">
        <f>ABS(Z195-Y195)</f>
        <v>5.7975000000000003</v>
      </c>
      <c r="AB195" s="64" t="e">
        <f>VLOOKUP(A195,Enforcements!$C$7:$K$21,8,0)</f>
        <v>#N/A</v>
      </c>
      <c r="AC195" s="60" t="e">
        <f>VLOOKUP(A195,Enforcements!$C$7:$E$21,3,0)</f>
        <v>#N/A</v>
      </c>
      <c r="AD195" s="61" t="str">
        <f>IF(LEN(A195)=6,"0"&amp;A195,A195)</f>
        <v>0839-13</v>
      </c>
      <c r="AE195" s="91" t="str">
        <f>"aws s3 cp "&amp;s3_bucket&amp;"/RTDC"&amp;B195&amp;"/ "&amp;search_path&amp;"\RTDC"&amp;B195&amp;"\"&amp;TEXT(F195,"YYYY-MM-DD")&amp;" --exclude ""*"" --recursive --include ""*"&amp;TEXT(F195,"YYYYMMDD")&amp;"*"" &amp; """&amp;walkandungz&amp;""" "&amp;search_path&amp;"\RTDC"&amp;B195&amp;"\"&amp;TEXT(F195,"YYYY-MM-DD")
&amp;" &amp; "&amp;"aws s3 cp "&amp;s3_bucket&amp;"/RTDC"&amp;B195&amp;"/ "&amp;search_path&amp;"\RTDC"&amp;B195&amp;"\"&amp;TEXT(F195+1,"YYYY-MM-DD")&amp;" --exclude ""*"" --recursive --include ""*"&amp;TEXT(F195+1,"YYYYMMDD")&amp;"*"" &amp; """&amp;walkandungz&amp;""" "&amp;search_path&amp;"\RTDC"&amp;B195&amp;"\"&amp;TEXT(F195+1,"YYYY-MM-DD")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5" s="88" t="str">
        <f>astrogrep_path&amp;" /spath="&amp;search_path&amp;" /stypes=""app*"&amp;B195&amp;"*"&amp;TEXT(I195-utc_offset/24,"YYYYMMDD")&amp;"*"" /stext="" "&amp;TEXT(I195-utc_offset/24,"HH")&amp;search_regexp&amp;""" /e /r /s"</f>
        <v>"C:\Program Files (x86)\AstroGrep\AstroGrep.exe" /spath="%USERPROFILE%\AppData\Local\Temp\OnboardLogs" /stypes="app*4040*20161014*" /stext=" 01:.+((SYSTEM_STATE.+slice.+state.+changed )|(ment ac)|(system.+state.+changed )|(\[timeout)|(PRM\|1\|D)|(kpr)|(kdp)|(\|lc)|(penalty))" /e /r /s</v>
      </c>
      <c r="AG195" s="1" t="str">
        <f>IFERROR(IF(VALUE(LEFT(AD195,2))&lt;=2,"EC",IF(OR(VALUE(LEFT(AD195,2))=8,VALUE(LEFT(AD195,2))=18),"NW","Other")),"Other")</f>
        <v>NW</v>
      </c>
      <c r="AH195" s="92" t="str">
        <f t="shared" si="13"/>
        <v>"%USERPROFILE%\Documents\GitHub\eaglep3\Utilities\RefineRTDCRunTimes.py" --tripid 839-13 --locoid 4040 --swversion DE.1.0.7.0 --startMP 204:953 --initTime 2016-10-13T18:47:04 --startdatetime 2016-10-13T18:51:13 --delay 1 --endMP 300:58928 --enddatetime 2016-10-13T19:04:29 --enforcementcount 1 &gt;&gt;C:\Users\stu\Documents\GitHub\eaglep3-reporting\EC\2016-10-13-refined-times.txt</v>
      </c>
      <c r="AI195" s="122" t="str">
        <f t="shared" si="14"/>
        <v>echo {"issue":{"subject":"","project_id":79,"tracker_id":40,"status_id":1,"priority_id":2,"assigned_to_id":23,"start_date":"2016-10-13","description":"","custom_fields":[{"id":1,"name":"Subdivision","value":"NW"},{"id":4,"name":"Milepost","value":"5.8928"},{"id":17,"name":"Train ID","value":"839-13"},{"id":16,"name":"Locomotive ID","value":"4040"},{"id":130,"name":"Impact","value":""},{"id":150,"name":"Time of Event (Mountain Time)","value":"19:04:29"},{"id":151,"name":"Denver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1" customFormat="1" x14ac:dyDescent="0.25">
      <c r="A196" s="37" t="s">
        <v>578</v>
      </c>
      <c r="B196" s="7">
        <v>4032</v>
      </c>
      <c r="C196" s="22" t="s">
        <v>99</v>
      </c>
      <c r="D196" s="22" t="s">
        <v>706</v>
      </c>
      <c r="E196" s="13">
        <v>42656.81826388889</v>
      </c>
      <c r="F196" s="13">
        <v>42656.819722222222</v>
      </c>
      <c r="G196" s="7">
        <v>1</v>
      </c>
      <c r="H196" s="13" t="s">
        <v>751</v>
      </c>
      <c r="I196" s="13">
        <v>42656.83011574074</v>
      </c>
      <c r="J196" s="7">
        <v>1</v>
      </c>
      <c r="K196" s="112" t="str">
        <f>IF(ISEVEN(B196),(B196-1)&amp;"/"&amp;B196,B196&amp;"/"&amp;(B196+1))</f>
        <v>4031/4032</v>
      </c>
      <c r="L196" s="22" t="str">
        <f>VLOOKUP(A196,'Trips&amp;Operators'!$C$1:$E$10000,3,FALSE)</f>
        <v>HELVIE</v>
      </c>
      <c r="M196" s="6">
        <f>I196-F196</f>
        <v>1.0393518517958E-2</v>
      </c>
      <c r="N196" s="7">
        <f>24*60*SUM($M196:$M196)</f>
        <v>14.96666666585952</v>
      </c>
      <c r="O196" s="7"/>
      <c r="P196" s="7"/>
      <c r="Q196" s="23"/>
      <c r="R196" s="23"/>
      <c r="S196" s="35">
        <f>SUM(U196:U196)/IF(AG196="EC",12,1)</f>
        <v>1</v>
      </c>
      <c r="T196" s="50" t="str">
        <f>IF(ISEVEN(LEFT(AD196,4)),"Southbound","NorthBound")</f>
        <v>Southbound</v>
      </c>
      <c r="U196" s="144">
        <f>IF(AG196="EC",COUNTIFS(Variables!$M$2:$M$19,IF(T196="NorthBound","&gt;=","&lt;=")&amp;Y196,Variables!$M$2:$M$19,IF(T196="NorthBound","&lt;=","&gt;=")&amp;Z196),COUNTIFS(Variables!$P$2:$P$19,IF(T196="NorthBound","&gt;=","&lt;=")&amp;Y196,Variables!$P$2:$P$19,IF(T196="NorthBound","&lt;=","&gt;=")&amp;Z196))</f>
        <v>1</v>
      </c>
      <c r="V196" s="98" t="str">
        <f>"https://search-rtdc-monitor-bjffxe2xuh6vdkpspy63sjmuny.us-east-1.es.amazonaws.com/_plugin/kibana/#/discover/Steve-Slow-Train-Analysis-(2080s-and-2083s)?_g=(refreshInterval:(display:Off,section:0,value:0),time:(from:'"&amp;TEXT(E196-1/24,"yyyy-MM-DD hh:mm:ss")&amp;"-0600',mode:absolute,to:'"&amp;TEXT(I196+1/24,"yyyy-MM-DD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196&amp;"%22')),sort:!(Time,asc))"</f>
        <v>https://search-rtdc-monitor-bjffxe2xuh6vdkpspy63sjmuny.us-east-1.es.amazonaws.com/_plugin/kibana/#/discover/Steve-Slow-Train-Analysis-(2080s-and-2083s)?_g=(refreshInterval:(display:Off,section:0,value:0),time:(from:'2016-10-13 18:38:18-0600',mode:absolute,to:'2016-10-13 20: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6" s="52" t="str">
        <f>IF(AA196&lt;IF(AG196="EC",23,5.65),"Y","N")</f>
        <v>N</v>
      </c>
      <c r="X196" s="149">
        <f>VALUE(LEFT(AD196,4))-VALUE(LEFT(AD195,4))</f>
        <v>1</v>
      </c>
      <c r="Y196" s="67">
        <f>RIGHT(D196,LEN(D196)-4)/10000</f>
        <v>5.8615000000000004</v>
      </c>
      <c r="Z196" s="67">
        <f>RIGHT(H196,LEN(H196)-4)/10000</f>
        <v>7.85E-2</v>
      </c>
      <c r="AA196" s="67">
        <f>ABS(Z196-Y196)</f>
        <v>5.7830000000000004</v>
      </c>
      <c r="AB196" s="64" t="e">
        <f>VLOOKUP(A196,Enforcements!$C$7:$K$21,8,0)</f>
        <v>#N/A</v>
      </c>
      <c r="AC196" s="60" t="e">
        <f>VLOOKUP(A196,Enforcements!$C$7:$E$21,3,0)</f>
        <v>#N/A</v>
      </c>
      <c r="AD196" s="61" t="str">
        <f>IF(LEN(A196)=6,"0"&amp;A196,A196)</f>
        <v>0840-13</v>
      </c>
      <c r="AE196" s="91" t="str">
        <f>"aws s3 cp "&amp;s3_bucket&amp;"/RTDC"&amp;B196&amp;"/ "&amp;search_path&amp;"\RTDC"&amp;B196&amp;"\"&amp;TEXT(F196,"YYYY-MM-DD")&amp;" --exclude ""*"" --recursive --include ""*"&amp;TEXT(F196,"YYYYMMDD")&amp;"*"" &amp; """&amp;walkandungz&amp;""" "&amp;search_path&amp;"\RTDC"&amp;B196&amp;"\"&amp;TEXT(F196,"YYYY-MM-DD")
&amp;" &amp; "&amp;"aws s3 cp "&amp;s3_bucket&amp;"/RTDC"&amp;B196&amp;"/ "&amp;search_path&amp;"\RTDC"&amp;B196&amp;"\"&amp;TEXT(F196+1,"YYYY-MM-DD")&amp;" --exclude ""*"" --recursive --include ""*"&amp;TEXT(F196+1,"YYYYMMDD")&amp;"*"" &amp; """&amp;walkandungz&amp;""" "&amp;search_path&amp;"\RTDC"&amp;B196&amp;"\"&amp;TEXT(F196+1,"YYYY-MM-DD")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6" s="88" t="str">
        <f>astrogrep_path&amp;" /spath="&amp;search_path&amp;" /stypes=""app*"&amp;B196&amp;"*"&amp;TEXT(I196-utc_offset/24,"YYYYMMDD")&amp;"*"" /stext="" "&amp;TEXT(I196-utc_offset/24,"HH")&amp;search_regexp&amp;""" /e /r /s"</f>
        <v>"C:\Program Files (x86)\AstroGrep\AstroGrep.exe" /spath="%USERPROFILE%\AppData\Local\Temp\OnboardLogs" /stypes="app*4032*20161014*" /stext=" 01:.+((SYSTEM_STATE.+slice.+state.+changed )|(ment ac)|(system.+state.+changed )|(\[timeout)|(PRM\|1\|D)|(kpr)|(kdp)|(\|lc)|(penalty))" /e /r /s</v>
      </c>
      <c r="AG196" s="1" t="str">
        <f>IFERROR(IF(VALUE(LEFT(AD196,2))&lt;=2,"EC",IF(OR(VALUE(LEFT(AD196,2))=8,VALUE(LEFT(AD196,2))=18),"NW","Other")),"Other")</f>
        <v>NW</v>
      </c>
      <c r="AH196" s="92" t="str">
        <f t="shared" si="13"/>
        <v>"%USERPROFILE%\Documents\GitHub\eaglep3\Utilities\RefineRTDCRunTimes.py" --tripid 840-13 --locoid 4032 --swversion DE.1.0.7.0 --startMP 300:58615 --initTime 2016-10-13T19:38:18 --startdatetime 2016-10-13T19:40:24 --delay 1 --endMP 204:785 --enddatetime 2016-10-13T19:55:22 --enforcementcount 1 &gt;&gt;C:\Users\stu\Documents\GitHub\eaglep3-reporting\EC\2016-10-13-refined-times.txt</v>
      </c>
      <c r="AI196" s="122" t="str">
        <f t="shared" si="14"/>
        <v>echo {"issue":{"subject":"","project_id":79,"tracker_id":40,"status_id":1,"priority_id":2,"assigned_to_id":23,"start_date":"2016-10-13","description":"","custom_fields":[{"id":1,"name":"Subdivision","value":"NW"},{"id":4,"name":"Milepost","value":"0.0785"},{"id":17,"name":"Train ID","value":"840-13"},{"id":16,"name":"Locomotive ID","value":"4032"},{"id":130,"name":"Impact","value":""},{"id":150,"name":"Time of Event (Mountain Time)","value":"19:55:22"},{"id":151,"name":"Denver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x14ac:dyDescent="0.25">
      <c r="A197" s="37" t="s">
        <v>576</v>
      </c>
      <c r="B197" s="7">
        <v>4031</v>
      </c>
      <c r="C197" s="22" t="s">
        <v>99</v>
      </c>
      <c r="D197" s="22" t="s">
        <v>752</v>
      </c>
      <c r="E197" s="13">
        <v>42656.793240740742</v>
      </c>
      <c r="F197" s="13">
        <v>42656.806469907409</v>
      </c>
      <c r="G197" s="7">
        <v>12</v>
      </c>
      <c r="H197" s="13" t="s">
        <v>355</v>
      </c>
      <c r="I197" s="13">
        <v>42656.817245370374</v>
      </c>
      <c r="J197" s="7">
        <v>1</v>
      </c>
      <c r="K197" s="112" t="str">
        <f>IF(ISEVEN(B197),(B197-1)&amp;"/"&amp;B197,B197&amp;"/"&amp;(B197+1))</f>
        <v>4031/4032</v>
      </c>
      <c r="L197" s="22" t="str">
        <f>VLOOKUP(A197,'Trips&amp;Operators'!$C$1:$E$10000,3,FALSE)</f>
        <v>HELVIE</v>
      </c>
      <c r="M197" s="6">
        <f>I197-F197</f>
        <v>1.0775462964375038E-2</v>
      </c>
      <c r="N197" s="7">
        <f>24*60*SUM($M197:$M197)</f>
        <v>15.516666668700054</v>
      </c>
      <c r="O197" s="7"/>
      <c r="P197" s="7"/>
      <c r="Q197" s="23"/>
      <c r="R197" s="23"/>
      <c r="S197" s="35">
        <f>SUM(U197:U197)/IF(AG197="EC",12,1)</f>
        <v>1</v>
      </c>
      <c r="T197" s="50" t="str">
        <f>IF(ISEVEN(LEFT(AD197,4)),"Southbound","NorthBound")</f>
        <v>NorthBound</v>
      </c>
      <c r="U197" s="144">
        <f>IF(AG197="EC",COUNTIFS(Variables!$M$2:$M$19,IF(T197="NorthBound","&gt;=","&lt;=")&amp;Y197,Variables!$M$2:$M$19,IF(T197="NorthBound","&lt;=","&gt;=")&amp;Z197),COUNTIFS(Variables!$P$2:$P$19,IF(T197="NorthBound","&gt;=","&lt;=")&amp;Y197,Variables!$P$2:$P$19,IF(T197="NorthBound","&lt;=","&gt;=")&amp;Z197))</f>
        <v>1</v>
      </c>
      <c r="V197" s="98" t="str">
        <f>"https://search-rtdc-monitor-bjffxe2xuh6vdkpspy63sjmuny.us-east-1.es.amazonaws.com/_plugin/kibana/#/discover/Steve-Slow-Train-Analysis-(2080s-and-2083s)?_g=(refreshInterval:(display:Off,section:0,value:0),time:(from:'"&amp;TEXT(E197-1/24,"yyyy-MM-DD hh:mm:ss")&amp;"-0600',mode:absolute,to:'"&amp;TEXT(I197+1/24,"yyyy-MM-DD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197&amp;"%22')),sort:!(Time,asc))"</f>
        <v>https://search-rtdc-monitor-bjffxe2xuh6vdkpspy63sjmuny.us-east-1.es.amazonaws.com/_plugin/kibana/#/discover/Steve-Slow-Train-Analysis-(2080s-and-2083s)?_g=(refreshInterval:(display:Off,section:0,value:0),time:(from:'2016-10-13 18:02:16-0600',mode:absolute,to:'2016-10-13 20:36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7" s="52" t="str">
        <f>IF(AA197&lt;IF(AG197="EC",23,5.65),"Y","N")</f>
        <v>N</v>
      </c>
      <c r="X197" s="149">
        <f>VALUE(LEFT(AD197,4))-VALUE(LEFT(AD196,4))</f>
        <v>1</v>
      </c>
      <c r="Y197" s="67">
        <f>RIGHT(D197,LEN(D197)-4)/10000</f>
        <v>0.1046</v>
      </c>
      <c r="Z197" s="67">
        <f>RIGHT(H197,LEN(H197)-4)/10000</f>
        <v>5.8928000000000003</v>
      </c>
      <c r="AA197" s="67">
        <f>ABS(Z197-Y197)</f>
        <v>5.7882000000000007</v>
      </c>
      <c r="AB197" s="64" t="e">
        <f>VLOOKUP(A197,Enforcements!$C$7:$K$21,8,0)</f>
        <v>#N/A</v>
      </c>
      <c r="AC197" s="60" t="e">
        <f>VLOOKUP(A197,Enforcements!$C$7:$E$21,3,0)</f>
        <v>#N/A</v>
      </c>
      <c r="AD197" s="61" t="str">
        <f>IF(LEN(A197)=6,"0"&amp;A197,A197)</f>
        <v>0841-13</v>
      </c>
      <c r="AE197" s="91" t="str">
        <f>"aws s3 cp "&amp;s3_bucket&amp;"/RTDC"&amp;B197&amp;"/ "&amp;search_path&amp;"\RTDC"&amp;B197&amp;"\"&amp;TEXT(F197,"YYYY-MM-DD")&amp;" --exclude ""*"" --recursive --include ""*"&amp;TEXT(F197,"YYYYMMDD")&amp;"*"" &amp; """&amp;walkandungz&amp;""" "&amp;search_path&amp;"\RTDC"&amp;B197&amp;"\"&amp;TEXT(F197,"YYYY-MM-DD")
&amp;" &amp; "&amp;"aws s3 cp "&amp;s3_bucket&amp;"/RTDC"&amp;B197&amp;"/ "&amp;search_path&amp;"\RTDC"&amp;B197&amp;"\"&amp;TEXT(F197+1,"YYYY-MM-DD")&amp;" --exclude ""*"" --recursive --include ""*"&amp;TEXT(F197+1,"YYYYMMDD")&amp;"*"" &amp; """&amp;walkandungz&amp;""" "&amp;search_path&amp;"\RTDC"&amp;B197&amp;"\"&amp;TEXT(F197+1,"YYYY-MM-DD")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7" s="88" t="str">
        <f>astrogrep_path&amp;" /spath="&amp;search_path&amp;" /stypes=""app*"&amp;B197&amp;"*"&amp;TEXT(I197-utc_offset/24,"YYYYMMDD")&amp;"*"" /stext="" "&amp;TEXT(I197-utc_offset/24,"HH")&amp;search_regexp&amp;""" /e /r /s"</f>
        <v>"C:\Program Files (x86)\AstroGrep\AstroGrep.exe" /spath="%USERPROFILE%\AppData\Local\Temp\OnboardLogs" /stypes="app*4031*20161014*" /stext=" 01:.+((SYSTEM_STATE.+slice.+state.+changed )|(ment ac)|(system.+state.+changed )|(\[timeout)|(PRM\|1\|D)|(kpr)|(kdp)|(\|lc)|(penalty))" /e /r /s</v>
      </c>
      <c r="AG197" s="1" t="str">
        <f>IFERROR(IF(VALUE(LEFT(AD197,2))&lt;=2,"EC",IF(OR(VALUE(LEFT(AD197,2))=8,VALUE(LEFT(AD197,2))=18),"NW","Other")),"Other")</f>
        <v>NW</v>
      </c>
      <c r="AH197" s="92" t="str">
        <f t="shared" si="13"/>
        <v>"%USERPROFILE%\Documents\GitHub\eaglep3\Utilities\RefineRTDCRunTimes.py" --tripid 841-13 --locoid 4031 --swversion DE.1.0.7.0 --startMP 204:1046 --initTime 2016-10-13T19:02:16 --startdatetime 2016-10-13T19:21:19 --delay 12 --endMP 300:58928 --enddatetime 2016-10-13T19:36:50 --enforcementcount 1 &gt;&gt;C:\Users\stu\Documents\GitHub\eaglep3-reporting\EC\2016-10-13-refined-times.txt</v>
      </c>
      <c r="AI197" s="122" t="str">
        <f t="shared" si="14"/>
        <v>echo {"issue":{"subject":"","project_id":79,"tracker_id":40,"status_id":1,"priority_id":2,"assigned_to_id":23,"start_date":"2016-10-13","description":"","custom_fields":[{"id":1,"name":"Subdivision","value":"NW"},{"id":4,"name":"Milepost","value":"5.8928"},{"id":17,"name":"Train ID","value":"841-13"},{"id":16,"name":"Locomotive ID","value":"4031"},{"id":130,"name":"Impact","value":""},{"id":150,"name":"Time of Event (Mountain Time)","value":"19:36:50"},{"id":151,"name":"Denver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s="21" customFormat="1" x14ac:dyDescent="0.25">
      <c r="A198" s="37" t="s">
        <v>585</v>
      </c>
      <c r="B198" s="7">
        <v>4032</v>
      </c>
      <c r="C198" s="22" t="s">
        <v>99</v>
      </c>
      <c r="D198" s="22" t="s">
        <v>753</v>
      </c>
      <c r="E198" s="13">
        <v>42656.8596412037</v>
      </c>
      <c r="F198" s="13">
        <v>42656.861076388886</v>
      </c>
      <c r="G198" s="7">
        <v>1</v>
      </c>
      <c r="H198" s="13" t="s">
        <v>754</v>
      </c>
      <c r="I198" s="13">
        <v>42656.87158564815</v>
      </c>
      <c r="J198" s="7">
        <v>1</v>
      </c>
      <c r="K198" s="112" t="str">
        <f>IF(ISEVEN(B198),(B198-1)&amp;"/"&amp;B198,B198&amp;"/"&amp;(B198+1))</f>
        <v>4031/4032</v>
      </c>
      <c r="L198" s="22" t="str">
        <f>VLOOKUP(A198,'Trips&amp;Operators'!$C$1:$E$10000,3,FALSE)</f>
        <v>HELVIE</v>
      </c>
      <c r="M198" s="6">
        <f>I198-F198</f>
        <v>1.0509259263926651E-2</v>
      </c>
      <c r="N198" s="7">
        <f>24*60*SUM($M198:$M198)</f>
        <v>15.133333340054378</v>
      </c>
      <c r="O198" s="7"/>
      <c r="P198" s="7"/>
      <c r="Q198" s="23"/>
      <c r="R198" s="23"/>
      <c r="S198" s="35">
        <f>SUM(U198:U198)/IF(AG198="EC",12,1)</f>
        <v>1</v>
      </c>
      <c r="T198" s="50" t="str">
        <f>IF(ISEVEN(LEFT(AD198,4)),"Southbound","NorthBound")</f>
        <v>Southbound</v>
      </c>
      <c r="U198" s="144">
        <f>IF(AG198="EC",COUNTIFS(Variables!$M$2:$M$19,IF(T198="NorthBound","&gt;=","&lt;=")&amp;Y198,Variables!$M$2:$M$19,IF(T198="NorthBound","&lt;=","&gt;=")&amp;Z198),COUNTIFS(Variables!$P$2:$P$19,IF(T198="NorthBound","&gt;=","&lt;=")&amp;Y198,Variables!$P$2:$P$19,IF(T198="NorthBound","&lt;=","&gt;=")&amp;Z198))</f>
        <v>1</v>
      </c>
      <c r="V198" s="98" t="str">
        <f>"https://search-rtdc-monitor-bjffxe2xuh6vdkpspy63sjmuny.us-east-1.es.amazonaws.com/_plugin/kibana/#/discover/Steve-Slow-Train-Analysis-(2080s-and-2083s)?_g=(refreshInterval:(display:Off,section:0,value:0),time:(from:'"&amp;TEXT(E198-1/24,"yyyy-MM-DD hh:mm:ss")&amp;"-0600',mode:absolute,to:'"&amp;TEXT(I198+1/24,"yyyy-MM-DD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198&amp;"%22')),sort:!(Time,asc))"</f>
        <v>https://search-rtdc-monitor-bjffxe2xuh6vdkpspy63sjmuny.us-east-1.es.amazonaws.com/_plugin/kibana/#/discover/Steve-Slow-Train-Analysis-(2080s-and-2083s)?_g=(refreshInterval:(display:Off,section:0,value:0),time:(from:'2016-10-13 19:37:53-0600',mode:absolute,to:'2016-10-13 21: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8" s="52" t="str">
        <f>IF(AA198&lt;IF(AG198="EC",23,5.65),"Y","N")</f>
        <v>N</v>
      </c>
      <c r="X198" s="149">
        <f>VALUE(LEFT(AD198,4))-VALUE(LEFT(AD197,4))</f>
        <v>1</v>
      </c>
      <c r="Y198" s="67">
        <f>RIGHT(D198,LEN(D198)-4)/10000</f>
        <v>5.8608000000000002</v>
      </c>
      <c r="Z198" s="67">
        <f>RIGHT(H198,LEN(H198)-4)/10000</f>
        <v>7.6399999999999996E-2</v>
      </c>
      <c r="AA198" s="67">
        <f>ABS(Z198-Y198)</f>
        <v>5.7844000000000007</v>
      </c>
      <c r="AB198" s="64" t="e">
        <f>VLOOKUP(A198,Enforcements!$C$7:$K$21,8,0)</f>
        <v>#N/A</v>
      </c>
      <c r="AC198" s="60" t="e">
        <f>VLOOKUP(A198,Enforcements!$C$7:$E$21,3,0)</f>
        <v>#N/A</v>
      </c>
      <c r="AD198" s="61" t="str">
        <f>IF(LEN(A198)=6,"0"&amp;A198,A198)</f>
        <v>0842-13</v>
      </c>
      <c r="AE198" s="91" t="str">
        <f>"aws s3 cp "&amp;s3_bucket&amp;"/RTDC"&amp;B198&amp;"/ "&amp;search_path&amp;"\RTDC"&amp;B198&amp;"\"&amp;TEXT(F198,"YYYY-MM-DD")&amp;" --exclude ""*"" --recursive --include ""*"&amp;TEXT(F198,"YYYYMMDD")&amp;"*"" &amp; """&amp;walkandungz&amp;""" "&amp;search_path&amp;"\RTDC"&amp;B198&amp;"\"&amp;TEXT(F198,"YYYY-MM-DD")
&amp;" &amp; "&amp;"aws s3 cp "&amp;s3_bucket&amp;"/RTDC"&amp;B198&amp;"/ "&amp;search_path&amp;"\RTDC"&amp;B198&amp;"\"&amp;TEXT(F198+1,"YYYY-MM-DD")&amp;" --exclude ""*"" --recursive --include ""*"&amp;TEXT(F198+1,"YYYYMMDD")&amp;"*"" &amp; """&amp;walkandungz&amp;""" "&amp;search_path&amp;"\RTDC"&amp;B198&amp;"\"&amp;TEXT(F198+1,"YYYY-MM-DD")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8" s="88" t="str">
        <f>astrogrep_path&amp;" /spath="&amp;search_path&amp;" /stypes=""app*"&amp;B198&amp;"*"&amp;TEXT(I198-utc_offset/24,"YYYYMMDD")&amp;"*"" /stext="" "&amp;TEXT(I198-utc_offset/24,"HH")&amp;search_regexp&amp;""" /e /r /s"</f>
        <v>"C:\Program Files (x86)\AstroGrep\AstroGrep.exe" /spath="%USERPROFILE%\AppData\Local\Temp\OnboardLogs" /stypes="app*4032*20161014*" /stext=" 02:.+((SYSTEM_STATE.+slice.+state.+changed )|(ment ac)|(system.+state.+changed )|(\[timeout)|(PRM\|1\|D)|(kpr)|(kdp)|(\|lc)|(penalty))" /e /r /s</v>
      </c>
      <c r="AG198" s="1" t="str">
        <f>IFERROR(IF(VALUE(LEFT(AD198,2))&lt;=2,"EC",IF(OR(VALUE(LEFT(AD198,2))=8,VALUE(LEFT(AD198,2))=18),"NW","Other")),"Other")</f>
        <v>NW</v>
      </c>
      <c r="AH198" s="92" t="str">
        <f t="shared" si="13"/>
        <v>"%USERPROFILE%\Documents\GitHub\eaglep3\Utilities\RefineRTDCRunTimes.py" --tripid 842-13 --locoid 4032 --swversion DE.1.0.7.0 --startMP 300:58608 --initTime 2016-10-13T20:37:53 --startdatetime 2016-10-13T20:39:57 --delay 1 --endMP 204:764 --enddatetime 2016-10-13T20:55:05 --enforcementcount 1 &gt;&gt;C:\Users\stu\Documents\GitHub\eaglep3-reporting\EC\2016-10-13-refined-times.txt</v>
      </c>
      <c r="AI198" s="122" t="str">
        <f t="shared" si="14"/>
        <v>echo {"issue":{"subject":"","project_id":79,"tracker_id":40,"status_id":1,"priority_id":2,"assigned_to_id":23,"start_date":"2016-10-13","description":"","custom_fields":[{"id":1,"name":"Subdivision","value":"NW"},{"id":4,"name":"Milepost","value":"0.0764"},{"id":17,"name":"Train ID","value":"842-13"},{"id":16,"name":"Locomotive ID","value":"4032"},{"id":130,"name":"Impact","value":""},{"id":150,"name":"Time of Event (Mountain Time)","value":"20:55:05"},{"id":151,"name":"Denver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1" customFormat="1" x14ac:dyDescent="0.25">
      <c r="A199" s="37" t="s">
        <v>581</v>
      </c>
      <c r="B199" s="7">
        <v>4031</v>
      </c>
      <c r="C199" s="22" t="s">
        <v>99</v>
      </c>
      <c r="D199" s="22" t="s">
        <v>755</v>
      </c>
      <c r="E199" s="13">
        <v>42656.832060185188</v>
      </c>
      <c r="F199" s="13">
        <v>42656.848101851851</v>
      </c>
      <c r="G199" s="7">
        <v>1</v>
      </c>
      <c r="H199" s="13" t="s">
        <v>355</v>
      </c>
      <c r="I199" s="13">
        <v>42656.858414351853</v>
      </c>
      <c r="J199" s="7">
        <v>1</v>
      </c>
      <c r="K199" s="112" t="str">
        <f>IF(ISEVEN(B199),(B199-1)&amp;"/"&amp;B199,B199&amp;"/"&amp;(B199+1))</f>
        <v>4031/4032</v>
      </c>
      <c r="L199" s="22" t="str">
        <f>VLOOKUP(A199,'Trips&amp;Operators'!$C$1:$E$10000,3,FALSE)</f>
        <v>HELVIE</v>
      </c>
      <c r="M199" s="6">
        <f>I199-F199</f>
        <v>1.0312500002328306E-2</v>
      </c>
      <c r="N199" s="7">
        <f>24*60*SUM($M199:$M199)</f>
        <v>14.850000003352761</v>
      </c>
      <c r="O199" s="7"/>
      <c r="P199" s="7"/>
      <c r="Q199" s="23"/>
      <c r="R199" s="23"/>
      <c r="S199" s="35">
        <f>SUM(U199:U199)/IF(AG199="EC",12,1)</f>
        <v>1</v>
      </c>
      <c r="T199" s="50" t="str">
        <f>IF(ISEVEN(LEFT(AD199,4)),"Southbound","NorthBound")</f>
        <v>NorthBound</v>
      </c>
      <c r="U199" s="144">
        <f>IF(AG199="EC",COUNTIFS(Variables!$M$2:$M$19,IF(T199="NorthBound","&gt;=","&lt;=")&amp;Y199,Variables!$M$2:$M$19,IF(T199="NorthBound","&lt;=","&gt;=")&amp;Z199),COUNTIFS(Variables!$P$2:$P$19,IF(T199="NorthBound","&gt;=","&lt;=")&amp;Y199,Variables!$P$2:$P$19,IF(T199="NorthBound","&lt;=","&gt;=")&amp;Z199))</f>
        <v>1</v>
      </c>
      <c r="V199" s="98" t="str">
        <f>"https://search-rtdc-monitor-bjffxe2xuh6vdkpspy63sjmuny.us-east-1.es.amazonaws.com/_plugin/kibana/#/discover/Steve-Slow-Train-Analysis-(2080s-and-2083s)?_g=(refreshInterval:(display:Off,section:0,value:0),time:(from:'"&amp;TEXT(E199-1/24,"yyyy-MM-DD hh:mm:ss")&amp;"-0600',mode:absolute,to:'"&amp;TEXT(I199+1/24,"yyyy-MM-DD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199&amp;"%22')),sort:!(Time,asc))"</f>
        <v>https://search-rtdc-monitor-bjffxe2xuh6vdkpspy63sjmuny.us-east-1.es.amazonaws.com/_plugin/kibana/#/discover/Steve-Slow-Train-Analysis-(2080s-and-2083s)?_g=(refreshInterval:(display:Off,section:0,value:0),time:(from:'2016-10-13 18:58:10-0600',mode:absolute,to:'2016-10-13 21:36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9" s="52" t="str">
        <f>IF(AA199&lt;IF(AG199="EC",23,5.65),"Y","N")</f>
        <v>N</v>
      </c>
      <c r="X199" s="149">
        <f>VALUE(LEFT(AD199,4))-VALUE(LEFT(AD198,4))</f>
        <v>1</v>
      </c>
      <c r="Y199" s="67">
        <f>RIGHT(D199,LEN(D199)-4)/10000</f>
        <v>0.1069</v>
      </c>
      <c r="Z199" s="67">
        <f>RIGHT(H199,LEN(H199)-4)/10000</f>
        <v>5.8928000000000003</v>
      </c>
      <c r="AA199" s="67">
        <f>ABS(Z199-Y199)</f>
        <v>5.7858999999999998</v>
      </c>
      <c r="AB199" s="64" t="e">
        <f>VLOOKUP(A199,Enforcements!$C$7:$K$21,8,0)</f>
        <v>#N/A</v>
      </c>
      <c r="AC199" s="60" t="e">
        <f>VLOOKUP(A199,Enforcements!$C$7:$E$21,3,0)</f>
        <v>#N/A</v>
      </c>
      <c r="AD199" s="61" t="str">
        <f>IF(LEN(A199)=6,"0"&amp;A199,A199)</f>
        <v>0843-13</v>
      </c>
      <c r="AE199" s="91" t="str">
        <f>"aws s3 cp "&amp;s3_bucket&amp;"/RTDC"&amp;B199&amp;"/ "&amp;search_path&amp;"\RTDC"&amp;B199&amp;"\"&amp;TEXT(F199,"YYYY-MM-DD")&amp;" --exclude ""*"" --recursive --include ""*"&amp;TEXT(F199,"YYYYMMDD")&amp;"*"" &amp; """&amp;walkandungz&amp;""" "&amp;search_path&amp;"\RTDC"&amp;B199&amp;"\"&amp;TEXT(F199,"YYYY-MM-DD")
&amp;" &amp; "&amp;"aws s3 cp "&amp;s3_bucket&amp;"/RTDC"&amp;B199&amp;"/ "&amp;search_path&amp;"\RTDC"&amp;B199&amp;"\"&amp;TEXT(F199+1,"YYYY-MM-DD")&amp;" --exclude ""*"" --recursive --include ""*"&amp;TEXT(F199+1,"YYYYMMDD")&amp;"*"" &amp; """&amp;walkandungz&amp;""" "&amp;search_path&amp;"\RTDC"&amp;B199&amp;"\"&amp;TEXT(F199+1,"YYYY-MM-DD")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9" s="88" t="str">
        <f>astrogrep_path&amp;" /spath="&amp;search_path&amp;" /stypes=""app*"&amp;B199&amp;"*"&amp;TEXT(I199-utc_offset/24,"YYYYMMDD")&amp;"*"" /stext="" "&amp;TEXT(I199-utc_offset/24,"HH")&amp;search_regexp&amp;""" /e /r /s"</f>
        <v>"C:\Program Files (x86)\AstroGrep\AstroGrep.exe" /spath="%USERPROFILE%\AppData\Local\Temp\OnboardLogs" /stypes="app*4031*20161014*" /stext=" 02:.+((SYSTEM_STATE.+slice.+state.+changed )|(ment ac)|(system.+state.+changed )|(\[timeout)|(PRM\|1\|D)|(kpr)|(kdp)|(\|lc)|(penalty))" /e /r /s</v>
      </c>
      <c r="AG199" s="1" t="str">
        <f>IFERROR(IF(VALUE(LEFT(AD199,2))&lt;=2,"EC",IF(OR(VALUE(LEFT(AD199,2))=8,VALUE(LEFT(AD199,2))=18),"NW","Other")),"Other")</f>
        <v>NW</v>
      </c>
      <c r="AH199" s="92" t="str">
        <f t="shared" si="13"/>
        <v>"%USERPROFILE%\Documents\GitHub\eaglep3\Utilities\RefineRTDCRunTimes.py" --tripid 843-13 --locoid 4031 --swversion DE.1.0.7.0 --startMP 204:1069 --initTime 2016-10-13T19:58:10 --startdatetime 2016-10-13T20:21:16 --delay 1 --endMP 300:58928 --enddatetime 2016-10-13T20:36:07 --enforcementcount 1 &gt;&gt;C:\Users\stu\Documents\GitHub\eaglep3-reporting\EC\2016-10-13-refined-times.txt</v>
      </c>
      <c r="AI199" s="122" t="str">
        <f t="shared" si="14"/>
        <v>echo {"issue":{"subject":"","project_id":79,"tracker_id":40,"status_id":1,"priority_id":2,"assigned_to_id":23,"start_date":"2016-10-13","description":"","custom_fields":[{"id":1,"name":"Subdivision","value":"NW"},{"id":4,"name":"Milepost","value":"5.8928"},{"id":17,"name":"Train ID","value":"843-13"},{"id":16,"name":"Locomotive ID","value":"4031"},{"id":130,"name":"Impact","value":""},{"id":150,"name":"Time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1" customFormat="1" x14ac:dyDescent="0.25">
      <c r="A200" s="37" t="s">
        <v>591</v>
      </c>
      <c r="B200" s="7">
        <v>4032</v>
      </c>
      <c r="C200" s="22" t="s">
        <v>99</v>
      </c>
      <c r="D200" s="22" t="s">
        <v>753</v>
      </c>
      <c r="E200" s="13">
        <v>42656.900324074071</v>
      </c>
      <c r="F200" s="13">
        <v>42656.902141203704</v>
      </c>
      <c r="G200" s="7">
        <v>1</v>
      </c>
      <c r="H200" s="13" t="s">
        <v>756</v>
      </c>
      <c r="I200" s="13">
        <v>42656.913391203707</v>
      </c>
      <c r="J200" s="7">
        <v>1</v>
      </c>
      <c r="K200" s="112" t="str">
        <f>IF(ISEVEN(B200),(B200-1)&amp;"/"&amp;B200,B200&amp;"/"&amp;(B200+1))</f>
        <v>4031/4032</v>
      </c>
      <c r="L200" s="22" t="str">
        <f>VLOOKUP(A200,'Trips&amp;Operators'!$C$1:$E$10000,3,FALSE)</f>
        <v>YANAI</v>
      </c>
      <c r="M200" s="6">
        <f>I200-F200</f>
        <v>1.1250000003201421E-2</v>
      </c>
      <c r="N200" s="7">
        <f>24*60*SUM($M200:$M200)</f>
        <v>16.200000004610047</v>
      </c>
      <c r="O200" s="7"/>
      <c r="P200" s="7"/>
      <c r="Q200" s="23"/>
      <c r="R200" s="23"/>
      <c r="S200" s="35">
        <f>SUM(U200:U200)/IF(AG200="EC",12,1)</f>
        <v>1</v>
      </c>
      <c r="T200" s="50" t="str">
        <f>IF(ISEVEN(LEFT(AD200,4)),"Southbound","NorthBound")</f>
        <v>Southbound</v>
      </c>
      <c r="U200" s="144">
        <f>IF(AG200="EC",COUNTIFS(Variables!$M$2:$M$19,IF(T200="NorthBound","&gt;=","&lt;=")&amp;Y200,Variables!$M$2:$M$19,IF(T200="NorthBound","&lt;=","&gt;=")&amp;Z200),COUNTIFS(Variables!$P$2:$P$19,IF(T200="NorthBound","&gt;=","&lt;=")&amp;Y200,Variables!$P$2:$P$19,IF(T200="NorthBound","&lt;=","&gt;=")&amp;Z200))</f>
        <v>1</v>
      </c>
      <c r="V200" s="98" t="str">
        <f>"https://search-rtdc-monitor-bjffxe2xuh6vdkpspy63sjmuny.us-east-1.es.amazonaws.com/_plugin/kibana/#/discover/Steve-Slow-Train-Analysis-(2080s-and-2083s)?_g=(refreshInterval:(display:Off,section:0,value:0),time:(from:'"&amp;TEXT(E200-1/24,"yyyy-MM-DD hh:mm:ss")&amp;"-0600',mode:absolute,to:'"&amp;TEXT(I200+1/24,"yyyy-MM-DD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200&amp;"%22')),sort:!(Time,asc))"</f>
        <v>https://search-rtdc-monitor-bjffxe2xuh6vdkpspy63sjmuny.us-east-1.es.amazonaws.com/_plugin/kibana/#/discover/Steve-Slow-Train-Analysis-(2080s-and-2083s)?_g=(refreshInterval:(display:Off,section:0,value:0),time:(from:'2016-10-13 20:36:28-0600',mode:absolute,to:'2016-10-13 22:55: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00" s="52" t="str">
        <f>IF(AA200&lt;IF(AG200="EC",23,5.65),"Y","N")</f>
        <v>N</v>
      </c>
      <c r="X200" s="149">
        <f>VALUE(LEFT(AD200,4))-VALUE(LEFT(AD199,4))</f>
        <v>1</v>
      </c>
      <c r="Y200" s="67">
        <f>RIGHT(D200,LEN(D200)-4)/10000</f>
        <v>5.8608000000000002</v>
      </c>
      <c r="Z200" s="67">
        <f>RIGHT(H200,LEN(H200)-4)/10000</f>
        <v>6.6600000000000006E-2</v>
      </c>
      <c r="AA200" s="67">
        <f>ABS(Z200-Y200)</f>
        <v>5.7942</v>
      </c>
      <c r="AB200" s="64" t="e">
        <f>VLOOKUP(A200,Enforcements!$C$7:$K$21,8,0)</f>
        <v>#N/A</v>
      </c>
      <c r="AC200" s="60" t="e">
        <f>VLOOKUP(A200,Enforcements!$C$7:$E$21,3,0)</f>
        <v>#N/A</v>
      </c>
      <c r="AD200" s="61" t="str">
        <f>IF(LEN(A200)=6,"0"&amp;A200,A200)</f>
        <v>0844-13</v>
      </c>
      <c r="AE200" s="91" t="str">
        <f>"aws s3 cp "&amp;s3_bucket&amp;"/RTDC"&amp;B200&amp;"/ "&amp;search_path&amp;"\RTDC"&amp;B200&amp;"\"&amp;TEXT(F200,"YYYY-MM-DD")&amp;" --exclude ""*"" --recursive --include ""*"&amp;TEXT(F200,"YYYYMMDD")&amp;"*"" &amp; """&amp;walkandungz&amp;""" "&amp;search_path&amp;"\RTDC"&amp;B200&amp;"\"&amp;TEXT(F200,"YYYY-MM-DD")
&amp;" &amp; "&amp;"aws s3 cp "&amp;s3_bucket&amp;"/RTDC"&amp;B200&amp;"/ "&amp;search_path&amp;"\RTDC"&amp;B200&amp;"\"&amp;TEXT(F200+1,"YYYY-MM-DD")&amp;" --exclude ""*"" --recursive --include ""*"&amp;TEXT(F200+1,"YYYYMMDD")&amp;"*"" &amp; """&amp;walkandungz&amp;""" "&amp;search_path&amp;"\RTDC"&amp;B200&amp;"\"&amp;TEXT(F200+1,"YYYY-MM-DD")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00" s="88" t="str">
        <f>astrogrep_path&amp;" /spath="&amp;search_path&amp;" /stypes=""app*"&amp;B200&amp;"*"&amp;TEXT(I200-utc_offset/24,"YYYYMMDD")&amp;"*"" /stext="" "&amp;TEXT(I200-utc_offset/24,"HH")&amp;search_regexp&amp;""" /e /r /s"</f>
        <v>"C:\Program Files (x86)\AstroGrep\AstroGrep.exe" /spath="%USERPROFILE%\AppData\Local\Temp\OnboardLogs" /stypes="app*4032*20161014*" /stext=" 03:.+((SYSTEM_STATE.+slice.+state.+changed )|(ment ac)|(system.+state.+changed )|(\[timeout)|(PRM\|1\|D)|(kpr)|(kdp)|(\|lc)|(penalty))" /e /r /s</v>
      </c>
      <c r="AG200" s="1" t="str">
        <f>IFERROR(IF(VALUE(LEFT(AD200,2))&lt;=2,"EC",IF(OR(VALUE(LEFT(AD200,2))=8,VALUE(LEFT(AD200,2))=18),"NW","Other")),"Other")</f>
        <v>NW</v>
      </c>
      <c r="AH200" s="92" t="str">
        <f t="shared" si="13"/>
        <v>"%USERPROFILE%\Documents\GitHub\eaglep3\Utilities\RefineRTDCRunTimes.py" --tripid 844-13 --locoid 4032 --swversion DE.1.0.7.0 --startMP 300:58608 --initTime 2016-10-13T21:36:28 --startdatetime 2016-10-13T21:39:05 --delay 1 --endMP 204:666 --enddatetime 2016-10-13T21:55:17 --enforcementcount 1 &gt;&gt;C:\Users\stu\Documents\GitHub\eaglep3-reporting\EC\2016-10-13-refined-times.txt</v>
      </c>
      <c r="AI200" s="122" t="str">
        <f t="shared" si="14"/>
        <v>echo {"issue":{"subject":"","project_id":79,"tracker_id":40,"status_id":1,"priority_id":2,"assigned_to_id":23,"start_date":"2016-10-13","description":"","custom_fields":[{"id":1,"name":"Subdivision","value":"NW"},{"id":4,"name":"Milepost","value":"0.0666"},{"id":17,"name":"Train ID","value":"844-13"},{"id":16,"name":"Locomotive ID","value":"4032"},{"id":130,"name":"Impact","value":""},{"id":150,"name":"Time of Event (Mountain Time)","value":"21:55:17"},{"id":151,"name":"Denver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589</v>
      </c>
      <c r="B201" s="7">
        <v>4031</v>
      </c>
      <c r="C201" s="22" t="s">
        <v>99</v>
      </c>
      <c r="D201" s="22" t="s">
        <v>757</v>
      </c>
      <c r="E201" s="13">
        <v>42656.886990740742</v>
      </c>
      <c r="F201" s="13">
        <v>42656.889803240738</v>
      </c>
      <c r="G201" s="7">
        <v>1</v>
      </c>
      <c r="H201" s="13" t="s">
        <v>342</v>
      </c>
      <c r="I201" s="13">
        <v>42656.899108796293</v>
      </c>
      <c r="J201" s="7">
        <v>1</v>
      </c>
      <c r="K201" s="112" t="str">
        <f>IF(ISEVEN(B201),(B201-1)&amp;"/"&amp;B201,B201&amp;"/"&amp;(B201+1))</f>
        <v>4031/4032</v>
      </c>
      <c r="L201" s="22" t="str">
        <f>VLOOKUP(A201,'Trips&amp;Operators'!$C$1:$E$10000,3,FALSE)</f>
        <v>YANAI</v>
      </c>
      <c r="M201" s="6">
        <f>I201-F201</f>
        <v>9.3055555553291924E-3</v>
      </c>
      <c r="N201" s="7">
        <f>24*60*SUM($M201:$M201)</f>
        <v>13.399999999674037</v>
      </c>
      <c r="O201" s="7"/>
      <c r="P201" s="7"/>
      <c r="Q201" s="23"/>
      <c r="R201" s="23"/>
      <c r="S201" s="35">
        <f>SUM(U201:U201)/IF(AG201="EC",12,1)</f>
        <v>1</v>
      </c>
      <c r="T201" s="50" t="str">
        <f>IF(ISEVEN(LEFT(AD201,4)),"Southbound","NorthBound")</f>
        <v>NorthBound</v>
      </c>
      <c r="U201" s="144">
        <f>IF(AG201="EC",COUNTIFS(Variables!$M$2:$M$19,IF(T201="NorthBound","&gt;=","&lt;=")&amp;Y201,Variables!$M$2:$M$19,IF(T201="NorthBound","&lt;=","&gt;=")&amp;Z201),COUNTIFS(Variables!$P$2:$P$19,IF(T201="NorthBound","&gt;=","&lt;=")&amp;Y201,Variables!$P$2:$P$19,IF(T201="NorthBound","&lt;=","&gt;=")&amp;Z201))</f>
        <v>1</v>
      </c>
      <c r="V201" s="98" t="str">
        <f>"https://search-rtdc-monitor-bjffxe2xuh6vdkpspy63sjmuny.us-east-1.es.amazonaws.com/_plugin/kibana/#/discover/Steve-Slow-Train-Analysis-(2080s-and-2083s)?_g=(refreshInterval:(display:Off,section:0,value:0),time:(from:'"&amp;TEXT(E201-1/24,"yyyy-MM-DD hh:mm:ss")&amp;"-0600',mode:absolute,to:'"&amp;TEXT(I201+1/24,"yyyy-MM-DD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201&amp;"%22')),sort:!(Time,asc))"</f>
        <v>https://search-rtdc-monitor-bjffxe2xuh6vdkpspy63sjmuny.us-east-1.es.amazonaws.com/_plugin/kibana/#/discover/Steve-Slow-Train-Analysis-(2080s-and-2083s)?_g=(refreshInterval:(display:Off,section:0,value:0),time:(from:'2016-10-13 20:17:16-0600',mode:absolute,to:'2016-10-13 22:34: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1" s="52" t="str">
        <f>IF(AA201&lt;IF(AG201="EC",23,5.65),"Y","N")</f>
        <v>N</v>
      </c>
      <c r="X201" s="149">
        <f>VALUE(LEFT(AD201,4))-VALUE(LEFT(AD200,4))</f>
        <v>1</v>
      </c>
      <c r="Y201" s="67">
        <f>RIGHT(D201,LEN(D201)-4)/10000</f>
        <v>0.1048</v>
      </c>
      <c r="Z201" s="67">
        <f>RIGHT(H201,LEN(H201)-4)/10000</f>
        <v>5.8921999999999999</v>
      </c>
      <c r="AA201" s="67">
        <f>ABS(Z201-Y201)</f>
        <v>5.7873999999999999</v>
      </c>
      <c r="AB201" s="64" t="e">
        <f>VLOOKUP(A201,Enforcements!$C$7:$K$21,8,0)</f>
        <v>#N/A</v>
      </c>
      <c r="AC201" s="60" t="e">
        <f>VLOOKUP(A201,Enforcements!$C$7:$E$21,3,0)</f>
        <v>#N/A</v>
      </c>
      <c r="AD201" s="61" t="str">
        <f>IF(LEN(A201)=6,"0"&amp;A201,A201)</f>
        <v>0845-13</v>
      </c>
      <c r="AE201" s="91" t="str">
        <f>"aws s3 cp "&amp;s3_bucket&amp;"/RTDC"&amp;B201&amp;"/ "&amp;search_path&amp;"\RTDC"&amp;B201&amp;"\"&amp;TEXT(F201,"YYYY-MM-DD")&amp;" --exclude ""*"" --recursive --include ""*"&amp;TEXT(F201,"YYYYMMDD")&amp;"*"" &amp; """&amp;walkandungz&amp;""" "&amp;search_path&amp;"\RTDC"&amp;B201&amp;"\"&amp;TEXT(F201,"YYYY-MM-DD")
&amp;" &amp; "&amp;"aws s3 cp "&amp;s3_bucket&amp;"/RTDC"&amp;B201&amp;"/ "&amp;search_path&amp;"\RTDC"&amp;B201&amp;"\"&amp;TEXT(F201+1,"YYYY-MM-DD")&amp;" --exclude ""*"" --recursive --include ""*"&amp;TEXT(F201+1,"YYYYMMDD")&amp;"*"" &amp; """&amp;walkandungz&amp;""" "&amp;search_path&amp;"\RTDC"&amp;B201&amp;"\"&amp;TEXT(F201+1,"YYYY-MM-DD")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1" s="88" t="str">
        <f>astrogrep_path&amp;" /spath="&amp;search_path&amp;" /stypes=""app*"&amp;B201&amp;"*"&amp;TEXT(I201-utc_offset/24,"YYYYMMDD")&amp;"*"" /stext="" "&amp;TEXT(I201-utc_offset/24,"HH")&amp;search_regexp&amp;""" /e /r /s"</f>
        <v>"C:\Program Files (x86)\AstroGrep\AstroGrep.exe" /spath="%USERPROFILE%\AppData\Local\Temp\OnboardLogs" /stypes="app*4031*20161014*" /stext=" 03:.+((SYSTEM_STATE.+slice.+state.+changed )|(ment ac)|(system.+state.+changed )|(\[timeout)|(PRM\|1\|D)|(kpr)|(kdp)|(\|lc)|(penalty))" /e /r /s</v>
      </c>
      <c r="AG201" s="1" t="str">
        <f>IFERROR(IF(VALUE(LEFT(AD201,2))&lt;=2,"EC",IF(OR(VALUE(LEFT(AD201,2))=8,VALUE(LEFT(AD201,2))=18),"NW","Other")),"Other")</f>
        <v>NW</v>
      </c>
      <c r="AH201" s="92" t="str">
        <f t="shared" si="13"/>
        <v>"%USERPROFILE%\Documents\GitHub\eaglep3\Utilities\RefineRTDCRunTimes.py" --tripid 845-13 --locoid 4031 --swversion DE.1.0.7.0 --startMP 204:1048 --initTime 2016-10-13T21:17:16 --startdatetime 2016-10-13T21:21:19 --delay 1 --endMP 300:58922 --enddatetime 2016-10-13T21:34:43 --enforcementcount 1 &gt;&gt;C:\Users\stu\Documents\GitHub\eaglep3-reporting\EC\2016-10-13-refined-times.txt</v>
      </c>
      <c r="AI201" s="122" t="str">
        <f t="shared" si="14"/>
        <v>echo {"issue":{"subject":"","project_id":79,"tracker_id":40,"status_id":1,"priority_id":2,"assigned_to_id":23,"start_date":"2016-10-13","description":"","custom_fields":[{"id":1,"name":"Subdivision","value":"NW"},{"id":4,"name":"Milepost","value":"5.8922"},{"id":17,"name":"Train ID","value":"845-13"},{"id":16,"name":"Locomotive ID","value":"4031"},{"id":130,"name":"Impact","value":""},{"id":150,"name":"Time of Event (Mountain Time)","value":"21:34:43"},{"id":151,"name":"Denver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593</v>
      </c>
      <c r="B202" s="7">
        <v>4031</v>
      </c>
      <c r="C202" s="22" t="s">
        <v>99</v>
      </c>
      <c r="D202" s="22" t="s">
        <v>758</v>
      </c>
      <c r="E202" s="13">
        <v>42656.928657407407</v>
      </c>
      <c r="F202" s="13">
        <v>42656.931527777779</v>
      </c>
      <c r="G202" s="7">
        <v>1</v>
      </c>
      <c r="H202" s="13" t="s">
        <v>759</v>
      </c>
      <c r="I202" s="13">
        <v>42656.94121527778</v>
      </c>
      <c r="J202" s="7">
        <v>1</v>
      </c>
      <c r="K202" s="112" t="str">
        <f>IF(ISEVEN(B202),(B202-1)&amp;"/"&amp;B202,B202&amp;"/"&amp;(B202+1))</f>
        <v>4031/4032</v>
      </c>
      <c r="L202" s="22" t="str">
        <f>VLOOKUP(A202,'Trips&amp;Operators'!$C$1:$E$10000,3,FALSE)</f>
        <v>YANAI</v>
      </c>
      <c r="M202" s="6">
        <f>I202-F202</f>
        <v>9.6875000017462298E-3</v>
      </c>
      <c r="N202" s="7">
        <f>24*60*SUM($M202:$M202)</f>
        <v>13.950000002514571</v>
      </c>
      <c r="O202" s="7"/>
      <c r="P202" s="7"/>
      <c r="Q202" s="23"/>
      <c r="R202" s="23"/>
      <c r="S202" s="35">
        <f>SUM(U202:U202)/IF(AG202="EC",12,1)</f>
        <v>1</v>
      </c>
      <c r="T202" s="50" t="str">
        <f>IF(ISEVEN(LEFT(AD202,4)),"Southbound","NorthBound")</f>
        <v>NorthBound</v>
      </c>
      <c r="U202" s="144">
        <f>IF(AG202="EC",COUNTIFS(Variables!$M$2:$M$19,IF(T202="NorthBound","&gt;=","&lt;=")&amp;Y202,Variables!$M$2:$M$19,IF(T202="NorthBound","&lt;=","&gt;=")&amp;Z202),COUNTIFS(Variables!$P$2:$P$19,IF(T202="NorthBound","&gt;=","&lt;=")&amp;Y202,Variables!$P$2:$P$19,IF(T202="NorthBound","&lt;=","&gt;=")&amp;Z202))</f>
        <v>1</v>
      </c>
      <c r="V202" s="98" t="str">
        <f>"https://search-rtdc-monitor-bjffxe2xuh6vdkpspy63sjmuny.us-east-1.es.amazonaws.com/_plugin/kibana/#/discover/Steve-Slow-Train-Analysis-(2080s-and-2083s)?_g=(refreshInterval:(display:Off,section:0,value:0),time:(from:'"&amp;TEXT(E202-1/24,"yyyy-MM-DD hh:mm:ss")&amp;"-0600',mode:absolute,to:'"&amp;TEXT(I202+1/24,"yyyy-MM-DD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202&amp;"%22')),sort:!(Time,asc))"</f>
        <v>https://search-rtdc-monitor-bjffxe2xuh6vdkpspy63sjmuny.us-east-1.es.amazonaws.com/_plugin/kibana/#/discover/Steve-Slow-Train-Analysis-(2080s-and-2083s)?_g=(refreshInterval:(display:Off,section:0,value:0),time:(from:'2016-10-13 21:17:16-0600',mode:absolute,to:'2016-10-13 23:35: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2" s="52" t="str">
        <f>IF(AA202&lt;IF(AG202="EC",23,5.65),"Y","N")</f>
        <v>N</v>
      </c>
      <c r="X202" s="149">
        <f>VALUE(LEFT(AD202,4))-VALUE(LEFT(AD201,4))</f>
        <v>2</v>
      </c>
      <c r="Y202" s="67">
        <f>RIGHT(D202,LEN(D202)-4)/10000</f>
        <v>9.4399999999999998E-2</v>
      </c>
      <c r="Z202" s="67">
        <f>RIGHT(H202,LEN(H202)-4)/10000</f>
        <v>5.8943000000000003</v>
      </c>
      <c r="AA202" s="67">
        <f>ABS(Z202-Y202)</f>
        <v>5.7999000000000001</v>
      </c>
      <c r="AB202" s="64" t="e">
        <f>VLOOKUP(A202,Enforcements!$C$7:$K$21,8,0)</f>
        <v>#N/A</v>
      </c>
      <c r="AC202" s="60" t="e">
        <f>VLOOKUP(A202,Enforcements!$C$7:$E$21,3,0)</f>
        <v>#N/A</v>
      </c>
      <c r="AD202" s="61" t="str">
        <f>IF(LEN(A202)=6,"0"&amp;A202,A202)</f>
        <v>0847-13</v>
      </c>
      <c r="AE202" s="91" t="str">
        <f>"aws s3 cp "&amp;s3_bucket&amp;"/RTDC"&amp;B202&amp;"/ "&amp;search_path&amp;"\RTDC"&amp;B202&amp;"\"&amp;TEXT(F202,"YYYY-MM-DD")&amp;" --exclude ""*"" --recursive --include ""*"&amp;TEXT(F202,"YYYYMMDD")&amp;"*"" &amp; """&amp;walkandungz&amp;""" "&amp;search_path&amp;"\RTDC"&amp;B202&amp;"\"&amp;TEXT(F202,"YYYY-MM-DD")
&amp;" &amp; "&amp;"aws s3 cp "&amp;s3_bucket&amp;"/RTDC"&amp;B202&amp;"/ "&amp;search_path&amp;"\RTDC"&amp;B202&amp;"\"&amp;TEXT(F202+1,"YYYY-MM-DD")&amp;" --exclude ""*"" --recursive --include ""*"&amp;TEXT(F202+1,"YYYYMMDD")&amp;"*"" &amp; """&amp;walkandungz&amp;""" "&amp;search_path&amp;"\RTDC"&amp;B202&amp;"\"&amp;TEXT(F202+1,"YYYY-MM-DD")</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2" s="88" t="str">
        <f>astrogrep_path&amp;" /spath="&amp;search_path&amp;" /stypes=""app*"&amp;B202&amp;"*"&amp;TEXT(I202-utc_offset/24,"YYYYMMDD")&amp;"*"" /stext="" "&amp;TEXT(I202-utc_offset/24,"HH")&amp;search_regexp&amp;""" /e /r /s"</f>
        <v>"C:\Program Files (x86)\AstroGrep\AstroGrep.exe" /spath="%USERPROFILE%\AppData\Local\Temp\OnboardLogs" /stypes="app*4031*20161014*" /stext=" 04:.+((SYSTEM_STATE.+slice.+state.+changed )|(ment ac)|(system.+state.+changed )|(\[timeout)|(PRM\|1\|D)|(kpr)|(kdp)|(\|lc)|(penalty))" /e /r /s</v>
      </c>
      <c r="AG202" s="1" t="str">
        <f>IFERROR(IF(VALUE(LEFT(AD202,2))&lt;=2,"EC",IF(OR(VALUE(LEFT(AD202,2))=8,VALUE(LEFT(AD202,2))=18),"NW","Other")),"Other")</f>
        <v>NW</v>
      </c>
      <c r="AH202" s="92" t="str">
        <f t="shared" si="13"/>
        <v>"%USERPROFILE%\Documents\GitHub\eaglep3\Utilities\RefineRTDCRunTimes.py" --tripid 847-13 --locoid 4031 --swversion DE.1.0.7.0 --startMP 204:944 --initTime 2016-10-13T22:17:16 --startdatetime 2016-10-13T22:21:24 --delay 1 --endMP 300:58943 --enddatetime 2016-10-13T22:35:21 --enforcementcount 1 &gt;&gt;C:\Users\stu\Documents\GitHub\eaglep3-reporting\EC\2016-10-13-refined-times.txt</v>
      </c>
      <c r="AI202" s="122" t="str">
        <f t="shared" si="14"/>
        <v>echo {"issue":{"subject":"","project_id":79,"tracker_id":40,"status_id":1,"priority_id":2,"assigned_to_id":23,"start_date":"2016-10-13","description":"","custom_fields":[{"id":1,"name":"Subdivision","value":"NW"},{"id":4,"name":"Milepost","value":"5.8943"},{"id":17,"name":"Train ID","value":"847-13"},{"id":16,"name":"Locomotive ID","value":"4031"},{"id":130,"name":"Impact","value":""},{"id":150,"name":"Time of Event (Mountain Time)","value":"22:35:21"},{"id":151,"name":"Denver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424</v>
      </c>
      <c r="B203" s="7">
        <v>4001</v>
      </c>
      <c r="C203" s="22" t="s">
        <v>99</v>
      </c>
      <c r="D203" s="22" t="s">
        <v>684</v>
      </c>
      <c r="E203" s="13">
        <v>42656.121874999997</v>
      </c>
      <c r="F203" s="13">
        <v>42656.123136574075</v>
      </c>
      <c r="G203" s="7">
        <v>1</v>
      </c>
      <c r="H203" s="13" t="s">
        <v>685</v>
      </c>
      <c r="I203" s="13">
        <v>42656.129351851851</v>
      </c>
      <c r="J203" s="7">
        <v>1</v>
      </c>
      <c r="K203" s="112" t="str">
        <f>IF(ISEVEN(B203),(B203-1)&amp;"/"&amp;B203,B203&amp;"/"&amp;(B203+1))</f>
        <v>4001/4002</v>
      </c>
      <c r="L203" s="22" t="str">
        <f>VLOOKUP(A203,'Trips&amp;Operators'!$C$1:$E$10000,3,FALSE)</f>
        <v>MAELZER</v>
      </c>
      <c r="M203" s="6">
        <f>I203-F203</f>
        <v>6.2152777754818089E-3</v>
      </c>
      <c r="N203" s="7">
        <f>24*60*SUM($M203:$M203)</f>
        <v>8.9499999966938049</v>
      </c>
      <c r="O203" s="7"/>
      <c r="P203" s="7"/>
      <c r="Q203" s="23"/>
      <c r="R203" s="23"/>
      <c r="S203" s="35">
        <f>SUM(U203:U203)/IF(AG203="EC",12,1)</f>
        <v>1</v>
      </c>
      <c r="T203" s="50" t="str">
        <f>IF(ISEVEN(LEFT(AD203,4)),"Southbound","NorthBound")</f>
        <v>Southbound</v>
      </c>
      <c r="U203" s="144">
        <f>IF(AG203="EC",COUNTIFS(Variables!$M$2:$M$19,IF(T203="NorthBound","&gt;=","&lt;=")&amp;Y203,Variables!$M$2:$M$19,IF(T203="NorthBound","&lt;=","&gt;=")&amp;Z203),COUNTIFS(Variables!$P$2:$P$19,IF(T203="NorthBound","&gt;=","&lt;=")&amp;Y203,Variables!$P$2:$P$19,IF(T203="NorthBound","&lt;=","&gt;=")&amp;Z203))</f>
        <v>1</v>
      </c>
      <c r="V203" s="98" t="str">
        <f>"https://search-rtdc-monitor-bjffxe2xuh6vdkpspy63sjmuny.us-east-1.es.amazonaws.com/_plugin/kibana/#/discover/Steve-Slow-Train-Analysis-(2080s-and-2083s)?_g=(refreshInterval:(display:Off,section:0,value:0),time:(from:'"&amp;TEXT(E203-1/24,"yyyy-MM-DD hh:mm:ss")&amp;"-0600',mode:absolute,to:'"&amp;TEXT(I203+1/24,"yyyy-MM-DD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203&amp;"%22')),sort:!(Time,asc))"</f>
        <v>https://search-rtdc-monitor-bjffxe2xuh6vdkpspy63sjmuny.us-east-1.es.amazonaws.com/_plugin/kibana/#/discover/Steve-Slow-Train-Analysis-(2080s-and-2083s)?_g=(refreshInterval:(display:Off,section:0,value:0),time:(from:'2016-10-13 01:55:30-0600',mode:absolute,to:'2016-10-13 04:06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03" s="52" t="str">
        <f>IF(AA203&lt;IF(AG203="EC",23,5.65),"Y","N")</f>
        <v>Y</v>
      </c>
      <c r="X203" s="149">
        <f>VALUE(LEFT(AD203,4))-VALUE(LEFT(AD202,4))</f>
        <v>-545</v>
      </c>
      <c r="Y203" s="67">
        <f>RIGHT(D203,LEN(D203)-4)/10000</f>
        <v>2.3243</v>
      </c>
      <c r="Z203" s="67">
        <f>RIGHT(H203,LEN(H203)-4)/10000</f>
        <v>1.1900000000000001E-2</v>
      </c>
      <c r="AA203" s="67">
        <f>ABS(Z203-Y203)</f>
        <v>2.3124000000000002</v>
      </c>
      <c r="AB203" s="64" t="e">
        <f>VLOOKUP(A203,Enforcements!$C$7:$K$21,8,0)</f>
        <v>#N/A</v>
      </c>
      <c r="AC203" s="60" t="e">
        <f>VLOOKUP(A203,Enforcements!$C$7:$E$21,3,0)</f>
        <v>#N/A</v>
      </c>
      <c r="AD203" s="61" t="str">
        <f>IF(LEN(A203)=6,"0"&amp;A203,A203)</f>
        <v>0302-13</v>
      </c>
      <c r="AE203" s="91" t="str">
        <f>"aws s3 cp "&amp;s3_bucket&amp;"/RTDC"&amp;B203&amp;"/ "&amp;search_path&amp;"\RTDC"&amp;B203&amp;"\"&amp;TEXT(F203,"YYYY-MM-DD")&amp;" --exclude ""*"" --recursive --include ""*"&amp;TEXT(F203,"YYYYMMDD")&amp;"*"" &amp; """&amp;walkandungz&amp;""" "&amp;search_path&amp;"\RTDC"&amp;B203&amp;"\"&amp;TEXT(F203,"YYYY-MM-DD")
&amp;" &amp; "&amp;"aws s3 cp "&amp;s3_bucket&amp;"/RTDC"&amp;B203&amp;"/ "&amp;search_path&amp;"\RTDC"&amp;B203&amp;"\"&amp;TEXT(F203+1,"YYYY-MM-DD")&amp;" --exclude ""*"" --recursive --include ""*"&amp;TEXT(F203+1,"YYYYMMDD")&amp;"*"" &amp; """&amp;walkandungz&amp;""" "&amp;search_path&amp;"\RTDC"&amp;B203&amp;"\"&amp;TEXT(F203+1,"YYYY-MM-DD")</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03" s="88" t="str">
        <f>astrogrep_path&amp;" /spath="&amp;search_path&amp;" /stypes=""app*"&amp;B203&amp;"*"&amp;TEXT(I203-utc_offset/24,"YYYYMMDD")&amp;"*"" /stext="" "&amp;TEXT(I203-utc_offset/24,"HH")&amp;search_regexp&amp;""" /e /r /s"</f>
        <v>"C:\Program Files (x86)\AstroGrep\AstroGrep.exe" /spath="%USERPROFILE%\AppData\Local\Temp\OnboardLogs" /stypes="app*4001*20161013*" /stext=" 09:.+((SYSTEM_STATE.+slice.+state.+changed )|(ment ac)|(system.+state.+changed )|(\[timeout)|(PRM\|1\|D)|(kpr)|(kdp)|(\|lc)|(penalty))" /e /r /s</v>
      </c>
      <c r="AG203" s="1" t="str">
        <f>IFERROR(IF(VALUE(LEFT(AD203,2))&lt;=2,"EC",IF(OR(VALUE(LEFT(AD203,2))=8,VALUE(LEFT(AD203,2))=18),"NW","Other")),"Other")</f>
        <v>Other</v>
      </c>
      <c r="AH203" s="92" t="str">
        <f t="shared" si="13"/>
        <v>"%USERPROFILE%\Documents\GitHub\eaglep3\Utilities\RefineRTDCRunTimes.py" --tripid 302-13 --locoid 4001 --swversion DE.1.0.7.0 --startMP 300:23243 --initTime 2016-10-13T02:55:30 --startdatetime 2016-10-13T02:57:19 --delay 1 --endMP 204:119 --enddatetime 2016-10-13T03:06:16 --enforcementcount 1 &gt;&gt;C:\Users\stu\Documents\GitHub\eaglep3-reporting\EC\2016-10-13-refined-times.txt</v>
      </c>
      <c r="AI203" s="122" t="str">
        <f t="shared" si="14"/>
        <v>echo {"issue":{"subject":"","project_id":79,"tracker_id":40,"status_id":1,"priority_id":2,"assigned_to_id":23,"start_date":"2016-10-13","description":"","custom_fields":[{"id":1,"name":"Subdivision","value":"Other"},{"id":4,"name":"Milepost","value":"0.0119"},{"id":17,"name":"Train ID","value":"302-13"},{"id":16,"name":"Locomotive ID","value":"4001"},{"id":130,"name":"Impact","value":""},{"id":150,"name":"Time of Event (Mountain Time)","value":"03:06:16"},{"id":151,"name":"Denver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1" customFormat="1" x14ac:dyDescent="0.25">
      <c r="A204" s="37" t="s">
        <v>569</v>
      </c>
      <c r="B204" s="7">
        <v>4014</v>
      </c>
      <c r="C204" s="22" t="s">
        <v>99</v>
      </c>
      <c r="D204" s="22" t="s">
        <v>686</v>
      </c>
      <c r="E204" s="13">
        <v>42656.778668981482</v>
      </c>
      <c r="F204" s="13">
        <v>25568.708333333332</v>
      </c>
      <c r="G204" s="7">
        <v>1</v>
      </c>
      <c r="H204" s="13" t="s">
        <v>687</v>
      </c>
      <c r="I204" s="13">
        <v>25568.708333333332</v>
      </c>
      <c r="J204" s="7">
        <v>1</v>
      </c>
      <c r="K204" s="112" t="str">
        <f>IF(ISEVEN(B204),(B204-1)&amp;"/"&amp;B204,B204&amp;"/"&amp;(B204+1))</f>
        <v>4013/4014</v>
      </c>
      <c r="L204" s="22" t="str">
        <f>VLOOKUP(A204,'Trips&amp;Operators'!$C$1:$E$10000,3,FALSE)</f>
        <v>NEWELL</v>
      </c>
      <c r="M204" s="6">
        <f>I204-F204</f>
        <v>0</v>
      </c>
      <c r="N204" s="7">
        <f>24*60*SUM($M204:$M204)</f>
        <v>0</v>
      </c>
      <c r="O204" s="7"/>
      <c r="P204" s="7"/>
      <c r="Q204" s="23"/>
      <c r="R204" s="23"/>
      <c r="S204" s="35">
        <f>SUM(U204:U204)/IF(AG204="EC",12,1)</f>
        <v>1</v>
      </c>
      <c r="T204" s="50" t="str">
        <f>IF(ISEVEN(LEFT(AD204,4)),"Southbound","NorthBound")</f>
        <v>NorthBound</v>
      </c>
      <c r="U204" s="144">
        <f>IF(AG204="EC",COUNTIFS(Variables!$M$2:$M$19,IF(T204="NorthBound","&gt;=","&lt;=")&amp;Y204,Variables!$M$2:$M$19,IF(T204="NorthBound","&lt;=","&gt;=")&amp;Z204),COUNTIFS(Variables!$P$2:$P$19,IF(T204="NorthBound","&gt;=","&lt;=")&amp;Y204,Variables!$P$2:$P$19,IF(T204="NorthBound","&lt;=","&gt;=")&amp;Z204))</f>
        <v>1</v>
      </c>
      <c r="V204" s="98" t="str">
        <f>"https://search-rtdc-monitor-bjffxe2xuh6vdkpspy63sjmuny.us-east-1.es.amazonaws.com/_plugin/kibana/#/discover/Steve-Slow-Train-Analysis-(2080s-and-2083s)?_g=(refreshInterval:(display:Off,section:0,value:0),time:(from:'"&amp;TEXT(E204-1/24,"yyyy-MM-DD hh:mm:ss")&amp;"-0600',mode:absolute,to:'"&amp;TEXT(I204+1/24,"yyyy-MM-DD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204&amp;"%22')),sort:!(Time,asc))"</f>
        <v>https://search-rtdc-monitor-bjffxe2xuh6vdkpspy63sjmuny.us-east-1.es.amazonaws.com/_plugin/kibana/#/discover/Steve-Slow-Train-Analysis-(2080s-and-2083s)?_g=(refreshInterval:(display:Off,section:0,value:0),time:(from:'2016-10-13 17:41:17-0600',mode:absolute,to:'1969-12-31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IF(AA204&lt;IF(AG204="EC",23,5.65),"Y","N")</f>
        <v>Y</v>
      </c>
      <c r="X204" s="149">
        <f>VALUE(LEFT(AD204,4))-VALUE(LEFT(AD203,4))</f>
        <v>1</v>
      </c>
      <c r="Y204" s="67">
        <f>RIGHT(D204,LEN(D204)-4)/10000</f>
        <v>4.7100000000000003E-2</v>
      </c>
      <c r="Z204" s="67">
        <f>RIGHT(H204,LEN(H204)-4)/10000</f>
        <v>2.3302</v>
      </c>
      <c r="AA204" s="67">
        <f>ABS(Z204-Y204)</f>
        <v>2.2831000000000001</v>
      </c>
      <c r="AB204" s="64" t="e">
        <f>VLOOKUP(A204,Enforcements!$C$7:$K$21,8,0)</f>
        <v>#N/A</v>
      </c>
      <c r="AC204" s="60" t="e">
        <f>VLOOKUP(A204,Enforcements!$C$7:$E$21,3,0)</f>
        <v>#N/A</v>
      </c>
      <c r="AD204" s="61" t="str">
        <f>IF(LEN(A204)=6,"0"&amp;A204,A204)</f>
        <v>0303-13</v>
      </c>
      <c r="AE204" s="91" t="str">
        <f>"aws s3 cp "&amp;s3_bucket&amp;"/RTDC"&amp;B204&amp;"/ "&amp;search_path&amp;"\RTDC"&amp;B204&amp;"\"&amp;TEXT(F204,"YYYY-MM-DD")&amp;" --exclude ""*"" --recursive --include ""*"&amp;TEXT(F204,"YYYYMMDD")&amp;"*"" &amp; """&amp;walkandungz&amp;""" "&amp;search_path&amp;"\RTDC"&amp;B204&amp;"\"&amp;TEXT(F204,"YYYY-MM-DD")
&amp;" &amp; "&amp;"aws s3 cp "&amp;s3_bucket&amp;"/RTDC"&amp;B204&amp;"/ "&amp;search_path&amp;"\RTDC"&amp;B204&amp;"\"&amp;TEXT(F204+1,"YYYY-MM-DD")&amp;" --exclude ""*"" --recursive --include ""*"&amp;TEXT(F204+1,"YYYYMMDD")&amp;"*"" &amp; """&amp;walkandungz&amp;""" "&amp;search_path&amp;"\RTDC"&amp;B204&amp;"\"&amp;TEXT(F204+1,"YYYY-MM-DD")</f>
        <v>aws s3 cp s3://rtdc.mdm.uploadarchive.raw/RTDC4014/ "%USERPROFILE%\AppData\Local\Temp\OnboardLogs"\RTDC4014\1969-12-31 --exclude "*" --recursive --include "*19691231*" &amp; "%USERPROFILE%\Documents\GitHub\mrs-test-scripts\Headless Mode &amp; Sideloading\WalkAndUnGZ.bat" "%USERPROFILE%\AppData\Local\Temp\OnboardLogs"\RTDC4014\1969-12-31 &amp; aws s3 cp s3://rtdc.mdm.uploadarchive.raw/RTDC4014/ "%USERPROFILE%\AppData\Local\Temp\OnboardLogs"\RTDC4014\1970-01-01 --exclude "*" --recursive --include "*19700101*" &amp; "%USERPROFILE%\Documents\GitHub\mrs-test-scripts\Headless Mode &amp; Sideloading\WalkAndUnGZ.bat" "%USERPROFILE%\AppData\Local\Temp\OnboardLogs"\RTDC4014\1970-01-01</v>
      </c>
      <c r="AF204" s="88" t="str">
        <f>astrogrep_path&amp;" /spath="&amp;search_path&amp;" /stypes=""app*"&amp;B204&amp;"*"&amp;TEXT(I204-utc_offset/24,"YYYYMMDD")&amp;"*"" /stext="" "&amp;TEXT(I204-utc_offset/24,"HH")&amp;search_regexp&amp;""" /e /r /s"</f>
        <v>"C:\Program Files (x86)\AstroGrep\AstroGrep.exe" /spath="%USERPROFILE%\AppData\Local\Temp\OnboardLogs" /stypes="app*4014*19691231*" /stext=" 23:.+((SYSTEM_STATE.+slice.+state.+changed )|(ment ac)|(system.+state.+changed )|(\[timeout)|(PRM\|1\|D)|(kpr)|(kdp)|(\|lc)|(penalty))" /e /r /s</v>
      </c>
      <c r="AG204" s="1" t="str">
        <f>IFERROR(IF(VALUE(LEFT(AD204,2))&lt;=2,"EC",IF(OR(VALUE(LEFT(AD204,2))=8,VALUE(LEFT(AD204,2))=18),"NW","Other")),"Other")</f>
        <v>Other</v>
      </c>
      <c r="AH204" s="92" t="str">
        <f t="shared" si="13"/>
        <v>"%USERPROFILE%\Documents\GitHub\eaglep3\Utilities\RefineRTDCRunTimes.py" --tripid 303-13 --locoid 4014 --swversion DE.1.0.7.0 --startMP 204:471 --initTime 2016-10-13T18:41:17 --startdatetime 1969-12-31T17:00:00 --delay 1 --endMP 300:23302 --enddatetime 1969-12-31T17:00:00 --enforcementcount 1 &gt;&gt;C:\Users\stu\Documents\GitHub\eaglep3-reporting\EC\2016-10-13-refined-times.txt</v>
      </c>
      <c r="AI204" s="122" t="str">
        <f t="shared" si="14"/>
        <v>echo {"issue":{"subject":"","project_id":79,"tracker_id":40,"status_id":1,"priority_id":2,"assigned_to_id":23,"start_date":"1969-12-31","description":"","custom_fields":[{"id":1,"name":"Subdivision","value":"Other"},{"id":4,"name":"Milepost","value":"2.3302"},{"id":17,"name":"Train ID","value":"303-13"},{"id":16,"name":"Locomotive ID","value":"4014"},{"id":130,"name":"Impact","value":""},{"id":150,"name":"Time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x14ac:dyDescent="0.25">
      <c r="A205" s="37" t="s">
        <v>425</v>
      </c>
      <c r="B205" s="7">
        <v>4041</v>
      </c>
      <c r="C205" s="22" t="s">
        <v>99</v>
      </c>
      <c r="D205" s="22" t="s">
        <v>688</v>
      </c>
      <c r="E205" s="13">
        <v>42656.143287037034</v>
      </c>
      <c r="F205" s="13">
        <v>42656.144884259258</v>
      </c>
      <c r="G205" s="7">
        <v>1</v>
      </c>
      <c r="H205" s="13" t="s">
        <v>268</v>
      </c>
      <c r="I205" s="13">
        <v>42656.151284722226</v>
      </c>
      <c r="J205" s="7">
        <v>1</v>
      </c>
      <c r="K205" s="112" t="str">
        <f>IF(ISEVEN(B205),(B205-1)&amp;"/"&amp;B205,B205&amp;"/"&amp;(B205+1))</f>
        <v>4041/4042</v>
      </c>
      <c r="L205" s="22" t="str">
        <f>VLOOKUP(A205,'Trips&amp;Operators'!$C$1:$E$10000,3,FALSE)</f>
        <v>SPECTOR</v>
      </c>
      <c r="M205" s="6">
        <f>I205-F205</f>
        <v>6.4004629675764591E-3</v>
      </c>
      <c r="N205" s="7">
        <f>24*60*SUM($M205:$M205)</f>
        <v>9.216666673310101</v>
      </c>
      <c r="O205" s="7"/>
      <c r="P205" s="7"/>
      <c r="Q205" s="23"/>
      <c r="R205" s="23"/>
      <c r="S205" s="35">
        <f>SUM(U205:U205)/IF(AG205="EC",12,1)</f>
        <v>1</v>
      </c>
      <c r="T205" s="50" t="str">
        <f>IF(ISEVEN(LEFT(AD205,4)),"Southbound","NorthBound")</f>
        <v>Southbound</v>
      </c>
      <c r="U205" s="144">
        <f>IF(AG205="EC",COUNTIFS(Variables!$M$2:$M$19,IF(T205="NorthBound","&gt;=","&lt;=")&amp;Y205,Variables!$M$2:$M$19,IF(T205="NorthBound","&lt;=","&gt;=")&amp;Z205),COUNTIFS(Variables!$P$2:$P$19,IF(T205="NorthBound","&gt;=","&lt;=")&amp;Y205,Variables!$P$2:$P$19,IF(T205="NorthBound","&lt;=","&gt;=")&amp;Z205))</f>
        <v>1</v>
      </c>
      <c r="V205" s="98" t="str">
        <f>"https://search-rtdc-monitor-bjffxe2xuh6vdkpspy63sjmuny.us-east-1.es.amazonaws.com/_plugin/kibana/#/discover/Steve-Slow-Train-Analysis-(2080s-and-2083s)?_g=(refreshInterval:(display:Off,section:0,value:0),time:(from:'"&amp;TEXT(E205-1/24,"yyyy-MM-DD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https://search-rtdc-monitor-bjffxe2xuh6vdkpspy63sjmuny.us-east-1.es.amazonaws.com/_plugin/kibana/#/discover/Steve-Slow-Train-Analysis-(2080s-and-2083s)?_g=(refreshInterval:(display:Off,section:0,value:0),time:(from:'2016-10-13 02:26:20-0600',mode:absolute,to:'2016-10-13 04:37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5" s="52" t="str">
        <f>IF(AA205&lt;IF(AG205="EC",23,5.65),"Y","N")</f>
        <v>Y</v>
      </c>
      <c r="X205" s="149">
        <f>VALUE(LEFT(AD205,4))-VALUE(LEFT(AD204,4))</f>
        <v>1</v>
      </c>
      <c r="Y205" s="67">
        <f>RIGHT(D205,LEN(D205)-4)/10000</f>
        <v>2.2976000000000001</v>
      </c>
      <c r="Z205" s="67">
        <f>RIGHT(H205,LEN(H205)-4)/10000</f>
        <v>1.49E-2</v>
      </c>
      <c r="AA205" s="67">
        <f>ABS(Z205-Y205)</f>
        <v>2.2827000000000002</v>
      </c>
      <c r="AB205" s="64" t="e">
        <f>VLOOKUP(A205,Enforcements!$C$7:$K$21,8,0)</f>
        <v>#N/A</v>
      </c>
      <c r="AC205" s="60" t="e">
        <f>VLOOKUP(A205,Enforcements!$C$7:$E$21,3,0)</f>
        <v>#N/A</v>
      </c>
      <c r="AD205" s="61" t="str">
        <f>IF(LEN(A205)=6,"0"&amp;A205,A205)</f>
        <v>0304-13</v>
      </c>
      <c r="AE205" s="91" t="str">
        <f>"aws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205" s="88" t="str">
        <f>astrogrep_path&amp;" /spath="&amp;search_path&amp;" /stypes=""app*"&amp;B205&amp;"*"&amp;TEXT(I205-utc_offset/24,"YYYYMMDD")&amp;"*"" /stext="" "&amp;TEXT(I205-utc_offset/24,"HH")&amp;search_regexp&amp;""" /e /r /s"</f>
        <v>"C:\Program Files (x86)\AstroGrep\AstroGrep.exe" /spath="%USERPROFILE%\AppData\Local\Temp\OnboardLogs" /stypes="app*4041*20161013*" /stext=" 09:.+((SYSTEM_STATE.+slice.+state.+changed )|(ment ac)|(system.+state.+changed )|(\[timeout)|(PRM\|1\|D)|(kpr)|(kdp)|(\|lc)|(penalty))" /e /r /s</v>
      </c>
      <c r="AG205" s="1" t="str">
        <f>IFERROR(IF(VALUE(LEFT(AD205,2))&lt;=2,"EC",IF(OR(VALUE(LEFT(AD205,2))=8,VALUE(LEFT(AD205,2))=18),"NW","Other")),"Other")</f>
        <v>Other</v>
      </c>
      <c r="AH205" s="92" t="str">
        <f t="shared" si="13"/>
        <v>"%USERPROFILE%\Documents\GitHub\eaglep3\Utilities\RefineRTDCRunTimes.py" --tripid 304-13 --locoid 4041 --swversion DE.1.0.7.0 --startMP 300:22976 --initTime 2016-10-13T03:26:20 --startdatetime 2016-10-13T03:28:38 --delay 1 --endMP 204:149 --enddatetime 2016-10-13T03:37:51 --enforcementcount 1 &gt;&gt;C:\Users\stu\Documents\GitHub\eaglep3-reporting\EC\2016-10-13-refined-times.txt</v>
      </c>
      <c r="AI205" s="122" t="str">
        <f t="shared" si="14"/>
        <v>echo {"issue":{"subject":"","project_id":79,"tracker_id":40,"status_id":1,"priority_id":2,"assigned_to_id":23,"start_date":"2016-10-13","description":"","custom_fields":[{"id":1,"name":"Subdivision","value":"Other"},{"id":4,"name":"Milepost","value":"0.0149"},{"id":17,"name":"Train ID","value":"304-13"},{"id":16,"name":"Locomotive ID","value":"4041"},{"id":130,"name":"Impact","value":""},{"id":150,"name":"Time of Event (Mountain Time)","value":"03:37:51"},{"id":151,"name":"Denver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377</v>
      </c>
      <c r="B206" s="7">
        <v>4013</v>
      </c>
      <c r="C206" s="22" t="s">
        <v>99</v>
      </c>
      <c r="D206" s="22" t="s">
        <v>689</v>
      </c>
      <c r="E206" s="13">
        <v>42656.165092592593</v>
      </c>
      <c r="F206" s="13">
        <v>42656.166307870371</v>
      </c>
      <c r="G206" s="7">
        <v>1</v>
      </c>
      <c r="H206" s="13" t="s">
        <v>690</v>
      </c>
      <c r="I206" s="13">
        <v>42656.17255787037</v>
      </c>
      <c r="J206" s="7">
        <v>1</v>
      </c>
      <c r="K206" s="112" t="str">
        <f>IF(ISEVEN(B206),(B206-1)&amp;"/"&amp;B206,B206&amp;"/"&amp;(B206+1))</f>
        <v>4013/4014</v>
      </c>
      <c r="L206" s="22" t="str">
        <f>VLOOKUP(A206,'Trips&amp;Operators'!$C$1:$E$10000,3,FALSE)</f>
        <v>MALAVE</v>
      </c>
      <c r="M206" s="6">
        <f>I206-F206</f>
        <v>6.2499999985448085E-3</v>
      </c>
      <c r="N206" s="7">
        <f>24*60*SUM($M206:$M206)</f>
        <v>8.9999999979045242</v>
      </c>
      <c r="O206" s="7"/>
      <c r="P206" s="7"/>
      <c r="Q206" s="23"/>
      <c r="R206" s="23"/>
      <c r="S206" s="35">
        <f>SUM(U206:U206)/IF(AG206="EC",12,1)</f>
        <v>1</v>
      </c>
      <c r="T206" s="50" t="str">
        <f>IF(ISEVEN(LEFT(AD206,4)),"Southbound","NorthBound")</f>
        <v>Southbound</v>
      </c>
      <c r="U206" s="144">
        <f>IF(AG206="EC",COUNTIFS(Variables!$M$2:$M$19,IF(T206="NorthBound","&gt;=","&lt;=")&amp;Y206,Variables!$M$2:$M$19,IF(T206="NorthBound","&lt;=","&gt;=")&amp;Z206),COUNTIFS(Variables!$P$2:$P$19,IF(T206="NorthBound","&gt;=","&lt;=")&amp;Y206,Variables!$P$2:$P$19,IF(T206="NorthBound","&lt;=","&gt;=")&amp;Z206))</f>
        <v>1</v>
      </c>
      <c r="V206" s="98" t="str">
        <f>"https://search-rtdc-monitor-bjffxe2xuh6vdkpspy63sjmuny.us-east-1.es.amazonaws.com/_plugin/kibana/#/discover/Steve-Slow-Train-Analysis-(2080s-and-2083s)?_g=(refreshInterval:(display:Off,section:0,value:0),time:(from:'"&amp;TEXT(E206-1/24,"yyyy-MM-DD hh:mm:ss")&amp;"-0600',mode:absolute,to:'"&amp;TEXT(I206+1/24,"yyyy-MM-DD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206&amp;"%22')),sort:!(Time,asc))"</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6" s="52" t="str">
        <f>IF(AA206&lt;IF(AG206="EC",23,5.65),"Y","N")</f>
        <v>Y</v>
      </c>
      <c r="X206" s="149">
        <f>VALUE(LEFT(AD206,4))-VALUE(LEFT(AD205,4))</f>
        <v>2</v>
      </c>
      <c r="Y206" s="67">
        <f>RIGHT(D206,LEN(D206)-4)/10000</f>
        <v>2.3374000000000001</v>
      </c>
      <c r="Z206" s="67">
        <f>RIGHT(H206,LEN(H206)-4)/10000</f>
        <v>2.12E-2</v>
      </c>
      <c r="AA206" s="67">
        <f>ABS(Z206-Y206)</f>
        <v>2.3162000000000003</v>
      </c>
      <c r="AB206" s="64" t="e">
        <f>VLOOKUP(A206,Enforcements!$C$7:$K$21,8,0)</f>
        <v>#N/A</v>
      </c>
      <c r="AC206" s="60" t="e">
        <f>VLOOKUP(A206,Enforcements!$C$7:$E$21,3,0)</f>
        <v>#N/A</v>
      </c>
      <c r="AD206" s="61" t="str">
        <f>IF(LEN(A206)=6,"0"&amp;A206,A206)</f>
        <v>0306-13</v>
      </c>
      <c r="AE206" s="91" t="str">
        <f>"aws s3 cp "&amp;s3_bucket&amp;"/RTDC"&amp;B206&amp;"/ "&amp;search_path&amp;"\RTDC"&amp;B206&amp;"\"&amp;TEXT(F206,"YYYY-MM-DD")&amp;" --exclude ""*"" --recursive --include ""*"&amp;TEXT(F206,"YYYYMMDD")&amp;"*"" &amp; """&amp;walkandungz&amp;""" "&amp;search_path&amp;"\RTDC"&amp;B206&amp;"\"&amp;TEXT(F206,"YYYY-MM-DD")
&amp;" &amp; "&amp;"aws s3 cp "&amp;s3_bucket&amp;"/RTDC"&amp;B206&amp;"/ "&amp;search_path&amp;"\RTDC"&amp;B206&amp;"\"&amp;TEXT(F206+1,"YYYY-MM-DD")&amp;" --exclude ""*"" --recursive --include ""*"&amp;TEXT(F206+1,"YYYYMMDD")&amp;"*"" &amp; """&amp;walkandungz&amp;""" "&amp;search_path&amp;"\RTDC"&amp;B206&amp;"\"&amp;TEXT(F206+1,"YYYY-MM-DD")</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206" s="88" t="str">
        <f>astrogrep_path&amp;" /spath="&amp;search_path&amp;" /stypes=""app*"&amp;B206&amp;"*"&amp;TEXT(I206-utc_offset/24,"YYYYMMDD")&amp;"*"" /stext="" "&amp;TEXT(I206-utc_offset/24,"HH")&amp;search_regexp&amp;""" /e /r /s"</f>
        <v>"C:\Program Files (x86)\AstroGrep\AstroGrep.exe" /spath="%USERPROFILE%\AppData\Local\Temp\OnboardLogs" /stypes="app*4013*20161013*" /stext=" 10:.+((SYSTEM_STATE.+slice.+state.+changed )|(ment ac)|(system.+state.+changed )|(\[timeout)|(PRM\|1\|D)|(kpr)|(kdp)|(\|lc)|(penalty))" /e /r /s</v>
      </c>
      <c r="AG206" s="1" t="str">
        <f>IFERROR(IF(VALUE(LEFT(AD206,2))&lt;=2,"EC",IF(OR(VALUE(LEFT(AD206,2))=8,VALUE(LEFT(AD206,2))=18),"NW","Other")),"Other")</f>
        <v>Other</v>
      </c>
      <c r="AH206" s="92" t="str">
        <f t="shared" ref="AH206:AH226" si="20">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306-13 --locoid 4013 --swversion DE.1.0.7.0 --startMP 300:23374 --initTime 2016-10-13T03:57:44 --startdatetime 2016-10-13T03:59:29 --delay 1 --endMP 204:212 --enddatetime 2016-10-13T04:08:29 --enforcementcount 1 &gt;&gt;C:\Users\stu\Documents\GitHub\eaglep3-reporting\EC\2016-10-13-refined-times.txt</v>
      </c>
      <c r="AI206" s="122" t="str">
        <f t="shared" ref="AI206:AI226" si="21">"echo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{"issue":{"subject":"","project_id":79,"tracker_id":40,"status_id":1,"priority_id":2,"assigned_to_id":23,"start_date":"2016-10-13","description":"","custom_fields":[{"id":1,"name":"Subdivision","value":"Other"},{"id":4,"name":"Milepost","value":"0.0212"},{"id":17,"name":"Train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579</v>
      </c>
      <c r="B207" s="7">
        <v>4042</v>
      </c>
      <c r="C207" s="22" t="s">
        <v>99</v>
      </c>
      <c r="D207" s="22" t="s">
        <v>691</v>
      </c>
      <c r="E207" s="13">
        <v>42656.819826388892</v>
      </c>
      <c r="F207" s="13">
        <v>25568.708333333332</v>
      </c>
      <c r="G207" s="7">
        <v>2</v>
      </c>
      <c r="H207" s="13" t="s">
        <v>346</v>
      </c>
      <c r="I207" s="13">
        <v>25568.708333333332</v>
      </c>
      <c r="J207" s="7">
        <v>1</v>
      </c>
      <c r="K207" s="112" t="str">
        <f>IF(ISEVEN(B207),(B207-1)&amp;"/"&amp;B207,B207&amp;"/"&amp;(B207+1))</f>
        <v>4041/4042</v>
      </c>
      <c r="L207" s="22" t="str">
        <f>VLOOKUP(A207,'Trips&amp;Operators'!$C$1:$E$10000,3,FALSE)</f>
        <v>STORY</v>
      </c>
      <c r="M207" s="6">
        <f>I207-F207</f>
        <v>0</v>
      </c>
      <c r="N207" s="7">
        <f>24*60*SUM($M207:$M207)</f>
        <v>0</v>
      </c>
      <c r="O207" s="7"/>
      <c r="P207" s="7"/>
      <c r="Q207" s="23"/>
      <c r="R207" s="23"/>
      <c r="S207" s="35">
        <f>SUM(U207:U207)/IF(AG207="EC",12,1)</f>
        <v>1</v>
      </c>
      <c r="T207" s="50" t="str">
        <f>IF(ISEVEN(LEFT(AD207,4)),"Southbound","NorthBound")</f>
        <v>NorthBound</v>
      </c>
      <c r="U207" s="144">
        <f>IF(AG207="EC",COUNTIFS(Variables!$M$2:$M$19,IF(T207="NorthBound","&gt;=","&lt;=")&amp;Y207,Variables!$M$2:$M$19,IF(T207="NorthBound","&lt;=","&gt;=")&amp;Z207),COUNTIFS(Variables!$P$2:$P$19,IF(T207="NorthBound","&gt;=","&lt;=")&amp;Y207,Variables!$P$2:$P$19,IF(T207="NorthBound","&lt;=","&gt;=")&amp;Z207))</f>
        <v>1</v>
      </c>
      <c r="V207" s="98" t="str">
        <f>"https://search-rtdc-monitor-bjffxe2xuh6vdkpspy63sjmuny.us-east-1.es.amazonaws.com/_plugin/kibana/#/discover/Steve-Slow-Train-Analysis-(2080s-and-2083s)?_g=(refreshInterval:(display:Off,section:0,value:0),time:(from:'"&amp;TEXT(E207-1/24,"yyyy-MM-DD hh:mm:ss")&amp;"-0600',mode:absolute,to:'"&amp;TEXT(I207+1/24,"yyyy-MM-DD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207&amp;"%22')),sort:!(Time,asc))"</f>
        <v>https://search-rtdc-monitor-bjffxe2xuh6vdkpspy63sjmuny.us-east-1.es.amazonaws.com/_plugin/kibana/#/discover/Steve-Slow-Train-Analysis-(2080s-and-2083s)?_g=(refreshInterval:(display:Off,section:0,value:0),time:(from:'2016-10-13 18:40:33-0600',mode:absolute,to:'1969-12-31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7" s="52" t="str">
        <f>IF(AA207&lt;IF(AG207="EC",23,5.65),"Y","N")</f>
        <v>Y</v>
      </c>
      <c r="X207" s="149">
        <f>VALUE(LEFT(AD207,4))-VALUE(LEFT(AD206,4))</f>
        <v>1</v>
      </c>
      <c r="Y207" s="67">
        <f>RIGHT(D207,LEN(D207)-4)/10000</f>
        <v>4.7699999999999999E-2</v>
      </c>
      <c r="Z207" s="67">
        <f>RIGHT(H207,LEN(H207)-4)/10000</f>
        <v>2.3306</v>
      </c>
      <c r="AA207" s="67">
        <f>ABS(Z207-Y207)</f>
        <v>2.2829000000000002</v>
      </c>
      <c r="AB207" s="64" t="e">
        <f>VLOOKUP(A207,Enforcements!$C$7:$K$21,8,0)</f>
        <v>#N/A</v>
      </c>
      <c r="AC207" s="60" t="e">
        <f>VLOOKUP(A207,Enforcements!$C$7:$E$21,3,0)</f>
        <v>#N/A</v>
      </c>
      <c r="AD207" s="61" t="str">
        <f>IF(LEN(A207)=6,"0"&amp;A207,A207)</f>
        <v>0307-13</v>
      </c>
      <c r="AE207" s="91" t="str">
        <f>"aws s3 cp "&amp;s3_bucket&amp;"/RTDC"&amp;B207&amp;"/ "&amp;search_path&amp;"\RTDC"&amp;B207&amp;"\"&amp;TEXT(F207,"YYYY-MM-DD")&amp;" --exclude ""*"" --recursive --include ""*"&amp;TEXT(F207,"YYYYMMDD")&amp;"*"" &amp; """&amp;walkandungz&amp;""" "&amp;search_path&amp;"\RTDC"&amp;B207&amp;"\"&amp;TEXT(F207,"YYYY-MM-DD")
&amp;" &amp; "&amp;"aws s3 cp "&amp;s3_bucket&amp;"/RTDC"&amp;B207&amp;"/ "&amp;search_path&amp;"\RTDC"&amp;B207&amp;"\"&amp;TEXT(F207+1,"YYYY-MM-DD")&amp;" --exclude ""*"" --recursive --include ""*"&amp;TEXT(F207+1,"YYYYMMDD")&amp;"*"" &amp; """&amp;walkandungz&amp;""" "&amp;search_path&amp;"\RTDC"&amp;B207&amp;"\"&amp;TEXT(F207+1,"YYYY-MM-DD")</f>
        <v>aws s3 cp s3://rtdc.mdm.uploadarchive.raw/RTDC4042/ "%USERPROFILE%\AppData\Local\Temp\OnboardLogs"\RTDC4042\1969-12-31 --exclude "*" --recursive --include "*19691231*" &amp; "%USERPROFILE%\Documents\GitHub\mrs-test-scripts\Headless Mode &amp; Sideloading\WalkAndUnGZ.bat" "%USERPROFILE%\AppData\Local\Temp\OnboardLogs"\RTDC4042\1969-12-31 &amp; aws s3 cp s3://rtdc.mdm.uploadarchive.raw/RTDC4042/ "%USERPROFILE%\AppData\Local\Temp\OnboardLogs"\RTDC4042\1970-01-01 --exclude "*" --recursive --include "*19700101*" &amp; "%USERPROFILE%\Documents\GitHub\mrs-test-scripts\Headless Mode &amp; Sideloading\WalkAndUnGZ.bat" "%USERPROFILE%\AppData\Local\Temp\OnboardLogs"\RTDC4042\1970-01-01</v>
      </c>
      <c r="AF207" s="88" t="str">
        <f>astrogrep_path&amp;" /spath="&amp;search_path&amp;" /stypes=""app*"&amp;B207&amp;"*"&amp;TEXT(I207-utc_offset/24,"YYYYMMDD")&amp;"*"" /stext="" "&amp;TEXT(I207-utc_offset/24,"HH")&amp;search_regexp&amp;""" /e /r /s"</f>
        <v>"C:\Program Files (x86)\AstroGrep\AstroGrep.exe" /spath="%USERPROFILE%\AppData\Local\Temp\OnboardLogs" /stypes="app*4042*19691231*" /stext=" 23:.+((SYSTEM_STATE.+slice.+state.+changed )|(ment ac)|(system.+state.+changed )|(\[timeout)|(PRM\|1\|D)|(kpr)|(kdp)|(\|lc)|(penalty))" /e /r /s</v>
      </c>
      <c r="AG207" s="1" t="str">
        <f>IFERROR(IF(VALUE(LEFT(AD207,2))&lt;=2,"EC",IF(OR(VALUE(LEFT(AD207,2))=8,VALUE(LEFT(AD207,2))=18),"NW","Other")),"Other")</f>
        <v>Other</v>
      </c>
      <c r="AH207" s="92" t="str">
        <f t="shared" si="20"/>
        <v>"%USERPROFILE%\Documents\GitHub\eaglep3\Utilities\RefineRTDCRunTimes.py" --tripid 307-13 --locoid 4042 --swversion DE.1.0.7.0 --startMP 204:477 --initTime 2016-10-13T19:40:33 --startdatetime 1969-12-31T17:00:00 --delay 2 --endMP 300:23306 --enddatetime 1969-12-31T17:00:00 --enforcementcount 1 &gt;&gt;C:\Users\stu\Documents\GitHub\eaglep3-reporting\EC\2016-10-13-refined-times.txt</v>
      </c>
      <c r="AI207" s="122" t="str">
        <f t="shared" si="21"/>
        <v>echo {"issue":{"subject":"","project_id":79,"tracker_id":40,"status_id":1,"priority_id":2,"assigned_to_id":23,"start_date":"1969-12-31","description":"","custom_fields":[{"id":1,"name":"Subdivision","value":"Other"},{"id":4,"name":"Milepost","value":"2.3306"},{"id":17,"name":"Train ID","value":"307-13"},{"id":16,"name":"Locomotive ID","value":"4042"},{"id":130,"name":"Impact","value":""},{"id":150,"name":"Time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428</v>
      </c>
      <c r="B208" s="7">
        <v>4017</v>
      </c>
      <c r="C208" s="22" t="s">
        <v>99</v>
      </c>
      <c r="D208" s="22" t="s">
        <v>692</v>
      </c>
      <c r="E208" s="13">
        <v>42656.171099537038</v>
      </c>
      <c r="F208" s="13">
        <v>42656.172476851854</v>
      </c>
      <c r="G208" s="7">
        <v>1</v>
      </c>
      <c r="H208" s="13" t="s">
        <v>316</v>
      </c>
      <c r="I208" s="13">
        <v>42656.17931712963</v>
      </c>
      <c r="J208" s="7">
        <v>1</v>
      </c>
      <c r="K208" s="112" t="str">
        <f>IF(ISEVEN(B208),(B208-1)&amp;"/"&amp;B208,B208&amp;"/"&amp;(B208+1))</f>
        <v>4017/4018</v>
      </c>
      <c r="L208" s="22" t="str">
        <f>VLOOKUP(A208,'Trips&amp;Operators'!$C$1:$E$10000,3,FALSE)</f>
        <v>STRICKLAND</v>
      </c>
      <c r="M208" s="6">
        <f>I208-F208</f>
        <v>6.8402777760638855E-3</v>
      </c>
      <c r="N208" s="7">
        <f>24*60*SUM($M208:$M208)</f>
        <v>9.8499999975319952</v>
      </c>
      <c r="O208" s="7"/>
      <c r="P208" s="7"/>
      <c r="Q208" s="23"/>
      <c r="R208" s="23"/>
      <c r="S208" s="35">
        <f>SUM(U208:U208)/IF(AG208="EC",12,1)</f>
        <v>1</v>
      </c>
      <c r="T208" s="50" t="str">
        <f>IF(ISEVEN(LEFT(AD208,4)),"Southbound","NorthBound")</f>
        <v>Southbound</v>
      </c>
      <c r="U208" s="144">
        <f>IF(AG208="EC",COUNTIFS(Variables!$M$2:$M$19,IF(T208="NorthBound","&gt;=","&lt;=")&amp;Y208,Variables!$M$2:$M$19,IF(T208="NorthBound","&lt;=","&gt;=")&amp;Z208),COUNTIFS(Variables!$P$2:$P$19,IF(T208="NorthBound","&gt;=","&lt;=")&amp;Y208,Variables!$P$2:$P$19,IF(T208="NorthBound","&lt;=","&gt;=")&amp;Z208))</f>
        <v>1</v>
      </c>
      <c r="V208" s="98" t="str">
        <f>"https://search-rtdc-monitor-bjffxe2xuh6vdkpspy63sjmuny.us-east-1.es.amazonaws.com/_plugin/kibana/#/discover/Steve-Slow-Train-Analysis-(2080s-and-2083s)?_g=(refreshInterval:(display:Off,section:0,value:0),time:(from:'"&amp;TEXT(E208-1/24,"yyyy-MM-DD hh:mm:ss")&amp;"-0600',mode:absolute,to:'"&amp;TEXT(I208+1/24,"yyyy-MM-DD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208&amp;"%22')),sort:!(Time,asc))"</f>
        <v>https://search-rtdc-monitor-bjffxe2xuh6vdkpspy63sjmuny.us-east-1.es.amazonaws.com/_plugin/kibana/#/discover/Steve-Slow-Train-Analysis-(2080s-and-2083s)?_g=(refreshInterval:(display:Off,section:0,value:0),time:(from:'2016-10-13 03:06:23-0600',mode:absolute,to:'2016-10-13 05:18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8" s="52" t="str">
        <f>IF(AA208&lt;IF(AG208="EC",23,5.65),"Y","N")</f>
        <v>Y</v>
      </c>
      <c r="X208" s="149">
        <f>VALUE(LEFT(AD208,4))-VALUE(LEFT(AD207,4))</f>
        <v>1</v>
      </c>
      <c r="Y208" s="67">
        <f>RIGHT(D208,LEN(D208)-4)/10000</f>
        <v>2.3212999999999999</v>
      </c>
      <c r="Z208" s="67">
        <f>RIGHT(H208,LEN(H208)-4)/10000</f>
        <v>1.6E-2</v>
      </c>
      <c r="AA208" s="67">
        <f>ABS(Z208-Y208)</f>
        <v>2.3052999999999999</v>
      </c>
      <c r="AB208" s="64" t="e">
        <f>VLOOKUP(A208,Enforcements!$C$7:$K$21,8,0)</f>
        <v>#N/A</v>
      </c>
      <c r="AC208" s="60" t="e">
        <f>VLOOKUP(A208,Enforcements!$C$7:$E$21,3,0)</f>
        <v>#N/A</v>
      </c>
      <c r="AD208" s="61" t="str">
        <f>IF(LEN(A208)=6,"0"&amp;A208,A208)</f>
        <v>0308-13</v>
      </c>
      <c r="AE208" s="91" t="str">
        <f>"aws s3 cp "&amp;s3_bucket&amp;"/RTDC"&amp;B208&amp;"/ "&amp;search_path&amp;"\RTDC"&amp;B208&amp;"\"&amp;TEXT(F208,"YYYY-MM-DD")&amp;" --exclude ""*"" --recursive --include ""*"&amp;TEXT(F208,"YYYYMMDD")&amp;"*"" &amp; """&amp;walkandungz&amp;""" "&amp;search_path&amp;"\RTDC"&amp;B208&amp;"\"&amp;TEXT(F208,"YYYY-MM-DD")
&amp;" &amp; "&amp;"aws s3 cp "&amp;s3_bucket&amp;"/RTDC"&amp;B208&amp;"/ "&amp;search_path&amp;"\RTDC"&amp;B208&amp;"\"&amp;TEXT(F208+1,"YYYY-MM-DD")&amp;" --exclude ""*"" --recursive --include ""*"&amp;TEXT(F208+1,"YYYYMMDD")&amp;"*"" &amp; """&amp;walkandungz&amp;""" "&amp;search_path&amp;"\RTDC"&amp;B208&amp;"\"&amp;TEXT(F208+1,"YYYY-MM-DD")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8" s="88" t="str">
        <f>astrogrep_path&amp;" /spath="&amp;search_path&amp;" /stypes=""app*"&amp;B208&amp;"*"&amp;TEXT(I208-utc_offset/24,"YYYYMMDD")&amp;"*"" /stext="" "&amp;TEXT(I208-utc_offset/24,"HH")&amp;search_regexp&amp;""" /e /r /s"</f>
        <v>"C:\Program Files (x86)\AstroGrep\AstroGrep.exe" /spath="%USERPROFILE%\AppData\Local\Temp\OnboardLogs" /stypes="app*4017*20161013*" /stext=" 10:.+((SYSTEM_STATE.+slice.+state.+changed )|(ment ac)|(system.+state.+changed )|(\[timeout)|(PRM\|1\|D)|(kpr)|(kdp)|(\|lc)|(penalty))" /e /r /s</v>
      </c>
      <c r="AG208" s="1" t="str">
        <f>IFERROR(IF(VALUE(LEFT(AD208,2))&lt;=2,"EC",IF(OR(VALUE(LEFT(AD208,2))=8,VALUE(LEFT(AD208,2))=18),"NW","Other")),"Other")</f>
        <v>Other</v>
      </c>
      <c r="AH208" s="92" t="str">
        <f t="shared" si="20"/>
        <v>"%USERPROFILE%\Documents\GitHub\eaglep3\Utilities\RefineRTDCRunTimes.py" --tripid 308-13 --locoid 4017 --swversion DE.1.0.7.0 --startMP 300:23213 --initTime 2016-10-13T04:06:23 --startdatetime 2016-10-13T04:08:22 --delay 1 --endMP 204:160 --enddatetime 2016-10-13T04:18:13 --enforcementcount 1 &gt;&gt;C:\Users\stu\Documents\GitHub\eaglep3-reporting\EC\2016-10-13-refined-times.txt</v>
      </c>
      <c r="AI208" s="122" t="str">
        <f t="shared" si="21"/>
        <v>echo {"issue":{"subject":"","project_id":79,"tracker_id":40,"status_id":1,"priority_id":2,"assigned_to_id":23,"start_date":"2016-10-13","description":"","custom_fields":[{"id":1,"name":"Subdivision","value":"Other"},{"id":4,"name":"Milepost","value":"0.016"},{"id":17,"name":"Train ID","value":"308-13"},{"id":16,"name":"Locomotive ID","value":"4017"},{"id":130,"name":"Impact","value":""},{"id":150,"name":"Time of Event (Mountain Time)","value":"04:18:13"},{"id":151,"name":"Denver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38" x14ac:dyDescent="0.25">
      <c r="A209" s="37" t="s">
        <v>601</v>
      </c>
      <c r="B209" s="7">
        <v>4038</v>
      </c>
      <c r="C209" s="22" t="s">
        <v>99</v>
      </c>
      <c r="D209" s="22" t="s">
        <v>640</v>
      </c>
      <c r="E209" s="13">
        <v>42657.031608796293</v>
      </c>
      <c r="F209" s="13">
        <v>42657.03334490741</v>
      </c>
      <c r="G209" s="7">
        <v>1</v>
      </c>
      <c r="H209" s="13" t="s">
        <v>693</v>
      </c>
      <c r="I209" s="13">
        <v>42657.039768518516</v>
      </c>
      <c r="J209" s="7">
        <v>1</v>
      </c>
      <c r="K209" s="112" t="str">
        <f>IF(ISEVEN(B209),(B209-1)&amp;"/"&amp;B209,B209&amp;"/"&amp;(B209+1))</f>
        <v>4037/4038</v>
      </c>
      <c r="L209" s="22" t="str">
        <f>VLOOKUP(A209,'Trips&amp;Operators'!$C$1:$E$10000,3,FALSE)</f>
        <v>LEVERE</v>
      </c>
      <c r="M209" s="6">
        <f>I209-F209</f>
        <v>6.4236111065838486E-3</v>
      </c>
      <c r="N209" s="7">
        <f>24*60*SUM($M209:$M209)</f>
        <v>9.249999993480742</v>
      </c>
      <c r="O209" s="7"/>
      <c r="P209" s="7"/>
      <c r="Q209" s="23"/>
      <c r="R209" s="23"/>
      <c r="S209" s="35">
        <f>SUM(U209:U209)/IF(AG209="EC",12,1)</f>
        <v>1</v>
      </c>
      <c r="T209" s="50" t="str">
        <f>IF(ISEVEN(LEFT(AD209,4)),"Southbound","NorthBound")</f>
        <v>NorthBound</v>
      </c>
      <c r="U209" s="144">
        <f>IF(AG209="EC",COUNTIFS(Variables!$M$2:$M$19,IF(T209="NorthBound","&gt;=","&lt;=")&amp;Y209,Variables!$M$2:$M$19,IF(T209="NorthBound","&lt;=","&gt;=")&amp;Z209),COUNTIFS(Variables!$P$2:$P$19,IF(T209="NorthBound","&gt;=","&lt;=")&amp;Y209,Variables!$P$2:$P$19,IF(T209="NorthBound","&lt;=","&gt;=")&amp;Z209))</f>
        <v>1</v>
      </c>
      <c r="V209" s="98" t="str">
        <f>"https://search-rtdc-monitor-bjffxe2xuh6vdkpspy63sjmuny.us-east-1.es.amazonaws.com/_plugin/kibana/#/discover/Steve-Slow-Train-Analysis-(2080s-and-2083s)?_g=(refreshInterval:(display:Off,section:0,value:0),time:(from:'"&amp;TEXT(E209-1/24,"yyyy-MM-DD hh:mm:ss")&amp;"-0600',mode:absolute,to:'"&amp;TEXT(I209+1/24,"yyyy-MM-DD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209&amp;"%22')),sort:!(Time,asc))"</f>
        <v>https://search-rtdc-monitor-bjffxe2xuh6vdkpspy63sjmuny.us-east-1.es.amazonaws.com/_plugin/kibana/#/discover/Steve-Slow-Train-Analysis-(2080s-and-2083s)?_g=(refreshInterval:(display:Off,section:0,value:0),time:(from:'2016-10-13 23:45:31-0600',mode:absolute,to:'2016-10-14 01:57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09" s="52" t="str">
        <f>IF(AA209&lt;IF(AG209="EC",23,5.65),"Y","N")</f>
        <v>Y</v>
      </c>
      <c r="X209" s="149">
        <f>VALUE(LEFT(AD209,4))-VALUE(LEFT(AD208,4))</f>
        <v>1</v>
      </c>
      <c r="Y209" s="67">
        <f>RIGHT(D209,LEN(D209)-4)/10000</f>
        <v>4.3299999999999998E-2</v>
      </c>
      <c r="Z209" s="67">
        <f>RIGHT(H209,LEN(H209)-4)/10000</f>
        <v>2.2831000000000001</v>
      </c>
      <c r="AA209" s="67">
        <f>ABS(Z209-Y209)</f>
        <v>2.2398000000000002</v>
      </c>
      <c r="AB209" s="64" t="e">
        <f>VLOOKUP(A209,Enforcements!$C$7:$K$21,8,0)</f>
        <v>#N/A</v>
      </c>
      <c r="AC209" s="60" t="e">
        <f>VLOOKUP(A209,Enforcements!$C$7:$E$21,3,0)</f>
        <v>#N/A</v>
      </c>
      <c r="AD209" s="61" t="str">
        <f>IF(LEN(A209)=6,"0"&amp;A209,A209)</f>
        <v>0309-13</v>
      </c>
      <c r="AE209" s="91" t="str">
        <f>"aws s3 cp "&amp;s3_bucket&amp;"/RTDC"&amp;B209&amp;"/ "&amp;search_path&amp;"\RTDC"&amp;B209&amp;"\"&amp;TEXT(F209,"YYYY-MM-DD")&amp;" --exclude ""*"" --recursive --include ""*"&amp;TEXT(F209,"YYYYMMDD")&amp;"*"" &amp; """&amp;walkandungz&amp;""" "&amp;search_path&amp;"\RTDC"&amp;B209&amp;"\"&amp;TEXT(F209,"YYYY-MM-DD")
&amp;" &amp; "&amp;"aws s3 cp "&amp;s3_bucket&amp;"/RTDC"&amp;B209&amp;"/ "&amp;search_path&amp;"\RTDC"&amp;B209&amp;"\"&amp;TEXT(F209+1,"YYYY-MM-DD")&amp;" --exclude ""*"" --recursive --include ""*"&amp;TEXT(F209+1,"YYYYMMDD")&amp;"*"" &amp; """&amp;walkandungz&amp;""" "&amp;search_path&amp;"\RTDC"&amp;B209&amp;"\"&amp;TEXT(F209+1,"YYYY-MM-DD")</f>
        <v>aws s3 cp s3://rtdc.mdm.uploadarchive.raw/RTDC4038/ "%USERPROFILE%\AppData\Local\Temp\OnboardLogs"\RTDC4038\2016-10-14 --exclude "*" --recursive --include "*20161014*" &amp; "%USERPROFILE%\Documents\GitHub\mrs-test-scripts\Headless Mode &amp; Sideloading\WalkAndUnGZ.bat" "%USERPROFILE%\AppData\Local\Temp\OnboardLogs"\RTDC4038\2016-10-14 &amp; aws s3 cp s3://rtdc.mdm.uploadarchive.raw/RTDC4038/ "%USERPROFILE%\AppData\Local\Temp\OnboardLogs"\RTDC4038\2016-10-15 --exclude "*" --recursive --include "*20161015*" &amp; "%USERPROFILE%\Documents\GitHub\mrs-test-scripts\Headless Mode &amp; Sideloading\WalkAndUnGZ.bat" "%USERPROFILE%\AppData\Local\Temp\OnboardLogs"\RTDC4038\2016-10-15</v>
      </c>
      <c r="AF209" s="88" t="str">
        <f>astrogrep_path&amp;" /spath="&amp;search_path&amp;" /stypes=""app*"&amp;B209&amp;"*"&amp;TEXT(I209-utc_offset/24,"YYYYMMDD")&amp;"*"" /stext="" "&amp;TEXT(I209-utc_offset/24,"HH")&amp;search_regexp&amp;""" /e /r /s"</f>
        <v>"C:\Program Files (x86)\AstroGrep\AstroGrep.exe" /spath="%USERPROFILE%\AppData\Local\Temp\OnboardLogs" /stypes="app*4038*20161014*" /stext=" 06:.+((SYSTEM_STATE.+slice.+state.+changed )|(ment ac)|(system.+state.+changed )|(\[timeout)|(PRM\|1\|D)|(kpr)|(kdp)|(\|lc)|(penalty))" /e /r /s</v>
      </c>
      <c r="AG209" s="1" t="str">
        <f>IFERROR(IF(VALUE(LEFT(AD209,2))&lt;=2,"EC",IF(OR(VALUE(LEFT(AD209,2))=8,VALUE(LEFT(AD209,2))=18),"NW","Other")),"Other")</f>
        <v>Other</v>
      </c>
      <c r="AH209" s="92" t="str">
        <f t="shared" si="20"/>
        <v>"%USERPROFILE%\Documents\GitHub\eaglep3\Utilities\RefineRTDCRunTimes.py" --tripid 309-13 --locoid 4038 --swversion DE.1.0.7.0 --startMP 204:433 --initTime 2016-10-14T00:45:31 --startdatetime 2016-10-14T00:48:01 --delay 1 --endMP 300:22831 --enddatetime 2016-10-14T00:57:16 --enforcementcount 1 &gt;&gt;C:\Users\stu\Documents\GitHub\eaglep3-reporting\EC\2016-10-13-refined-times.txt</v>
      </c>
      <c r="AI209" s="122" t="str">
        <f t="shared" si="21"/>
        <v>echo {"issue":{"subject":"","project_id":79,"tracker_id":40,"status_id":1,"priority_id":2,"assigned_to_id":23,"start_date":"2016-10-14","description":"","custom_fields":[{"id":1,"name":"Subdivision","value":"Other"},{"id":4,"name":"Milepost","value":"2.2831"},{"id":17,"name":"Train ID","value":"309-13"},{"id":16,"name":"Locomotive ID","value":"4038"},{"id":130,"name":"Impact","value":""},{"id":150,"name":"Time of Event (Mountain Time)","value":"00:57:16"},{"id":151,"name":"Denver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38" x14ac:dyDescent="0.25">
      <c r="A210" s="37" t="s">
        <v>432</v>
      </c>
      <c r="B210" s="7">
        <v>4004</v>
      </c>
      <c r="C210" s="22" t="s">
        <v>99</v>
      </c>
      <c r="D210" s="22" t="s">
        <v>694</v>
      </c>
      <c r="E210" s="13">
        <v>42656.183229166665</v>
      </c>
      <c r="F210" s="13">
        <v>42656.184305555558</v>
      </c>
      <c r="G210" s="7">
        <v>1</v>
      </c>
      <c r="H210" s="13" t="s">
        <v>259</v>
      </c>
      <c r="I210" s="13">
        <v>42656.190972222219</v>
      </c>
      <c r="J210" s="7">
        <v>1</v>
      </c>
      <c r="K210" s="112" t="str">
        <f>IF(ISEVEN(B210),(B210-1)&amp;"/"&amp;B210,B210&amp;"/"&amp;(B210+1))</f>
        <v>4003/4004</v>
      </c>
      <c r="L210" s="22" t="str">
        <f>VLOOKUP(A210,'Trips&amp;Operators'!$C$1:$E$10000,3,FALSE)</f>
        <v>ROCHA</v>
      </c>
      <c r="M210" s="6">
        <f>I210-F210</f>
        <v>6.6666666607488878E-3</v>
      </c>
      <c r="N210" s="7">
        <f>24*60*SUM($M210:$M210)</f>
        <v>9.5999999914783984</v>
      </c>
      <c r="O210" s="7"/>
      <c r="P210" s="7"/>
      <c r="Q210" s="23"/>
      <c r="R210" s="23"/>
      <c r="S210" s="35">
        <f>SUM(U210:U210)/IF(AG210="EC",12,1)</f>
        <v>1</v>
      </c>
      <c r="T210" s="50" t="str">
        <f>IF(ISEVEN(LEFT(AD210,4)),"Southbound","NorthBound")</f>
        <v>Southbound</v>
      </c>
      <c r="U210" s="144">
        <f>IF(AG210="EC",COUNTIFS(Variables!$M$2:$M$19,IF(T210="NorthBound","&gt;=","&lt;=")&amp;Y210,Variables!$M$2:$M$19,IF(T210="NorthBound","&lt;=","&gt;=")&amp;Z210),COUNTIFS(Variables!$P$2:$P$19,IF(T210="NorthBound","&gt;=","&lt;=")&amp;Y210,Variables!$P$2:$P$19,IF(T210="NorthBound","&lt;=","&gt;=")&amp;Z210))</f>
        <v>1</v>
      </c>
      <c r="V210" s="98" t="str">
        <f>"https://search-rtdc-monitor-bjffxe2xuh6vdkpspy63sjmuny.us-east-1.es.amazonaws.com/_plugin/kibana/#/discover/Steve-Slow-Train-Analysis-(2080s-and-2083s)?_g=(refreshInterval:(display:Off,section:0,value:0),time:(from:'"&amp;TEXT(E210-1/24,"yyyy-MM-DD hh:mm:ss")&amp;"-0600',mode:absolute,to:'"&amp;TEXT(I210+1/24,"yyyy-MM-DD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210&amp;"%22')),sort:!(Time,asc))"</f>
        <v>https://search-rtdc-monitor-bjffxe2xuh6vdkpspy63sjmuny.us-east-1.es.amazonaws.com/_plugin/kibana/#/discover/Steve-Slow-Train-Analysis-(2080s-and-2083s)?_g=(refreshInterval:(display:Off,section:0,value:0),time:(from:'2016-10-13 03:23:51-0600',mode:absolute,to:'2016-10-13 05: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0" s="52" t="str">
        <f>IF(AA210&lt;IF(AG210="EC",23,5.65),"Y","N")</f>
        <v>Y</v>
      </c>
      <c r="X210" s="149">
        <f>VALUE(LEFT(AD210,4))-VALUE(LEFT(AD209,4))</f>
        <v>1</v>
      </c>
      <c r="Y210" s="67">
        <f>RIGHT(D210,LEN(D210)-4)/10000</f>
        <v>2.3288000000000002</v>
      </c>
      <c r="Z210" s="67">
        <f>RIGHT(H210,LEN(H210)-4)/10000</f>
        <v>1.61E-2</v>
      </c>
      <c r="AA210" s="67">
        <f>ABS(Z210-Y210)</f>
        <v>2.3127000000000004</v>
      </c>
      <c r="AB210" s="64" t="e">
        <f>VLOOKUP(A210,Enforcements!$C$7:$K$21,8,0)</f>
        <v>#N/A</v>
      </c>
      <c r="AC210" s="60" t="e">
        <f>VLOOKUP(A210,Enforcements!$C$7:$E$21,3,0)</f>
        <v>#N/A</v>
      </c>
      <c r="AD210" s="61" t="str">
        <f>IF(LEN(A210)=6,"0"&amp;A210,A210)</f>
        <v>0310-13</v>
      </c>
      <c r="AE210" s="91" t="str">
        <f>"aws s3 cp "&amp;s3_bucket&amp;"/RTDC"&amp;B210&amp;"/ "&amp;search_path&amp;"\RTDC"&amp;B210&amp;"\"&amp;TEXT(F210,"YYYY-MM-DD")&amp;" --exclude ""*"" --recursive --include ""*"&amp;TEXT(F210,"YYYYMMDD")&amp;"*"" &amp; """&amp;walkandungz&amp;""" "&amp;search_path&amp;"\RTDC"&amp;B210&amp;"\"&amp;TEXT(F210,"YYYY-MM-DD")
&amp;" &amp; "&amp;"aws s3 cp "&amp;s3_bucket&amp;"/RTDC"&amp;B210&amp;"/ "&amp;search_path&amp;"\RTDC"&amp;B210&amp;"\"&amp;TEXT(F210+1,"YYYY-MM-DD")&amp;" --exclude ""*"" --recursive --include ""*"&amp;TEXT(F210+1,"YYYYMMDD")&amp;"*"" &amp; """&amp;walkandungz&amp;""" "&amp;search_path&amp;"\RTDC"&amp;B210&amp;"\"&amp;TEXT(F210+1,"YYYY-MM-DD")</f>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10" s="88" t="str">
        <f>astrogrep_path&amp;" /spath="&amp;search_path&amp;" /stypes=""app*"&amp;B210&amp;"*"&amp;TEXT(I210-utc_offset/24,"YYYYMMDD")&amp;"*"" /stext="" "&amp;TEXT(I210-utc_offset/24,"HH")&amp;search_regexp&amp;""" /e /r /s"</f>
        <v>"C:\Program Files (x86)\AstroGrep\AstroGrep.exe" /spath="%USERPROFILE%\AppData\Local\Temp\OnboardLogs" /stypes="app*4004*20161013*" /stext=" 10:.+((SYSTEM_STATE.+slice.+state.+changed )|(ment ac)|(system.+state.+changed )|(\[timeout)|(PRM\|1\|D)|(kpr)|(kdp)|(\|lc)|(penalty))" /e /r /s</v>
      </c>
      <c r="AG210" s="1" t="str">
        <f>IFERROR(IF(VALUE(LEFT(AD210,2))&lt;=2,"EC",IF(OR(VALUE(LEFT(AD210,2))=8,VALUE(LEFT(AD210,2))=18),"NW","Other")),"Other")</f>
        <v>Other</v>
      </c>
      <c r="AH210" s="92" t="str">
        <f t="shared" si="20"/>
        <v>"%USERPROFILE%\Documents\GitHub\eaglep3\Utilities\RefineRTDCRunTimes.py" --tripid 310-13 --locoid 4004 --swversion DE.1.0.7.0 --startMP 300:23288 --initTime 2016-10-13T04:23:51 --startdatetime 2016-10-13T04:25:24 --delay 1 --endMP 204:161 --enddatetime 2016-10-13T04:35:00 --enforcementcount 1 &gt;&gt;C:\Users\stu\Documents\GitHub\eaglep3-reporting\EC\2016-10-13-refined-times.txt</v>
      </c>
      <c r="AI210" s="122" t="str">
        <f t="shared" si="21"/>
        <v>echo {"issue":{"subject":"","project_id":79,"tracker_id":40,"status_id":1,"priority_id":2,"assigned_to_id":23,"start_date":"2016-10-13","description":"","custom_fields":[{"id":1,"name":"Subdivision","value":"Other"},{"id":4,"name":"Milepost","value":"0.0161"},{"id":17,"name":"Train ID","value":"310-13"},{"id":16,"name":"Locomotive ID","value":"4004"},{"id":130,"name":"Impact","value":""},{"id":150,"name":"Time of Event (Mountain Time)","value":"04:35:00"},{"id":151,"name":"Denver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38" x14ac:dyDescent="0.25">
      <c r="A211" s="37" t="s">
        <v>350</v>
      </c>
      <c r="B211" s="7">
        <v>4007</v>
      </c>
      <c r="C211" s="22" t="s">
        <v>99</v>
      </c>
      <c r="D211" s="22" t="s">
        <v>351</v>
      </c>
      <c r="E211" s="13">
        <v>42656.072523148148</v>
      </c>
      <c r="F211" s="13">
        <v>25568.708333333332</v>
      </c>
      <c r="G211" s="7">
        <v>3</v>
      </c>
      <c r="H211" s="13" t="s">
        <v>352</v>
      </c>
      <c r="I211" s="13">
        <v>25568.708333333332</v>
      </c>
      <c r="J211" s="7">
        <v>1</v>
      </c>
      <c r="K211" s="112" t="str">
        <f>IF(ISEVEN(B211),(B211-1)&amp;"/"&amp;B211,B211&amp;"/"&amp;(B211+1))</f>
        <v>4007/4008</v>
      </c>
      <c r="L211" s="22" t="str">
        <f>VLOOKUP(A211,'Trips&amp;Operators'!$C$1:$E$10000,3,FALSE)</f>
        <v>BERLING</v>
      </c>
      <c r="M211" s="6">
        <f>I211-F211</f>
        <v>0</v>
      </c>
      <c r="N211" s="7">
        <f>24*60*SUM($M211:$M211)</f>
        <v>0</v>
      </c>
      <c r="O211" s="7"/>
      <c r="P211" s="7"/>
      <c r="Q211" s="23"/>
      <c r="R211" s="23"/>
      <c r="S211" s="35">
        <f>SUM(U211:U211)/IF(AG211="EC",12,1)</f>
        <v>1</v>
      </c>
      <c r="T211" s="50" t="str">
        <f>IF(ISEVEN(LEFT(AD211,4)),"Southbound","NorthBound")</f>
        <v>NorthBound</v>
      </c>
      <c r="U211" s="144">
        <f>IF(AG211="EC",COUNTIFS(Variables!$M$2:$M$19,IF(T211="NorthBound","&gt;=","&lt;=")&amp;Y211,Variables!$M$2:$M$19,IF(T211="NorthBound","&lt;=","&gt;=")&amp;Z211),COUNTIFS(Variables!$P$2:$P$19,IF(T211="NorthBound","&gt;=","&lt;=")&amp;Y211,Variables!$P$2:$P$19,IF(T211="NorthBound","&lt;=","&gt;=")&amp;Z211))</f>
        <v>1</v>
      </c>
      <c r="V211" s="98" t="str">
        <f>"https://search-rtdc-monitor-bjffxe2xuh6vdkpspy63sjmuny.us-east-1.es.amazonaws.com/_plugin/kibana/#/discover/Steve-Slow-Train-Analysis-(2080s-and-2083s)?_g=(refreshInterval:(display:Off,section:0,value:0),time:(from:'"&amp;TEXT(E211-1/24,"yyyy-MM-DD hh:mm:ss")&amp;"-0600',mode:absolute,to:'"&amp;TEXT(I211+1/24,"yyyy-MM-DD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211&amp;"%22')),sort:!(Time,asc))"</f>
        <v>https://search-rtdc-monitor-bjffxe2xuh6vdkpspy63sjmuny.us-east-1.es.amazonaws.com/_plugin/kibana/#/discover/Steve-Slow-Train-Analysis-(2080s-and-2083s)?_g=(refreshInterval:(display:Off,section:0,value:0),time:(from:'2016-10-13 00:44:26-0600',mode:absolute,to:'1969-12-31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4007%22')),sort:!(Time,asc))</v>
      </c>
      <c r="W211" s="52" t="str">
        <f>IF(AA211&lt;IF(AG211="EC",23,5.65),"Y","N")</f>
        <v>Y</v>
      </c>
      <c r="X211" s="149">
        <f>VALUE(LEFT(AD211,4))-VALUE(LEFT(AD210,4))</f>
        <v>3</v>
      </c>
      <c r="Y211" s="67">
        <f>RIGHT(D211,LEN(D211)-4)/10000</f>
        <v>4.3999999999999997E-2</v>
      </c>
      <c r="Z211" s="67">
        <f>RIGHT(H211,LEN(H211)-4)/10000</f>
        <v>2.306</v>
      </c>
      <c r="AA211" s="67">
        <f>ABS(Z211-Y211)</f>
        <v>2.262</v>
      </c>
      <c r="AB211" s="64" t="e">
        <f>VLOOKUP(A211,Enforcements!$C$7:$K$21,8,0)</f>
        <v>#N/A</v>
      </c>
      <c r="AC211" s="60" t="e">
        <f>VLOOKUP(A211,Enforcements!$C$7:$E$21,3,0)</f>
        <v>#N/A</v>
      </c>
      <c r="AD211" s="61" t="str">
        <f>IF(LEN(A211)=6,"0"&amp;A211,A211)</f>
        <v>0313-12</v>
      </c>
      <c r="AE211" s="91" t="str">
        <f>"aws s3 cp "&amp;s3_bucket&amp;"/RTDC"&amp;B211&amp;"/ "&amp;search_path&amp;"\RTDC"&amp;B211&amp;"\"&amp;TEXT(F211,"YYYY-MM-DD")&amp;" --exclude ""*"" --recursive --include ""*"&amp;TEXT(F211,"YYYYMMDD")&amp;"*"" &amp; """&amp;walkandungz&amp;""" "&amp;search_path&amp;"\RTDC"&amp;B211&amp;"\"&amp;TEXT(F211,"YYYY-MM-DD")
&amp;" &amp; "&amp;"aws s3 cp "&amp;s3_bucket&amp;"/RTDC"&amp;B211&amp;"/ "&amp;search_path&amp;"\RTDC"&amp;B211&amp;"\"&amp;TEXT(F211+1,"YYYY-MM-DD")&amp;" --exclude ""*"" --recursive --include ""*"&amp;TEXT(F211+1,"YYYYMMDD")&amp;"*"" &amp; """&amp;walkandungz&amp;""" "&amp;search_path&amp;"\RTDC"&amp;B211&amp;"\"&amp;TEXT(F211+1,"YYYY-MM-DD")</f>
        <v>aws s3 cp s3://rtdc.mdm.uploadarchive.raw/RTDC4007/ "%USERPROFILE%\AppData\Local\Temp\OnboardLogs"\RTDC4007\1969-12-31 --exclude "*" --recursive --include "*19691231*" &amp; "%USERPROFILE%\Documents\GitHub\mrs-test-scripts\Headless Mode &amp; Sideloading\WalkAndUnGZ.bat" "%USERPROFILE%\AppData\Local\Temp\OnboardLogs"\RTDC4007\1969-12-31 &amp; aws s3 cp s3://rtdc.mdm.uploadarchive.raw/RTDC4007/ "%USERPROFILE%\AppData\Local\Temp\OnboardLogs"\RTDC4007\1970-01-01 --exclude "*" --recursive --include "*19700101*" &amp; "%USERPROFILE%\Documents\GitHub\mrs-test-scripts\Headless Mode &amp; Sideloading\WalkAndUnGZ.bat" "%USERPROFILE%\AppData\Local\Temp\OnboardLogs"\RTDC4007\1970-01-01</v>
      </c>
      <c r="AF211" s="88" t="str">
        <f>astrogrep_path&amp;" /spath="&amp;search_path&amp;" /stypes=""app*"&amp;B211&amp;"*"&amp;TEXT(I211-utc_offset/24,"YYYYMMDD")&amp;"*"" /stext="" "&amp;TEXT(I211-utc_offset/24,"HH")&amp;search_regexp&amp;""" /e /r /s"</f>
        <v>"C:\Program Files (x86)\AstroGrep\AstroGrep.exe" /spath="%USERPROFILE%\AppData\Local\Temp\OnboardLogs" /stypes="app*4007*19691231*" /stext=" 23:.+((SYSTEM_STATE.+slice.+state.+changed )|(ment ac)|(system.+state.+changed )|(\[timeout)|(PRM\|1\|D)|(kpr)|(kdp)|(\|lc)|(penalty))" /e /r /s</v>
      </c>
      <c r="AG211" s="1" t="str">
        <f>IFERROR(IF(VALUE(LEFT(AD211,2))&lt;=2,"EC",IF(OR(VALUE(LEFT(AD211,2))=8,VALUE(LEFT(AD211,2))=18),"NW","Other")),"Other")</f>
        <v>Other</v>
      </c>
      <c r="AH211" s="92" t="str">
        <f t="shared" si="20"/>
        <v>"%USERPROFILE%\Documents\GitHub\eaglep3\Utilities\RefineRTDCRunTimes.py" --tripid 313-12 --locoid 4007 --swversion DE.1.0.7.0 --startMP 204:440 --initTime 2016-10-13T01:44:26 --startdatetime 1969-12-31T17:00:00 --delay 3 --endMP 300:23060 --enddatetime 1969-12-31T17:00:00 --enforcementcount 1 &gt;&gt;C:\Users\stu\Documents\GitHub\eaglep3-reporting\EC\2016-10-13-refined-times.txt</v>
      </c>
      <c r="AI211" s="122" t="str">
        <f t="shared" si="21"/>
        <v>echo {"issue":{"subject":"","project_id":79,"tracker_id":40,"status_id":1,"priority_id":2,"assigned_to_id":23,"start_date":"1969-12-31","description":"","custom_fields":[{"id":1,"name":"Subdivision","value":"Other"},{"id":4,"name":"Milepost","value":"2.306"},{"id":17,"name":"Train ID","value":"313-12"},{"id":16,"name":"Locomotive ID","value":"4007"},{"id":130,"name":"Impact","value":""},{"id":150,"name":"Time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row>
    <row r="212" spans="1:38" x14ac:dyDescent="0.25">
      <c r="A212" s="37" t="s">
        <v>603</v>
      </c>
      <c r="B212" s="7">
        <v>4044</v>
      </c>
      <c r="C212" s="22" t="s">
        <v>99</v>
      </c>
      <c r="D212" s="22" t="s">
        <v>300</v>
      </c>
      <c r="E212" s="13">
        <v>42657.069814814815</v>
      </c>
      <c r="F212" s="13">
        <v>25568.708333333332</v>
      </c>
      <c r="G212" s="7">
        <v>1</v>
      </c>
      <c r="H212" s="13" t="s">
        <v>695</v>
      </c>
      <c r="I212" s="13">
        <v>25568.708333333332</v>
      </c>
      <c r="J212" s="7">
        <v>1</v>
      </c>
      <c r="K212" s="112" t="str">
        <f>IF(ISEVEN(B212),(B212-1)&amp;"/"&amp;B212,B212&amp;"/"&amp;(B212+1))</f>
        <v>4043/4044</v>
      </c>
      <c r="L212" s="22" t="str">
        <f>VLOOKUP(A212,'Trips&amp;Operators'!$C$1:$E$10000,3,FALSE)</f>
        <v>BERLING</v>
      </c>
      <c r="M212" s="6">
        <f>I212-F212</f>
        <v>0</v>
      </c>
      <c r="N212" s="7">
        <f>24*60*SUM($M212:$M212)</f>
        <v>0</v>
      </c>
      <c r="O212" s="7"/>
      <c r="P212" s="7"/>
      <c r="Q212" s="23"/>
      <c r="R212" s="23"/>
      <c r="S212" s="35">
        <f>SUM(U212:U212)/IF(AG212="EC",12,1)</f>
        <v>1</v>
      </c>
      <c r="T212" s="50" t="str">
        <f>IF(ISEVEN(LEFT(AD212,4)),"Southbound","NorthBound")</f>
        <v>NorthBound</v>
      </c>
      <c r="U212" s="144">
        <f>IF(AG212="EC",COUNTIFS(Variables!$M$2:$M$19,IF(T212="NorthBound","&gt;=","&lt;=")&amp;Y212,Variables!$M$2:$M$19,IF(T212="NorthBound","&lt;=","&gt;=")&amp;Z212),COUNTIFS(Variables!$P$2:$P$19,IF(T212="NorthBound","&gt;=","&lt;=")&amp;Y212,Variables!$P$2:$P$19,IF(T212="NorthBound","&lt;=","&gt;=")&amp;Z212))</f>
        <v>1</v>
      </c>
      <c r="V212" s="98" t="str">
        <f>"https://search-rtdc-monitor-bjffxe2xuh6vdkpspy63sjmuny.us-east-1.es.amazonaws.com/_plugin/kibana/#/discover/Steve-Slow-Train-Analysis-(2080s-and-2083s)?_g=(refreshInterval:(display:Off,section:0,value:0),time:(from:'"&amp;TEXT(E212-1/24,"yyyy-MM-DD hh:mm:ss")&amp;"-0600',mode:absolute,to:'"&amp;TEXT(I212+1/24,"yyyy-MM-DD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212&amp;"%22')),sort:!(Time,asc))"</f>
        <v>https://search-rtdc-monitor-bjffxe2xuh6vdkpspy63sjmuny.us-east-1.es.amazonaws.com/_plugin/kibana/#/discover/Steve-Slow-Train-Analysis-(2080s-and-2083s)?_g=(refreshInterval:(display:Off,section:0,value:0),time:(from:'2016-10-14 00:40:32-0600',mode:absolute,to:'1969-12-31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2" s="52" t="str">
        <f>IF(AA212&lt;IF(AG212="EC",23,5.65),"Y","N")</f>
        <v>Y</v>
      </c>
      <c r="X212" s="149">
        <f>VALUE(LEFT(AD212,4))-VALUE(LEFT(AD211,4))</f>
        <v>0</v>
      </c>
      <c r="Y212" s="67">
        <f>RIGHT(D212,LEN(D212)-4)/10000</f>
        <v>4.3799999999999999E-2</v>
      </c>
      <c r="Z212" s="67">
        <f>RIGHT(H212,LEN(H212)-4)/10000</f>
        <v>2.331</v>
      </c>
      <c r="AA212" s="67">
        <f>ABS(Z212-Y212)</f>
        <v>2.2871999999999999</v>
      </c>
      <c r="AB212" s="64" t="e">
        <f>VLOOKUP(A212,Enforcements!$C$7:$K$21,8,0)</f>
        <v>#N/A</v>
      </c>
      <c r="AC212" s="60" t="e">
        <f>VLOOKUP(A212,Enforcements!$C$7:$E$21,3,0)</f>
        <v>#N/A</v>
      </c>
      <c r="AD212" s="61" t="str">
        <f>IF(LEN(A212)=6,"0"&amp;A212,A212)</f>
        <v>0313-13</v>
      </c>
      <c r="AE212" s="91" t="str">
        <f>"aws s3 cp "&amp;s3_bucket&amp;"/RTDC"&amp;B212&amp;"/ "&amp;search_path&amp;"\RTDC"&amp;B212&amp;"\"&amp;TEXT(F212,"YYYY-MM-DD")&amp;" --exclude ""*"" --recursive --include ""*"&amp;TEXT(F212,"YYYYMMDD")&amp;"*"" &amp; """&amp;walkandungz&amp;""" "&amp;search_path&amp;"\RTDC"&amp;B212&amp;"\"&amp;TEXT(F212,"YYYY-MM-DD")
&amp;" &amp; "&amp;"aws s3 cp "&amp;s3_bucket&amp;"/RTDC"&amp;B212&amp;"/ "&amp;search_path&amp;"\RTDC"&amp;B212&amp;"\"&amp;TEXT(F212+1,"YYYY-MM-DD")&amp;" --exclude ""*"" --recursive --include ""*"&amp;TEXT(F212+1,"YYYYMMDD")&amp;"*"" &amp; """&amp;walkandungz&amp;""" "&amp;search_path&amp;"\RTDC"&amp;B212&amp;"\"&amp;TEXT(F212+1,"YYYY-MM-DD")</f>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2" s="88" t="str">
        <f>astrogrep_path&amp;" /spath="&amp;search_path&amp;" /stypes=""app*"&amp;B212&amp;"*"&amp;TEXT(I212-utc_offset/24,"YYYYMMDD")&amp;"*"" /stext="" "&amp;TEXT(I212-utc_offset/24,"HH")&amp;search_regexp&amp;""" /e /r /s"</f>
        <v>"C:\Program Files (x86)\AstroGrep\AstroGrep.exe" /spath="%USERPROFILE%\AppData\Local\Temp\OnboardLogs" /stypes="app*4044*19691231*" /stext=" 23:.+((SYSTEM_STATE.+slice.+state.+changed )|(ment ac)|(system.+state.+changed )|(\[timeout)|(PRM\|1\|D)|(kpr)|(kdp)|(\|lc)|(penalty))" /e /r /s</v>
      </c>
      <c r="AG212" s="1" t="str">
        <f>IFERROR(IF(VALUE(LEFT(AD212,2))&lt;=2,"EC",IF(OR(VALUE(LEFT(AD212,2))=8,VALUE(LEFT(AD212,2))=18),"NW","Other")),"Other")</f>
        <v>Other</v>
      </c>
      <c r="AH212" s="92" t="str">
        <f t="shared" si="20"/>
        <v>"%USERPROFILE%\Documents\GitHub\eaglep3\Utilities\RefineRTDCRunTimes.py" --tripid 313-13 --locoid 4044 --swversion DE.1.0.7.0 --startMP 204:438 --initTime 2016-10-14T01:40:32 --startdatetime 1969-12-31T17:00:00 --delay 1 --endMP 300:23310 --enddatetime 1969-12-31T17:00:00 --enforcementcount 1 &gt;&gt;C:\Users\stu\Documents\GitHub\eaglep3-reporting\EC\2016-10-13-refined-times.txt</v>
      </c>
      <c r="AI212" s="122" t="str">
        <f t="shared" si="21"/>
        <v>echo {"issue":{"subject":"","project_id":79,"tracker_id":40,"status_id":1,"priority_id":2,"assigned_to_id":23,"start_date":"1969-12-31","description":"","custom_fields":[{"id":1,"name":"Subdivision","value":"Other"},{"id":4,"name":"Milepost","value":"2.331"},{"id":17,"name":"Train ID","value":"313-13"},{"id":16,"name":"Locomotive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38" x14ac:dyDescent="0.25">
      <c r="A213" s="37" t="s">
        <v>353</v>
      </c>
      <c r="B213" s="7">
        <v>4053</v>
      </c>
      <c r="C213" s="22" t="s">
        <v>99</v>
      </c>
      <c r="D213" s="22" t="s">
        <v>264</v>
      </c>
      <c r="E213" s="13">
        <v>42656.101087962961</v>
      </c>
      <c r="F213" s="13">
        <v>25568.708333333332</v>
      </c>
      <c r="G213" s="7">
        <v>1</v>
      </c>
      <c r="H213" s="13" t="s">
        <v>354</v>
      </c>
      <c r="I213" s="13">
        <v>25568.708333333332</v>
      </c>
      <c r="J213" s="7">
        <v>1</v>
      </c>
      <c r="K213" s="112" t="str">
        <f>IF(ISEVEN(B213),(B213-1)&amp;"/"&amp;B213,B213&amp;"/"&amp;(B213+1))</f>
        <v>4053/4054</v>
      </c>
      <c r="L213" s="22" t="str">
        <f>VLOOKUP(A213,'Trips&amp;Operators'!$C$1:$E$10000,3,FALSE)</f>
        <v>YOUNG</v>
      </c>
      <c r="M213" s="6">
        <f>I213-F213</f>
        <v>0</v>
      </c>
      <c r="N213" s="7">
        <f>24*60*SUM($M213:$M213)</f>
        <v>0</v>
      </c>
      <c r="O213" s="7"/>
      <c r="P213" s="7"/>
      <c r="Q213" s="23"/>
      <c r="R213" s="23"/>
      <c r="S213" s="35">
        <f>SUM(U213:U213)/IF(AG213="EC",12,1)</f>
        <v>1</v>
      </c>
      <c r="T213" s="50" t="str">
        <f>IF(ISEVEN(LEFT(AD213,4)),"Southbound","NorthBound")</f>
        <v>NorthBound</v>
      </c>
      <c r="U213" s="144">
        <f>IF(AG213="EC",COUNTIFS(Variables!$M$2:$M$19,IF(T213="NorthBound","&gt;=","&lt;=")&amp;Y213,Variables!$M$2:$M$19,IF(T213="NorthBound","&lt;=","&gt;=")&amp;Z213),COUNTIFS(Variables!$P$2:$P$19,IF(T213="NorthBound","&gt;=","&lt;=")&amp;Y213,Variables!$P$2:$P$19,IF(T213="NorthBound","&lt;=","&gt;=")&amp;Z213))</f>
        <v>1</v>
      </c>
      <c r="V213" s="98" t="str">
        <f>"https://search-rtdc-monitor-bjffxe2xuh6vdkpspy63sjmuny.us-east-1.es.amazonaws.com/_plugin/kibana/#/discover/Steve-Slow-Train-Analysis-(2080s-and-2083s)?_g=(refreshInterval:(display:Off,section:0,value:0),time:(from:'"&amp;TEXT(E213-1/24,"yyyy-MM-DD hh:mm:ss")&amp;"-0600',mode:absolute,to:'"&amp;TEXT(I213+1/24,"yyyy-MM-DD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213&amp;"%22')),sort:!(Time,asc))"</f>
        <v>https://search-rtdc-monitor-bjffxe2xuh6vdkpspy63sjmuny.us-east-1.es.amazonaws.com/_plugin/kibana/#/discover/Steve-Slow-Train-Analysis-(2080s-and-2083s)?_g=(refreshInterval:(display:Off,section:0,value:0),time:(from:'2016-10-13 01:25:34-0600',mode:absolute,to:'1969-12-31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4053%22')),sort:!(Time,asc))</v>
      </c>
      <c r="W213" s="52" t="str">
        <f>IF(AA213&lt;IF(AG213="EC",23,5.65),"Y","N")</f>
        <v>Y</v>
      </c>
      <c r="X213" s="149">
        <f>VALUE(LEFT(AD213,4))-VALUE(LEFT(AD212,4))</f>
        <v>2</v>
      </c>
      <c r="Y213" s="67">
        <f>RIGHT(D213,LEN(D213)-4)/10000</f>
        <v>7.6300000000000007E-2</v>
      </c>
      <c r="Z213" s="67">
        <f>RIGHT(H213,LEN(H213)-4)/10000</f>
        <v>2.3313999999999999</v>
      </c>
      <c r="AA213" s="67">
        <f>ABS(Z213-Y213)</f>
        <v>2.2551000000000001</v>
      </c>
      <c r="AB213" s="64" t="e">
        <f>VLOOKUP(A213,Enforcements!$C$7:$K$21,8,0)</f>
        <v>#N/A</v>
      </c>
      <c r="AC213" s="60" t="e">
        <f>VLOOKUP(A213,Enforcements!$C$7:$E$21,3,0)</f>
        <v>#N/A</v>
      </c>
      <c r="AD213" s="61" t="str">
        <f>IF(LEN(A213)=6,"0"&amp;A213,A213)</f>
        <v>0315-12</v>
      </c>
      <c r="AE213" s="91" t="str">
        <f>"aws s3 cp "&amp;s3_bucket&amp;"/RTDC"&amp;B213&amp;"/ "&amp;search_path&amp;"\RTDC"&amp;B213&amp;"\"&amp;TEXT(F213,"YYYY-MM-DD")&amp;" --exclude ""*"" --recursive --include ""*"&amp;TEXT(F213,"YYYYMMDD")&amp;"*"" &amp; """&amp;walkandungz&amp;""" "&amp;search_path&amp;"\RTDC"&amp;B213&amp;"\"&amp;TEXT(F213,"YYYY-MM-DD")
&amp;" &amp; "&amp;"aws s3 cp "&amp;s3_bucket&amp;"/RTDC"&amp;B213&amp;"/ "&amp;search_path&amp;"\RTDC"&amp;B213&amp;"\"&amp;TEXT(F213+1,"YYYY-MM-DD")&amp;" --exclude ""*"" --recursive --include ""*"&amp;TEXT(F213+1,"YYYYMMDD")&amp;"*"" &amp; """&amp;walkandungz&amp;""" "&amp;search_path&amp;"\RTDC"&amp;B213&amp;"\"&amp;TEXT(F213+1,"YYYY-MM-DD")</f>
        <v>aws s3 cp s3://rtdc.mdm.uploadarchive.raw/RTDC4053/ "%USERPROFILE%\AppData\Local\Temp\OnboardLogs"\RTDC4053\1969-12-31 --exclude "*" --recursive --include "*19691231*" &amp; "%USERPROFILE%\Documents\GitHub\mrs-test-scripts\Headless Mode &amp; Sideloading\WalkAndUnGZ.bat" "%USERPROFILE%\AppData\Local\Temp\OnboardLogs"\RTDC4053\1969-12-31 &amp; aws s3 cp s3://rtdc.mdm.uploadarchive.raw/RTDC4053/ "%USERPROFILE%\AppData\Local\Temp\OnboardLogs"\RTDC4053\1970-01-01 --exclude "*" --recursive --include "*19700101*" &amp; "%USERPROFILE%\Documents\GitHub\mrs-test-scripts\Headless Mode &amp; Sideloading\WalkAndUnGZ.bat" "%USERPROFILE%\AppData\Local\Temp\OnboardLogs"\RTDC4053\1970-01-01</v>
      </c>
      <c r="AF213" s="88" t="str">
        <f>astrogrep_path&amp;" /spath="&amp;search_path&amp;" /stypes=""app*"&amp;B213&amp;"*"&amp;TEXT(I213-utc_offset/24,"YYYYMMDD")&amp;"*"" /stext="" "&amp;TEXT(I213-utc_offset/24,"HH")&amp;search_regexp&amp;""" /e /r /s"</f>
        <v>"C:\Program Files (x86)\AstroGrep\AstroGrep.exe" /spath="%USERPROFILE%\AppData\Local\Temp\OnboardLogs" /stypes="app*4053*19691231*" /stext=" 23:.+((SYSTEM_STATE.+slice.+state.+changed )|(ment ac)|(system.+state.+changed )|(\[timeout)|(PRM\|1\|D)|(kpr)|(kdp)|(\|lc)|(penalty))" /e /r /s</v>
      </c>
      <c r="AG213" s="1" t="str">
        <f>IFERROR(IF(VALUE(LEFT(AD213,2))&lt;=2,"EC",IF(OR(VALUE(LEFT(AD213,2))=8,VALUE(LEFT(AD213,2))=18),"NW","Other")),"Other")</f>
        <v>Other</v>
      </c>
      <c r="AH213" s="92" t="str">
        <f t="shared" si="20"/>
        <v>"%USERPROFILE%\Documents\GitHub\eaglep3\Utilities\RefineRTDCRunTimes.py" --tripid 315-12 --locoid 4053 --swversion DE.1.0.7.0 --startMP 204:763 --initTime 2016-10-13T02:25:34 --startdatetime 1969-12-31T17:00:00 --delay 1 --endMP 300:23314 --enddatetime 1969-12-31T17:00:00 --enforcementcount 1 &gt;&gt;C:\Users\stu\Documents\GitHub\eaglep3-reporting\EC\2016-10-13-refined-times.txt</v>
      </c>
      <c r="AI213" s="122" t="str">
        <f t="shared" si="21"/>
        <v>echo {"issue":{"subject":"","project_id":79,"tracker_id":40,"status_id":1,"priority_id":2,"assigned_to_id":23,"start_date":"1969-12-31","description":"","custom_fields":[{"id":1,"name":"Subdivision","value":"Other"},{"id":4,"name":"Milepost","value":"2.3314"},{"id":17,"name":"Train ID","value":"315-12"},{"id":16,"name":"Locomotive ID","value":"4053"},{"id":130,"name":"Impact","value":""},{"id":150,"name":"Time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row>
    <row r="214" spans="1:38" x14ac:dyDescent="0.25">
      <c r="A214" s="37" t="s">
        <v>604</v>
      </c>
      <c r="B214" s="7">
        <v>4018</v>
      </c>
      <c r="C214" s="22" t="s">
        <v>99</v>
      </c>
      <c r="D214" s="22" t="s">
        <v>327</v>
      </c>
      <c r="E214" s="13">
        <v>42657.089895833335</v>
      </c>
      <c r="F214" s="13">
        <v>42657.091550925928</v>
      </c>
      <c r="G214" s="7">
        <v>2</v>
      </c>
      <c r="H214" s="13" t="s">
        <v>687</v>
      </c>
      <c r="I214" s="13">
        <v>42657.097141203703</v>
      </c>
      <c r="J214" s="7">
        <v>1</v>
      </c>
      <c r="K214" s="112" t="str">
        <f>IF(ISEVEN(B214),(B214-1)&amp;"/"&amp;B214,B214&amp;"/"&amp;(B214+1))</f>
        <v>4017/4018</v>
      </c>
      <c r="L214" s="22" t="str">
        <f>VLOOKUP(A214,'Trips&amp;Operators'!$C$1:$E$10000,3,FALSE)</f>
        <v>STURGEON</v>
      </c>
      <c r="M214" s="6">
        <f>I214-F214</f>
        <v>5.5902777748997323E-3</v>
      </c>
      <c r="N214" s="7">
        <f>24*60*SUM($M214:$M214)</f>
        <v>8.0499999958556145</v>
      </c>
      <c r="O214" s="7"/>
      <c r="P214" s="7"/>
      <c r="Q214" s="23"/>
      <c r="R214" s="23"/>
      <c r="S214" s="35">
        <f>SUM(U214:U214)/IF(AG214="EC",12,1)</f>
        <v>1</v>
      </c>
      <c r="T214" s="50" t="str">
        <f>IF(ISEVEN(LEFT(AD214,4)),"Southbound","NorthBound")</f>
        <v>NorthBound</v>
      </c>
      <c r="U214" s="144">
        <f>IF(AG214="EC",COUNTIFS(Variables!$M$2:$M$19,IF(T214="NorthBound","&gt;=","&lt;=")&amp;Y214,Variables!$M$2:$M$19,IF(T214="NorthBound","&lt;=","&gt;=")&amp;Z214),COUNTIFS(Variables!$P$2:$P$19,IF(T214="NorthBound","&gt;=","&lt;=")&amp;Y214,Variables!$P$2:$P$19,IF(T214="NorthBound","&lt;=","&gt;=")&amp;Z214))</f>
        <v>1</v>
      </c>
      <c r="V214" s="98" t="str">
        <f>"https://search-rtdc-monitor-bjffxe2xuh6vdkpspy63sjmuny.us-east-1.es.amazonaws.com/_plugin/kibana/#/discover/Steve-Slow-Train-Analysis-(2080s-and-2083s)?_g=(refreshInterval:(display:Off,section:0,value:0),time:(from:'"&amp;TEXT(E214-1/24,"yyyy-MM-DD hh:mm:ss")&amp;"-0600',mode:absolute,to:'"&amp;TEXT(I214+1/24,"yyyy-MM-DD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214&amp;"%22')),sort:!(Time,asc))"</f>
        <v>https://search-rtdc-monitor-bjffxe2xuh6vdkpspy63sjmuny.us-east-1.es.amazonaws.com/_plugin/kibana/#/discover/Steve-Slow-Train-Analysis-(2080s-and-2083s)?_g=(refreshInterval:(display:Off,section:0,value:0),time:(from:'2016-10-14 01:09:27-0600',mode:absolute,to:'2016-10-14 03: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4" s="52" t="str">
        <f>IF(AA214&lt;IF(AG214="EC",23,5.65),"Y","N")</f>
        <v>Y</v>
      </c>
      <c r="X214" s="149">
        <f>VALUE(LEFT(AD214,4))-VALUE(LEFT(AD213,4))</f>
        <v>0</v>
      </c>
      <c r="Y214" s="67">
        <f>RIGHT(D214,LEN(D214)-4)/10000</f>
        <v>4.6899999999999997E-2</v>
      </c>
      <c r="Z214" s="67">
        <f>RIGHT(H214,LEN(H214)-4)/10000</f>
        <v>2.3302</v>
      </c>
      <c r="AA214" s="67">
        <f>ABS(Z214-Y214)</f>
        <v>2.2833000000000001</v>
      </c>
      <c r="AB214" s="64" t="e">
        <f>VLOOKUP(A214,Enforcements!$C$7:$K$21,8,0)</f>
        <v>#N/A</v>
      </c>
      <c r="AC214" s="60" t="e">
        <f>VLOOKUP(A214,Enforcements!$C$7:$E$21,3,0)</f>
        <v>#N/A</v>
      </c>
      <c r="AD214" s="61" t="str">
        <f>IF(LEN(A214)=6,"0"&amp;A214,A214)</f>
        <v>0315-13</v>
      </c>
      <c r="AE214" s="91" t="str">
        <f>"aws s3 cp "&amp;s3_bucket&amp;"/RTDC"&amp;B214&amp;"/ "&amp;search_path&amp;"\RTDC"&amp;B214&amp;"\"&amp;TEXT(F214,"YYYY-MM-DD")&amp;" --exclude ""*"" --recursive --include ""*"&amp;TEXT(F214,"YYYYMMDD")&amp;"*"" &amp; """&amp;walkandungz&amp;""" "&amp;search_path&amp;"\RTDC"&amp;B214&amp;"\"&amp;TEXT(F214,"YYYY-MM-DD")
&amp;" &amp; "&amp;"aws s3 cp "&amp;s3_bucket&amp;"/RTDC"&amp;B214&amp;"/ "&amp;search_path&amp;"\RTDC"&amp;B214&amp;"\"&amp;TEXT(F214+1,"YYYY-MM-DD")&amp;" --exclude ""*"" --recursive --include ""*"&amp;TEXT(F214+1,"YYYYMMDD")&amp;"*"" &amp; """&amp;walkandungz&amp;""" "&amp;search_path&amp;"\RTDC"&amp;B214&amp;"\"&amp;TEXT(F214+1,"YYYY-MM-DD")</f>
        <v>aws s3 cp s3://rtdc.mdm.uploadarchive.raw/RTDC4018/ "%USERPROFILE%\AppData\Local\Temp\OnboardLogs"\RTDC4018\2016-10-14 --exclude "*" --recursive --include "*20161014*" &amp; "%USERPROFILE%\Documents\GitHub\mrs-test-scripts\Headless Mode &amp; Sideloading\WalkAndUnGZ.bat" "%USERPROFILE%\AppData\Local\Temp\OnboardLogs"\RTDC4018\2016-10-14 &amp; aws s3 cp s3://rtdc.mdm.uploadarchive.raw/RTDC4018/ "%USERPROFILE%\AppData\Local\Temp\OnboardLogs"\RTDC4018\2016-10-15 --exclude "*" --recursive --include "*20161015*" &amp; "%USERPROFILE%\Documents\GitHub\mrs-test-scripts\Headless Mode &amp; Sideloading\WalkAndUnGZ.bat" "%USERPROFILE%\AppData\Local\Temp\OnboardLogs"\RTDC4018\2016-10-15</v>
      </c>
      <c r="AF214" s="88" t="str">
        <f>astrogrep_path&amp;" /spath="&amp;search_path&amp;" /stypes=""app*"&amp;B214&amp;"*"&amp;TEXT(I214-utc_offset/24,"YYYYMMDD")&amp;"*"" /stext="" "&amp;TEXT(I214-utc_offset/24,"HH")&amp;search_regexp&amp;""" /e /r /s"</f>
        <v>"C:\Program Files (x86)\AstroGrep\AstroGrep.exe" /spath="%USERPROFILE%\AppData\Local\Temp\OnboardLogs" /stypes="app*4018*20161014*" /stext=" 08:.+((SYSTEM_STATE.+slice.+state.+changed )|(ment ac)|(system.+state.+changed )|(\[timeout)|(PRM\|1\|D)|(kpr)|(kdp)|(\|lc)|(penalty))" /e /r /s</v>
      </c>
      <c r="AG214" s="1" t="str">
        <f>IFERROR(IF(VALUE(LEFT(AD214,2))&lt;=2,"EC",IF(OR(VALUE(LEFT(AD214,2))=8,VALUE(LEFT(AD214,2))=18),"NW","Other")),"Other")</f>
        <v>Other</v>
      </c>
      <c r="AH214" s="92" t="str">
        <f t="shared" si="20"/>
        <v>"%USERPROFILE%\Documents\GitHub\eaglep3\Utilities\RefineRTDCRunTimes.py" --tripid 315-13 --locoid 4018 --swversion DE.1.0.7.0 --startMP 204:469 --initTime 2016-10-14T02:09:27 --startdatetime 2016-10-14T02:11:50 --delay 2 --endMP 300:23302 --enddatetime 2016-10-14T02:19:53 --enforcementcount 1 &gt;&gt;C:\Users\stu\Documents\GitHub\eaglep3-reporting\EC\2016-10-13-refined-times.txt</v>
      </c>
      <c r="AI214" s="122" t="str">
        <f t="shared" si="21"/>
        <v>echo {"issue":{"subject":"","project_id":79,"tracker_id":40,"status_id":1,"priority_id":2,"assigned_to_id":23,"start_date":"2016-10-14","description":"","custom_fields":[{"id":1,"name":"Subdivision","value":"Other"},{"id":4,"name":"Milepost","value":"2.3302"},{"id":17,"name":"Train ID","value":"315-13"},{"id":16,"name":"Locomotive ID","value":"4018"},{"id":130,"name":"Impact","value":""},{"id":150,"name":"Time of Event (Mountain Time)","value":"02:19:53"},{"id":151,"name":"Denver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38" x14ac:dyDescent="0.25">
      <c r="A215" s="37" t="s">
        <v>435</v>
      </c>
      <c r="B215" s="7">
        <v>4040</v>
      </c>
      <c r="C215" s="22" t="s">
        <v>99</v>
      </c>
      <c r="D215" s="22" t="s">
        <v>760</v>
      </c>
      <c r="E215" s="13">
        <v>42656.205150462964</v>
      </c>
      <c r="F215" s="13">
        <v>42656.206342592595</v>
      </c>
      <c r="G215" s="7">
        <v>1</v>
      </c>
      <c r="H215" s="13" t="s">
        <v>334</v>
      </c>
      <c r="I215" s="13">
        <v>42656.211458333331</v>
      </c>
      <c r="J215" s="7">
        <v>1</v>
      </c>
      <c r="K215" s="112" t="str">
        <f>IF(ISEVEN(B215),(B215-1)&amp;"/"&amp;B215,B215&amp;"/"&amp;(B215+1))</f>
        <v>4039/4040</v>
      </c>
      <c r="L215" s="22" t="str">
        <f>VLOOKUP(A215,'Trips&amp;Operators'!$C$1:$E$10000,3,FALSE)</f>
        <v>YORK</v>
      </c>
      <c r="M215" s="6">
        <f>I215-F215</f>
        <v>5.1157407360733487E-3</v>
      </c>
      <c r="N215" s="7">
        <f>24*60*SUM($M215:$M215)</f>
        <v>7.3666666599456221</v>
      </c>
      <c r="O215" s="7"/>
      <c r="P215" s="7"/>
      <c r="Q215" s="23"/>
      <c r="R215" s="23"/>
      <c r="S215" s="35">
        <f>SUM(U215:U215)/IF(AG215="EC",12,1)</f>
        <v>0</v>
      </c>
      <c r="T215" s="50" t="str">
        <f>IF(ISEVEN(LEFT(AD215,4)),"Southbound","NorthBound")</f>
        <v>NorthBound</v>
      </c>
      <c r="U215" s="144">
        <f>IF(AG215="EC",COUNTIFS(Variables!$M$2:$M$19,IF(T215="NorthBound","&gt;=","&lt;=")&amp;Y215,Variables!$M$2:$M$19,IF(T215="NorthBound","&lt;=","&gt;=")&amp;Z215),COUNTIFS(Variables!$P$2:$P$19,IF(T215="NorthBound","&gt;=","&lt;=")&amp;Y215,Variables!$P$2:$P$19,IF(T215="NorthBound","&lt;=","&gt;=")&amp;Z215))</f>
        <v>0</v>
      </c>
      <c r="V215" s="98" t="str">
        <f>"https://search-rtdc-monitor-bjffxe2xuh6vdkpspy63sjmuny.us-east-1.es.amazonaws.com/_plugin/kibana/#/discover/Steve-Slow-Train-Analysis-(2080s-and-2083s)?_g=(refreshInterval:(display:Off,section:0,value:0),time:(from:'"&amp;TEXT(E215-1/24,"yyyy-MM-DD hh:mm:ss")&amp;"-0600',mode:absolute,to:'"&amp;TEXT(I215+1/24,"yyyy-MM-DD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215&amp;"%22')),sort:!(Time,asc))"</f>
        <v>https://search-rtdc-monitor-bjffxe2xuh6vdkpspy63sjmuny.us-east-1.es.amazonaws.com/_plugin/kibana/#/discover/Steve-Slow-Train-Analysis-(2080s-and-2083s)?_g=(refreshInterval:(display:Off,section:0,value:0),time:(from:'2016-10-13 03:55:25-0600',mode:absolute,to:'2016-10-13 06:04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5" s="52" t="str">
        <f>IF(AA215&lt;IF(AG215="EC",23,5.65),"Y","N")</f>
        <v>Y</v>
      </c>
      <c r="X215" s="149">
        <f>VALUE(LEFT(AD215,4))-VALUE(LEFT(AD214,4))</f>
        <v>586</v>
      </c>
      <c r="Y215" s="67">
        <f>RIGHT(D215,LEN(D215)-4)/10000</f>
        <v>3.0053000000000001</v>
      </c>
      <c r="Z215" s="67">
        <f>RIGHT(H215,LEN(H215)-4)/10000</f>
        <v>5.8936999999999999</v>
      </c>
      <c r="AA215" s="67">
        <f>ABS(Z215-Y215)</f>
        <v>2.8883999999999999</v>
      </c>
      <c r="AB215" s="64" t="e">
        <f>VLOOKUP(A215,Enforcements!$C$7:$K$21,8,0)</f>
        <v>#N/A</v>
      </c>
      <c r="AC215" s="60" t="e">
        <f>VLOOKUP(A215,Enforcements!$C$7:$E$21,3,0)</f>
        <v>#N/A</v>
      </c>
      <c r="AD215" s="61" t="str">
        <f>IF(LEN(A215)=6,"0"&amp;A215,A215)</f>
        <v>0901-13</v>
      </c>
      <c r="AE215" s="91" t="str">
        <f>"aws s3 cp "&amp;s3_bucket&amp;"/RTDC"&amp;B215&amp;"/ "&amp;search_path&amp;"\RTDC"&amp;B215&amp;"\"&amp;TEXT(F215,"YYYY-MM-DD")&amp;" --exclude ""*"" --recursive --include ""*"&amp;TEXT(F215,"YYYYMMDD")&amp;"*"" &amp; """&amp;walkandungz&amp;""" "&amp;search_path&amp;"\RTDC"&amp;B215&amp;"\"&amp;TEXT(F215,"YYYY-MM-DD")
&amp;" &amp; "&amp;"aws s3 cp "&amp;s3_bucket&amp;"/RTDC"&amp;B215&amp;"/ "&amp;search_path&amp;"\RTDC"&amp;B215&amp;"\"&amp;TEXT(F215+1,"YYYY-MM-DD")&amp;" --exclude ""*"" --recursive --include ""*"&amp;TEXT(F215+1,"YYYYMMDD")&amp;"*"" &amp; """&amp;walkandungz&amp;""" "&amp;search_path&amp;"\RTDC"&amp;B215&amp;"\"&amp;TEXT(F215+1,"YYYY-MM-DD")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5" s="88" t="str">
        <f>astrogrep_path&amp;" /spath="&amp;search_path&amp;" /stypes=""app*"&amp;B215&amp;"*"&amp;TEXT(I215-utc_offset/24,"YYYYMMDD")&amp;"*"" /stext="" "&amp;TEXT(I215-utc_offset/24,"HH")&amp;search_regexp&amp;""" /e /r /s"</f>
        <v>"C:\Program Files (x86)\AstroGrep\AstroGrep.exe" /spath="%USERPROFILE%\AppData\Local\Temp\OnboardLogs" /stypes="app*4040*20161013*" /stext=" 11:.+((SYSTEM_STATE.+slice.+state.+changed )|(ment ac)|(system.+state.+changed )|(\[timeout)|(PRM\|1\|D)|(kpr)|(kdp)|(\|lc)|(penalty))" /e /r /s</v>
      </c>
      <c r="AG215" s="1" t="str">
        <f>IFERROR(IF(VALUE(LEFT(AD215,2))&lt;=2,"EC",IF(OR(VALUE(LEFT(AD215,2))=8,VALUE(LEFT(AD215,2))=18),"NW","Other")),"Other")</f>
        <v>Other</v>
      </c>
      <c r="AH215" s="92" t="str">
        <f t="shared" si="20"/>
        <v>"%USERPROFILE%\Documents\GitHub\eaglep3\Utilities\RefineRTDCRunTimes.py" --tripid 901-13 --locoid 4040 --swversion DE.1.0.7.0 --startMP 300:30053 --initTime 2016-10-13T04:55:25 --startdatetime 2016-10-13T04:57:08 --delay 1 --endMP 300:58937 --enddatetime 2016-10-13T05:04:30 --enforcementcount 1 &gt;&gt;C:\Users\stu\Documents\GitHub\eaglep3-reporting\EC\2016-10-13-refined-times.txt</v>
      </c>
      <c r="AI215" s="122" t="str">
        <f t="shared" si="21"/>
        <v>echo {"issue":{"subject":"","project_id":79,"tracker_id":40,"status_id":1,"priority_id":2,"assigned_to_id":23,"start_date":"2016-10-13","description":"","custom_fields":[{"id":1,"name":"Subdivision","value":"Other"},{"id":4,"name":"Milepost","value":"5.8937"},{"id":17,"name":"Train ID","value":"901-13"},{"id":16,"name":"Locomotive ID","value":"4040"},{"id":130,"name":"Impact","value":""},{"id":150,"name":"Time of Event (Mountain Time)","value":"05:04:30"},{"id":151,"name":"Denver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38" x14ac:dyDescent="0.25">
      <c r="A216" s="37" t="s">
        <v>447</v>
      </c>
      <c r="B216" s="7">
        <v>4032</v>
      </c>
      <c r="C216" s="22" t="s">
        <v>99</v>
      </c>
      <c r="D216" s="22" t="s">
        <v>761</v>
      </c>
      <c r="E216" s="13">
        <v>42656.250324074077</v>
      </c>
      <c r="F216" s="13">
        <v>42656.251909722225</v>
      </c>
      <c r="G216" s="7">
        <v>1</v>
      </c>
      <c r="H216" s="13" t="s">
        <v>762</v>
      </c>
      <c r="I216" s="13">
        <v>42656.256979166668</v>
      </c>
      <c r="J216" s="7">
        <v>1</v>
      </c>
      <c r="K216" s="112" t="str">
        <f>IF(ISEVEN(B216),(B216-1)&amp;"/"&amp;B216,B216&amp;"/"&amp;(B216+1))</f>
        <v>4031/4032</v>
      </c>
      <c r="L216" s="22" t="str">
        <f>VLOOKUP(A216,'Trips&amp;Operators'!$C$1:$E$10000,3,FALSE)</f>
        <v>GEBRETEKLE</v>
      </c>
      <c r="M216" s="6">
        <f>I216-F216</f>
        <v>5.0694444435066544E-3</v>
      </c>
      <c r="N216" s="7">
        <f>24*60*SUM($M216:$M216)</f>
        <v>7.2999999986495823</v>
      </c>
      <c r="O216" s="7"/>
      <c r="P216" s="7"/>
      <c r="Q216" s="23"/>
      <c r="R216" s="23"/>
      <c r="S216" s="35">
        <f>SUM(U216:U216)/IF(AG216="EC",12,1)</f>
        <v>1</v>
      </c>
      <c r="T216" s="50" t="str">
        <f>IF(ISEVEN(LEFT(AD216,4)),"Southbound","NorthBound")</f>
        <v>Southbound</v>
      </c>
      <c r="U216" s="144">
        <f>IF(AG216="EC",COUNTIFS(Variables!$M$2:$M$19,IF(T216="NorthBound","&gt;=","&lt;=")&amp;Y216,Variables!$M$2:$M$19,IF(T216="NorthBound","&lt;=","&gt;=")&amp;Z216),COUNTIFS(Variables!$P$2:$P$19,IF(T216="NorthBound","&gt;=","&lt;=")&amp;Y216,Variables!$P$2:$P$19,IF(T216="NorthBound","&lt;=","&gt;=")&amp;Z216))</f>
        <v>1</v>
      </c>
      <c r="V216" s="98" t="str">
        <f>"https://search-rtdc-monitor-bjffxe2xuh6vdkpspy63sjmuny.us-east-1.es.amazonaws.com/_plugin/kibana/#/discover/Steve-Slow-Train-Analysis-(2080s-and-2083s)?_g=(refreshInterval:(display:Off,section:0,value:0),time:(from:'"&amp;TEXT(E216-1/24,"yyyy-MM-DD hh:mm:ss")&amp;"-0600',mode:absolute,to:'"&amp;TEXT(I216+1/24,"yyyy-MM-DD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216&amp;"%22')),sort:!(Time,asc))"</f>
        <v>https://search-rtdc-monitor-bjffxe2xuh6vdkpspy63sjmuny.us-east-1.es.amazonaws.com/_plugin/kibana/#/discover/Steve-Slow-Train-Analysis-(2080s-and-2083s)?_g=(refreshInterval:(display:Off,section:0,value:0),time:(from:'2016-10-13 05:00:28-0600',mode:absolute,to:'2016-10-13 07:10: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6" s="52" t="str">
        <f>IF(AA216&lt;IF(AG216="EC",23,5.65),"Y","N")</f>
        <v>Y</v>
      </c>
      <c r="X216" s="149">
        <f>VALUE(LEFT(AD216,4))-VALUE(LEFT(AD215,4))</f>
        <v>1</v>
      </c>
      <c r="Y216" s="67">
        <f>RIGHT(D216,LEN(D216)-4)/10000</f>
        <v>2.2187000000000001</v>
      </c>
      <c r="Z216" s="67">
        <f>RIGHT(H216,LEN(H216)-4)/10000</f>
        <v>6.8000000000000005E-2</v>
      </c>
      <c r="AA216" s="67">
        <f>ABS(Z216-Y216)</f>
        <v>2.1507000000000001</v>
      </c>
      <c r="AB216" s="64" t="e">
        <f>VLOOKUP(A216,Enforcements!$C$7:$K$21,8,0)</f>
        <v>#N/A</v>
      </c>
      <c r="AC216" s="60" t="e">
        <f>VLOOKUP(A216,Enforcements!$C$7:$E$21,3,0)</f>
        <v>#N/A</v>
      </c>
      <c r="AD216" s="61" t="str">
        <f>IF(LEN(A216)=6,"0"&amp;A216,A216)</f>
        <v>0902-13</v>
      </c>
      <c r="AE216" s="91" t="str">
        <f>"aws s3 cp "&amp;s3_bucket&amp;"/RTDC"&amp;B216&amp;"/ "&amp;search_path&amp;"\RTDC"&amp;B216&amp;"\"&amp;TEXT(F216,"YYYY-MM-DD")&amp;" --exclude ""*"" --recursive --include ""*"&amp;TEXT(F216,"YYYYMMDD")&amp;"*"" &amp; """&amp;walkandungz&amp;""" "&amp;search_path&amp;"\RTDC"&amp;B216&amp;"\"&amp;TEXT(F216,"YYYY-MM-DD")
&amp;" &amp; "&amp;"aws s3 cp "&amp;s3_bucket&amp;"/RTDC"&amp;B216&amp;"/ "&amp;search_path&amp;"\RTDC"&amp;B216&amp;"\"&amp;TEXT(F216+1,"YYYY-MM-DD")&amp;" --exclude ""*"" --recursive --include ""*"&amp;TEXT(F216+1,"YYYYMMDD")&amp;"*"" &amp; """&amp;walkandungz&amp;""" "&amp;search_path&amp;"\RTDC"&amp;B216&amp;"\"&amp;TEXT(F216+1,"YYYY-MM-DD")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16" s="88" t="str">
        <f>astrogrep_path&amp;" /spath="&amp;search_path&amp;" /stypes=""app*"&amp;B216&amp;"*"&amp;TEXT(I216-utc_offset/24,"YYYYMMDD")&amp;"*"" /stext="" "&amp;TEXT(I216-utc_offset/24,"HH")&amp;search_regexp&amp;""" /e /r /s"</f>
        <v>"C:\Program Files (x86)\AstroGrep\AstroGrep.exe" /spath="%USERPROFILE%\AppData\Local\Temp\OnboardLogs" /stypes="app*4032*20161013*" /stext=" 12:.+((SYSTEM_STATE.+slice.+state.+changed )|(ment ac)|(system.+state.+changed )|(\[timeout)|(PRM\|1\|D)|(kpr)|(kdp)|(\|lc)|(penalty))" /e /r /s</v>
      </c>
      <c r="AG216" s="1" t="str">
        <f>IFERROR(IF(VALUE(LEFT(AD216,2))&lt;=2,"EC",IF(OR(VALUE(LEFT(AD216,2))=8,VALUE(LEFT(AD216,2))=18),"NW","Other")),"Other")</f>
        <v>Other</v>
      </c>
      <c r="AH216" s="92" t="str">
        <f t="shared" si="20"/>
        <v>"%USERPROFILE%\Documents\GitHub\eaglep3\Utilities\RefineRTDCRunTimes.py" --tripid 902-13 --locoid 4032 --swversion DE.1.0.7.0 --startMP 300:22187 --initTime 2016-10-13T06:00:28 --startdatetime 2016-10-13T06:02:45 --delay 1 --endMP 204:680 --enddatetime 2016-10-13T06:10:03 --enforcementcount 1 &gt;&gt;C:\Users\stu\Documents\GitHub\eaglep3-reporting\EC\2016-10-13-refined-times.txt</v>
      </c>
      <c r="AI216" s="122" t="str">
        <f t="shared" si="21"/>
        <v>echo {"issue":{"subject":"","project_id":79,"tracker_id":40,"status_id":1,"priority_id":2,"assigned_to_id":23,"start_date":"2016-10-13","description":"","custom_fields":[{"id":1,"name":"Subdivision","value":"Other"},{"id":4,"name":"Milepost","value":"0.068"},{"id":17,"name":"Train ID","value":"902-13"},{"id":16,"name":"Locomotive ID","value":"4032"},{"id":130,"name":"Impact","value":""},{"id":150,"name":"Time of Event (Mountain Time)","value":"06:10:03"},{"id":151,"name":"Denver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38" x14ac:dyDescent="0.25">
      <c r="A217" s="37" t="s">
        <v>470</v>
      </c>
      <c r="B217" s="7">
        <v>4040</v>
      </c>
      <c r="C217" s="22" t="s">
        <v>99</v>
      </c>
      <c r="D217" s="22" t="s">
        <v>763</v>
      </c>
      <c r="E217" s="13">
        <v>42656.353252314817</v>
      </c>
      <c r="F217" s="13">
        <v>42656.354386574072</v>
      </c>
      <c r="G217" s="7">
        <v>0</v>
      </c>
      <c r="H217" s="13" t="s">
        <v>764</v>
      </c>
      <c r="I217" s="13">
        <v>42656.358715277776</v>
      </c>
      <c r="J217" s="7">
        <v>1</v>
      </c>
      <c r="K217" s="112" t="str">
        <f>IF(ISEVEN(B217),(B217-1)&amp;"/"&amp;B217,B217&amp;"/"&amp;(B217+1))</f>
        <v>4039/4040</v>
      </c>
      <c r="L217" s="22" t="str">
        <f>VLOOKUP(A217,'Trips&amp;Operators'!$C$1:$E$10000,3,FALSE)</f>
        <v>YORK</v>
      </c>
      <c r="M217" s="6">
        <f>I217-F217</f>
        <v>4.3287037042318843E-3</v>
      </c>
      <c r="N217" s="7">
        <f>24*60*SUM($M217:$M217)</f>
        <v>6.2333333340939134</v>
      </c>
      <c r="O217" s="7"/>
      <c r="P217" s="7"/>
      <c r="Q217" s="23"/>
      <c r="R217" s="23"/>
      <c r="S217" s="35">
        <f>SUM(U217:U217)/IF(AG217="EC",12,1)</f>
        <v>1</v>
      </c>
      <c r="T217" s="50" t="str">
        <f>IF(ISEVEN(LEFT(AD217,4)),"Southbound","NorthBound")</f>
        <v>NorthBound</v>
      </c>
      <c r="U217" s="144">
        <f>IF(AG217="EC",COUNTIFS(Variables!$M$2:$M$19,IF(T217="NorthBound","&gt;=","&lt;=")&amp;Y217,Variables!$M$2:$M$19,IF(T217="NorthBound","&lt;=","&gt;=")&amp;Z217),COUNTIFS(Variables!$P$2:$P$19,IF(T217="NorthBound","&gt;=","&lt;=")&amp;Y217,Variables!$P$2:$P$19,IF(T217="NorthBound","&lt;=","&gt;=")&amp;Z217))</f>
        <v>1</v>
      </c>
      <c r="V217" s="98" t="str">
        <f>"https://search-rtdc-monitor-bjffxe2xuh6vdkpspy63sjmuny.us-east-1.es.amazonaws.com/_plugin/kibana/#/discover/Steve-Slow-Train-Analysis-(2080s-and-2083s)?_g=(refreshInterval:(display:Off,section:0,value:0),time:(from:'"&amp;TEXT(E217-1/24,"yyyy-MM-DD hh:mm:ss")&amp;"-0600',mode:absolute,to:'"&amp;TEXT(I217+1/24,"yyyy-MM-DD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217&amp;"%22')),sort:!(Time,asc))"</f>
        <v>https://search-rtdc-monitor-bjffxe2xuh6vdkpspy63sjmuny.us-east-1.es.amazonaws.com/_plugin/kibana/#/discover/Steve-Slow-Train-Analysis-(2080s-and-2083s)?_g=(refreshInterval:(display:Off,section:0,value:0),time:(from:'2016-10-13 07:28:41-0600',mode:absolute,to:'2016-10-13 09: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7" s="52" t="str">
        <f>IF(AA217&lt;IF(AG217="EC",23,5.65),"Y","N")</f>
        <v>Y</v>
      </c>
      <c r="X217" s="149">
        <f>VALUE(LEFT(AD217,4))-VALUE(LEFT(AD216,4))</f>
        <v>1</v>
      </c>
      <c r="Y217" s="67">
        <f>RIGHT(D217,LEN(D217)-4)/10000</f>
        <v>0.1265</v>
      </c>
      <c r="Z217" s="67">
        <f>RIGHT(H217,LEN(H217)-4)/10000</f>
        <v>2.1572</v>
      </c>
      <c r="AA217" s="67">
        <f>ABS(Z217-Y217)</f>
        <v>2.0306999999999999</v>
      </c>
      <c r="AB217" s="64" t="e">
        <f>VLOOKUP(A217,Enforcements!$C$7:$K$21,8,0)</f>
        <v>#N/A</v>
      </c>
      <c r="AC217" s="60" t="e">
        <f>VLOOKUP(A217,Enforcements!$C$7:$E$21,3,0)</f>
        <v>#N/A</v>
      </c>
      <c r="AD217" s="61" t="str">
        <f>IF(LEN(A217)=6,"0"&amp;A217,A217)</f>
        <v>0903-13</v>
      </c>
      <c r="AE217" s="91" t="str">
        <f>"aws s3 cp "&amp;s3_bucket&amp;"/RTDC"&amp;B217&amp;"/ "&amp;search_path&amp;"\RTDC"&amp;B217&amp;"\"&amp;TEXT(F217,"YYYY-MM-DD")&amp;" --exclude ""*"" --recursive --include ""*"&amp;TEXT(F217,"YYYYMMDD")&amp;"*"" &amp; """&amp;walkandungz&amp;""" "&amp;search_path&amp;"\RTDC"&amp;B217&amp;"\"&amp;TEXT(F217,"YYYY-MM-DD")
&amp;" &amp; "&amp;"aws s3 cp "&amp;s3_bucket&amp;"/RTDC"&amp;B217&amp;"/ "&amp;search_path&amp;"\RTDC"&amp;B217&amp;"\"&amp;TEXT(F217+1,"YYYY-MM-DD")&amp;" --exclude ""*"" --recursive --include ""*"&amp;TEXT(F217+1,"YYYYMMDD")&amp;"*"" &amp; """&amp;walkandungz&amp;""" "&amp;search_path&amp;"\RTDC"&amp;B217&amp;"\"&amp;TEXT(F217+1,"YYYY-MM-DD")</f>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7" s="88" t="str">
        <f>astrogrep_path&amp;" /spath="&amp;search_path&amp;" /stypes=""app*"&amp;B217&amp;"*"&amp;TEXT(I217-utc_offset/24,"YYYYMMDD")&amp;"*"" /stext="" "&amp;TEXT(I217-utc_offset/24,"HH")&amp;search_regexp&amp;""" /e /r /s"</f>
        <v>"C:\Program Files (x86)\AstroGrep\AstroGrep.exe" /spath="%USERPROFILE%\AppData\Local\Temp\OnboardLogs" /stypes="app*4040*20161013*" /stext=" 14:.+((SYSTEM_STATE.+slice.+state.+changed )|(ment ac)|(system.+state.+changed )|(\[timeout)|(PRM\|1\|D)|(kpr)|(kdp)|(\|lc)|(penalty))" /e /r /s</v>
      </c>
      <c r="AG217" s="1" t="str">
        <f>IFERROR(IF(VALUE(LEFT(AD217,2))&lt;=2,"EC",IF(OR(VALUE(LEFT(AD217,2))=8,VALUE(LEFT(AD217,2))=18),"NW","Other")),"Other")</f>
        <v>Other</v>
      </c>
      <c r="AH217" s="92" t="str">
        <f t="shared" si="20"/>
        <v>"%USERPROFILE%\Documents\GitHub\eaglep3\Utilities\RefineRTDCRunTimes.py" --tripid 903-13 --locoid 4040 --swversion DE.1.0.7.0 --startMP 204:1265 --initTime 2016-10-13T08:28:41 --startdatetime 2016-10-13T08:30:19 --delay 0 --endMP 300:21572 --enddatetime 2016-10-13T08:36:33 --enforcementcount 1 &gt;&gt;C:\Users\stu\Documents\GitHub\eaglep3-reporting\EC\2016-10-13-refined-times.txt</v>
      </c>
      <c r="AI217" s="122" t="str">
        <f t="shared" si="21"/>
        <v>echo {"issue":{"subject":"","project_id":79,"tracker_id":40,"status_id":1,"priority_id":2,"assigned_to_id":23,"start_date":"2016-10-13","description":"","custom_fields":[{"id":1,"name":"Subdivision","value":"Other"},{"id":4,"name":"Milepost","value":"2.1572"},{"id":17,"name":"Train ID","value":"903-13"},{"id":16,"name":"Locomotive ID","value":"4040"},{"id":130,"name":"Impact","value":""},{"id":150,"name":"Time of Event (Mountain Time)","value":"08:36:33"},{"id":151,"name":"Denver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38" x14ac:dyDescent="0.25">
      <c r="A218" s="37" t="s">
        <v>530</v>
      </c>
      <c r="B218" s="7">
        <v>4039</v>
      </c>
      <c r="C218" s="22" t="s">
        <v>99</v>
      </c>
      <c r="D218" s="22" t="s">
        <v>765</v>
      </c>
      <c r="E218" s="13">
        <v>42656.639814814815</v>
      </c>
      <c r="F218" s="13">
        <v>42656.64644675926</v>
      </c>
      <c r="G218" s="7">
        <v>9</v>
      </c>
      <c r="H218" s="13" t="s">
        <v>737</v>
      </c>
      <c r="I218" s="13">
        <v>42656.652175925927</v>
      </c>
      <c r="J218" s="7">
        <v>1</v>
      </c>
      <c r="K218" s="112" t="str">
        <f>IF(ISEVEN(B218),(B218-1)&amp;"/"&amp;B218,B218&amp;"/"&amp;(B218+1))</f>
        <v>4039/4040</v>
      </c>
      <c r="L218" s="22" t="str">
        <f>VLOOKUP(A218,'Trips&amp;Operators'!$C$1:$E$10000,3,FALSE)</f>
        <v>YANAI</v>
      </c>
      <c r="M218" s="6">
        <f>I218-F218</f>
        <v>5.7291666671517305E-3</v>
      </c>
      <c r="N218" s="7">
        <f>24*60*SUM($M218:$M218)</f>
        <v>8.2500000006984919</v>
      </c>
      <c r="O218" s="7"/>
      <c r="P218" s="7"/>
      <c r="Q218" s="23"/>
      <c r="R218" s="23"/>
      <c r="S218" s="35">
        <f>SUM(U218:U218)/IF(AG218="EC",12,1)</f>
        <v>1</v>
      </c>
      <c r="T218" s="50" t="str">
        <f>IF(ISEVEN(LEFT(AD218,4)),"Southbound","NorthBound")</f>
        <v>Southbound</v>
      </c>
      <c r="U218" s="144">
        <f>IF(AG218="EC",COUNTIFS(Variables!$M$2:$M$19,IF(T218="NorthBound","&gt;=","&lt;=")&amp;Y218,Variables!$M$2:$M$19,IF(T218="NorthBound","&lt;=","&gt;=")&amp;Z218),COUNTIFS(Variables!$P$2:$P$19,IF(T218="NorthBound","&gt;=","&lt;=")&amp;Y218,Variables!$P$2:$P$19,IF(T218="NorthBound","&lt;=","&gt;=")&amp;Z218))</f>
        <v>1</v>
      </c>
      <c r="V218" s="98" t="str">
        <f>"https://search-rtdc-monitor-bjffxe2xuh6vdkpspy63sjmuny.us-east-1.es.amazonaws.com/_plugin/kibana/#/discover/Steve-Slow-Train-Analysis-(2080s-and-2083s)?_g=(refreshInterval:(display:Off,section:0,value:0),time:(from:'"&amp;TEXT(E218-1/24,"yyyy-MM-DD hh:mm:ss")&amp;"-0600',mode:absolute,to:'"&amp;TEXT(I218+1/24,"yyyy-MM-DD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218&amp;"%22')),sort:!(Time,asc))"</f>
        <v>https://search-rtdc-monitor-bjffxe2xuh6vdkpspy63sjmuny.us-east-1.es.amazonaws.com/_plugin/kibana/#/discover/Steve-Slow-Train-Analysis-(2080s-and-2083s)?_g=(refreshInterval:(display:Off,section:0,value:0),time:(from:'2016-10-13 14:21:20-0600',mode:absolute,to:'2016-10-13 16:39: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8" s="52" t="str">
        <f>IF(AA218&lt;IF(AG218="EC",23,5.65),"Y","N")</f>
        <v>Y</v>
      </c>
      <c r="X218" s="149">
        <f>VALUE(LEFT(AD218,4))-VALUE(LEFT(AD217,4))</f>
        <v>1</v>
      </c>
      <c r="Y218" s="67">
        <f>RIGHT(D218,LEN(D218)-4)/10000</f>
        <v>2.3117999999999999</v>
      </c>
      <c r="Z218" s="67">
        <f>RIGHT(H218,LEN(H218)-4)/10000</f>
        <v>6.54E-2</v>
      </c>
      <c r="AA218" s="67">
        <f>ABS(Z218-Y218)</f>
        <v>2.2464</v>
      </c>
      <c r="AB218" s="64" t="e">
        <f>VLOOKUP(A218,Enforcements!$C$7:$K$21,8,0)</f>
        <v>#N/A</v>
      </c>
      <c r="AC218" s="60" t="e">
        <f>VLOOKUP(A218,Enforcements!$C$7:$E$21,3,0)</f>
        <v>#N/A</v>
      </c>
      <c r="AD218" s="61" t="str">
        <f>IF(LEN(A218)=6,"0"&amp;A218,A218)</f>
        <v>0904-13</v>
      </c>
      <c r="AE218" s="91" t="str">
        <f>"aws s3 cp "&amp;s3_bucket&amp;"/RTDC"&amp;B218&amp;"/ "&amp;search_path&amp;"\RTDC"&amp;B218&amp;"\"&amp;TEXT(F218,"YYYY-MM-DD")&amp;" --exclude ""*"" --recursive --include ""*"&amp;TEXT(F218,"YYYYMMDD")&amp;"*"" &amp; """&amp;walkandungz&amp;""" "&amp;search_path&amp;"\RTDC"&amp;B218&amp;"\"&amp;TEXT(F218,"YYYY-MM-DD")
&amp;" &amp; "&amp;"aws s3 cp "&amp;s3_bucket&amp;"/RTDC"&amp;B218&amp;"/ "&amp;search_path&amp;"\RTDC"&amp;B218&amp;"\"&amp;TEXT(F218+1,"YYYY-MM-DD")&amp;" --exclude ""*"" --recursive --include ""*"&amp;TEXT(F218+1,"YYYYMMDD")&amp;"*"" &amp; """&amp;walkandungz&amp;""" "&amp;search_path&amp;"\RTDC"&amp;B218&amp;"\"&amp;TEXT(F218+1,"YYYY-MM-DD")</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218" s="88" t="str">
        <f>astrogrep_path&amp;" /spath="&amp;search_path&amp;" /stypes=""app*"&amp;B218&amp;"*"&amp;TEXT(I218-utc_offset/24,"YYYYMMDD")&amp;"*"" /stext="" "&amp;TEXT(I218-utc_offset/24,"HH")&amp;search_regexp&amp;""" /e /r /s"</f>
        <v>"C:\Program Files (x86)\AstroGrep\AstroGrep.exe" /spath="%USERPROFILE%\AppData\Local\Temp\OnboardLogs" /stypes="app*4039*20161013*" /stext=" 21:.+((SYSTEM_STATE.+slice.+state.+changed )|(ment ac)|(system.+state.+changed )|(\[timeout)|(PRM\|1\|D)|(kpr)|(kdp)|(\|lc)|(penalty))" /e /r /s</v>
      </c>
      <c r="AG218" s="1" t="str">
        <f>IFERROR(IF(VALUE(LEFT(AD218,2))&lt;=2,"EC",IF(OR(VALUE(LEFT(AD218,2))=8,VALUE(LEFT(AD218,2))=18),"NW","Other")),"Other")</f>
        <v>Other</v>
      </c>
      <c r="AH218" s="92" t="str">
        <f t="shared" si="20"/>
        <v>"%USERPROFILE%\Documents\GitHub\eaglep3\Utilities\RefineRTDCRunTimes.py" --tripid 904-13 --locoid 4039 --swversion DE.1.0.7.0 --startMP 300:23118 --initTime 2016-10-13T15:21:20 --startdatetime 2016-10-13T15:30:53 --delay 9 --endMP 204:654 --enddatetime 2016-10-13T15:39:08 --enforcementcount 1 &gt;&gt;C:\Users\stu\Documents\GitHub\eaglep3-reporting\EC\2016-10-13-refined-times.txt</v>
      </c>
      <c r="AI218" s="122" t="str">
        <f t="shared" si="21"/>
        <v>echo {"issue":{"subject":"","project_id":79,"tracker_id":40,"status_id":1,"priority_id":2,"assigned_to_id":23,"start_date":"2016-10-13","description":"","custom_fields":[{"id":1,"name":"Subdivision","value":"Other"},{"id":4,"name":"Milepost","value":"0.0654"},{"id":17,"name":"Train ID","value":"904-13"},{"id":16,"name":"Locomotive ID","value":"4039"},{"id":130,"name":"Impact","value":""},{"id":150,"name":"Time of Event (Mountain Time)","value":"15:39:08"},{"id":151,"name":"Denver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38" x14ac:dyDescent="0.25">
      <c r="A219" s="37" t="s">
        <v>574</v>
      </c>
      <c r="B219" s="7">
        <v>4039</v>
      </c>
      <c r="C219" s="22" t="s">
        <v>99</v>
      </c>
      <c r="D219" s="22" t="s">
        <v>345</v>
      </c>
      <c r="E219" s="13">
        <v>42656.795787037037</v>
      </c>
      <c r="F219" s="13">
        <v>25568.708333333332</v>
      </c>
      <c r="G219" s="7">
        <v>1</v>
      </c>
      <c r="H219" s="13" t="s">
        <v>766</v>
      </c>
      <c r="I219" s="13">
        <v>25568.708333333332</v>
      </c>
      <c r="J219" s="7">
        <v>1</v>
      </c>
      <c r="K219" s="112" t="str">
        <f>IF(ISEVEN(B219),(B219-1)&amp;"/"&amp;B219,B219&amp;"/"&amp;(B219+1))</f>
        <v>4039/4040</v>
      </c>
      <c r="L219" s="22" t="str">
        <f>VLOOKUP(A219,'Trips&amp;Operators'!$C$1:$E$10000,3,FALSE)</f>
        <v>YANAI</v>
      </c>
      <c r="M219" s="6">
        <f>I219-F219</f>
        <v>0</v>
      </c>
      <c r="N219" s="7">
        <f>24*60*SUM($M219:$M219)</f>
        <v>0</v>
      </c>
      <c r="O219" s="7"/>
      <c r="P219" s="7"/>
      <c r="Q219" s="23"/>
      <c r="R219" s="23"/>
      <c r="S219" s="35">
        <f>SUM(U219:U219)/IF(AG219="EC",12,1)</f>
        <v>0</v>
      </c>
      <c r="T219" s="50" t="str">
        <f>IF(ISEVEN(LEFT(AD219,4)),"Southbound","NorthBound")</f>
        <v>Southbound</v>
      </c>
      <c r="U219" s="144">
        <f>IF(AG219="EC",COUNTIFS(Variables!$M$2:$M$19,IF(T219="NorthBound","&gt;=","&lt;=")&amp;Y219,Variables!$M$2:$M$19,IF(T219="NorthBound","&lt;=","&gt;=")&amp;Z219),COUNTIFS(Variables!$P$2:$P$19,IF(T219="NorthBound","&gt;=","&lt;=")&amp;Y219,Variables!$P$2:$P$19,IF(T219="NorthBound","&lt;=","&gt;=")&amp;Z219))</f>
        <v>0</v>
      </c>
      <c r="V219" s="98" t="str">
        <f>"https://search-rtdc-monitor-bjffxe2xuh6vdkpspy63sjmuny.us-east-1.es.amazonaws.com/_plugin/kibana/#/discover/Steve-Slow-Train-Analysis-(2080s-and-2083s)?_g=(refreshInterval:(display:Off,section:0,value:0),time:(from:'"&amp;TEXT(E219-1/24,"yyyy-MM-DD hh:mm:ss")&amp;"-0600',mode:absolute,to:'"&amp;TEXT(I219+1/24,"yyyy-MM-DD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219&amp;"%22')),sort:!(Time,asc))"</f>
        <v>https://search-rtdc-monitor-bjffxe2xuh6vdkpspy63sjmuny.us-east-1.es.amazonaws.com/_plugin/kibana/#/discover/Steve-Slow-Train-Analysis-(2080s-and-2083s)?_g=(refreshInterval:(display:Off,section:0,value:0),time:(from:'2016-10-13 18:05:56-0600',mode:absolute,to:'1969-12-31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9" s="52" t="str">
        <f>IF(AA219&lt;IF(AG219="EC",23,5.65),"Y","N")</f>
        <v>Y</v>
      </c>
      <c r="X219" s="149">
        <f>VALUE(LEFT(AD219,4))-VALUE(LEFT(AD218,4))</f>
        <v>2</v>
      </c>
      <c r="Y219" s="67">
        <f>RIGHT(D219,LEN(D219)-4)/10000</f>
        <v>5.8609</v>
      </c>
      <c r="Z219" s="67">
        <f>RIGHT(H219,LEN(H219)-4)/10000</f>
        <v>2.8782000000000001</v>
      </c>
      <c r="AA219" s="67">
        <f>ABS(Z219-Y219)</f>
        <v>2.9826999999999999</v>
      </c>
      <c r="AB219" s="64" t="e">
        <f>VLOOKUP(A219,Enforcements!$C$7:$K$21,8,0)</f>
        <v>#N/A</v>
      </c>
      <c r="AC219" s="60" t="e">
        <f>VLOOKUP(A219,Enforcements!$C$7:$E$21,3,0)</f>
        <v>#N/A</v>
      </c>
      <c r="AD219" s="61" t="str">
        <f>IF(LEN(A219)=6,"0"&amp;A219,A219)</f>
        <v>0906-13</v>
      </c>
      <c r="AE219" s="91" t="str">
        <f>"aws s3 cp "&amp;s3_bucket&amp;"/RTDC"&amp;B219&amp;"/ "&amp;search_path&amp;"\RTDC"&amp;B219&amp;"\"&amp;TEXT(F219,"YYYY-MM-DD")&amp;" --exclude ""*"" --recursive --include ""*"&amp;TEXT(F219,"YYYYMMDD")&amp;"*"" &amp; """&amp;walkandungz&amp;""" "&amp;search_path&amp;"\RTDC"&amp;B219&amp;"\"&amp;TEXT(F219,"YYYY-MM-DD")
&amp;" &amp; "&amp;"aws s3 cp "&amp;s3_bucket&amp;"/RTDC"&amp;B219&amp;"/ "&amp;search_path&amp;"\RTDC"&amp;B219&amp;"\"&amp;TEXT(F219+1,"YYYY-MM-DD")&amp;" --exclude ""*"" --recursive --include ""*"&amp;TEXT(F219+1,"YYYYMMDD")&amp;"*"" &amp; """&amp;walkandungz&amp;""" "&amp;search_path&amp;"\RTDC"&amp;B219&amp;"\"&amp;TEXT(F219+1,"YYYY-MM-DD")</f>
        <v>aws s3 cp s3://rtdc.mdm.uploadarchive.raw/RTDC4039/ "%USERPROFILE%\AppData\Local\Temp\OnboardLogs"\RTDC4039\1969-12-31 --exclude "*" --recursive --include "*19691231*" &amp; "%USERPROFILE%\Documents\GitHub\mrs-test-scripts\Headless Mode &amp; Sideloading\WalkAndUnGZ.bat" "%USERPROFILE%\AppData\Local\Temp\OnboardLogs"\RTDC4039\1969-12-31 &amp; aws s3 cp s3://rtdc.mdm.uploadarchive.raw/RTDC4039/ "%USERPROFILE%\AppData\Local\Temp\OnboardLogs"\RTDC4039\1970-01-01 --exclude "*" --recursive --include "*19700101*" &amp; "%USERPROFILE%\Documents\GitHub\mrs-test-scripts\Headless Mode &amp; Sideloading\WalkAndUnGZ.bat" "%USERPROFILE%\AppData\Local\Temp\OnboardLogs"\RTDC4039\1970-01-01</v>
      </c>
      <c r="AF219" s="88" t="str">
        <f>astrogrep_path&amp;" /spath="&amp;search_path&amp;" /stypes=""app*"&amp;B219&amp;"*"&amp;TEXT(I219-utc_offset/24,"YYYYMMDD")&amp;"*"" /stext="" "&amp;TEXT(I219-utc_offset/24,"HH")&amp;search_regexp&amp;""" /e /r /s"</f>
        <v>"C:\Program Files (x86)\AstroGrep\AstroGrep.exe" /spath="%USERPROFILE%\AppData\Local\Temp\OnboardLogs" /stypes="app*4039*19691231*" /stext=" 23:.+((SYSTEM_STATE.+slice.+state.+changed )|(ment ac)|(system.+state.+changed )|(\[timeout)|(PRM\|1\|D)|(kpr)|(kdp)|(\|lc)|(penalty))" /e /r /s</v>
      </c>
      <c r="AG219" s="1" t="str">
        <f>IFERROR(IF(VALUE(LEFT(AD219,2))&lt;=2,"EC",IF(OR(VALUE(LEFT(AD219,2))=8,VALUE(LEFT(AD219,2))=18),"NW","Other")),"Other")</f>
        <v>Other</v>
      </c>
      <c r="AH219" s="92" t="str">
        <f t="shared" si="20"/>
        <v>"%USERPROFILE%\Documents\GitHub\eaglep3\Utilities\RefineRTDCRunTimes.py" --tripid 906-13 --locoid 4039 --swversion DE.1.0.7.0 --startMP 300:58609 --initTime 2016-10-13T19:05:56 --startdatetime 1969-12-31T17:00:00 --delay 1 --endMP 300:28782 --enddatetime 1969-12-31T17:00:00 --enforcementcount 1 &gt;&gt;C:\Users\stu\Documents\GitHub\eaglep3-reporting\EC\2016-10-13-refined-times.txt</v>
      </c>
      <c r="AI219" s="122" t="str">
        <f t="shared" si="21"/>
        <v>echo {"issue":{"subject":"","project_id":79,"tracker_id":40,"status_id":1,"priority_id":2,"assigned_to_id":23,"start_date":"1969-12-31","description":"","custom_fields":[{"id":1,"name":"Subdivision","value":"Other"},{"id":4,"name":"Milepost","value":"2.8782"},{"id":17,"name":"Train ID","value":"906-13"},{"id":16,"name":"Locomotive ID","value":"4039"},{"id":130,"name":"Impact","value":""},{"id":150,"name":"Time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38" x14ac:dyDescent="0.25">
      <c r="A220" s="37" t="s">
        <v>594</v>
      </c>
      <c r="B220" s="7">
        <v>4032</v>
      </c>
      <c r="C220" s="22" t="s">
        <v>99</v>
      </c>
      <c r="D220" s="22" t="s">
        <v>332</v>
      </c>
      <c r="E220" s="13">
        <v>42656.942164351851</v>
      </c>
      <c r="F220" s="13">
        <v>42656.94358796296</v>
      </c>
      <c r="G220" s="7">
        <v>0</v>
      </c>
      <c r="H220" s="13" t="s">
        <v>767</v>
      </c>
      <c r="I220" s="13">
        <v>42656.947800925926</v>
      </c>
      <c r="J220" s="7">
        <v>1</v>
      </c>
      <c r="K220" s="112" t="str">
        <f>IF(ISEVEN(B220),(B220-1)&amp;"/"&amp;B220,B220&amp;"/"&amp;(B220+1))</f>
        <v>4031/4032</v>
      </c>
      <c r="L220" s="22" t="str">
        <f>VLOOKUP(A220,'Trips&amp;Operators'!$C$1:$E$10000,3,FALSE)</f>
        <v>YANAI</v>
      </c>
      <c r="M220" s="6">
        <f>I220-F220</f>
        <v>4.2129629655391909E-3</v>
      </c>
      <c r="N220" s="7">
        <f>24*60*SUM($M220:$M220)</f>
        <v>6.0666666703764349</v>
      </c>
      <c r="O220" s="7"/>
      <c r="P220" s="7"/>
      <c r="Q220" s="23"/>
      <c r="R220" s="23"/>
      <c r="S220" s="35">
        <f>SUM(U220:U220)/IF(AG220="EC",12,1)</f>
        <v>0</v>
      </c>
      <c r="T220" s="50" t="str">
        <f>IF(ISEVEN(LEFT(AD220,4)),"Southbound","NorthBound")</f>
        <v>Southbound</v>
      </c>
      <c r="U220" s="144">
        <f>IF(AG220="EC",COUNTIFS(Variables!$M$2:$M$19,IF(T220="NorthBound","&gt;=","&lt;=")&amp;Y220,Variables!$M$2:$M$19,IF(T220="NorthBound","&lt;=","&gt;=")&amp;Z220),COUNTIFS(Variables!$P$2:$P$19,IF(T220="NorthBound","&gt;=","&lt;=")&amp;Y220,Variables!$P$2:$P$19,IF(T220="NorthBound","&lt;=","&gt;=")&amp;Z220))</f>
        <v>0</v>
      </c>
      <c r="V220" s="98" t="str">
        <f>"https://search-rtdc-monitor-bjffxe2xuh6vdkpspy63sjmuny.us-east-1.es.amazonaws.com/_plugin/kibana/#/discover/Steve-Slow-Train-Analysis-(2080s-and-2083s)?_g=(refreshInterval:(display:Off,section:0,value:0),time:(from:'"&amp;TEXT(E220-1/24,"yyyy-MM-DD hh:mm:ss")&amp;"-0600',mode:absolute,to:'"&amp;TEXT(I220+1/24,"yyyy-MM-DD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220&amp;"%22')),sort:!(Time,asc))"</f>
        <v>https://search-rtdc-monitor-bjffxe2xuh6vdkpspy63sjmuny.us-east-1.es.amazonaws.com/_plugin/kibana/#/discover/Steve-Slow-Train-Analysis-(2080s-and-2083s)?_g=(refreshInterval:(display:Off,section:0,value:0),time:(from:'2016-10-13 21:36:43-0600',mode:absolute,to:'2016-10-13 23:44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20" s="52" t="str">
        <f>IF(AA220&lt;IF(AG220="EC",23,5.65),"Y","N")</f>
        <v>Y</v>
      </c>
      <c r="X220" s="149">
        <f>VALUE(LEFT(AD220,4))-VALUE(LEFT(AD219,4))</f>
        <v>2</v>
      </c>
      <c r="Y220" s="67">
        <f>RIGHT(D220,LEN(D220)-4)/10000</f>
        <v>5.8613</v>
      </c>
      <c r="Z220" s="67">
        <f>RIGHT(H220,LEN(H220)-4)/10000</f>
        <v>2.16</v>
      </c>
      <c r="AA220" s="67">
        <f>ABS(Z220-Y220)</f>
        <v>3.7012999999999998</v>
      </c>
      <c r="AB220" s="64" t="e">
        <f>VLOOKUP(A220,Enforcements!$C$7:$K$21,8,0)</f>
        <v>#N/A</v>
      </c>
      <c r="AC220" s="60" t="e">
        <f>VLOOKUP(A220,Enforcements!$C$7:$E$21,3,0)</f>
        <v>#N/A</v>
      </c>
      <c r="AD220" s="61" t="str">
        <f>IF(LEN(A220)=6,"0"&amp;A220,A220)</f>
        <v>0908-13</v>
      </c>
      <c r="AE220" s="91" t="str">
        <f>"aws s3 cp "&amp;s3_bucket&amp;"/RTDC"&amp;B220&amp;"/ "&amp;search_path&amp;"\RTDC"&amp;B220&amp;"\"&amp;TEXT(F220,"YYYY-MM-DD")&amp;" --exclude ""*"" --recursive --include ""*"&amp;TEXT(F220,"YYYYMMDD")&amp;"*"" &amp; """&amp;walkandungz&amp;""" "&amp;search_path&amp;"\RTDC"&amp;B220&amp;"\"&amp;TEXT(F220,"YYYY-MM-DD")
&amp;" &amp; "&amp;"aws s3 cp "&amp;s3_bucket&amp;"/RTDC"&amp;B220&amp;"/ "&amp;search_path&amp;"\RTDC"&amp;B220&amp;"\"&amp;TEXT(F220+1,"YYYY-MM-DD")&amp;" --exclude ""*"" --recursive --include ""*"&amp;TEXT(F220+1,"YYYYMMDD")&amp;"*"" &amp; """&amp;walkandungz&amp;""" "&amp;search_path&amp;"\RTDC"&amp;B220&amp;"\"&amp;TEXT(F220+1,"YYYY-MM-DD")</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20" s="88" t="str">
        <f>astrogrep_path&amp;" /spath="&amp;search_path&amp;" /stypes=""app*"&amp;B220&amp;"*"&amp;TEXT(I220-utc_offset/24,"YYYYMMDD")&amp;"*"" /stext="" "&amp;TEXT(I220-utc_offset/24,"HH")&amp;search_regexp&amp;""" /e /r /s"</f>
        <v>"C:\Program Files (x86)\AstroGrep\AstroGrep.exe" /spath="%USERPROFILE%\AppData\Local\Temp\OnboardLogs" /stypes="app*4032*20161014*" /stext=" 04:.+((SYSTEM_STATE.+slice.+state.+changed )|(ment ac)|(system.+state.+changed )|(\[timeout)|(PRM\|1\|D)|(kpr)|(kdp)|(\|lc)|(penalty))" /e /r /s</v>
      </c>
      <c r="AG220" s="1" t="str">
        <f>IFERROR(IF(VALUE(LEFT(AD220,2))&lt;=2,"EC",IF(OR(VALUE(LEFT(AD220,2))=8,VALUE(LEFT(AD220,2))=18),"NW","Other")),"Other")</f>
        <v>Other</v>
      </c>
      <c r="AH220" s="92" t="str">
        <f t="shared" si="20"/>
        <v>"%USERPROFILE%\Documents\GitHub\eaglep3\Utilities\RefineRTDCRunTimes.py" --tripid 908-13 --locoid 4032 --swversion DE.1.0.7.0 --startMP 300:58613 --initTime 2016-10-13T22:36:43 --startdatetime 2016-10-13T22:38:46 --delay 0 --endMP 300:21600 --enddatetime 2016-10-13T22:44:50 --enforcementcount 1 &gt;&gt;C:\Users\stu\Documents\GitHub\eaglep3-reporting\EC\2016-10-13-refined-times.txt</v>
      </c>
      <c r="AI220" s="122" t="str">
        <f t="shared" si="21"/>
        <v>echo {"issue":{"subject":"","project_id":79,"tracker_id":40,"status_id":1,"priority_id":2,"assigned_to_id":23,"start_date":"2016-10-13","description":"","custom_fields":[{"id":1,"name":"Subdivision","value":"Other"},{"id":4,"name":"Milepost","value":"2.16"},{"id":17,"name":"Train ID","value":"908-13"},{"id":16,"name":"Locomotive ID","value":"4032"},{"id":130,"name":"Impact","value":""},{"id":150,"name":"Time of Event (Mountain Time)","value":"22:44:50"},{"id":151,"name":"Denver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38" x14ac:dyDescent="0.25">
      <c r="A221" s="37" t="s">
        <v>410</v>
      </c>
      <c r="B221" s="7">
        <v>4028</v>
      </c>
      <c r="C221" s="22" t="s">
        <v>99</v>
      </c>
      <c r="D221" s="22" t="s">
        <v>696</v>
      </c>
      <c r="E221" s="13">
        <v>42656.716226851851</v>
      </c>
      <c r="F221" s="13">
        <v>42656.718263888892</v>
      </c>
      <c r="G221" s="7">
        <v>2</v>
      </c>
      <c r="H221" s="13" t="s">
        <v>697</v>
      </c>
      <c r="I221" s="13">
        <v>42656.725590277776</v>
      </c>
      <c r="J221" s="7">
        <v>1</v>
      </c>
      <c r="K221" s="112" t="str">
        <f>IF(ISEVEN(B221),(B221-1)&amp;"/"&amp;B221,B221&amp;"/"&amp;(B221+1))</f>
        <v>4027/4028</v>
      </c>
      <c r="L221" s="22" t="str">
        <f>VLOOKUP(A221,'Trips&amp;Operators'!$C$1:$E$10000,3,FALSE)</f>
        <v>COOLAHAN</v>
      </c>
      <c r="M221" s="6">
        <f>I221-F221</f>
        <v>7.326388884393964E-3</v>
      </c>
      <c r="N221" s="7">
        <f>24*60*SUM($M221:$M221)</f>
        <v>10.549999993527308</v>
      </c>
      <c r="O221" s="7"/>
      <c r="P221" s="7"/>
      <c r="Q221" s="23"/>
      <c r="R221" s="23"/>
      <c r="S221" s="35">
        <f>SUM(U221:U221)/IF(AG221="EC",12,1)</f>
        <v>0</v>
      </c>
      <c r="T221" s="50" t="e">
        <f>IF(ISEVEN(LEFT(AD221,4)),"Southbound","NorthBound")</f>
        <v>#VALUE!</v>
      </c>
      <c r="U221" s="144">
        <f>IF(AG221="EC",COUNTIFS(Variables!$M$2:$M$19,IF(T221="NorthBound","&gt;=","&lt;=")&amp;Y221,Variables!$M$2:$M$19,IF(T221="NorthBound","&lt;=","&gt;=")&amp;Z221),COUNTIFS(Variables!$P$2:$P$19,IF(T221="NorthBound","&gt;=","&lt;=")&amp;Y221,Variables!$P$2:$P$19,IF(T221="NorthBound","&lt;=","&gt;=")&amp;Z221))</f>
        <v>0</v>
      </c>
      <c r="V221" s="98" t="str">
        <f>"https://search-rtdc-monitor-bjffxe2xuh6vdkpspy63sjmuny.us-east-1.es.amazonaws.com/_plugin/kibana/#/discover/Steve-Slow-Train-Analysis-(2080s-and-2083s)?_g=(refreshInterval:(display:Off,section:0,value:0),time:(from:'"&amp;TEXT(E221-1/24,"yyyy-MM-DD hh:mm:ss")&amp;"-0600',mode:absolute,to:'"&amp;TEXT(I221+1/24,"yyyy-MM-DD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221&amp;"%22')),sort:!(Time,asc))"</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W221" s="52" t="str">
        <f>IF(AA221&lt;IF(AG221="EC",23,5.65),"Y","N")</f>
        <v>Y</v>
      </c>
      <c r="X221" s="149" t="e">
        <f>VALUE(LEFT(AD221,4))-VALUE(LEFT(AD220,4))</f>
        <v>#VALUE!</v>
      </c>
      <c r="Y221" s="67">
        <f>RIGHT(D221,LEN(D221)-4)/10000</f>
        <v>2.3359999999999999</v>
      </c>
      <c r="Z221" s="67">
        <f>RIGHT(H221,LEN(H221)-4)/10000</f>
        <v>1.3299999999999999E-2</v>
      </c>
      <c r="AA221" s="67">
        <f>ABS(Z221-Y221)</f>
        <v>2.3226999999999998</v>
      </c>
      <c r="AB221" s="64" t="e">
        <f>VLOOKUP(A221,Enforcements!$C$7:$K$21,8,0)</f>
        <v>#N/A</v>
      </c>
      <c r="AC221" s="60" t="e">
        <f>VLOOKUP(A221,Enforcements!$C$7:$E$21,3,0)</f>
        <v>#N/A</v>
      </c>
      <c r="AD221" s="61" t="str">
        <f>IF(LEN(A221)=6,"0"&amp;A221,A221)</f>
        <v>50-13</v>
      </c>
      <c r="AE221" s="91" t="str">
        <f>"aws s3 cp "&amp;s3_bucket&amp;"/RTDC"&amp;B221&amp;"/ "&amp;search_path&amp;"\RTDC"&amp;B221&amp;"\"&amp;TEXT(F221,"YYYY-MM-DD")&amp;" --exclude ""*"" --recursive --include ""*"&amp;TEXT(F221,"YYYYMMDD")&amp;"*"" &amp; """&amp;walkandungz&amp;""" "&amp;search_path&amp;"\RTDC"&amp;B221&amp;"\"&amp;TEXT(F221,"YYYY-MM-DD")
&amp;" &amp; "&amp;"aws s3 cp "&amp;s3_bucket&amp;"/RTDC"&amp;B221&amp;"/ "&amp;search_path&amp;"\RTDC"&amp;B221&amp;"\"&amp;TEXT(F221+1,"YYYY-MM-DD")&amp;" --exclude ""*"" --recursive --include ""*"&amp;TEXT(F221+1,"YYYYMMDD")&amp;"*"" &amp; """&amp;walkandungz&amp;""" "&amp;search_path&amp;"\RTDC"&amp;B221&amp;"\"&amp;TEXT(F221+1,"YYYY-MM-DD")</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AF221" s="88" t="str">
        <f>astrogrep_path&amp;" /spath="&amp;search_path&amp;" /stypes=""app*"&amp;B221&amp;"*"&amp;TEXT(I221-utc_offset/24,"YYYYMMDD")&amp;"*"" /stext="" "&amp;TEXT(I221-utc_offset/24,"HH")&amp;search_regexp&amp;""" /e /r /s"</f>
        <v>"C:\Program Files (x86)\AstroGrep\AstroGrep.exe" /spath="%USERPROFILE%\AppData\Local\Temp\OnboardLogs" /stypes="app*4028*20161013*" /stext=" 23:.+((SYSTEM_STATE.+slice.+state.+changed )|(ment ac)|(system.+state.+changed )|(\[timeout)|(PRM\|1\|D)|(kpr)|(kdp)|(\|lc)|(penalty))" /e /r /s</v>
      </c>
      <c r="AG221" s="1" t="str">
        <f>IFERROR(IF(VALUE(LEFT(AD221,2))&lt;=2,"EC",IF(OR(VALUE(LEFT(AD221,2))=8,VALUE(LEFT(AD221,2))=18),"NW","Other")),"Other")</f>
        <v>Other</v>
      </c>
      <c r="AH221" s="92" t="str">
        <f t="shared" si="20"/>
        <v>"%USERPROFILE%\Documents\GitHub\eaglep3\Utilities\RefineRTDCRunTimes.py" --tripid 50-13 --locoid 4028 --swversion DE.1.0.7.0 --startMP 300:23360 --initTime 2016-10-13T17:11:22 --startdatetime 2016-10-13T17:14:18 --delay 2 --endMP 204:133 --enddatetime 2016-10-13T17:24:51 --enforcementcount 1 &gt;&gt;C:\Users\stu\Documents\GitHub\eaglep3-reporting\EC\2016-10-13-refined-times.txt</v>
      </c>
      <c r="AI221" s="122" t="str">
        <f t="shared" si="21"/>
        <v>echo {"issue":{"subject":"","project_id":79,"tracker_id":40,"status_id":1,"priority_id":2,"assigned_to_id":23,"start_date":"2016-10-13","description":"","custom_fields":[{"id":1,"name":"Subdivision","value":"Other"},{"id":4,"name":"Milepost","value":"0.0133"},{"id":17,"name":"Train ID","value":"50-13"},{"id":16,"name":"Locomotive ID","value":"4028"},{"id":130,"name":"Impact","value":""},{"id":150,"name":"Time of Event (Mountain Time)","value":"17:24:51"},{"id":151,"name":"Denver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38" x14ac:dyDescent="0.25">
      <c r="A222" s="37" t="s">
        <v>553</v>
      </c>
      <c r="B222" s="7">
        <v>4015</v>
      </c>
      <c r="C222" s="22" t="s">
        <v>99</v>
      </c>
      <c r="D222" s="22" t="s">
        <v>698</v>
      </c>
      <c r="E222" s="13">
        <v>42656.733877314815</v>
      </c>
      <c r="F222" s="13">
        <v>42656.735613425924</v>
      </c>
      <c r="G222" s="7">
        <v>2</v>
      </c>
      <c r="H222" s="13" t="s">
        <v>699</v>
      </c>
      <c r="I222" s="13">
        <v>42656.741909722223</v>
      </c>
      <c r="J222" s="7">
        <v>1</v>
      </c>
      <c r="K222" s="112" t="str">
        <f>IF(ISEVEN(B222),(B222-1)&amp;"/"&amp;B222,B222&amp;"/"&amp;(B222+1))</f>
        <v>4015/4016</v>
      </c>
      <c r="L222" s="22" t="str">
        <f>VLOOKUP(A222,'Trips&amp;Operators'!$C$1:$E$10000,3,FALSE)</f>
        <v>MATTHEWS</v>
      </c>
      <c r="M222" s="6">
        <f>I222-F222</f>
        <v>6.2962962983874604E-3</v>
      </c>
      <c r="N222" s="7">
        <f>24*60*SUM($M222:$M222)</f>
        <v>9.066666669677943</v>
      </c>
      <c r="O222" s="7"/>
      <c r="P222" s="7"/>
      <c r="Q222" s="23"/>
      <c r="R222" s="23"/>
      <c r="S222" s="35">
        <f>SUM(U222:U222)/IF(AG222="EC",12,1)</f>
        <v>0</v>
      </c>
      <c r="T222" s="50" t="e">
        <f>IF(ISEVEN(LEFT(AD222,4)),"Southbound","NorthBound")</f>
        <v>#VALUE!</v>
      </c>
      <c r="U222" s="144">
        <f>IF(AG222="EC",COUNTIFS(Variables!$M$2:$M$19,IF(T222="NorthBound","&gt;=","&lt;=")&amp;Y222,Variables!$M$2:$M$19,IF(T222="NorthBound","&lt;=","&gt;=")&amp;Z222),COUNTIFS(Variables!$P$2:$P$19,IF(T222="NorthBound","&gt;=","&lt;=")&amp;Y222,Variables!$P$2:$P$19,IF(T222="NorthBound","&lt;=","&gt;=")&amp;Z222))</f>
        <v>0</v>
      </c>
      <c r="V222" s="98" t="str">
        <f>"https://search-rtdc-monitor-bjffxe2xuh6vdkpspy63sjmuny.us-east-1.es.amazonaws.com/_plugin/kibana/#/discover/Steve-Slow-Train-Analysis-(2080s-and-2083s)?_g=(refreshInterval:(display:Off,section:0,value:0),time:(from:'"&amp;TEXT(E222-1/24,"yyyy-MM-DD hh:mm:ss")&amp;"-0600',mode:absolute,to:'"&amp;TEXT(I222+1/24,"yyyy-MM-DD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222&amp;"%22')),sort:!(Time,asc))"</f>
        <v>https://search-rtdc-monitor-bjffxe2xuh6vdkpspy63sjmuny.us-east-1.es.amazonaws.com/_plugin/kibana/#/discover/Steve-Slow-Train-Analysis-(2080s-and-2083s)?_g=(refreshInterval:(display:Off,section:0,value:0),time:(from:'2016-10-13 16:36:47-0600',mode:absolute,to:'2016-10-13 18:48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IF(AA222&lt;IF(AG222="EC",23,5.65),"Y","N")</f>
        <v>Y</v>
      </c>
      <c r="X222" s="149" t="e">
        <f>VALUE(LEFT(AD222,4))-VALUE(LEFT(AD221,4))</f>
        <v>#VALUE!</v>
      </c>
      <c r="Y222" s="67">
        <f>RIGHT(D222,LEN(D222)-4)/10000</f>
        <v>2.3277999999999999</v>
      </c>
      <c r="Z222" s="67">
        <f>RIGHT(H222,LEN(H222)-4)/10000</f>
        <v>8.5800000000000001E-2</v>
      </c>
      <c r="AA222" s="67">
        <f>ABS(Z222-Y222)</f>
        <v>2.242</v>
      </c>
      <c r="AB222" s="64" t="e">
        <f>VLOOKUP(A222,Enforcements!$C$7:$K$21,8,0)</f>
        <v>#N/A</v>
      </c>
      <c r="AC222" s="60" t="e">
        <f>VLOOKUP(A222,Enforcements!$C$7:$E$21,3,0)</f>
        <v>#N/A</v>
      </c>
      <c r="AD222" s="61" t="str">
        <f>IF(LEN(A222)=6,"0"&amp;A222,A222)</f>
        <v>52-13</v>
      </c>
      <c r="AE222" s="91" t="str">
        <f>"aws s3 cp "&amp;s3_bucket&amp;"/RTDC"&amp;B222&amp;"/ "&amp;search_path&amp;"\RTDC"&amp;B222&amp;"\"&amp;TEXT(F222,"YYYY-MM-DD")&amp;" --exclude ""*"" --recursive --include ""*"&amp;TEXT(F222,"YYYYMMDD")&amp;"*"" &amp; """&amp;walkandungz&amp;""" "&amp;search_path&amp;"\RTDC"&amp;B222&amp;"\"&amp;TEXT(F222,"YYYY-MM-DD")
&amp;" &amp; "&amp;"aws s3 cp "&amp;s3_bucket&amp;"/RTDC"&amp;B222&amp;"/ "&amp;search_path&amp;"\RTDC"&amp;B222&amp;"\"&amp;TEXT(F222+1,"YYYY-MM-DD")&amp;" --exclude ""*"" --recursive --include ""*"&amp;TEXT(F222+1,"YYYYMMDD")&amp;"*"" &amp; """&amp;walkandungz&amp;""" "&amp;search_path&amp;"\RTDC"&amp;B222&amp;"\"&amp;TEXT(F222+1,"YYYY-MM-DD")</f>
        <v>aws s3 cp s3://rtdc.mdm.uploadarchive.raw/RTDC4015/ "%USERPROFILE%\AppData\Local\Temp\OnboardLogs"\RTDC4015\2016-10-13 --exclude "*" --recursive --include "*20161013*" &amp; "%USERPROFILE%\Documents\GitHub\mrs-test-scripts\Headless Mode &amp; Sideloading\WalkAndUnGZ.bat" "%USERPROFILE%\AppData\Local\Temp\OnboardLogs"\RTDC4015\2016-10-13 &amp; aws s3 cp s3://rtdc.mdm.uploadarchive.raw/RTDC4015/ "%USERPROFILE%\AppData\Local\Temp\OnboardLogs"\RTDC4015\2016-10-14 --exclude "*" --recursive --include "*20161014*" &amp; "%USERPROFILE%\Documents\GitHub\mrs-test-scripts\Headless Mode &amp; Sideloading\WalkAndUnGZ.bat" "%USERPROFILE%\AppData\Local\Temp\OnboardLogs"\RTDC4015\2016-10-14</v>
      </c>
      <c r="AF222" s="88" t="str">
        <f>astrogrep_path&amp;" /spath="&amp;search_path&amp;" /stypes=""app*"&amp;B222&amp;"*"&amp;TEXT(I222-utc_offset/24,"YYYYMMDD")&amp;"*"" /stext="" "&amp;TEXT(I222-utc_offset/24,"HH")&amp;search_regexp&amp;""" /e /r /s"</f>
        <v>"C:\Program Files (x86)\AstroGrep\AstroGrep.exe" /spath="%USERPROFILE%\AppData\Local\Temp\OnboardLogs" /stypes="app*4015*20161013*" /stext=" 23:.+((SYSTEM_STATE.+slice.+state.+changed )|(ment ac)|(system.+state.+changed )|(\[timeout)|(PRM\|1\|D)|(kpr)|(kdp)|(\|lc)|(penalty))" /e /r /s</v>
      </c>
      <c r="AG222" s="1" t="str">
        <f>IFERROR(IF(VALUE(LEFT(AD222,2))&lt;=2,"EC",IF(OR(VALUE(LEFT(AD222,2))=8,VALUE(LEFT(AD222,2))=18),"NW","Other")),"Other")</f>
        <v>Other</v>
      </c>
      <c r="AH222" s="92" t="str">
        <f t="shared" si="20"/>
        <v>"%USERPROFILE%\Documents\GitHub\eaglep3\Utilities\RefineRTDCRunTimes.py" --tripid 52-13 --locoid 4015 --swversion DE.1.0.7.0 --startMP 300:23278 --initTime 2016-10-13T17:36:47 --startdatetime 2016-10-13T17:39:17 --delay 2 --endMP 204:858 --enddatetime 2016-10-13T17:48:21 --enforcementcount 1 &gt;&gt;C:\Users\stu\Documents\GitHub\eaglep3-reporting\EC\2016-10-13-refined-times.txt</v>
      </c>
      <c r="AI222" s="122" t="str">
        <f t="shared" si="21"/>
        <v>echo {"issue":{"subject":"","project_id":79,"tracker_id":40,"status_id":1,"priority_id":2,"assigned_to_id":23,"start_date":"2016-10-13","description":"","custom_fields":[{"id":1,"name":"Subdivision","value":"Other"},{"id":4,"name":"Milepost","value":"0.0858"},{"id":17,"name":"Train ID","value":"52-13"},{"id":16,"name":"Locomotive ID","value":"4015"},{"id":130,"name":"Impact","value":""},{"id":150,"name":"Time of Event (Mountain Time)","value":"17:48:21"},{"id":151,"name":"Denver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38" x14ac:dyDescent="0.25">
      <c r="A223" s="37" t="s">
        <v>560</v>
      </c>
      <c r="B223" s="7">
        <v>4029</v>
      </c>
      <c r="C223" s="22" t="s">
        <v>99</v>
      </c>
      <c r="D223" s="22" t="s">
        <v>700</v>
      </c>
      <c r="E223" s="13">
        <v>42656.749189814815</v>
      </c>
      <c r="F223" s="13">
        <v>42656.767002314817</v>
      </c>
      <c r="G223" s="7">
        <v>1</v>
      </c>
      <c r="H223" s="13" t="s">
        <v>700</v>
      </c>
      <c r="I223" s="13">
        <v>42656.772060185183</v>
      </c>
      <c r="J223" s="7">
        <v>1</v>
      </c>
      <c r="K223" s="112" t="str">
        <f>IF(ISEVEN(B223),(B223-1)&amp;"/"&amp;B223,B223&amp;"/"&amp;(B223+1))</f>
        <v>4029/4030</v>
      </c>
      <c r="L223" s="22" t="str">
        <f>VLOOKUP(A223,'Trips&amp;Operators'!$C$1:$E$10000,3,FALSE)</f>
        <v>HILLS</v>
      </c>
      <c r="M223" s="6">
        <f>I223-F223</f>
        <v>5.057870366727002E-3</v>
      </c>
      <c r="N223" s="7">
        <f>24*60*SUM($M223:$M223)</f>
        <v>7.2833333280868828</v>
      </c>
      <c r="O223" s="7"/>
      <c r="P223" s="7"/>
      <c r="Q223" s="23"/>
      <c r="R223" s="23"/>
      <c r="S223" s="35">
        <f>SUM(U223:U223)/IF(AG223="EC",12,1)</f>
        <v>0</v>
      </c>
      <c r="T223" s="50" t="e">
        <f>IF(ISEVEN(LEFT(AD223,4)),"Southbound","NorthBound")</f>
        <v>#VALUE!</v>
      </c>
      <c r="U223" s="144">
        <f>IF(AG223="EC",COUNTIFS(Variables!$M$2:$M$19,IF(T223="NorthBound","&gt;=","&lt;=")&amp;Y223,Variables!$M$2:$M$19,IF(T223="NorthBound","&lt;=","&gt;=")&amp;Z223),COUNTIFS(Variables!$P$2:$P$19,IF(T223="NorthBound","&gt;=","&lt;=")&amp;Y223,Variables!$P$2:$P$19,IF(T223="NorthBound","&lt;=","&gt;=")&amp;Z223))</f>
        <v>0</v>
      </c>
      <c r="V223" s="98" t="str">
        <f>"https://search-rtdc-monitor-bjffxe2xuh6vdkpspy63sjmuny.us-east-1.es.amazonaws.com/_plugin/kibana/#/discover/Steve-Slow-Train-Analysis-(2080s-and-2083s)?_g=(refreshInterval:(display:Off,section:0,value:0),time:(from:'"&amp;TEXT(E223-1/24,"yyyy-MM-DD hh:mm:ss")&amp;"-0600',mode:absolute,to:'"&amp;TEXT(I223+1/24,"yyyy-MM-DD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223&amp;"%22')),sort:!(Time,asc))"</f>
        <v>https://search-rtdc-monitor-bjffxe2xuh6vdkpspy63sjmuny.us-east-1.es.amazonaws.com/_plugin/kibana/#/discover/Steve-Slow-Train-Analysis-(2080s-and-2083s)?_g=(refreshInterval:(display:Off,section:0,value:0),time:(from:'2016-10-13 16:58:50-0600',mode:absolute,to:'2016-10-13 19:31: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23" s="52" t="str">
        <f>IF(AA223&lt;IF(AG223="EC",23,5.65),"Y","N")</f>
        <v>Y</v>
      </c>
      <c r="X223" s="149" t="e">
        <f>VALUE(LEFT(AD223,4))-VALUE(LEFT(AD222,4))</f>
        <v>#VALUE!</v>
      </c>
      <c r="Y223" s="67">
        <f>RIGHT(D223,LEN(D223)-4)/10000</f>
        <v>0.11559999999999999</v>
      </c>
      <c r="Z223" s="67">
        <f>RIGHT(H223,LEN(H223)-4)/10000</f>
        <v>0.11559999999999999</v>
      </c>
      <c r="AA223" s="67">
        <f>ABS(Z223-Y223)</f>
        <v>0</v>
      </c>
      <c r="AB223" s="64" t="e">
        <f>VLOOKUP(A223,Enforcements!$C$7:$K$21,8,0)</f>
        <v>#N/A</v>
      </c>
      <c r="AC223" s="60" t="e">
        <f>VLOOKUP(A223,Enforcements!$C$7:$E$21,3,0)</f>
        <v>#N/A</v>
      </c>
      <c r="AD223" s="61" t="str">
        <f>IF(LEN(A223)=6,"0"&amp;A223,A223)</f>
        <v>53-13</v>
      </c>
      <c r="AE223" s="91" t="str">
        <f>"aws s3 cp "&amp;s3_bucket&amp;"/RTDC"&amp;B223&amp;"/ "&amp;search_path&amp;"\RTDC"&amp;B223&amp;"\"&amp;TEXT(F223,"YYYY-MM-DD")&amp;" --exclude ""*"" --recursive --include ""*"&amp;TEXT(F223,"YYYYMMDD")&amp;"*"" &amp; """&amp;walkandungz&amp;""" "&amp;search_path&amp;"\RTDC"&amp;B223&amp;"\"&amp;TEXT(F223,"YYYY-MM-DD")
&amp;" &amp; "&amp;"aws s3 cp "&amp;s3_bucket&amp;"/RTDC"&amp;B223&amp;"/ "&amp;search_path&amp;"\RTDC"&amp;B223&amp;"\"&amp;TEXT(F223+1,"YYYY-MM-DD")&amp;" --exclude ""*"" --recursive --include ""*"&amp;TEXT(F223+1,"YYYYMMDD")&amp;"*"" &amp; """&amp;walkandungz&amp;""" "&amp;search_path&amp;"\RTDC"&amp;B223&amp;"\"&amp;TEXT(F223+1,"YYYY-MM-DD")</f>
        <v>aws s3 cp s3://rtdc.mdm.uploadarchive.raw/RTDC4029/ "%USERPROFILE%\AppData\Local\Temp\OnboardLogs"\RTDC4029\2016-10-13 --exclude "*" --recursive --include "*20161013*" &amp; "%USERPROFILE%\Documents\GitHub\mrs-test-scripts\Headless Mode &amp; Sideloading\WalkAndUnGZ.bat" "%USERPROFILE%\AppData\Local\Temp\OnboardLogs"\RTDC4029\2016-10-13 &amp; aws s3 cp s3://rtdc.mdm.uploadarchive.raw/RTDC4029/ "%USERPROFILE%\AppData\Local\Temp\OnboardLogs"\RTDC4029\2016-10-14 --exclude "*" --recursive --include "*20161014*" &amp; "%USERPROFILE%\Documents\GitHub\mrs-test-scripts\Headless Mode &amp; Sideloading\WalkAndUnGZ.bat" "%USERPROFILE%\AppData\Local\Temp\OnboardLogs"\RTDC4029\2016-10-14</v>
      </c>
      <c r="AF223" s="88" t="str">
        <f>astrogrep_path&amp;" /spath="&amp;search_path&amp;" /stypes=""app*"&amp;B223&amp;"*"&amp;TEXT(I223-utc_offset/24,"YYYYMMDD")&amp;"*"" /stext="" "&amp;TEXT(I223-utc_offset/24,"HH")&amp;search_regexp&amp;""" /e /r /s"</f>
        <v>"C:\Program Files (x86)\AstroGrep\AstroGrep.exe" /spath="%USERPROFILE%\AppData\Local\Temp\OnboardLogs" /stypes="app*4029*20161014*" /stext=" 00:.+((SYSTEM_STATE.+slice.+state.+changed )|(ment ac)|(system.+state.+changed )|(\[timeout)|(PRM\|1\|D)|(kpr)|(kdp)|(\|lc)|(penalty))" /e /r /s</v>
      </c>
      <c r="AG223" s="1" t="str">
        <f>IFERROR(IF(VALUE(LEFT(AD223,2))&lt;=2,"EC",IF(OR(VALUE(LEFT(AD223,2))=8,VALUE(LEFT(AD223,2))=18),"NW","Other")),"Other")</f>
        <v>Other</v>
      </c>
      <c r="AH223" s="92" t="str">
        <f t="shared" si="20"/>
        <v>"%USERPROFILE%\Documents\GitHub\eaglep3\Utilities\RefineRTDCRunTimes.py" --tripid 53-13 --locoid 4029 --swversion DE.1.0.7.0 --startMP 204:1156 --initTime 2016-10-13T17:58:50 --startdatetime 2016-10-13T18:24:29 --delay 1 --endMP 204:1156 --enddatetime 2016-10-13T18:31:46 --enforcementcount 1 &gt;&gt;C:\Users\stu\Documents\GitHub\eaglep3-reporting\EC\2016-10-13-refined-times.txt</v>
      </c>
      <c r="AI223" s="122" t="str">
        <f t="shared" si="21"/>
        <v>echo {"issue":{"subject":"","project_id":79,"tracker_id":40,"status_id":1,"priority_id":2,"assigned_to_id":23,"start_date":"2016-10-13","description":"","custom_fields":[{"id":1,"name":"Subdivision","value":"Other"},{"id":4,"name":"Milepost","value":"0.1156"},{"id":17,"name":"Train ID","value":"53-13"},{"id":16,"name":"Locomotive ID","value":"4029"},{"id":130,"name":"Impact","value":""},{"id":150,"name":"Time of Event (Mountain Time)","value":"18:31:46"},{"id":151,"name":"Denver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38" x14ac:dyDescent="0.25">
      <c r="A224" s="37" t="s">
        <v>561</v>
      </c>
      <c r="B224" s="7">
        <v>4019</v>
      </c>
      <c r="C224" s="22" t="s">
        <v>99</v>
      </c>
      <c r="D224" s="22" t="s">
        <v>689</v>
      </c>
      <c r="E224" s="13">
        <v>42656.750833333332</v>
      </c>
      <c r="F224" s="13">
        <v>42656.752511574072</v>
      </c>
      <c r="G224" s="7">
        <v>1</v>
      </c>
      <c r="H224" s="13" t="s">
        <v>701</v>
      </c>
      <c r="I224" s="13">
        <v>42656.75990740741</v>
      </c>
      <c r="J224" s="7">
        <v>1</v>
      </c>
      <c r="K224" s="112" t="str">
        <f>IF(ISEVEN(B224),(B224-1)&amp;"/"&amp;B224,B224&amp;"/"&amp;(B224+1))</f>
        <v>4019/4020</v>
      </c>
      <c r="L224" s="22" t="str">
        <f>VLOOKUP(A224,'Trips&amp;Operators'!$C$1:$E$10000,3,FALSE)</f>
        <v>STURGEON</v>
      </c>
      <c r="M224" s="6">
        <f>I224-F224</f>
        <v>7.3958333377959207E-3</v>
      </c>
      <c r="N224" s="7">
        <f>24*60*SUM($M224:$M224)</f>
        <v>10.650000006426126</v>
      </c>
      <c r="O224" s="7"/>
      <c r="P224" s="7"/>
      <c r="Q224" s="23"/>
      <c r="R224" s="23"/>
      <c r="S224" s="35">
        <f>SUM(U224:U224)/IF(AG224="EC",12,1)</f>
        <v>0</v>
      </c>
      <c r="T224" s="50" t="e">
        <f>IF(ISEVEN(LEFT(AD224,4)),"Southbound","NorthBound")</f>
        <v>#VALUE!</v>
      </c>
      <c r="U224" s="144">
        <f>IF(AG224="EC",COUNTIFS(Variables!$M$2:$M$19,IF(T224="NorthBound","&gt;=","&lt;=")&amp;Y224,Variables!$M$2:$M$19,IF(T224="NorthBound","&lt;=","&gt;=")&amp;Z224),COUNTIFS(Variables!$P$2:$P$19,IF(T224="NorthBound","&gt;=","&lt;=")&amp;Y224,Variables!$P$2:$P$19,IF(T224="NorthBound","&lt;=","&gt;=")&amp;Z224))</f>
        <v>0</v>
      </c>
      <c r="V224" s="98" t="str">
        <f>"https://search-rtdc-monitor-bjffxe2xuh6vdkpspy63sjmuny.us-east-1.es.amazonaws.com/_plugin/kibana/#/discover/Steve-Slow-Train-Analysis-(2080s-and-2083s)?_g=(refreshInterval:(display:Off,section:0,value:0),time:(from:'"&amp;TEXT(E224-1/24,"yyyy-MM-DD hh:mm:ss")&amp;"-0600',mode:absolute,to:'"&amp;TEXT(I224+1/24,"yyyy-MM-DD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224&amp;"%22')),sort:!(Time,asc))"</f>
        <v>https://search-rtdc-monitor-bjffxe2xuh6vdkpspy63sjmuny.us-east-1.es.amazonaws.com/_plugin/kibana/#/discover/Steve-Slow-Train-Analysis-(2080s-and-2083s)?_g=(refreshInterval:(display:Off,section:0,value:0),time:(from:'2016-10-13 17:01:12-0600',mode:absolute,to:'2016-10-13 19:14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24" s="52" t="str">
        <f>IF(AA224&lt;IF(AG224="EC",23,5.65),"Y","N")</f>
        <v>Y</v>
      </c>
      <c r="X224" s="149" t="e">
        <f>VALUE(LEFT(AD224,4))-VALUE(LEFT(AD223,4))</f>
        <v>#VALUE!</v>
      </c>
      <c r="Y224" s="67">
        <f>RIGHT(D224,LEN(D224)-4)/10000</f>
        <v>2.3374000000000001</v>
      </c>
      <c r="Z224" s="67">
        <f>RIGHT(H224,LEN(H224)-4)/10000</f>
        <v>5.1299999999999998E-2</v>
      </c>
      <c r="AA224" s="67">
        <f>ABS(Z224-Y224)</f>
        <v>2.2861000000000002</v>
      </c>
      <c r="AB224" s="64" t="e">
        <f>VLOOKUP(A224,Enforcements!$C$7:$K$21,8,0)</f>
        <v>#N/A</v>
      </c>
      <c r="AC224" s="60" t="e">
        <f>VLOOKUP(A224,Enforcements!$C$7:$E$21,3,0)</f>
        <v>#N/A</v>
      </c>
      <c r="AD224" s="61" t="str">
        <f>IF(LEN(A224)=6,"0"&amp;A224,A224)</f>
        <v>54-13</v>
      </c>
      <c r="AE224" s="91" t="str">
        <f>"aws s3 cp "&amp;s3_bucket&amp;"/RTDC"&amp;B224&amp;"/ "&amp;search_path&amp;"\RTDC"&amp;B224&amp;"\"&amp;TEXT(F224,"YYYY-MM-DD")&amp;" --exclude ""*"" --recursive --include ""*"&amp;TEXT(F224,"YYYYMMDD")&amp;"*"" &amp; """&amp;walkandungz&amp;""" "&amp;search_path&amp;"\RTDC"&amp;B224&amp;"\"&amp;TEXT(F224,"YYYY-MM-DD")
&amp;" &amp; "&amp;"aws s3 cp "&amp;s3_bucket&amp;"/RTDC"&amp;B224&amp;"/ "&amp;search_path&amp;"\RTDC"&amp;B224&amp;"\"&amp;TEXT(F224+1,"YYYY-MM-DD")&amp;" --exclude ""*"" --recursive --include ""*"&amp;TEXT(F224+1,"YYYYMMDD")&amp;"*"" &amp; """&amp;walkandungz&amp;""" "&amp;search_path&amp;"\RTDC"&amp;B224&amp;"\"&amp;TEXT(F224+1,"YYYY-MM-DD")</f>
        <v>aws s3 cp s3://rtdc.mdm.uploadarchive.raw/RTDC4019/ "%USERPROFILE%\AppData\Local\Temp\OnboardLogs"\RTDC4019\2016-10-13 --exclude "*" --recursive --include "*20161013*" &amp; "%USERPROFILE%\Documents\GitHub\mrs-test-scripts\Headless Mode &amp; Sideloading\WalkAndUnGZ.bat" "%USERPROFILE%\AppData\Local\Temp\OnboardLogs"\RTDC4019\2016-10-13 &amp; aws s3 cp s3://rtdc.mdm.uploadarchive.raw/RTDC4019/ "%USERPROFILE%\AppData\Local\Temp\OnboardLogs"\RTDC4019\2016-10-14 --exclude "*" --recursive --include "*20161014*" &amp; "%USERPROFILE%\Documents\GitHub\mrs-test-scripts\Headless Mode &amp; Sideloading\WalkAndUnGZ.bat" "%USERPROFILE%\AppData\Local\Temp\OnboardLogs"\RTDC4019\2016-10-14</v>
      </c>
      <c r="AF224" s="88" t="str">
        <f>astrogrep_path&amp;" /spath="&amp;search_path&amp;" /stypes=""app*"&amp;B224&amp;"*"&amp;TEXT(I224-utc_offset/24,"YYYYMMDD")&amp;"*"" /stext="" "&amp;TEXT(I224-utc_offset/24,"HH")&amp;search_regexp&amp;""" /e /r /s"</f>
        <v>"C:\Program Files (x86)\AstroGrep\AstroGrep.exe" /spath="%USERPROFILE%\AppData\Local\Temp\OnboardLogs" /stypes="app*4019*20161014*" /stext=" 00:.+((SYSTEM_STATE.+slice.+state.+changed )|(ment ac)|(system.+state.+changed )|(\[timeout)|(PRM\|1\|D)|(kpr)|(kdp)|(\|lc)|(penalty))" /e /r /s</v>
      </c>
      <c r="AG224" s="1" t="str">
        <f>IFERROR(IF(VALUE(LEFT(AD224,2))&lt;=2,"EC",IF(OR(VALUE(LEFT(AD224,2))=8,VALUE(LEFT(AD224,2))=18),"NW","Other")),"Other")</f>
        <v>Other</v>
      </c>
      <c r="AH224" s="92" t="str">
        <f t="shared" si="20"/>
        <v>"%USERPROFILE%\Documents\GitHub\eaglep3\Utilities\RefineRTDCRunTimes.py" --tripid 54-13 --locoid 4019 --swversion DE.1.0.7.0 --startMP 300:23374 --initTime 2016-10-13T18:01:12 --startdatetime 2016-10-13T18:03:37 --delay 1 --endMP 204:513 --enddatetime 2016-10-13T18:14:16 --enforcementcount 1 &gt;&gt;C:\Users\stu\Documents\GitHub\eaglep3-reporting\EC\2016-10-13-refined-times.txt</v>
      </c>
      <c r="AI224" s="122" t="str">
        <f t="shared" si="21"/>
        <v>echo {"issue":{"subject":"","project_id":79,"tracker_id":40,"status_id":1,"priority_id":2,"assigned_to_id":23,"start_date":"2016-10-13","description":"","custom_fields":[{"id":1,"name":"Subdivision","value":"Other"},{"id":4,"name":"Milepost","value":"0.0513"},{"id":17,"name":"Train ID","value":"54-13"},{"id":16,"name":"Locomotive ID","value":"4019"},{"id":130,"name":"Impact","value":""},{"id":150,"name":"Time of Event (Mountain Time)","value":"18:14:16"},{"id":151,"name":"Denver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563</v>
      </c>
      <c r="B225" s="7">
        <v>4020</v>
      </c>
      <c r="C225" s="22" t="s">
        <v>99</v>
      </c>
      <c r="D225" s="22" t="s">
        <v>702</v>
      </c>
      <c r="E225" s="13">
        <v>42656.761979166666</v>
      </c>
      <c r="F225" s="13">
        <v>25568.708333333332</v>
      </c>
      <c r="G225" s="7">
        <v>1</v>
      </c>
      <c r="H225" s="13" t="s">
        <v>703</v>
      </c>
      <c r="I225" s="13">
        <v>25568.708333333332</v>
      </c>
      <c r="J225" s="7">
        <v>1</v>
      </c>
      <c r="K225" s="112" t="str">
        <f>IF(ISEVEN(B225),(B225-1)&amp;"/"&amp;B225,B225&amp;"/"&amp;(B225+1))</f>
        <v>4019/4020</v>
      </c>
      <c r="L225" s="22" t="str">
        <f>VLOOKUP(A225,'Trips&amp;Operators'!$C$1:$E$10000,3,FALSE)</f>
        <v>STAMBAUGH</v>
      </c>
      <c r="M225" s="6">
        <f>I225-F225</f>
        <v>0</v>
      </c>
      <c r="N225" s="7">
        <f>24*60*SUM($M225:$M225)</f>
        <v>0</v>
      </c>
      <c r="O225" s="7"/>
      <c r="P225" s="7"/>
      <c r="Q225" s="23"/>
      <c r="R225" s="23"/>
      <c r="S225" s="35">
        <f>SUM(U225:U225)/IF(AG225="EC",12,1)</f>
        <v>0</v>
      </c>
      <c r="T225" s="50" t="e">
        <f>IF(ISEVEN(LEFT(AD225,4)),"Southbound","NorthBound")</f>
        <v>#VALUE!</v>
      </c>
      <c r="U225" s="144">
        <f>IF(AG225="EC",COUNTIFS(Variables!$M$2:$M$19,IF(T225="NorthBound","&gt;=","&lt;=")&amp;Y225,Variables!$M$2:$M$19,IF(T225="NorthBound","&lt;=","&gt;=")&amp;Z225),COUNTIFS(Variables!$P$2:$P$19,IF(T225="NorthBound","&gt;=","&lt;=")&amp;Y225,Variables!$P$2:$P$19,IF(T225="NorthBound","&lt;=","&gt;=")&amp;Z225))</f>
        <v>0</v>
      </c>
      <c r="V225" s="98" t="str">
        <f>"https://search-rtdc-monitor-bjffxe2xuh6vdkpspy63sjmuny.us-east-1.es.amazonaws.com/_plugin/kibana/#/discover/Steve-Slow-Train-Analysis-(2080s-and-2083s)?_g=(refreshInterval:(display:Off,section:0,value:0),time:(from:'"&amp;TEXT(E225-1/24,"yyyy-MM-DD hh:mm:ss")&amp;"-0600',mode:absolute,to:'"&amp;TEXT(I225+1/24,"yyyy-MM-DD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225&amp;"%22')),sort:!(Time,asc))"</f>
        <v>https://search-rtdc-monitor-bjffxe2xuh6vdkpspy63sjmuny.us-east-1.es.amazonaws.com/_plugin/kibana/#/discover/Steve-Slow-Train-Analysis-(2080s-and-2083s)?_g=(refreshInterval:(display:Off,section:0,value:0),time:(from:'2016-10-13 17:17:15-0600',mode:absolute,to:'1969-12-31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25" s="52" t="str">
        <f>IF(AA225&lt;IF(AG225="EC",23,5.65),"Y","N")</f>
        <v>Y</v>
      </c>
      <c r="X225" s="149" t="e">
        <f>VALUE(LEFT(AD225,4))-VALUE(LEFT(AD224,4))</f>
        <v>#VALUE!</v>
      </c>
      <c r="Y225" s="67">
        <f>RIGHT(D225,LEN(D225)-4)/10000</f>
        <v>8.6599999999999996E-2</v>
      </c>
      <c r="Z225" s="67">
        <f>RIGHT(H225,LEN(H225)-4)/10000</f>
        <v>2.4226000000000001</v>
      </c>
      <c r="AA225" s="67">
        <f>ABS(Z225-Y225)</f>
        <v>2.3360000000000003</v>
      </c>
      <c r="AB225" s="64" t="e">
        <f>VLOOKUP(A225,Enforcements!$C$7:$K$21,8,0)</f>
        <v>#N/A</v>
      </c>
      <c r="AC225" s="60" t="e">
        <f>VLOOKUP(A225,Enforcements!$C$7:$E$21,3,0)</f>
        <v>#N/A</v>
      </c>
      <c r="AD225" s="61" t="str">
        <f>IF(LEN(A225)=6,"0"&amp;A225,A225)</f>
        <v>63-13</v>
      </c>
      <c r="AE225" s="91" t="str">
        <f>"aws s3 cp "&amp;s3_bucket&amp;"/RTDC"&amp;B225&amp;"/ "&amp;search_path&amp;"\RTDC"&amp;B225&amp;"\"&amp;TEXT(F225,"YYYY-MM-DD")&amp;" --exclude ""*"" --recursive --include ""*"&amp;TEXT(F225,"YYYYMMDD")&amp;"*"" &amp; """&amp;walkandungz&amp;""" "&amp;search_path&amp;"\RTDC"&amp;B225&amp;"\"&amp;TEXT(F225,"YYYY-MM-DD")
&amp;" &amp; "&amp;"aws s3 cp "&amp;s3_bucket&amp;"/RTDC"&amp;B225&amp;"/ "&amp;search_path&amp;"\RTDC"&amp;B225&amp;"\"&amp;TEXT(F225+1,"YYYY-MM-DD")&amp;" --exclude ""*"" --recursive --include ""*"&amp;TEXT(F225+1,"YYYYMMDD")&amp;"*"" &amp; """&amp;walkandungz&amp;""" "&amp;search_path&amp;"\RTDC"&amp;B225&amp;"\"&amp;TEXT(F225+1,"YYYY-MM-DD")</f>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25" s="88" t="str">
        <f>astrogrep_path&amp;" /spath="&amp;search_path&amp;" /stypes=""app*"&amp;B225&amp;"*"&amp;TEXT(I225-utc_offset/24,"YYYYMMDD")&amp;"*"" /stext="" "&amp;TEXT(I225-utc_offset/24,"HH")&amp;search_regexp&amp;""" /e /r /s"</f>
        <v>"C:\Program Files (x86)\AstroGrep\AstroGrep.exe" /spath="%USERPROFILE%\AppData\Local\Temp\OnboardLogs" /stypes="app*4020*19691231*" /stext=" 23:.+((SYSTEM_STATE.+slice.+state.+changed )|(ment ac)|(system.+state.+changed )|(\[timeout)|(PRM\|1\|D)|(kpr)|(kdp)|(\|lc)|(penalty))" /e /r /s</v>
      </c>
      <c r="AG225" s="1" t="str">
        <f>IFERROR(IF(VALUE(LEFT(AD225,2))&lt;=2,"EC",IF(OR(VALUE(LEFT(AD225,2))=8,VALUE(LEFT(AD225,2))=18),"NW","Other")),"Other")</f>
        <v>Other</v>
      </c>
      <c r="AH225" s="92" t="str">
        <f t="shared" si="20"/>
        <v>"%USERPROFILE%\Documents\GitHub\eaglep3\Utilities\RefineRTDCRunTimes.py" --tripid 63-13 --locoid 4020 --swversion DE.1.0.7.0 --startMP 204:866 --initTime 2016-10-13T18:17:15 --startdatetime 1969-12-31T17:00:00 --delay 1 --endMP 300:24226 --enddatetime 1969-12-31T17:00:00 --enforcementcount 1 &gt;&gt;C:\Users\stu\Documents\GitHub\eaglep3-reporting\EC\2016-10-13-refined-times.txt</v>
      </c>
      <c r="AI225" s="122" t="str">
        <f t="shared" si="21"/>
        <v>echo {"issue":{"subject":"","project_id":79,"tracker_id":40,"status_id":1,"priority_id":2,"assigned_to_id":23,"start_date":"1969-12-31","description":"","custom_fields":[{"id":1,"name":"Subdivision","value":"Other"},{"id":4,"name":"Milepost","value":"2.4226"},{"id":17,"name":"Train ID","value":"63-13"},{"id":16,"name":"Locomotive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567</v>
      </c>
      <c r="B226" s="7">
        <v>4027</v>
      </c>
      <c r="C226" s="22" t="s">
        <v>99</v>
      </c>
      <c r="D226" s="22" t="s">
        <v>704</v>
      </c>
      <c r="E226" s="13">
        <v>42656.774375000001</v>
      </c>
      <c r="F226" s="13">
        <v>25568.708333333332</v>
      </c>
      <c r="G226" s="7">
        <v>1</v>
      </c>
      <c r="H226" s="13" t="s">
        <v>705</v>
      </c>
      <c r="I226" s="13">
        <v>25568.708333333332</v>
      </c>
      <c r="J226" s="7">
        <v>1</v>
      </c>
      <c r="K226" s="112" t="str">
        <f>IF(ISEVEN(B226),(B226-1)&amp;"/"&amp;B226,B226&amp;"/"&amp;(B226+1))</f>
        <v>4027/4028</v>
      </c>
      <c r="L226" s="22" t="str">
        <f>VLOOKUP(A226,'Trips&amp;Operators'!$C$1:$E$10000,3,FALSE)</f>
        <v>MOSES</v>
      </c>
      <c r="M226" s="6">
        <f>I226-F226</f>
        <v>0</v>
      </c>
      <c r="N226" s="7">
        <f>24*60*SUM($M226:$M226)</f>
        <v>0</v>
      </c>
      <c r="O226" s="7"/>
      <c r="P226" s="7"/>
      <c r="Q226" s="23"/>
      <c r="R226" s="23"/>
      <c r="S226" s="35">
        <f>SUM(U226:U226)/IF(AG226="EC",12,1)</f>
        <v>0</v>
      </c>
      <c r="T226" s="50" t="e">
        <f>IF(ISEVEN(LEFT(AD226,4)),"Southbound","NorthBound")</f>
        <v>#VALUE!</v>
      </c>
      <c r="U226" s="144">
        <f>IF(AG226="EC",COUNTIFS(Variables!$M$2:$M$19,IF(T226="NorthBound","&gt;=","&lt;=")&amp;Y226,Variables!$M$2:$M$19,IF(T226="NorthBound","&lt;=","&gt;=")&amp;Z226),COUNTIFS(Variables!$P$2:$P$19,IF(T226="NorthBound","&gt;=","&lt;=")&amp;Y226,Variables!$P$2:$P$19,IF(T226="NorthBound","&lt;=","&gt;=")&amp;Z226))</f>
        <v>0</v>
      </c>
      <c r="V226" s="98" t="str">
        <f>"https://search-rtdc-monitor-bjffxe2xuh6vdkpspy63sjmuny.us-east-1.es.amazonaws.com/_plugin/kibana/#/discover/Steve-Slow-Train-Analysis-(2080s-and-2083s)?_g=(refreshInterval:(display:Off,section:0,value:0),time:(from:'"&amp;TEXT(E226-1/24,"yyyy-MM-DD hh:mm:ss")&amp;"-0600',mode:absolute,to:'"&amp;TEXT(I226+1/24,"yyyy-MM-DD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226&amp;"%22')),sort:!(Time,asc))"</f>
        <v>https://search-rtdc-monitor-bjffxe2xuh6vdkpspy63sjmuny.us-east-1.es.amazonaws.com/_plugin/kibana/#/discover/Steve-Slow-Train-Analysis-(2080s-and-2083s)?_g=(refreshInterval:(display:Off,section:0,value:0),time:(from:'2016-10-13 17:35:06-0600',mode:absolute,to:'1969-12-31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26" s="52" t="str">
        <f>IF(AA226&lt;IF(AG226="EC",23,5.65),"Y","N")</f>
        <v>Y</v>
      </c>
      <c r="X226" s="149" t="e">
        <f>VALUE(LEFT(AD226,4))-VALUE(LEFT(AD225,4))</f>
        <v>#VALUE!</v>
      </c>
      <c r="Y226" s="67">
        <f>RIGHT(D226,LEN(D226)-4)/10000</f>
        <v>4.3200000000000002E-2</v>
      </c>
      <c r="Z226" s="67">
        <f>RIGHT(H226,LEN(H226)-4)/10000</f>
        <v>2.4222000000000001</v>
      </c>
      <c r="AA226" s="67">
        <f>ABS(Z226-Y226)</f>
        <v>2.379</v>
      </c>
      <c r="AB226" s="64" t="e">
        <f>VLOOKUP(A226,Enforcements!$C$7:$K$21,8,0)</f>
        <v>#N/A</v>
      </c>
      <c r="AC226" s="60" t="e">
        <f>VLOOKUP(A226,Enforcements!$C$7:$E$21,3,0)</f>
        <v>#N/A</v>
      </c>
      <c r="AD226" s="61" t="str">
        <f>IF(LEN(A226)=6,"0"&amp;A226,A226)</f>
        <v>65-13</v>
      </c>
      <c r="AE226" s="91" t="str">
        <f>"aws s3 cp "&amp;s3_bucket&amp;"/RTDC"&amp;B226&amp;"/ "&amp;search_path&amp;"\RTDC"&amp;B226&amp;"\"&amp;TEXT(F226,"YYYY-MM-DD")&amp;" --exclude ""*"" --recursive --include ""*"&amp;TEXT(F226,"YYYYMMDD")&amp;"*"" &amp; """&amp;walkandungz&amp;""" "&amp;search_path&amp;"\RTDC"&amp;B226&amp;"\"&amp;TEXT(F226,"YYYY-MM-DD")
&amp;" &amp; "&amp;"aws s3 cp "&amp;s3_bucket&amp;"/RTDC"&amp;B226&amp;"/ "&amp;search_path&amp;"\RTDC"&amp;B226&amp;"\"&amp;TEXT(F226+1,"YYYY-MM-DD")&amp;" --exclude ""*"" --recursive --include ""*"&amp;TEXT(F226+1,"YYYYMMDD")&amp;"*"" &amp; """&amp;walkandungz&amp;""" "&amp;search_path&amp;"\RTDC"&amp;B226&amp;"\"&amp;TEXT(F226+1,"YYYY-MM-DD")</f>
        <v>aws s3 cp s3://rtdc.mdm.uploadarchive.raw/RTDC4027/ "%USERPROFILE%\AppData\Local\Temp\OnboardLogs"\RTDC4027\1969-12-31 --exclude "*" --recursive --include "*19691231*" &amp; "%USERPROFILE%\Documents\GitHub\mrs-test-scripts\Headless Mode &amp; Sideloading\WalkAndUnGZ.bat" "%USERPROFILE%\AppData\Local\Temp\OnboardLogs"\RTDC4027\1969-12-31 &amp; aws s3 cp s3://rtdc.mdm.uploadarchive.raw/RTDC4027/ "%USERPROFILE%\AppData\Local\Temp\OnboardLogs"\RTDC4027\1970-01-01 --exclude "*" --recursive --include "*19700101*" &amp; "%USERPROFILE%\Documents\GitHub\mrs-test-scripts\Headless Mode &amp; Sideloading\WalkAndUnGZ.bat" "%USERPROFILE%\AppData\Local\Temp\OnboardLogs"\RTDC4027\1970-01-01</v>
      </c>
      <c r="AF226" s="88" t="str">
        <f>astrogrep_path&amp;" /spath="&amp;search_path&amp;" /stypes=""app*"&amp;B226&amp;"*"&amp;TEXT(I226-utc_offset/24,"YYYYMMDD")&amp;"*"" /stext="" "&amp;TEXT(I226-utc_offset/24,"HH")&amp;search_regexp&amp;""" /e /r /s"</f>
        <v>"C:\Program Files (x86)\AstroGrep\AstroGrep.exe" /spath="%USERPROFILE%\AppData\Local\Temp\OnboardLogs" /stypes="app*4027*19691231*" /stext=" 23:.+((SYSTEM_STATE.+slice.+state.+changed )|(ment ac)|(system.+state.+changed )|(\[timeout)|(PRM\|1\|D)|(kpr)|(kdp)|(\|lc)|(penalty))" /e /r /s</v>
      </c>
      <c r="AG226" s="1" t="str">
        <f>IFERROR(IF(VALUE(LEFT(AD226,2))&lt;=2,"EC",IF(OR(VALUE(LEFT(AD226,2))=8,VALUE(LEFT(AD226,2))=18),"NW","Other")),"Other")</f>
        <v>Other</v>
      </c>
      <c r="AH226" s="92" t="str">
        <f t="shared" si="20"/>
        <v>"%USERPROFILE%\Documents\GitHub\eaglep3\Utilities\RefineRTDCRunTimes.py" --tripid 65-13 --locoid 4027 --swversion DE.1.0.7.0 --startMP 204:432 --initTime 2016-10-13T18:35:06 --startdatetime 1969-12-31T17:00:00 --delay 1 --endMP 300:24222 --enddatetime 1969-12-31T17:00:00 --enforcementcount 1 &gt;&gt;C:\Users\stu\Documents\GitHub\eaglep3-reporting\EC\2016-10-13-refined-times.txt</v>
      </c>
      <c r="AI226" s="122" t="str">
        <f t="shared" si="21"/>
        <v>echo {"issue":{"subject":"","project_id":79,"tracker_id":40,"status_id":1,"priority_id":2,"assigned_to_id":23,"start_date":"1969-12-31","description":"","custom_fields":[{"id":1,"name":"Subdivision","value":"Other"},{"id":4,"name":"Milepost","value":"2.4222"},{"id":17,"name":"Train ID","value":"65-13"},{"id":16,"name":"Locomotive ID","value":"4027"},{"id":130,"name":"Impact","value":""},{"id":150,"name":"Time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c r="B227"/>
      <c r="C227"/>
      <c r="D227"/>
      <c r="E227"/>
      <c r="F227"/>
      <c r="G227"/>
      <c r="H227"/>
      <c r="I227"/>
      <c r="J227"/>
      <c r="K227"/>
      <c r="L227"/>
      <c r="M227"/>
      <c r="N227"/>
      <c r="O227"/>
      <c r="P227"/>
      <c r="S227"/>
      <c r="U227"/>
      <c r="V227"/>
      <c r="W227"/>
      <c r="X227"/>
      <c r="Y227"/>
      <c r="Z227"/>
      <c r="AA227"/>
      <c r="AB227"/>
      <c r="AC227"/>
      <c r="AD227"/>
      <c r="AE227"/>
      <c r="AF227"/>
      <c r="AH227"/>
      <c r="AI227"/>
    </row>
    <row r="228" spans="1:38" x14ac:dyDescent="0.25">
      <c r="A228"/>
      <c r="B228"/>
      <c r="C228"/>
      <c r="D228"/>
      <c r="E228"/>
      <c r="F228"/>
      <c r="G228"/>
      <c r="H228"/>
      <c r="I228"/>
      <c r="J228"/>
      <c r="K228"/>
      <c r="L228"/>
      <c r="M228"/>
      <c r="N228"/>
      <c r="O228"/>
      <c r="P228"/>
      <c r="S228"/>
      <c r="U228"/>
      <c r="V228"/>
      <c r="W228"/>
      <c r="X228"/>
      <c r="Y228"/>
      <c r="Z228"/>
      <c r="AA228"/>
      <c r="AB228"/>
      <c r="AC228"/>
      <c r="AD228"/>
      <c r="AE228"/>
      <c r="AF228"/>
      <c r="AH228"/>
      <c r="AI228"/>
    </row>
    <row r="229" spans="1:38" x14ac:dyDescent="0.25">
      <c r="A229"/>
      <c r="B229"/>
      <c r="C229"/>
      <c r="D229"/>
      <c r="E229"/>
      <c r="F229"/>
      <c r="G229"/>
      <c r="H229"/>
      <c r="I229"/>
      <c r="J229"/>
      <c r="K229"/>
      <c r="L229"/>
      <c r="M229"/>
      <c r="N229"/>
      <c r="O229"/>
      <c r="P229"/>
      <c r="S229"/>
      <c r="U229"/>
      <c r="V229"/>
      <c r="W229"/>
      <c r="X229"/>
      <c r="Y229"/>
      <c r="Z229"/>
      <c r="AA229"/>
      <c r="AB229"/>
      <c r="AC229"/>
      <c r="AD229"/>
      <c r="AE229"/>
      <c r="AF229"/>
      <c r="AH229"/>
      <c r="AI229"/>
    </row>
    <row r="230" spans="1:38" x14ac:dyDescent="0.25">
      <c r="A230"/>
      <c r="B230"/>
      <c r="C230"/>
      <c r="D230"/>
      <c r="E230"/>
      <c r="F230"/>
      <c r="G230"/>
      <c r="H230"/>
      <c r="I230"/>
      <c r="J230"/>
      <c r="K230"/>
      <c r="L230"/>
      <c r="M230"/>
      <c r="N230"/>
      <c r="O230"/>
      <c r="P230"/>
      <c r="S230"/>
      <c r="U230"/>
      <c r="V230"/>
      <c r="W230"/>
      <c r="X230"/>
      <c r="Y230"/>
      <c r="Z230"/>
      <c r="AA230"/>
      <c r="AB230"/>
      <c r="AC230"/>
      <c r="AD230"/>
      <c r="AE230"/>
      <c r="AF230"/>
      <c r="AH230"/>
      <c r="AI230"/>
    </row>
    <row r="231" spans="1:38" x14ac:dyDescent="0.25">
      <c r="A231"/>
      <c r="B231"/>
      <c r="C231"/>
      <c r="D231"/>
      <c r="E231"/>
      <c r="F231"/>
      <c r="G231"/>
      <c r="H231"/>
      <c r="I231"/>
      <c r="J231"/>
      <c r="K231"/>
      <c r="L231"/>
      <c r="M231"/>
      <c r="N231"/>
      <c r="O231"/>
      <c r="P231"/>
      <c r="S231"/>
      <c r="U231"/>
      <c r="V231"/>
      <c r="W231"/>
      <c r="X231"/>
      <c r="Y231"/>
      <c r="Z231"/>
      <c r="AA231"/>
      <c r="AB231"/>
      <c r="AC231"/>
      <c r="AD231"/>
      <c r="AE231"/>
      <c r="AF231"/>
      <c r="AH231"/>
      <c r="AI231"/>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sheetData>
  <autoFilter ref="A12:AG257"/>
  <sortState ref="A13:AH200">
    <sortCondition ref="AG13:AG200"/>
    <sortCondition ref="AD13:AD200"/>
  </sortState>
  <mergeCells count="1">
    <mergeCell ref="A11:P11"/>
  </mergeCells>
  <conditionalFormatting sqref="W11:W12 W258:X1048576 W13:X226">
    <cfRule type="cellIs" dxfId="35" priority="344" operator="equal">
      <formula>"Y"</formula>
    </cfRule>
  </conditionalFormatting>
  <conditionalFormatting sqref="X258:X1048576 X13:X226">
    <cfRule type="cellIs" dxfId="34" priority="327" operator="greaterThan">
      <formula>1</formula>
    </cfRule>
  </conditionalFormatting>
  <conditionalFormatting sqref="X258:X1048576 X12:X226">
    <cfRule type="cellIs" dxfId="33" priority="324" operator="equal">
      <formula>0</formula>
    </cfRule>
  </conditionalFormatting>
  <conditionalFormatting sqref="A13:S226">
    <cfRule type="expression" dxfId="32" priority="318" stopIfTrue="1">
      <formula>$P13&gt;0</formula>
    </cfRule>
    <cfRule type="expression" dxfId="31"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A13:S226</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AK13:AK226</xm:sqref>
        </x14:dataValidation>
        <x14:dataValidation type="list" allowBlank="1" showInputMessage="1" showErrorMessage="1">
          <x14:formula1>
            <xm:f>'Redmine List Values'!$C$2:$C$14</xm:f>
          </x14:formula1>
          <xm:sqref>AL13:AL226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7"/>
  <sheetViews>
    <sheetView topLeftCell="A2" workbookViewId="0">
      <selection activeCell="A2" sqref="A2"/>
    </sheetView>
  </sheetViews>
  <sheetFormatPr defaultRowHeight="15" x14ac:dyDescent="0.25"/>
  <cols>
    <col min="1" max="1" width="18.28515625" style="8" bestFit="1" customWidth="1"/>
    <col min="2" max="2" width="15" customWidth="1"/>
    <col min="3" max="3" width="8.28515625" customWidth="1"/>
    <col min="4" max="4" width="13.140625" style="142" customWidth="1"/>
    <col min="5" max="5" width="18.5703125" style="142" customWidth="1"/>
    <col min="6" max="6" width="5.7109375" style="142" customWidth="1"/>
    <col min="7" max="7" width="5.85546875" style="142" customWidth="1"/>
    <col min="8" max="8" width="7.85546875" style="142" customWidth="1"/>
    <col min="9" max="9" width="9" style="142" customWidth="1"/>
    <col min="10" max="10" width="11.5703125" style="142" hidden="1" customWidth="1"/>
    <col min="11" max="11" width="9.140625" style="142" customWidth="1"/>
    <col min="12" max="12" width="7.85546875" style="142" customWidth="1"/>
    <col min="13" max="13" width="7.85546875" style="2" customWidth="1"/>
    <col min="14" max="14" width="11.85546875" style="138" customWidth="1"/>
    <col min="15" max="15" width="5.140625" style="142" customWidth="1"/>
    <col min="16" max="16" width="30.7109375" style="142"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55" customWidth="1"/>
  </cols>
  <sheetData>
    <row r="1" spans="1:29" s="21" customFormat="1" ht="15.75" hidden="1" thickBot="1" x14ac:dyDescent="0.3">
      <c r="A1" s="8"/>
      <c r="D1" s="142"/>
      <c r="E1" s="142"/>
      <c r="F1" s="142"/>
      <c r="G1" s="142"/>
      <c r="H1" s="142"/>
      <c r="I1" s="142"/>
      <c r="J1" s="142"/>
      <c r="K1" s="142"/>
      <c r="L1" s="142"/>
      <c r="M1" s="2"/>
      <c r="N1" s="138"/>
      <c r="O1" s="142"/>
      <c r="P1" s="142"/>
      <c r="R1" s="89"/>
      <c r="S1" s="101"/>
      <c r="T1" s="86"/>
      <c r="V1" s="48"/>
      <c r="AC1" s="155"/>
    </row>
    <row r="2" spans="1:29" s="21" customFormat="1" x14ac:dyDescent="0.25">
      <c r="A2" s="8"/>
      <c r="D2" s="142"/>
      <c r="E2" s="142"/>
      <c r="F2" s="142"/>
      <c r="G2" s="142"/>
      <c r="H2" s="142"/>
      <c r="I2" s="142"/>
      <c r="J2" s="142"/>
      <c r="K2" s="142"/>
      <c r="L2" s="165" t="s">
        <v>80</v>
      </c>
      <c r="M2" s="134"/>
      <c r="N2" s="166"/>
      <c r="O2" s="151">
        <f>COUNTIF($O$7:$O$369,"=Y")</f>
        <v>4</v>
      </c>
      <c r="P2" s="136"/>
      <c r="R2" s="89"/>
      <c r="S2" s="101"/>
      <c r="T2" s="86"/>
      <c r="V2" s="48"/>
      <c r="AC2" s="156"/>
    </row>
    <row r="3" spans="1:29" s="21" customFormat="1" ht="15.75" thickBot="1" x14ac:dyDescent="0.3">
      <c r="A3" s="8"/>
      <c r="D3" s="142"/>
      <c r="E3" s="142"/>
      <c r="F3" s="142"/>
      <c r="G3" s="142"/>
      <c r="H3" s="142"/>
      <c r="I3" s="142"/>
      <c r="J3" s="142"/>
      <c r="K3" s="142"/>
      <c r="L3" s="167" t="s">
        <v>81</v>
      </c>
      <c r="M3" s="135"/>
      <c r="N3" s="168"/>
      <c r="O3" s="152">
        <f>COUNTA($O$7:$O$369)-O2</f>
        <v>48</v>
      </c>
      <c r="P3" s="136"/>
      <c r="R3" s="89"/>
      <c r="S3" s="101"/>
      <c r="T3" s="86"/>
      <c r="V3" s="48"/>
      <c r="AC3" s="156"/>
    </row>
    <row r="4" spans="1:29" s="21" customFormat="1" x14ac:dyDescent="0.25">
      <c r="A4" s="8"/>
      <c r="D4" s="142"/>
      <c r="E4" s="142"/>
      <c r="F4" s="142"/>
      <c r="G4" s="142"/>
      <c r="H4" s="142"/>
      <c r="I4" s="142"/>
      <c r="J4" s="142"/>
      <c r="K4" s="142"/>
      <c r="L4" s="142"/>
      <c r="M4" s="2"/>
      <c r="N4" s="138"/>
      <c r="O4" s="142"/>
      <c r="P4" s="142"/>
      <c r="R4" s="89"/>
      <c r="S4" s="101"/>
      <c r="T4" s="86"/>
      <c r="V4" s="48"/>
      <c r="AC4" s="156"/>
    </row>
    <row r="5" spans="1:29" s="10" customFormat="1" ht="15" customHeight="1" x14ac:dyDescent="0.25">
      <c r="A5" s="178" t="str">
        <f>"Eagle P3 Braking Events - "&amp;TEXT(Variables!$A$2,"YYYY-mm-dd")</f>
        <v>Eagle P3 Braking Events - 2016-10-13</v>
      </c>
      <c r="B5" s="178"/>
      <c r="C5" s="178"/>
      <c r="D5" s="178"/>
      <c r="E5" s="178"/>
      <c r="F5" s="178"/>
      <c r="G5" s="178"/>
      <c r="H5" s="178"/>
      <c r="I5" s="178"/>
      <c r="J5" s="178"/>
      <c r="K5" s="178"/>
      <c r="L5" s="178"/>
      <c r="M5" s="178"/>
      <c r="N5" s="178"/>
      <c r="O5" s="178"/>
      <c r="P5" s="169"/>
      <c r="R5" s="99"/>
      <c r="S5" s="102"/>
      <c r="T5" s="104"/>
      <c r="V5" s="49"/>
      <c r="AC5" s="157"/>
    </row>
    <row r="6" spans="1:29" s="133" customFormat="1" ht="69.75" customHeight="1" x14ac:dyDescent="0.2">
      <c r="A6" s="123" t="s">
        <v>38</v>
      </c>
      <c r="B6" s="124" t="s">
        <v>37</v>
      </c>
      <c r="C6" s="124" t="s">
        <v>36</v>
      </c>
      <c r="D6" s="153" t="s">
        <v>35</v>
      </c>
      <c r="E6" s="153" t="s">
        <v>34</v>
      </c>
      <c r="F6" s="153" t="s">
        <v>33</v>
      </c>
      <c r="G6" s="153" t="s">
        <v>32</v>
      </c>
      <c r="H6" s="153" t="s">
        <v>31</v>
      </c>
      <c r="I6" s="153" t="s">
        <v>159</v>
      </c>
      <c r="J6" s="153" t="s">
        <v>30</v>
      </c>
      <c r="K6" s="153" t="s">
        <v>29</v>
      </c>
      <c r="L6" s="153" t="s">
        <v>28</v>
      </c>
      <c r="M6" s="125" t="s">
        <v>160</v>
      </c>
      <c r="N6" s="170" t="s">
        <v>47</v>
      </c>
      <c r="O6" s="153" t="s">
        <v>27</v>
      </c>
      <c r="P6" s="153" t="s">
        <v>24</v>
      </c>
      <c r="Q6" s="126"/>
      <c r="R6" s="127" t="s">
        <v>89</v>
      </c>
      <c r="S6" s="128" t="s">
        <v>55</v>
      </c>
      <c r="T6" s="129" t="s">
        <v>88</v>
      </c>
      <c r="U6" s="124" t="s">
        <v>83</v>
      </c>
      <c r="V6" s="130" t="s">
        <v>84</v>
      </c>
      <c r="W6" s="126" t="s">
        <v>96</v>
      </c>
      <c r="X6" s="126" t="s">
        <v>97</v>
      </c>
      <c r="Y6" s="131" t="s">
        <v>149</v>
      </c>
      <c r="Z6" s="132" t="s">
        <v>150</v>
      </c>
      <c r="AA6" s="132" t="s">
        <v>123</v>
      </c>
      <c r="AB6" s="132" t="s">
        <v>151</v>
      </c>
      <c r="AC6" s="158" t="s">
        <v>181</v>
      </c>
    </row>
    <row r="7" spans="1:29" s="1" customFormat="1" x14ac:dyDescent="0.25">
      <c r="A7" s="36">
        <v>42656.373449074075</v>
      </c>
      <c r="B7" s="31" t="s">
        <v>391</v>
      </c>
      <c r="C7" s="31" t="s">
        <v>392</v>
      </c>
      <c r="D7" s="31" t="s">
        <v>49</v>
      </c>
      <c r="E7" s="31" t="s">
        <v>155</v>
      </c>
      <c r="F7" s="47">
        <v>300</v>
      </c>
      <c r="G7" s="47">
        <v>368</v>
      </c>
      <c r="H7" s="47">
        <v>32361</v>
      </c>
      <c r="I7" s="47">
        <v>33291</v>
      </c>
      <c r="J7" s="31" t="s">
        <v>154</v>
      </c>
      <c r="K7" s="47">
        <v>33137</v>
      </c>
      <c r="L7" s="172" t="s">
        <v>50</v>
      </c>
      <c r="M7" s="173">
        <f>CONVERT((I7-K7)/10000,"mi","ft")*IF(L7="Increasing Mileposts (1)",-1,1)</f>
        <v>-81.311999999999998</v>
      </c>
      <c r="N7" s="174" t="str">
        <f>VLOOKUP(C7,'Trips&amp;Operators'!$C$1:$E$99999,3,FALSE)</f>
        <v>BARTELL</v>
      </c>
      <c r="O7" s="154" t="s">
        <v>358</v>
      </c>
      <c r="P7" s="175" t="s">
        <v>359</v>
      </c>
      <c r="Q7" s="31"/>
      <c r="R7" s="100" t="str">
        <f>VLOOKUP(C7,'Train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7" s="103" t="str">
        <f>VLOOKUP(C7,'Train Runs'!$A$13:$AE$10001,22,0)</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7" s="105" t="str">
        <f>astrogrep_path&amp;" /spath="&amp;search_path&amp;" /stypes=""*"&amp;U7&amp;"*"&amp;TEXT(A7-utc_offset/24,"YYYYMMDD")&amp;LEFT(TEXT(A7-utc_offset/24,"HH"),1)&amp;"*"" /stext="" "&amp;TEXT(A7-utc_offset/24,"HH")&amp;search_regexp&amp;""" /e /r /s"</f>
        <v>"C:\Program Files (x86)\AstroGrep\AstroGrep.exe" /spath="%USERPROFILE%\AppData\Local\Temp\OnboardLogs" /stypes="*4002*201610131*" /stext=" 14:.+((SYSTEM_STATE.+slice.+state.+changed )|(ment ac)|(system.+state.+changed )|(\[timeout)|(PRM\|1\|D)|(kpr)|(kdp)|(\|lc)|(penalty))" /e /r /s</v>
      </c>
      <c r="U7" s="9" t="str">
        <f>MID(B7,13,4)</f>
        <v>4002</v>
      </c>
      <c r="V7" s="36">
        <f>A7+6/24</f>
        <v>42656.623449074075</v>
      </c>
      <c r="W7" s="50" t="str">
        <f>IF(VALUE(LEFT(IF(LEN(C7)=6,"0"&amp;C7,C7),2))&lt;=2,"EC",IF(OR(VALUE(LEFT(IF(LEN(C7)=6,"0"&amp;C7,C7),2))=8,VALUE(LEFT(IF(LEN(C7)=6,"0"&amp;C7,C7),2))=18),"NW","Other"))</f>
        <v>EC</v>
      </c>
      <c r="X7" s="50" t="str">
        <f>IF(AND(E7="TRACK WARRANT AUTHORITY",G7&lt;10),"OMIT","KEEP")</f>
        <v>KEEP</v>
      </c>
      <c r="Y7" s="122" t="str">
        <f>"echo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arrival","project_id":79,"tracker_id":40,"status_id":1,"priority_id":2,"assigned_to_id":23,"start_date":"2016-10-13","description":"","custom_fields":[{"id":1,"name":"Subdivision","value":"EC"},{"id":4,"name":"Milepost","value":"3.3137"},{"id":17,"name":"Train ID","value":"141-13"},{"id":16,"name":"Locomotive ID","value":"4002"},{"id":130,"name":"Impact","value":""},{"id":150,"name":"Time of Event (Mountain Time)","value":"08:57:46"},{"id":151,"name":"Denver Issue ID","value":""},{"id":178,"name":"Operational Impact","value":"Yes"},{"id":179,"name":"Denver Segment Assigned","value":""}]}} | curl -X POST -H "Content-Type: application/json" -H "X-Redmine-API-Key: d6333d4a04012a730768444271f8ca06482dae87" https://secure.xorail.net/redmine/issues.json --data @-</v>
      </c>
      <c r="Z7" s="53"/>
      <c r="AA7" s="53"/>
      <c r="AB7" s="21"/>
      <c r="AC7" s="155" t="str">
        <f>"grep -hSE -A100 ""Enforcement Action"" "&amp;search_path&amp;"\RTDC"&amp;U7&amp;"\*"&amp;U7&amp;"*"&amp;TEXT(A7-utc_offset/24,"YYYYMMDD")&amp;LEFT(TEXT(A7-utc_offset/24,"HH"),1)&amp;"* | grep -SE ""((Enforcement Ac)|(PRM))"" -"</f>
        <v>grep -hSE -A100 "Enforcement Action" "%USERPROFILE%\AppData\Local\Temp\OnboardLogs"\RTDC4002\*4002*201610131* | grep -SE "((Enforcement Ac)|(PRM))" -</v>
      </c>
    </row>
    <row r="8" spans="1:29" s="1" customFormat="1" x14ac:dyDescent="0.25">
      <c r="A8" s="36">
        <v>42656.362557870372</v>
      </c>
      <c r="B8" s="31" t="s">
        <v>218</v>
      </c>
      <c r="C8" s="31" t="s">
        <v>388</v>
      </c>
      <c r="D8" s="31" t="s">
        <v>49</v>
      </c>
      <c r="E8" s="31" t="s">
        <v>155</v>
      </c>
      <c r="F8" s="47">
        <v>0</v>
      </c>
      <c r="G8" s="47">
        <v>271</v>
      </c>
      <c r="H8" s="47">
        <v>42757</v>
      </c>
      <c r="I8" s="47">
        <v>42959</v>
      </c>
      <c r="J8" s="31" t="s">
        <v>154</v>
      </c>
      <c r="K8" s="47">
        <v>42779</v>
      </c>
      <c r="L8" s="172" t="s">
        <v>50</v>
      </c>
      <c r="M8" s="173">
        <f>CONVERT((I8-K8)/10000,"mi","ft")*IF(L8="Increasing Mileposts (1)",-1,1)</f>
        <v>-95.04</v>
      </c>
      <c r="N8" s="174" t="str">
        <f>VLOOKUP(C8,'Trips&amp;Operators'!$C$1:$E$99999,3,FALSE)</f>
        <v>STARKS</v>
      </c>
      <c r="O8" s="154" t="s">
        <v>358</v>
      </c>
      <c r="P8" s="175" t="s">
        <v>359</v>
      </c>
      <c r="Q8" s="31"/>
      <c r="R8" s="100" t="str">
        <f>VLOOKUP(C8,'Train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8" s="103" t="str">
        <f>VLOOKUP(C8,'Train Runs'!$A$13:$AE$10001,22,0)</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8" s="105" t="str">
        <f>astrogrep_path&amp;" /spath="&amp;search_path&amp;" /stypes=""*"&amp;U8&amp;"*"&amp;TEXT(A8-utc_offset/24,"YYYYMMDD")&amp;LEFT(TEXT(A8-utc_offset/24,"HH"),1)&amp;"*"" /stext="" "&amp;TEXT(A8-utc_offset/24,"HH")&amp;search_regexp&amp;""" /e /r /s"</f>
        <v>"C:\Program Files (x86)\AstroGrep\AstroGrep.exe" /spath="%USERPROFILE%\AppData\Local\Temp\OnboardLogs" /stypes="*4038*201610131*" /stext=" 14:.+((SYSTEM_STATE.+slice.+state.+changed )|(ment ac)|(system.+state.+changed )|(\[timeout)|(PRM\|1\|D)|(kpr)|(kdp)|(\|lc)|(penalty))" /e /r /s</v>
      </c>
      <c r="U8" s="9" t="str">
        <f>MID(B8,13,4)</f>
        <v>4038</v>
      </c>
      <c r="V8" s="36">
        <f>A8+6/24</f>
        <v>42656.612557870372</v>
      </c>
      <c r="W8" s="50" t="str">
        <f>IF(VALUE(LEFT(IF(LEN(C8)=6,"0"&amp;C8,C8),2))&lt;=2,"EC",IF(OR(VALUE(LEFT(IF(LEN(C8)=6,"0"&amp;C8,C8),2))=8,VALUE(LEFT(IF(LEN(C8)=6,"0"&amp;C8,C8),2))=18),"NW","Other"))</f>
        <v>EC</v>
      </c>
      <c r="X8" s="50" t="str">
        <f>IF(AND(E8="TRACK WARRANT AUTHORITY",G8&lt;10),"OMIT","KEEP")</f>
        <v>KEEP</v>
      </c>
      <c r="Y8" s="122" t="str">
        <f>"echo {""issue"":{""subject"":"""&amp;P8&amp;""",""project_id"":79,""tracker_id"":40,""status_id"":"&amp;redmine_status&amp;",""priority_id"":"&amp;redmine_priority&amp;",""assigned_to_id"":"&amp;redmine_assignee&amp;",""start_date"":"""&amp;TEXT(A8,"YYYY-mm-dd")&amp;""",""description"":"""&amp;Z8&amp;""",""custom_fields"":[{""id"":1,""name"":""Subdivision"",""value"":"""&amp;W8&amp;"""},{""id"":4,""name"":""Milepost"",""value"":"""&amp;K8/10000&amp;"""},{""id"":17,""name"":""Train ID"",""value"":"""&amp;C8&amp;"""},{""id"":16,""name"":""Locomotive ID"",""value"":"""&amp;U8&amp;"""},{""id"":130,""name"":""Impact"",""value"":"""&amp;AA8&amp;"""},{""id"":150,""name"":""Time of Event (Mountain Time)"",""value"":"""&amp;TEXT(A8,"hh:mm:ss")&amp;"""},{""id"":151,""name"":""Denver Issue ID"",""value"":"""&amp;"""},{""id"":178,""name"":""Operational Impact"",""value"":"""&amp;redmine_op_impact&amp;"""},{""id"":179,""name"":""Denver Segment Assigned"",""value"":"""&amp;AB8&amp;"""}]}}"&amp;"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arrival","project_id":79,"tracker_id":40,"status_id":1,"priority_id":2,"assigned_to_id":23,"start_date":"2016-10-13","description":"","custom_fields":[{"id":1,"name":"Subdivision","value":"EC"},{"id":4,"name":"Milepost","value":"4.2779"},{"id":17,"name":"Train ID","value":"139-13"},{"id":16,"name":"Locomotive ID","value":"4038"},{"id":130,"name":"Impact","value":""},{"id":150,"name":"Time of Event (Mountain Time)","value":"08:42:05"},{"id":151,"name":"Denver Issue ID","value":""},{"id":178,"name":"Operational Impact","value":"Yes"},{"id":179,"name":"Denver Segment Assigned","value":""}]}} | curl -X POST -H "Content-Type: application/json" -H "X-Redmine-API-Key: d6333d4a04012a730768444271f8ca06482dae87" https://secure.xorail.net/redmine/issues.json --data @-</v>
      </c>
      <c r="Z8" s="53"/>
      <c r="AA8" s="53"/>
      <c r="AB8" s="21"/>
      <c r="AC8" s="155" t="str">
        <f>"grep -hSE -A100 ""Enforcement Action"" "&amp;search_path&amp;"\RTDC"&amp;U8&amp;"\*"&amp;U8&amp;"*"&amp;TEXT(A8-utc_offset/24,"YYYYMMDD")&amp;LEFT(TEXT(A8-utc_offset/24,"HH"),1)&amp;"* | grep -SE ""((Enforcement Ac)|(PRM))"" -"</f>
        <v>grep -hSE -A100 "Enforcement Action" "%USERPROFILE%\AppData\Local\Temp\OnboardLogs"\RTDC4038\*4038*201610131* | grep -SE "((Enforcement Ac)|(PRM))" -</v>
      </c>
    </row>
    <row r="9" spans="1:29" s="1" customFormat="1" x14ac:dyDescent="0.25">
      <c r="A9" s="36">
        <v>42657.036307870374</v>
      </c>
      <c r="B9" s="31" t="s">
        <v>250</v>
      </c>
      <c r="C9" s="31" t="s">
        <v>422</v>
      </c>
      <c r="D9" s="31" t="s">
        <v>189</v>
      </c>
      <c r="E9" s="31" t="s">
        <v>155</v>
      </c>
      <c r="F9" s="47">
        <v>0</v>
      </c>
      <c r="G9" s="47">
        <v>85</v>
      </c>
      <c r="H9" s="47">
        <v>63215</v>
      </c>
      <c r="I9" s="47">
        <v>63192</v>
      </c>
      <c r="J9" s="31" t="s">
        <v>154</v>
      </c>
      <c r="K9" s="47">
        <v>63309</v>
      </c>
      <c r="L9" s="172" t="s">
        <v>51</v>
      </c>
      <c r="M9" s="173">
        <f>CONVERT((I9-K9)/10000,"mi","ft")*IF(L9="Increasing Mileposts (1)",-1,1)</f>
        <v>-61.776000000000003</v>
      </c>
      <c r="N9" s="174" t="s">
        <v>226</v>
      </c>
      <c r="O9" s="154" t="s">
        <v>358</v>
      </c>
      <c r="P9" s="175" t="s">
        <v>359</v>
      </c>
      <c r="Q9" s="31"/>
      <c r="R9" s="100" t="str">
        <f>VLOOKUP(C9,'Train Runs'!$A$13:$AE$10001,31,0)</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S9" s="103" t="str">
        <f>VLOOKUP(C9,'Train Runs'!$A$13:$AE$10001,22,0)</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9" s="105" t="str">
        <f>astrogrep_path&amp;" /spath="&amp;search_path&amp;" /stypes=""*"&amp;U9&amp;"*"&amp;TEXT(A9-utc_offset/24,"YYYYMMDD")&amp;LEFT(TEXT(A9-utc_offset/24,"HH"),1)&amp;"*"" /stext="" "&amp;TEXT(A9-utc_offset/24,"HH")&amp;search_regexp&amp;""" /e /r /s"</f>
        <v>"C:\Program Files (x86)\AstroGrep\AstroGrep.exe" /spath="%USERPROFILE%\AppData\Local\Temp\OnboardLogs" /stypes="*4026*201610140*" /stext=" 06:.+((SYSTEM_STATE.+slice.+state.+changed )|(ment ac)|(system.+state.+changed )|(\[timeout)|(PRM\|1\|D)|(kpr)|(kdp)|(\|lc)|(penalty))" /e /r /s</v>
      </c>
      <c r="U9" s="9" t="str">
        <f>MID(B9,13,4)</f>
        <v>4026</v>
      </c>
      <c r="V9" s="36">
        <f>A9+6/24</f>
        <v>42657.286307870374</v>
      </c>
      <c r="W9" s="50" t="str">
        <f>IF(VALUE(LEFT(IF(LEN(C9)=6,"0"&amp;C9,C9),2))&lt;=2,"EC",IF(OR(VALUE(LEFT(IF(LEN(C9)=6,"0"&amp;C9,C9),2))=8,VALUE(LEFT(IF(LEN(C9)=6,"0"&amp;C9,C9),2))=18),"NW","Other"))</f>
        <v>EC</v>
      </c>
      <c r="X9" s="50" t="str">
        <f>IF(AND(E9="TRACK WARRANT AUTHORITY",G9&lt;10),"OMIT","KEEP")</f>
        <v>KEEP</v>
      </c>
      <c r="Y9" s="122" t="str">
        <f>"echo {""issue"":{""subject"":"""&amp;P9&amp;""",""project_id"":79,""tracker_id"":40,""status_id"":"&amp;redmine_status&amp;",""priority_id"":"&amp;redmine_priority&amp;",""assigned_to_id"":"&amp;redmine_assignee&amp;",""start_date"":"""&amp;TEXT(A9,"YYYY-mm-dd")&amp;""",""description"":"""&amp;Z9&amp;""",""custom_fields"":[{""id"":1,""name"":""Subdivision"",""value"":"""&amp;W9&amp;"""},{""id"":4,""name"":""Milepost"",""value"":"""&amp;K9/10000&amp;"""},{""id"":17,""name"":""Train ID"",""value"":"""&amp;C9&amp;"""},{""id"":16,""name"":""Locomotive ID"",""value"":"""&amp;U9&amp;"""},{""id"":130,""name"":""Impact"",""value"":"""&amp;AA9&amp;"""},{""id"":150,""name"":""Time of Event (Mountain Time)"",""value"":"""&amp;TEXT(A9,"hh:mm:ss")&amp;"""},{""id"":151,""name"":""Denver Issue ID"",""value"":"""&amp;"""},{""id"":178,""name"":""Operational Impact"",""value"":"""&amp;redmine_op_impact&amp;"""},{""id"":179,""name"":""Denver Segment Assigned"",""value"":"""&amp;AB9&amp;"""}]}}"&amp;" | curl -X POST -H ""Content-Type: application/json"" -H ""X-Redmine-API-Key: "&amp;redm_api_key&amp;""" "&amp;redm_url&amp;" --data @-"</f>
        <v>echo {"issue":{"subject":"Early arrival","project_id":79,"tracker_id":40,"status_id":1,"priority_id":2,"assigned_to_id":23,"start_date":"2016-10-14","description":"","custom_fields":[{"id":1,"name":"Subdivision","value":"EC"},{"id":4,"name":"Milepost","value":"6.3309"},{"id":17,"name":"Train ID","value":"240-13"},{"id":16,"name":"Locomotive ID","value":"4026"},{"id":130,"name":"Impact","value":""},{"id":150,"name":"Time of Event (Mountain Time)","value":"00:52:17"},{"id":151,"name":"Denver Issue ID","value":""},{"id":178,"name":"Operational Impact","value":"Yes"},{"id":179,"name":"Denver Segment Assigned","value":""}]}} | curl -X POST -H "Content-Type: application/json" -H "X-Redmine-API-Key: d6333d4a04012a730768444271f8ca06482dae87" https://secure.xorail.net/redmine/issues.json --data @-</v>
      </c>
      <c r="Z9" s="53"/>
      <c r="AA9" s="53"/>
      <c r="AB9" s="21"/>
      <c r="AC9" s="155" t="str">
        <f>"grep -hSE -A100 ""Enforcement Action"" "&amp;search_path&amp;"\RTDC"&amp;U9&amp;"\*"&amp;U9&amp;"*"&amp;TEXT(A9-utc_offset/24,"YYYYMMDD")&amp;LEFT(TEXT(A9-utc_offset/24,"HH"),1)&amp;"* | grep -SE ""((Enforcement Ac)|(PRM))"" -"</f>
        <v>grep -hSE -A100 "Enforcement Action" "%USERPROFILE%\AppData\Local\Temp\OnboardLogs"\RTDC4026\*4026*201610140* | grep -SE "((Enforcement Ac)|(PRM))" -</v>
      </c>
    </row>
    <row r="10" spans="1:29" s="1" customFormat="1" x14ac:dyDescent="0.25">
      <c r="A10" s="36">
        <v>42656.440520833334</v>
      </c>
      <c r="B10" s="31" t="s">
        <v>396</v>
      </c>
      <c r="C10" s="31" t="s">
        <v>397</v>
      </c>
      <c r="D10" s="31" t="s">
        <v>189</v>
      </c>
      <c r="E10" s="31" t="s">
        <v>155</v>
      </c>
      <c r="F10" s="47">
        <v>0</v>
      </c>
      <c r="G10" s="47">
        <v>234</v>
      </c>
      <c r="H10" s="47">
        <v>78415</v>
      </c>
      <c r="I10" s="47">
        <v>78256</v>
      </c>
      <c r="J10" s="31" t="s">
        <v>154</v>
      </c>
      <c r="K10" s="47">
        <v>78469</v>
      </c>
      <c r="L10" s="172" t="s">
        <v>51</v>
      </c>
      <c r="M10" s="173">
        <f>CONVERT((I10-K10)/10000,"mi","ft")*IF(L10="Increasing Mileposts (1)",-1,1)</f>
        <v>-112.464</v>
      </c>
      <c r="N10" s="174" t="str">
        <f>VLOOKUP(C10,'Trips&amp;Operators'!$C$1:$E$99999,3,FALSE)</f>
        <v>SPECTOR</v>
      </c>
      <c r="O10" s="154" t="s">
        <v>358</v>
      </c>
      <c r="P10" s="175" t="s">
        <v>359</v>
      </c>
      <c r="Q10" s="31"/>
      <c r="R10" s="100" t="str">
        <f>VLOOKUP(C10,'Train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10" s="103" t="str">
        <f>VLOOKUP(C10,'Train Runs'!$A$13:$AE$10001,22,0)</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10" s="105" t="str">
        <f>astrogrep_path&amp;" /spath="&amp;search_path&amp;" /stypes=""*"&amp;U10&amp;"*"&amp;TEXT(A10-utc_offset/24,"YYYYMMDD")&amp;LEFT(TEXT(A10-utc_offset/24,"HH"),1)&amp;"*"" /stext="" "&amp;TEXT(A10-utc_offset/24,"HH")&amp;search_regexp&amp;""" /e /r /s"</f>
        <v>"C:\Program Files (x86)\AstroGrep\AstroGrep.exe" /spath="%USERPROFILE%\AppData\Local\Temp\OnboardLogs" /stypes="*4041*201610131*" /stext=" 16:.+((SYSTEM_STATE.+slice.+state.+changed )|(ment ac)|(system.+state.+changed )|(\[timeout)|(PRM\|1\|D)|(kpr)|(kdp)|(\|lc)|(penalty))" /e /r /s</v>
      </c>
      <c r="U10" s="9" t="str">
        <f>MID(B10,13,4)</f>
        <v>4041</v>
      </c>
      <c r="V10" s="36">
        <f>A10+6/24</f>
        <v>42656.690520833334</v>
      </c>
      <c r="W10" s="50" t="str">
        <f>IF(VALUE(LEFT(IF(LEN(C10)=6,"0"&amp;C10,C10),2))&lt;=2,"EC",IF(OR(VALUE(LEFT(IF(LEN(C10)=6,"0"&amp;C10,C10),2))=8,VALUE(LEFT(IF(LEN(C10)=6,"0"&amp;C10,C10),2))=18),"NW","Other"))</f>
        <v>EC</v>
      </c>
      <c r="X10" s="50" t="str">
        <f>IF(AND(E10="TRACK WARRANT AUTHORITY",G10&lt;10),"OMIT","KEEP")</f>
        <v>KEEP</v>
      </c>
      <c r="Y10" s="122" t="str">
        <f>"echo {""issue"":{""subject"":"""&amp;P10&amp;""",""project_id"":79,""tracker_id"":40,""status_id"":"&amp;redmine_status&amp;",""priority_id"":"&amp;redmine_priority&amp;",""assigned_to_id"":"&amp;redmine_assignee&amp;",""start_date"":"""&amp;TEXT(A10,"YYYY-mm-dd")&amp;""",""description"":"""&amp;Z10&amp;""",""custom_fields"":[{""id"":1,""name"":""Subdivision"",""value"":"""&amp;W10&amp;"""},{""id"":4,""name"":""Milepost"",""value"":"""&amp;K10/10000&amp;"""},{""id"":17,""name"":""Train ID"",""value"":"""&amp;C10&amp;"""},{""id"":16,""name"":""Locomotive ID"",""value"":"""&amp;U10&amp;"""},{""id"":130,""name"":""Impact"",""value"":"""&amp;AA10&amp;"""},{""id"":150,""name"":""Time of Event (Mountain Time)"",""value"":"""&amp;TEXT(A10,"hh:mm:ss")&amp;"""},{""id"":151,""name"":""Denver Issue ID"",""value"":"""&amp;"""},{""id"":178,""name"":""Operational Impact"",""value"":"""&amp;redmine_op_impact&amp;"""},{""id"":179,""name"":""Denver Segment Assigned"",""value"":"""&amp;AB10&amp;"""}]}}"&amp;"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arrival","project_id":79,"tracker_id":40,"status_id":1,"priority_id":2,"assigned_to_id":23,"start_date":"2016-10-13","description":"","custom_fields":[{"id":1,"name":"Subdivision","value":"EC"},{"id":4,"name":"Milepost","value":"7.8469"},{"id":17,"name":"Train ID","value":"146-13"},{"id":16,"name":"Locomotive ID","value":"4041"},{"id":130,"name":"Impact","value":""},{"id":150,"name":"Time of Event (Mountain Time)","value":"10:34:21"},{"id":151,"name":"Denver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21"/>
      <c r="AC10" s="155" t="str">
        <f>"grep -hSE -A100 ""Enforcement Action"" "&amp;search_path&amp;"\RTDC"&amp;U10&amp;"\*"&amp;U10&amp;"*"&amp;TEXT(A10-utc_offset/24,"YYYYMMDD")&amp;LEFT(TEXT(A10-utc_offset/24,"HH"),1)&amp;"* | grep -SE ""((Enforcement Ac)|(PRM))"" -"</f>
        <v>grep -hSE -A100 "Enforcement Action" "%USERPROFILE%\AppData\Local\Temp\OnboardLogs"\RTDC4041\*4041*201610131* | grep -SE "((Enforcement Ac)|(PRM))" -</v>
      </c>
    </row>
    <row r="11" spans="1:29" s="1" customFormat="1" x14ac:dyDescent="0.25">
      <c r="A11" s="36">
        <v>42656.446770833332</v>
      </c>
      <c r="B11" s="31" t="s">
        <v>222</v>
      </c>
      <c r="C11" s="31" t="s">
        <v>398</v>
      </c>
      <c r="D11" s="31" t="s">
        <v>189</v>
      </c>
      <c r="E11" s="31" t="s">
        <v>155</v>
      </c>
      <c r="F11" s="47">
        <v>0</v>
      </c>
      <c r="G11" s="47">
        <v>386</v>
      </c>
      <c r="H11" s="47">
        <v>109017</v>
      </c>
      <c r="I11" s="47">
        <v>108147</v>
      </c>
      <c r="J11" s="31" t="s">
        <v>154</v>
      </c>
      <c r="K11" s="47">
        <v>109135</v>
      </c>
      <c r="L11" s="172" t="s">
        <v>51</v>
      </c>
      <c r="M11" s="173">
        <f>CONVERT((I11-K11)/10000,"mi","ft")*IF(L11="Increasing Mileposts (1)",-1,1)</f>
        <v>-521.66399999999999</v>
      </c>
      <c r="N11" s="174" t="str">
        <f>VLOOKUP(C11,'Trips&amp;Operators'!$C$1:$E$99999,3,FALSE)</f>
        <v>MALAVE</v>
      </c>
      <c r="O11" s="154" t="s">
        <v>358</v>
      </c>
      <c r="P11" s="175" t="s">
        <v>359</v>
      </c>
      <c r="Q11" s="31"/>
      <c r="R11" s="100" t="str">
        <f>VLOOKUP(C11,'Train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1" s="103" t="str">
        <f>VLOOKUP(C11,'Train Runs'!$A$13:$AE$10001,22,0)</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1" s="105" t="str">
        <f>astrogrep_path&amp;" /spath="&amp;search_path&amp;" /stypes=""*"&amp;U11&amp;"*"&amp;TEXT(A11-utc_offset/24,"YYYYMMDD")&amp;LEFT(TEXT(A11-utc_offset/24,"HH"),1)&amp;"*"" /stext="" "&amp;TEXT(A11-utc_offset/24,"HH")&amp;search_regexp&amp;""" /e /r /s"</f>
        <v>"C:\Program Files (x86)\AstroGrep\AstroGrep.exe" /spath="%USERPROFILE%\AppData\Local\Temp\OnboardLogs" /stypes="*4043*201610131*" /stext=" 16:.+((SYSTEM_STATE.+slice.+state.+changed )|(ment ac)|(system.+state.+changed )|(\[timeout)|(PRM\|1\|D)|(kpr)|(kdp)|(\|lc)|(penalty))" /e /r /s</v>
      </c>
      <c r="U11" s="9" t="str">
        <f>MID(B11,13,4)</f>
        <v>4043</v>
      </c>
      <c r="V11" s="36">
        <f>A11+6/24</f>
        <v>42656.696770833332</v>
      </c>
      <c r="W11" s="50" t="str">
        <f>IF(VALUE(LEFT(IF(LEN(C11)=6,"0"&amp;C11,C11),2))&lt;=2,"EC",IF(OR(VALUE(LEFT(IF(LEN(C11)=6,"0"&amp;C11,C11),2))=8,VALUE(LEFT(IF(LEN(C11)=6,"0"&amp;C11,C11),2))=18),"NW","Other"))</f>
        <v>EC</v>
      </c>
      <c r="X11" s="50" t="str">
        <f>IF(AND(E11="TRACK WARRANT AUTHORITY",G11&lt;10),"OMIT","KEEP")</f>
        <v>KEEP</v>
      </c>
      <c r="Y11" s="122" t="str">
        <f>"echo {""issue"":{""subject"":"""&amp;P11&amp;""",""project_id"":79,""tracker_id"":40,""status_id"":"&amp;redmine_status&amp;",""priority_id"":"&amp;redmine_priority&amp;",""assigned_to_id"":"&amp;redmine_assignee&amp;",""start_date"":"""&amp;TEXT(A11,"YYYY-mm-dd")&amp;""",""description"":"""&amp;Z11&amp;""",""custom_fields"":[{""id"":1,""name"":""Subdivision"",""value"":"""&amp;W11&amp;"""},{""id"":4,""name"":""Milepost"",""value"":"""&amp;K11/10000&amp;"""},{""id"":17,""name"":""Train ID"",""value"":"""&amp;C11&amp;"""},{""id"":16,""name"":""Locomotive ID"",""value"":"""&amp;U11&amp;"""},{""id"":130,""name"":""Impact"",""value"":"""&amp;AA11&amp;"""},{""id"":150,""name"":""Time of Event (Mountain Time)"",""value"":"""&amp;TEXT(A11,"hh:mm:ss")&amp;"""},{""id"":151,""name"":""Denver Issue ID"",""value"":"""&amp;"""},{""id"":178,""name"":""Operational Impact"",""value"":"""&amp;redmine_op_impact&amp;"""},{""id"":179,""name"":""Denver Segment Assigned"",""value"":"""&amp;AB11&amp;"""}]}}"&amp;"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arrival","project_id":79,"tracker_id":40,"status_id":1,"priority_id":2,"assigned_to_id":23,"start_date":"2016-10-13","description":"","custom_fields":[{"id":1,"name":"Subdivision","value":"EC"},{"id":4,"name":"Milepost","value":"10.9135"},{"id":17,"name":"Train ID","value":"148-13"},{"id":16,"name":"Locomotive ID","value":"4043"},{"id":130,"name":"Impact","value":""},{"id":150,"name":"Time of Event (Mountain Time)","value":"10:43:21"},{"id":151,"name":"Denver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21"/>
      <c r="AC11" s="155" t="str">
        <f>"grep -hSE -A100 ""Enforcement Action"" "&amp;search_path&amp;"\RTDC"&amp;U11&amp;"\*"&amp;U11&amp;"*"&amp;TEXT(A11-utc_offset/24,"YYYYMMDD")&amp;LEFT(TEXT(A11-utc_offset/24,"HH"),1)&amp;"* | grep -SE ""((Enforcement Ac)|(PRM))"" -"</f>
        <v>grep -hSE -A100 "Enforcement Action" "%USERPROFILE%\AppData\Local\Temp\OnboardLogs"\RTDC4043\*4043*201610131* | grep -SE "((Enforcement Ac)|(PRM))" -</v>
      </c>
    </row>
    <row r="12" spans="1:29" s="1" customFormat="1" x14ac:dyDescent="0.25">
      <c r="A12" s="36">
        <v>42656.503425925926</v>
      </c>
      <c r="B12" s="31" t="s">
        <v>394</v>
      </c>
      <c r="C12" s="31" t="s">
        <v>401</v>
      </c>
      <c r="D12" s="31" t="s">
        <v>49</v>
      </c>
      <c r="E12" s="31" t="s">
        <v>360</v>
      </c>
      <c r="F12" s="47">
        <v>200</v>
      </c>
      <c r="G12" s="47">
        <v>262</v>
      </c>
      <c r="H12" s="47">
        <v>6068</v>
      </c>
      <c r="I12" s="47">
        <v>5409</v>
      </c>
      <c r="J12" s="31" t="s">
        <v>361</v>
      </c>
      <c r="K12" s="47">
        <v>5457</v>
      </c>
      <c r="L12" s="172" t="s">
        <v>51</v>
      </c>
      <c r="M12" s="173">
        <f>CONVERT((I12-K12)/10000,"mi","ft")*IF(L12="Increasing Mileposts (1)",-1,1)</f>
        <v>-25.344000000000001</v>
      </c>
      <c r="N12" s="174" t="str">
        <f>VLOOKUP(C12,'Trips&amp;Operators'!$C$1:$E$99999,3,FALSE)</f>
        <v>SNYDER</v>
      </c>
      <c r="O12" s="154" t="s">
        <v>358</v>
      </c>
      <c r="P12" s="175"/>
      <c r="Q12" s="31"/>
      <c r="R12" s="100" t="str">
        <f>VLOOKUP(C12,'Train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2" s="103" t="str">
        <f>VLOOKUP(C12,'Train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2" s="105" t="str">
        <f>astrogrep_path&amp;" /spath="&amp;search_path&amp;" /stypes=""*"&amp;U12&amp;"*"&amp;TEXT(A12-utc_offset/24,"YYYYMMDD")&amp;LEFT(TEXT(A12-utc_offset/24,"HH"),1)&amp;"*"" /stext="" "&amp;TEXT(A12-utc_offset/24,"HH")&amp;search_regexp&amp;""" /e /r /s"</f>
        <v>"C:\Program Files (x86)\AstroGrep\AstroGrep.exe" /spath="%USERPROFILE%\AppData\Local\Temp\OnboardLogs" /stypes="*4001*201610131*" /stext=" 18:.+((SYSTEM_STATE.+slice.+state.+changed )|(ment ac)|(system.+state.+changed )|(\[timeout)|(PRM\|1\|D)|(kpr)|(kdp)|(\|lc)|(penalty))" /e /r /s</v>
      </c>
      <c r="U12" s="9" t="str">
        <f>MID(B12,13,4)</f>
        <v>4001</v>
      </c>
      <c r="V12" s="36">
        <f>A12+6/24</f>
        <v>42656.753425925926</v>
      </c>
      <c r="W12" s="50" t="str">
        <f>IF(VALUE(LEFT(IF(LEN(C12)=6,"0"&amp;C12,C12),2))&lt;=2,"EC",IF(OR(VALUE(LEFT(IF(LEN(C12)=6,"0"&amp;C12,C12),2))=8,VALUE(LEFT(IF(LEN(C12)=6,"0"&amp;C12,C12),2))=18),"NW","Other"))</f>
        <v>EC</v>
      </c>
      <c r="X12" s="50" t="str">
        <f>IF(AND(E12="TRACK WARRANT AUTHORITY",G12&lt;10),"OMIT","KEEP")</f>
        <v>KEEP</v>
      </c>
      <c r="Y12" s="122" t="str">
        <f>"echo {""issue"":{""subject"":"""&amp;P12&amp;""",""project_id"":79,""tracker_id"":40,""status_id"":"&amp;redmine_status&amp;",""priority_id"":"&amp;redmine_priority&amp;",""assigned_to_id"":"&amp;redmine_assignee&amp;",""start_date"":"""&amp;TEXT(A12,"YYYY-mm-dd")&amp;""",""description"":"""&amp;Z12&amp;""",""custom_fields"":[{""id"":1,""name"":""Subdivision"",""value"":"""&amp;W12&amp;"""},{""id"":4,""name"":""Milepost"",""value"":"""&amp;K12/10000&amp;"""},{""id"":17,""name"":""Train ID"",""value"":"""&amp;C12&amp;"""},{""id"":16,""name"":""Locomotive ID"",""value"":"""&amp;U12&amp;"""},{""id"":130,""name"":""Impact"",""value"":"""&amp;AA12&amp;"""},{""id"":150,""name"":""Time of Event (Mountain Time)"",""value"":"""&amp;TEXT(A12,"hh:mm:ss")&amp;"""},{""id"":151,""name"":""Denver Issue ID"",""value"":"""&amp;"""},{""id"":178,""name"":""Operational Impact"",""value"":"""&amp;redmine_op_impact&amp;"""},{""id"":179,""name"":""Denver Segment Assigned"",""value"":"""&amp;AB12&amp;"""}]}}"&amp;" | curl -X POST -H ""Content-Type: application/json"" -H ""X-Redmine-API-Key: "&amp;redm_api_key&amp;""" "&amp;redm_url&amp;" --data @-"</f>
        <v>echo {"issue":{"subject":"","project_id":79,"tracker_id":40,"status_id":1,"priority_id":2,"assigned_to_id":23,"start_date":"2016-10-13","description":"","custom_fields":[{"id":1,"name":"Subdivision","value":"EC"},{"id":4,"name":"Milepost","value":"0.5457"},{"id":17,"name":"Train ID","value":"156-13"},{"id":16,"name":"Locomotive ID","value":"4001"},{"id":130,"name":"Impact","value":""},{"id":150,"name":"Time of Event (Mountain Time)","value":"12:04:56"},{"id":151,"name":"Denver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21"/>
      <c r="AC12" s="155" t="str">
        <f>"grep -hSE -A100 ""Enforcement Action"" "&amp;search_path&amp;"\RTDC"&amp;U12&amp;"\*"&amp;U12&amp;"*"&amp;TEXT(A12-utc_offset/24,"YYYYMMDD")&amp;LEFT(TEXT(A12-utc_offset/24,"HH"),1)&amp;"* | grep -SE ""((Enforcement Ac)|(PRM))"" -"</f>
        <v>grep -hSE -A100 "Enforcement Action" "%USERPROFILE%\AppData\Local\Temp\OnboardLogs"\RTDC4001\*4001*201610131* | grep -SE "((Enforcement Ac)|(PRM))" -</v>
      </c>
    </row>
    <row r="13" spans="1:29" s="1" customFormat="1" x14ac:dyDescent="0.25">
      <c r="A13" s="36">
        <v>42656.752881944441</v>
      </c>
      <c r="B13" s="31" t="s">
        <v>222</v>
      </c>
      <c r="C13" s="31" t="s">
        <v>412</v>
      </c>
      <c r="D13" s="31" t="s">
        <v>49</v>
      </c>
      <c r="E13" s="31" t="s">
        <v>360</v>
      </c>
      <c r="F13" s="47">
        <v>200</v>
      </c>
      <c r="G13" s="47">
        <v>250</v>
      </c>
      <c r="H13" s="47">
        <v>6043</v>
      </c>
      <c r="I13" s="47">
        <v>5621</v>
      </c>
      <c r="J13" s="31" t="s">
        <v>361</v>
      </c>
      <c r="K13" s="47">
        <v>5457</v>
      </c>
      <c r="L13" s="172" t="s">
        <v>51</v>
      </c>
      <c r="M13" s="173">
        <f>CONVERT((I13-K13)/10000,"mi","ft")*IF(L13="Increasing Mileposts (1)",-1,1)</f>
        <v>86.592000000000013</v>
      </c>
      <c r="N13" s="174" t="str">
        <f>VLOOKUP(C13,'Trips&amp;Operators'!$C$1:$E$99999,3,FALSE)</f>
        <v>STAMBAUGH</v>
      </c>
      <c r="O13" s="154" t="s">
        <v>358</v>
      </c>
      <c r="P13" s="175"/>
      <c r="Q13" s="31"/>
      <c r="R13" s="100" t="str">
        <f>VLOOKUP(C13,'Train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3" s="103" t="str">
        <f>VLOOKUP(C13,'Train Runs'!$A$13:$AE$10001,22,0)</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3" s="105" t="str">
        <f>astrogrep_path&amp;" /spath="&amp;search_path&amp;" /stypes=""*"&amp;U13&amp;"*"&amp;TEXT(A13-utc_offset/24,"YYYYMMDD")&amp;LEFT(TEXT(A13-utc_offset/24,"HH"),1)&amp;"*"" /stext="" "&amp;TEXT(A13-utc_offset/24,"HH")&amp;search_regexp&amp;""" /e /r /s"</f>
        <v>"C:\Program Files (x86)\AstroGrep\AstroGrep.exe" /spath="%USERPROFILE%\AppData\Local\Temp\OnboardLogs" /stypes="*4043*201610140*" /stext=" 00:.+((SYSTEM_STATE.+slice.+state.+changed )|(ment ac)|(system.+state.+changed )|(\[timeout)|(PRM\|1\|D)|(kpr)|(kdp)|(\|lc)|(penalty))" /e /r /s</v>
      </c>
      <c r="U13" s="9" t="str">
        <f>MID(B13,13,4)</f>
        <v>4043</v>
      </c>
      <c r="V13" s="36">
        <f>A13+6/24</f>
        <v>42657.002881944441</v>
      </c>
      <c r="W13" s="50" t="str">
        <f>IF(VALUE(LEFT(IF(LEN(C13)=6,"0"&amp;C13,C13),2))&lt;=2,"EC",IF(OR(VALUE(LEFT(IF(LEN(C13)=6,"0"&amp;C13,C13),2))=8,VALUE(LEFT(IF(LEN(C13)=6,"0"&amp;C13,C13),2))=18),"NW","Other"))</f>
        <v>EC</v>
      </c>
      <c r="X13" s="50" t="str">
        <f>IF(AND(E13="TRACK WARRANT AUTHORITY",G13&lt;10),"OMIT","KEEP")</f>
        <v>KEEP</v>
      </c>
      <c r="Y13" s="122" t="str">
        <f>"echo {""issue"":{""subject"":"""&amp;P13&amp;""",""project_id"":79,""tracker_id"":40,""status_id"":"&amp;redmine_status&amp;",""priority_id"":"&amp;redmine_priority&amp;",""assigned_to_id"":"&amp;redmine_assignee&amp;",""start_date"":"""&amp;TEXT(A13,"YYYY-mm-dd")&amp;""",""description"":"""&amp;Z13&amp;""",""custom_fields"":[{""id"":1,""name"":""Subdivision"",""value"":"""&amp;W13&amp;"""},{""id"":4,""name"":""Milepost"",""value"":"""&amp;K13/10000&amp;"""},{""id"":17,""name"":""Train ID"",""value"":"""&amp;C13&amp;"""},{""id"":16,""name"":""Locomotive ID"",""value"":"""&amp;U13&amp;"""},{""id"":130,""name"":""Impact"",""value"":"""&amp;AA13&amp;"""},{""id"":150,""name"":""Time of Event (Mountain Time)"",""value"":"""&amp;TEXT(A13,"hh:mm:ss")&amp;"""},{""id"":151,""name"":""Denver Issue ID"",""value"":"""&amp;"""},{""id"":178,""name"":""Operational Impact"",""value"":"""&amp;redmine_op_impact&amp;"""},{""id"":179,""name"":""Denver Segment Assigned"",""value"":"""&amp;AB13&amp;"""}]}}"&amp;" | curl -X POST -H ""Content-Type: application/json"" -H ""X-Redmine-API-Key: "&amp;redm_api_key&amp;""" "&amp;redm_url&amp;" --data @-"</f>
        <v>echo {"issue":{"subject":"","project_id":79,"tracker_id":40,"status_id":1,"priority_id":2,"assigned_to_id":23,"start_date":"2016-10-13","description":"","custom_fields":[{"id":1,"name":"Subdivision","value":"EC"},{"id":4,"name":"Milepost","value":"0.5457"},{"id":17,"name":"Train ID","value":"204-13"},{"id":16,"name":"Locomotive ID","value":"4043"},{"id":130,"name":"Impact","value":""},{"id":150,"name":"Time of Event (Mountain Time)","value":"18:04:09"},{"id":151,"name":"Denver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21"/>
      <c r="AC13" s="155" t="str">
        <f>"grep -hSE -A100 ""Enforcement Action"" "&amp;search_path&amp;"\RTDC"&amp;U13&amp;"\*"&amp;U13&amp;"*"&amp;TEXT(A13-utc_offset/24,"YYYYMMDD")&amp;LEFT(TEXT(A13-utc_offset/24,"HH"),1)&amp;"* | grep -SE ""((Enforcement Ac)|(PRM))"" -"</f>
        <v>grep -hSE -A100 "Enforcement Action" "%USERPROFILE%\AppData\Local\Temp\OnboardLogs"\RTDC4043\*4043*201610140* | grep -SE "((Enforcement Ac)|(PRM))" -</v>
      </c>
    </row>
    <row r="14" spans="1:29" s="1" customFormat="1" x14ac:dyDescent="0.25">
      <c r="A14" s="36">
        <v>42656.25273148148</v>
      </c>
      <c r="B14" s="31" t="s">
        <v>200</v>
      </c>
      <c r="C14" s="31" t="s">
        <v>378</v>
      </c>
      <c r="D14" s="31" t="s">
        <v>49</v>
      </c>
      <c r="E14" s="31" t="s">
        <v>360</v>
      </c>
      <c r="F14" s="47">
        <v>400</v>
      </c>
      <c r="G14" s="47">
        <v>563</v>
      </c>
      <c r="H14" s="47">
        <v>14710</v>
      </c>
      <c r="I14" s="47">
        <v>17716</v>
      </c>
      <c r="J14" s="31" t="s">
        <v>361</v>
      </c>
      <c r="K14" s="47">
        <v>17867</v>
      </c>
      <c r="L14" s="172" t="s">
        <v>50</v>
      </c>
      <c r="M14" s="173">
        <f>CONVERT((I14-K14)/10000,"mi","ft")*IF(L14="Increasing Mileposts (1)",-1,1)</f>
        <v>79.727999999999994</v>
      </c>
      <c r="N14" s="174" t="str">
        <f>VLOOKUP(C14,'Trips&amp;Operators'!$C$1:$E$99999,3,FALSE)</f>
        <v>MALAVE</v>
      </c>
      <c r="O14" s="154" t="s">
        <v>358</v>
      </c>
      <c r="P14" s="175"/>
      <c r="Q14" s="31"/>
      <c r="R14" s="100" t="str">
        <f>VLOOKUP(C14,'Train Runs'!$A$13:$AE$10001,31,0)</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S14" s="103" t="str">
        <f>VLOOKUP(C14,'Train Runs'!$A$13:$AE$10001,22,0)</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T14" s="105" t="str">
        <f>astrogrep_path&amp;" /spath="&amp;search_path&amp;" /stypes=""*"&amp;U14&amp;"*"&amp;TEXT(A14-utc_offset/24,"YYYYMMDD")&amp;LEFT(TEXT(A14-utc_offset/24,"HH"),1)&amp;"*"" /stext="" "&amp;TEXT(A14-utc_offset/24,"HH")&amp;search_regexp&amp;""" /e /r /s"</f>
        <v>"C:\Program Files (x86)\AstroGrep\AstroGrep.exe" /spath="%USERPROFILE%\AppData\Local\Temp\OnboardLogs" /stypes="*4044*201610131*" /stext=" 12:.+((SYSTEM_STATE.+slice.+state.+changed )|(ment ac)|(system.+state.+changed )|(\[timeout)|(PRM\|1\|D)|(kpr)|(kdp)|(\|lc)|(penalty))" /e /r /s</v>
      </c>
      <c r="U14" s="9" t="str">
        <f>MID(B14,13,4)</f>
        <v>4044</v>
      </c>
      <c r="V14" s="36">
        <f>A14+6/24</f>
        <v>42656.50273148148</v>
      </c>
      <c r="W14" s="50" t="str">
        <f>IF(VALUE(LEFT(IF(LEN(C14)=6,"0"&amp;C14,C14),2))&lt;=2,"EC",IF(OR(VALUE(LEFT(IF(LEN(C14)=6,"0"&amp;C14,C14),2))=8,VALUE(LEFT(IF(LEN(C14)=6,"0"&amp;C14,C14),2))=18),"NW","Other"))</f>
        <v>EC</v>
      </c>
      <c r="X14" s="50" t="str">
        <f>IF(AND(E14="TRACK WARRANT AUTHORITY",G14&lt;10),"OMIT","KEEP")</f>
        <v>KEEP</v>
      </c>
      <c r="Y14" s="122" t="str">
        <f>"echo {""issue"":{""subject"":"""&amp;P14&amp;""",""project_id"":79,""tracker_id"":40,""status_id"":"&amp;redmine_status&amp;",""priority_id"":"&amp;redmine_priority&amp;",""assigned_to_id"":"&amp;redmine_assignee&amp;",""start_date"":"""&amp;TEXT(A14,"YYYY-mm-dd")&amp;""",""description"":"""&amp;Z14&amp;""",""custom_fields"":[{""id"":1,""name"":""Subdivision"",""value"":"""&amp;W14&amp;"""},{""id"":4,""name"":""Milepost"",""value"":"""&amp;K14/10000&amp;"""},{""id"":17,""name"":""Train ID"",""value"":"""&amp;C14&amp;"""},{""id"":16,""name"":""Locomotive ID"",""value"":"""&amp;U14&amp;"""},{""id"":130,""name"":""Impact"",""value"":"""&amp;AA14&amp;"""},{""id"":150,""name"":""Time of Event (Mountain Time)"",""value"":"""&amp;TEXT(A14,"hh:mm:ss")&amp;"""},{""id"":151,""name"":""Denver Issue ID"",""value"":"""&amp;"""},{""id"":178,""name"":""Operational Impact"",""value"":"""&amp;redmine_op_impact&amp;"""},{""id"":179,""name"":""Denver Segment Assigned"",""value"":"""&amp;AB14&amp;"""}]}}"&amp;" | curl -X POST -H ""Content-Type: application/json"" -H ""X-Redmine-API-Key: "&amp;redm_api_key&amp;""" "&amp;redm_url&amp;" --data @-"</f>
        <v>echo {"issue":{"subject":"","project_id":79,"tracker_id":40,"status_id":1,"priority_id":2,"assigned_to_id":23,"start_date":"2016-10-13","description":"","custom_fields":[{"id":1,"name":"Subdivision","value":"EC"},{"id":4,"name":"Milepost","value":"1.7867"},{"id":17,"name":"Train ID","value":"119-13"},{"id":16,"name":"Locomotive ID","value":"4044"},{"id":130,"name":"Impact","value":""},{"id":150,"name":"Time of Event (Mountain Time)","value":"06:03:56"},{"id":151,"name":"Denver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21"/>
      <c r="AC14" s="155" t="str">
        <f>"grep -hSE -A100 ""Enforcement Action"" "&amp;search_path&amp;"\RTDC"&amp;U14&amp;"\*"&amp;U14&amp;"*"&amp;TEXT(A14-utc_offset/24,"YYYYMMDD")&amp;LEFT(TEXT(A14-utc_offset/24,"HH"),1)&amp;"* | grep -SE ""((Enforcement Ac)|(PRM))"" -"</f>
        <v>grep -hSE -A100 "Enforcement Action" "%USERPROFILE%\AppData\Local\Temp\OnboardLogs"\RTDC4044\*4044*201610131* | grep -SE "((Enforcement Ac)|(PRM))" -</v>
      </c>
    </row>
    <row r="15" spans="1:29" s="1" customFormat="1" x14ac:dyDescent="0.25">
      <c r="A15" s="36">
        <v>42656.760659722226</v>
      </c>
      <c r="B15" s="31" t="s">
        <v>363</v>
      </c>
      <c r="C15" s="31" t="s">
        <v>413</v>
      </c>
      <c r="D15" s="31" t="s">
        <v>49</v>
      </c>
      <c r="E15" s="31" t="s">
        <v>360</v>
      </c>
      <c r="F15" s="47">
        <v>300</v>
      </c>
      <c r="G15" s="47">
        <v>373</v>
      </c>
      <c r="H15" s="47">
        <v>22872</v>
      </c>
      <c r="I15" s="47">
        <v>21950</v>
      </c>
      <c r="J15" s="31" t="s">
        <v>361</v>
      </c>
      <c r="K15" s="47">
        <v>21848</v>
      </c>
      <c r="L15" s="172" t="s">
        <v>51</v>
      </c>
      <c r="M15" s="173">
        <f>CONVERT((I15-K15)/10000,"mi","ft")*IF(L15="Increasing Mileposts (1)",-1,1)</f>
        <v>53.856000000000002</v>
      </c>
      <c r="N15" s="174" t="str">
        <f>VLOOKUP(C15,'Trips&amp;Operators'!$C$1:$E$99999,3,FALSE)</f>
        <v>MOSES</v>
      </c>
      <c r="O15" s="154" t="s">
        <v>358</v>
      </c>
      <c r="P15" s="175"/>
      <c r="Q15" s="31"/>
      <c r="R15" s="100" t="str">
        <f>VLOOKUP(C15,'Train Runs'!$A$13:$AE$10001,31,0)</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S15" s="103" t="str">
        <f>VLOOKUP(C15,'Train Runs'!$A$13:$AE$10001,22,0)</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astrogrep_path&amp;" /spath="&amp;search_path&amp;" /stypes=""*"&amp;U15&amp;"*"&amp;TEXT(A15-utc_offset/24,"YYYYMMDD")&amp;LEFT(TEXT(A15-utc_offset/24,"HH"),1)&amp;"*"" /stext="" "&amp;TEXT(A15-utc_offset/24,"HH")&amp;search_regexp&amp;""" /e /r /s"</f>
        <v>"C:\Program Files (x86)\AstroGrep\AstroGrep.exe" /spath="%USERPROFILE%\AppData\Local\Temp\OnboardLogs" /stypes="*4017*201610140*" /stext=" 00:.+((SYSTEM_STATE.+slice.+state.+changed )|(ment ac)|(system.+state.+changed )|(\[timeout)|(PRM\|1\|D)|(kpr)|(kdp)|(\|lc)|(penalty))" /e /r /s</v>
      </c>
      <c r="U15" s="9" t="str">
        <f>MID(B15,13,4)</f>
        <v>4017</v>
      </c>
      <c r="V15" s="36">
        <f>A15+6/24</f>
        <v>42657.010659722226</v>
      </c>
      <c r="W15" s="50" t="str">
        <f>IF(VALUE(LEFT(IF(LEN(C15)=6,"0"&amp;C15,C15),2))&lt;=2,"EC",IF(OR(VALUE(LEFT(IF(LEN(C15)=6,"0"&amp;C15,C15),2))=8,VALUE(LEFT(IF(LEN(C15)=6,"0"&amp;C15,C15),2))=18),"NW","Other"))</f>
        <v>EC</v>
      </c>
      <c r="X15" s="50" t="str">
        <f>IF(AND(E15="TRACK WARRANT AUTHORITY",G15&lt;10),"OMIT","KEEP")</f>
        <v>KEEP</v>
      </c>
      <c r="Y15" s="122" t="str">
        <f>"echo {""issue"":{""subject"":"""&amp;P15&amp;""",""project_id"":79,""tracker_id"":40,""status_id"":"&amp;redmine_status&amp;",""priority_id"":"&amp;redmine_priority&amp;",""assigned_to_id"":"&amp;redmine_assignee&amp;",""start_date"":"""&amp;TEXT(A15,"YYYY-mm-dd")&amp;""",""description"":"""&amp;Z15&amp;""",""custom_fields"":[{""id"":1,""name"":""Subdivision"",""value"":"""&amp;W15&amp;"""},{""id"":4,""name"":""Milepost"",""value"":"""&amp;K15/10000&amp;"""},{""id"":17,""name"":""Train ID"",""value"":"""&amp;C15&amp;"""},{""id"":16,""name"":""Locomotive ID"",""value"":"""&amp;U15&amp;"""},{""id"":130,""name"":""Impact"",""value"":"""&amp;AA15&amp;"""},{""id"":150,""name"":""Time of Event (Mountain Time)"",""value"":"""&amp;TEXT(A15,"hh:mm:ss")&amp;"""},{""id"":151,""name"":""Denver Issue ID"",""value"":"""&amp;"""},{""id"":178,""name"":""Operational Impact"",""value"":"""&amp;redmine_op_impact&amp;"""},{""id"":179,""name"":""Denver Segment Assigned"",""value"":"""&amp;AB15&amp;"""}]}}"&amp;" | curl -X POST -H ""Content-Type: application/json"" -H ""X-Redmine-API-Key: "&amp;redm_api_key&amp;""" "&amp;redm_url&amp;" --data @-"</f>
        <v>echo {"issue":{"subject":"","project_id":79,"tracker_id":40,"status_id":1,"priority_id":2,"assigned_to_id":23,"start_date":"2016-10-13","description":"","custom_fields":[{"id":1,"name":"Subdivision","value":"EC"},{"id":4,"name":"Milepost","value":"2.1848"},{"id":17,"name":"Train ID","value":"206-13"},{"id":16,"name":"Locomotive ID","value":"4017"},{"id":130,"name":"Impact","value":""},{"id":150,"name":"Time of Event (Mountain Time)","value":"18:15:21"},{"id":151,"name":"Denver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21"/>
      <c r="AC15" s="155" t="str">
        <f>"grep -hSE -A100 ""Enforcement Action"" "&amp;search_path&amp;"\RTDC"&amp;U15&amp;"\*"&amp;U15&amp;"*"&amp;TEXT(A15-utc_offset/24,"YYYYMMDD")&amp;LEFT(TEXT(A15-utc_offset/24,"HH"),1)&amp;"* | grep -SE ""((Enforcement Ac)|(PRM))"" -"</f>
        <v>grep -hSE -A100 "Enforcement Action" "%USERPROFILE%\AppData\Local\Temp\OnboardLogs"\RTDC4017\*4017*201610140* | grep -SE "((Enforcement Ac)|(PRM))" -</v>
      </c>
    </row>
    <row r="16" spans="1:29" s="1" customFormat="1" x14ac:dyDescent="0.25">
      <c r="A16" s="36">
        <v>42656.487268518518</v>
      </c>
      <c r="B16" s="31" t="s">
        <v>230</v>
      </c>
      <c r="C16" s="31" t="s">
        <v>402</v>
      </c>
      <c r="D16" s="31" t="s">
        <v>49</v>
      </c>
      <c r="E16" s="31" t="s">
        <v>360</v>
      </c>
      <c r="F16" s="47">
        <v>200</v>
      </c>
      <c r="G16" s="47">
        <v>261</v>
      </c>
      <c r="H16" s="47">
        <v>31197</v>
      </c>
      <c r="I16" s="47">
        <v>30826</v>
      </c>
      <c r="J16" s="31" t="s">
        <v>361</v>
      </c>
      <c r="K16" s="47">
        <v>30562</v>
      </c>
      <c r="L16" s="172" t="s">
        <v>51</v>
      </c>
      <c r="M16" s="173">
        <f>CONVERT((I16-K16)/10000,"mi","ft")*IF(L16="Increasing Mileposts (1)",-1,1)</f>
        <v>139.392</v>
      </c>
      <c r="N16" s="174" t="str">
        <f>VLOOKUP(C16,'Trips&amp;Operators'!$C$1:$E$99999,3,FALSE)</f>
        <v>STARKS</v>
      </c>
      <c r="O16" s="154" t="s">
        <v>358</v>
      </c>
      <c r="P16" s="175"/>
      <c r="Q16" s="31"/>
      <c r="R16" s="100" t="str">
        <f>VLOOKUP(C16,'Train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16" s="103" t="str">
        <f>VLOOKUP(C16,'Train Runs'!$A$13:$AE$10001,22,0)</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16" s="105" t="str">
        <f>astrogrep_path&amp;" /spath="&amp;search_path&amp;" /stypes=""*"&amp;U16&amp;"*"&amp;TEXT(A16-utc_offset/24,"YYYYMMDD")&amp;LEFT(TEXT(A16-utc_offset/24,"HH"),1)&amp;"*"" /stext="" "&amp;TEXT(A16-utc_offset/24,"HH")&amp;search_regexp&amp;""" /e /r /s"</f>
        <v>"C:\Program Files (x86)\AstroGrep\AstroGrep.exe" /spath="%USERPROFILE%\AppData\Local\Temp\OnboardLogs" /stypes="*4037*201610131*" /stext=" 17:.+((SYSTEM_STATE.+slice.+state.+changed )|(ment ac)|(system.+state.+changed )|(\[timeout)|(PRM\|1\|D)|(kpr)|(kdp)|(\|lc)|(penalty))" /e /r /s</v>
      </c>
      <c r="U16" s="9" t="str">
        <f>MID(B16,13,4)</f>
        <v>4037</v>
      </c>
      <c r="V16" s="36">
        <f>A16+6/24</f>
        <v>42656.737268518518</v>
      </c>
      <c r="W16" s="50" t="str">
        <f>IF(VALUE(LEFT(IF(LEN(C16)=6,"0"&amp;C16,C16),2))&lt;=2,"EC",IF(OR(VALUE(LEFT(IF(LEN(C16)=6,"0"&amp;C16,C16),2))=8,VALUE(LEFT(IF(LEN(C16)=6,"0"&amp;C16,C16),2))=18),"NW","Other"))</f>
        <v>EC</v>
      </c>
      <c r="X16" s="50" t="str">
        <f>IF(AND(E16="TRACK WARRANT AUTHORITY",G16&lt;10),"OMIT","KEEP")</f>
        <v>KEEP</v>
      </c>
      <c r="Y16" s="122" t="str">
        <f>"echo {""issue"":{""subject"":"""&amp;P16&amp;""",""project_id"":79,""tracker_id"":40,""status_id"":"&amp;redmine_status&amp;",""priority_id"":"&amp;redmine_priority&amp;",""assigned_to_id"":"&amp;redmine_assignee&amp;",""start_date"":"""&amp;TEXT(A16,"YYYY-mm-dd")&amp;""",""description"":"""&amp;Z16&amp;""",""custom_fields"":[{""id"":1,""name"":""Subdivision"",""value"":"""&amp;W16&amp;"""},{""id"":4,""name"":""Milepost"",""value"":"""&amp;K16/10000&amp;"""},{""id"":17,""name"":""Train ID"",""value"":"""&amp;C16&amp;"""},{""id"":16,""name"":""Locomotive ID"",""value"":"""&amp;U16&amp;"""},{""id"":130,""name"":""Impact"",""value"":"""&amp;AA16&amp;"""},{""id"":150,""name"":""Time of Event (Mountain Time)"",""value"":"""&amp;TEXT(A16,"hh:mm:ss")&amp;"""},{""id"":151,""name"":""Denver Issue ID"",""value"":"""&amp;"""},{""id"":178,""name"":""Operational Impact"",""value"":"""&amp;redmine_op_impact&amp;"""},{""id"":179,""name"":""Denver Segment Assigned"",""value"":"""&amp;AB16&amp;"""}]}}"&amp;" | curl -X POST -H ""Content-Type: application/json"" -H ""X-Redmine-API-Key: "&amp;redm_api_key&amp;""" "&amp;redm_url&amp;" --data @-"</f>
        <v>echo {"issue":{"subject":"","project_id":79,"tracker_id":40,"status_id":1,"priority_id":2,"assigned_to_id":23,"start_date":"2016-10-13","description":"","custom_fields":[{"id":1,"name":"Subdivision","value":"EC"},{"id":4,"name":"Milepost","value":"3.0562"},{"id":17,"name":"Train ID","value":"154-13"},{"id":16,"name":"Locomotive ID","value":"4037"},{"id":130,"name":"Impact","value":""},{"id":150,"name":"Time of Event (Mountain Time)","value":"11:41:40"},{"id":151,"name":"Denver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21"/>
      <c r="AC16" s="155" t="str">
        <f>"grep -hSE -A100 ""Enforcement Action"" "&amp;search_path&amp;"\RTDC"&amp;U16&amp;"\*"&amp;U16&amp;"*"&amp;TEXT(A16-utc_offset/24,"YYYYMMDD")&amp;LEFT(TEXT(A16-utc_offset/24,"HH"),1)&amp;"* | grep -SE ""((Enforcement Ac)|(PRM))"" -"</f>
        <v>grep -hSE -A100 "Enforcement Action" "%USERPROFILE%\AppData\Local\Temp\OnboardLogs"\RTDC4037\*4037*201610131* | grep -SE "((Enforcement Ac)|(PRM))" -</v>
      </c>
    </row>
    <row r="17" spans="1:30" s="1" customFormat="1" x14ac:dyDescent="0.25">
      <c r="A17" s="36">
        <v>42656.536481481482</v>
      </c>
      <c r="B17" s="31" t="s">
        <v>406</v>
      </c>
      <c r="C17" s="31" t="s">
        <v>407</v>
      </c>
      <c r="D17" s="31" t="s">
        <v>98</v>
      </c>
      <c r="E17" s="31" t="s">
        <v>360</v>
      </c>
      <c r="F17" s="47">
        <v>400</v>
      </c>
      <c r="G17" s="47">
        <v>450</v>
      </c>
      <c r="H17" s="47">
        <v>119150</v>
      </c>
      <c r="I17" s="47">
        <v>120238</v>
      </c>
      <c r="J17" s="31" t="s">
        <v>361</v>
      </c>
      <c r="K17" s="47">
        <v>116838</v>
      </c>
      <c r="L17" s="172" t="s">
        <v>50</v>
      </c>
      <c r="M17" s="173">
        <f>CONVERT((I17-K17)/10000,"mi","ft")*IF(L17="Increasing Mileposts (1)",-1,1)</f>
        <v>-1795.2</v>
      </c>
      <c r="N17" s="174" t="str">
        <f>VLOOKUP(C17,'Trips&amp;Operators'!$C$1:$E$99999,3,FALSE)</f>
        <v>STORY</v>
      </c>
      <c r="O17" s="154" t="s">
        <v>358</v>
      </c>
      <c r="P17" s="175"/>
      <c r="Q17" s="31"/>
      <c r="R17" s="100" t="str">
        <f>VLOOKUP(C17,'Train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17" s="103" t="str">
        <f>VLOOKUP(C17,'Train Runs'!$A$13:$AE$10001,22,0)</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17" s="105" t="str">
        <f>astrogrep_path&amp;" /spath="&amp;search_path&amp;" /stypes=""*"&amp;U17&amp;"*"&amp;TEXT(A17-utc_offset/24,"YYYYMMDD")&amp;LEFT(TEXT(A17-utc_offset/24,"HH"),1)&amp;"*"" /stext="" "&amp;TEXT(A17-utc_offset/24,"HH")&amp;search_regexp&amp;""" /e /r /s"</f>
        <v>"C:\Program Files (x86)\AstroGrep\AstroGrep.exe" /spath="%USERPROFILE%\AppData\Local\Temp\OnboardLogs" /stypes="*4025*201610131*" /stext=" 18:.+((SYSTEM_STATE.+slice.+state.+changed )|(ment ac)|(system.+state.+changed )|(\[timeout)|(PRM\|1\|D)|(kpr)|(kdp)|(\|lc)|(penalty))" /e /r /s</v>
      </c>
      <c r="U17" s="9" t="str">
        <f>MID(B17,13,4)</f>
        <v>4025</v>
      </c>
      <c r="V17" s="36">
        <f>A17+6/24</f>
        <v>42656.786481481482</v>
      </c>
      <c r="W17" s="50" t="str">
        <f>IF(VALUE(LEFT(IF(LEN(C17)=6,"0"&amp;C17,C17),2))&lt;=2,"EC",IF(OR(VALUE(LEFT(IF(LEN(C17)=6,"0"&amp;C17,C17),2))=8,VALUE(LEFT(IF(LEN(C17)=6,"0"&amp;C17,C17),2))=18),"NW","Other"))</f>
        <v>EC</v>
      </c>
      <c r="X17" s="50" t="str">
        <f>IF(AND(E17="TRACK WARRANT AUTHORITY",G17&lt;10),"OMIT","KEEP")</f>
        <v>KEEP</v>
      </c>
      <c r="Y17" s="122" t="str">
        <f>"echo {""issue"":{""subject"":"""&amp;P17&amp;""",""project_id"":79,""tracker_id"":40,""status_id"":"&amp;redmine_status&amp;",""priority_id"":"&amp;redmine_priority&amp;",""assigned_to_id"":"&amp;redmine_assignee&amp;",""start_date"":"""&amp;TEXT(A17,"YYYY-mm-dd")&amp;""",""description"":"""&amp;Z17&amp;""",""custom_fields"":[{""id"":1,""name"":""Subdivision"",""value"":"""&amp;W17&amp;"""},{""id"":4,""name"":""Milepost"",""value"":"""&amp;K17/10000&amp;"""},{""id"":17,""name"":""Train ID"",""value"":"""&amp;C17&amp;"""},{""id"":16,""name"":""Locomotive ID"",""value"":"""&amp;U17&amp;"""},{""id"":130,""name"":""Impact"",""value"":"""&amp;AA17&amp;"""},{""id"":150,""name"":""Time of Event (Mountain Time)"",""value"":"""&amp;TEXT(A17,"hh:mm:ss")&amp;"""},{""id"":151,""name"":""Denver Issue ID"",""value"":"""&amp;"""},{""id"":178,""name"":""Operational Impact"",""value"":"""&amp;redmine_op_impact&amp;"""},{""id"":179,""name"":""Denver Segment Assigned"",""value"":"""&amp;AB17&amp;"""}]}}"&amp;" | curl -X POST -H ""Content-Type: application/json"" -H ""X-Redmine-API-Key: "&amp;redm_api_key&amp;""" "&amp;redm_url&amp;" --data @-"</f>
        <v>echo {"issue":{"subject":"","project_id":79,"tracker_id":40,"status_id":1,"priority_id":2,"assigned_to_id":23,"start_date":"2016-10-13","description":"","custom_fields":[{"id":1,"name":"Subdivision","value":"EC"},{"id":4,"name":"Milepost","value":"11.6838"},{"id":17,"name":"Train ID","value":"171-13"},{"id":16,"name":"Locomotive ID","value":"4025"},{"id":130,"name":"Impact","value":""},{"id":150,"name":"Time of Event (Mountain Time)","value":"12:52:32"},{"id":151,"name":"Denver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21"/>
      <c r="AC17" s="155" t="str">
        <f>"grep -hSE -A100 ""Enforcement Action"" "&amp;search_path&amp;"\RTDC"&amp;U17&amp;"\*"&amp;U17&amp;"*"&amp;TEXT(A17-utc_offset/24,"YYYYMMDD")&amp;LEFT(TEXT(A17-utc_offset/24,"HH"),1)&amp;"* | grep -SE ""((Enforcement Ac)|(PRM))"" -"</f>
        <v>grep -hSE -A100 "Enforcement Action" "%USERPROFILE%\AppData\Local\Temp\OnboardLogs"\RTDC4025\*4025*201610131* | grep -SE "((Enforcement Ac)|(PRM))" -</v>
      </c>
    </row>
    <row r="18" spans="1:30" s="1" customFormat="1" x14ac:dyDescent="0.25">
      <c r="A18" s="36">
        <v>42656.3359837963</v>
      </c>
      <c r="B18" s="31" t="s">
        <v>379</v>
      </c>
      <c r="C18" s="31" t="s">
        <v>385</v>
      </c>
      <c r="D18" s="31" t="s">
        <v>49</v>
      </c>
      <c r="E18" s="31" t="s">
        <v>360</v>
      </c>
      <c r="F18" s="47">
        <v>350</v>
      </c>
      <c r="G18" s="47">
        <v>506</v>
      </c>
      <c r="H18" s="47">
        <v>223627</v>
      </c>
      <c r="I18" s="47">
        <v>224992</v>
      </c>
      <c r="J18" s="31" t="s">
        <v>361</v>
      </c>
      <c r="K18" s="47">
        <v>224578</v>
      </c>
      <c r="L18" s="172" t="s">
        <v>50</v>
      </c>
      <c r="M18" s="173">
        <f>CONVERT((I18-K18)/10000,"mi","ft")*IF(L18="Increasing Mileposts (1)",-1,1)</f>
        <v>-218.59200000000001</v>
      </c>
      <c r="N18" s="174" t="str">
        <f>VLOOKUP(C18,'Trips&amp;Operators'!$C$1:$E$99999,3,FALSE)</f>
        <v>SPECTOR</v>
      </c>
      <c r="O18" s="154" t="s">
        <v>358</v>
      </c>
      <c r="P18" s="175"/>
      <c r="Q18" s="31"/>
      <c r="R18" s="100" t="str">
        <f>VLOOKUP(C18,'Train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18" s="103" t="str">
        <f>VLOOKUP(C18,'Train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18" s="105" t="str">
        <f>astrogrep_path&amp;" /spath="&amp;search_path&amp;" /stypes=""*"&amp;U18&amp;"*"&amp;TEXT(A18-utc_offset/24,"YYYYMMDD")&amp;LEFT(TEXT(A18-utc_offset/24,"HH"),1)&amp;"*"" /stext="" "&amp;TEXT(A18-utc_offset/24,"HH")&amp;search_regexp&amp;""" /e /r /s"</f>
        <v>"C:\Program Files (x86)\AstroGrep\AstroGrep.exe" /spath="%USERPROFILE%\AppData\Local\Temp\OnboardLogs" /stypes="*4042*201610131*" /stext=" 14:.+((SYSTEM_STATE.+slice.+state.+changed )|(ment ac)|(system.+state.+changed )|(\[timeout)|(PRM\|1\|D)|(kpr)|(kdp)|(\|lc)|(penalty))" /e /r /s</v>
      </c>
      <c r="U18" s="9" t="str">
        <f>MID(B18,13,4)</f>
        <v>4042</v>
      </c>
      <c r="V18" s="36">
        <f>A18+6/24</f>
        <v>42656.5859837963</v>
      </c>
      <c r="W18" s="50" t="str">
        <f>IF(VALUE(LEFT(IF(LEN(C18)=6,"0"&amp;C18,C18),2))&lt;=2,"EC",IF(OR(VALUE(LEFT(IF(LEN(C18)=6,"0"&amp;C18,C18),2))=8,VALUE(LEFT(IF(LEN(C18)=6,"0"&amp;C18,C18),2))=18),"NW","Other"))</f>
        <v>EC</v>
      </c>
      <c r="X18" s="50" t="str">
        <f>IF(AND(E18="TRACK WARRANT AUTHORITY",G18&lt;10),"OMIT","KEEP")</f>
        <v>KEEP</v>
      </c>
      <c r="Y18" s="122" t="str">
        <f>"echo {""issue"":{""subject"":"""&amp;P18&amp;""",""project_id"":79,""tracker_id"":40,""status_id"":"&amp;redmine_status&amp;",""priority_id"":"&amp;redmine_priority&amp;",""assigned_to_id"":"&amp;redmine_assignee&amp;",""start_date"":"""&amp;TEXT(A18,"YYYY-mm-dd")&amp;""",""description"":"""&amp;Z18&amp;""",""custom_fields"":[{""id"":1,""name"":""Subdivision"",""value"":"""&amp;W18&amp;"""},{""id"":4,""name"":""Milepost"",""value"":"""&amp;K18/10000&amp;"""},{""id"":17,""name"":""Train ID"",""value"":"""&amp;C18&amp;"""},{""id"":16,""name"":""Locomotive ID"",""value"":"""&amp;U18&amp;"""},{""id"":130,""name"":""Impact"",""value"":"""&amp;AA18&amp;"""},{""id"":150,""name"":""Time of Event (Mountain Time)"",""value"":"""&amp;TEXT(A18,"hh:mm:ss")&amp;"""},{""id"":151,""name"":""Denver Issue ID"",""value"":"""&amp;"""},{""id"":178,""name"":""Operational Impact"",""value"":"""&amp;redmine_op_impact&amp;"""},{""id"":179,""name"":""Denver Segment Assigned"",""value"":"""&amp;AB18&amp;"""}]}}"&amp;" | curl -X POST -H ""Content-Type: application/json"" -H ""X-Redmine-API-Key: "&amp;redm_api_key&amp;""" "&amp;redm_url&amp;" --data @-"</f>
        <v>echo {"issue":{"subject":"","project_id":79,"tracker_id":40,"status_id":1,"priority_id":2,"assigned_to_id":23,"start_date":"2016-10-13","description":"","custom_fields":[{"id":1,"name":"Subdivision","value":"EC"},{"id":4,"name":"Milepost","value":"22.4578"},{"id":17,"name":"Train ID","value":"131-13"},{"id":16,"name":"Locomotive ID","value":"4042"},{"id":130,"name":"Impact","value":""},{"id":150,"name":"Time of Event (Mountain Time)","value":"08:03:49"},{"id":151,"name":"Denver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21"/>
      <c r="AC18" s="155" t="str">
        <f>"grep -hSE -A100 ""Enforcement Action"" "&amp;search_path&amp;"\RTDC"&amp;U18&amp;"\*"&amp;U18&amp;"*"&amp;TEXT(A18-utc_offset/24,"YYYYMMDD")&amp;LEFT(TEXT(A18-utc_offset/24,"HH"),1)&amp;"* | grep -SE ""((Enforcement Ac)|(PRM))"" -"</f>
        <v>grep -hSE -A100 "Enforcement Action" "%USERPROFILE%\AppData\Local\Temp\OnboardLogs"\RTDC4042\*4042*201610131* | grep -SE "((Enforcement Ac)|(PRM))" -</v>
      </c>
    </row>
    <row r="19" spans="1:30" s="1" customFormat="1" x14ac:dyDescent="0.25">
      <c r="A19" s="36">
        <v>42656.477800925924</v>
      </c>
      <c r="B19" s="31" t="s">
        <v>394</v>
      </c>
      <c r="C19" s="31" t="s">
        <v>401</v>
      </c>
      <c r="D19" s="31" t="s">
        <v>49</v>
      </c>
      <c r="E19" s="31" t="s">
        <v>360</v>
      </c>
      <c r="F19" s="47">
        <v>150</v>
      </c>
      <c r="G19" s="47">
        <v>200</v>
      </c>
      <c r="H19" s="47">
        <v>229732</v>
      </c>
      <c r="I19" s="47">
        <v>229275</v>
      </c>
      <c r="J19" s="31" t="s">
        <v>361</v>
      </c>
      <c r="K19" s="47">
        <v>229055</v>
      </c>
      <c r="L19" s="172" t="s">
        <v>51</v>
      </c>
      <c r="M19" s="173">
        <f>CONVERT((I19-K19)/10000,"mi","ft")*IF(L19="Increasing Mileposts (1)",-1,1)</f>
        <v>116.16</v>
      </c>
      <c r="N19" s="174" t="str">
        <f>VLOOKUP(C19,'Trips&amp;Operators'!$C$1:$E$99999,3,FALSE)</f>
        <v>SNYDER</v>
      </c>
      <c r="O19" s="154" t="s">
        <v>358</v>
      </c>
      <c r="P19" s="175"/>
      <c r="Q19" s="31"/>
      <c r="R19" s="100" t="str">
        <f>VLOOKUP(C19,'Train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9" s="103" t="str">
        <f>VLOOKUP(C19,'Train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9" s="105" t="str">
        <f>astrogrep_path&amp;" /spath="&amp;search_path&amp;" /stypes=""*"&amp;U19&amp;"*"&amp;TEXT(A19-utc_offset/24,"YYYYMMDD")&amp;LEFT(TEXT(A19-utc_offset/24,"HH"),1)&amp;"*"" /stext="" "&amp;TEXT(A19-utc_offset/24,"HH")&amp;search_regexp&amp;""" /e /r /s"</f>
        <v>"C:\Program Files (x86)\AstroGrep\AstroGrep.exe" /spath="%USERPROFILE%\AppData\Local\Temp\OnboardLogs" /stypes="*4001*201610131*" /stext=" 17:.+((SYSTEM_STATE.+slice.+state.+changed )|(ment ac)|(system.+state.+changed )|(\[timeout)|(PRM\|1\|D)|(kpr)|(kdp)|(\|lc)|(penalty))" /e /r /s</v>
      </c>
      <c r="U19" s="9" t="str">
        <f>MID(B19,13,4)</f>
        <v>4001</v>
      </c>
      <c r="V19" s="36">
        <f>A19+6/24</f>
        <v>42656.727800925924</v>
      </c>
      <c r="W19" s="50" t="str">
        <f>IF(VALUE(LEFT(IF(LEN(C19)=6,"0"&amp;C19,C19),2))&lt;=2,"EC",IF(OR(VALUE(LEFT(IF(LEN(C19)=6,"0"&amp;C19,C19),2))=8,VALUE(LEFT(IF(LEN(C19)=6,"0"&amp;C19,C19),2))=18),"NW","Other"))</f>
        <v>EC</v>
      </c>
      <c r="X19" s="50" t="str">
        <f>IF(AND(E19="TRACK WARRANT AUTHORITY",G19&lt;10),"OMIT","KEEP")</f>
        <v>KEEP</v>
      </c>
      <c r="Y19" s="122" t="str">
        <f>"echo {""issue"":{""subject"":"""&amp;P19&amp;""",""project_id"":79,""tracker_id"":40,""status_id"":"&amp;redmine_status&amp;",""priority_id"":"&amp;redmine_priority&amp;",""assigned_to_id"":"&amp;redmine_assignee&amp;",""start_date"":"""&amp;TEXT(A19,"YYYY-mm-dd")&amp;""",""description"":"""&amp;Z19&amp;""",""custom_fields"":[{""id"":1,""name"":""Subdivision"",""value"":"""&amp;W19&amp;"""},{""id"":4,""name"":""Milepost"",""value"":"""&amp;K19/10000&amp;"""},{""id"":17,""name"":""Train ID"",""value"":"""&amp;C19&amp;"""},{""id"":16,""name"":""Locomotive ID"",""value"":"""&amp;U19&amp;"""},{""id"":130,""name"":""Impact"",""value"":"""&amp;AA19&amp;"""},{""id"":150,""name"":""Time of Event (Mountain Time)"",""value"":"""&amp;TEXT(A19,"hh:mm:ss")&amp;"""},{""id"":151,""name"":""Denver Issue ID"",""value"":"""&amp;"""},{""id"":178,""name"":""Operational Impact"",""value"":"""&amp;redmine_op_impact&amp;"""},{""id"":179,""name"":""Denver Segment Assigned"",""value"":"""&amp;AB19&amp;"""}]}}"&amp;" | curl -X POST -H ""Content-Type: application/json"" -H ""X-Redmine-API-Key: "&amp;redm_api_key&amp;""" "&amp;redm_url&amp;" --data @-"</f>
        <v>echo {"issue":{"subject":"","project_id":79,"tracker_id":40,"status_id":1,"priority_id":2,"assigned_to_id":23,"start_date":"2016-10-13","description":"","custom_fields":[{"id":1,"name":"Subdivision","value":"EC"},{"id":4,"name":"Milepost","value":"22.9055"},{"id":17,"name":"Train ID","value":"156-13"},{"id":16,"name":"Locomotive ID","value":"4001"},{"id":130,"name":"Impact","value":""},{"id":150,"name":"Time of Event (Mountain Time)","value":"11:28:02"},{"id":151,"name":"Denver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21"/>
      <c r="AC19" s="155" t="str">
        <f>"grep -hSE -A100 ""Enforcement Action"" "&amp;search_path&amp;"\RTDC"&amp;U19&amp;"\*"&amp;U19&amp;"*"&amp;TEXT(A19-utc_offset/24,"YYYYMMDD")&amp;LEFT(TEXT(A19-utc_offset/24,"HH"),1)&amp;"* | grep -SE ""((Enforcement Ac)|(PRM))"" -"</f>
        <v>grep -hSE -A100 "Enforcement Action" "%USERPROFILE%\AppData\Local\Temp\OnboardLogs"\RTDC4001\*4001*201610131* | grep -SE "((Enforcement Ac)|(PRM))" -</v>
      </c>
    </row>
    <row r="20" spans="1:30" x14ac:dyDescent="0.25">
      <c r="A20" s="36">
        <v>42656.763888888891</v>
      </c>
      <c r="B20" s="31" t="s">
        <v>406</v>
      </c>
      <c r="C20" s="31" t="s">
        <v>414</v>
      </c>
      <c r="D20" s="31" t="s">
        <v>49</v>
      </c>
      <c r="E20" s="31" t="s">
        <v>360</v>
      </c>
      <c r="F20" s="47">
        <v>150</v>
      </c>
      <c r="G20" s="47">
        <v>324</v>
      </c>
      <c r="H20" s="47">
        <v>228597</v>
      </c>
      <c r="I20" s="47">
        <v>229567</v>
      </c>
      <c r="J20" s="31" t="s">
        <v>361</v>
      </c>
      <c r="K20" s="47">
        <v>230436</v>
      </c>
      <c r="L20" s="172" t="s">
        <v>50</v>
      </c>
      <c r="M20" s="173">
        <f>CONVERT((I20-K20)/10000,"mi","ft")*IF(L20="Increasing Mileposts (1)",-1,1)</f>
        <v>458.83199999999999</v>
      </c>
      <c r="N20" s="174" t="str">
        <f>VLOOKUP(C20,'Trips&amp;Operators'!$C$1:$E$99999,3,FALSE)</f>
        <v>COOLAHAN</v>
      </c>
      <c r="O20" s="154" t="s">
        <v>358</v>
      </c>
      <c r="P20" s="175"/>
      <c r="Q20" s="31"/>
      <c r="R20" s="100" t="str">
        <f>VLOOKUP(C20,'Train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20" s="103" t="str">
        <f>VLOOKUP(C20,'Train Runs'!$A$13:$AE$10001,22,0)</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20" s="105" t="str">
        <f>astrogrep_path&amp;" /spath="&amp;search_path&amp;" /stypes=""*"&amp;U20&amp;"*"&amp;TEXT(A20-utc_offset/24,"YYYYMMDD")&amp;LEFT(TEXT(A20-utc_offset/24,"HH"),1)&amp;"*"" /stext="" "&amp;TEXT(A20-utc_offset/24,"HH")&amp;search_regexp&amp;""" /e /r /s"</f>
        <v>"C:\Program Files (x86)\AstroGrep\AstroGrep.exe" /spath="%USERPROFILE%\AppData\Local\Temp\OnboardLogs" /stypes="*4025*201610140*" /stext=" 00:.+((SYSTEM_STATE.+slice.+state.+changed )|(ment ac)|(system.+state.+changed )|(\[timeout)|(PRM\|1\|D)|(kpr)|(kdp)|(\|lc)|(penalty))" /e /r /s</v>
      </c>
      <c r="U20" s="9" t="str">
        <f>MID(B20,13,4)</f>
        <v>4025</v>
      </c>
      <c r="V20" s="36">
        <f>A20+6/24</f>
        <v>42657.013888888891</v>
      </c>
      <c r="W20" s="50" t="str">
        <f>IF(VALUE(LEFT(IF(LEN(C20)=6,"0"&amp;C20,C20),2))&lt;=2,"EC",IF(OR(VALUE(LEFT(IF(LEN(C20)=6,"0"&amp;C20,C20),2))=8,VALUE(LEFT(IF(LEN(C20)=6,"0"&amp;C20,C20),2))=18),"NW","Other"))</f>
        <v>EC</v>
      </c>
      <c r="X20" s="50" t="str">
        <f>IF(AND(E20="TRACK WARRANT AUTHORITY",G20&lt;10),"OMIT","KEEP")</f>
        <v>KEEP</v>
      </c>
      <c r="Y20" s="122" t="str">
        <f>"echo {""issue"":{""subject"":"""&amp;P20&amp;""",""project_id"":79,""tracker_id"":40,""status_id"":"&amp;redmine_status&amp;",""priority_id"":"&amp;redmine_priority&amp;",""assigned_to_id"":"&amp;redmine_assignee&amp;",""start_date"":"""&amp;TEXT(A20,"YYYY-mm-dd")&amp;""",""description"":"""&amp;Z20&amp;""",""custom_fields"":[{""id"":1,""name"":""Subdivision"",""value"":"""&amp;W20&amp;"""},{""id"":4,""name"":""Milepost"",""value"":"""&amp;K20/10000&amp;"""},{""id"":17,""name"":""Train ID"",""value"":"""&amp;C20&amp;"""},{""id"":16,""name"":""Locomotive ID"",""value"":"""&amp;U20&amp;"""},{""id"":130,""name"":""Impact"",""value"":"""&amp;AA20&amp;"""},{""id"":150,""name"":""Time of Event (Mountain Time)"",""value"":"""&amp;TEXT(A20,"hh:mm:ss")&amp;"""},{""id"":151,""name"":""Denver Issue ID"",""value"":"""&amp;"""},{""id"":178,""name"":""Operational Impact"",""value"":"""&amp;redmine_op_impact&amp;"""},{""id"":179,""name"":""Denver Segment Assigned"",""value"":"""&amp;AB20&amp;"""}]}}"&amp;" | curl -X POST -H ""Content-Type: application/json"" -H ""X-Redmine-API-Key: "&amp;redm_api_key&amp;""" "&amp;redm_url&amp;" --data @-"</f>
        <v>echo {"issue":{"subject":"","project_id":79,"tracker_id":40,"status_id":1,"priority_id":2,"assigned_to_id":23,"start_date":"2016-10-13","description":"","custom_fields":[{"id":1,"name":"Subdivision","value":"EC"},{"id":4,"name":"Milepost","value":"23.0436"},{"id":17,"name":"Train ID","value":"213-13"},{"id":16,"name":"Locomotive ID","value":"4025"},{"id":130,"name":"Impact","value":""},{"id":150,"name":"Time of Event (Mountain Time)","value":"18:20:00"},{"id":151,"name":"Denver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21"/>
      <c r="AC20" s="155" t="str">
        <f>"grep -hSE -A100 ""Enforcement Action"" "&amp;search_path&amp;"\RTDC"&amp;U20&amp;"\*"&amp;U20&amp;"*"&amp;TEXT(A20-utc_offset/24,"YYYYMMDD")&amp;LEFT(TEXT(A20-utc_offset/24,"HH"),1)&amp;"* | grep -SE ""((Enforcement Ac)|(PRM))"" -"</f>
        <v>grep -hSE -A100 "Enforcement Action" "%USERPROFILE%\AppData\Local\Temp\OnboardLogs"\RTDC4025\*4025*201610140* | grep -SE "((Enforcement Ac)|(PRM))" -</v>
      </c>
      <c r="AD20" s="1"/>
    </row>
    <row r="21" spans="1:30" s="1" customFormat="1" x14ac:dyDescent="0.25">
      <c r="A21" s="36">
        <v>42656.938194444447</v>
      </c>
      <c r="B21" s="31" t="s">
        <v>188</v>
      </c>
      <c r="C21" s="31" t="s">
        <v>418</v>
      </c>
      <c r="D21" s="31" t="s">
        <v>49</v>
      </c>
      <c r="E21" s="31" t="s">
        <v>364</v>
      </c>
      <c r="F21" s="47">
        <v>0</v>
      </c>
      <c r="G21" s="47">
        <v>97</v>
      </c>
      <c r="H21" s="47">
        <v>1473</v>
      </c>
      <c r="I21" s="47">
        <v>1546</v>
      </c>
      <c r="J21" s="31" t="s">
        <v>365</v>
      </c>
      <c r="K21" s="47">
        <v>1692</v>
      </c>
      <c r="L21" s="172" t="s">
        <v>50</v>
      </c>
      <c r="M21" s="173">
        <f>CONVERT((I21-K21)/10000,"mi","ft")*IF(L21="Increasing Mileposts (1)",-1,1)</f>
        <v>77.087999999999994</v>
      </c>
      <c r="N21" s="174" t="str">
        <f>VLOOKUP(C21,'Trips&amp;Operators'!$C$1:$E$99999,3,FALSE)</f>
        <v>STURGEON</v>
      </c>
      <c r="O21" s="154" t="s">
        <v>209</v>
      </c>
      <c r="P21" s="175" t="s">
        <v>773</v>
      </c>
      <c r="Q21" s="31"/>
      <c r="R21" s="100" t="str">
        <f>VLOOKUP(C21,'Train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1" s="103" t="str">
        <f>VLOOKUP(C21,'Train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1" s="105" t="str">
        <f>astrogrep_path&amp;" /spath="&amp;search_path&amp;" /stypes=""*"&amp;U21&amp;"*"&amp;TEXT(A21-utc_offset/24,"YYYYMMDD")&amp;LEFT(TEXT(A21-utc_offset/24,"HH"),1)&amp;"*"" /stext="" "&amp;TEXT(A21-utc_offset/24,"HH")&amp;search_regexp&amp;""" /e /r /s"</f>
        <v>"C:\Program Files (x86)\AstroGrep\AstroGrep.exe" /spath="%USERPROFILE%\AppData\Local\Temp\OnboardLogs" /stypes="*4018*201610140*" /stext=" 04:.+((SYSTEM_STATE.+slice.+state.+changed )|(ment ac)|(system.+state.+changed )|(\[timeout)|(PRM\|1\|D)|(kpr)|(kdp)|(\|lc)|(penalty))" /e /r /s</v>
      </c>
      <c r="U21" s="9" t="str">
        <f>MID(B21,13,4)</f>
        <v>4018</v>
      </c>
      <c r="V21" s="36">
        <f>A21+6/24</f>
        <v>42657.188194444447</v>
      </c>
      <c r="W21" s="50" t="str">
        <f>IF(VALUE(LEFT(IF(LEN(C21)=6,"0"&amp;C21,C21),2))&lt;=2,"EC",IF(OR(VALUE(LEFT(IF(LEN(C21)=6,"0"&amp;C21,C21),2))=8,VALUE(LEFT(IF(LEN(C21)=6,"0"&amp;C21,C21),2))=18),"NW","Other"))</f>
        <v>EC</v>
      </c>
      <c r="X21" s="50" t="str">
        <f>IF(AND(E21="TRACK WARRANT AUTHORITY",G21&lt;10),"OMIT","KEEP")</f>
        <v>KEEP</v>
      </c>
      <c r="Y21" s="122" t="str">
        <f>"echo {""issue"":{""subject"":"""&amp;P21&amp;""",""project_id"":79,""tracker_id"":40,""status_id"":"&amp;redmine_status&amp;",""priority_id"":"&amp;redmine_priority&amp;",""assigned_to_id"":"&amp;redmine_assignee&amp;",""start_date"":"""&amp;TEXT(A21,"YYYY-mm-dd")&amp;""",""description"":"""&amp;Z21&amp;""",""custom_fields"":[{""id"":1,""name"":""Subdivision"",""value"":"""&amp;W21&amp;"""},{""id"":4,""name"":""Milepost"",""value"":"""&amp;K21/10000&amp;"""},{""id"":17,""name"":""Train ID"",""value"":"""&amp;C21&amp;"""},{""id"":16,""name"":""Locomotive ID"",""value"":"""&amp;U21&amp;"""},{""id"":130,""name"":""Impact"",""value"":"""&amp;AA21&amp;"""},{""id"":150,""name"":""Time of Event (Mountain Time)"",""value"":"""&amp;TEXT(A21,"hh:mm:ss")&amp;"""},{""id"":151,""name"":""Denver Issue ID"",""value"":"""&amp;"""},{""id"":178,""name"":""Operational Impact"",""value"":"""&amp;redmine_op_impact&amp;"""},{""id"":179,""name"":""Denver Segment Assigned"",""value"":"""&amp;AB21&amp;"""}]}}"&amp;" | curl -X POST -H ""Content-Type: application/json"" -H ""X-Redmine-API-Key: "&amp;redm_api_key&amp;""" "&amp;redm_url&amp;" --data @-"</f>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Time)","value":"22:31:00"},{"id":151,"name":"Denver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21"/>
      <c r="AC21" s="155" t="str">
        <f>"grep -hSE -A100 ""Enforcement Action"" "&amp;search_path&amp;"\RTDC"&amp;U21&amp;"\*"&amp;U21&amp;"*"&amp;TEXT(A21-utc_offset/24,"YYYYMMDD")&amp;LEFT(TEXT(A21-utc_offset/24,"HH"),1)&amp;"* | grep -SE ""((Enforcement Ac)|(PRM))"" -"</f>
        <v>grep -hSE -A100 "Enforcement Action" "%USERPROFILE%\AppData\Local\Temp\OnboardLogs"\RTDC4018\*4018*201610140* | grep -SE "((Enforcement Ac)|(PRM))" -</v>
      </c>
    </row>
    <row r="22" spans="1:30" x14ac:dyDescent="0.25">
      <c r="A22" s="36">
        <v>42656.938796296294</v>
      </c>
      <c r="B22" s="31" t="s">
        <v>188</v>
      </c>
      <c r="C22" s="31" t="s">
        <v>418</v>
      </c>
      <c r="D22" s="31" t="s">
        <v>49</v>
      </c>
      <c r="E22" s="31" t="s">
        <v>364</v>
      </c>
      <c r="F22" s="47">
        <v>0</v>
      </c>
      <c r="G22" s="47">
        <v>46</v>
      </c>
      <c r="H22" s="47">
        <v>1599</v>
      </c>
      <c r="I22" s="47">
        <v>1632</v>
      </c>
      <c r="J22" s="31" t="s">
        <v>365</v>
      </c>
      <c r="K22" s="47">
        <v>1692</v>
      </c>
      <c r="L22" s="172" t="s">
        <v>50</v>
      </c>
      <c r="M22" s="173">
        <f>CONVERT((I22-K22)/10000,"mi","ft")*IF(L22="Increasing Mileposts (1)",-1,1)</f>
        <v>31.68</v>
      </c>
      <c r="N22" s="174" t="str">
        <f>VLOOKUP(C22,'Trips&amp;Operators'!$C$1:$E$99999,3,FALSE)</f>
        <v>STURGEON</v>
      </c>
      <c r="O22" s="154" t="s">
        <v>209</v>
      </c>
      <c r="P22" s="175" t="s">
        <v>773</v>
      </c>
      <c r="Q22" s="31"/>
      <c r="R22" s="100" t="str">
        <f>VLOOKUP(C22,'Train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2" s="103" t="str">
        <f>VLOOKUP(C22,'Train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2" s="105" t="str">
        <f>astrogrep_path&amp;" /spath="&amp;search_path&amp;" /stypes=""*"&amp;U22&amp;"*"&amp;TEXT(A22-utc_offset/24,"YYYYMMDD")&amp;LEFT(TEXT(A22-utc_offset/24,"HH"),1)&amp;"*"" /stext="" "&amp;TEXT(A22-utc_offset/24,"HH")&amp;search_regexp&amp;""" /e /r /s"</f>
        <v>"C:\Program Files (x86)\AstroGrep\AstroGrep.exe" /spath="%USERPROFILE%\AppData\Local\Temp\OnboardLogs" /stypes="*4018*201610140*" /stext=" 04:.+((SYSTEM_STATE.+slice.+state.+changed )|(ment ac)|(system.+state.+changed )|(\[timeout)|(PRM\|1\|D)|(kpr)|(kdp)|(\|lc)|(penalty))" /e /r /s</v>
      </c>
      <c r="U22" s="9" t="str">
        <f>MID(B22,13,4)</f>
        <v>4018</v>
      </c>
      <c r="V22" s="36">
        <f>A22+6/24</f>
        <v>42657.188796296294</v>
      </c>
      <c r="W22" s="50" t="str">
        <f>IF(VALUE(LEFT(IF(LEN(C22)=6,"0"&amp;C22,C22),2))&lt;=2,"EC",IF(OR(VALUE(LEFT(IF(LEN(C22)=6,"0"&amp;C22,C22),2))=8,VALUE(LEFT(IF(LEN(C22)=6,"0"&amp;C22,C22),2))=18),"NW","Other"))</f>
        <v>EC</v>
      </c>
      <c r="X22" s="50" t="str">
        <f>IF(AND(E22="TRACK WARRANT AUTHORITY",G22&lt;10),"OMIT","KEEP")</f>
        <v>KEEP</v>
      </c>
      <c r="Y22" s="122" t="str">
        <f>"echo {""issue"":{""subject"":"""&amp;P22&amp;""",""project_id"":79,""tracker_id"":40,""status_id"":"&amp;redmine_status&amp;",""priority_id"":"&amp;redmine_priority&amp;",""assigned_to_id"":"&amp;redmine_assignee&amp;",""start_date"":"""&amp;TEXT(A22,"YYYY-mm-dd")&amp;""",""description"":"""&amp;Z22&amp;""",""custom_fields"":[{""id"":1,""name"":""Subdivision"",""value"":"""&amp;W22&amp;"""},{""id"":4,""name"":""Milepost"",""value"":"""&amp;K22/10000&amp;"""},{""id"":17,""name"":""Train ID"",""value"":"""&amp;C22&amp;"""},{""id"":16,""name"":""Locomotive ID"",""value"":"""&amp;U22&amp;"""},{""id"":130,""name"":""Impact"",""value"":"""&amp;AA22&amp;"""},{""id"":150,""name"":""Time of Event (Mountain Time)"",""value"":"""&amp;TEXT(A22,"hh:mm:ss")&amp;"""},{""id"":151,""name"":""Denver Issue ID"",""value"":"""&amp;"""},{""id"":178,""name"":""Operational Impact"",""value"":"""&amp;redmine_op_impact&amp;"""},{""id"":179,""name"":""Denver Segment Assigned"",""value"":"""&amp;AB22&amp;"""}]}}"&amp;" | curl -X POST -H ""Content-Type: application/json"" -H ""X-Redmine-API-Key: "&amp;redm_api_key&amp;""" "&amp;redm_url&amp;" --data @-"</f>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Time)","value":"22:31:52"},{"id":151,"name":"Denver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21"/>
      <c r="AC22" s="155" t="str">
        <f>"grep -hSE -A100 ""Enforcement Action"" "&amp;search_path&amp;"\RTDC"&amp;U22&amp;"\*"&amp;U22&amp;"*"&amp;TEXT(A22-utc_offset/24,"YYYYMMDD")&amp;LEFT(TEXT(A22-utc_offset/24,"HH"),1)&amp;"* | grep -SE ""((Enforcement Ac)|(PRM))"" -"</f>
        <v>grep -hSE -A100 "Enforcement Action" "%USERPROFILE%\AppData\Local\Temp\OnboardLogs"\RTDC4018\*4018*201610140* | grep -SE "((Enforcement Ac)|(PRM))" -</v>
      </c>
      <c r="AD22" s="1"/>
    </row>
    <row r="23" spans="1:30" x14ac:dyDescent="0.25">
      <c r="A23" s="36">
        <v>42656.94326388889</v>
      </c>
      <c r="B23" s="31" t="s">
        <v>230</v>
      </c>
      <c r="C23" s="31" t="s">
        <v>419</v>
      </c>
      <c r="D23" s="31" t="s">
        <v>49</v>
      </c>
      <c r="E23" s="31" t="s">
        <v>364</v>
      </c>
      <c r="F23" s="47">
        <v>0</v>
      </c>
      <c r="G23" s="47">
        <v>121</v>
      </c>
      <c r="H23" s="47">
        <v>5225</v>
      </c>
      <c r="I23" s="47">
        <v>5104</v>
      </c>
      <c r="J23" s="31" t="s">
        <v>365</v>
      </c>
      <c r="K23" s="47">
        <v>4677</v>
      </c>
      <c r="L23" s="172" t="s">
        <v>51</v>
      </c>
      <c r="M23" s="173">
        <f>CONVERT((I23-K23)/10000,"mi","ft")*IF(L23="Increasing Mileposts (1)",-1,1)</f>
        <v>225.45599999999999</v>
      </c>
      <c r="N23" s="174" t="str">
        <f>VLOOKUP(C23,'Trips&amp;Operators'!$C$1:$E$99999,3,FALSE)</f>
        <v>LEVERE</v>
      </c>
      <c r="O23" s="154" t="s">
        <v>209</v>
      </c>
      <c r="P23" s="175" t="s">
        <v>773</v>
      </c>
      <c r="Q23" s="31"/>
      <c r="R23" s="100" t="str">
        <f>VLOOKUP(C23,'Train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23" s="103" t="str">
        <f>VLOOKUP(C23,'Train Runs'!$A$13:$AE$10001,22,0)</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23" s="105" t="str">
        <f>astrogrep_path&amp;" /spath="&amp;search_path&amp;" /stypes=""*"&amp;U23&amp;"*"&amp;TEXT(A23-utc_offset/24,"YYYYMMDD")&amp;LEFT(TEXT(A23-utc_offset/24,"HH"),1)&amp;"*"" /stext="" "&amp;TEXT(A23-utc_offset/24,"HH")&amp;search_regexp&amp;""" /e /r /s"</f>
        <v>"C:\Program Files (x86)\AstroGrep\AstroGrep.exe" /spath="%USERPROFILE%\AppData\Local\Temp\OnboardLogs" /stypes="*4037*201610140*" /stext=" 04:.+((SYSTEM_STATE.+slice.+state.+changed )|(ment ac)|(system.+state.+changed )|(\[timeout)|(PRM\|1\|D)|(kpr)|(kdp)|(\|lc)|(penalty))" /e /r /s</v>
      </c>
      <c r="U23" s="9" t="str">
        <f>MID(B23,13,4)</f>
        <v>4037</v>
      </c>
      <c r="V23" s="36">
        <f>A23+6/24</f>
        <v>42657.19326388889</v>
      </c>
      <c r="W23" s="50" t="str">
        <f>IF(VALUE(LEFT(IF(LEN(C23)=6,"0"&amp;C23,C23),2))&lt;=2,"EC",IF(OR(VALUE(LEFT(IF(LEN(C23)=6,"0"&amp;C23,C23),2))=8,VALUE(LEFT(IF(LEN(C23)=6,"0"&amp;C23,C23),2))=18),"NW","Other"))</f>
        <v>EC</v>
      </c>
      <c r="X23" s="50" t="str">
        <f>IF(AND(E23="TRACK WARRANT AUTHORITY",G23&lt;10),"OMIT","KEEP")</f>
        <v>KEEP</v>
      </c>
      <c r="Y23" s="122" t="str">
        <f>"echo {""issue"":{""subject"":"""&amp;P23&amp;""",""project_id"":79,""tracker_id"":40,""status_id"":"&amp;redmine_status&amp;",""priority_id"":"&amp;redmine_priority&amp;",""assigned_to_id"":"&amp;redmine_assignee&amp;",""start_date"":"""&amp;TEXT(A23,"YYYY-mm-dd")&amp;""",""description"":"""&amp;Z23&amp;""",""custom_fields"":[{""id"":1,""name"":""Subdivision"",""value"":"""&amp;W23&amp;"""},{""id"":4,""name"":""Milepost"",""value"":"""&amp;K23/10000&amp;"""},{""id"":17,""name"":""Train ID"",""value"":"""&amp;C23&amp;"""},{""id"":16,""name"":""Locomotive ID"",""value"":"""&amp;U23&amp;"""},{""id"":130,""name"":""Impact"",""value"":"""&amp;AA23&amp;"""},{""id"":150,""name"":""Time of Event (Mountain Time)"",""value"":"""&amp;TEXT(A23,"hh:mm:ss")&amp;"""},{""id"":151,""name"":""Denver Issue ID"",""value"":"""&amp;"""},{""id"":178,""name"":""Operational Impact"",""value"":"""&amp;redmine_op_impact&amp;"""},{""id"":179,""name"":""Denver Segment Assigned"",""value"":"""&amp;AB23&amp;"""}]}}"&amp;" | curl -X POST -H ""Content-Type: application/json"" -H ""X-Redmine-API-Key: "&amp;redm_api_key&amp;""" "&amp;redm_url&amp;" --data @-"</f>
        <v>echo {"issue":{"subject":"DUS bungalow power outage","project_id":79,"tracker_id":40,"status_id":1,"priority_id":2,"assigned_to_id":23,"start_date":"2016-10-13","description":"","custom_fields":[{"id":1,"name":"Subdivision","value":"EC"},{"id":4,"name":"Milepost","value":"0.4677"},{"id":17,"name":"Train ID","value":"230-13"},{"id":16,"name":"Locomotive ID","value":"4037"},{"id":130,"name":"Impact","value":""},{"id":150,"name":"Time of Event (Mountain Time)","value":"22:38:18"},{"id":151,"name":"Denver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21"/>
      <c r="AC23" s="155" t="str">
        <f>"grep -hSE -A100 ""Enforcement Action"" "&amp;search_path&amp;"\RTDC"&amp;U23&amp;"\*"&amp;U23&amp;"*"&amp;TEXT(A23-utc_offset/24,"YYYYMMDD")&amp;LEFT(TEXT(A23-utc_offset/24,"HH"),1)&amp;"* | grep -SE ""((Enforcement Ac)|(PRM))"" -"</f>
        <v>grep -hSE -A100 "Enforcement Action" "%USERPROFILE%\AppData\Local\Temp\OnboardLogs"\RTDC4037\*4037*201610140* | grep -SE "((Enforcement Ac)|(PRM))" -</v>
      </c>
      <c r="AD23" s="1"/>
    </row>
    <row r="24" spans="1:30" x14ac:dyDescent="0.25">
      <c r="A24" s="36">
        <v>42656.15556712963</v>
      </c>
      <c r="B24" s="31" t="s">
        <v>218</v>
      </c>
      <c r="C24" s="31" t="s">
        <v>376</v>
      </c>
      <c r="D24" s="31" t="s">
        <v>49</v>
      </c>
      <c r="E24" s="31" t="s">
        <v>364</v>
      </c>
      <c r="F24" s="47">
        <v>0</v>
      </c>
      <c r="G24" s="47">
        <v>31</v>
      </c>
      <c r="H24" s="47">
        <v>126282</v>
      </c>
      <c r="I24" s="47">
        <v>126358</v>
      </c>
      <c r="J24" s="31" t="s">
        <v>365</v>
      </c>
      <c r="K24" s="47">
        <v>126585</v>
      </c>
      <c r="L24" s="172" t="s">
        <v>50</v>
      </c>
      <c r="M24" s="173">
        <f>CONVERT((I24-K24)/10000,"mi","ft")*IF(L24="Increasing Mileposts (1)",-1,1)</f>
        <v>119.85599999999999</v>
      </c>
      <c r="N24" s="174" t="str">
        <f>VLOOKUP(C24,'Trips&amp;Operators'!$C$1:$E$99999,3,FALSE)</f>
        <v>MAELZER</v>
      </c>
      <c r="O24" s="154" t="s">
        <v>358</v>
      </c>
      <c r="P24" s="175" t="s">
        <v>775</v>
      </c>
      <c r="Q24" s="31"/>
      <c r="R24" s="100" t="str">
        <f>VLOOKUP(C24,'Train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24" s="103" t="str">
        <f>VLOOKUP(C24,'Train Runs'!$A$13:$AE$10001,22,0)</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24" s="105" t="str">
        <f>astrogrep_path&amp;" /spath="&amp;search_path&amp;" /stypes=""*"&amp;U24&amp;"*"&amp;TEXT(A24-utc_offset/24,"YYYYMMDD")&amp;LEFT(TEXT(A24-utc_offset/24,"HH"),1)&amp;"*"" /stext="" "&amp;TEXT(A24-utc_offset/24,"HH")&amp;search_regexp&amp;""" /e /r /s"</f>
        <v>"C:\Program Files (x86)\AstroGrep\AstroGrep.exe" /spath="%USERPROFILE%\AppData\Local\Temp\OnboardLogs" /stypes="*4038*201610130*" /stext=" 09:.+((SYSTEM_STATE.+slice.+state.+changed )|(ment ac)|(system.+state.+changed )|(\[timeout)|(PRM\|1\|D)|(kpr)|(kdp)|(\|lc)|(penalty))" /e /r /s</v>
      </c>
      <c r="U24" s="9" t="str">
        <f>MID(B24,13,4)</f>
        <v>4038</v>
      </c>
      <c r="V24" s="36">
        <f>A24+6/24</f>
        <v>42656.40556712963</v>
      </c>
      <c r="W24" s="50" t="str">
        <f>IF(VALUE(LEFT(IF(LEN(C24)=6,"0"&amp;C24,C24),2))&lt;=2,"EC",IF(OR(VALUE(LEFT(IF(LEN(C24)=6,"0"&amp;C24,C24),2))=8,VALUE(LEFT(IF(LEN(C24)=6,"0"&amp;C24,C24),2))=18),"NW","Other"))</f>
        <v>EC</v>
      </c>
      <c r="X24" s="50" t="str">
        <f>IF(AND(E24="TRACK WARRANT AUTHORITY",G24&lt;10),"OMIT","KEEP")</f>
        <v>KEEP</v>
      </c>
      <c r="Y24" s="122" t="str">
        <f>"echo {""issue"":{""subject"":"""&amp;P24&amp;""",""project_id"":79,""tracker_id"":40,""status_id"":"&amp;redmine_status&amp;",""priority_id"":"&amp;redmine_priority&amp;",""assigned_to_id"":"&amp;redmine_assignee&amp;",""start_date"":"""&amp;TEXT(A24,"YYYY-mm-dd")&amp;""",""description"":"""&amp;Z24&amp;""",""custom_fields"":[{""id"":1,""name"":""Subdivision"",""value"":"""&amp;W24&amp;"""},{""id"":4,""name"":""Milepost"",""value"":"""&amp;K24/10000&amp;"""},{""id"":17,""name"":""Train ID"",""value"":"""&amp;C24&amp;"""},{""id"":16,""name"":""Locomotive ID"",""value"":"""&amp;U24&amp;"""},{""id"":130,""name"":""Impact"",""value"":"""&amp;AA24&amp;"""},{""id"":150,""name"":""Time of Event (Mountain Time)"",""value"":"""&amp;TEXT(A24,"hh:mm:ss")&amp;"""},{""id"":151,""name"":""Denver Issue ID"",""value"":"""&amp;"""},{""id"":178,""name"":""Operational Impact"",""value"":"""&amp;redmine_op_impact&amp;"""},{""id"":179,""name"":""Denver Segment Assigned"",""value"":"""&amp;AB24&amp;"""}]}}"&amp;" | curl -X POST -H ""Content-Type: application/json"" -H ""X-Redmine-API-Key: "&amp;redm_api_key&amp;""" "&amp;redm_url&amp;" --data @-"</f>
        <v>echo {"issue":{"subject":"40th 2N stuck at STOP - inefficient dispatching?","project_id":79,"tracker_id":40,"status_id":1,"priority_id":2,"assigned_to_id":23,"start_date":"2016-10-13","description":"","custom_fields":[{"id":1,"name":"Subdivision","value":"EC"},{"id":4,"name":"Milepost","value":"12.6585"},{"id":17,"name":"Train ID","value":"101-13"},{"id":16,"name":"Locomotive ID","value":"4038"},{"id":130,"name":"Impact","value":""},{"id":150,"name":"Time of Event (Mountain Time)","value":"03:44:01"},{"id":151,"name":"Denver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21"/>
      <c r="AC24" s="155" t="str">
        <f>"grep -hSE -A100 ""Enforcement Action"" "&amp;search_path&amp;"\RTDC"&amp;U24&amp;"\*"&amp;U24&amp;"*"&amp;TEXT(A24-utc_offset/24,"YYYYMMDD")&amp;LEFT(TEXT(A24-utc_offset/24,"HH"),1)&amp;"* | grep -SE ""((Enforcement Ac)|(PRM))"" -"</f>
        <v>grep -hSE -A100 "Enforcement Action" "%USERPROFILE%\AppData\Local\Temp\OnboardLogs"\RTDC4038\*4038*201610130* | grep -SE "((Enforcement Ac)|(PRM))" -</v>
      </c>
      <c r="AD24" s="1"/>
    </row>
    <row r="25" spans="1:30" ht="15" customHeight="1" x14ac:dyDescent="0.25">
      <c r="A25" s="36">
        <v>42656.277789351851</v>
      </c>
      <c r="B25" s="31" t="s">
        <v>250</v>
      </c>
      <c r="C25" s="31" t="s">
        <v>381</v>
      </c>
      <c r="D25" s="31" t="s">
        <v>49</v>
      </c>
      <c r="E25" s="31" t="s">
        <v>364</v>
      </c>
      <c r="F25" s="47">
        <v>0</v>
      </c>
      <c r="G25" s="47">
        <v>412</v>
      </c>
      <c r="H25" s="47">
        <v>129478</v>
      </c>
      <c r="I25" s="47">
        <v>128317</v>
      </c>
      <c r="J25" s="31" t="s">
        <v>365</v>
      </c>
      <c r="K25" s="47">
        <v>127587</v>
      </c>
      <c r="L25" s="172" t="s">
        <v>51</v>
      </c>
      <c r="M25" s="173">
        <f>CONVERT((I25-K25)/10000,"mi","ft")*IF(L25="Increasing Mileposts (1)",-1,1)</f>
        <v>385.44</v>
      </c>
      <c r="N25" s="174" t="str">
        <f>VLOOKUP(C25,'Trips&amp;Operators'!$C$1:$E$99999,3,FALSE)</f>
        <v>SANTIZO</v>
      </c>
      <c r="O25" s="154" t="s">
        <v>358</v>
      </c>
      <c r="P25" s="175" t="s">
        <v>779</v>
      </c>
      <c r="Q25" s="31"/>
      <c r="R25" s="100" t="str">
        <f>VLOOKUP(C25,'Train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5" s="103" t="str">
        <f>VLOOKUP(C25,'Train Runs'!$A$13:$AE$10001,22,0)</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5" s="105" t="str">
        <f>astrogrep_path&amp;" /spath="&amp;search_path&amp;" /stypes=""*"&amp;U25&amp;"*"&amp;TEXT(A25-utc_offset/24,"YYYYMMDD")&amp;LEFT(TEXT(A25-utc_offset/24,"HH"),1)&amp;"*"" /stext="" "&amp;TEXT(A25-utc_offset/24,"HH")&amp;search_regexp&amp;""" /e /r /s"</f>
        <v>"C:\Program Files (x86)\AstroGrep\AstroGrep.exe" /spath="%USERPROFILE%\AppData\Local\Temp\OnboardLogs" /stypes="*4026*201610131*" /stext=" 12:.+((SYSTEM_STATE.+slice.+state.+changed )|(ment ac)|(system.+state.+changed )|(\[timeout)|(PRM\|1\|D)|(kpr)|(kdp)|(\|lc)|(penalty))" /e /r /s</v>
      </c>
      <c r="U25" s="9" t="str">
        <f>MID(B25,13,4)</f>
        <v>4026</v>
      </c>
      <c r="V25" s="36">
        <f>A25+6/24</f>
        <v>42656.527789351851</v>
      </c>
      <c r="W25" s="50" t="str">
        <f>IF(VALUE(LEFT(IF(LEN(C25)=6,"0"&amp;C25,C25),2))&lt;=2,"EC",IF(OR(VALUE(LEFT(IF(LEN(C25)=6,"0"&amp;C25,C25),2))=8,VALUE(LEFT(IF(LEN(C25)=6,"0"&amp;C25,C25),2))=18),"NW","Other"))</f>
        <v>EC</v>
      </c>
      <c r="X25" s="50" t="str">
        <f>IF(AND(E25="TRACK WARRANT AUTHORITY",G25&lt;10),"OMIT","KEEP")</f>
        <v>KEEP</v>
      </c>
      <c r="Y25" s="122" t="str">
        <f>"echo {""issue"":{""subject"":"""&amp;P25&amp;""",""project_id"":79,""tracker_id"":40,""status_id"":"&amp;redmine_status&amp;",""priority_id"":"&amp;redmine_priority&amp;",""assigned_to_id"":"&amp;redmine_assignee&amp;",""start_date"":"""&amp;TEXT(A25,"YYYY-mm-dd")&amp;""",""description"":"""&amp;Z25&amp;""",""custom_fields"":[{""id"":1,""name"":""Subdivision"",""value"":"""&amp;W25&amp;"""},{""id"":4,""name"":""Milepost"",""value"":"""&amp;K25/10000&amp;"""},{""id"":17,""name"":""Train ID"",""value"":"""&amp;C25&amp;"""},{""id"":16,""name"":""Locomotive ID"",""value"":"""&amp;U25&amp;"""},{""id"":130,""name"":""Impact"",""value"":"""&amp;AA25&amp;"""},{""id"":150,""name"":""Time of Event (Mountain Time)"",""value"":"""&amp;TEXT(A25,"hh:mm:ss")&amp;"""},{""id"":151,""name"":""Denver Issue ID"",""value"":"""&amp;"""},{""id"":178,""name"":""Operational Impact"",""value"":"""&amp;redmine_op_impact&amp;"""},{""id"":179,""name"":""Denver Segment Assigned"",""value"":"""&amp;AB25&amp;"""}]}}"&amp;" | curl -X POST -H ""Content-Type: application/json"" -H ""X-Redmine-API-Key: "&amp;redm_api_key&amp;""" "&amp;redm_url&amp;" --data @-"</f>
        <v>echo {"issue":{"subject":"40th 4S STOP, cleared afterward","project_id":79,"tracker_id":40,"status_id":1,"priority_id":2,"assigned_to_id":23,"start_date":"2016-10-13","description":"","custom_fields":[{"id":1,"name":"Subdivision","value":"EC"},{"id":4,"name":"Milepost","value":"12.7587"},{"id":17,"name":"Train ID","value":"116-13"},{"id":16,"name":"Locomotive ID","value":"4026"},{"id":130,"name":"Impact","value":""},{"id":150,"name":"Time of Event (Mountain Time)","value":"06:40:01"},{"id":151,"name":"Denver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21"/>
      <c r="AC25" s="155" t="str">
        <f>"grep -hSE -A100 ""Enforcement Action"" "&amp;search_path&amp;"\RTDC"&amp;U25&amp;"\*"&amp;U25&amp;"*"&amp;TEXT(A25-utc_offset/24,"YYYYMMDD")&amp;LEFT(TEXT(A25-utc_offset/24,"HH"),1)&amp;"* | grep -SE ""((Enforcement Ac)|(PRM))"" -"</f>
        <v>grep -hSE -A100 "Enforcement Action" "%USERPROFILE%\AppData\Local\Temp\OnboardLogs"\RTDC4026\*4026*201610131* | grep -SE "((Enforcement Ac)|(PRM))" -</v>
      </c>
      <c r="AD25" s="1"/>
    </row>
    <row r="26" spans="1:30" x14ac:dyDescent="0.25">
      <c r="A26" s="36">
        <v>42656.350868055553</v>
      </c>
      <c r="B26" s="31" t="s">
        <v>250</v>
      </c>
      <c r="C26" s="31" t="s">
        <v>387</v>
      </c>
      <c r="D26" s="31" t="s">
        <v>49</v>
      </c>
      <c r="E26" s="31" t="s">
        <v>364</v>
      </c>
      <c r="F26" s="47">
        <v>0</v>
      </c>
      <c r="G26" s="47">
        <v>317</v>
      </c>
      <c r="H26" s="47">
        <v>128707</v>
      </c>
      <c r="I26" s="47">
        <v>128148</v>
      </c>
      <c r="J26" s="31" t="s">
        <v>365</v>
      </c>
      <c r="K26" s="47">
        <v>127587</v>
      </c>
      <c r="L26" s="172" t="s">
        <v>51</v>
      </c>
      <c r="M26" s="173">
        <f>CONVERT((I26-K26)/10000,"mi","ft")*IF(L26="Increasing Mileposts (1)",-1,1)</f>
        <v>296.20800000000003</v>
      </c>
      <c r="N26" s="174" t="str">
        <f>VLOOKUP(C26,'Trips&amp;Operators'!$C$1:$E$99999,3,FALSE)</f>
        <v>SANTIZO</v>
      </c>
      <c r="O26" s="154" t="s">
        <v>358</v>
      </c>
      <c r="P26" s="175" t="s">
        <v>779</v>
      </c>
      <c r="Q26" s="31"/>
      <c r="R26" s="100" t="str">
        <f>VLOOKUP(C26,'Train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6" s="103" t="str">
        <f>VLOOKUP(C26,'Train Runs'!$A$13:$AE$10001,22,0)</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6" s="105" t="str">
        <f>astrogrep_path&amp;" /spath="&amp;search_path&amp;" /stypes=""*"&amp;U26&amp;"*"&amp;TEXT(A26-utc_offset/24,"YYYYMMDD")&amp;LEFT(TEXT(A26-utc_offset/24,"HH"),1)&amp;"*"" /stext="" "&amp;TEXT(A26-utc_offset/24,"HH")&amp;search_regexp&amp;""" /e /r /s"</f>
        <v>"C:\Program Files (x86)\AstroGrep\AstroGrep.exe" /spath="%USERPROFILE%\AppData\Local\Temp\OnboardLogs" /stypes="*4026*201610131*" /stext=" 14:.+((SYSTEM_STATE.+slice.+state.+changed )|(ment ac)|(system.+state.+changed )|(\[timeout)|(PRM\|1\|D)|(kpr)|(kdp)|(\|lc)|(penalty))" /e /r /s</v>
      </c>
      <c r="U26" s="9" t="str">
        <f>MID(B26,13,4)</f>
        <v>4026</v>
      </c>
      <c r="V26" s="36">
        <f>A26+6/24</f>
        <v>42656.600868055553</v>
      </c>
      <c r="W26" s="50" t="str">
        <f>IF(VALUE(LEFT(IF(LEN(C26)=6,"0"&amp;C26,C26),2))&lt;=2,"EC",IF(OR(VALUE(LEFT(IF(LEN(C26)=6,"0"&amp;C26,C26),2))=8,VALUE(LEFT(IF(LEN(C26)=6,"0"&amp;C26,C26),2))=18),"NW","Other"))</f>
        <v>EC</v>
      </c>
      <c r="X26" s="50" t="str">
        <f>IF(AND(E26="TRACK WARRANT AUTHORITY",G26&lt;10),"OMIT","KEEP")</f>
        <v>KEEP</v>
      </c>
      <c r="Y26" s="122" t="str">
        <f>"echo {""issue"":{""subject"":"""&amp;P26&amp;""",""project_id"":79,""tracker_id"":40,""status_id"":"&amp;redmine_status&amp;",""priority_id"":"&amp;redmine_priority&amp;",""assigned_to_id"":"&amp;redmine_assignee&amp;",""start_date"":"""&amp;TEXT(A26,"YYYY-mm-dd")&amp;""",""description"":"""&amp;Z26&amp;""",""custom_fields"":[{""id"":1,""name"":""Subdivision"",""value"":"""&amp;W26&amp;"""},{""id"":4,""name"":""Milepost"",""value"":"""&amp;K26/10000&amp;"""},{""id"":17,""name"":""Train ID"",""value"":"""&amp;C26&amp;"""},{""id"":16,""name"":""Locomotive ID"",""value"":"""&amp;U26&amp;"""},{""id"":130,""name"":""Impact"",""value"":"""&amp;AA26&amp;"""},{""id"":150,""name"":""Time of Event (Mountain Time)"",""value"":"""&amp;TEXT(A26,"hh:mm:ss")&amp;"""},{""id"":151,""name"":""Denver Issue ID"",""value"":"""&amp;"""},{""id"":178,""name"":""Operational Impact"",""value"":"""&amp;redmine_op_impact&amp;"""},{""id"":179,""name"":""Denver Segment Assigned"",""value"":"""&amp;AB26&amp;"""}]}}"&amp;" | curl -X POST -H ""Content-Type: application/json"" -H ""X-Redmine-API-Key: "&amp;redm_api_key&amp;""" "&amp;redm_url&amp;" --data @-"</f>
        <v>echo {"issue":{"subject":"40th 4S STOP, cleared afterward","project_id":79,"tracker_id":40,"status_id":1,"priority_id":2,"assigned_to_id":23,"start_date":"2016-10-13","description":"","custom_fields":[{"id":1,"name":"Subdivision","value":"EC"},{"id":4,"name":"Milepost","value":"12.7587"},{"id":17,"name":"Train ID","value":"130-13"},{"id":16,"name":"Locomotive ID","value":"4026"},{"id":130,"name":"Impact","value":""},{"id":150,"name":"Time of Event (Mountain Time)","value":"08:25:15"},{"id":151,"name":"Denver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21"/>
      <c r="AC26" s="155" t="str">
        <f>"grep -hSE -A100 ""Enforcement Action"" "&amp;search_path&amp;"\RTDC"&amp;U26&amp;"\*"&amp;U26&amp;"*"&amp;TEXT(A26-utc_offset/24,"YYYYMMDD")&amp;LEFT(TEXT(A26-utc_offset/24,"HH"),1)&amp;"* | grep -SE ""((Enforcement Ac)|(PRM))"" -"</f>
        <v>grep -hSE -A100 "Enforcement Action" "%USERPROFILE%\AppData\Local\Temp\OnboardLogs"\RTDC4026\*4026*201610131* | grep -SE "((Enforcement Ac)|(PRM))" -</v>
      </c>
      <c r="AD26" s="1"/>
    </row>
    <row r="27" spans="1:30" x14ac:dyDescent="0.25">
      <c r="A27" s="36">
        <v>42656.370798611111</v>
      </c>
      <c r="B27" s="31" t="s">
        <v>222</v>
      </c>
      <c r="C27" s="31" t="s">
        <v>390</v>
      </c>
      <c r="D27" s="31" t="s">
        <v>49</v>
      </c>
      <c r="E27" s="31" t="s">
        <v>364</v>
      </c>
      <c r="F27" s="47">
        <v>0</v>
      </c>
      <c r="G27" s="47">
        <v>506</v>
      </c>
      <c r="H27" s="47">
        <v>130126</v>
      </c>
      <c r="I27" s="47">
        <v>128469</v>
      </c>
      <c r="J27" s="31" t="s">
        <v>365</v>
      </c>
      <c r="K27" s="47">
        <v>127587</v>
      </c>
      <c r="L27" s="172" t="s">
        <v>51</v>
      </c>
      <c r="M27" s="173">
        <f>CONVERT((I27-K27)/10000,"mi","ft")*IF(L27="Increasing Mileposts (1)",-1,1)</f>
        <v>465.69600000000003</v>
      </c>
      <c r="N27" s="174" t="str">
        <f>VLOOKUP(C27,'Trips&amp;Operators'!$C$1:$E$99999,3,FALSE)</f>
        <v>MALAVE</v>
      </c>
      <c r="O27" s="154" t="s">
        <v>358</v>
      </c>
      <c r="P27" s="175" t="s">
        <v>779</v>
      </c>
      <c r="Q27" s="31"/>
      <c r="R27" s="100" t="str">
        <f>VLOOKUP(C27,'Train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7" s="103" t="str">
        <f>VLOOKUP(C27,'Train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7" s="105" t="str">
        <f>astrogrep_path&amp;" /spath="&amp;search_path&amp;" /stypes=""*"&amp;U27&amp;"*"&amp;TEXT(A27-utc_offset/24,"YYYYMMDD")&amp;LEFT(TEXT(A27-utc_offset/24,"HH"),1)&amp;"*"" /stext="" "&amp;TEXT(A27-utc_offset/24,"HH")&amp;search_regexp&amp;""" /e /r /s"</f>
        <v>"C:\Program Files (x86)\AstroGrep\AstroGrep.exe" /spath="%USERPROFILE%\AppData\Local\Temp\OnboardLogs" /stypes="*4043*201610131*" /stext=" 14:.+((SYSTEM_STATE.+slice.+state.+changed )|(ment ac)|(system.+state.+changed )|(\[timeout)|(PRM\|1\|D)|(kpr)|(kdp)|(\|lc)|(penalty))" /e /r /s</v>
      </c>
      <c r="U27" s="9" t="str">
        <f>MID(B27,13,4)</f>
        <v>4043</v>
      </c>
      <c r="V27" s="36">
        <f>A27+6/24</f>
        <v>42656.620798611111</v>
      </c>
      <c r="W27" s="50" t="str">
        <f>IF(VALUE(LEFT(IF(LEN(C27)=6,"0"&amp;C27,C27),2))&lt;=2,"EC",IF(OR(VALUE(LEFT(IF(LEN(C27)=6,"0"&amp;C27,C27),2))=8,VALUE(LEFT(IF(LEN(C27)=6,"0"&amp;C27,C27),2))=18),"NW","Other"))</f>
        <v>EC</v>
      </c>
      <c r="X27" s="50" t="str">
        <f>IF(AND(E27="TRACK WARRANT AUTHORITY",G27&lt;10),"OMIT","KEEP")</f>
        <v>KEEP</v>
      </c>
      <c r="Y27" s="122" t="str">
        <f>"echo {""issue"":{""subject"":"""&amp;P27&amp;""",""project_id"":79,""tracker_id"":40,""status_id"":"&amp;redmine_status&amp;",""priority_id"":"&amp;redmine_priority&amp;",""assigned_to_id"":"&amp;redmine_assignee&amp;",""start_date"":"""&amp;TEXT(A27,"YYYY-mm-dd")&amp;""",""description"":"""&amp;Z27&amp;""",""custom_fields"":[{""id"":1,""name"":""Subdivision"",""value"":"""&amp;W27&amp;"""},{""id"":4,""name"":""Milepost"",""value"":"""&amp;K27/10000&amp;"""},{""id"":17,""name"":""Train ID"",""value"":"""&amp;C27&amp;"""},{""id"":16,""name"":""Locomotive ID"",""value"":"""&amp;U27&amp;"""},{""id"":130,""name"":""Impact"",""value"":"""&amp;AA27&amp;"""},{""id"":150,""name"":""Time of Event (Mountain Time)"",""value"":"""&amp;TEXT(A27,"hh:mm:ss")&amp;"""},{""id"":151,""name"":""Denver Issue ID"",""value"":"""&amp;"""},{""id"":178,""name"":""Operational Impact"",""value"":"""&amp;redmine_op_impact&amp;"""},{""id"":179,""name"":""Denver Segment Assigned"",""value"":"""&amp;AB27&amp;"""}]}}"&amp;" | curl -X POST -H ""Content-Type: application/json"" -H ""X-Redmine-API-Key: "&amp;redm_api_key&amp;""" "&amp;redm_url&amp;" --data @-"</f>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21"/>
      <c r="AC27" s="155" t="str">
        <f>"grep -hSE -A100 ""Enforcement Action"" "&amp;search_path&amp;"\RTDC"&amp;U27&amp;"\*"&amp;U27&amp;"*"&amp;TEXT(A27-utc_offset/24,"YYYYMMDD")&amp;LEFT(TEXT(A27-utc_offset/24,"HH"),1)&amp;"* | grep -SE ""((Enforcement Ac)|(PRM))"" -"</f>
        <v>grep -hSE -A100 "Enforcement Action" "%USERPROFILE%\AppData\Local\Temp\OnboardLogs"\RTDC4043\*4043*201610131* | grep -SE "((Enforcement Ac)|(PRM))" -</v>
      </c>
      <c r="AD27" s="1"/>
    </row>
    <row r="28" spans="1:30" x14ac:dyDescent="0.25">
      <c r="A28" s="36">
        <v>42656.371365740742</v>
      </c>
      <c r="B28" s="31" t="s">
        <v>222</v>
      </c>
      <c r="C28" s="31" t="s">
        <v>390</v>
      </c>
      <c r="D28" s="31" t="s">
        <v>49</v>
      </c>
      <c r="E28" s="31" t="s">
        <v>364</v>
      </c>
      <c r="F28" s="47">
        <v>0</v>
      </c>
      <c r="G28" s="47">
        <v>127</v>
      </c>
      <c r="H28" s="47">
        <v>128072</v>
      </c>
      <c r="I28" s="47">
        <v>127916</v>
      </c>
      <c r="J28" s="31" t="s">
        <v>365</v>
      </c>
      <c r="K28" s="47">
        <v>127587</v>
      </c>
      <c r="L28" s="172" t="s">
        <v>51</v>
      </c>
      <c r="M28" s="173">
        <f>CONVERT((I28-K28)/10000,"mi","ft")*IF(L28="Increasing Mileposts (1)",-1,1)</f>
        <v>173.71199999999999</v>
      </c>
      <c r="N28" s="174" t="str">
        <f>VLOOKUP(C28,'Trips&amp;Operators'!$C$1:$E$99999,3,FALSE)</f>
        <v>MALAVE</v>
      </c>
      <c r="O28" s="154" t="s">
        <v>358</v>
      </c>
      <c r="P28" s="175" t="s">
        <v>779</v>
      </c>
      <c r="Q28" s="31"/>
      <c r="R28" s="100" t="str">
        <f>VLOOKUP(C28,'Train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8" s="103" t="str">
        <f>VLOOKUP(C28,'Train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8" s="105" t="str">
        <f>astrogrep_path&amp;" /spath="&amp;search_path&amp;" /stypes=""*"&amp;U28&amp;"*"&amp;TEXT(A28-utc_offset/24,"YYYYMMDD")&amp;LEFT(TEXT(A28-utc_offset/24,"HH"),1)&amp;"*"" /stext="" "&amp;TEXT(A28-utc_offset/24,"HH")&amp;search_regexp&amp;""" /e /r /s"</f>
        <v>"C:\Program Files (x86)\AstroGrep\AstroGrep.exe" /spath="%USERPROFILE%\AppData\Local\Temp\OnboardLogs" /stypes="*4043*201610131*" /stext=" 14:.+((SYSTEM_STATE.+slice.+state.+changed )|(ment ac)|(system.+state.+changed )|(\[timeout)|(PRM\|1\|D)|(kpr)|(kdp)|(\|lc)|(penalty))" /e /r /s</v>
      </c>
      <c r="U28" s="9" t="str">
        <f>MID(B28,13,4)</f>
        <v>4043</v>
      </c>
      <c r="V28" s="36">
        <f>A28+6/24</f>
        <v>42656.621365740742</v>
      </c>
      <c r="W28" s="50" t="str">
        <f>IF(VALUE(LEFT(IF(LEN(C28)=6,"0"&amp;C28,C28),2))&lt;=2,"EC",IF(OR(VALUE(LEFT(IF(LEN(C28)=6,"0"&amp;C28,C28),2))=8,VALUE(LEFT(IF(LEN(C28)=6,"0"&amp;C28,C28),2))=18),"NW","Other"))</f>
        <v>EC</v>
      </c>
      <c r="X28" s="50" t="str">
        <f>IF(AND(E28="TRACK WARRANT AUTHORITY",G28&lt;10),"OMIT","KEEP")</f>
        <v>KEEP</v>
      </c>
      <c r="Y28" s="122" t="str">
        <f>"echo {""issue"":{""subject"":"""&amp;P28&amp;""",""project_id"":79,""tracker_id"":40,""status_id"":"&amp;redmine_status&amp;",""priority_id"":"&amp;redmine_priority&amp;",""assigned_to_id"":"&amp;redmine_assignee&amp;",""start_date"":"""&amp;TEXT(A28,"YYYY-mm-dd")&amp;""",""description"":"""&amp;Z28&amp;""",""custom_fields"":[{""id"":1,""name"":""Subdivision"",""value"":"""&amp;W28&amp;"""},{""id"":4,""name"":""Milepost"",""value"":"""&amp;K28/10000&amp;"""},{""id"":17,""name"":""Train ID"",""value"":"""&amp;C28&amp;"""},{""id"":16,""name"":""Locomotive ID"",""value"":"""&amp;U28&amp;"""},{""id"":130,""name"":""Impact"",""value"":"""&amp;AA28&amp;"""},{""id"":150,""name"":""Time of Event (Mountain Time)"",""value"":"""&amp;TEXT(A28,"hh:mm:ss")&amp;"""},{""id"":151,""name"":""Denver Issue ID"",""value"":"""&amp;"""},{""id"":178,""name"":""Operational Impact"",""value"":"""&amp;redmine_op_impact&amp;"""},{""id"":179,""name"":""Denver Segment Assigned"",""value"":"""&amp;AB28&amp;"""}]}}"&amp;" | curl -X POST -H ""Content-Type: application/json"" -H ""X-Redmine-API-Key: "&amp;redm_api_key&amp;""" "&amp;redm_url&amp;" --data @-"</f>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Time)","value":"08:54:46"},{"id":151,"name":"Denver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21"/>
      <c r="AC28" s="155" t="str">
        <f>"grep -hSE -A100 ""Enforcement Action"" "&amp;search_path&amp;"\RTDC"&amp;U28&amp;"\*"&amp;U28&amp;"*"&amp;TEXT(A28-utc_offset/24,"YYYYMMDD")&amp;LEFT(TEXT(A28-utc_offset/24,"HH"),1)&amp;"* | grep -SE ""((Enforcement Ac)|(PRM))"" -"</f>
        <v>grep -hSE -A100 "Enforcement Action" "%USERPROFILE%\AppData\Local\Temp\OnboardLogs"\RTDC4043\*4043*201610131* | grep -SE "((Enforcement Ac)|(PRM))" -</v>
      </c>
      <c r="AD28" s="1"/>
    </row>
    <row r="29" spans="1:30" x14ac:dyDescent="0.25">
      <c r="A29" s="36">
        <v>42656.532418981478</v>
      </c>
      <c r="B29" s="31" t="s">
        <v>391</v>
      </c>
      <c r="C29" s="31" t="s">
        <v>405</v>
      </c>
      <c r="D29" s="31" t="s">
        <v>49</v>
      </c>
      <c r="E29" s="31" t="s">
        <v>364</v>
      </c>
      <c r="F29" s="47">
        <v>0</v>
      </c>
      <c r="G29" s="47">
        <v>565</v>
      </c>
      <c r="H29" s="47">
        <v>150308</v>
      </c>
      <c r="I29" s="47">
        <v>152865</v>
      </c>
      <c r="J29" s="31" t="s">
        <v>365</v>
      </c>
      <c r="K29" s="47">
        <v>155600</v>
      </c>
      <c r="L29" s="172" t="s">
        <v>50</v>
      </c>
      <c r="M29" s="173">
        <f>CONVERT((I29-K29)/10000,"mi","ft")*IF(L29="Increasing Mileposts (1)",-1,1)</f>
        <v>1444.08</v>
      </c>
      <c r="N29" s="174" t="str">
        <f>VLOOKUP(C29,'Trips&amp;Operators'!$C$1:$E$99999,3,FALSE)</f>
        <v>SNYDER</v>
      </c>
      <c r="O29" s="154" t="s">
        <v>358</v>
      </c>
      <c r="P29" s="175" t="s">
        <v>780</v>
      </c>
      <c r="Q29" s="31"/>
      <c r="R29" s="100" t="str">
        <f>VLOOKUP(C29,'Train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29" s="103" t="str">
        <f>VLOOKUP(C29,'Train Runs'!$A$13:$AE$10001,22,0)</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9" s="105" t="str">
        <f>astrogrep_path&amp;" /spath="&amp;search_path&amp;" /stypes=""*"&amp;U29&amp;"*"&amp;TEXT(A29-utc_offset/24,"YYYYMMDD")&amp;LEFT(TEXT(A29-utc_offset/24,"HH"),1)&amp;"*"" /stext="" "&amp;TEXT(A29-utc_offset/24,"HH")&amp;search_regexp&amp;""" /e /r /s"</f>
        <v>"C:\Program Files (x86)\AstroGrep\AstroGrep.exe" /spath="%USERPROFILE%\AppData\Local\Temp\OnboardLogs" /stypes="*4002*201610131*" /stext=" 18:.+((SYSTEM_STATE.+slice.+state.+changed )|(ment ac)|(system.+state.+changed )|(\[timeout)|(PRM\|1\|D)|(kpr)|(kdp)|(\|lc)|(penalty))" /e /r /s</v>
      </c>
      <c r="U29" s="9" t="str">
        <f>MID(B29,13,4)</f>
        <v>4002</v>
      </c>
      <c r="V29" s="36">
        <f>A29+6/24</f>
        <v>42656.782418981478</v>
      </c>
      <c r="W29" s="50" t="str">
        <f>IF(VALUE(LEFT(IF(LEN(C29)=6,"0"&amp;C29,C29),2))&lt;=2,"EC",IF(OR(VALUE(LEFT(IF(LEN(C29)=6,"0"&amp;C29,C29),2))=8,VALUE(LEFT(IF(LEN(C29)=6,"0"&amp;C29,C29),2))=18),"NW","Other"))</f>
        <v>EC</v>
      </c>
      <c r="X29" s="50" t="str">
        <f>IF(AND(E29="TRACK WARRANT AUTHORITY",G29&lt;10),"OMIT","KEEP")</f>
        <v>KEEP</v>
      </c>
      <c r="Y29" s="122" t="str">
        <f>"echo {""issue"":{""subject"":"""&amp;P29&amp;""",""project_id"":79,""tracker_id"":40,""status_id"":"&amp;redmine_status&amp;",""priority_id"":"&amp;redmine_priority&amp;",""assigned_to_id"":"&amp;redmine_assignee&amp;",""start_date"":"""&amp;TEXT(A29,"YYYY-mm-dd")&amp;""",""description"":"""&amp;Z29&amp;""",""custom_fields"":[{""id"":1,""name"":""Subdivision"",""value"":"""&amp;W29&amp;"""},{""id"":4,""name"":""Milepost"",""value"":"""&amp;K29/10000&amp;"""},{""id"":17,""name"":""Train ID"",""value"":"""&amp;C29&amp;"""},{""id"":16,""name"":""Locomotive ID"",""value"":"""&amp;U29&amp;"""},{""id"":130,""name"":""Impact"",""value"":"""&amp;AA29&amp;"""},{""id"":150,""name"":""Time of Event (Mountain Time)"",""value"":"""&amp;TEXT(A29,"hh:mm:ss")&amp;"""},{""id"":151,""name"":""Denver Issue ID"",""value"":"""&amp;"""},{""id"":178,""name"":""Operational Impact"",""value"":"""&amp;redmine_op_impact&amp;"""},{""id"":179,""name"":""Denver Segment Assigned"",""value"":"""&amp;AB29&amp;"""}]}}"&amp;" | curl -X POST -H ""Content-Type: application/json"" -H ""X-Redmine-API-Key: "&amp;redm_api_key&amp;""" "&amp;redm_url&amp;" --data @-"</f>
        <v>echo {"issue":{"subject":"61st 2N STOP, cleared afterward","project_id":79,"tracker_id":40,"status_id":1,"priority_id":2,"assigned_to_id":23,"start_date":"2016-10-13","description":"","custom_fields":[{"id":1,"name":"Subdivision","value":"EC"},{"id":4,"name":"Milepost","value":"15.56"},{"id":17,"name":"Train ID","value":"169-13"},{"id":16,"name":"Locomotive ID","value":"4002"},{"id":130,"name":"Impact","value":""},{"id":150,"name":"Time of Event (Mountain Time)","value":"12:46:41"},{"id":151,"name":"Denver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21"/>
      <c r="AC29" s="155" t="str">
        <f>"grep -hSE -A100 ""Enforcement Action"" "&amp;search_path&amp;"\RTDC"&amp;U29&amp;"\*"&amp;U29&amp;"*"&amp;TEXT(A29-utc_offset/24,"YYYYMMDD")&amp;LEFT(TEXT(A29-utc_offset/24,"HH"),1)&amp;"* | grep -SE ""((Enforcement Ac)|(PRM))"" -"</f>
        <v>grep -hSE -A100 "Enforcement Action" "%USERPROFILE%\AppData\Local\Temp\OnboardLogs"\RTDC4002\*4002*201610131* | grep -SE "((Enforcement Ac)|(PRM))" -</v>
      </c>
      <c r="AD29" s="1"/>
    </row>
    <row r="30" spans="1:30" x14ac:dyDescent="0.25">
      <c r="A30" s="36">
        <v>42656.432997685188</v>
      </c>
      <c r="B30" s="31" t="s">
        <v>394</v>
      </c>
      <c r="C30" s="31" t="s">
        <v>395</v>
      </c>
      <c r="D30" s="31" t="s">
        <v>49</v>
      </c>
      <c r="E30" s="31" t="s">
        <v>366</v>
      </c>
      <c r="F30" s="47">
        <v>0</v>
      </c>
      <c r="G30" s="47">
        <v>43</v>
      </c>
      <c r="H30" s="47">
        <v>154</v>
      </c>
      <c r="I30" s="47">
        <v>125</v>
      </c>
      <c r="J30" s="31" t="s">
        <v>367</v>
      </c>
      <c r="K30" s="47">
        <v>1</v>
      </c>
      <c r="L30" s="172" t="s">
        <v>51</v>
      </c>
      <c r="M30" s="173">
        <f>CONVERT((I30-K30)/10000,"mi","ft")*IF(L30="Increasing Mileposts (1)",-1,1)</f>
        <v>65.471999999999994</v>
      </c>
      <c r="N30" s="174" t="str">
        <f>VLOOKUP(C30,'Trips&amp;Operators'!$C$1:$E$99999,3,FALSE)</f>
        <v>BARTELL</v>
      </c>
      <c r="O30" s="154" t="s">
        <v>358</v>
      </c>
      <c r="P30" s="175"/>
      <c r="Q30" s="31"/>
      <c r="R30" s="100" t="str">
        <f>VLOOKUP(C30,'Train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0" s="103" t="str">
        <f>VLOOKUP(C30,'Train Runs'!$A$13:$AE$10001,22,0)</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0" s="105" t="str">
        <f>astrogrep_path&amp;" /spath="&amp;search_path&amp;" /stypes=""*"&amp;U30&amp;"*"&amp;TEXT(A30-utc_offset/24,"YYYYMMDD")&amp;LEFT(TEXT(A30-utc_offset/24,"HH"),1)&amp;"*"" /stext="" "&amp;TEXT(A30-utc_offset/24,"HH")&amp;search_regexp&amp;""" /e /r /s"</f>
        <v>"C:\Program Files (x86)\AstroGrep\AstroGrep.exe" /spath="%USERPROFILE%\AppData\Local\Temp\OnboardLogs" /stypes="*4001*201610131*" /stext=" 16:.+((SYSTEM_STATE.+slice.+state.+changed )|(ment ac)|(system.+state.+changed )|(\[timeout)|(PRM\|1\|D)|(kpr)|(kdp)|(\|lc)|(penalty))" /e /r /s</v>
      </c>
      <c r="U30" s="9" t="str">
        <f>MID(B30,13,4)</f>
        <v>4001</v>
      </c>
      <c r="V30" s="36">
        <f>A30+6/24</f>
        <v>42656.682997685188</v>
      </c>
      <c r="W30" s="50" t="str">
        <f>IF(VALUE(LEFT(IF(LEN(C30)=6,"0"&amp;C30,C30),2))&lt;=2,"EC",IF(OR(VALUE(LEFT(IF(LEN(C30)=6,"0"&amp;C30,C30),2))=8,VALUE(LEFT(IF(LEN(C30)=6,"0"&amp;C30,C30),2))=18),"NW","Other"))</f>
        <v>EC</v>
      </c>
      <c r="X30" s="50" t="str">
        <f>IF(AND(E30="TRACK WARRANT AUTHORITY",G30&lt;10),"OMIT","KEEP")</f>
        <v>KEEP</v>
      </c>
      <c r="Y30" s="122" t="str">
        <f>"echo {""issue"":{""subject"":"""&amp;P30&amp;""",""project_id"":79,""tracker_id"":40,""status_id"":"&amp;redmine_status&amp;",""priority_id"":"&amp;redmine_priority&amp;",""assigned_to_id"":"&amp;redmine_assignee&amp;",""start_date"":"""&amp;TEXT(A30,"YYYY-mm-dd")&amp;""",""description"":"""&amp;Z30&amp;""",""custom_fields"":[{""id"":1,""name"":""Subdivision"",""value"":"""&amp;W30&amp;"""},{""id"":4,""name"":""Milepost"",""value"":"""&amp;K30/10000&amp;"""},{""id"":17,""name"":""Train ID"",""value"":"""&amp;C30&amp;"""},{""id"":16,""name"":""Locomotive ID"",""value"":"""&amp;U30&amp;"""},{""id"":130,""name"":""Impact"",""value"":"""&amp;AA30&amp;"""},{""id"":150,""name"":""Time of Event (Mountain Time)"",""value"":"""&amp;TEXT(A30,"hh:mm:ss")&amp;"""},{""id"":151,""name"":""Denver Issue ID"",""value"":"""&amp;"""},{""id"":178,""name"":""Operational Impact"",""value"":"""&amp;redmine_op_impact&amp;"""},{""id"":179,""name"":""Denver Segment Assigned"",""value"":"""&amp;AB30&amp;"""}]}}"&amp;"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ID","value":"142-13"},{"id":16,"name":"Locomotive ID","value":"4001"},{"id":130,"name":"Impact","value":""},{"id":150,"name":"Time of Event (Mountain Time)","value":"10:23:31"},{"id":151,"name":"Denver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21"/>
      <c r="AC30" s="155" t="str">
        <f>"grep -hSE -A100 ""Enforcement Action"" "&amp;search_path&amp;"\RTDC"&amp;U30&amp;"\*"&amp;U30&amp;"*"&amp;TEXT(A30-utc_offset/24,"YYYYMMDD")&amp;LEFT(TEXT(A30-utc_offset/24,"HH"),1)&amp;"* | grep -SE ""((Enforcement Ac)|(PRM))"" -"</f>
        <v>grep -hSE -A100 "Enforcement Action" "%USERPROFILE%\AppData\Local\Temp\OnboardLogs"\RTDC4001\*4001*201610131* | grep -SE "((Enforcement Ac)|(PRM))" -</v>
      </c>
      <c r="AD30" s="1"/>
    </row>
    <row r="31" spans="1:30" ht="15" customHeight="1" x14ac:dyDescent="0.25">
      <c r="A31" s="36">
        <v>42656.505578703705</v>
      </c>
      <c r="B31" s="31" t="s">
        <v>394</v>
      </c>
      <c r="C31" s="31" t="s">
        <v>401</v>
      </c>
      <c r="D31" s="31" t="s">
        <v>49</v>
      </c>
      <c r="E31" s="31" t="s">
        <v>366</v>
      </c>
      <c r="F31" s="47">
        <v>0</v>
      </c>
      <c r="G31" s="47">
        <v>66</v>
      </c>
      <c r="H31" s="47">
        <v>242</v>
      </c>
      <c r="I31" s="47">
        <v>165</v>
      </c>
      <c r="J31" s="31" t="s">
        <v>367</v>
      </c>
      <c r="K31" s="47">
        <v>1</v>
      </c>
      <c r="L31" s="172" t="s">
        <v>51</v>
      </c>
      <c r="M31" s="173">
        <f>CONVERT((I31-K31)/10000,"mi","ft")*IF(L31="Increasing Mileposts (1)",-1,1)</f>
        <v>86.592000000000013</v>
      </c>
      <c r="N31" s="174" t="str">
        <f>VLOOKUP(C31,'Trips&amp;Operators'!$C$1:$E$99999,3,FALSE)</f>
        <v>SNYDER</v>
      </c>
      <c r="O31" s="154" t="s">
        <v>358</v>
      </c>
      <c r="P31" s="175"/>
      <c r="Q31" s="31"/>
      <c r="R31" s="100" t="str">
        <f>VLOOKUP(C31,'Train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1" s="103" t="str">
        <f>VLOOKUP(C31,'Train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1" s="105" t="str">
        <f>astrogrep_path&amp;" /spath="&amp;search_path&amp;" /stypes=""*"&amp;U31&amp;"*"&amp;TEXT(A31-utc_offset/24,"YYYYMMDD")&amp;LEFT(TEXT(A31-utc_offset/24,"HH"),1)&amp;"*"" /stext="" "&amp;TEXT(A31-utc_offset/24,"HH")&amp;search_regexp&amp;""" /e /r /s"</f>
        <v>"C:\Program Files (x86)\AstroGrep\AstroGrep.exe" /spath="%USERPROFILE%\AppData\Local\Temp\OnboardLogs" /stypes="*4001*201610131*" /stext=" 18:.+((SYSTEM_STATE.+slice.+state.+changed )|(ment ac)|(system.+state.+changed )|(\[timeout)|(PRM\|1\|D)|(kpr)|(kdp)|(\|lc)|(penalty))" /e /r /s</v>
      </c>
      <c r="U31" s="9" t="str">
        <f>MID(B31,13,4)</f>
        <v>4001</v>
      </c>
      <c r="V31" s="36">
        <f>A31+6/24</f>
        <v>42656.755578703705</v>
      </c>
      <c r="W31" s="50" t="str">
        <f>IF(VALUE(LEFT(IF(LEN(C31)=6,"0"&amp;C31,C31),2))&lt;=2,"EC",IF(OR(VALUE(LEFT(IF(LEN(C31)=6,"0"&amp;C31,C31),2))=8,VALUE(LEFT(IF(LEN(C31)=6,"0"&amp;C31,C31),2))=18),"NW","Other"))</f>
        <v>EC</v>
      </c>
      <c r="X31" s="50" t="str">
        <f>IF(AND(E31="TRACK WARRANT AUTHORITY",G31&lt;10),"OMIT","KEEP")</f>
        <v>KEEP</v>
      </c>
      <c r="Y31" s="122" t="str">
        <f>"echo {""issue"":{""subject"":"""&amp;P31&amp;""",""project_id"":79,""tracker_id"":40,""status_id"":"&amp;redmine_status&amp;",""priority_id"":"&amp;redmine_priority&amp;",""assigned_to_id"":"&amp;redmine_assignee&amp;",""start_date"":"""&amp;TEXT(A31,"YYYY-mm-dd")&amp;""",""description"":"""&amp;Z31&amp;""",""custom_fields"":[{""id"":1,""name"":""Subdivision"",""value"":"""&amp;W31&amp;"""},{""id"":4,""name"":""Milepost"",""value"":"""&amp;K31/10000&amp;"""},{""id"":17,""name"":""Train ID"",""value"":"""&amp;C31&amp;"""},{""id"":16,""name"":""Locomotive ID"",""value"":"""&amp;U31&amp;"""},{""id"":130,""name"":""Impact"",""value"":"""&amp;AA31&amp;"""},{""id"":150,""name"":""Time of Event (Mountain Time)"",""value"":"""&amp;TEXT(A31,"hh:mm:ss")&amp;"""},{""id"":151,""name"":""Denver Issue ID"",""value"":"""&amp;"""},{""id"":178,""name"":""Operational Impact"",""value"":"""&amp;redmine_op_impact&amp;"""},{""id"":179,""name"":""Denver Segment Assigned"",""value"":"""&amp;AB31&amp;"""}]}}"&amp;"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ID","value":"156-13"},{"id":16,"name":"Locomotive ID","value":"4001"},{"id":130,"name":"Impact","value":""},{"id":150,"name":"Time of Event (Mountain Time)","value":"12:08:02"},{"id":151,"name":"Denver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21"/>
      <c r="AC31" s="155" t="str">
        <f>"grep -hSE -A100 ""Enforcement Action"" "&amp;search_path&amp;"\RTDC"&amp;U31&amp;"\*"&amp;U31&amp;"*"&amp;TEXT(A31-utc_offset/24,"YYYYMMDD")&amp;LEFT(TEXT(A31-utc_offset/24,"HH"),1)&amp;"* | grep -SE ""((Enforcement Ac)|(PRM))"" -"</f>
        <v>grep -hSE -A100 "Enforcement Action" "%USERPROFILE%\AppData\Local\Temp\OnboardLogs"\RTDC4001\*4001*201610131* | grep -SE "((Enforcement Ac)|(PRM))" -</v>
      </c>
      <c r="AD31" s="1"/>
    </row>
    <row r="32" spans="1:30" x14ac:dyDescent="0.25">
      <c r="A32" s="36">
        <v>42656.669918981483</v>
      </c>
      <c r="B32" s="31" t="s">
        <v>396</v>
      </c>
      <c r="C32" s="31" t="s">
        <v>408</v>
      </c>
      <c r="D32" s="31" t="s">
        <v>49</v>
      </c>
      <c r="E32" s="31" t="s">
        <v>366</v>
      </c>
      <c r="F32" s="47">
        <v>0</v>
      </c>
      <c r="G32" s="47">
        <v>51</v>
      </c>
      <c r="H32" s="47">
        <v>189</v>
      </c>
      <c r="I32" s="47">
        <v>139</v>
      </c>
      <c r="J32" s="31" t="s">
        <v>367</v>
      </c>
      <c r="K32" s="47">
        <v>1</v>
      </c>
      <c r="L32" s="172" t="s">
        <v>51</v>
      </c>
      <c r="M32" s="173">
        <f>CONVERT((I32-K32)/10000,"mi","ft")*IF(L32="Increasing Mileposts (1)",-1,1)</f>
        <v>72.864000000000004</v>
      </c>
      <c r="N32" s="174" t="str">
        <f>VLOOKUP(C32,'Trips&amp;Operators'!$C$1:$E$99999,3,FALSE)</f>
        <v>BONDS</v>
      </c>
      <c r="O32" s="154" t="s">
        <v>358</v>
      </c>
      <c r="P32" s="175"/>
      <c r="Q32" s="31"/>
      <c r="R32" s="100" t="str">
        <f>VLOOKUP(C32,'Train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32" s="103" t="str">
        <f>VLOOKUP(C32,'Train Runs'!$A$13:$AE$10001,22,0)</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2" s="105" t="str">
        <f>astrogrep_path&amp;" /spath="&amp;search_path&amp;" /stypes=""*"&amp;U32&amp;"*"&amp;TEXT(A32-utc_offset/24,"YYYYMMDD")&amp;LEFT(TEXT(A32-utc_offset/24,"HH"),1)&amp;"*"" /stext="" "&amp;TEXT(A32-utc_offset/24,"HH")&amp;search_regexp&amp;""" /e /r /s"</f>
        <v>"C:\Program Files (x86)\AstroGrep\AstroGrep.exe" /spath="%USERPROFILE%\AppData\Local\Temp\OnboardLogs" /stypes="*4041*201610132*" /stext=" 22:.+((SYSTEM_STATE.+slice.+state.+changed )|(ment ac)|(system.+state.+changed )|(\[timeout)|(PRM\|1\|D)|(kpr)|(kdp)|(\|lc)|(penalty))" /e /r /s</v>
      </c>
      <c r="U32" s="9" t="str">
        <f>MID(B32,13,4)</f>
        <v>4041</v>
      </c>
      <c r="V32" s="36">
        <f>A32+6/24</f>
        <v>42656.919918981483</v>
      </c>
      <c r="W32" s="50" t="str">
        <f>IF(VALUE(LEFT(IF(LEN(C32)=6,"0"&amp;C32,C32),2))&lt;=2,"EC",IF(OR(VALUE(LEFT(IF(LEN(C32)=6,"0"&amp;C32,C32),2))=8,VALUE(LEFT(IF(LEN(C32)=6,"0"&amp;C32,C32),2))=18),"NW","Other"))</f>
        <v>EC</v>
      </c>
      <c r="X32" s="50" t="str">
        <f>IF(AND(E32="TRACK WARRANT AUTHORITY",G32&lt;10),"OMIT","KEEP")</f>
        <v>KEEP</v>
      </c>
      <c r="Y32" s="122" t="str">
        <f>"echo {""issue"":{""subject"":"""&amp;P32&amp;""",""project_id"":79,""tracker_id"":40,""status_id"":"&amp;redmine_status&amp;",""priority_id"":"&amp;redmine_priority&amp;",""assigned_to_id"":"&amp;redmine_assignee&amp;",""start_date"":"""&amp;TEXT(A32,"YYYY-mm-dd")&amp;""",""description"":"""&amp;Z32&amp;""",""custom_fields"":[{""id"":1,""name"":""Subdivision"",""value"":"""&amp;W32&amp;"""},{""id"":4,""name"":""Milepost"",""value"":"""&amp;K32/10000&amp;"""},{""id"":17,""name"":""Train ID"",""value"":"""&amp;C32&amp;"""},{""id"":16,""name"":""Locomotive ID"",""value"":"""&amp;U32&amp;"""},{""id"":130,""name"":""Impact"",""value"":"""&amp;AA32&amp;"""},{""id"":150,""name"":""Time of Event (Mountain Time)"",""value"":"""&amp;TEXT(A32,"hh:mm:ss")&amp;"""},{""id"":151,""name"":""Denver Issue ID"",""value"":"""&amp;"""},{""id"":178,""name"":""Operational Impact"",""value"":"""&amp;redmine_op_impact&amp;"""},{""id"":179,""name"":""Denver Segment Assigned"",""value"":"""&amp;AB32&amp;"""}]}}"&amp;"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21"/>
      <c r="AC32" s="155" t="str">
        <f>"grep -hSE -A100 ""Enforcement Action"" "&amp;search_path&amp;"\RTDC"&amp;U32&amp;"\*"&amp;U32&amp;"*"&amp;TEXT(A32-utc_offset/24,"YYYYMMDD")&amp;LEFT(TEXT(A32-utc_offset/24,"HH"),1)&amp;"* | grep -SE ""((Enforcement Ac)|(PRM))"" -"</f>
        <v>grep -hSE -A100 "Enforcement Action" "%USERPROFILE%\AppData\Local\Temp\OnboardLogs"\RTDC4041\*4041*201610132* | grep -SE "((Enforcement Ac)|(PRM))" -</v>
      </c>
      <c r="AD32" s="1"/>
    </row>
    <row r="33" spans="1:30" ht="15" customHeight="1" x14ac:dyDescent="0.25">
      <c r="A33" s="36">
        <v>42656.805960648147</v>
      </c>
      <c r="B33" s="31" t="s">
        <v>250</v>
      </c>
      <c r="C33" s="31" t="s">
        <v>417</v>
      </c>
      <c r="D33" s="31" t="s">
        <v>49</v>
      </c>
      <c r="E33" s="31" t="s">
        <v>366</v>
      </c>
      <c r="F33" s="47">
        <v>0</v>
      </c>
      <c r="G33" s="47">
        <v>91</v>
      </c>
      <c r="H33" s="47">
        <v>375</v>
      </c>
      <c r="I33" s="47">
        <v>285</v>
      </c>
      <c r="J33" s="31" t="s">
        <v>367</v>
      </c>
      <c r="K33" s="47">
        <v>1</v>
      </c>
      <c r="L33" s="172" t="s">
        <v>51</v>
      </c>
      <c r="M33" s="173">
        <f>CONVERT((I33-K33)/10000,"mi","ft")*IF(L33="Increasing Mileposts (1)",-1,1)</f>
        <v>149.952</v>
      </c>
      <c r="N33" s="174" t="str">
        <f>VLOOKUP(C33,'Trips&amp;Operators'!$C$1:$E$99999,3,FALSE)</f>
        <v>COOLAHAN</v>
      </c>
      <c r="O33" s="154" t="s">
        <v>358</v>
      </c>
      <c r="P33" s="175"/>
      <c r="Q33" s="31"/>
      <c r="R33" s="100" t="str">
        <f>VLOOKUP(C33,'Train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3" s="103" t="str">
        <f>VLOOKUP(C33,'Train Runs'!$A$13:$AE$10001,22,0)</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3" s="105" t="str">
        <f>astrogrep_path&amp;" /spath="&amp;search_path&amp;" /stypes=""*"&amp;U33&amp;"*"&amp;TEXT(A33-utc_offset/24,"YYYYMMDD")&amp;LEFT(TEXT(A33-utc_offset/24,"HH"),1)&amp;"*"" /stext="" "&amp;TEXT(A33-utc_offset/24,"HH")&amp;search_regexp&amp;""" /e /r /s"</f>
        <v>"C:\Program Files (x86)\AstroGrep\AstroGrep.exe" /spath="%USERPROFILE%\AppData\Local\Temp\OnboardLogs" /stypes="*4026*201610140*" /stext=" 01:.+((SYSTEM_STATE.+slice.+state.+changed )|(ment ac)|(system.+state.+changed )|(\[timeout)|(PRM\|1\|D)|(kpr)|(kdp)|(\|lc)|(penalty))" /e /r /s</v>
      </c>
      <c r="U33" s="9" t="str">
        <f>MID(B33,13,4)</f>
        <v>4026</v>
      </c>
      <c r="V33" s="36">
        <f>A33+6/24</f>
        <v>42657.055960648147</v>
      </c>
      <c r="W33" s="50" t="str">
        <f>IF(VALUE(LEFT(IF(LEN(C33)=6,"0"&amp;C33,C33),2))&lt;=2,"EC",IF(OR(VALUE(LEFT(IF(LEN(C33)=6,"0"&amp;C33,C33),2))=8,VALUE(LEFT(IF(LEN(C33)=6,"0"&amp;C33,C33),2))=18),"NW","Other"))</f>
        <v>EC</v>
      </c>
      <c r="X33" s="50" t="str">
        <f>IF(AND(E33="TRACK WARRANT AUTHORITY",G33&lt;10),"OMIT","KEEP")</f>
        <v>KEEP</v>
      </c>
      <c r="Y33" s="122" t="str">
        <f>"echo {""issue"":{""subject"":"""&amp;P33&amp;""",""project_id"":79,""tracker_id"":40,""status_id"":"&amp;redmine_status&amp;",""priority_id"":"&amp;redmine_priority&amp;",""assigned_to_id"":"&amp;redmine_assignee&amp;",""start_date"":"""&amp;TEXT(A33,"YYYY-mm-dd")&amp;""",""description"":"""&amp;Z33&amp;""",""custom_fields"":[{""id"":1,""name"":""Subdivision"",""value"":"""&amp;W33&amp;"""},{""id"":4,""name"":""Milepost"",""value"":"""&amp;K33/10000&amp;"""},{""id"":17,""name"":""Train ID"",""value"":"""&amp;C33&amp;"""},{""id"":16,""name"":""Locomotive ID"",""value"":"""&amp;U33&amp;"""},{""id"":130,""name"":""Impact"",""value"":"""&amp;AA33&amp;"""},{""id"":150,""name"":""Time of Event (Mountain Time)"",""value"":"""&amp;TEXT(A33,"hh:mm:ss")&amp;"""},{""id"":151,""name"":""Denver Issue ID"",""value"":"""&amp;"""},{""id"":178,""name"":""Operational Impact"",""value"":"""&amp;redmine_op_impact&amp;"""},{""id"":179,""name"":""Denver Segment Assigned"",""value"":"""&amp;AB33&amp;"""}]}}"&amp;"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21"/>
      <c r="AC33" s="155" t="str">
        <f>"grep -hSE -A100 ""Enforcement Action"" "&amp;search_path&amp;"\RTDC"&amp;U33&amp;"\*"&amp;U33&amp;"*"&amp;TEXT(A33-utc_offset/24,"YYYYMMDD")&amp;LEFT(TEXT(A33-utc_offset/24,"HH"),1)&amp;"* | grep -SE ""((Enforcement Ac)|(PRM))"" -"</f>
        <v>grep -hSE -A100 "Enforcement Action" "%USERPROFILE%\AppData\Local\Temp\OnboardLogs"\RTDC4026\*4026*201610140* | grep -SE "((Enforcement Ac)|(PRM))" -</v>
      </c>
      <c r="AD33" s="1"/>
    </row>
    <row r="34" spans="1:30" x14ac:dyDescent="0.25">
      <c r="A34" s="36">
        <v>42656.96130787037</v>
      </c>
      <c r="B34" s="31" t="s">
        <v>250</v>
      </c>
      <c r="C34" s="31" t="s">
        <v>420</v>
      </c>
      <c r="D34" s="31" t="s">
        <v>49</v>
      </c>
      <c r="E34" s="31" t="s">
        <v>366</v>
      </c>
      <c r="F34" s="47">
        <v>0</v>
      </c>
      <c r="G34" s="47">
        <v>34</v>
      </c>
      <c r="H34" s="47">
        <v>115</v>
      </c>
      <c r="I34" s="47">
        <v>97</v>
      </c>
      <c r="J34" s="31" t="s">
        <v>367</v>
      </c>
      <c r="K34" s="47">
        <v>1</v>
      </c>
      <c r="L34" s="172" t="s">
        <v>51</v>
      </c>
      <c r="M34" s="173">
        <f>CONVERT((I34-K34)/10000,"mi","ft")*IF(L34="Increasing Mileposts (1)",-1,1)</f>
        <v>50.688000000000002</v>
      </c>
      <c r="N34" s="174" t="str">
        <f>VLOOKUP(C34,'Trips&amp;Operators'!$C$1:$E$99999,3,FALSE)</f>
        <v>COOLAHAN</v>
      </c>
      <c r="O34" s="154" t="s">
        <v>358</v>
      </c>
      <c r="P34" s="175"/>
      <c r="Q34" s="31"/>
      <c r="R34" s="100" t="str">
        <f>VLOOKUP(C34,'Train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4" s="103" t="str">
        <f>VLOOKUP(C34,'Train Runs'!$A$13:$AE$10001,22,0)</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4" s="105" t="str">
        <f>astrogrep_path&amp;" /spath="&amp;search_path&amp;" /stypes=""*"&amp;U34&amp;"*"&amp;TEXT(A34-utc_offset/24,"YYYYMMDD")&amp;LEFT(TEXT(A34-utc_offset/24,"HH"),1)&amp;"*"" /stext="" "&amp;TEXT(A34-utc_offset/24,"HH")&amp;search_regexp&amp;""" /e /r /s"</f>
        <v>"C:\Program Files (x86)\AstroGrep\AstroGrep.exe" /spath="%USERPROFILE%\AppData\Local\Temp\OnboardLogs" /stypes="*4026*201610140*" /stext=" 05:.+((SYSTEM_STATE.+slice.+state.+changed )|(ment ac)|(system.+state.+changed )|(\[timeout)|(PRM\|1\|D)|(kpr)|(kdp)|(\|lc)|(penalty))" /e /r /s</v>
      </c>
      <c r="U34" s="9" t="str">
        <f>MID(B34,13,4)</f>
        <v>4026</v>
      </c>
      <c r="V34" s="36">
        <f>A34+6/24</f>
        <v>42657.21130787037</v>
      </c>
      <c r="W34" s="50" t="str">
        <f>IF(VALUE(LEFT(IF(LEN(C34)=6,"0"&amp;C34,C34),2))&lt;=2,"EC",IF(OR(VALUE(LEFT(IF(LEN(C34)=6,"0"&amp;C34,C34),2))=8,VALUE(LEFT(IF(LEN(C34)=6,"0"&amp;C34,C34),2))=18),"NW","Other"))</f>
        <v>EC</v>
      </c>
      <c r="X34" s="50" t="str">
        <f>IF(AND(E34="TRACK WARRANT AUTHORITY",G34&lt;10),"OMIT","KEEP")</f>
        <v>KEEP</v>
      </c>
      <c r="Y34" s="122" t="str">
        <f>"echo {""issue"":{""subject"":"""&amp;P34&amp;""",""project_id"":79,""tracker_id"":40,""status_id"":"&amp;redmine_status&amp;",""priority_id"":"&amp;redmine_priority&amp;",""assigned_to_id"":"&amp;redmine_assignee&amp;",""start_date"":"""&amp;TEXT(A34,"YYYY-mm-dd")&amp;""",""description"":"""&amp;Z34&amp;""",""custom_fields"":[{""id"":1,""name"":""Subdivision"",""value"":"""&amp;W34&amp;"""},{""id"":4,""name"":""Milepost"",""value"":"""&amp;K34/10000&amp;"""},{""id"":17,""name"":""Train ID"",""value"":"""&amp;C34&amp;"""},{""id"":16,""name"":""Locomotive ID"",""value"":"""&amp;U34&amp;"""},{""id"":130,""name"":""Impact"",""value"":"""&amp;AA34&amp;"""},{""id"":150,""name"":""Time of Event (Mountain Time)"",""value"":"""&amp;TEXT(A34,"hh:mm:ss")&amp;"""},{""id"":151,""name"":""Denver Issue ID"",""value"":"""&amp;"""},{""id"":178,""name"":""Operational Impact"",""value"":"""&amp;redmine_op_impact&amp;"""},{""id"":179,""name"":""Denver Segment Assigned"",""value"":"""&amp;AB34&amp;"""}]}}"&amp;"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21"/>
      <c r="AC34" s="155" t="str">
        <f>"grep -hSE -A100 ""Enforcement Action"" "&amp;search_path&amp;"\RTDC"&amp;U34&amp;"\*"&amp;U34&amp;"*"&amp;TEXT(A34-utc_offset/24,"YYYYMMDD")&amp;LEFT(TEXT(A34-utc_offset/24,"HH"),1)&amp;"* | grep -SE ""((Enforcement Ac)|(PRM))"" -"</f>
        <v>grep -hSE -A100 "Enforcement Action" "%USERPROFILE%\AppData\Local\Temp\OnboardLogs"\RTDC4026\*4026*201610140* | grep -SE "((Enforcement Ac)|(PRM))" -</v>
      </c>
      <c r="AD34" s="1"/>
    </row>
    <row r="35" spans="1:30" x14ac:dyDescent="0.25">
      <c r="A35" s="36">
        <v>42656.985844907409</v>
      </c>
      <c r="B35" s="31" t="s">
        <v>222</v>
      </c>
      <c r="C35" s="31" t="s">
        <v>421</v>
      </c>
      <c r="D35" s="31" t="s">
        <v>49</v>
      </c>
      <c r="E35" s="31" t="s">
        <v>366</v>
      </c>
      <c r="F35" s="47">
        <v>0</v>
      </c>
      <c r="G35" s="47">
        <v>61</v>
      </c>
      <c r="H35" s="47">
        <v>187</v>
      </c>
      <c r="I35" s="47">
        <v>134</v>
      </c>
      <c r="J35" s="31" t="s">
        <v>367</v>
      </c>
      <c r="K35" s="47">
        <v>1</v>
      </c>
      <c r="L35" s="172" t="s">
        <v>51</v>
      </c>
      <c r="M35" s="173">
        <f>CONVERT((I35-K35)/10000,"mi","ft")*IF(L35="Increasing Mileposts (1)",-1,1)</f>
        <v>70.224000000000004</v>
      </c>
      <c r="N35" s="174" t="str">
        <f>VLOOKUP(C35,'Trips&amp;Operators'!$C$1:$E$99999,3,FALSE)</f>
        <v>BERLING</v>
      </c>
      <c r="O35" s="154" t="s">
        <v>358</v>
      </c>
      <c r="P35" s="175"/>
      <c r="Q35" s="31"/>
      <c r="R35" s="100" t="str">
        <f>VLOOKUP(C35,'Train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35" s="103" t="str">
        <f>VLOOKUP(C35,'Train Runs'!$A$13:$AE$10001,22,0)</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35" s="105" t="str">
        <f>astrogrep_path&amp;" /spath="&amp;search_path&amp;" /stypes=""*"&amp;U35&amp;"*"&amp;TEXT(A35-utc_offset/24,"YYYYMMDD")&amp;LEFT(TEXT(A35-utc_offset/24,"HH"),1)&amp;"*"" /stext="" "&amp;TEXT(A35-utc_offset/24,"HH")&amp;search_regexp&amp;""" /e /r /s"</f>
        <v>"C:\Program Files (x86)\AstroGrep\AstroGrep.exe" /spath="%USERPROFILE%\AppData\Local\Temp\OnboardLogs" /stypes="*4043*201610140*" /stext=" 05:.+((SYSTEM_STATE.+slice.+state.+changed )|(ment ac)|(system.+state.+changed )|(\[timeout)|(PRM\|1\|D)|(kpr)|(kdp)|(\|lc)|(penalty))" /e /r /s</v>
      </c>
      <c r="U35" s="9" t="str">
        <f>MID(B35,13,4)</f>
        <v>4043</v>
      </c>
      <c r="V35" s="36">
        <f>A35+6/24</f>
        <v>42657.235844907409</v>
      </c>
      <c r="W35" s="50" t="str">
        <f>IF(VALUE(LEFT(IF(LEN(C35)=6,"0"&amp;C35,C35),2))&lt;=2,"EC",IF(OR(VALUE(LEFT(IF(LEN(C35)=6,"0"&amp;C35,C35),2))=8,VALUE(LEFT(IF(LEN(C35)=6,"0"&amp;C35,C35),2))=18),"NW","Other"))</f>
        <v>EC</v>
      </c>
      <c r="X35" s="50" t="str">
        <f>IF(AND(E35="TRACK WARRANT AUTHORITY",G35&lt;10),"OMIT","KEEP")</f>
        <v>KEEP</v>
      </c>
      <c r="Y35" s="122" t="str">
        <f>"echo {""issue"":{""subject"":"""&amp;P35&amp;""",""project_id"":79,""tracker_id"":40,""status_id"":"&amp;redmine_status&amp;",""priority_id"":"&amp;redmine_priority&amp;",""assigned_to_id"":"&amp;redmine_assignee&amp;",""start_date"":"""&amp;TEXT(A35,"YYYY-mm-dd")&amp;""",""description"":"""&amp;Z35&amp;""",""custom_fields"":[{""id"":1,""name"":""Subdivision"",""value"":"""&amp;W35&amp;"""},{""id"":4,""name"":""Milepost"",""value"":"""&amp;K35/10000&amp;"""},{""id"":17,""name"":""Train ID"",""value"":"""&amp;C35&amp;"""},{""id"":16,""name"":""Locomotive ID"",""value"":"""&amp;U35&amp;"""},{""id"":130,""name"":""Impact"",""value"":"""&amp;AA35&amp;"""},{""id"":150,""name"":""Time of Event (Mountain Time)"",""value"":"""&amp;TEXT(A35,"hh:mm:ss")&amp;"""},{""id"":151,""name"":""Denver Issue ID"",""value"":"""&amp;"""},{""id"":178,""name"":""Operational Impact"",""value"":"""&amp;redmine_op_impact&amp;"""},{""id"":179,""name"":""Denver Segment Assigned"",""value"":"""&amp;AB35&amp;"""}]}}"&amp;" | curl -X POST -H ""Content-Type: application/json"" -H ""X-Redmine-API-Key: "&amp;redm_api_key&amp;""" "&amp;redm_url&amp;" --data @-"</f>
        <v>echo {"issue":{"subject":"","project_id":79,"tracker_id":40,"status_id":1,"priority_id":2,"assigned_to_id":23,"start_date":"2016-10-13","description":"","custom_fields":[{"id":1,"name":"Subdivision","value":"EC"},{"id":4,"name":"Milepost","value":"0.0001"},{"id":17,"name":"Train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21"/>
      <c r="AC35" s="155" t="str">
        <f>"grep -hSE -A100 ""Enforcement Action"" "&amp;search_path&amp;"\RTDC"&amp;U35&amp;"\*"&amp;U35&amp;"*"&amp;TEXT(A35-utc_offset/24,"YYYYMMDD")&amp;LEFT(TEXT(A35-utc_offset/24,"HH"),1)&amp;"* | grep -SE ""((Enforcement Ac)|(PRM))"" -"</f>
        <v>grep -hSE -A100 "Enforcement Action" "%USERPROFILE%\AppData\Local\Temp\OnboardLogs"\RTDC4043\*4043*201610140* | grep -SE "((Enforcement Ac)|(PRM))" -</v>
      </c>
      <c r="AD35" s="1"/>
    </row>
    <row r="36" spans="1:30" x14ac:dyDescent="0.25">
      <c r="A36" s="36">
        <v>42656.264907407407</v>
      </c>
      <c r="B36" s="31" t="s">
        <v>379</v>
      </c>
      <c r="C36" s="31" t="s">
        <v>380</v>
      </c>
      <c r="D36" s="31" t="s">
        <v>49</v>
      </c>
      <c r="E36" s="31" t="s">
        <v>366</v>
      </c>
      <c r="F36" s="47">
        <v>0</v>
      </c>
      <c r="G36" s="47">
        <v>120</v>
      </c>
      <c r="H36" s="47">
        <v>233021</v>
      </c>
      <c r="I36" s="47">
        <v>233189</v>
      </c>
      <c r="J36" s="31" t="s">
        <v>367</v>
      </c>
      <c r="K36" s="47">
        <v>233491</v>
      </c>
      <c r="L36" s="172" t="s">
        <v>50</v>
      </c>
      <c r="M36" s="173">
        <f>CONVERT((I36-K36)/10000,"mi","ft")*IF(L36="Increasing Mileposts (1)",-1,1)</f>
        <v>159.45599999999999</v>
      </c>
      <c r="N36" s="174" t="str">
        <f>VLOOKUP(C36,'Trips&amp;Operators'!$C$1:$E$99999,3,FALSE)</f>
        <v>SPECTOR</v>
      </c>
      <c r="O36" s="154" t="s">
        <v>358</v>
      </c>
      <c r="P36" s="175"/>
      <c r="Q36" s="31"/>
      <c r="R36" s="100" t="str">
        <f>VLOOKUP(C36,'Train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6" s="103" t="str">
        <f>VLOOKUP(C36,'Train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6" s="105" t="str">
        <f>astrogrep_path&amp;" /spath="&amp;search_path&amp;" /stypes=""*"&amp;U36&amp;"*"&amp;TEXT(A36-utc_offset/24,"YYYYMMDD")&amp;LEFT(TEXT(A36-utc_offset/24,"HH"),1)&amp;"*"" /stext="" "&amp;TEXT(A36-utc_offset/24,"HH")&amp;search_regexp&amp;""" /e /r /s"</f>
        <v>"C:\Program Files (x86)\AstroGrep\AstroGrep.exe" /spath="%USERPROFILE%\AppData\Local\Temp\OnboardLogs" /stypes="*4042*201610131*" /stext=" 12:.+((SYSTEM_STATE.+slice.+state.+changed )|(ment ac)|(system.+state.+changed )|(\[timeout)|(PRM\|1\|D)|(kpr)|(kdp)|(\|lc)|(penalty))" /e /r /s</v>
      </c>
      <c r="U36" s="9" t="str">
        <f>MID(B36,13,4)</f>
        <v>4042</v>
      </c>
      <c r="V36" s="36">
        <f>A36+6/24</f>
        <v>42656.514907407407</v>
      </c>
      <c r="W36" s="50" t="str">
        <f>IF(VALUE(LEFT(IF(LEN(C36)=6,"0"&amp;C36,C36),2))&lt;=2,"EC",IF(OR(VALUE(LEFT(IF(LEN(C36)=6,"0"&amp;C36,C36),2))=8,VALUE(LEFT(IF(LEN(C36)=6,"0"&amp;C36,C36),2))=18),"NW","Other"))</f>
        <v>EC</v>
      </c>
      <c r="X36" s="50" t="str">
        <f>IF(AND(E36="TRACK WARRANT AUTHORITY",G36&lt;10),"OMIT","KEEP")</f>
        <v>KEEP</v>
      </c>
      <c r="Y36" s="122" t="str">
        <f>"echo {""issue"":{""subject"":"""&amp;P36&amp;""",""project_id"":79,""tracker_id"":40,""status_id"":"&amp;redmine_status&amp;",""priority_id"":"&amp;redmine_priority&amp;",""assigned_to_id"":"&amp;redmine_assignee&amp;",""start_date"":"""&amp;TEXT(A36,"YYYY-mm-dd")&amp;""",""description"":"""&amp;Z36&amp;""",""custom_fields"":[{""id"":1,""name"":""Subdivision"",""value"":"""&amp;W36&amp;"""},{""id"":4,""name"":""Milepost"",""value"":"""&amp;K36/10000&amp;"""},{""id"":17,""name"":""Train ID"",""value"":"""&amp;C36&amp;"""},{""id"":16,""name"":""Locomotive ID"",""value"":"""&amp;U36&amp;"""},{""id"":130,""name"":""Impact"",""value"":"""&amp;AA36&amp;"""},{""id"":150,""name"":""Time of Event (Mountain Time)"",""value"":"""&amp;TEXT(A36,"hh:mm:ss")&amp;"""},{""id"":151,""name"":""Denver Issue ID"",""value"":"""&amp;"""},{""id"":178,""name"":""Operational Impact"",""value"":"""&amp;redmine_op_impact&amp;"""},{""id"":179,""name"":""Denver Segment Assigned"",""value"":"""&amp;AB36&amp;"""}]}}"&amp;"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Time)","value":"06:21:28"},{"id":151,"name":"Denver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21"/>
      <c r="AC36" s="155" t="str">
        <f>"grep -hSE -A100 ""Enforcement Action"" "&amp;search_path&amp;"\RTDC"&amp;U36&amp;"\*"&amp;U36&amp;"*"&amp;TEXT(A36-utc_offset/24,"YYYYMMDD")&amp;LEFT(TEXT(A36-utc_offset/24,"HH"),1)&amp;"* | grep -SE ""((Enforcement Ac)|(PRM))"" -"</f>
        <v>grep -hSE -A100 "Enforcement Action" "%USERPROFILE%\AppData\Local\Temp\OnboardLogs"\RTDC4042\*4042*201610131* | grep -SE "((Enforcement Ac)|(PRM))" -</v>
      </c>
      <c r="AD36" s="1"/>
    </row>
    <row r="37" spans="1:30" ht="15" customHeight="1" x14ac:dyDescent="0.25">
      <c r="A37" s="36">
        <v>42656.2653125</v>
      </c>
      <c r="B37" s="31" t="s">
        <v>379</v>
      </c>
      <c r="C37" s="31" t="s">
        <v>380</v>
      </c>
      <c r="D37" s="31" t="s">
        <v>49</v>
      </c>
      <c r="E37" s="31" t="s">
        <v>366</v>
      </c>
      <c r="F37" s="47">
        <v>0</v>
      </c>
      <c r="G37" s="47">
        <v>53</v>
      </c>
      <c r="H37" s="47">
        <v>233257</v>
      </c>
      <c r="I37" s="47">
        <v>233314</v>
      </c>
      <c r="J37" s="31" t="s">
        <v>367</v>
      </c>
      <c r="K37" s="47">
        <v>233491</v>
      </c>
      <c r="L37" s="172" t="s">
        <v>50</v>
      </c>
      <c r="M37" s="173">
        <f>CONVERT((I37-K37)/10000,"mi","ft")*IF(L37="Increasing Mileposts (1)",-1,1)</f>
        <v>93.456000000000003</v>
      </c>
      <c r="N37" s="174" t="str">
        <f>VLOOKUP(C37,'Trips&amp;Operators'!$C$1:$E$99999,3,FALSE)</f>
        <v>SPECTOR</v>
      </c>
      <c r="O37" s="154" t="s">
        <v>358</v>
      </c>
      <c r="P37" s="175"/>
      <c r="Q37" s="31"/>
      <c r="R37" s="100" t="str">
        <f>VLOOKUP(C37,'Train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7" s="103" t="str">
        <f>VLOOKUP(C37,'Train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7" s="105" t="str">
        <f>astrogrep_path&amp;" /spath="&amp;search_path&amp;" /stypes=""*"&amp;U37&amp;"*"&amp;TEXT(A37-utc_offset/24,"YYYYMMDD")&amp;LEFT(TEXT(A37-utc_offset/24,"HH"),1)&amp;"*"" /stext="" "&amp;TEXT(A37-utc_offset/24,"HH")&amp;search_regexp&amp;""" /e /r /s"</f>
        <v>"C:\Program Files (x86)\AstroGrep\AstroGrep.exe" /spath="%USERPROFILE%\AppData\Local\Temp\OnboardLogs" /stypes="*4042*201610131*" /stext=" 12:.+((SYSTEM_STATE.+slice.+state.+changed )|(ment ac)|(system.+state.+changed )|(\[timeout)|(PRM\|1\|D)|(kpr)|(kdp)|(\|lc)|(penalty))" /e /r /s</v>
      </c>
      <c r="U37" s="9" t="str">
        <f>MID(B37,13,4)</f>
        <v>4042</v>
      </c>
      <c r="V37" s="36">
        <f>A37+6/24</f>
        <v>42656.5153125</v>
      </c>
      <c r="W37" s="50" t="str">
        <f>IF(VALUE(LEFT(IF(LEN(C37)=6,"0"&amp;C37,C37),2))&lt;=2,"EC",IF(OR(VALUE(LEFT(IF(LEN(C37)=6,"0"&amp;C37,C37),2))=8,VALUE(LEFT(IF(LEN(C37)=6,"0"&amp;C37,C37),2))=18),"NW","Other"))</f>
        <v>EC</v>
      </c>
      <c r="X37" s="50" t="str">
        <f>IF(AND(E37="TRACK WARRANT AUTHORITY",G37&lt;10),"OMIT","KEEP")</f>
        <v>KEEP</v>
      </c>
      <c r="Y37" s="122" t="str">
        <f>"echo {""issue"":{""subject"":"""&amp;P37&amp;""",""project_id"":79,""tracker_id"":40,""status_id"":"&amp;redmine_status&amp;",""priority_id"":"&amp;redmine_priority&amp;",""assigned_to_id"":"&amp;redmine_assignee&amp;",""start_date"":"""&amp;TEXT(A37,"YYYY-mm-dd")&amp;""",""description"":"""&amp;Z37&amp;""",""custom_fields"":[{""id"":1,""name"":""Subdivision"",""value"":"""&amp;W37&amp;"""},{""id"":4,""name"":""Milepost"",""value"":"""&amp;K37/10000&amp;"""},{""id"":17,""name"":""Train ID"",""value"":"""&amp;C37&amp;"""},{""id"":16,""name"":""Locomotive ID"",""value"":"""&amp;U37&amp;"""},{""id"":130,""name"":""Impact"",""value"":"""&amp;AA37&amp;"""},{""id"":150,""name"":""Time of Event (Mountain Time)"",""value"":"""&amp;TEXT(A37,"hh:mm:ss")&amp;"""},{""id"":151,""name"":""Denver Issue ID"",""value"":"""&amp;"""},{""id"":178,""name"":""Operational Impact"",""value"":"""&amp;redmine_op_impact&amp;"""},{""id"":179,""name"":""Denver Segment Assigned"",""value"":"""&amp;AB37&amp;"""}]}}"&amp;"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Time)","value":"06:22:03"},{"id":151,"name":"Denver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21"/>
      <c r="AC37" s="155" t="str">
        <f>"grep -hSE -A100 ""Enforcement Action"" "&amp;search_path&amp;"\RTDC"&amp;U37&amp;"\*"&amp;U37&amp;"*"&amp;TEXT(A37-utc_offset/24,"YYYYMMDD")&amp;LEFT(TEXT(A37-utc_offset/24,"HH"),1)&amp;"* | grep -SE ""((Enforcement Ac)|(PRM))"" -"</f>
        <v>grep -hSE -A100 "Enforcement Action" "%USERPROFILE%\AppData\Local\Temp\OnboardLogs"\RTDC4042\*4042*201610131* | grep -SE "((Enforcement Ac)|(PRM))" -</v>
      </c>
      <c r="AD37" s="1"/>
    </row>
    <row r="38" spans="1:30" x14ac:dyDescent="0.25">
      <c r="A38" s="36">
        <v>42656.338159722225</v>
      </c>
      <c r="B38" s="31" t="s">
        <v>379</v>
      </c>
      <c r="C38" s="31" t="s">
        <v>385</v>
      </c>
      <c r="D38" s="31" t="s">
        <v>49</v>
      </c>
      <c r="E38" s="31" t="s">
        <v>366</v>
      </c>
      <c r="F38" s="47">
        <v>0</v>
      </c>
      <c r="G38" s="47">
        <v>52</v>
      </c>
      <c r="H38" s="47">
        <v>233324</v>
      </c>
      <c r="I38" s="47">
        <v>233362</v>
      </c>
      <c r="J38" s="31" t="s">
        <v>367</v>
      </c>
      <c r="K38" s="47">
        <v>233491</v>
      </c>
      <c r="L38" s="172" t="s">
        <v>50</v>
      </c>
      <c r="M38" s="173">
        <f>CONVERT((I38-K38)/10000,"mi","ft")*IF(L38="Increasing Mileposts (1)",-1,1)</f>
        <v>68.111999999999995</v>
      </c>
      <c r="N38" s="174" t="str">
        <f>VLOOKUP(C38,'Trips&amp;Operators'!$C$1:$E$99999,3,FALSE)</f>
        <v>SPECTOR</v>
      </c>
      <c r="O38" s="154" t="s">
        <v>358</v>
      </c>
      <c r="P38" s="175"/>
      <c r="Q38" s="31"/>
      <c r="R38" s="100" t="str">
        <f>VLOOKUP(C38,'Train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8" s="103" t="str">
        <f>VLOOKUP(C38,'Train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8" s="105" t="str">
        <f>astrogrep_path&amp;" /spath="&amp;search_path&amp;" /stypes=""*"&amp;U38&amp;"*"&amp;TEXT(A38-utc_offset/24,"YYYYMMDD")&amp;LEFT(TEXT(A38-utc_offset/24,"HH"),1)&amp;"*"" /stext="" "&amp;TEXT(A38-utc_offset/24,"HH")&amp;search_regexp&amp;""" /e /r /s"</f>
        <v>"C:\Program Files (x86)\AstroGrep\AstroGrep.exe" /spath="%USERPROFILE%\AppData\Local\Temp\OnboardLogs" /stypes="*4042*201610131*" /stext=" 14:.+((SYSTEM_STATE.+slice.+state.+changed )|(ment ac)|(system.+state.+changed )|(\[timeout)|(PRM\|1\|D)|(kpr)|(kdp)|(\|lc)|(penalty))" /e /r /s</v>
      </c>
      <c r="U38" s="9" t="str">
        <f>MID(B38,13,4)</f>
        <v>4042</v>
      </c>
      <c r="V38" s="36">
        <f>A38+6/24</f>
        <v>42656.588159722225</v>
      </c>
      <c r="W38" s="50" t="str">
        <f>IF(VALUE(LEFT(IF(LEN(C38)=6,"0"&amp;C38,C38),2))&lt;=2,"EC",IF(OR(VALUE(LEFT(IF(LEN(C38)=6,"0"&amp;C38,C38),2))=8,VALUE(LEFT(IF(LEN(C38)=6,"0"&amp;C38,C38),2))=18),"NW","Other"))</f>
        <v>EC</v>
      </c>
      <c r="X38" s="50" t="str">
        <f>IF(AND(E38="TRACK WARRANT AUTHORITY",G38&lt;10),"OMIT","KEEP")</f>
        <v>KEEP</v>
      </c>
      <c r="Y38" s="122" t="str">
        <f>"echo {""issue"":{""subject"":"""&amp;P38&amp;""",""project_id"":79,""tracker_id"":40,""status_id"":"&amp;redmine_status&amp;",""priority_id"":"&amp;redmine_priority&amp;",""assigned_to_id"":"&amp;redmine_assignee&amp;",""start_date"":"""&amp;TEXT(A38,"YYYY-mm-dd")&amp;""",""description"":"""&amp;Z38&amp;""",""custom_fields"":[{""id"":1,""name"":""Subdivision"",""value"":"""&amp;W38&amp;"""},{""id"":4,""name"":""Milepost"",""value"":"""&amp;K38/10000&amp;"""},{""id"":17,""name"":""Train ID"",""value"":"""&amp;C38&amp;"""},{""id"":16,""name"":""Locomotive ID"",""value"":"""&amp;U38&amp;"""},{""id"":130,""name"":""Impact"",""value"":"""&amp;AA38&amp;"""},{""id"":150,""name"":""Time of Event (Mountain Time)"",""value"":"""&amp;TEXT(A38,"hh:mm:ss")&amp;"""},{""id"":151,""name"":""Denver Issue ID"",""value"":"""&amp;"""},{""id"":178,""name"":""Operational Impact"",""value"":"""&amp;redmine_op_impact&amp;"""},{""id"":179,""name"":""Denver Segment Assigned"",""value"":"""&amp;AB38&amp;"""}]}}"&amp;"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ID","value":"131-13"},{"id":16,"name":"Locomotive ID","value":"4042"},{"id":130,"name":"Impact","value":""},{"id":150,"name":"Time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21"/>
      <c r="AC38" s="155" t="str">
        <f>"grep -hSE -A100 ""Enforcement Action"" "&amp;search_path&amp;"\RTDC"&amp;U38&amp;"\*"&amp;U38&amp;"*"&amp;TEXT(A38-utc_offset/24,"YYYYMMDD")&amp;LEFT(TEXT(A38-utc_offset/24,"HH"),1)&amp;"* | grep -SE ""((Enforcement Ac)|(PRM))"" -"</f>
        <v>grep -hSE -A100 "Enforcement Action" "%USERPROFILE%\AppData\Local\Temp\OnboardLogs"\RTDC4042\*4042*201610131* | grep -SE "((Enforcement Ac)|(PRM))" -</v>
      </c>
      <c r="AD38" s="1"/>
    </row>
    <row r="39" spans="1:30" x14ac:dyDescent="0.25">
      <c r="A39" s="36">
        <v>42656.412106481483</v>
      </c>
      <c r="B39" s="31" t="s">
        <v>379</v>
      </c>
      <c r="C39" s="31" t="s">
        <v>393</v>
      </c>
      <c r="D39" s="31" t="s">
        <v>49</v>
      </c>
      <c r="E39" s="31" t="s">
        <v>366</v>
      </c>
      <c r="F39" s="47">
        <v>0</v>
      </c>
      <c r="G39" s="47">
        <v>54</v>
      </c>
      <c r="H39" s="47">
        <v>233268</v>
      </c>
      <c r="I39" s="47">
        <v>233321</v>
      </c>
      <c r="J39" s="31" t="s">
        <v>367</v>
      </c>
      <c r="K39" s="47">
        <v>233491</v>
      </c>
      <c r="L39" s="172" t="s">
        <v>50</v>
      </c>
      <c r="M39" s="173">
        <f>CONVERT((I39-K39)/10000,"mi","ft")*IF(L39="Increasing Mileposts (1)",-1,1)</f>
        <v>89.76</v>
      </c>
      <c r="N39" s="174" t="str">
        <f>VLOOKUP(C39,'Trips&amp;Operators'!$C$1:$E$99999,3,FALSE)</f>
        <v>SPECTOR</v>
      </c>
      <c r="O39" s="154" t="s">
        <v>358</v>
      </c>
      <c r="P39" s="175"/>
      <c r="Q39" s="31"/>
      <c r="R39" s="100" t="str">
        <f>VLOOKUP(C39,'Train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9" s="103" t="str">
        <f>VLOOKUP(C39,'Train Runs'!$A$13:$AE$10001,22,0)</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9" s="105" t="str">
        <f>astrogrep_path&amp;" /spath="&amp;search_path&amp;" /stypes=""*"&amp;U39&amp;"*"&amp;TEXT(A39-utc_offset/24,"YYYYMMDD")&amp;LEFT(TEXT(A39-utc_offset/24,"HH"),1)&amp;"*"" /stext="" "&amp;TEXT(A39-utc_offset/24,"HH")&amp;search_regexp&amp;""" /e /r /s"</f>
        <v>"C:\Program Files (x86)\AstroGrep\AstroGrep.exe" /spath="%USERPROFILE%\AppData\Local\Temp\OnboardLogs" /stypes="*4042*201610131*" /stext=" 15:.+((SYSTEM_STATE.+slice.+state.+changed )|(ment ac)|(system.+state.+changed )|(\[timeout)|(PRM\|1\|D)|(kpr)|(kdp)|(\|lc)|(penalty))" /e /r /s</v>
      </c>
      <c r="U39" s="9" t="str">
        <f>MID(B39,13,4)</f>
        <v>4042</v>
      </c>
      <c r="V39" s="36">
        <f>A39+6/24</f>
        <v>42656.662106481483</v>
      </c>
      <c r="W39" s="50" t="str">
        <f>IF(VALUE(LEFT(IF(LEN(C39)=6,"0"&amp;C39,C39),2))&lt;=2,"EC",IF(OR(VALUE(LEFT(IF(LEN(C39)=6,"0"&amp;C39,C39),2))=8,VALUE(LEFT(IF(LEN(C39)=6,"0"&amp;C39,C39),2))=18),"NW","Other"))</f>
        <v>EC</v>
      </c>
      <c r="X39" s="50" t="str">
        <f>IF(AND(E39="TRACK WARRANT AUTHORITY",G39&lt;10),"OMIT","KEEP")</f>
        <v>KEEP</v>
      </c>
      <c r="Y39" s="122" t="str">
        <f>"echo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ID","value":"145-13"},{"id":16,"name":"Locomotive ID","value":"4042"},{"id":130,"name":"Impact","value":""},{"id":150,"name":"Time of Event (Mountain Time)","value":"09:53:26"},{"id":151,"name":"Denver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21"/>
      <c r="AC39" s="155" t="str">
        <f>"grep -hSE -A100 ""Enforcement Action"" "&amp;search_path&amp;"\RTDC"&amp;U39&amp;"\*"&amp;U39&amp;"*"&amp;TEXT(A39-utc_offset/24,"YYYYMMDD")&amp;LEFT(TEXT(A39-utc_offset/24,"HH"),1)&amp;"* | grep -SE ""((Enforcement Ac)|(PRM))"" -"</f>
        <v>grep -hSE -A100 "Enforcement Action" "%USERPROFILE%\AppData\Local\Temp\OnboardLogs"\RTDC4042\*4042*201610131* | grep -SE "((Enforcement Ac)|(PRM))" -</v>
      </c>
      <c r="AD39" s="1"/>
    </row>
    <row r="40" spans="1:30" x14ac:dyDescent="0.25">
      <c r="A40" s="36">
        <v>42656.452673611115</v>
      </c>
      <c r="B40" s="31" t="s">
        <v>218</v>
      </c>
      <c r="C40" s="31" t="s">
        <v>399</v>
      </c>
      <c r="D40" s="31" t="s">
        <v>49</v>
      </c>
      <c r="E40" s="31" t="s">
        <v>366</v>
      </c>
      <c r="F40" s="47">
        <v>0</v>
      </c>
      <c r="G40" s="47">
        <v>53</v>
      </c>
      <c r="H40" s="47">
        <v>233285</v>
      </c>
      <c r="I40" s="47">
        <v>233329</v>
      </c>
      <c r="J40" s="31" t="s">
        <v>367</v>
      </c>
      <c r="K40" s="47">
        <v>233491</v>
      </c>
      <c r="L40" s="172" t="s">
        <v>50</v>
      </c>
      <c r="M40" s="173">
        <f>CONVERT((I40-K40)/10000,"mi","ft")*IF(L40="Increasing Mileposts (1)",-1,1)</f>
        <v>85.536000000000001</v>
      </c>
      <c r="N40" s="174" t="str">
        <f>VLOOKUP(C40,'Trips&amp;Operators'!$C$1:$E$99999,3,FALSE)</f>
        <v>STARKS</v>
      </c>
      <c r="O40" s="154" t="s">
        <v>358</v>
      </c>
      <c r="P40" s="175"/>
      <c r="Q40" s="31"/>
      <c r="R40" s="100" t="str">
        <f>VLOOKUP(C40,'Train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40" s="103" t="str">
        <f>VLOOKUP(C40,'Train Runs'!$A$13:$AE$10001,22,0)</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40" s="105" t="str">
        <f>astrogrep_path&amp;" /spath="&amp;search_path&amp;" /stypes=""*"&amp;U40&amp;"*"&amp;TEXT(A40-utc_offset/24,"YYYYMMDD")&amp;LEFT(TEXT(A40-utc_offset/24,"HH"),1)&amp;"*"" /stext="" "&amp;TEXT(A40-utc_offset/24,"HH")&amp;search_regexp&amp;""" /e /r /s"</f>
        <v>"C:\Program Files (x86)\AstroGrep\AstroGrep.exe" /spath="%USERPROFILE%\AppData\Local\Temp\OnboardLogs" /stypes="*4038*201610131*" /stext=" 16:.+((SYSTEM_STATE.+slice.+state.+changed )|(ment ac)|(system.+state.+changed )|(\[timeout)|(PRM\|1\|D)|(kpr)|(kdp)|(\|lc)|(penalty))" /e /r /s</v>
      </c>
      <c r="U40" s="9" t="str">
        <f>MID(B40,13,4)</f>
        <v>4038</v>
      </c>
      <c r="V40" s="36">
        <f>A40+6/24</f>
        <v>42656.702673611115</v>
      </c>
      <c r="W40" s="50" t="str">
        <f>IF(VALUE(LEFT(IF(LEN(C40)=6,"0"&amp;C40,C40),2))&lt;=2,"EC",IF(OR(VALUE(LEFT(IF(LEN(C40)=6,"0"&amp;C40,C40),2))=8,VALUE(LEFT(IF(LEN(C40)=6,"0"&amp;C40,C40),2))=18),"NW","Other"))</f>
        <v>EC</v>
      </c>
      <c r="X40" s="50" t="str">
        <f>IF(AND(E40="TRACK WARRANT AUTHORITY",G40&lt;10),"OMIT","KEEP")</f>
        <v>KEEP</v>
      </c>
      <c r="Y40" s="122" t="str">
        <f>"echo {""issue"":{""subject"":"""&amp;P40&amp;""",""project_id"":79,""tracker_id"":40,""status_id"":"&amp;redmine_status&amp;",""priority_id"":"&amp;redmine_priority&amp;",""assigned_to_id"":"&amp;redmine_assignee&amp;",""start_date"":"""&amp;TEXT(A40,"YYYY-mm-dd")&amp;""",""description"":"""&amp;Z40&amp;""",""custom_fields"":[{""id"":1,""name"":""Subdivision"",""value"":"""&amp;W40&amp;"""},{""id"":4,""name"":""Milepost"",""value"":"""&amp;K40/10000&amp;"""},{""id"":17,""name"":""Train ID"",""value"":"""&amp;C40&amp;"""},{""id"":16,""name"":""Locomotive ID"",""value"":"""&amp;U40&amp;"""},{""id"":130,""name"":""Impact"",""value"":"""&amp;AA40&amp;"""},{""id"":150,""name"":""Time of Event (Mountain Time)"",""value"":"""&amp;TEXT(A40,"hh:mm:ss")&amp;"""},{""id"":151,""name"":""Denver Issue ID"",""value"":"""&amp;"""},{""id"":178,""name"":""Operational Impact"",""value"":"""&amp;redmine_op_impact&amp;"""},{""id"":179,""name"":""Denver Segment Assigned"",""value"":"""&amp;AB40&amp;"""}]}}"&amp;"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21"/>
      <c r="AC40" s="155" t="str">
        <f>"grep -hSE -A100 ""Enforcement Action"" "&amp;search_path&amp;"\RTDC"&amp;U40&amp;"\*"&amp;U40&amp;"*"&amp;TEXT(A40-utc_offset/24,"YYYYMMDD")&amp;LEFT(TEXT(A40-utc_offset/24,"HH"),1)&amp;"* | grep -SE ""((Enforcement Ac)|(PRM))"" -"</f>
        <v>grep -hSE -A100 "Enforcement Action" "%USERPROFILE%\AppData\Local\Temp\OnboardLogs"\RTDC4038\*4038*201610131* | grep -SE "((Enforcement Ac)|(PRM))" -</v>
      </c>
      <c r="AD40" s="1"/>
    </row>
    <row r="41" spans="1:30" x14ac:dyDescent="0.25">
      <c r="A41" s="36">
        <v>42656.493194444447</v>
      </c>
      <c r="B41" s="31" t="s">
        <v>235</v>
      </c>
      <c r="C41" s="31" t="s">
        <v>403</v>
      </c>
      <c r="D41" s="31" t="s">
        <v>49</v>
      </c>
      <c r="E41" s="31" t="s">
        <v>155</v>
      </c>
      <c r="F41" s="47">
        <v>0</v>
      </c>
      <c r="G41" s="47">
        <v>312</v>
      </c>
      <c r="H41" s="47">
        <v>15865</v>
      </c>
      <c r="I41" s="47">
        <v>15355</v>
      </c>
      <c r="J41" s="31" t="s">
        <v>154</v>
      </c>
      <c r="K41" s="47">
        <v>15777</v>
      </c>
      <c r="L41" s="172" t="s">
        <v>51</v>
      </c>
      <c r="M41" s="173">
        <f>CONVERT((I41-K41)/10000,"mi","ft")*IF(L41="Increasing Mileposts (1)",-1,1)</f>
        <v>-222.816</v>
      </c>
      <c r="N41" s="174" t="str">
        <f>VLOOKUP(C41,'Trips&amp;Operators'!$C$1:$E$99999,3,FALSE)</f>
        <v>BARTELL</v>
      </c>
      <c r="O41" s="154" t="s">
        <v>209</v>
      </c>
      <c r="P41" s="175" t="s">
        <v>778</v>
      </c>
      <c r="Q41" s="31"/>
      <c r="R41" s="100" t="str">
        <f>VLOOKUP(C41,'Train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1" s="103" t="str">
        <f>VLOOKUP(C41,'Train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1" s="105" t="str">
        <f>astrogrep_path&amp;" /spath="&amp;search_path&amp;" /stypes=""*"&amp;U41&amp;"*"&amp;TEXT(A41-utc_offset/24,"YYYYMMDD")&amp;LEFT(TEXT(A41-utc_offset/24,"HH"),1)&amp;"*"" /stext="" "&amp;TEXT(A41-utc_offset/24,"HH")&amp;search_regexp&amp;""" /e /r /s"</f>
        <v>"C:\Program Files (x86)\AstroGrep\AstroGrep.exe" /spath="%USERPROFILE%\AppData\Local\Temp\OnboardLogs" /stypes="*4032*201610131*" /stext=" 17:.+((SYSTEM_STATE.+slice.+state.+changed )|(ment ac)|(system.+state.+changed )|(\[timeout)|(PRM\|1\|D)|(kpr)|(kdp)|(\|lc)|(penalty))" /e /r /s</v>
      </c>
      <c r="U41" s="9" t="str">
        <f>MID(B41,13,4)</f>
        <v>4032</v>
      </c>
      <c r="V41" s="36">
        <f>A41+6/24</f>
        <v>42656.743194444447</v>
      </c>
      <c r="W41" s="50" t="str">
        <f>IF(VALUE(LEFT(IF(LEN(C41)=6,"0"&amp;C41,C41),2))&lt;=2,"EC",IF(OR(VALUE(LEFT(IF(LEN(C41)=6,"0"&amp;C41,C41),2))=8,VALUE(LEFT(IF(LEN(C41)=6,"0"&amp;C41,C41),2))=18),"NW","Other"))</f>
        <v>NW</v>
      </c>
      <c r="X41" s="50" t="str">
        <f>IF(AND(E41="TRACK WARRANT AUTHORITY",G41&lt;10),"OMIT","KEEP")</f>
        <v>KEEP</v>
      </c>
      <c r="Y41" s="122" t="str">
        <f>"echo {""issue"":{""subject"":"""&amp;P41&amp;""",""project_id"":79,""tracker_id"":40,""status_id"":"&amp;redmine_status&amp;",""priority_id"":"&amp;redmine_priority&amp;",""assigned_to_id"":"&amp;redmine_assignee&amp;",""start_date"":"""&amp;TEXT(A41,"YYYY-mm-dd")&amp;""",""description"":"""&amp;Z41&amp;""",""custom_fields"":[{""id"":1,""name"":""Subdivision"",""value"":"""&amp;W41&amp;"""},{""id"":4,""name"":""Milepost"",""value"":"""&amp;K41/10000&amp;"""},{""id"":17,""name"":""Train ID"",""value"":"""&amp;C41&amp;"""},{""id"":16,""name"":""Locomotive ID"",""value"":"""&amp;U41&amp;"""},{""id"":130,""name"":""Impact"",""value"":"""&amp;AA41&amp;"""},{""id"":150,""name"":""Time of Event (Mountain Time)"",""value"":"""&amp;TEXT(A41,"hh:mm:ss")&amp;"""},{""id"":151,""name"":""Denver Issue ID"",""value"":"""&amp;"""},{""id"":178,""name"":""Operational Impact"",""value"":"""&amp;redmine_op_impact&amp;"""},{""id"":179,""name"":""Denver Segment Assigned"",""value"":"""&amp;AB41&amp;"""}]}}"&amp;" | curl -X POST -H ""Content-Type: application/json"" -H ""X-Redmine-API-Key: "&amp;redm_api_key&amp;""" "&amp;redm_url&amp;" --data @-"</f>
        <v>echo {"issue":{"subject":"Early arrival @ 41st station","project_id":79,"tracker_id":40,"status_id":1,"priority_id":2,"assigned_to_id":23,"start_date":"2016-10-13","description":"","custom_fields":[{"id":1,"name":"Subdivision","value":"NW"},{"id":4,"name":"Milepost","value":"1.5777"},{"id":17,"name":"Train ID","value":"818-13"},{"id":16,"name":"Locomotive ID","value":"4032"},{"id":130,"name":"Impact","value":""},{"id":150,"name":"Time of Event (Mountain Time)","value":"11:50:12"},{"id":151,"name":"Denver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21"/>
      <c r="AC41" s="155" t="str">
        <f>"grep -hSE -A100 ""Enforcement Action"" "&amp;search_path&amp;"\RTDC"&amp;U41&amp;"\*"&amp;U41&amp;"*"&amp;TEXT(A41-utc_offset/24,"YYYYMMDD")&amp;LEFT(TEXT(A41-utc_offset/24,"HH"),1)&amp;"* | grep -SE ""((Enforcement Ac)|(PRM))"" -"</f>
        <v>grep -hSE -A100 "Enforcement Action" "%USERPROFILE%\AppData\Local\Temp\OnboardLogs"\RTDC4032\*4032*201610131* | grep -SE "((Enforcement Ac)|(PRM))" -</v>
      </c>
      <c r="AD41" s="1"/>
    </row>
    <row r="42" spans="1:30" x14ac:dyDescent="0.25">
      <c r="A42" s="36">
        <v>42656.475138888891</v>
      </c>
      <c r="B42" s="31" t="s">
        <v>237</v>
      </c>
      <c r="C42" s="31" t="s">
        <v>400</v>
      </c>
      <c r="D42" s="31" t="s">
        <v>98</v>
      </c>
      <c r="E42" s="31" t="s">
        <v>360</v>
      </c>
      <c r="F42" s="47">
        <v>150</v>
      </c>
      <c r="G42" s="47">
        <v>201</v>
      </c>
      <c r="H42" s="47">
        <v>5154</v>
      </c>
      <c r="I42" s="47">
        <v>5485</v>
      </c>
      <c r="J42" s="31" t="s">
        <v>361</v>
      </c>
      <c r="K42" s="47">
        <v>0</v>
      </c>
      <c r="L42" s="172" t="s">
        <v>50</v>
      </c>
      <c r="M42" s="173">
        <f>CONVERT((I42-K42)/10000,"mi","ft")*IF(L42="Increasing Mileposts (1)",-1,1)</f>
        <v>-2896.08</v>
      </c>
      <c r="N42" s="174" t="str">
        <f>VLOOKUP(C42,'Trips&amp;Operators'!$C$1:$E$99999,3,FALSE)</f>
        <v>GEBRETEKLE</v>
      </c>
      <c r="O42" s="154" t="s">
        <v>358</v>
      </c>
      <c r="P42" s="175"/>
      <c r="Q42" s="31"/>
      <c r="R42" s="100" t="str">
        <f>VLOOKUP(C42,'Train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2" s="103" t="str">
        <f>VLOOKUP(C42,'Train Runs'!$A$13:$AE$10001,22,0)</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2" s="105" t="str">
        <f>astrogrep_path&amp;" /spath="&amp;search_path&amp;" /stypes=""*"&amp;U42&amp;"*"&amp;TEXT(A42-utc_offset/24,"YYYYMMDD")&amp;LEFT(TEXT(A42-utc_offset/24,"HH"),1)&amp;"*"" /stext="" "&amp;TEXT(A42-utc_offset/24,"HH")&amp;search_regexp&amp;""" /e /r /s"</f>
        <v>"C:\Program Files (x86)\AstroGrep\AstroGrep.exe" /spath="%USERPROFILE%\AppData\Local\Temp\OnboardLogs" /stypes="*4031*201610131*" /stext=" 17:.+((SYSTEM_STATE.+slice.+state.+changed )|(ment ac)|(system.+state.+changed )|(\[timeout)|(PRM\|1\|D)|(kpr)|(kdp)|(\|lc)|(penalty))" /e /r /s</v>
      </c>
      <c r="U42" s="9" t="str">
        <f>MID(B42,13,4)</f>
        <v>4031</v>
      </c>
      <c r="V42" s="36">
        <f>A42+6/24</f>
        <v>42656.725138888891</v>
      </c>
      <c r="W42" s="50" t="str">
        <f>IF(VALUE(LEFT(IF(LEN(C42)=6,"0"&amp;C42,C42),2))&lt;=2,"EC",IF(OR(VALUE(LEFT(IF(LEN(C42)=6,"0"&amp;C42,C42),2))=8,VALUE(LEFT(IF(LEN(C42)=6,"0"&amp;C42,C42),2))=18),"NW","Other"))</f>
        <v>NW</v>
      </c>
      <c r="X42" s="50" t="str">
        <f>IF(AND(E42="TRACK WARRANT AUTHORITY",G42&lt;10),"OMIT","KEEP")</f>
        <v>KEEP</v>
      </c>
      <c r="Y42" s="122" t="str">
        <f>"echo {""issue"":{""subject"":"""&amp;P42&amp;""",""project_id"":79,""tracker_id"":40,""status_id"":"&amp;redmine_status&amp;",""priority_id"":"&amp;redmine_priority&amp;",""assigned_to_id"":"&amp;redmine_assignee&amp;",""start_date"":"""&amp;TEXT(A42,"YYYY-mm-dd")&amp;""",""description"":"""&amp;Z42&amp;""",""custom_fields"":[{""id"":1,""name"":""Subdivision"",""value"":"""&amp;W42&amp;"""},{""id"":4,""name"":""Milepost"",""value"":"""&amp;K42/10000&amp;"""},{""id"":17,""name"":""Train ID"",""value"":"""&amp;C42&amp;"""},{""id"":16,""name"":""Locomotive ID"",""value"":"""&amp;U42&amp;"""},{""id"":130,""name"":""Impact"",""value"":"""&amp;AA42&amp;"""},{""id"":150,""name"":""Time of Event (Mountain Time)"",""value"":"""&amp;TEXT(A42,"hh:mm:ss")&amp;"""},{""id"":151,""name"":""Denver Issue ID"",""value"":"""&amp;"""},{""id"":178,""name"":""Operational Impact"",""value"":"""&amp;redmine_op_impact&amp;"""},{""id"":179,""name"":""Denver Segment Assigned"",""value"":"""&amp;AB42&amp;"""}]}}"&amp;" | curl -X POST -H ""Content-Type: application/json"" -H ""X-Redmine-API-Key: "&amp;redm_api_key&amp;""" "&amp;redm_url&amp;" --data @-"</f>
        <v>echo {"issue":{"subject":"","project_id":79,"tracker_id":40,"status_id":1,"priority_id":2,"assigned_to_id":23,"start_date":"2016-10-13","description":"","custom_fields":[{"id":1,"name":"Subdivision","value":"NW"},{"id":4,"name":"Milepost","value":"0"},{"id":17,"name":"Train ID","value":"817-13"},{"id":16,"name":"Locomotive ID","value":"4031"},{"id":130,"name":"Impact","value":""},{"id":150,"name":"Time of Event (Mountain Time)","value":"11:24:12"},{"id":151,"name":"Denver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21"/>
      <c r="AC42" s="155" t="str">
        <f>"grep -hSE -A100 ""Enforcement Action"" "&amp;search_path&amp;"\RTDC"&amp;U42&amp;"\*"&amp;U42&amp;"*"&amp;TEXT(A42-utc_offset/24,"YYYYMMDD")&amp;LEFT(TEXT(A42-utc_offset/24,"HH"),1)&amp;"* | grep -SE ""((Enforcement Ac)|(PRM))"" -"</f>
        <v>grep -hSE -A100 "Enforcement Action" "%USERPROFILE%\AppData\Local\Temp\OnboardLogs"\RTDC4031\*4031*201610131* | grep -SE "((Enforcement Ac)|(PRM))" -</v>
      </c>
      <c r="AD42" s="1"/>
    </row>
    <row r="43" spans="1:30" x14ac:dyDescent="0.25">
      <c r="A43" s="36">
        <v>42656.518726851849</v>
      </c>
      <c r="B43" s="31" t="s">
        <v>237</v>
      </c>
      <c r="C43" s="31" t="s">
        <v>404</v>
      </c>
      <c r="D43" s="31" t="s">
        <v>49</v>
      </c>
      <c r="E43" s="31" t="s">
        <v>360</v>
      </c>
      <c r="F43" s="47">
        <v>300</v>
      </c>
      <c r="G43" s="47">
        <v>462</v>
      </c>
      <c r="H43" s="47">
        <v>18711</v>
      </c>
      <c r="I43" s="47">
        <v>20159</v>
      </c>
      <c r="J43" s="31" t="s">
        <v>361</v>
      </c>
      <c r="K43" s="47">
        <v>21314</v>
      </c>
      <c r="L43" s="172" t="s">
        <v>50</v>
      </c>
      <c r="M43" s="173">
        <f>CONVERT((I43-K43)/10000,"mi","ft")*IF(L43="Increasing Mileposts (1)",-1,1)</f>
        <v>609.84</v>
      </c>
      <c r="N43" s="174" t="str">
        <f>VLOOKUP(C43,'Trips&amp;Operators'!$C$1:$E$99999,3,FALSE)</f>
        <v>GEBRETEKLE</v>
      </c>
      <c r="O43" s="154" t="s">
        <v>358</v>
      </c>
      <c r="P43" s="175"/>
      <c r="Q43" s="31"/>
      <c r="R43" s="100" t="str">
        <f>VLOOKUP(C43,'Train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3" s="103" t="str">
        <f>VLOOKUP(C43,'Train Runs'!$A$13:$AE$10001,22,0)</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3" s="105" t="str">
        <f>astrogrep_path&amp;" /spath="&amp;search_path&amp;" /stypes=""*"&amp;U43&amp;"*"&amp;TEXT(A43-utc_offset/24,"YYYYMMDD")&amp;LEFT(TEXT(A43-utc_offset/24,"HH"),1)&amp;"*"" /stext="" "&amp;TEXT(A43-utc_offset/24,"HH")&amp;search_regexp&amp;""" /e /r /s"</f>
        <v>"C:\Program Files (x86)\AstroGrep\AstroGrep.exe" /spath="%USERPROFILE%\AppData\Local\Temp\OnboardLogs" /stypes="*4031*201610131*" /stext=" 18:.+((SYSTEM_STATE.+slice.+state.+changed )|(ment ac)|(system.+state.+changed )|(\[timeout)|(PRM\|1\|D)|(kpr)|(kdp)|(\|lc)|(penalty))" /e /r /s</v>
      </c>
      <c r="U43" s="9" t="str">
        <f>MID(B43,13,4)</f>
        <v>4031</v>
      </c>
      <c r="V43" s="36">
        <f>A43+6/24</f>
        <v>42656.768726851849</v>
      </c>
      <c r="W43" s="50" t="str">
        <f>IF(VALUE(LEFT(IF(LEN(C43)=6,"0"&amp;C43,C43),2))&lt;=2,"EC",IF(OR(VALUE(LEFT(IF(LEN(C43)=6,"0"&amp;C43,C43),2))=8,VALUE(LEFT(IF(LEN(C43)=6,"0"&amp;C43,C43),2))=18),"NW","Other"))</f>
        <v>NW</v>
      </c>
      <c r="X43" s="50" t="str">
        <f>IF(AND(E43="TRACK WARRANT AUTHORITY",G43&lt;10),"OMIT","KEEP")</f>
        <v>KEEP</v>
      </c>
      <c r="Y43" s="122" t="str">
        <f>"echo {""issue"":{""subject"":"""&amp;P43&amp;""",""project_id"":79,""tracker_id"":40,""status_id"":"&amp;redmine_status&amp;",""priority_id"":"&amp;redmine_priority&amp;",""assigned_to_id"":"&amp;redmine_assignee&amp;",""start_date"":"""&amp;TEXT(A43,"YYYY-mm-dd")&amp;""",""description"":"""&amp;Z43&amp;""",""custom_fields"":[{""id"":1,""name"":""Subdivision"",""value"":"""&amp;W43&amp;"""},{""id"":4,""name"":""Milepost"",""value"":"""&amp;K43/10000&amp;"""},{""id"":17,""name"":""Train ID"",""value"":"""&amp;C43&amp;"""},{""id"":16,""name"":""Locomotive ID"",""value"":"""&amp;U43&amp;"""},{""id"":130,""name"":""Impact"",""value"":"""&amp;AA43&amp;"""},{""id"":150,""name"":""Time of Event (Mountain Time)"",""value"":"""&amp;TEXT(A43,"hh:mm:ss")&amp;"""},{""id"":151,""name"":""Denver Issue ID"",""value"":"""&amp;"""},{""id"":178,""name"":""Operational Impact"",""value"":"""&amp;redmine_op_impact&amp;"""},{""id"":179,""name"":""Denver Segment Assigned"",""value"":"""&amp;AB43&amp;"""}]}}"&amp;" | curl -X POST -H ""Content-Type: application/json"" -H ""X-Redmine-API-Key: "&amp;redm_api_key&amp;""" "&amp;redm_url&amp;" --data @-"</f>
        <v>echo {"issue":{"subject":"","project_id":79,"tracker_id":40,"status_id":1,"priority_id":2,"assigned_to_id":23,"start_date":"2016-10-13","description":"","custom_fields":[{"id":1,"name":"Subdivision","value":"NW"},{"id":4,"name":"Milepost","value":"2.1314"},{"id":17,"name":"Train ID","value":"819-13"},{"id":16,"name":"Locomotive ID","value":"4031"},{"id":130,"name":"Impact","value":""},{"id":150,"name":"Time of Event (Mountain Time)","value":"12:26:58"},{"id":151,"name":"Denver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21"/>
      <c r="AC43" s="155" t="str">
        <f>"grep -hSE -A100 ""Enforcement Action"" "&amp;search_path&amp;"\RTDC"&amp;U43&amp;"\*"&amp;U43&amp;"*"&amp;TEXT(A43-utc_offset/24,"YYYYMMDD")&amp;LEFT(TEXT(A43-utc_offset/24,"HH"),1)&amp;"* | grep -SE ""((Enforcement Ac)|(PRM))"" -"</f>
        <v>grep -hSE -A100 "Enforcement Action" "%USERPROFILE%\AppData\Local\Temp\OnboardLogs"\RTDC4031\*4031*201610131* | grep -SE "((Enforcement Ac)|(PRM))" -</v>
      </c>
      <c r="AD43" s="1"/>
    </row>
    <row r="44" spans="1:30" x14ac:dyDescent="0.25">
      <c r="A44" s="36">
        <v>42656.772268518522</v>
      </c>
      <c r="B44" s="31" t="s">
        <v>237</v>
      </c>
      <c r="C44" s="31" t="s">
        <v>416</v>
      </c>
      <c r="D44" s="31" t="s">
        <v>49</v>
      </c>
      <c r="E44" s="31" t="s">
        <v>360</v>
      </c>
      <c r="F44" s="47">
        <v>150</v>
      </c>
      <c r="G44" s="47">
        <v>350</v>
      </c>
      <c r="H44" s="47">
        <v>56023</v>
      </c>
      <c r="I44" s="47">
        <v>56680</v>
      </c>
      <c r="J44" s="31" t="s">
        <v>361</v>
      </c>
      <c r="K44" s="47">
        <v>57008</v>
      </c>
      <c r="L44" s="172" t="s">
        <v>50</v>
      </c>
      <c r="M44" s="173">
        <f>CONVERT((I44-K44)/10000,"mi","ft")*IF(L44="Increasing Mileposts (1)",-1,1)</f>
        <v>173.18400000000003</v>
      </c>
      <c r="N44" s="174" t="str">
        <f>VLOOKUP(C44,'Trips&amp;Operators'!$C$1:$E$99999,3,FALSE)</f>
        <v>HELVIE</v>
      </c>
      <c r="O44" s="154" t="s">
        <v>358</v>
      </c>
      <c r="P44" s="175"/>
      <c r="Q44" s="31"/>
      <c r="R44" s="100" t="str">
        <f>VLOOKUP(C44,'Train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4" s="103" t="str">
        <f>VLOOKUP(C44,'Train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4" s="105" t="str">
        <f>astrogrep_path&amp;" /spath="&amp;search_path&amp;" /stypes=""*"&amp;U44&amp;"*"&amp;TEXT(A44-utc_offset/24,"YYYYMMDD")&amp;LEFT(TEXT(A44-utc_offset/24,"HH"),1)&amp;"*"" /stext="" "&amp;TEXT(A44-utc_offset/24,"HH")&amp;search_regexp&amp;""" /e /r /s"</f>
        <v>"C:\Program Files (x86)\AstroGrep\AstroGrep.exe" /spath="%USERPROFILE%\AppData\Local\Temp\OnboardLogs" /stypes="*4031*201610140*" /stext=" 00:.+((SYSTEM_STATE.+slice.+state.+changed )|(ment ac)|(system.+state.+changed )|(\[timeout)|(PRM\|1\|D)|(kpr)|(kdp)|(\|lc)|(penalty))" /e /r /s</v>
      </c>
      <c r="U44" s="9" t="str">
        <f>MID(B44,13,4)</f>
        <v>4031</v>
      </c>
      <c r="V44" s="36">
        <f>A44+6/24</f>
        <v>42657.022268518522</v>
      </c>
      <c r="W44" s="50" t="str">
        <f>IF(VALUE(LEFT(IF(LEN(C44)=6,"0"&amp;C44,C44),2))&lt;=2,"EC",IF(OR(VALUE(LEFT(IF(LEN(C44)=6,"0"&amp;C44,C44),2))=8,VALUE(LEFT(IF(LEN(C44)=6,"0"&amp;C44,C44),2))=18),"NW","Other"))</f>
        <v>NW</v>
      </c>
      <c r="X44" s="50" t="str">
        <f>IF(AND(E44="TRACK WARRANT AUTHORITY",G44&lt;10),"OMIT","KEEP")</f>
        <v>KEEP</v>
      </c>
      <c r="Y44" s="122" t="str">
        <f>"echo {""issue"":{""subject"":"""&amp;P44&amp;""",""project_id"":79,""tracker_id"":40,""status_id"":"&amp;redmine_status&amp;",""priority_id"":"&amp;redmine_priority&amp;",""assigned_to_id"":"&amp;redmine_assignee&amp;",""start_date"":"""&amp;TEXT(A44,"YYYY-mm-dd")&amp;""",""description"":"""&amp;Z44&amp;""",""custom_fields"":[{""id"":1,""name"":""Subdivision"",""value"":"""&amp;W44&amp;"""},{""id"":4,""name"":""Milepost"",""value"":"""&amp;K44/10000&amp;"""},{""id"":17,""name"":""Train ID"",""value"":"""&amp;C44&amp;"""},{""id"":16,""name"":""Locomotive ID"",""value"":"""&amp;U44&amp;"""},{""id"":130,""name"":""Impact"",""value"":"""&amp;AA44&amp;"""},{""id"":150,""name"":""Time of Event (Mountain Time)"",""value"":"""&amp;TEXT(A44,"hh:mm:ss")&amp;"""},{""id"":151,""name"":""Denver Issue ID"",""value"":"""&amp;"""},{""id"":178,""name"":""Operational Impact"",""value"":"""&amp;redmine_op_impact&amp;"""},{""id"":179,""name"":""Denver Segment Assigned"",""value"":"""&amp;AB44&amp;"""}]}}"&amp;" | curl -X POST -H ""Content-Type: application/json"" -H ""X-Redmine-API-Key: "&amp;redm_api_key&amp;""" "&amp;redm_url&amp;" --data @-"</f>
        <v>echo {"issue":{"subject":"","project_id":79,"tracker_id":40,"status_id":1,"priority_id":2,"assigned_to_id":23,"start_date":"2016-10-13","description":"","custom_fields":[{"id":1,"name":"Subdivision","value":"NW"},{"id":4,"name":"Milepost","value":"5.7008"},{"id":17,"name":"Train ID","value":"837-13"},{"id":16,"name":"Locomotive ID","value":"4031"},{"id":130,"name":"Impact","value":""},{"id":150,"name":"Time of Event (Mountain Time)","value":"18:32:04"},{"id":151,"name":"Denver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21"/>
      <c r="AC44" s="155" t="str">
        <f>"grep -hSE -A100 ""Enforcement Action"" "&amp;search_path&amp;"\RTDC"&amp;U44&amp;"\*"&amp;U44&amp;"*"&amp;TEXT(A44-utc_offset/24,"YYYYMMDD")&amp;LEFT(TEXT(A44-utc_offset/24,"HH"),1)&amp;"* | grep -SE ""((Enforcement Ac)|(PRM))"" -"</f>
        <v>grep -hSE -A100 "Enforcement Action" "%USERPROFILE%\AppData\Local\Temp\OnboardLogs"\RTDC4031\*4031*201610140* | grep -SE "((Enforcement Ac)|(PRM))" -</v>
      </c>
      <c r="AD44" s="1"/>
    </row>
    <row r="45" spans="1:30" x14ac:dyDescent="0.25">
      <c r="A45" s="36">
        <v>42656.363541666666</v>
      </c>
      <c r="B45" s="31" t="s">
        <v>235</v>
      </c>
      <c r="C45" s="31" t="s">
        <v>389</v>
      </c>
      <c r="D45" s="31" t="s">
        <v>98</v>
      </c>
      <c r="E45" s="31" t="s">
        <v>360</v>
      </c>
      <c r="F45" s="47">
        <v>150</v>
      </c>
      <c r="G45" s="47">
        <v>217</v>
      </c>
      <c r="H45" s="47">
        <v>56805</v>
      </c>
      <c r="I45" s="47">
        <v>56249</v>
      </c>
      <c r="J45" s="31" t="s">
        <v>361</v>
      </c>
      <c r="K45" s="47">
        <v>59050</v>
      </c>
      <c r="L45" s="172" t="s">
        <v>51</v>
      </c>
      <c r="M45" s="173">
        <f>CONVERT((I45-K45)/10000,"mi","ft")*IF(L45="Increasing Mileposts (1)",-1,1)</f>
        <v>-1478.9280000000001</v>
      </c>
      <c r="N45" s="174" t="str">
        <f>VLOOKUP(C45,'Trips&amp;Operators'!$C$1:$E$99999,3,FALSE)</f>
        <v>GEBRETEKLE</v>
      </c>
      <c r="O45" s="154" t="s">
        <v>358</v>
      </c>
      <c r="P45" s="175"/>
      <c r="Q45" s="31"/>
      <c r="R45" s="100" t="str">
        <f>VLOOKUP(C45,'Train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5" s="103" t="str">
        <f>VLOOKUP(C45,'Train Runs'!$A$13:$AE$10001,22,0)</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5" s="105" t="str">
        <f>astrogrep_path&amp;" /spath="&amp;search_path&amp;" /stypes=""*"&amp;U45&amp;"*"&amp;TEXT(A45-utc_offset/24,"YYYYMMDD")&amp;LEFT(TEXT(A45-utc_offset/24,"HH"),1)&amp;"*"" /stext="" "&amp;TEXT(A45-utc_offset/24,"HH")&amp;search_regexp&amp;""" /e /r /s"</f>
        <v>"C:\Program Files (x86)\AstroGrep\AstroGrep.exe" /spath="%USERPROFILE%\AppData\Local\Temp\OnboardLogs" /stypes="*4032*201610131*" /stext=" 14:.+((SYSTEM_STATE.+slice.+state.+changed )|(ment ac)|(system.+state.+changed )|(\[timeout)|(PRM\|1\|D)|(kpr)|(kdp)|(\|lc)|(penalty))" /e /r /s</v>
      </c>
      <c r="U45" s="9" t="str">
        <f>MID(B45,13,4)</f>
        <v>4032</v>
      </c>
      <c r="V45" s="36">
        <f>A45+6/24</f>
        <v>42656.613541666666</v>
      </c>
      <c r="W45" s="50" t="str">
        <f>IF(VALUE(LEFT(IF(LEN(C45)=6,"0"&amp;C45,C45),2))&lt;=2,"EC",IF(OR(VALUE(LEFT(IF(LEN(C45)=6,"0"&amp;C45,C45),2))=8,VALUE(LEFT(IF(LEN(C45)=6,"0"&amp;C45,C45),2))=18),"NW","Other"))</f>
        <v>NW</v>
      </c>
      <c r="X45" s="50" t="str">
        <f>IF(AND(E45="TRACK WARRANT AUTHORITY",G45&lt;10),"OMIT","KEEP")</f>
        <v>KEEP</v>
      </c>
      <c r="Y45" s="122" t="str">
        <f>"echo {""issue"":{""subject"":"""&amp;P45&amp;""",""project_id"":79,""tracker_id"":40,""status_id"":"&amp;redmine_status&amp;",""priority_id"":"&amp;redmine_priority&amp;",""assigned_to_id"":"&amp;redmine_assignee&amp;",""start_date"":"""&amp;TEXT(A45,"YYYY-mm-dd")&amp;""",""description"":"""&amp;Z45&amp;""",""custom_fields"":[{""id"":1,""name"":""Subdivision"",""value"":"""&amp;W45&amp;"""},{""id"":4,""name"":""Milepost"",""value"":"""&amp;K45/10000&amp;"""},{""id"":17,""name"":""Train ID"",""value"":"""&amp;C45&amp;"""},{""id"":16,""name"":""Locomotive ID"",""value"":"""&amp;U45&amp;"""},{""id"":130,""name"":""Impact"",""value"":"""&amp;AA45&amp;"""},{""id"":150,""name"":""Time of Event (Mountain Time)"",""value"":"""&amp;TEXT(A45,"hh:mm:ss")&amp;"""},{""id"":151,""name"":""Denver Issue ID"",""value"":"""&amp;"""},{""id"":178,""name"":""Operational Impact"",""value"":"""&amp;redmine_op_impact&amp;"""},{""id"":179,""name"":""Denver Segment Assigned"",""value"":"""&amp;AB45&amp;"""}]}}"&amp;" | curl -X POST -H ""Content-Type: application/json"" -H ""X-Redmine-API-Key: "&amp;redm_api_key&amp;""" "&amp;redm_url&amp;" --data @-"</f>
        <v>echo {"issue":{"subject":"","project_id":79,"tracker_id":40,"status_id":1,"priority_id":2,"assigned_to_id":23,"start_date":"2016-10-13","description":"","custom_fields":[{"id":1,"name":"Subdivision","value":"NW"},{"id":4,"name":"Milepost","value":"5.905"},{"id":17,"name":"Train ID","value":"812-13"},{"id":16,"name":"Locomotive ID","value":"4032"},{"id":130,"name":"Impact","value":""},{"id":150,"name":"Time of Event (Mountain Time)","value":"08:43:30"},{"id":151,"name":"Denver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21"/>
      <c r="AC45" s="155" t="str">
        <f>"grep -hSE -A100 ""Enforcement Action"" "&amp;search_path&amp;"\RTDC"&amp;U45&amp;"\*"&amp;U45&amp;"*"&amp;TEXT(A45-utc_offset/24,"YYYYMMDD")&amp;LEFT(TEXT(A45-utc_offset/24,"HH"),1)&amp;"* | grep -SE ""((Enforcement Ac)|(PRM))"" -"</f>
        <v>grep -hSE -A100 "Enforcement Action" "%USERPROFILE%\AppData\Local\Temp\OnboardLogs"\RTDC4032\*4032*201610131* | grep -SE "((Enforcement Ac)|(PRM))" -</v>
      </c>
      <c r="AD45" s="1"/>
    </row>
    <row r="46" spans="1:30" x14ac:dyDescent="0.25">
      <c r="A46" s="36">
        <v>42656.308391203704</v>
      </c>
      <c r="B46" s="31" t="s">
        <v>237</v>
      </c>
      <c r="C46" s="31" t="s">
        <v>382</v>
      </c>
      <c r="D46" s="31" t="s">
        <v>49</v>
      </c>
      <c r="E46" s="31" t="s">
        <v>371</v>
      </c>
      <c r="F46" s="47">
        <v>100</v>
      </c>
      <c r="G46" s="47">
        <v>328</v>
      </c>
      <c r="H46" s="47">
        <v>9325</v>
      </c>
      <c r="I46" s="47">
        <v>10099</v>
      </c>
      <c r="J46" s="31" t="s">
        <v>154</v>
      </c>
      <c r="K46" s="47">
        <v>10701</v>
      </c>
      <c r="L46" s="172" t="s">
        <v>50</v>
      </c>
      <c r="M46" s="173">
        <f>CONVERT((I46-K46)/10000,"mi","ft")*IF(L46="Increasing Mileposts (1)",-1,1)</f>
        <v>317.85599999999999</v>
      </c>
      <c r="N46" s="174" t="str">
        <f>VLOOKUP(C46,'Trips&amp;Operators'!$C$1:$E$99999,3,FALSE)</f>
        <v>GEBRETEKLE</v>
      </c>
      <c r="O46" s="154" t="s">
        <v>358</v>
      </c>
      <c r="P46" s="175"/>
      <c r="Q46" s="31"/>
      <c r="R46" s="100" t="str">
        <f>VLOOKUP(C46,'Train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6" s="103" t="str">
        <f>VLOOKUP(C46,'Train Runs'!$A$13:$AE$10001,22,0)</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6" s="105" t="str">
        <f>astrogrep_path&amp;" /spath="&amp;search_path&amp;" /stypes=""*"&amp;U46&amp;"*"&amp;TEXT(A46-utc_offset/24,"YYYYMMDD")&amp;LEFT(TEXT(A46-utc_offset/24,"HH"),1)&amp;"*"" /stext="" "&amp;TEXT(A46-utc_offset/24,"HH")&amp;search_regexp&amp;""" /e /r /s"</f>
        <v>"C:\Program Files (x86)\AstroGrep\AstroGrep.exe" /spath="%USERPROFILE%\AppData\Local\Temp\OnboardLogs" /stypes="*4031*201610131*" /stext=" 13:.+((SYSTEM_STATE.+slice.+state.+changed )|(ment ac)|(system.+state.+changed )|(\[timeout)|(PRM\|1\|D)|(kpr)|(kdp)|(\|lc)|(penalty))" /e /r /s</v>
      </c>
      <c r="U46" s="9" t="str">
        <f>MID(B46,13,4)</f>
        <v>4031</v>
      </c>
      <c r="V46" s="36">
        <f>A46+6/24</f>
        <v>42656.558391203704</v>
      </c>
      <c r="W46" s="50" t="str">
        <f>IF(VALUE(LEFT(IF(LEN(C46)=6,"0"&amp;C46,C46),2))&lt;=2,"EC",IF(OR(VALUE(LEFT(IF(LEN(C46)=6,"0"&amp;C46,C46),2))=8,VALUE(LEFT(IF(LEN(C46)=6,"0"&amp;C46,C46),2))=18),"NW","Other"))</f>
        <v>NW</v>
      </c>
      <c r="X46" s="50" t="str">
        <f>IF(AND(E46="TRACK WARRANT AUTHORITY",G46&lt;10),"OMIT","KEEP")</f>
        <v>KEEP</v>
      </c>
      <c r="Y46" s="122" t="str">
        <f>"echo {""issue"":{""subject"":"""&amp;P46&amp;""",""project_id"":79,""tracker_id"":40,""status_id"":"&amp;redmine_status&amp;",""priority_id"":"&amp;redmine_priority&amp;",""assigned_to_id"":"&amp;redmine_assignee&amp;",""start_date"":"""&amp;TEXT(A46,"YYYY-mm-dd")&amp;""",""description"":"""&amp;Z46&amp;""",""custom_fields"":[{""id"":1,""name"":""Subdivision"",""value"":"""&amp;W46&amp;"""},{""id"":4,""name"":""Milepost"",""value"":"""&amp;K46/10000&amp;"""},{""id"":17,""name"":""Train ID"",""value"":"""&amp;C46&amp;"""},{""id"":16,""name"":""Locomotive ID"",""value"":"""&amp;U46&amp;"""},{""id"":130,""name"":""Impact"",""value"":"""&amp;AA46&amp;"""},{""id"":150,""name"":""Time of Event (Mountain Time)"",""value"":"""&amp;TEXT(A46,"hh:mm:ss")&amp;"""},{""id"":151,""name"":""Denver Issue ID"",""value"":"""&amp;"""},{""id"":178,""name"":""Operational Impact"",""value"":"""&amp;redmine_op_impact&amp;"""},{""id"":179,""name"":""Denver Segment Assigned"",""value"":"""&amp;AB46&amp;"""}]}}"&amp;" | curl -X POST -H ""Content-Type: application/json"" -H ""X-Redmine-API-Key: "&amp;redm_api_key&amp;""" "&amp;redm_url&amp;" --data @-"</f>
        <v>echo {"issue":{"subject":"","project_id":79,"tracker_id":40,"status_id":1,"priority_id":2,"assigned_to_id":23,"start_date":"2016-10-13","description":"","custom_fields":[{"id":1,"name":"Subdivision","value":"NW"},{"id":4,"name":"Milepost","value":"1.0701"},{"id":17,"name":"Train ID","value":"807-13"},{"id":16,"name":"Locomotive ID","value":"4031"},{"id":130,"name":"Impact","value":""},{"id":150,"name":"Time of Event (Mountain Time)","value":"07:24:05"},{"id":151,"name":"Denver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21"/>
      <c r="AC46" s="155" t="str">
        <f>"grep -hSE -A100 ""Enforcement Action"" "&amp;search_path&amp;"\RTDC"&amp;U46&amp;"\*"&amp;U46&amp;"*"&amp;TEXT(A46-utc_offset/24,"YYYYMMDD")&amp;LEFT(TEXT(A46-utc_offset/24,"HH"),1)&amp;"* | grep -SE ""((Enforcement Ac)|(PRM))"" -"</f>
        <v>grep -hSE -A100 "Enforcement Action" "%USERPROFILE%\AppData\Local\Temp\OnboardLogs"\RTDC4031\*4031*201610131* | grep -SE "((Enforcement Ac)|(PRM))" -</v>
      </c>
      <c r="AD46" s="1"/>
    </row>
    <row r="47" spans="1:30" x14ac:dyDescent="0.25">
      <c r="A47" s="36">
        <v>42656.500231481485</v>
      </c>
      <c r="B47" s="31" t="s">
        <v>235</v>
      </c>
      <c r="C47" s="31" t="s">
        <v>403</v>
      </c>
      <c r="D47" s="31" t="s">
        <v>49</v>
      </c>
      <c r="E47" s="31" t="s">
        <v>366</v>
      </c>
      <c r="F47" s="47">
        <v>0</v>
      </c>
      <c r="G47" s="47">
        <v>29</v>
      </c>
      <c r="H47" s="47">
        <v>135</v>
      </c>
      <c r="I47" s="47">
        <v>104</v>
      </c>
      <c r="J47" s="31" t="s">
        <v>367</v>
      </c>
      <c r="K47" s="47">
        <v>1</v>
      </c>
      <c r="L47" s="172" t="s">
        <v>51</v>
      </c>
      <c r="M47" s="173">
        <f>CONVERT((I47-K47)/10000,"mi","ft")*IF(L47="Increasing Mileposts (1)",-1,1)</f>
        <v>54.384</v>
      </c>
      <c r="N47" s="174" t="str">
        <f>VLOOKUP(C47,'Trips&amp;Operators'!$C$1:$E$99999,3,FALSE)</f>
        <v>BARTELL</v>
      </c>
      <c r="O47" s="154" t="s">
        <v>358</v>
      </c>
      <c r="P47" s="175"/>
      <c r="Q47" s="31"/>
      <c r="R47" s="100" t="str">
        <f>VLOOKUP(C47,'Train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7" s="103" t="str">
        <f>VLOOKUP(C47,'Train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7" s="105" t="str">
        <f>astrogrep_path&amp;" /spath="&amp;search_path&amp;" /stypes=""*"&amp;U47&amp;"*"&amp;TEXT(A47-utc_offset/24,"YYYYMMDD")&amp;LEFT(TEXT(A47-utc_offset/24,"HH"),1)&amp;"*"" /stext="" "&amp;TEXT(A47-utc_offset/24,"HH")&amp;search_regexp&amp;""" /e /r /s"</f>
        <v>"C:\Program Files (x86)\AstroGrep\AstroGrep.exe" /spath="%USERPROFILE%\AppData\Local\Temp\OnboardLogs" /stypes="*4032*201610131*" /stext=" 18:.+((SYSTEM_STATE.+slice.+state.+changed )|(ment ac)|(system.+state.+changed )|(\[timeout)|(PRM\|1\|D)|(kpr)|(kdp)|(\|lc)|(penalty))" /e /r /s</v>
      </c>
      <c r="U47" s="9" t="str">
        <f>MID(B47,13,4)</f>
        <v>4032</v>
      </c>
      <c r="V47" s="36">
        <f>A47+6/24</f>
        <v>42656.750231481485</v>
      </c>
      <c r="W47" s="50" t="str">
        <f>IF(VALUE(LEFT(IF(LEN(C47)=6,"0"&amp;C47,C47),2))&lt;=2,"EC",IF(OR(VALUE(LEFT(IF(LEN(C47)=6,"0"&amp;C47,C47),2))=8,VALUE(LEFT(IF(LEN(C47)=6,"0"&amp;C47,C47),2))=18),"NW","Other"))</f>
        <v>NW</v>
      </c>
      <c r="X47" s="50" t="str">
        <f>IF(AND(E47="TRACK WARRANT AUTHORITY",G47&lt;10),"OMIT","KEEP")</f>
        <v>KEEP</v>
      </c>
      <c r="Y47" s="122" t="str">
        <f>"echo {""issue"":{""subject"":"""&amp;P47&amp;""",""project_id"":79,""tracker_id"":40,""status_id"":"&amp;redmine_status&amp;",""priority_id"":"&amp;redmine_priority&amp;",""assigned_to_id"":"&amp;redmine_assignee&amp;",""start_date"":"""&amp;TEXT(A47,"YYYY-mm-dd")&amp;""",""description"":"""&amp;Z47&amp;""",""custom_fields"":[{""id"":1,""name"":""Subdivision"",""value"":"""&amp;W47&amp;"""},{""id"":4,""name"":""Milepost"",""value"":"""&amp;K47/10000&amp;"""},{""id"":17,""name"":""Train ID"",""value"":"""&amp;C47&amp;"""},{""id"":16,""name"":""Locomotive ID"",""value"":"""&amp;U47&amp;"""},{""id"":130,""name"":""Impact"",""value"":"""&amp;AA47&amp;"""},{""id"":150,""name"":""Time of Event (Mountain Time)"",""value"":"""&amp;TEXT(A47,"hh:mm:ss")&amp;"""},{""id"":151,""name"":""Denver Issue ID"",""value"":"""&amp;"""},{""id"":178,""name"":""Operational Impact"",""value"":"""&amp;redmine_op_impact&amp;"""},{""id"":179,""name"":""Denver Segment Assigned"",""value"":"""&amp;AB47&amp;"""}]}}"&amp;" | curl -X POST -H ""Content-Type: application/json"" -H ""X-Redmine-API-Key: "&amp;redm_api_key&amp;""" "&amp;redm_url&amp;" --data @-"</f>
        <v>echo {"issue":{"subject":"","project_id":79,"tracker_id":40,"status_id":1,"priority_id":2,"assigned_to_id":23,"start_date":"2016-10-13","description":"","custom_fields":[{"id":1,"name":"Subdivision","value":"NW"},{"id":4,"name":"Milepost","value":"0.0001"},{"id":17,"name":"Train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21"/>
      <c r="AC47" s="155" t="str">
        <f>"grep -hSE -A100 ""Enforcement Action"" "&amp;search_path&amp;"\RTDC"&amp;U47&amp;"\*"&amp;U47&amp;"*"&amp;TEXT(A47-utc_offset/24,"YYYYMMDD")&amp;LEFT(TEXT(A47-utc_offset/24,"HH"),1)&amp;"* | grep -SE ""((Enforcement Ac)|(PRM))"" -"</f>
        <v>grep -hSE -A100 "Enforcement Action" "%USERPROFILE%\AppData\Local\Temp\OnboardLogs"\RTDC4032\*4032*201610131* | grep -SE "((Enforcement Ac)|(PRM))" -</v>
      </c>
      <c r="AD47" s="1"/>
    </row>
    <row r="48" spans="1:30" x14ac:dyDescent="0.25">
      <c r="A48" s="36">
        <v>42656.30945601852</v>
      </c>
      <c r="B48" s="31" t="s">
        <v>225</v>
      </c>
      <c r="C48" s="31" t="s">
        <v>383</v>
      </c>
      <c r="D48" s="31" t="s">
        <v>49</v>
      </c>
      <c r="E48" s="31" t="s">
        <v>366</v>
      </c>
      <c r="F48" s="47">
        <v>0</v>
      </c>
      <c r="G48" s="47">
        <v>71</v>
      </c>
      <c r="H48" s="47">
        <v>817</v>
      </c>
      <c r="I48" s="47">
        <v>745</v>
      </c>
      <c r="J48" s="31" t="s">
        <v>367</v>
      </c>
      <c r="K48" s="47">
        <v>575</v>
      </c>
      <c r="L48" s="172" t="s">
        <v>51</v>
      </c>
      <c r="M48" s="173">
        <f>CONVERT((I48-K48)/10000,"mi","ft")*IF(L48="Increasing Mileposts (1)",-1,1)</f>
        <v>89.76</v>
      </c>
      <c r="N48" s="174" t="str">
        <f>VLOOKUP(C48,'Trips&amp;Operators'!$C$1:$E$99999,3,FALSE)</f>
        <v>YORK</v>
      </c>
      <c r="O48" s="154" t="s">
        <v>358</v>
      </c>
      <c r="P48" s="175"/>
      <c r="Q48" s="31"/>
      <c r="R48" s="100" t="str">
        <f>VLOOKUP(C48,'Train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48" s="103" t="str">
        <f>VLOOKUP(C48,'Train Runs'!$A$13:$AE$10001,22,0)</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48" s="105" t="str">
        <f>astrogrep_path&amp;" /spath="&amp;search_path&amp;" /stypes=""*"&amp;U48&amp;"*"&amp;TEXT(A48-utc_offset/24,"YYYYMMDD")&amp;LEFT(TEXT(A48-utc_offset/24,"HH"),1)&amp;"*"" /stext="" "&amp;TEXT(A48-utc_offset/24,"HH")&amp;search_regexp&amp;""" /e /r /s"</f>
        <v>"C:\Program Files (x86)\AstroGrep\AstroGrep.exe" /spath="%USERPROFILE%\AppData\Local\Temp\OnboardLogs" /stypes="*4039*201610131*" /stext=" 13:.+((SYSTEM_STATE.+slice.+state.+changed )|(ment ac)|(system.+state.+changed )|(\[timeout)|(PRM\|1\|D)|(kpr)|(kdp)|(\|lc)|(penalty))" /e /r /s</v>
      </c>
      <c r="U48" s="9" t="str">
        <f>MID(B48,13,4)</f>
        <v>4039</v>
      </c>
      <c r="V48" s="36">
        <f>A48+6/24</f>
        <v>42656.55945601852</v>
      </c>
      <c r="W48" s="50" t="str">
        <f>IF(VALUE(LEFT(IF(LEN(C48)=6,"0"&amp;C48,C48),2))&lt;=2,"EC",IF(OR(VALUE(LEFT(IF(LEN(C48)=6,"0"&amp;C48,C48),2))=8,VALUE(LEFT(IF(LEN(C48)=6,"0"&amp;C48,C48),2))=18),"NW","Other"))</f>
        <v>NW</v>
      </c>
      <c r="X48" s="50" t="str">
        <f>IF(AND(E48="TRACK WARRANT AUTHORITY",G48&lt;10),"OMIT","KEEP")</f>
        <v>KEEP</v>
      </c>
      <c r="Y48" s="122" t="str">
        <f>"echo {""issue"":{""subject"":"""&amp;P48&amp;""",""project_id"":79,""tracker_id"":40,""status_id"":"&amp;redmine_status&amp;",""priority_id"":"&amp;redmine_priority&amp;",""assigned_to_id"":"&amp;redmine_assignee&amp;",""start_date"":"""&amp;TEXT(A48,"YYYY-mm-dd")&amp;""",""description"":"""&amp;Z48&amp;""",""custom_fields"":[{""id"":1,""name"":""Subdivision"",""value"":"""&amp;W48&amp;"""},{""id"":4,""name"":""Milepost"",""value"":"""&amp;K48/10000&amp;"""},{""id"":17,""name"":""Train ID"",""value"":"""&amp;C48&amp;"""},{""id"":16,""name"":""Locomotive ID"",""value"":"""&amp;U48&amp;"""},{""id"":130,""name"":""Impact"",""value"":"""&amp;AA48&amp;"""},{""id"":150,""name"":""Time of Event (Mountain Time)"",""value"":"""&amp;TEXT(A48,"hh:mm:ss")&amp;"""},{""id"":151,""name"":""Denver Issue ID"",""value"":"""&amp;"""},{""id"":178,""name"":""Operational Impact"",""value"":"""&amp;redmine_op_impact&amp;"""},{""id"":179,""name"":""Denver Segment Assigned"",""value"":"""&amp;AB48&amp;"""}]}}"&amp;"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ID","value":"806-13"},{"id":16,"name":"Locomotive ID","value":"4039"},{"id":130,"name":"Impact","value":""},{"id":150,"name":"Time of Event (Mountain Time)","value":"07:25:37"},{"id":151,"name":"Denver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21"/>
      <c r="AC48" s="155" t="str">
        <f>"grep -hSE -A100 ""Enforcement Action"" "&amp;search_path&amp;"\RTDC"&amp;U48&amp;"\*"&amp;U48&amp;"*"&amp;TEXT(A48-utc_offset/24,"YYYYMMDD")&amp;LEFT(TEXT(A48-utc_offset/24,"HH"),1)&amp;"* | grep -SE ""((Enforcement Ac)|(PRM))"" -"</f>
        <v>grep -hSE -A100 "Enforcement Action" "%USERPROFILE%\AppData\Local\Temp\OnboardLogs"\RTDC4039\*4039*201610131* | grep -SE "((Enforcement Ac)|(PRM))" -</v>
      </c>
      <c r="AD48" s="1"/>
    </row>
    <row r="49" spans="1:30" x14ac:dyDescent="0.25">
      <c r="A49" s="36">
        <v>42656.331053240741</v>
      </c>
      <c r="B49" s="31" t="s">
        <v>235</v>
      </c>
      <c r="C49" s="31" t="s">
        <v>384</v>
      </c>
      <c r="D49" s="31" t="s">
        <v>49</v>
      </c>
      <c r="E49" s="31" t="s">
        <v>366</v>
      </c>
      <c r="F49" s="47">
        <v>0</v>
      </c>
      <c r="G49" s="47">
        <v>62</v>
      </c>
      <c r="H49" s="47">
        <v>803</v>
      </c>
      <c r="I49" s="47">
        <v>738</v>
      </c>
      <c r="J49" s="31" t="s">
        <v>367</v>
      </c>
      <c r="K49" s="47">
        <v>575</v>
      </c>
      <c r="L49" s="172" t="s">
        <v>51</v>
      </c>
      <c r="M49" s="173">
        <f>CONVERT((I49-K49)/10000,"mi","ft")*IF(L49="Increasing Mileposts (1)",-1,1)</f>
        <v>86.063999999999993</v>
      </c>
      <c r="N49" s="174" t="str">
        <f>VLOOKUP(C49,'Trips&amp;Operators'!$C$1:$E$99999,3,FALSE)</f>
        <v>GEBRETEKLE</v>
      </c>
      <c r="O49" s="154" t="s">
        <v>358</v>
      </c>
      <c r="P49" s="175"/>
      <c r="Q49" s="31"/>
      <c r="R49" s="100" t="str">
        <f>VLOOKUP(C49,'Train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9" s="103" t="str">
        <f>VLOOKUP(C49,'Train Runs'!$A$13:$AE$10001,22,0)</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9" s="105" t="str">
        <f>astrogrep_path&amp;" /spath="&amp;search_path&amp;" /stypes=""*"&amp;U49&amp;"*"&amp;TEXT(A49-utc_offset/24,"YYYYMMDD")&amp;LEFT(TEXT(A49-utc_offset/24,"HH"),1)&amp;"*"" /stext="" "&amp;TEXT(A49-utc_offset/24,"HH")&amp;search_regexp&amp;""" /e /r /s"</f>
        <v>"C:\Program Files (x86)\AstroGrep\AstroGrep.exe" /spath="%USERPROFILE%\AppData\Local\Temp\OnboardLogs" /stypes="*4032*201610131*" /stext=" 13:.+((SYSTEM_STATE.+slice.+state.+changed )|(ment ac)|(system.+state.+changed )|(\[timeout)|(PRM\|1\|D)|(kpr)|(kdp)|(\|lc)|(penalty))" /e /r /s</v>
      </c>
      <c r="U49" s="9" t="str">
        <f>MID(B49,13,4)</f>
        <v>4032</v>
      </c>
      <c r="V49" s="36">
        <f>A49+6/24</f>
        <v>42656.581053240741</v>
      </c>
      <c r="W49" s="50" t="str">
        <f>IF(VALUE(LEFT(IF(LEN(C49)=6,"0"&amp;C49,C49),2))&lt;=2,"EC",IF(OR(VALUE(LEFT(IF(LEN(C49)=6,"0"&amp;C49,C49),2))=8,VALUE(LEFT(IF(LEN(C49)=6,"0"&amp;C49,C49),2))=18),"NW","Other"))</f>
        <v>NW</v>
      </c>
      <c r="X49" s="50" t="str">
        <f>IF(AND(E49="TRACK WARRANT AUTHORITY",G49&lt;10),"OMIT","KEEP")</f>
        <v>KEEP</v>
      </c>
      <c r="Y49" s="122" t="str">
        <f>"echo {""issue"":{""subject"":"""&amp;P49&amp;""",""project_id"":79,""tracker_id"":40,""status_id"":"&amp;redmine_status&amp;",""priority_id"":"&amp;redmine_priority&amp;",""assigned_to_id"":"&amp;redmine_assignee&amp;",""start_date"":"""&amp;TEXT(A49,"YYYY-mm-dd")&amp;""",""description"":"""&amp;Z49&amp;""",""custom_fields"":[{""id"":1,""name"":""Subdivision"",""value"":"""&amp;W49&amp;"""},{""id"":4,""name"":""Milepost"",""value"":"""&amp;K49/10000&amp;"""},{""id"":17,""name"":""Train ID"",""value"":"""&amp;C49&amp;"""},{""id"":16,""name"":""Locomotive ID"",""value"":"""&amp;U49&amp;"""},{""id"":130,""name"":""Impact"",""value"":"""&amp;AA49&amp;"""},{""id"":150,""name"":""Time of Event (Mountain Time)"",""value"":"""&amp;TEXT(A49,"hh:mm:ss")&amp;"""},{""id"":151,""name"":""Denver Issue ID"",""value"":"""&amp;"""},{""id"":178,""name"":""Operational Impact"",""value"":"""&amp;redmine_op_impact&amp;"""},{""id"":179,""name"":""Denver Segment Assigned"",""value"":"""&amp;AB49&amp;"""}]}}"&amp;"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21"/>
      <c r="AC49" s="155" t="str">
        <f>"grep -hSE -A100 ""Enforcement Action"" "&amp;search_path&amp;"\RTDC"&amp;U49&amp;"\*"&amp;U49&amp;"*"&amp;TEXT(A49-utc_offset/24,"YYYYMMDD")&amp;LEFT(TEXT(A49-utc_offset/24,"HH"),1)&amp;"* | grep -SE ""((Enforcement Ac)|(PRM))"" -"</f>
        <v>grep -hSE -A100 "Enforcement Action" "%USERPROFILE%\AppData\Local\Temp\OnboardLogs"\RTDC4032\*4032*201610131* | grep -SE "((Enforcement Ac)|(PRM))" -</v>
      </c>
      <c r="AD49" s="1"/>
    </row>
    <row r="50" spans="1:30" x14ac:dyDescent="0.25">
      <c r="A50" s="36">
        <v>42656.350682870368</v>
      </c>
      <c r="B50" s="31" t="s">
        <v>225</v>
      </c>
      <c r="C50" s="31" t="s">
        <v>386</v>
      </c>
      <c r="D50" s="31" t="s">
        <v>49</v>
      </c>
      <c r="E50" s="31" t="s">
        <v>366</v>
      </c>
      <c r="F50" s="47">
        <v>0</v>
      </c>
      <c r="G50" s="47">
        <v>158</v>
      </c>
      <c r="H50" s="47">
        <v>1305</v>
      </c>
      <c r="I50" s="47">
        <v>1111</v>
      </c>
      <c r="J50" s="31" t="s">
        <v>367</v>
      </c>
      <c r="K50" s="47">
        <v>575</v>
      </c>
      <c r="L50" s="172" t="s">
        <v>51</v>
      </c>
      <c r="M50" s="173">
        <f>CONVERT((I50-K50)/10000,"mi","ft")*IF(L50="Increasing Mileposts (1)",-1,1)</f>
        <v>283.00799999999998</v>
      </c>
      <c r="N50" s="174" t="str">
        <f>VLOOKUP(C50,'Trips&amp;Operators'!$C$1:$E$99999,3,FALSE)</f>
        <v>YORK</v>
      </c>
      <c r="O50" s="154" t="s">
        <v>358</v>
      </c>
      <c r="P50" s="175"/>
      <c r="Q50" s="31"/>
      <c r="R50" s="100" t="str">
        <f>VLOOKUP(C50,'Train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0" s="103" t="str">
        <f>VLOOKUP(C50,'Train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0" s="105" t="str">
        <f>astrogrep_path&amp;" /spath="&amp;search_path&amp;" /stypes=""*"&amp;U50&amp;"*"&amp;TEXT(A50-utc_offset/24,"YYYYMMDD")&amp;LEFT(TEXT(A50-utc_offset/24,"HH"),1)&amp;"*"" /stext="" "&amp;TEXT(A50-utc_offset/24,"HH")&amp;search_regexp&amp;""" /e /r /s"</f>
        <v>"C:\Program Files (x86)\AstroGrep\AstroGrep.exe" /spath="%USERPROFILE%\AppData\Local\Temp\OnboardLogs" /stypes="*4039*201610131*" /stext=" 14:.+((SYSTEM_STATE.+slice.+state.+changed )|(ment ac)|(system.+state.+changed )|(\[timeout)|(PRM\|1\|D)|(kpr)|(kdp)|(\|lc)|(penalty))" /e /r /s</v>
      </c>
      <c r="U50" s="9" t="str">
        <f>MID(B50,13,4)</f>
        <v>4039</v>
      </c>
      <c r="V50" s="36">
        <f>A50+6/24</f>
        <v>42656.600682870368</v>
      </c>
      <c r="W50" s="50" t="str">
        <f>IF(VALUE(LEFT(IF(LEN(C50)=6,"0"&amp;C50,C50),2))&lt;=2,"EC",IF(OR(VALUE(LEFT(IF(LEN(C50)=6,"0"&amp;C50,C50),2))=8,VALUE(LEFT(IF(LEN(C50)=6,"0"&amp;C50,C50),2))=18),"NW","Other"))</f>
        <v>NW</v>
      </c>
      <c r="X50" s="50" t="str">
        <f>IF(AND(E50="TRACK WARRANT AUTHORITY",G50&lt;10),"OMIT","KEEP")</f>
        <v>KEEP</v>
      </c>
      <c r="Y50" s="122" t="str">
        <f>"echo {""issue"":{""subject"":"""&amp;P50&amp;""",""project_id"":79,""tracker_id"":40,""status_id"":"&amp;redmine_status&amp;",""priority_id"":"&amp;redmine_priority&amp;",""assigned_to_id"":"&amp;redmine_assignee&amp;",""start_date"":"""&amp;TEXT(A50,"YYYY-mm-dd")&amp;""",""description"":"""&amp;Z50&amp;""",""custom_fields"":[{""id"":1,""name"":""Subdivision"",""value"":"""&amp;W50&amp;"""},{""id"":4,""name"":""Milepost"",""value"":"""&amp;K50/10000&amp;"""},{""id"":17,""name"":""Train ID"",""value"":"""&amp;C50&amp;"""},{""id"":16,""name"":""Locomotive ID"",""value"":"""&amp;U50&amp;"""},{""id"":130,""name"":""Impact"",""value"":"""&amp;AA50&amp;"""},{""id"":150,""name"":""Time of Event (Mountain Time)"",""value"":"""&amp;TEXT(A50,"hh:mm:ss")&amp;"""},{""id"":151,""name"":""Denver Issue ID"",""value"":"""&amp;"""},{""id"":178,""name"":""Operational Impact"",""value"":"""&amp;redmine_op_impact&amp;"""},{""id"":179,""name"":""Denver Segment Assigned"",""value"":"""&amp;AB50&amp;"""}]}}"&amp;"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Time)","value":"08:24:59"},{"id":151,"name":"Denver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21"/>
      <c r="AC50" s="155" t="str">
        <f>"grep -hSE -A100 ""Enforcement Action"" "&amp;search_path&amp;"\RTDC"&amp;U50&amp;"\*"&amp;U50&amp;"*"&amp;TEXT(A50-utc_offset/24,"YYYYMMDD")&amp;LEFT(TEXT(A50-utc_offset/24,"HH"),1)&amp;"* | grep -SE ""((Enforcement Ac)|(PRM))"" -"</f>
        <v>grep -hSE -A100 "Enforcement Action" "%USERPROFILE%\AppData\Local\Temp\OnboardLogs"\RTDC4039\*4039*201610131* | grep -SE "((Enforcement Ac)|(PRM))" -</v>
      </c>
      <c r="AD50" s="1"/>
    </row>
    <row r="51" spans="1:30" x14ac:dyDescent="0.25">
      <c r="A51" s="36">
        <v>42656.351064814815</v>
      </c>
      <c r="B51" s="31" t="s">
        <v>225</v>
      </c>
      <c r="C51" s="31" t="s">
        <v>386</v>
      </c>
      <c r="D51" s="31" t="s">
        <v>49</v>
      </c>
      <c r="E51" s="31" t="s">
        <v>366</v>
      </c>
      <c r="F51" s="47">
        <v>0</v>
      </c>
      <c r="G51" s="47">
        <v>84</v>
      </c>
      <c r="H51" s="47">
        <v>1058</v>
      </c>
      <c r="I51" s="47">
        <v>946</v>
      </c>
      <c r="J51" s="31" t="s">
        <v>367</v>
      </c>
      <c r="K51" s="47">
        <v>575</v>
      </c>
      <c r="L51" s="172" t="s">
        <v>51</v>
      </c>
      <c r="M51" s="173">
        <f>CONVERT((I51-K51)/10000,"mi","ft")*IF(L51="Increasing Mileposts (1)",-1,1)</f>
        <v>195.88800000000001</v>
      </c>
      <c r="N51" s="174" t="str">
        <f>VLOOKUP(C51,'Trips&amp;Operators'!$C$1:$E$99999,3,FALSE)</f>
        <v>YORK</v>
      </c>
      <c r="O51" s="154" t="s">
        <v>358</v>
      </c>
      <c r="P51" s="175"/>
      <c r="Q51" s="31"/>
      <c r="R51" s="100" t="str">
        <f>VLOOKUP(C51,'Train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1" s="103" t="str">
        <f>VLOOKUP(C51,'Train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1" s="105" t="str">
        <f>astrogrep_path&amp;" /spath="&amp;search_path&amp;" /stypes=""*"&amp;U51&amp;"*"&amp;TEXT(A51-utc_offset/24,"YYYYMMDD")&amp;LEFT(TEXT(A51-utc_offset/24,"HH"),1)&amp;"*"" /stext="" "&amp;TEXT(A51-utc_offset/24,"HH")&amp;search_regexp&amp;""" /e /r /s"</f>
        <v>"C:\Program Files (x86)\AstroGrep\AstroGrep.exe" /spath="%USERPROFILE%\AppData\Local\Temp\OnboardLogs" /stypes="*4039*201610131*" /stext=" 14:.+((SYSTEM_STATE.+slice.+state.+changed )|(ment ac)|(system.+state.+changed )|(\[timeout)|(PRM\|1\|D)|(kpr)|(kdp)|(\|lc)|(penalty))" /e /r /s</v>
      </c>
      <c r="U51" s="9" t="str">
        <f>MID(B51,13,4)</f>
        <v>4039</v>
      </c>
      <c r="V51" s="36">
        <f>A51+6/24</f>
        <v>42656.601064814815</v>
      </c>
      <c r="W51" s="50" t="str">
        <f>IF(VALUE(LEFT(IF(LEN(C51)=6,"0"&amp;C51,C51),2))&lt;=2,"EC",IF(OR(VALUE(LEFT(IF(LEN(C51)=6,"0"&amp;C51,C51),2))=8,VALUE(LEFT(IF(LEN(C51)=6,"0"&amp;C51,C51),2))=18),"NW","Other"))</f>
        <v>NW</v>
      </c>
      <c r="X51" s="50" t="str">
        <f>IF(AND(E51="TRACK WARRANT AUTHORITY",G51&lt;10),"OMIT","KEEP")</f>
        <v>KEEP</v>
      </c>
      <c r="Y51" s="122" t="str">
        <f>"echo {""issue"":{""subject"":"""&amp;P51&amp;""",""project_id"":79,""tracker_id"":40,""status_id"":"&amp;redmine_status&amp;",""priority_id"":"&amp;redmine_priority&amp;",""assigned_to_id"":"&amp;redmine_assignee&amp;",""start_date"":"""&amp;TEXT(A51,"YYYY-mm-dd")&amp;""",""description"":"""&amp;Z51&amp;""",""custom_fields"":[{""id"":1,""name"":""Subdivision"",""value"":"""&amp;W51&amp;"""},{""id"":4,""name"":""Milepost"",""value"":"""&amp;K51/10000&amp;"""},{""id"":17,""name"":""Train ID"",""value"":"""&amp;C51&amp;"""},{""id"":16,""name"":""Locomotive ID"",""value"":"""&amp;U51&amp;"""},{""id"":130,""name"":""Impact"",""value"":"""&amp;AA51&amp;"""},{""id"":150,""name"":""Time of Event (Mountain Time)"",""value"":"""&amp;TEXT(A51,"hh:mm:ss")&amp;"""},{""id"":151,""name"":""Denver Issue ID"",""value"":"""&amp;"""},{""id"":178,""name"":""Operational Impact"",""value"":"""&amp;redmine_op_impact&amp;"""},{""id"":179,""name"":""Denver Segment Assigned"",""value"":"""&amp;AB51&amp;"""}]}}"&amp;"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Time)","value":"08:25:32"},{"id":151,"name":"Denver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21"/>
      <c r="AC51" s="155" t="str">
        <f>"grep -hSE -A100 ""Enforcement Action"" "&amp;search_path&amp;"\RTDC"&amp;U51&amp;"\*"&amp;U51&amp;"*"&amp;TEXT(A51-utc_offset/24,"YYYYMMDD")&amp;LEFT(TEXT(A51-utc_offset/24,"HH"),1)&amp;"* | grep -SE ""((Enforcement Ac)|(PRM))"" -"</f>
        <v>grep -hSE -A100 "Enforcement Action" "%USERPROFILE%\AppData\Local\Temp\OnboardLogs"\RTDC4039\*4039*201610131* | grep -SE "((Enforcement Ac)|(PRM))" -</v>
      </c>
      <c r="AD51" s="1"/>
    </row>
    <row r="52" spans="1:30" x14ac:dyDescent="0.25">
      <c r="A52" s="36">
        <v>42656.728425925925</v>
      </c>
      <c r="B52" s="31" t="s">
        <v>225</v>
      </c>
      <c r="C52" s="31" t="s">
        <v>411</v>
      </c>
      <c r="D52" s="31" t="s">
        <v>49</v>
      </c>
      <c r="E52" s="31" t="s">
        <v>366</v>
      </c>
      <c r="F52" s="47">
        <v>0</v>
      </c>
      <c r="G52" s="47">
        <v>60</v>
      </c>
      <c r="H52" s="47">
        <v>789</v>
      </c>
      <c r="I52" s="47">
        <v>748</v>
      </c>
      <c r="J52" s="31" t="s">
        <v>367</v>
      </c>
      <c r="K52" s="47">
        <v>575</v>
      </c>
      <c r="L52" s="172" t="s">
        <v>51</v>
      </c>
      <c r="M52" s="173">
        <f>CONVERT((I52-K52)/10000,"mi","ft")*IF(L52="Increasing Mileposts (1)",-1,1)</f>
        <v>91.343999999999994</v>
      </c>
      <c r="N52" s="174" t="str">
        <f>VLOOKUP(C52,'Trips&amp;Operators'!$C$1:$E$99999,3,FALSE)</f>
        <v>YANAI</v>
      </c>
      <c r="O52" s="154" t="s">
        <v>358</v>
      </c>
      <c r="P52" s="175"/>
      <c r="Q52" s="31"/>
      <c r="R52" s="100" t="str">
        <f>VLOOKUP(C52,'Train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2" s="103" t="str">
        <f>VLOOKUP(C52,'Train Runs'!$A$13:$AE$10001,22,0)</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2" s="105" t="str">
        <f>astrogrep_path&amp;" /spath="&amp;search_path&amp;" /stypes=""*"&amp;U52&amp;"*"&amp;TEXT(A52-utc_offset/24,"YYYYMMDD")&amp;LEFT(TEXT(A52-utc_offset/24,"HH"),1)&amp;"*"" /stext="" "&amp;TEXT(A52-utc_offset/24,"HH")&amp;search_regexp&amp;""" /e /r /s"</f>
        <v>"C:\Program Files (x86)\AstroGrep\AstroGrep.exe" /spath="%USERPROFILE%\AppData\Local\Temp\OnboardLogs" /stypes="*4039*201610132*" /stext=" 23:.+((SYSTEM_STATE.+slice.+state.+changed )|(ment ac)|(system.+state.+changed )|(\[timeout)|(PRM\|1\|D)|(kpr)|(kdp)|(\|lc)|(penalty))" /e /r /s</v>
      </c>
      <c r="U52" s="9" t="str">
        <f>MID(B52,13,4)</f>
        <v>4039</v>
      </c>
      <c r="V52" s="36">
        <f>A52+6/24</f>
        <v>42656.978425925925</v>
      </c>
      <c r="W52" s="50" t="str">
        <f>IF(VALUE(LEFT(IF(LEN(C52)=6,"0"&amp;C52,C52),2))&lt;=2,"EC",IF(OR(VALUE(LEFT(IF(LEN(C52)=6,"0"&amp;C52,C52),2))=8,VALUE(LEFT(IF(LEN(C52)=6,"0"&amp;C52,C52),2))=18),"NW","Other"))</f>
        <v>NW</v>
      </c>
      <c r="X52" s="50" t="str">
        <f>IF(AND(E52="TRACK WARRANT AUTHORITY",G52&lt;10),"OMIT","KEEP")</f>
        <v>KEEP</v>
      </c>
      <c r="Y52" s="122" t="str">
        <f>"echo {""issue"":{""subject"":"""&amp;P52&amp;""",""project_id"":79,""tracker_id"":40,""status_id"":"&amp;redmine_status&amp;",""priority_id"":"&amp;redmine_priority&amp;",""assigned_to_id"":"&amp;redmine_assignee&amp;",""start_date"":"""&amp;TEXT(A52,"YYYY-mm-dd")&amp;""",""description"":"""&amp;Z52&amp;""",""custom_fields"":[{""id"":1,""name"":""Subdivision"",""value"":"""&amp;W52&amp;"""},{""id"":4,""name"":""Milepost"",""value"":"""&amp;K52/10000&amp;"""},{""id"":17,""name"":""Train ID"",""value"":"""&amp;C52&amp;"""},{""id"":16,""name"":""Locomotive ID"",""value"":"""&amp;U52&amp;"""},{""id"":130,""name"":""Impact"",""value"":"""&amp;AA52&amp;"""},{""id"":150,""name"":""Time of Event (Mountain Time)"",""value"":"""&amp;TEXT(A52,"hh:mm:ss")&amp;"""},{""id"":151,""name"":""Denver Issue ID"",""value"":"""&amp;"""},{""id"":178,""name"":""Operational Impact"",""value"":"""&amp;redmine_op_impact&amp;"""},{""id"":179,""name"":""Denver Segment Assigned"",""value"":"""&amp;AB52&amp;"""}]}}"&amp;"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21"/>
      <c r="AC52" s="155" t="str">
        <f>"grep -hSE -A100 ""Enforcement Action"" "&amp;search_path&amp;"\RTDC"&amp;U52&amp;"\*"&amp;U52&amp;"*"&amp;TEXT(A52-utc_offset/24,"YYYYMMDD")&amp;LEFT(TEXT(A52-utc_offset/24,"HH"),1)&amp;"* | grep -SE ""((Enforcement Ac)|(PRM))"" -"</f>
        <v>grep -hSE -A100 "Enforcement Action" "%USERPROFILE%\AppData\Local\Temp\OnboardLogs"\RTDC4039\*4039*201610132* | grep -SE "((Enforcement Ac)|(PRM))" -</v>
      </c>
      <c r="AD52" s="1"/>
    </row>
    <row r="53" spans="1:30" x14ac:dyDescent="0.25">
      <c r="A53" s="36">
        <v>42656.768634259257</v>
      </c>
      <c r="B53" s="31" t="s">
        <v>225</v>
      </c>
      <c r="C53" s="31" t="s">
        <v>415</v>
      </c>
      <c r="D53" s="31" t="s">
        <v>49</v>
      </c>
      <c r="E53" s="31" t="s">
        <v>366</v>
      </c>
      <c r="F53" s="47">
        <v>0</v>
      </c>
      <c r="G53" s="47">
        <v>23</v>
      </c>
      <c r="H53" s="47">
        <v>671</v>
      </c>
      <c r="I53" s="47">
        <v>643</v>
      </c>
      <c r="J53" s="31" t="s">
        <v>367</v>
      </c>
      <c r="K53" s="47">
        <v>575</v>
      </c>
      <c r="L53" s="172" t="s">
        <v>51</v>
      </c>
      <c r="M53" s="173">
        <f>CONVERT((I53-K53)/10000,"mi","ft")*IF(L53="Increasing Mileposts (1)",-1,1)</f>
        <v>35.904000000000003</v>
      </c>
      <c r="N53" s="174" t="str">
        <f>VLOOKUP(C53,'Trips&amp;Operators'!$C$1:$E$99999,3,FALSE)</f>
        <v>YANAI</v>
      </c>
      <c r="O53" s="154" t="s">
        <v>358</v>
      </c>
      <c r="P53" s="175"/>
      <c r="Q53" s="31"/>
      <c r="R53" s="100" t="str">
        <f>VLOOKUP(C53,'Train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3" s="103" t="str">
        <f>VLOOKUP(C53,'Train Runs'!$A$13:$AE$10001,22,0)</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3" s="105" t="str">
        <f>astrogrep_path&amp;" /spath="&amp;search_path&amp;" /stypes=""*"&amp;U53&amp;"*"&amp;TEXT(A53-utc_offset/24,"YYYYMMDD")&amp;LEFT(TEXT(A53-utc_offset/24,"HH"),1)&amp;"*"" /stext="" "&amp;TEXT(A53-utc_offset/24,"HH")&amp;search_regexp&amp;""" /e /r /s"</f>
        <v>"C:\Program Files (x86)\AstroGrep\AstroGrep.exe" /spath="%USERPROFILE%\AppData\Local\Temp\OnboardLogs" /stypes="*4039*201610140*" /stext=" 00:.+((SYSTEM_STATE.+slice.+state.+changed )|(ment ac)|(system.+state.+changed )|(\[timeout)|(PRM\|1\|D)|(kpr)|(kdp)|(\|lc)|(penalty))" /e /r /s</v>
      </c>
      <c r="U53" s="9" t="str">
        <f>MID(B53,13,4)</f>
        <v>4039</v>
      </c>
      <c r="V53" s="36">
        <f>A53+6/24</f>
        <v>42657.018634259257</v>
      </c>
      <c r="W53" s="50" t="str">
        <f>IF(VALUE(LEFT(IF(LEN(C53)=6,"0"&amp;C53,C53),2))&lt;=2,"EC",IF(OR(VALUE(LEFT(IF(LEN(C53)=6,"0"&amp;C53,C53),2))=8,VALUE(LEFT(IF(LEN(C53)=6,"0"&amp;C53,C53),2))=18),"NW","Other"))</f>
        <v>NW</v>
      </c>
      <c r="X53" s="50" t="str">
        <f>IF(AND(E53="TRACK WARRANT AUTHORITY",G53&lt;10),"OMIT","KEEP")</f>
        <v>KEEP</v>
      </c>
      <c r="Y53" s="122" t="str">
        <f>"echo {""issue"":{""subject"":"""&amp;P53&amp;""",""project_id"":79,""tracker_id"":40,""status_id"":"&amp;redmine_status&amp;",""priority_id"":"&amp;redmine_priority&amp;",""assigned_to_id"":"&amp;redmine_assignee&amp;",""start_date"":"""&amp;TEXT(A53,"YYYY-mm-dd")&amp;""",""description"":"""&amp;Z53&amp;""",""custom_fields"":[{""id"":1,""name"":""Subdivision"",""value"":"""&amp;W53&amp;"""},{""id"":4,""name"":""Milepost"",""value"":"""&amp;K53/10000&amp;"""},{""id"":17,""name"":""Train ID"",""value"":"""&amp;C53&amp;"""},{""id"":16,""name"":""Locomotive ID"",""value"":"""&amp;U53&amp;"""},{""id"":130,""name"":""Impact"",""value"":"""&amp;AA53&amp;"""},{""id"":150,""name"":""Time of Event (Mountain Time)"",""value"":"""&amp;TEXT(A53,"hh:mm:ss")&amp;"""},{""id"":151,""name"":""Denver Issue ID"",""value"":"""&amp;"""},{""id"":178,""name"":""Operational Impact"",""value"":"""&amp;redmine_op_impact&amp;"""},{""id"":179,""name"":""Denver Segment Assigned"",""value"":"""&amp;AB53&amp;"""}]}}"&amp;" | curl -X POST -H ""Content-Type: application/json"" -H ""X-Redmine-API-Key: "&amp;redm_api_key&amp;""" "&amp;redm_url&amp;" --data @-"</f>
        <v>echo {"issue":{"subject":"","project_id":79,"tracker_id":40,"status_id":1,"priority_id":2,"assigned_to_id":23,"start_date":"2016-10-13","description":"","custom_fields":[{"id":1,"name":"Subdivision","value":"NW"},{"id":4,"name":"Milepost","value":"0.0575"},{"id":17,"name":"Train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21"/>
      <c r="AC53" s="155" t="str">
        <f>"grep -hSE -A100 ""Enforcement Action"" "&amp;search_path&amp;"\RTDC"&amp;U53&amp;"\*"&amp;U53&amp;"*"&amp;TEXT(A53-utc_offset/24,"YYYYMMDD")&amp;LEFT(TEXT(A53-utc_offset/24,"HH"),1)&amp;"* | grep -SE ""((Enforcement Ac)|(PRM))"" -"</f>
        <v>grep -hSE -A100 "Enforcement Action" "%USERPROFILE%\AppData\Local\Temp\OnboardLogs"\RTDC4039\*4039*201610140* | grep -SE "((Enforcement Ac)|(PRM))" -</v>
      </c>
      <c r="AD53" s="1"/>
    </row>
    <row r="54" spans="1:30" x14ac:dyDescent="0.25">
      <c r="A54" s="36">
        <v>42656.693136574075</v>
      </c>
      <c r="B54" s="31" t="s">
        <v>237</v>
      </c>
      <c r="C54" s="31" t="s">
        <v>409</v>
      </c>
      <c r="D54" s="31" t="s">
        <v>49</v>
      </c>
      <c r="E54" s="31" t="s">
        <v>366</v>
      </c>
      <c r="F54" s="47">
        <v>0</v>
      </c>
      <c r="G54" s="47">
        <v>90</v>
      </c>
      <c r="H54" s="47">
        <v>58630</v>
      </c>
      <c r="I54" s="47">
        <v>58692</v>
      </c>
      <c r="J54" s="31" t="s">
        <v>367</v>
      </c>
      <c r="K54" s="47">
        <v>59048</v>
      </c>
      <c r="L54" s="172" t="s">
        <v>50</v>
      </c>
      <c r="M54" s="173">
        <f>CONVERT((I54-K54)/10000,"mi","ft")*IF(L54="Increasing Mileposts (1)",-1,1)</f>
        <v>187.96799999999999</v>
      </c>
      <c r="N54" s="174" t="str">
        <f>VLOOKUP(C54,'Trips&amp;Operators'!$C$1:$E$99999,3,FALSE)</f>
        <v>HELVIE</v>
      </c>
      <c r="O54" s="154" t="s">
        <v>358</v>
      </c>
      <c r="P54" s="175"/>
      <c r="Q54" s="31"/>
      <c r="R54" s="100" t="str">
        <f>VLOOKUP(C54,'Train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4" s="103" t="str">
        <f>VLOOKUP(C54,'Train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4" s="105" t="str">
        <f>astrogrep_path&amp;" /spath="&amp;search_path&amp;" /stypes=""*"&amp;U54&amp;"*"&amp;TEXT(A54-utc_offset/24,"YYYYMMDD")&amp;LEFT(TEXT(A54-utc_offset/24,"HH"),1)&amp;"*"" /stext="" "&amp;TEXT(A54-utc_offset/24,"HH")&amp;search_regexp&amp;""" /e /r /s"</f>
        <v>"C:\Program Files (x86)\AstroGrep\AstroGrep.exe" /spath="%USERPROFILE%\AppData\Local\Temp\OnboardLogs" /stypes="*4031*201610132*" /stext=" 22:.+((SYSTEM_STATE.+slice.+state.+changed )|(ment ac)|(system.+state.+changed )|(\[timeout)|(PRM\|1\|D)|(kpr)|(kdp)|(\|lc)|(penalty))" /e /r /s</v>
      </c>
      <c r="U54" s="9" t="str">
        <f>MID(B54,13,4)</f>
        <v>4031</v>
      </c>
      <c r="V54" s="36">
        <f>A54+6/24</f>
        <v>42656.943136574075</v>
      </c>
      <c r="W54" s="50" t="str">
        <f>IF(VALUE(LEFT(IF(LEN(C54)=6,"0"&amp;C54,C54),2))&lt;=2,"EC",IF(OR(VALUE(LEFT(IF(LEN(C54)=6,"0"&amp;C54,C54),2))=8,VALUE(LEFT(IF(LEN(C54)=6,"0"&amp;C54,C54),2))=18),"NW","Other"))</f>
        <v>NW</v>
      </c>
      <c r="X54" s="50" t="str">
        <f>IF(AND(E54="TRACK WARRANT AUTHORITY",G54&lt;10),"OMIT","KEEP")</f>
        <v>KEEP</v>
      </c>
      <c r="Y54" s="122" t="str">
        <f>"echo {""issue"":{""subject"":"""&amp;P54&amp;""",""project_id"":79,""tracker_id"":40,""status_id"":"&amp;redmine_status&amp;",""priority_id"":"&amp;redmine_priority&amp;",""assigned_to_id"":"&amp;redmine_assignee&amp;",""start_date"":"""&amp;TEXT(A54,"YYYY-mm-dd")&amp;""",""description"":"""&amp;Z54&amp;""",""custom_fields"":[{""id"":1,""name"":""Subdivision"",""value"":"""&amp;W54&amp;"""},{""id"":4,""name"":""Milepost"",""value"":"""&amp;K54/10000&amp;"""},{""id"":17,""name"":""Train ID"",""value"":"""&amp;C54&amp;"""},{""id"":16,""name"":""Locomotive ID"",""value"":"""&amp;U54&amp;"""},{""id"":130,""name"":""Impact"",""value"":"""&amp;AA54&amp;"""},{""id"":150,""name"":""Time of Event (Mountain Time)"",""value"":"""&amp;TEXT(A54,"hh:mm:ss")&amp;"""},{""id"":151,""name"":""Denver Issue ID"",""value"":"""&amp;"""},{""id"":178,""name"":""Operational Impact"",""value"":"""&amp;redmine_op_impact&amp;"""},{""id"":179,""name"":""Denver Segment Assigned"",""value"":"""&amp;AB54&amp;"""}]}}"&amp;" | curl -X POST -H ""Content-Type: application/json"" -H ""X-Redmine-API-Key: "&amp;redm_api_key&amp;""" "&amp;redm_url&amp;" --data @-"</f>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Time)","value":"16:38:07"},{"id":151,"name":"Denver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21"/>
      <c r="AC54" s="155" t="str">
        <f>"grep -hSE -A100 ""Enforcement Action"" "&amp;search_path&amp;"\RTDC"&amp;U54&amp;"\*"&amp;U54&amp;"*"&amp;TEXT(A54-utc_offset/24,"YYYYMMDD")&amp;LEFT(TEXT(A54-utc_offset/24,"HH"),1)&amp;"* | grep -SE ""((Enforcement Ac)|(PRM))"" -"</f>
        <v>grep -hSE -A100 "Enforcement Action" "%USERPROFILE%\AppData\Local\Temp\OnboardLogs"\RTDC4031\*4031*201610132* | grep -SE "((Enforcement Ac)|(PRM))" -</v>
      </c>
      <c r="AD54" s="1"/>
    </row>
    <row r="55" spans="1:30" x14ac:dyDescent="0.25">
      <c r="A55" s="36">
        <v>42656.694097222222</v>
      </c>
      <c r="B55" s="31" t="s">
        <v>237</v>
      </c>
      <c r="C55" s="31" t="s">
        <v>409</v>
      </c>
      <c r="D55" s="31" t="s">
        <v>49</v>
      </c>
      <c r="E55" s="31" t="s">
        <v>366</v>
      </c>
      <c r="F55" s="47">
        <v>0</v>
      </c>
      <c r="G55" s="47">
        <v>31</v>
      </c>
      <c r="H55" s="47">
        <v>58960</v>
      </c>
      <c r="I55" s="47">
        <v>58984</v>
      </c>
      <c r="J55" s="31" t="s">
        <v>367</v>
      </c>
      <c r="K55" s="47">
        <v>59048</v>
      </c>
      <c r="L55" s="172" t="s">
        <v>50</v>
      </c>
      <c r="M55" s="173">
        <f>CONVERT((I55-K55)/10000,"mi","ft")*IF(L55="Increasing Mileposts (1)",-1,1)</f>
        <v>33.792000000000002</v>
      </c>
      <c r="N55" s="174" t="str">
        <f>VLOOKUP(C55,'Trips&amp;Operators'!$C$1:$E$99999,3,FALSE)</f>
        <v>HELVIE</v>
      </c>
      <c r="O55" s="154" t="s">
        <v>358</v>
      </c>
      <c r="P55" s="175"/>
      <c r="Q55" s="31"/>
      <c r="R55" s="100" t="str">
        <f>VLOOKUP(C55,'Train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5" s="103" t="str">
        <f>VLOOKUP(C55,'Train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5" s="105" t="str">
        <f>astrogrep_path&amp;" /spath="&amp;search_path&amp;" /stypes=""*"&amp;U55&amp;"*"&amp;TEXT(A55-utc_offset/24,"YYYYMMDD")&amp;LEFT(TEXT(A55-utc_offset/24,"HH"),1)&amp;"*"" /stext="" "&amp;TEXT(A55-utc_offset/24,"HH")&amp;search_regexp&amp;""" /e /r /s"</f>
        <v>"C:\Program Files (x86)\AstroGrep\AstroGrep.exe" /spath="%USERPROFILE%\AppData\Local\Temp\OnboardLogs" /stypes="*4031*201610132*" /stext=" 22:.+((SYSTEM_STATE.+slice.+state.+changed )|(ment ac)|(system.+state.+changed )|(\[timeout)|(PRM\|1\|D)|(kpr)|(kdp)|(\|lc)|(penalty))" /e /r /s</v>
      </c>
      <c r="U55" s="9" t="str">
        <f>MID(B55,13,4)</f>
        <v>4031</v>
      </c>
      <c r="V55" s="36">
        <f>A55+6/24</f>
        <v>42656.944097222222</v>
      </c>
      <c r="W55" s="50" t="str">
        <f>IF(VALUE(LEFT(IF(LEN(C55)=6,"0"&amp;C55,C55),2))&lt;=2,"EC",IF(OR(VALUE(LEFT(IF(LEN(C55)=6,"0"&amp;C55,C55),2))=8,VALUE(LEFT(IF(LEN(C55)=6,"0"&amp;C55,C55),2))=18),"NW","Other"))</f>
        <v>NW</v>
      </c>
      <c r="X55" s="50" t="str">
        <f>IF(AND(E55="TRACK WARRANT AUTHORITY",G55&lt;10),"OMIT","KEEP")</f>
        <v>KEEP</v>
      </c>
      <c r="Y55" s="122" t="str">
        <f>"echo {""issue"":{""subject"":"""&amp;P55&amp;""",""project_id"":79,""tracker_id"":40,""status_id"":"&amp;redmine_status&amp;",""priority_id"":"&amp;redmine_priority&amp;",""assigned_to_id"":"&amp;redmine_assignee&amp;",""start_date"":"""&amp;TEXT(A55,"YYYY-mm-dd")&amp;""",""description"":"""&amp;Z55&amp;""",""custom_fields"":[{""id"":1,""name"":""Subdivision"",""value"":"""&amp;W55&amp;"""},{""id"":4,""name"":""Milepost"",""value"":"""&amp;K55/10000&amp;"""},{""id"":17,""name"":""Train ID"",""value"":"""&amp;C55&amp;"""},{""id"":16,""name"":""Locomotive ID"",""value"":"""&amp;U55&amp;"""},{""id"":130,""name"":""Impact"",""value"":"""&amp;AA55&amp;"""},{""id"":150,""name"":""Time of Event (Mountain Time)"",""value"":"""&amp;TEXT(A55,"hh:mm:ss")&amp;"""},{""id"":151,""name"":""Denver Issue ID"",""value"":"""&amp;"""},{""id"":178,""name"":""Operational Impact"",""value"":"""&amp;redmine_op_impact&amp;"""},{""id"":179,""name"":""Denver Segment Assigned"",""value"":"""&amp;AB55&amp;"""}]}}"&amp;" | curl -X POST -H ""Content-Type: application/json"" -H ""X-Redmine-API-Key: "&amp;redm_api_key&amp;""" "&amp;redm_url&amp;" --data @-"</f>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Time)","value":"16:39:30"},{"id":151,"name":"Denver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21"/>
      <c r="AC55" s="155" t="str">
        <f>"grep -hSE -A100 ""Enforcement Action"" "&amp;search_path&amp;"\RTDC"&amp;U55&amp;"\*"&amp;U55&amp;"*"&amp;TEXT(A55-utc_offset/24,"YYYYMMDD")&amp;LEFT(TEXT(A55-utc_offset/24,"HH"),1)&amp;"* | grep -SE ""((Enforcement Ac)|(PRM))"" -"</f>
        <v>grep -hSE -A100 "Enforcement Action" "%USERPROFILE%\AppData\Local\Temp\OnboardLogs"\RTDC4031\*4031*201610132* | grep -SE "((Enforcement Ac)|(PRM))" -</v>
      </c>
      <c r="AD55" s="1"/>
    </row>
    <row r="56" spans="1:30" x14ac:dyDescent="0.25">
      <c r="A56" s="36">
        <v>42656.774247685185</v>
      </c>
      <c r="B56" s="31" t="s">
        <v>237</v>
      </c>
      <c r="C56" s="31" t="s">
        <v>416</v>
      </c>
      <c r="D56" s="31" t="s">
        <v>49</v>
      </c>
      <c r="E56" s="31" t="s">
        <v>366</v>
      </c>
      <c r="F56" s="47">
        <v>0</v>
      </c>
      <c r="G56" s="47">
        <v>55</v>
      </c>
      <c r="H56" s="47">
        <v>58892</v>
      </c>
      <c r="I56" s="47">
        <v>58935</v>
      </c>
      <c r="J56" s="31" t="s">
        <v>367</v>
      </c>
      <c r="K56" s="47">
        <v>59048</v>
      </c>
      <c r="L56" s="172" t="s">
        <v>50</v>
      </c>
      <c r="M56" s="173">
        <f>CONVERT((I56-K56)/10000,"mi","ft")*IF(L56="Increasing Mileposts (1)",-1,1)</f>
        <v>59.664000000000001</v>
      </c>
      <c r="N56" s="174" t="str">
        <f>VLOOKUP(C56,'Trips&amp;Operators'!$C$1:$E$99999,3,FALSE)</f>
        <v>HELVIE</v>
      </c>
      <c r="O56" s="154" t="s">
        <v>358</v>
      </c>
      <c r="P56" s="175"/>
      <c r="Q56" s="31"/>
      <c r="R56" s="100" t="str">
        <f>VLOOKUP(C56,'Train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6" s="103" t="str">
        <f>VLOOKUP(C56,'Train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6" s="105" t="str">
        <f>astrogrep_path&amp;" /spath="&amp;search_path&amp;" /stypes=""*"&amp;U56&amp;"*"&amp;TEXT(A56-utc_offset/24,"YYYYMMDD")&amp;LEFT(TEXT(A56-utc_offset/24,"HH"),1)&amp;"*"" /stext="" "&amp;TEXT(A56-utc_offset/24,"HH")&amp;search_regexp&amp;""" /e /r /s"</f>
        <v>"C:\Program Files (x86)\AstroGrep\AstroGrep.exe" /spath="%USERPROFILE%\AppData\Local\Temp\OnboardLogs" /stypes="*4031*201610140*" /stext=" 00:.+((SYSTEM_STATE.+slice.+state.+changed )|(ment ac)|(system.+state.+changed )|(\[timeout)|(PRM\|1\|D)|(kpr)|(kdp)|(\|lc)|(penalty))" /e /r /s</v>
      </c>
      <c r="U56" s="9" t="str">
        <f>MID(B56,13,4)</f>
        <v>4031</v>
      </c>
      <c r="V56" s="36">
        <f>A56+6/24</f>
        <v>42657.024247685185</v>
      </c>
      <c r="W56" s="50" t="str">
        <f>IF(VALUE(LEFT(IF(LEN(C56)=6,"0"&amp;C56,C56),2))&lt;=2,"EC",IF(OR(VALUE(LEFT(IF(LEN(C56)=6,"0"&amp;C56,C56),2))=8,VALUE(LEFT(IF(LEN(C56)=6,"0"&amp;C56,C56),2))=18),"NW","Other"))</f>
        <v>NW</v>
      </c>
      <c r="X56" s="50" t="str">
        <f>IF(AND(E56="TRACK WARRANT AUTHORITY",G56&lt;10),"OMIT","KEEP")</f>
        <v>KEEP</v>
      </c>
      <c r="Y56" s="122" t="str">
        <f>"echo {""issue"":{""subject"":"""&amp;P56&amp;""",""project_id"":79,""tracker_id"":40,""status_id"":"&amp;redmine_status&amp;",""priority_id"":"&amp;redmine_priority&amp;",""assigned_to_id"":"&amp;redmine_assignee&amp;",""start_date"":"""&amp;TEXT(A56,"YYYY-mm-dd")&amp;""",""description"":"""&amp;Z56&amp;""",""custom_fields"":[{""id"":1,""name"":""Subdivision"",""value"":"""&amp;W56&amp;"""},{""id"":4,""name"":""Milepost"",""value"":"""&amp;K56/10000&amp;"""},{""id"":17,""name"":""Train ID"",""value"":"""&amp;C56&amp;"""},{""id"":16,""name"":""Locomotive ID"",""value"":"""&amp;U56&amp;"""},{""id"":130,""name"":""Impact"",""value"":"""&amp;AA56&amp;"""},{""id"":150,""name"":""Time of Event (Mountain Time)"",""value"":"""&amp;TEXT(A56,"hh:mm:ss")&amp;"""},{""id"":151,""name"":""Denver Issue ID"",""value"":"""&amp;"""},{""id"":178,""name"":""Operational Impact"",""value"":"""&amp;redmine_op_impact&amp;"""},{""id"":179,""name"":""Denver Segment Assigned"",""value"":"""&amp;AB56&amp;"""}]}}"&amp;" | curl -X POST -H ""Content-Type: application/json"" -H ""X-Redmine-API-Key: "&amp;redm_api_key&amp;""" "&amp;redm_url&amp;" --data @-"</f>
        <v>echo {"issue":{"subject":"","project_id":79,"tracker_id":40,"status_id":1,"priority_id":2,"assigned_to_id":23,"start_date":"2016-10-13","description":"","custom_fields":[{"id":1,"name":"Subdivision","value":"NW"},{"id":4,"name":"Milepost","value":"5.9048"},{"id":17,"name":"Train ID","value":"837-13"},{"id":16,"name":"Locomotive ID","value":"4031"},{"id":130,"name":"Impact","value":""},{"id":150,"name":"Time of Event (Mountain Time)","value":"18:34:55"},{"id":151,"name":"Denver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21"/>
      <c r="AC56" s="155" t="str">
        <f>"grep -hSE -A100 ""Enforcement Action"" "&amp;search_path&amp;"\RTDC"&amp;U56&amp;"\*"&amp;U56&amp;"*"&amp;TEXT(A56-utc_offset/24,"YYYYMMDD")&amp;LEFT(TEXT(A56-utc_offset/24,"HH"),1)&amp;"* | grep -SE ""((Enforcement Ac)|(PRM))"" -"</f>
        <v>grep -hSE -A100 "Enforcement Action" "%USERPROFILE%\AppData\Local\Temp\OnboardLogs"\RTDC4031\*4031*201610140* | grep -SE "((Enforcement Ac)|(PRM))" -</v>
      </c>
      <c r="AD56" s="1"/>
    </row>
    <row r="57" spans="1:30" x14ac:dyDescent="0.25">
      <c r="A57" s="36">
        <v>42656.72142361111</v>
      </c>
      <c r="B57" s="31" t="s">
        <v>370</v>
      </c>
      <c r="C57" s="31" t="s">
        <v>410</v>
      </c>
      <c r="D57" s="31" t="s">
        <v>49</v>
      </c>
      <c r="E57" s="31" t="s">
        <v>364</v>
      </c>
      <c r="F57" s="47">
        <v>0</v>
      </c>
      <c r="G57" s="47">
        <v>87</v>
      </c>
      <c r="H57" s="47">
        <v>11044</v>
      </c>
      <c r="I57" s="47">
        <v>10899</v>
      </c>
      <c r="J57" s="31" t="s">
        <v>365</v>
      </c>
      <c r="K57" s="47">
        <v>11016</v>
      </c>
      <c r="L57" s="172" t="s">
        <v>51</v>
      </c>
      <c r="M57" s="173">
        <f>CONVERT((I57-K57)/10000,"mi","ft")*IF(L57="Increasing Mileposts (1)",-1,1)</f>
        <v>-61.776000000000003</v>
      </c>
      <c r="N57" s="174" t="str">
        <f>VLOOKUP(C57,'Trips&amp;Operators'!$C$1:$E$99999,3,FALSE)</f>
        <v>COOLAHAN</v>
      </c>
      <c r="O57" s="154" t="s">
        <v>358</v>
      </c>
      <c r="P57" s="175"/>
      <c r="Q57" s="31"/>
      <c r="R57" s="100" t="str">
        <f>VLOOKUP(C57,'Train Runs'!$A$13:$AE$10001,31,0)</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S57" s="103" t="str">
        <f>VLOOKUP(C57,'Train Runs'!$A$13:$AE$10001,22,0)</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T57" s="105" t="str">
        <f>astrogrep_path&amp;" /spath="&amp;search_path&amp;" /stypes=""*"&amp;U57&amp;"*"&amp;TEXT(A57-utc_offset/24,"YYYYMMDD")&amp;LEFT(TEXT(A57-utc_offset/24,"HH"),1)&amp;"*"" /stext="" "&amp;TEXT(A57-utc_offset/24,"HH")&amp;search_regexp&amp;""" /e /r /s"</f>
        <v>"C:\Program Files (x86)\AstroGrep\AstroGrep.exe" /spath="%USERPROFILE%\AppData\Local\Temp\OnboardLogs" /stypes="*4028*201610132*" /stext=" 23:.+((SYSTEM_STATE.+slice.+state.+changed )|(ment ac)|(system.+state.+changed )|(\[timeout)|(PRM\|1\|D)|(kpr)|(kdp)|(\|lc)|(penalty))" /e /r /s</v>
      </c>
      <c r="U57" s="9" t="str">
        <f>MID(B57,13,4)</f>
        <v>4028</v>
      </c>
      <c r="V57" s="36">
        <f>A57+6/24</f>
        <v>42656.97142361111</v>
      </c>
      <c r="W57" s="50" t="str">
        <f>IF(VALUE(LEFT(IF(LEN(C57)=6,"0"&amp;C57,C57),2))&lt;=2,"EC",IF(OR(VALUE(LEFT(IF(LEN(C57)=6,"0"&amp;C57,C57),2))=8,VALUE(LEFT(IF(LEN(C57)=6,"0"&amp;C57,C57),2))=18),"NW","Other"))</f>
        <v>Other</v>
      </c>
      <c r="X57" s="50" t="str">
        <f>IF(AND(E57="TRACK WARRANT AUTHORITY",G57&lt;10),"OMIT","KEEP")</f>
        <v>KEEP</v>
      </c>
      <c r="Y57" s="122" t="str">
        <f>"echo {""issue"":{""subject"":"""&amp;P57&amp;""",""project_id"":79,""tracker_id"":40,""status_id"":"&amp;redmine_status&amp;",""priority_id"":"&amp;redmine_priority&amp;",""assigned_to_id"":"&amp;redmine_assignee&amp;",""start_date"":"""&amp;TEXT(A57,"YYYY-mm-dd")&amp;""",""description"":"""&amp;Z57&amp;""",""custom_fields"":[{""id"":1,""name"":""Subdivision"",""value"":"""&amp;W57&amp;"""},{""id"":4,""name"":""Milepost"",""value"":"""&amp;K57/10000&amp;"""},{""id"":17,""name"":""Train ID"",""value"":"""&amp;C57&amp;"""},{""id"":16,""name"":""Locomotive ID"",""value"":"""&amp;U57&amp;"""},{""id"":130,""name"":""Impact"",""value"":"""&amp;AA57&amp;"""},{""id"":150,""name"":""Time of Event (Mountain Time)"",""value"":"""&amp;TEXT(A57,"hh:mm:ss")&amp;"""},{""id"":151,""name"":""Denver Issue ID"",""value"":"""&amp;"""},{""id"":178,""name"":""Operational Impact"",""value"":"""&amp;redmine_op_impact&amp;"""},{""id"":179,""name"":""Denver Segment Assigned"",""value"":"""&amp;AB57&amp;"""}]}}"&amp;" | curl -X POST -H ""Content-Type: application/json"" -H ""X-Redmine-API-Key: "&amp;redm_api_key&amp;""" "&amp;redm_url&amp;" --data @-"</f>
        <v>echo {"issue":{"subject":"","project_id":79,"tracker_id":40,"status_id":1,"priority_id":2,"assigned_to_id":23,"start_date":"2016-10-13","description":"","custom_fields":[{"id":1,"name":"Subdivision","value":"Other"},{"id":4,"name":"Milepost","value":"1.1016"},{"id":17,"name":"Train ID","value":"50-13"},{"id":16,"name":"Locomotive ID","value":"4028"},{"id":130,"name":"Impact","value":""},{"id":150,"name":"Time of Event (Mountain Time)","value":"17:18:51"},{"id":151,"name":"Denver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21"/>
      <c r="AC57" s="155" t="str">
        <f>"grep -hSE -A100 ""Enforcement Action"" "&amp;search_path&amp;"\RTDC"&amp;U57&amp;"\*"&amp;U57&amp;"*"&amp;TEXT(A57-utc_offset/24,"YYYYMMDD")&amp;LEFT(TEXT(A57-utc_offset/24,"HH"),1)&amp;"* | grep -SE ""((Enforcement Ac)|(PRM))"" -"</f>
        <v>grep -hSE -A100 "Enforcement Action" "%USERPROFILE%\AppData\Local\Temp\OnboardLogs"\RTDC4028\*4028*201610132* | grep -SE "((Enforcement Ac)|(PRM))" -</v>
      </c>
      <c r="AD57" s="1"/>
    </row>
    <row r="58" spans="1:30" x14ac:dyDescent="0.25">
      <c r="A58" s="36">
        <v>42656.17255787037</v>
      </c>
      <c r="B58" s="31" t="s">
        <v>217</v>
      </c>
      <c r="C58" s="31" t="s">
        <v>377</v>
      </c>
      <c r="D58" s="31" t="s">
        <v>49</v>
      </c>
      <c r="E58" s="31" t="s">
        <v>366</v>
      </c>
      <c r="F58" s="47">
        <v>0</v>
      </c>
      <c r="G58" s="47">
        <v>69</v>
      </c>
      <c r="H58" s="47">
        <v>273</v>
      </c>
      <c r="I58" s="47">
        <v>192</v>
      </c>
      <c r="J58" s="31" t="s">
        <v>367</v>
      </c>
      <c r="K58" s="47">
        <v>1</v>
      </c>
      <c r="L58" s="172" t="s">
        <v>51</v>
      </c>
      <c r="M58" s="173">
        <f>CONVERT((I58-K58)/10000,"mi","ft")*IF(L58="Increasing Mileposts (1)",-1,1)</f>
        <v>100.848</v>
      </c>
      <c r="N58" s="174" t="str">
        <f>VLOOKUP(C58,'Trips&amp;Operators'!$C$1:$E$99999,3,FALSE)</f>
        <v>MALAVE</v>
      </c>
      <c r="O58" s="154" t="s">
        <v>358</v>
      </c>
      <c r="P58" s="175"/>
      <c r="Q58" s="31"/>
      <c r="R58" s="100" t="str">
        <f>VLOOKUP(C58,'Train Runs'!$A$13:$AE$10001,31,0)</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S58" s="103" t="str">
        <f>VLOOKUP(C58,'Train Runs'!$A$13:$AE$10001,22,0)</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8" s="105" t="str">
        <f>astrogrep_path&amp;" /spath="&amp;search_path&amp;" /stypes=""*"&amp;U58&amp;"*"&amp;TEXT(A58-utc_offset/24,"YYYYMMDD")&amp;LEFT(TEXT(A58-utc_offset/24,"HH"),1)&amp;"*"" /stext="" "&amp;TEXT(A58-utc_offset/24,"HH")&amp;search_regexp&amp;""" /e /r /s"</f>
        <v>"C:\Program Files (x86)\AstroGrep\AstroGrep.exe" /spath="%USERPROFILE%\AppData\Local\Temp\OnboardLogs" /stypes="*4013*201610131*" /stext=" 10:.+((SYSTEM_STATE.+slice.+state.+changed )|(ment ac)|(system.+state.+changed )|(\[timeout)|(PRM\|1\|D)|(kpr)|(kdp)|(\|lc)|(penalty))" /e /r /s</v>
      </c>
      <c r="U58" s="9" t="str">
        <f>MID(B58,13,4)</f>
        <v>4013</v>
      </c>
      <c r="V58" s="36">
        <f>A58+6/24</f>
        <v>42656.42255787037</v>
      </c>
      <c r="W58" s="50" t="str">
        <f>IF(VALUE(LEFT(IF(LEN(C58)=6,"0"&amp;C58,C58),2))&lt;=2,"EC",IF(OR(VALUE(LEFT(IF(LEN(C58)=6,"0"&amp;C58,C58),2))=8,VALUE(LEFT(IF(LEN(C58)=6,"0"&amp;C58,C58),2))=18),"NW","Other"))</f>
        <v>Other</v>
      </c>
      <c r="X58" s="50" t="str">
        <f>IF(AND(E58="TRACK WARRANT AUTHORITY",G58&lt;10),"OMIT","KEEP")</f>
        <v>KEEP</v>
      </c>
      <c r="Y58" s="122" t="str">
        <f>"echo {""issue"":{""subject"":"""&amp;P58&amp;""",""project_id"":79,""tracker_id"":40,""status_id"":"&amp;redmine_status&amp;",""priority_id"":"&amp;redmine_priority&amp;",""assigned_to_id"":"&amp;redmine_assignee&amp;",""start_date"":"""&amp;TEXT(A58,"YYYY-mm-dd")&amp;""",""description"":"""&amp;Z58&amp;""",""custom_fields"":[{""id"":1,""name"":""Subdivision"",""value"":"""&amp;W58&amp;"""},{""id"":4,""name"":""Milepost"",""value"":"""&amp;K58/10000&amp;"""},{""id"":17,""name"":""Train ID"",""value"":"""&amp;C58&amp;"""},{""id"":16,""name"":""Locomotive ID"",""value"":"""&amp;U58&amp;"""},{""id"":130,""name"":""Impact"",""value"":"""&amp;AA58&amp;"""},{""id"":150,""name"":""Time of Event (Mountain Time)"",""value"":"""&amp;TEXT(A58,"hh:mm:ss")&amp;"""},{""id"":151,""name"":""Denver Issue ID"",""value"":"""&amp;"""},{""id"":178,""name"":""Operational Impact"",""value"":"""&amp;redmine_op_impact&amp;"""},{""id"":179,""name"":""Denver Segment Assigned"",""value"":"""&amp;AB58&amp;"""}]}}"&amp;"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{"issue":{"subject":"","project_id":79,"tracker_id":40,"status_id":1,"priority_id":2,"assigned_to_id":23,"start_date":"2016-10-13","description":"","custom_fields":[{"id":1,"name":"Subdivision","value":"Other"},{"id":4,"name":"Milepost","value":"0.0001"},{"id":17,"name":"Train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21"/>
      <c r="AC58" s="155" t="str">
        <f>"grep -hSE -A100 ""Enforcement Action"" "&amp;search_path&amp;"\RTDC"&amp;U58&amp;"\*"&amp;U58&amp;"*"&amp;TEXT(A58-utc_offset/24,"YYYYMMDD")&amp;LEFT(TEXT(A58-utc_offset/24,"HH"),1)&amp;"* | grep -SE ""((Enforcement Ac)|(PRM))"" -"</f>
        <v>grep -hSE -A100 "Enforcement Action" "%USERPROFILE%\AppData\Local\Temp\OnboardLogs"\RTDC4013\*4013*201610131* | grep -SE "((Enforcement Ac)|(PRM))" -</v>
      </c>
      <c r="AD58" s="1"/>
    </row>
    <row r="59" spans="1:30" x14ac:dyDescent="0.25">
      <c r="A59"/>
      <c r="D59"/>
      <c r="E59"/>
      <c r="F59"/>
      <c r="G59"/>
      <c r="H59"/>
      <c r="I59"/>
      <c r="J59"/>
      <c r="K59"/>
      <c r="L59"/>
      <c r="M59"/>
      <c r="N59"/>
      <c r="O59"/>
      <c r="P59"/>
      <c r="R59"/>
      <c r="S59"/>
      <c r="T59"/>
      <c r="V59"/>
      <c r="AC59"/>
    </row>
    <row r="60" spans="1:30" x14ac:dyDescent="0.25">
      <c r="A60"/>
      <c r="D60"/>
      <c r="E60"/>
      <c r="F60"/>
      <c r="G60"/>
      <c r="H60"/>
      <c r="I60"/>
      <c r="J60"/>
      <c r="K60"/>
      <c r="L60"/>
      <c r="M60"/>
      <c r="N60"/>
      <c r="O60"/>
      <c r="P60"/>
      <c r="R60"/>
      <c r="S60"/>
      <c r="T60"/>
      <c r="V60"/>
      <c r="AC60"/>
    </row>
    <row r="61" spans="1:30" x14ac:dyDescent="0.25">
      <c r="A61"/>
      <c r="D61"/>
      <c r="E61"/>
      <c r="F61"/>
      <c r="G61"/>
      <c r="H61"/>
      <c r="I61"/>
      <c r="J61"/>
      <c r="K61"/>
      <c r="L61"/>
      <c r="M61"/>
      <c r="N61"/>
      <c r="O61"/>
      <c r="P61"/>
      <c r="R61"/>
      <c r="S61"/>
      <c r="T61"/>
      <c r="V61"/>
      <c r="AC61"/>
    </row>
    <row r="62" spans="1:30" x14ac:dyDescent="0.25">
      <c r="A62"/>
      <c r="D62"/>
      <c r="E62"/>
      <c r="F62"/>
      <c r="G62"/>
      <c r="H62"/>
      <c r="I62"/>
      <c r="J62"/>
      <c r="K62"/>
      <c r="L62"/>
      <c r="M62"/>
      <c r="N62"/>
      <c r="O62"/>
      <c r="P62"/>
      <c r="R62"/>
      <c r="S62"/>
      <c r="T62"/>
      <c r="V62"/>
      <c r="AC62"/>
    </row>
    <row r="63" spans="1:30" x14ac:dyDescent="0.25">
      <c r="A63"/>
      <c r="D63"/>
      <c r="E63"/>
      <c r="F63"/>
      <c r="G63"/>
      <c r="H63"/>
      <c r="I63"/>
      <c r="J63"/>
      <c r="K63"/>
      <c r="L63"/>
      <c r="M63"/>
      <c r="N63"/>
      <c r="O63"/>
      <c r="P63"/>
      <c r="R63"/>
      <c r="S63"/>
      <c r="T63"/>
      <c r="V63"/>
      <c r="AC63"/>
    </row>
    <row r="64" spans="1:30"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sheetData>
  <autoFilter ref="A6:AC66"/>
  <sortState ref="A7:AB44">
    <sortCondition ref="W7:W44"/>
    <sortCondition ref="E7:E44"/>
    <sortCondition ref="K7:K44"/>
    <sortCondition ref="C7:C44"/>
    <sortCondition ref="F7:F44"/>
  </sortState>
  <mergeCells count="1">
    <mergeCell ref="A5:O5"/>
  </mergeCells>
  <conditionalFormatting sqref="O6:P6 R6 O68:O1048576">
    <cfRule type="cellIs" dxfId="28" priority="17" operator="equal">
      <formula>"Y"</formula>
    </cfRule>
  </conditionalFormatting>
  <conditionalFormatting sqref="O2:O3">
    <cfRule type="cellIs" dxfId="27" priority="8" operator="equal">
      <formula>"Y"</formula>
    </cfRule>
  </conditionalFormatting>
  <conditionalFormatting sqref="O7:O58">
    <cfRule type="cellIs" dxfId="26" priority="2" operator="equal">
      <formula>"Y"</formula>
    </cfRule>
  </conditionalFormatting>
  <conditionalFormatting sqref="A7:P58">
    <cfRule type="expression" dxfId="25" priority="1">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Values'!#REF!</xm:f>
          </x14:formula1>
          <xm:sqref>AA7:AA58</xm:sqref>
        </x14:dataValidation>
        <x14:dataValidation type="list" allowBlank="1" showInputMessage="1" showErrorMessage="1">
          <x14:formula1>
            <xm:f>'Redmine List Values'!#REF!</xm:f>
          </x14:formula1>
          <xm:sqref>AB7:AB58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election activeCell="I4" sqref="I4"/>
    </sheetView>
  </sheetViews>
  <sheetFormatPr defaultRowHeight="15" x14ac:dyDescent="0.25"/>
  <cols>
    <col min="1" max="1" width="9.140625" style="142"/>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42"/>
      <c r="B1" s="179" t="str">
        <f>"Trips that did not appear in PTC Data "&amp;TEXT(Variables!$A$2,"YYYY-mm-dd")</f>
        <v>Trips that did not appear in PTC Data 2016-10-13</v>
      </c>
      <c r="C1" s="179"/>
      <c r="D1" s="179"/>
      <c r="E1" s="179"/>
      <c r="F1" s="179"/>
    </row>
    <row r="2" spans="1:11" s="24" customFormat="1" ht="45" x14ac:dyDescent="0.25">
      <c r="A2" s="150" t="s">
        <v>156</v>
      </c>
      <c r="B2" s="113" t="s">
        <v>58</v>
      </c>
      <c r="C2" s="108" t="s">
        <v>59</v>
      </c>
      <c r="D2" s="109" t="s">
        <v>60</v>
      </c>
      <c r="E2" s="24" t="s">
        <v>56</v>
      </c>
      <c r="F2" s="24" t="s">
        <v>57</v>
      </c>
      <c r="G2" s="24" t="s">
        <v>61</v>
      </c>
      <c r="H2" s="29" t="s">
        <v>62</v>
      </c>
      <c r="I2" s="29" t="s">
        <v>105</v>
      </c>
    </row>
    <row r="3" spans="1:11" x14ac:dyDescent="0.25">
      <c r="A3" s="164">
        <v>825</v>
      </c>
      <c r="B3" s="47" t="str">
        <f>A3&amp;"-"&amp;IF(DAY(Variables!$A$2)&lt;10,0,"")&amp;DAY(Variables!$A$2)</f>
        <v>825-13</v>
      </c>
      <c r="C3" s="176"/>
      <c r="D3" s="182">
        <v>4032</v>
      </c>
      <c r="E3" s="31" t="s">
        <v>776</v>
      </c>
      <c r="F3" s="22" t="str">
        <f>VLOOKUP(B3,'Trips&amp;Operators'!$C$2:$E$10000,3,FALSE)</f>
        <v>HELVIE</v>
      </c>
      <c r="G3" s="22" t="str">
        <f>VLOOKUP(B3,'Trips&amp;Operators'!$C$1:$F$10000,4,FALSE)</f>
        <v>rtdc.l.rtdc.4032:itc</v>
      </c>
      <c r="H3" s="30">
        <f>VLOOKUP(B3,'Trips&amp;Operators'!$C$1:$H$10000,5,FALSE)</f>
        <v>42656.610879629632</v>
      </c>
      <c r="I3" s="50" t="str">
        <f t="shared" ref="I3:I24"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22825-13%22)),sort:!(Time,asc))</v>
      </c>
      <c r="J3" s="31" t="e">
        <f>VLOOKUP(B3,'Train Runs'!$A$13:$A$99998,1,FALSE)</f>
        <v>#N/A</v>
      </c>
      <c r="K3" s="21" t="e">
        <f>IF(VLOOKUP(A3,$K$63:$K$86,1,FALSE),"Cancelled")</f>
        <v>#N/A</v>
      </c>
    </row>
    <row r="4" spans="1:11" x14ac:dyDescent="0.25">
      <c r="A4" s="164">
        <v>218</v>
      </c>
      <c r="B4" s="47" t="str">
        <f>A4&amp;"-"&amp;IF(DAY(Variables!$A$2)&lt;10,0,"")&amp;DAY(Variables!$A$2)</f>
        <v>218-13</v>
      </c>
      <c r="C4" s="176"/>
      <c r="D4" s="177"/>
      <c r="E4" s="31"/>
      <c r="F4" s="22" t="str">
        <f>VLOOKUP(B4,'Trips&amp;Operators'!$C$2:$E$10000,3,FALSE)</f>
        <v>BERLING</v>
      </c>
      <c r="G4" s="22" t="str">
        <f>VLOOKUP(B4,'Trips&amp;Operators'!$C$1:$F$10000,4,FALSE)</f>
        <v>rtdc.l.rtdc.4043:itc</v>
      </c>
      <c r="H4" s="30">
        <f>VLOOKUP(B4,'Trips&amp;Operators'!$C$1:$H$10000,5,FALSE)</f>
        <v>42656.795081018521</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22218-13%22)),sort:!(Time,asc))</v>
      </c>
      <c r="J4" s="31" t="str">
        <f>VLOOKUP(B4,'Train Runs'!$A$13:$A$99998,1,FALSE)</f>
        <v>218-13</v>
      </c>
      <c r="K4" s="21" t="e">
        <f>IF(VLOOKUP(A4,$K$63:$K$86,1,FALSE),"Cancelled")</f>
        <v>#N/A</v>
      </c>
    </row>
    <row r="5" spans="1:11" x14ac:dyDescent="0.25">
      <c r="A5" s="164"/>
      <c r="B5" s="47" t="str">
        <f>A5&amp;"-"&amp;IF(DAY(Variables!$A$2)&lt;10,0,"")&amp;DAY(Variables!$A$2)</f>
        <v>-13</v>
      </c>
      <c r="C5" s="176"/>
      <c r="D5" s="177"/>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5" s="31" t="e">
        <f>VLOOKUP(B5,'Train Runs'!$A$13:$A$99998,1,FALSE)</f>
        <v>#N/A</v>
      </c>
      <c r="K5" s="21" t="e">
        <f>IF(VLOOKUP(A5,$K$63:$K$86,1,FALSE),"Cancelled")</f>
        <v>#N/A</v>
      </c>
    </row>
    <row r="6" spans="1:11" x14ac:dyDescent="0.25">
      <c r="A6" s="164"/>
      <c r="B6" s="47" t="str">
        <f>A6&amp;"-"&amp;IF(DAY(Variables!$A$2)&lt;10,0,"")&amp;DAY(Variables!$A$2)</f>
        <v>-13</v>
      </c>
      <c r="C6" s="176"/>
      <c r="D6" s="177"/>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6" s="31" t="e">
        <f>VLOOKUP(B6,'Train Runs'!$A$13:$A$99998,1,FALSE)</f>
        <v>#N/A</v>
      </c>
      <c r="K6" s="21" t="e">
        <f>IF(VLOOKUP(A6,$K$63:$K$86,1,FALSE),"Cancelled")</f>
        <v>#N/A</v>
      </c>
    </row>
    <row r="7" spans="1:11" x14ac:dyDescent="0.25">
      <c r="A7" s="164"/>
      <c r="B7" s="47" t="str">
        <f>A7&amp;"-"&amp;IF(DAY(Variables!$A$2)&lt;10,0,"")&amp;DAY(Variables!$A$2)</f>
        <v>-13</v>
      </c>
      <c r="C7" s="176"/>
      <c r="D7" s="177"/>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7" s="31" t="e">
        <f>VLOOKUP(B7,'Train Runs'!$A$13:$A$99998,1,FALSE)</f>
        <v>#N/A</v>
      </c>
      <c r="K7" s="21" t="e">
        <f>IF(VLOOKUP(A7,$K$63:$K$86,1,FALSE),"Cancelled")</f>
        <v>#N/A</v>
      </c>
    </row>
    <row r="8" spans="1:11" x14ac:dyDescent="0.25">
      <c r="A8" s="164"/>
      <c r="B8" s="47" t="str">
        <f>A8&amp;"-"&amp;IF(DAY(Variables!$A$2)&lt;10,0,"")&amp;DAY(Variables!$A$2)</f>
        <v>-13</v>
      </c>
      <c r="C8" s="176"/>
      <c r="D8" s="177"/>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8" s="31" t="e">
        <f>VLOOKUP(B8,'Train Runs'!$A$13:$A$99998,1,FALSE)</f>
        <v>#N/A</v>
      </c>
      <c r="K8" s="21" t="e">
        <f>IF(VLOOKUP(A8,$K$63:$K$86,1,FALSE),"Cancelled")</f>
        <v>#N/A</v>
      </c>
    </row>
    <row r="9" spans="1:11" x14ac:dyDescent="0.25">
      <c r="A9" s="164"/>
      <c r="B9" s="47" t="str">
        <f>A9&amp;"-"&amp;IF(DAY(Variables!$A$2)&lt;10,0,"")&amp;DAY(Variables!$A$2)</f>
        <v>-13</v>
      </c>
      <c r="C9" s="176"/>
      <c r="D9" s="177"/>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9" s="31" t="e">
        <f>VLOOKUP(B9,'Train Runs'!$A$13:$A$99998,1,FALSE)</f>
        <v>#N/A</v>
      </c>
      <c r="K9" s="21" t="e">
        <f>IF(VLOOKUP(A9,$K$63:$K$86,1,FALSE),"Cancelled")</f>
        <v>#N/A</v>
      </c>
    </row>
    <row r="10" spans="1:11" x14ac:dyDescent="0.25">
      <c r="A10" s="164"/>
      <c r="B10" s="47" t="str">
        <f>A10&amp;"-"&amp;IF(DAY(Variables!$A$2)&lt;10,0,"")&amp;DAY(Variables!$A$2)</f>
        <v>-13</v>
      </c>
      <c r="C10" s="176"/>
      <c r="D10" s="177"/>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0" s="31" t="e">
        <f>VLOOKUP(B10,'Train Runs'!$A$13:$A$99998,1,FALSE)</f>
        <v>#N/A</v>
      </c>
      <c r="K10" s="21" t="e">
        <f>IF(VLOOKUP(A10,$K$63:$K$86,1,FALSE),"Cancelled")</f>
        <v>#N/A</v>
      </c>
    </row>
    <row r="11" spans="1:11" s="21" customFormat="1" x14ac:dyDescent="0.25">
      <c r="A11" s="164"/>
      <c r="B11" s="47" t="str">
        <f>A11&amp;"-"&amp;IF(DAY(Variables!$A$2)&lt;10,0,"")&amp;DAY(Variables!$A$2)</f>
        <v>-13</v>
      </c>
      <c r="C11" s="176"/>
      <c r="D11" s="177"/>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1" s="31" t="e">
        <f>VLOOKUP(B11,'Train Runs'!$A$13:$A$99998,1,FALSE)</f>
        <v>#N/A</v>
      </c>
      <c r="K11" s="21" t="e">
        <f>IF(VLOOKUP(A11,$K$63:$K$86,1,FALSE),"Cancelled")</f>
        <v>#N/A</v>
      </c>
    </row>
    <row r="12" spans="1:11" x14ac:dyDescent="0.25">
      <c r="A12" s="164"/>
      <c r="B12" s="47" t="str">
        <f>A12&amp;"-"&amp;IF(DAY(Variables!$A$2)&lt;10,0,"")&amp;DAY(Variables!$A$2)</f>
        <v>-13</v>
      </c>
      <c r="C12" s="176"/>
      <c r="D12" s="177"/>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2" s="31" t="e">
        <f>VLOOKUP(B12,'Train Runs'!$A$13:$A$99998,1,FALSE)</f>
        <v>#N/A</v>
      </c>
      <c r="K12" s="21" t="e">
        <f>IF(VLOOKUP(A12,$K$63:$K$86,1,FALSE),"Cancelled")</f>
        <v>#N/A</v>
      </c>
    </row>
    <row r="13" spans="1:11" x14ac:dyDescent="0.25">
      <c r="A13" s="164"/>
      <c r="B13" s="47" t="str">
        <f>A13&amp;"-"&amp;IF(DAY(Variables!$A$2)&lt;10,0,"")&amp;DAY(Variables!$A$2)</f>
        <v>-13</v>
      </c>
      <c r="C13" s="176"/>
      <c r="D13" s="177"/>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3" s="31" t="e">
        <f>VLOOKUP(B13,'Train Runs'!$A$13:$A$99998,1,FALSE)</f>
        <v>#N/A</v>
      </c>
      <c r="K13" s="21" t="e">
        <f>IF(VLOOKUP(A13,$K$63:$K$86,1,FALSE),"Cancelled")</f>
        <v>#N/A</v>
      </c>
    </row>
    <row r="14" spans="1:11" x14ac:dyDescent="0.25">
      <c r="A14" s="164"/>
      <c r="B14" s="47" t="str">
        <f>A14&amp;"-"&amp;IF(DAY(Variables!$A$2)&lt;10,0,"")&amp;DAY(Variables!$A$2)</f>
        <v>-13</v>
      </c>
      <c r="C14" s="176"/>
      <c r="D14" s="177"/>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4" s="31" t="e">
        <f>VLOOKUP(B14,'Train Runs'!$A$13:$A$99998,1,FALSE)</f>
        <v>#N/A</v>
      </c>
      <c r="K14" s="21" t="e">
        <f>IF(VLOOKUP(A14,$K$63:$K$86,1,FALSE),"Cancelled")</f>
        <v>#N/A</v>
      </c>
    </row>
    <row r="15" spans="1:11" x14ac:dyDescent="0.25">
      <c r="A15" s="164"/>
      <c r="B15" s="47" t="str">
        <f>A15&amp;"-"&amp;IF(DAY(Variables!$A$2)&lt;10,0,"")&amp;DAY(Variables!$A$2)</f>
        <v>-13</v>
      </c>
      <c r="C15" s="176"/>
      <c r="D15" s="177"/>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5" s="31" t="e">
        <f>VLOOKUP(B15,'Train Runs'!$A$13:$A$99998,1,FALSE)</f>
        <v>#N/A</v>
      </c>
      <c r="K15" s="21" t="e">
        <f>IF(VLOOKUP(A15,$K$63:$K$86,1,FALSE),"Cancelled")</f>
        <v>#N/A</v>
      </c>
    </row>
    <row r="16" spans="1:11" x14ac:dyDescent="0.25">
      <c r="A16" s="164"/>
      <c r="B16" s="47" t="str">
        <f>A16&amp;"-"&amp;IF(DAY(Variables!$A$2)&lt;10,0,"")&amp;DAY(Variables!$A$2)</f>
        <v>-13</v>
      </c>
      <c r="C16" s="176"/>
      <c r="D16" s="177"/>
      <c r="E16" s="31"/>
      <c r="F16" s="22" t="e">
        <f>VLOOKUP(B16,'Trips&amp;Operators'!$C$2:$E$10000,3,FALSE)</f>
        <v>#N/A</v>
      </c>
      <c r="G16" s="22" t="e">
        <f>VLOOKUP(B16,'Trips&amp;Operators'!$C$1:$F$10000,4,FALSE)</f>
        <v>#N/A</v>
      </c>
      <c r="H16" s="30" t="e">
        <f>VLOOKUP(B16,'Trips&amp;Operators'!$C$1:$H$10000,5,FALSE)</f>
        <v>#N/A</v>
      </c>
      <c r="I1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6" s="31" t="e">
        <f>VLOOKUP(B16,'Train Runs'!$A$13:$A$99998,1,FALSE)</f>
        <v>#N/A</v>
      </c>
      <c r="K16" s="21" t="e">
        <f>IF(VLOOKUP(A16,$K$63:$K$86,1,FALSE),"Cancelled")</f>
        <v>#N/A</v>
      </c>
    </row>
    <row r="17" spans="1:11" x14ac:dyDescent="0.25">
      <c r="A17" s="164"/>
      <c r="B17" s="47" t="str">
        <f>A17&amp;"-"&amp;IF(DAY(Variables!$A$2)&lt;10,0,"")&amp;DAY(Variables!$A$2)</f>
        <v>-13</v>
      </c>
      <c r="C17" s="176"/>
      <c r="D17" s="177"/>
      <c r="E17" s="31"/>
      <c r="F17" s="22" t="e">
        <f>VLOOKUP(B17,'Trips&amp;Operators'!$C$2:$E$10000,3,FALSE)</f>
        <v>#N/A</v>
      </c>
      <c r="G17" s="22" t="e">
        <f>VLOOKUP(B17,'Trips&amp;Operators'!$C$1:$F$10000,4,FALSE)</f>
        <v>#N/A</v>
      </c>
      <c r="H17" s="30" t="e">
        <f>VLOOKUP(B17,'Trips&amp;Operators'!$C$1:$H$10000,5,FALSE)</f>
        <v>#N/A</v>
      </c>
      <c r="I1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7" s="31" t="e">
        <f>VLOOKUP(B17,'Train Runs'!$A$13:$A$99998,1,FALSE)</f>
        <v>#N/A</v>
      </c>
      <c r="K17" s="21" t="e">
        <f>IF(VLOOKUP(A17,$K$63:$K$86,1,FALSE),"Cancelled")</f>
        <v>#N/A</v>
      </c>
    </row>
    <row r="18" spans="1:11" x14ac:dyDescent="0.25">
      <c r="A18" s="164"/>
      <c r="B18" s="47" t="str">
        <f>A18&amp;"-"&amp;IF(DAY(Variables!$A$2)&lt;10,0,"")&amp;DAY(Variables!$A$2)</f>
        <v>-13</v>
      </c>
      <c r="C18" s="176"/>
      <c r="D18" s="177"/>
      <c r="E18" s="31"/>
      <c r="F18" s="22" t="e">
        <f>VLOOKUP(B18,'Trips&amp;Operators'!$C$2:$E$10000,3,FALSE)</f>
        <v>#N/A</v>
      </c>
      <c r="G18" s="22" t="e">
        <f>VLOOKUP(B18,'Trips&amp;Operators'!$C$1:$F$10000,4,FALSE)</f>
        <v>#N/A</v>
      </c>
      <c r="H18" s="30" t="e">
        <f>VLOOKUP(B18,'Trips&amp;Operators'!$C$1:$H$10000,5,FALSE)</f>
        <v>#N/A</v>
      </c>
      <c r="I1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8" s="31" t="e">
        <f>VLOOKUP(B18,'Train Runs'!$A$13:$A$99998,1,FALSE)</f>
        <v>#N/A</v>
      </c>
      <c r="K18" s="21" t="e">
        <f>IF(VLOOKUP(A18,$K$63:$K$86,1,FALSE),"Cancelled")</f>
        <v>#N/A</v>
      </c>
    </row>
    <row r="19" spans="1:11" x14ac:dyDescent="0.25">
      <c r="A19" s="164"/>
      <c r="B19" s="47" t="str">
        <f>A19&amp;"-"&amp;IF(DAY(Variables!$A$2)&lt;10,0,"")&amp;DAY(Variables!$A$2)</f>
        <v>-13</v>
      </c>
      <c r="C19" s="176"/>
      <c r="D19" s="177"/>
      <c r="E19" s="31"/>
      <c r="F19" s="22" t="e">
        <f>VLOOKUP(B19,'Trips&amp;Operators'!$C$2:$E$10000,3,FALSE)</f>
        <v>#N/A</v>
      </c>
      <c r="G19" s="22" t="e">
        <f>VLOOKUP(B19,'Trips&amp;Operators'!$C$1:$F$10000,4,FALSE)</f>
        <v>#N/A</v>
      </c>
      <c r="H19" s="30" t="e">
        <f>VLOOKUP(B19,'Trips&amp;Operators'!$C$1:$H$10000,5,FALSE)</f>
        <v>#N/A</v>
      </c>
      <c r="I1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9" s="31" t="e">
        <f>VLOOKUP(B19,'Train Runs'!$A$13:$A$99998,1,FALSE)</f>
        <v>#N/A</v>
      </c>
      <c r="K19" s="21" t="e">
        <f>IF(VLOOKUP(A19,$K$63:$K$86,1,FALSE),"Cancelled")</f>
        <v>#N/A</v>
      </c>
    </row>
    <row r="20" spans="1:11" x14ac:dyDescent="0.25">
      <c r="A20" s="164"/>
      <c r="B20" s="47" t="str">
        <f>A20&amp;"-"&amp;IF(DAY(Variables!$A$2)&lt;10,0,"")&amp;DAY(Variables!$A$2)</f>
        <v>-13</v>
      </c>
      <c r="C20" s="176"/>
      <c r="D20" s="177"/>
      <c r="E20" s="31"/>
      <c r="F20" s="22" t="e">
        <f>VLOOKUP(B20,'Trips&amp;Operators'!$C$2:$E$10000,3,FALSE)</f>
        <v>#N/A</v>
      </c>
      <c r="G20" s="22" t="e">
        <f>VLOOKUP(B20,'Trips&amp;Operators'!$C$1:$F$10000,4,FALSE)</f>
        <v>#N/A</v>
      </c>
      <c r="H20" s="30" t="e">
        <f>VLOOKUP(B20,'Trips&amp;Operators'!$C$1:$H$10000,5,FALSE)</f>
        <v>#N/A</v>
      </c>
      <c r="I2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0" s="31" t="e">
        <f>VLOOKUP(B20,'Train Runs'!$A$13:$A$99998,1,FALSE)</f>
        <v>#N/A</v>
      </c>
      <c r="K20" s="21" t="e">
        <f>IF(VLOOKUP(A20,$K$63:$K$86,1,FALSE),"Cancelled")</f>
        <v>#N/A</v>
      </c>
    </row>
    <row r="21" spans="1:11" x14ac:dyDescent="0.25">
      <c r="A21" s="164"/>
      <c r="B21" s="47" t="str">
        <f>A21&amp;"-"&amp;IF(DAY(Variables!$A$2)&lt;10,0,"")&amp;DAY(Variables!$A$2)</f>
        <v>-13</v>
      </c>
      <c r="C21" s="176"/>
      <c r="D21" s="177"/>
      <c r="E21" s="31"/>
      <c r="F21" s="22" t="e">
        <f>VLOOKUP(B21,'Trips&amp;Operators'!$C$2:$E$10000,3,FALSE)</f>
        <v>#N/A</v>
      </c>
      <c r="G21" s="22" t="e">
        <f>VLOOKUP(B21,'Trips&amp;Operators'!$C$1:$F$10000,4,FALSE)</f>
        <v>#N/A</v>
      </c>
      <c r="H21" s="30" t="e">
        <f>VLOOKUP(B21,'Trips&amp;Operators'!$C$1:$H$10000,5,FALSE)</f>
        <v>#N/A</v>
      </c>
      <c r="I2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1" s="31" t="e">
        <f>VLOOKUP(B21,'Train Runs'!$A$13:$A$99998,1,FALSE)</f>
        <v>#N/A</v>
      </c>
      <c r="K21" s="21" t="e">
        <f>IF(VLOOKUP(A21,$K$63:$K$86,1,FALSE),"Cancelled")</f>
        <v>#N/A</v>
      </c>
    </row>
    <row r="22" spans="1:11" x14ac:dyDescent="0.25">
      <c r="A22" s="164"/>
      <c r="B22" s="47" t="str">
        <f>A22&amp;"-"&amp;IF(DAY(Variables!$A$2)&lt;10,0,"")&amp;DAY(Variables!$A$2)</f>
        <v>-13</v>
      </c>
      <c r="C22" s="176"/>
      <c r="D22" s="177"/>
      <c r="E22" s="31"/>
      <c r="F22" s="22" t="e">
        <f>VLOOKUP(B22,'Trips&amp;Operators'!$C$2:$E$10000,3,FALSE)</f>
        <v>#N/A</v>
      </c>
      <c r="G22" s="22" t="e">
        <f>VLOOKUP(B22,'Trips&amp;Operators'!$C$1:$F$10000,4,FALSE)</f>
        <v>#N/A</v>
      </c>
      <c r="H22" s="30" t="e">
        <f>VLOOKUP(B22,'Trips&amp;Operators'!$C$1:$H$10000,5,FALSE)</f>
        <v>#N/A</v>
      </c>
      <c r="I2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2" s="31" t="e">
        <f>VLOOKUP(B22,'Train Runs'!$A$13:$A$99998,1,FALSE)</f>
        <v>#N/A</v>
      </c>
      <c r="K22" s="21" t="e">
        <f>IF(VLOOKUP(A22,$K$63:$K$86,1,FALSE),"Cancelled")</f>
        <v>#N/A</v>
      </c>
    </row>
    <row r="23" spans="1:11" x14ac:dyDescent="0.25">
      <c r="A23" s="164"/>
      <c r="B23" s="47" t="str">
        <f>A23&amp;"-"&amp;IF(DAY(Variables!$A$2)&lt;10,0,"")&amp;DAY(Variables!$A$2)</f>
        <v>-13</v>
      </c>
      <c r="C23" s="176"/>
      <c r="D23" s="177"/>
      <c r="E23" s="31"/>
      <c r="F23" s="22" t="e">
        <f>VLOOKUP(B23,'Trips&amp;Operators'!$C$2:$E$10000,3,FALSE)</f>
        <v>#N/A</v>
      </c>
      <c r="G23" s="22" t="e">
        <f>VLOOKUP(B23,'Trips&amp;Operators'!$C$1:$F$10000,4,FALSE)</f>
        <v>#N/A</v>
      </c>
      <c r="H23" s="30" t="e">
        <f>VLOOKUP(B23,'Trips&amp;Operators'!$C$1:$H$10000,5,FALSE)</f>
        <v>#N/A</v>
      </c>
      <c r="I2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3" s="31" t="e">
        <f>VLOOKUP(B23,'Train Runs'!$A$13:$A$99998,1,FALSE)</f>
        <v>#N/A</v>
      </c>
      <c r="K23" s="21" t="e">
        <f>IF(VLOOKUP(A23,$K$63:$K$86,1,FALSE),"Cancelled")</f>
        <v>#N/A</v>
      </c>
    </row>
    <row r="24" spans="1:11" x14ac:dyDescent="0.25">
      <c r="A24" s="164"/>
      <c r="B24" s="47" t="str">
        <f>A24&amp;"-"&amp;IF(DAY(Variables!$A$2)&lt;10,0,"")&amp;DAY(Variables!$A$2)</f>
        <v>-13</v>
      </c>
      <c r="C24" s="176"/>
      <c r="D24" s="177"/>
      <c r="E24" s="31"/>
      <c r="F24" s="22" t="e">
        <f>VLOOKUP(B24,'Trips&amp;Operators'!$C$2:$E$10000,3,FALSE)</f>
        <v>#N/A</v>
      </c>
      <c r="G24" s="22" t="e">
        <f>VLOOKUP(B24,'Trips&amp;Operators'!$C$1:$F$10000,4,FALSE)</f>
        <v>#N/A</v>
      </c>
      <c r="H24" s="30" t="e">
        <f>VLOOKUP(B24,'Trips&amp;Operators'!$C$1:$H$10000,5,FALSE)</f>
        <v>#N/A</v>
      </c>
      <c r="I2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4" s="31" t="e">
        <f>VLOOKUP(B24,'Train Runs'!$A$13:$A$99998,1,FALSE)</f>
        <v>#N/A</v>
      </c>
      <c r="K24" s="21" t="e">
        <f>IF(VLOOKUP(A24,$K$63:$K$86,1,FALSE),"Cancelled")</f>
        <v>#N/A</v>
      </c>
    </row>
    <row r="25" spans="1:11" x14ac:dyDescent="0.25">
      <c r="C25" s="110"/>
      <c r="D25" s="110"/>
      <c r="E25" s="31"/>
      <c r="F25" s="22"/>
      <c r="G25" s="22"/>
      <c r="H25" s="30"/>
      <c r="I25"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184</v>
      </c>
      <c r="B1" s="21" t="s">
        <v>185</v>
      </c>
      <c r="C1" s="21" t="s">
        <v>0</v>
      </c>
      <c r="D1" s="21" t="s">
        <v>186</v>
      </c>
      <c r="E1" s="21" t="s">
        <v>187</v>
      </c>
      <c r="F1" s="21" t="str">
        <f>B1</f>
        <v>Source</v>
      </c>
      <c r="G1" s="8" t="str">
        <f>A1</f>
        <v>Time (US/Mountain)</v>
      </c>
    </row>
    <row r="2" spans="1:7" x14ac:dyDescent="0.25">
      <c r="A2" s="8">
        <v>42656.032986111109</v>
      </c>
      <c r="B2" s="21" t="s">
        <v>188</v>
      </c>
      <c r="C2" s="21" t="s">
        <v>347</v>
      </c>
      <c r="D2" s="21">
        <v>1480000</v>
      </c>
      <c r="E2" s="21" t="s">
        <v>192</v>
      </c>
      <c r="F2" s="21" t="str">
        <f t="shared" ref="F2:F65" si="0">B2</f>
        <v>rtdc.l.rtdc.4018:itc</v>
      </c>
      <c r="G2" s="8">
        <f t="shared" ref="G2:G65" si="1">A2</f>
        <v>42656.032986111109</v>
      </c>
    </row>
    <row r="3" spans="1:7" x14ac:dyDescent="0.25">
      <c r="A3" s="8">
        <v>42656.036898148152</v>
      </c>
      <c r="B3" s="21" t="s">
        <v>199</v>
      </c>
      <c r="C3" s="21" t="s">
        <v>328</v>
      </c>
      <c r="D3" s="21">
        <v>2350000</v>
      </c>
      <c r="E3" s="21" t="s">
        <v>228</v>
      </c>
      <c r="F3" s="21" t="str">
        <f t="shared" si="0"/>
        <v>rtdc.l.rtdc.4008:itc</v>
      </c>
      <c r="G3" s="8">
        <f t="shared" si="1"/>
        <v>42656.036898148152</v>
      </c>
    </row>
    <row r="4" spans="1:7" x14ac:dyDescent="0.25">
      <c r="A4" s="8">
        <v>42656.051944444444</v>
      </c>
      <c r="B4" s="21" t="s">
        <v>362</v>
      </c>
      <c r="C4" s="21" t="s">
        <v>349</v>
      </c>
      <c r="D4" s="21">
        <v>2360000</v>
      </c>
      <c r="E4" s="21" t="s">
        <v>244</v>
      </c>
      <c r="F4" s="21" t="str">
        <f t="shared" si="0"/>
        <v>rtdc.l.rtdc.4016:itc</v>
      </c>
      <c r="G4" s="8">
        <f t="shared" si="1"/>
        <v>42656.051944444444</v>
      </c>
    </row>
    <row r="5" spans="1:7" x14ac:dyDescent="0.25">
      <c r="A5" s="8">
        <v>42656.058298611111</v>
      </c>
      <c r="B5" s="21" t="s">
        <v>423</v>
      </c>
      <c r="C5" s="21" t="s">
        <v>329</v>
      </c>
      <c r="D5" s="21">
        <v>2370000</v>
      </c>
      <c r="E5" s="21" t="s">
        <v>257</v>
      </c>
      <c r="F5" s="21" t="str">
        <f t="shared" si="0"/>
        <v>rtdc.l.rtdc.4030:itc</v>
      </c>
      <c r="G5" s="8">
        <f t="shared" si="1"/>
        <v>42656.058298611111</v>
      </c>
    </row>
    <row r="6" spans="1:7" x14ac:dyDescent="0.25">
      <c r="A6" s="8">
        <v>42656.073009259257</v>
      </c>
      <c r="B6" s="21" t="s">
        <v>201</v>
      </c>
      <c r="C6" s="21" t="s">
        <v>350</v>
      </c>
      <c r="D6" s="21">
        <v>2350000</v>
      </c>
      <c r="E6" s="21" t="s">
        <v>228</v>
      </c>
      <c r="F6" s="21" t="str">
        <f t="shared" si="0"/>
        <v>rtdc.l.rtdc.4007:itc</v>
      </c>
      <c r="G6" s="8">
        <f t="shared" si="1"/>
        <v>42656.073009259257</v>
      </c>
    </row>
    <row r="7" spans="1:7" x14ac:dyDescent="0.25">
      <c r="A7" s="8">
        <v>42656.1016087963</v>
      </c>
      <c r="B7" s="21" t="s">
        <v>238</v>
      </c>
      <c r="C7" s="21" t="s">
        <v>353</v>
      </c>
      <c r="D7" s="21">
        <v>140000</v>
      </c>
      <c r="E7" s="21" t="s">
        <v>202</v>
      </c>
      <c r="F7" s="21" t="str">
        <f t="shared" si="0"/>
        <v>rtdc.l.rtdc.4053:itc</v>
      </c>
      <c r="G7" s="8">
        <f t="shared" si="1"/>
        <v>42656.1016087963</v>
      </c>
    </row>
    <row r="8" spans="1:7" x14ac:dyDescent="0.25">
      <c r="A8" s="8">
        <v>42656.120798611111</v>
      </c>
      <c r="B8" s="21" t="s">
        <v>394</v>
      </c>
      <c r="C8" s="21" t="s">
        <v>424</v>
      </c>
      <c r="D8" s="21">
        <v>2010000</v>
      </c>
      <c r="E8" s="21" t="s">
        <v>251</v>
      </c>
      <c r="F8" s="21" t="str">
        <f t="shared" si="0"/>
        <v>rtdc.l.rtdc.4001:itc</v>
      </c>
      <c r="G8" s="8">
        <f t="shared" si="1"/>
        <v>42656.120798611111</v>
      </c>
    </row>
    <row r="9" spans="1:7" ht="15.75" thickBot="1" x14ac:dyDescent="0.3">
      <c r="A9" s="25">
        <v>42656.122175925928</v>
      </c>
      <c r="B9" s="21" t="s">
        <v>394</v>
      </c>
      <c r="C9" s="21" t="s">
        <v>424</v>
      </c>
      <c r="D9" s="21">
        <v>2010000</v>
      </c>
      <c r="E9" s="21" t="s">
        <v>251</v>
      </c>
      <c r="F9" s="21" t="str">
        <f t="shared" si="0"/>
        <v>rtdc.l.rtdc.4001:itc</v>
      </c>
      <c r="G9" s="8">
        <f t="shared" si="1"/>
        <v>42656.122175925928</v>
      </c>
    </row>
    <row r="10" spans="1:7" x14ac:dyDescent="0.25">
      <c r="A10" s="8">
        <v>42656.132650462961</v>
      </c>
      <c r="B10" s="21" t="s">
        <v>218</v>
      </c>
      <c r="C10" s="21" t="s">
        <v>376</v>
      </c>
      <c r="D10" s="21">
        <v>2010000</v>
      </c>
      <c r="E10" s="21" t="s">
        <v>251</v>
      </c>
      <c r="F10" s="21" t="str">
        <f t="shared" si="0"/>
        <v>rtdc.l.rtdc.4038:itc</v>
      </c>
      <c r="G10" s="8">
        <f t="shared" si="1"/>
        <v>42656.132650462961</v>
      </c>
    </row>
    <row r="11" spans="1:7" x14ac:dyDescent="0.25">
      <c r="A11" s="8">
        <v>42656.143807870372</v>
      </c>
      <c r="B11" s="21" t="s">
        <v>396</v>
      </c>
      <c r="C11" s="21" t="s">
        <v>425</v>
      </c>
      <c r="D11" s="21">
        <v>1090000</v>
      </c>
      <c r="E11" s="21" t="s">
        <v>229</v>
      </c>
      <c r="F11" s="21" t="str">
        <f t="shared" si="0"/>
        <v>rtdc.l.rtdc.4041:itc</v>
      </c>
      <c r="G11" s="8">
        <f t="shared" si="1"/>
        <v>42656.143807870372</v>
      </c>
    </row>
    <row r="12" spans="1:7" x14ac:dyDescent="0.25">
      <c r="A12" s="8">
        <v>42656.155173611114</v>
      </c>
      <c r="B12" s="21" t="s">
        <v>406</v>
      </c>
      <c r="C12" s="21" t="s">
        <v>426</v>
      </c>
      <c r="D12" s="21">
        <v>1090000</v>
      </c>
      <c r="E12" s="21" t="s">
        <v>229</v>
      </c>
      <c r="F12" s="21" t="str">
        <f t="shared" si="0"/>
        <v>rtdc.l.rtdc.4025:itc</v>
      </c>
      <c r="G12" s="8">
        <f t="shared" si="1"/>
        <v>42656.155173611114</v>
      </c>
    </row>
    <row r="13" spans="1:7" x14ac:dyDescent="0.25">
      <c r="A13" s="8">
        <v>42656.165555555555</v>
      </c>
      <c r="B13" s="21" t="s">
        <v>217</v>
      </c>
      <c r="C13" s="21" t="s">
        <v>377</v>
      </c>
      <c r="D13" s="21">
        <v>1310000</v>
      </c>
      <c r="E13" s="21" t="s">
        <v>427</v>
      </c>
      <c r="F13" s="21" t="str">
        <f t="shared" si="0"/>
        <v>rtdc.l.rtdc.4013:itc</v>
      </c>
      <c r="G13" s="8">
        <f t="shared" si="1"/>
        <v>42656.165555555555</v>
      </c>
    </row>
    <row r="14" spans="1:7" x14ac:dyDescent="0.25">
      <c r="A14" s="8">
        <v>42656.171620370369</v>
      </c>
      <c r="B14" s="21" t="s">
        <v>363</v>
      </c>
      <c r="C14" s="21" t="s">
        <v>428</v>
      </c>
      <c r="D14" s="21">
        <v>1760000</v>
      </c>
      <c r="E14" s="21" t="s">
        <v>252</v>
      </c>
      <c r="F14" s="21" t="str">
        <f t="shared" si="0"/>
        <v>rtdc.l.rtdc.4017:itc</v>
      </c>
      <c r="G14" s="8">
        <f t="shared" si="1"/>
        <v>42656.171620370369</v>
      </c>
    </row>
    <row r="15" spans="1:7" x14ac:dyDescent="0.25">
      <c r="A15" s="8">
        <v>42656.174571759257</v>
      </c>
      <c r="B15" s="21" t="s">
        <v>394</v>
      </c>
      <c r="C15" s="21" t="s">
        <v>429</v>
      </c>
      <c r="D15" s="21">
        <v>2010000</v>
      </c>
      <c r="E15" s="21" t="s">
        <v>251</v>
      </c>
      <c r="F15" s="21" t="str">
        <f t="shared" si="0"/>
        <v>rtdc.l.rtdc.4001:itc</v>
      </c>
      <c r="G15" s="8">
        <f t="shared" si="1"/>
        <v>42656.174571759257</v>
      </c>
    </row>
    <row r="16" spans="1:7" x14ac:dyDescent="0.25">
      <c r="A16" s="8">
        <v>42656.175555555557</v>
      </c>
      <c r="B16" s="21" t="s">
        <v>394</v>
      </c>
      <c r="C16" s="21" t="s">
        <v>429</v>
      </c>
      <c r="D16" s="21">
        <v>2010000</v>
      </c>
      <c r="E16" s="21" t="s">
        <v>251</v>
      </c>
      <c r="F16" s="21" t="str">
        <f t="shared" si="0"/>
        <v>rtdc.l.rtdc.4001:itc</v>
      </c>
      <c r="G16" s="8">
        <f t="shared" si="1"/>
        <v>42656.175555555557</v>
      </c>
    </row>
    <row r="17" spans="1:7" x14ac:dyDescent="0.25">
      <c r="A17" s="8">
        <v>42656.176666666666</v>
      </c>
      <c r="B17" s="21" t="s">
        <v>200</v>
      </c>
      <c r="C17" s="21" t="s">
        <v>430</v>
      </c>
      <c r="D17" s="21">
        <v>1310000</v>
      </c>
      <c r="E17" s="21" t="s">
        <v>427</v>
      </c>
      <c r="F17" s="21" t="str">
        <f t="shared" si="0"/>
        <v>rtdc.l.rtdc.4044:itc</v>
      </c>
      <c r="G17" s="8">
        <f t="shared" si="1"/>
        <v>42656.176666666666</v>
      </c>
    </row>
    <row r="18" spans="1:7" x14ac:dyDescent="0.25">
      <c r="A18" s="8">
        <v>42656.182210648149</v>
      </c>
      <c r="B18" s="21" t="s">
        <v>188</v>
      </c>
      <c r="C18" s="21" t="s">
        <v>431</v>
      </c>
      <c r="D18" s="21">
        <v>1760000</v>
      </c>
      <c r="E18" s="21" t="s">
        <v>252</v>
      </c>
      <c r="F18" s="21" t="str">
        <f t="shared" si="0"/>
        <v>rtdc.l.rtdc.4018:itc</v>
      </c>
      <c r="G18" s="8">
        <f t="shared" si="1"/>
        <v>42656.182210648149</v>
      </c>
    </row>
    <row r="19" spans="1:7" x14ac:dyDescent="0.25">
      <c r="A19" s="8">
        <v>42656.183622685188</v>
      </c>
      <c r="B19" s="21" t="s">
        <v>197</v>
      </c>
      <c r="C19" s="21" t="s">
        <v>432</v>
      </c>
      <c r="D19" s="21">
        <v>900000</v>
      </c>
      <c r="E19" s="21" t="s">
        <v>255</v>
      </c>
      <c r="F19" s="21" t="str">
        <f t="shared" si="0"/>
        <v>rtdc.l.rtdc.4004:itc</v>
      </c>
      <c r="G19" s="8">
        <f t="shared" si="1"/>
        <v>42656.183622685188</v>
      </c>
    </row>
    <row r="20" spans="1:7" x14ac:dyDescent="0.25">
      <c r="A20" s="8">
        <v>42656.193738425929</v>
      </c>
      <c r="B20" s="21" t="s">
        <v>396</v>
      </c>
      <c r="C20" s="21" t="s">
        <v>433</v>
      </c>
      <c r="D20" s="21">
        <v>1090000</v>
      </c>
      <c r="E20" s="21" t="s">
        <v>229</v>
      </c>
      <c r="F20" s="21" t="str">
        <f t="shared" si="0"/>
        <v>rtdc.l.rtdc.4041:itc</v>
      </c>
      <c r="G20" s="8">
        <f t="shared" si="1"/>
        <v>42656.193738425929</v>
      </c>
    </row>
    <row r="21" spans="1:7" x14ac:dyDescent="0.25">
      <c r="A21" s="8">
        <v>42656.197164351855</v>
      </c>
      <c r="B21" s="21" t="s">
        <v>196</v>
      </c>
      <c r="C21" s="21" t="s">
        <v>434</v>
      </c>
      <c r="D21" s="21">
        <v>900000</v>
      </c>
      <c r="E21" s="21" t="s">
        <v>255</v>
      </c>
      <c r="F21" s="21" t="str">
        <f t="shared" si="0"/>
        <v>rtdc.l.rtdc.4003:itc</v>
      </c>
      <c r="G21" s="8">
        <f t="shared" si="1"/>
        <v>42656.197164351855</v>
      </c>
    </row>
    <row r="22" spans="1:7" x14ac:dyDescent="0.25">
      <c r="A22" s="27">
        <v>42656.205601851849</v>
      </c>
      <c r="B22" s="21" t="s">
        <v>368</v>
      </c>
      <c r="C22" s="21" t="s">
        <v>435</v>
      </c>
      <c r="D22" s="21">
        <v>1830000</v>
      </c>
      <c r="E22" s="21" t="s">
        <v>436</v>
      </c>
      <c r="F22" s="21" t="str">
        <f t="shared" si="0"/>
        <v>rtdc.l.rtdc.4040:itc</v>
      </c>
      <c r="G22" s="8">
        <f t="shared" si="1"/>
        <v>42656.205601851849</v>
      </c>
    </row>
    <row r="23" spans="1:7" x14ac:dyDescent="0.25">
      <c r="A23" s="8">
        <v>42656.205995370372</v>
      </c>
      <c r="B23" s="21" t="s">
        <v>218</v>
      </c>
      <c r="C23" s="21" t="s">
        <v>437</v>
      </c>
      <c r="D23" s="21">
        <v>1110000</v>
      </c>
      <c r="E23" s="21" t="s">
        <v>253</v>
      </c>
      <c r="F23" s="21" t="str">
        <f t="shared" si="0"/>
        <v>rtdc.l.rtdc.4038:itc</v>
      </c>
      <c r="G23" s="8">
        <f t="shared" si="1"/>
        <v>42656.205995370372</v>
      </c>
    </row>
    <row r="24" spans="1:7" x14ac:dyDescent="0.25">
      <c r="A24" s="8">
        <v>42656.214699074073</v>
      </c>
      <c r="B24" s="21" t="s">
        <v>225</v>
      </c>
      <c r="C24" s="21" t="s">
        <v>438</v>
      </c>
      <c r="D24" s="21">
        <v>1830000</v>
      </c>
      <c r="E24" s="21" t="s">
        <v>436</v>
      </c>
      <c r="F24" s="21" t="str">
        <f t="shared" si="0"/>
        <v>rtdc.l.rtdc.4039:itc</v>
      </c>
      <c r="G24" s="8">
        <f t="shared" si="1"/>
        <v>42656.214699074073</v>
      </c>
    </row>
    <row r="25" spans="1:7" x14ac:dyDescent="0.25">
      <c r="A25" s="8">
        <v>42656.214837962965</v>
      </c>
      <c r="B25" s="21" t="s">
        <v>217</v>
      </c>
      <c r="C25" s="21" t="s">
        <v>439</v>
      </c>
      <c r="D25" s="21">
        <v>1310000</v>
      </c>
      <c r="E25" s="21" t="s">
        <v>427</v>
      </c>
      <c r="F25" s="21" t="str">
        <f t="shared" si="0"/>
        <v>rtdc.l.rtdc.4013:itc</v>
      </c>
      <c r="G25" s="8">
        <f t="shared" si="1"/>
        <v>42656.214837962965</v>
      </c>
    </row>
    <row r="26" spans="1:7" x14ac:dyDescent="0.25">
      <c r="A26" s="8">
        <v>42656.217627314814</v>
      </c>
      <c r="B26" s="21" t="s">
        <v>391</v>
      </c>
      <c r="C26" s="21" t="s">
        <v>440</v>
      </c>
      <c r="D26" s="21">
        <v>2010000</v>
      </c>
      <c r="E26" s="21" t="s">
        <v>251</v>
      </c>
      <c r="F26" s="21" t="str">
        <f t="shared" si="0"/>
        <v>rtdc.l.rtdc.4002:itc</v>
      </c>
      <c r="G26" s="8">
        <f t="shared" si="1"/>
        <v>42656.217627314814</v>
      </c>
    </row>
    <row r="27" spans="1:7" x14ac:dyDescent="0.25">
      <c r="A27" s="8">
        <v>42656.218495370369</v>
      </c>
      <c r="B27" s="21" t="s">
        <v>391</v>
      </c>
      <c r="C27" s="21" t="s">
        <v>440</v>
      </c>
      <c r="D27" s="21">
        <v>2010000</v>
      </c>
      <c r="E27" s="21" t="s">
        <v>251</v>
      </c>
      <c r="F27" s="21" t="str">
        <f t="shared" si="0"/>
        <v>rtdc.l.rtdc.4002:itc</v>
      </c>
      <c r="G27" s="8">
        <f t="shared" si="1"/>
        <v>42656.218495370369</v>
      </c>
    </row>
    <row r="28" spans="1:7" x14ac:dyDescent="0.25">
      <c r="A28" s="8">
        <v>42656.224374999998</v>
      </c>
      <c r="B28" s="21" t="s">
        <v>363</v>
      </c>
      <c r="C28" s="21" t="s">
        <v>441</v>
      </c>
      <c r="D28" s="21">
        <v>1760000</v>
      </c>
      <c r="E28" s="21" t="s">
        <v>252</v>
      </c>
      <c r="F28" s="21" t="str">
        <f t="shared" si="0"/>
        <v>rtdc.l.rtdc.4017:itc</v>
      </c>
      <c r="G28" s="8">
        <f t="shared" si="1"/>
        <v>42656.224374999998</v>
      </c>
    </row>
    <row r="29" spans="1:7" x14ac:dyDescent="0.25">
      <c r="A29" s="8">
        <v>42656.226435185185</v>
      </c>
      <c r="B29" s="21" t="s">
        <v>406</v>
      </c>
      <c r="C29" s="21" t="s">
        <v>442</v>
      </c>
      <c r="D29" s="21">
        <v>1360000</v>
      </c>
      <c r="E29" s="21" t="s">
        <v>443</v>
      </c>
      <c r="F29" s="21" t="str">
        <f t="shared" si="0"/>
        <v>rtdc.l.rtdc.4025:itc</v>
      </c>
      <c r="G29" s="8">
        <f t="shared" si="1"/>
        <v>42656.226435185185</v>
      </c>
    </row>
    <row r="30" spans="1:7" x14ac:dyDescent="0.25">
      <c r="A30" s="8">
        <v>42656.227303240739</v>
      </c>
      <c r="B30" s="21" t="s">
        <v>368</v>
      </c>
      <c r="C30" s="21" t="s">
        <v>444</v>
      </c>
      <c r="D30" s="21">
        <v>1830000</v>
      </c>
      <c r="E30" s="21" t="s">
        <v>436</v>
      </c>
      <c r="F30" s="21" t="str">
        <f t="shared" si="0"/>
        <v>rtdc.l.rtdc.4040:itc</v>
      </c>
      <c r="G30" s="8">
        <f t="shared" si="1"/>
        <v>42656.227303240739</v>
      </c>
    </row>
    <row r="31" spans="1:7" x14ac:dyDescent="0.25">
      <c r="A31" s="8">
        <v>42656.232847222222</v>
      </c>
      <c r="B31" s="21" t="s">
        <v>379</v>
      </c>
      <c r="C31" s="21" t="s">
        <v>380</v>
      </c>
      <c r="D31" s="21">
        <v>1090000</v>
      </c>
      <c r="E31" s="21" t="s">
        <v>229</v>
      </c>
      <c r="F31" s="21" t="str">
        <f t="shared" si="0"/>
        <v>rtdc.l.rtdc.4042:itc</v>
      </c>
      <c r="G31" s="8">
        <f t="shared" si="1"/>
        <v>42656.232847222222</v>
      </c>
    </row>
    <row r="32" spans="1:7" x14ac:dyDescent="0.25">
      <c r="A32" s="8">
        <v>42656.236261574071</v>
      </c>
      <c r="B32" s="21" t="s">
        <v>197</v>
      </c>
      <c r="C32" s="21" t="s">
        <v>445</v>
      </c>
      <c r="D32" s="21">
        <v>900000</v>
      </c>
      <c r="E32" s="21" t="s">
        <v>255</v>
      </c>
      <c r="F32" s="21" t="str">
        <f t="shared" si="0"/>
        <v>rtdc.l.rtdc.4004:itc</v>
      </c>
      <c r="G32" s="8">
        <f t="shared" si="1"/>
        <v>42656.236261574071</v>
      </c>
    </row>
    <row r="33" spans="1:7" x14ac:dyDescent="0.25">
      <c r="A33" s="8">
        <v>42656.242638888885</v>
      </c>
      <c r="B33" s="21" t="s">
        <v>230</v>
      </c>
      <c r="C33" s="21" t="s">
        <v>446</v>
      </c>
      <c r="D33" s="21">
        <v>1110000</v>
      </c>
      <c r="E33" s="21" t="s">
        <v>253</v>
      </c>
      <c r="F33" s="21" t="str">
        <f t="shared" si="0"/>
        <v>rtdc.l.rtdc.4037:itc</v>
      </c>
      <c r="G33" s="8">
        <f t="shared" si="1"/>
        <v>42656.242638888885</v>
      </c>
    </row>
    <row r="34" spans="1:7" x14ac:dyDescent="0.25">
      <c r="A34" s="8">
        <v>42656.248726851853</v>
      </c>
      <c r="B34" s="21" t="s">
        <v>200</v>
      </c>
      <c r="C34" s="21" t="s">
        <v>378</v>
      </c>
      <c r="D34" s="21">
        <v>1310000</v>
      </c>
      <c r="E34" s="21" t="s">
        <v>427</v>
      </c>
      <c r="F34" s="21" t="str">
        <f t="shared" si="0"/>
        <v>rtdc.l.rtdc.4044:itc</v>
      </c>
      <c r="G34" s="8">
        <f t="shared" si="1"/>
        <v>42656.248726851853</v>
      </c>
    </row>
    <row r="35" spans="1:7" x14ac:dyDescent="0.25">
      <c r="A35" s="8">
        <v>42656.250868055555</v>
      </c>
      <c r="B35" s="21" t="s">
        <v>235</v>
      </c>
      <c r="C35" s="21" t="s">
        <v>447</v>
      </c>
      <c r="D35" s="21">
        <v>1100000</v>
      </c>
      <c r="E35" s="21" t="s">
        <v>254</v>
      </c>
      <c r="F35" s="21" t="str">
        <f t="shared" si="0"/>
        <v>rtdc.l.rtdc.4032:itc</v>
      </c>
      <c r="G35" s="8">
        <f t="shared" si="1"/>
        <v>42656.250868055555</v>
      </c>
    </row>
    <row r="36" spans="1:7" x14ac:dyDescent="0.25">
      <c r="A36" s="8">
        <v>42656.255740740744</v>
      </c>
      <c r="B36" s="21" t="s">
        <v>225</v>
      </c>
      <c r="C36" s="21" t="s">
        <v>448</v>
      </c>
      <c r="D36" s="21">
        <v>1830000</v>
      </c>
      <c r="E36" s="21" t="s">
        <v>436</v>
      </c>
      <c r="F36" s="21" t="str">
        <f t="shared" si="0"/>
        <v>rtdc.l.rtdc.4039:itc</v>
      </c>
      <c r="G36" s="8">
        <f t="shared" si="1"/>
        <v>42656.255740740744</v>
      </c>
    </row>
    <row r="37" spans="1:7" x14ac:dyDescent="0.25">
      <c r="A37" s="8">
        <v>42656.256481481483</v>
      </c>
      <c r="B37" s="21" t="s">
        <v>250</v>
      </c>
      <c r="C37" s="21" t="s">
        <v>381</v>
      </c>
      <c r="D37" s="21">
        <v>1360000</v>
      </c>
      <c r="E37" s="21" t="s">
        <v>443</v>
      </c>
      <c r="F37" s="21" t="str">
        <f t="shared" si="0"/>
        <v>rtdc.l.rtdc.4026:itc</v>
      </c>
      <c r="G37" s="8">
        <f t="shared" si="1"/>
        <v>42656.256481481483</v>
      </c>
    </row>
    <row r="38" spans="1:7" x14ac:dyDescent="0.25">
      <c r="A38" s="8">
        <v>42656.256516203706</v>
      </c>
      <c r="B38" s="21" t="s">
        <v>394</v>
      </c>
      <c r="C38" s="21" t="s">
        <v>449</v>
      </c>
      <c r="D38" s="21">
        <v>2010000</v>
      </c>
      <c r="E38" s="21" t="s">
        <v>251</v>
      </c>
      <c r="F38" s="21" t="str">
        <f t="shared" si="0"/>
        <v>rtdc.l.rtdc.4001:itc</v>
      </c>
      <c r="G38" s="8">
        <f t="shared" si="1"/>
        <v>42656.256516203706</v>
      </c>
    </row>
    <row r="39" spans="1:7" x14ac:dyDescent="0.25">
      <c r="A39" s="8">
        <v>42656.257870370369</v>
      </c>
      <c r="B39" s="21" t="s">
        <v>188</v>
      </c>
      <c r="C39" s="21" t="s">
        <v>450</v>
      </c>
      <c r="D39" s="21">
        <v>1760000</v>
      </c>
      <c r="E39" s="21" t="s">
        <v>252</v>
      </c>
      <c r="F39" s="21" t="str">
        <f t="shared" si="0"/>
        <v>rtdc.l.rtdc.4018:itc</v>
      </c>
      <c r="G39" s="8">
        <f t="shared" si="1"/>
        <v>42656.257870370369</v>
      </c>
    </row>
    <row r="40" spans="1:7" x14ac:dyDescent="0.25">
      <c r="A40" s="8">
        <v>42656.26085648148</v>
      </c>
      <c r="B40" s="26" t="s">
        <v>237</v>
      </c>
      <c r="C40" s="21" t="s">
        <v>451</v>
      </c>
      <c r="D40" s="21">
        <v>1100000</v>
      </c>
      <c r="E40" s="21" t="s">
        <v>254</v>
      </c>
      <c r="F40" s="21" t="str">
        <f t="shared" si="0"/>
        <v>rtdc.l.rtdc.4031:itc</v>
      </c>
      <c r="G40" s="8">
        <f t="shared" si="1"/>
        <v>42656.26085648148</v>
      </c>
    </row>
    <row r="41" spans="1:7" x14ac:dyDescent="0.25">
      <c r="A41" s="8">
        <v>42656.268506944441</v>
      </c>
      <c r="B41" s="21" t="s">
        <v>196</v>
      </c>
      <c r="C41" s="21" t="s">
        <v>452</v>
      </c>
      <c r="D41" s="21">
        <v>900000</v>
      </c>
      <c r="E41" s="21" t="s">
        <v>255</v>
      </c>
      <c r="F41" s="21" t="str">
        <f t="shared" si="0"/>
        <v>rtdc.l.rtdc.4003:itc</v>
      </c>
      <c r="G41" s="8">
        <f t="shared" si="1"/>
        <v>42656.268506944441</v>
      </c>
    </row>
    <row r="42" spans="1:7" x14ac:dyDescent="0.25">
      <c r="A42" s="8">
        <v>42656.270231481481</v>
      </c>
      <c r="B42" s="21" t="s">
        <v>368</v>
      </c>
      <c r="C42" s="21" t="s">
        <v>453</v>
      </c>
      <c r="D42" s="21">
        <v>1830000</v>
      </c>
      <c r="E42" s="21" t="s">
        <v>436</v>
      </c>
      <c r="F42" s="21" t="str">
        <f t="shared" si="0"/>
        <v>rtdc.l.rtdc.4040:itc</v>
      </c>
      <c r="G42" s="8">
        <f t="shared" si="1"/>
        <v>42656.270231481481</v>
      </c>
    </row>
    <row r="43" spans="1:7" x14ac:dyDescent="0.25">
      <c r="A43" s="8">
        <v>42656.275567129633</v>
      </c>
      <c r="B43" s="21" t="s">
        <v>235</v>
      </c>
      <c r="C43" s="21" t="s">
        <v>454</v>
      </c>
      <c r="D43" s="21">
        <v>1100000</v>
      </c>
      <c r="E43" s="21" t="s">
        <v>254</v>
      </c>
      <c r="F43" s="21" t="str">
        <f t="shared" si="0"/>
        <v>rtdc.l.rtdc.4032:itc</v>
      </c>
      <c r="G43" s="8">
        <f t="shared" si="1"/>
        <v>42656.275567129633</v>
      </c>
    </row>
    <row r="44" spans="1:7" x14ac:dyDescent="0.25">
      <c r="A44" s="8">
        <v>42656.27716435185</v>
      </c>
      <c r="B44" s="21" t="s">
        <v>396</v>
      </c>
      <c r="C44" s="21" t="s">
        <v>455</v>
      </c>
      <c r="D44" s="21">
        <v>1090000</v>
      </c>
      <c r="E44" s="21" t="s">
        <v>229</v>
      </c>
      <c r="F44" s="21" t="str">
        <f t="shared" si="0"/>
        <v>rtdc.l.rtdc.4041:itc</v>
      </c>
      <c r="G44" s="8">
        <f t="shared" si="1"/>
        <v>42656.27716435185</v>
      </c>
    </row>
    <row r="45" spans="1:7" x14ac:dyDescent="0.25">
      <c r="A45" s="8">
        <v>42656.279826388891</v>
      </c>
      <c r="B45" s="21" t="s">
        <v>218</v>
      </c>
      <c r="C45" s="21" t="s">
        <v>456</v>
      </c>
      <c r="D45" s="21">
        <v>1110000</v>
      </c>
      <c r="E45" s="21" t="s">
        <v>253</v>
      </c>
      <c r="F45" s="21" t="str">
        <f t="shared" si="0"/>
        <v>rtdc.l.rtdc.4038:itc</v>
      </c>
      <c r="G45" s="8">
        <f t="shared" si="1"/>
        <v>42656.279826388891</v>
      </c>
    </row>
    <row r="46" spans="1:7" x14ac:dyDescent="0.25">
      <c r="A46" s="8">
        <v>42656.286678240744</v>
      </c>
      <c r="B46" s="21" t="s">
        <v>222</v>
      </c>
      <c r="C46" s="21" t="s">
        <v>457</v>
      </c>
      <c r="D46" s="21">
        <v>1310000</v>
      </c>
      <c r="E46" s="21" t="s">
        <v>427</v>
      </c>
      <c r="F46" s="21" t="str">
        <f t="shared" si="0"/>
        <v>rtdc.l.rtdc.4043:itc</v>
      </c>
      <c r="G46" s="8">
        <f t="shared" si="1"/>
        <v>42656.286678240744</v>
      </c>
    </row>
    <row r="47" spans="1:7" x14ac:dyDescent="0.25">
      <c r="A47" s="8">
        <v>42656.287233796298</v>
      </c>
      <c r="B47" s="21" t="s">
        <v>391</v>
      </c>
      <c r="C47" s="21" t="s">
        <v>458</v>
      </c>
      <c r="D47" s="21">
        <v>2010000</v>
      </c>
      <c r="E47" s="21" t="s">
        <v>251</v>
      </c>
      <c r="F47" s="21" t="str">
        <f t="shared" si="0"/>
        <v>rtdc.l.rtdc.4002:itc</v>
      </c>
      <c r="G47" s="8">
        <f t="shared" si="1"/>
        <v>42656.287233796298</v>
      </c>
    </row>
    <row r="48" spans="1:7" x14ac:dyDescent="0.25">
      <c r="A48" s="8">
        <v>42656.291932870372</v>
      </c>
      <c r="B48" s="21" t="s">
        <v>237</v>
      </c>
      <c r="C48" s="21" t="s">
        <v>382</v>
      </c>
      <c r="D48" s="21">
        <v>1100000</v>
      </c>
      <c r="E48" s="21" t="s">
        <v>254</v>
      </c>
      <c r="F48" s="21" t="str">
        <f t="shared" si="0"/>
        <v>rtdc.l.rtdc.4031:itc</v>
      </c>
      <c r="G48" s="8">
        <f t="shared" si="1"/>
        <v>42656.291932870372</v>
      </c>
    </row>
    <row r="49" spans="1:7" x14ac:dyDescent="0.25">
      <c r="A49" s="8">
        <v>42656.293842592589</v>
      </c>
      <c r="B49" s="21" t="s">
        <v>363</v>
      </c>
      <c r="C49" s="21" t="s">
        <v>450</v>
      </c>
      <c r="D49" s="21">
        <v>1760000</v>
      </c>
      <c r="E49" s="21" t="s">
        <v>252</v>
      </c>
      <c r="F49" s="21" t="str">
        <f t="shared" si="0"/>
        <v>rtdc.l.rtdc.4017:itc</v>
      </c>
      <c r="G49" s="8">
        <f t="shared" si="1"/>
        <v>42656.293842592589</v>
      </c>
    </row>
    <row r="50" spans="1:7" x14ac:dyDescent="0.25">
      <c r="A50" s="8">
        <v>42656.29515046296</v>
      </c>
      <c r="B50" s="21" t="s">
        <v>363</v>
      </c>
      <c r="C50" s="21" t="s">
        <v>459</v>
      </c>
      <c r="D50" s="21">
        <v>1760000</v>
      </c>
      <c r="E50" s="21" t="s">
        <v>252</v>
      </c>
      <c r="F50" s="21" t="str">
        <f t="shared" si="0"/>
        <v>rtdc.l.rtdc.4017:itc</v>
      </c>
      <c r="G50" s="8">
        <f t="shared" si="1"/>
        <v>42656.29515046296</v>
      </c>
    </row>
    <row r="51" spans="1:7" x14ac:dyDescent="0.25">
      <c r="A51" s="8">
        <v>42656.296701388892</v>
      </c>
      <c r="B51" s="21" t="s">
        <v>406</v>
      </c>
      <c r="C51" s="21" t="s">
        <v>460</v>
      </c>
      <c r="D51" s="21">
        <v>1360000</v>
      </c>
      <c r="E51" s="21" t="s">
        <v>443</v>
      </c>
      <c r="F51" s="21" t="str">
        <f t="shared" si="0"/>
        <v>rtdc.l.rtdc.4025:itc</v>
      </c>
      <c r="G51" s="8">
        <f t="shared" si="1"/>
        <v>42656.296701388892</v>
      </c>
    </row>
    <row r="52" spans="1:7" x14ac:dyDescent="0.25">
      <c r="A52" s="8">
        <v>42656.297488425924</v>
      </c>
      <c r="B52" s="21" t="s">
        <v>225</v>
      </c>
      <c r="C52" s="21" t="s">
        <v>383</v>
      </c>
      <c r="D52" s="21">
        <v>1830000</v>
      </c>
      <c r="E52" s="21" t="s">
        <v>436</v>
      </c>
      <c r="F52" s="21" t="str">
        <f t="shared" si="0"/>
        <v>rtdc.l.rtdc.4039:itc</v>
      </c>
      <c r="G52" s="8">
        <f t="shared" si="1"/>
        <v>42656.297488425924</v>
      </c>
    </row>
    <row r="53" spans="1:7" x14ac:dyDescent="0.25">
      <c r="A53" s="8">
        <v>42656.308923611112</v>
      </c>
      <c r="B53" s="21" t="s">
        <v>197</v>
      </c>
      <c r="C53" s="21" t="s">
        <v>461</v>
      </c>
      <c r="D53" s="21">
        <v>900000</v>
      </c>
      <c r="E53" s="21" t="s">
        <v>255</v>
      </c>
      <c r="F53" s="21" t="str">
        <f t="shared" si="0"/>
        <v>rtdc.l.rtdc.4004:itc</v>
      </c>
      <c r="G53" s="8">
        <f t="shared" si="1"/>
        <v>42656.308923611112</v>
      </c>
    </row>
    <row r="54" spans="1:7" x14ac:dyDescent="0.25">
      <c r="A54" s="8">
        <v>42656.31009259259</v>
      </c>
      <c r="B54" s="21" t="s">
        <v>379</v>
      </c>
      <c r="C54" s="21" t="s">
        <v>385</v>
      </c>
      <c r="D54" s="21">
        <v>1090000</v>
      </c>
      <c r="E54" s="21" t="s">
        <v>229</v>
      </c>
      <c r="F54" s="21" t="str">
        <f t="shared" si="0"/>
        <v>rtdc.l.rtdc.4042:itc</v>
      </c>
      <c r="G54" s="8">
        <f t="shared" si="1"/>
        <v>42656.31009259259</v>
      </c>
    </row>
    <row r="55" spans="1:7" x14ac:dyDescent="0.25">
      <c r="A55" s="8">
        <v>42656.312731481485</v>
      </c>
      <c r="B55" s="21" t="s">
        <v>368</v>
      </c>
      <c r="C55" s="21" t="s">
        <v>462</v>
      </c>
      <c r="D55" s="21">
        <v>1830000</v>
      </c>
      <c r="E55" s="21" t="s">
        <v>436</v>
      </c>
      <c r="F55" s="21" t="str">
        <f t="shared" si="0"/>
        <v>rtdc.l.rtdc.4040:itc</v>
      </c>
      <c r="G55" s="8">
        <f t="shared" si="1"/>
        <v>42656.312731481485</v>
      </c>
    </row>
    <row r="56" spans="1:7" x14ac:dyDescent="0.25">
      <c r="A56" s="8">
        <v>42656.31659722222</v>
      </c>
      <c r="B56" s="21" t="s">
        <v>230</v>
      </c>
      <c r="C56" s="21" t="s">
        <v>463</v>
      </c>
      <c r="D56" s="21">
        <v>1110000</v>
      </c>
      <c r="E56" s="21" t="s">
        <v>253</v>
      </c>
      <c r="F56" s="21" t="str">
        <f t="shared" si="0"/>
        <v>rtdc.l.rtdc.4037:itc</v>
      </c>
      <c r="G56" s="8">
        <f t="shared" si="1"/>
        <v>42656.31659722222</v>
      </c>
    </row>
    <row r="57" spans="1:7" x14ac:dyDescent="0.25">
      <c r="A57" s="8">
        <v>42656.31863425926</v>
      </c>
      <c r="B57" s="21" t="s">
        <v>235</v>
      </c>
      <c r="C57" s="21" t="s">
        <v>384</v>
      </c>
      <c r="D57" s="21">
        <v>1100000</v>
      </c>
      <c r="E57" s="21" t="s">
        <v>254</v>
      </c>
      <c r="F57" s="21" t="str">
        <f t="shared" si="0"/>
        <v>rtdc.l.rtdc.4032:itc</v>
      </c>
      <c r="G57" s="8">
        <f t="shared" si="1"/>
        <v>42656.31863425926</v>
      </c>
    </row>
    <row r="58" spans="1:7" x14ac:dyDescent="0.25">
      <c r="A58" s="8">
        <v>42656.320891203701</v>
      </c>
      <c r="B58" s="21" t="s">
        <v>200</v>
      </c>
      <c r="C58" s="21" t="s">
        <v>464</v>
      </c>
      <c r="D58" s="21">
        <v>1310000</v>
      </c>
      <c r="E58" s="21" t="s">
        <v>427</v>
      </c>
      <c r="F58" s="21" t="str">
        <f t="shared" si="0"/>
        <v>rtdc.l.rtdc.4044:itc</v>
      </c>
      <c r="G58" s="8">
        <f t="shared" si="1"/>
        <v>42656.320891203701</v>
      </c>
    </row>
    <row r="59" spans="1:7" x14ac:dyDescent="0.25">
      <c r="A59" s="8">
        <v>42656.323229166665</v>
      </c>
      <c r="B59" s="21" t="s">
        <v>394</v>
      </c>
      <c r="C59" s="21" t="s">
        <v>465</v>
      </c>
      <c r="D59" s="21">
        <v>2010000</v>
      </c>
      <c r="E59" s="21" t="s">
        <v>251</v>
      </c>
      <c r="F59" s="21" t="str">
        <f t="shared" si="0"/>
        <v>rtdc.l.rtdc.4001:itc</v>
      </c>
      <c r="G59" s="8">
        <f t="shared" si="1"/>
        <v>42656.323229166665</v>
      </c>
    </row>
    <row r="60" spans="1:7" x14ac:dyDescent="0.25">
      <c r="A60" s="8">
        <v>42656.329479166663</v>
      </c>
      <c r="B60" s="21" t="s">
        <v>250</v>
      </c>
      <c r="C60" s="21" t="s">
        <v>387</v>
      </c>
      <c r="D60" s="21">
        <v>1360000</v>
      </c>
      <c r="E60" s="21" t="s">
        <v>443</v>
      </c>
      <c r="F60" s="21" t="str">
        <f t="shared" si="0"/>
        <v>rtdc.l.rtdc.4026:itc</v>
      </c>
      <c r="G60" s="8">
        <f t="shared" si="1"/>
        <v>42656.329479166663</v>
      </c>
    </row>
    <row r="61" spans="1:7" x14ac:dyDescent="0.25">
      <c r="A61" s="8">
        <v>42656.329629629632</v>
      </c>
      <c r="B61" s="21" t="s">
        <v>188</v>
      </c>
      <c r="C61" s="21" t="s">
        <v>466</v>
      </c>
      <c r="D61" s="21">
        <v>1760000</v>
      </c>
      <c r="E61" s="21" t="s">
        <v>252</v>
      </c>
      <c r="F61" s="21" t="str">
        <f t="shared" si="0"/>
        <v>rtdc.l.rtdc.4018:itc</v>
      </c>
      <c r="G61" s="8">
        <f t="shared" si="1"/>
        <v>42656.329629629632</v>
      </c>
    </row>
    <row r="62" spans="1:7" x14ac:dyDescent="0.25">
      <c r="A62" s="8">
        <v>42656.337650462963</v>
      </c>
      <c r="B62" s="21" t="s">
        <v>237</v>
      </c>
      <c r="C62" s="21" t="s">
        <v>467</v>
      </c>
      <c r="D62" s="21">
        <v>1100000</v>
      </c>
      <c r="E62" s="21" t="s">
        <v>254</v>
      </c>
      <c r="F62" s="21" t="str">
        <f t="shared" si="0"/>
        <v>rtdc.l.rtdc.4031:itc</v>
      </c>
      <c r="G62" s="8">
        <f t="shared" si="1"/>
        <v>42656.337650462963</v>
      </c>
    </row>
    <row r="63" spans="1:7" x14ac:dyDescent="0.25">
      <c r="A63" s="8">
        <v>42656.338472222225</v>
      </c>
      <c r="B63" s="21" t="s">
        <v>225</v>
      </c>
      <c r="C63" s="21" t="s">
        <v>386</v>
      </c>
      <c r="D63" s="21">
        <v>1830000</v>
      </c>
      <c r="E63" s="21" t="s">
        <v>436</v>
      </c>
      <c r="F63" s="21" t="str">
        <f t="shared" si="0"/>
        <v>rtdc.l.rtdc.4039:itc</v>
      </c>
      <c r="G63" s="8">
        <f t="shared" si="1"/>
        <v>42656.338472222225</v>
      </c>
    </row>
    <row r="64" spans="1:7" x14ac:dyDescent="0.25">
      <c r="A64" s="27">
        <v>42656.347094907411</v>
      </c>
      <c r="B64" s="21" t="s">
        <v>219</v>
      </c>
      <c r="C64" s="21" t="s">
        <v>468</v>
      </c>
      <c r="D64" s="21">
        <v>1240000</v>
      </c>
      <c r="E64" s="21" t="s">
        <v>239</v>
      </c>
      <c r="F64" s="21" t="str">
        <f t="shared" si="0"/>
        <v>rtdc.l.rtdc.4014:itc</v>
      </c>
      <c r="G64" s="8">
        <f t="shared" si="1"/>
        <v>42656.347094907411</v>
      </c>
    </row>
    <row r="65" spans="1:7" x14ac:dyDescent="0.25">
      <c r="A65" s="8">
        <v>42656.348263888889</v>
      </c>
      <c r="B65" s="21" t="s">
        <v>396</v>
      </c>
      <c r="C65" s="21" t="s">
        <v>469</v>
      </c>
      <c r="D65" s="21">
        <v>1090000</v>
      </c>
      <c r="E65" s="21" t="s">
        <v>229</v>
      </c>
      <c r="F65" s="21" t="str">
        <f t="shared" si="0"/>
        <v>rtdc.l.rtdc.4041:itc</v>
      </c>
      <c r="G65" s="8">
        <f t="shared" si="1"/>
        <v>42656.348263888889</v>
      </c>
    </row>
    <row r="66" spans="1:7" x14ac:dyDescent="0.25">
      <c r="A66" s="8">
        <v>42656.352418981478</v>
      </c>
      <c r="B66" s="21" t="s">
        <v>218</v>
      </c>
      <c r="C66" s="21" t="s">
        <v>388</v>
      </c>
      <c r="D66" s="21">
        <v>1110000</v>
      </c>
      <c r="E66" s="21" t="s">
        <v>253</v>
      </c>
      <c r="F66" s="21" t="str">
        <f t="shared" ref="F66:F129" si="2">B66</f>
        <v>rtdc.l.rtdc.4038:itc</v>
      </c>
      <c r="G66" s="8">
        <f t="shared" ref="G66:G129" si="3">A66</f>
        <v>42656.352418981478</v>
      </c>
    </row>
    <row r="67" spans="1:7" x14ac:dyDescent="0.25">
      <c r="A67" s="8">
        <v>42656.353518518517</v>
      </c>
      <c r="B67" s="21" t="s">
        <v>368</v>
      </c>
      <c r="C67" s="21" t="s">
        <v>470</v>
      </c>
      <c r="D67" s="21">
        <v>1830000</v>
      </c>
      <c r="E67" s="21" t="s">
        <v>436</v>
      </c>
      <c r="F67" s="21" t="str">
        <f t="shared" si="2"/>
        <v>rtdc.l.rtdc.4040:itc</v>
      </c>
      <c r="G67" s="8">
        <f t="shared" si="3"/>
        <v>42656.353518518517</v>
      </c>
    </row>
    <row r="68" spans="1:7" x14ac:dyDescent="0.25">
      <c r="A68" s="8">
        <v>42656.360474537039</v>
      </c>
      <c r="B68" s="21" t="s">
        <v>235</v>
      </c>
      <c r="C68" s="21" t="s">
        <v>389</v>
      </c>
      <c r="D68" s="21">
        <v>1100000</v>
      </c>
      <c r="E68" s="21" t="s">
        <v>254</v>
      </c>
      <c r="F68" s="21" t="str">
        <f t="shared" si="2"/>
        <v>rtdc.l.rtdc.4032:itc</v>
      </c>
      <c r="G68" s="8">
        <f t="shared" si="3"/>
        <v>42656.360474537039</v>
      </c>
    </row>
    <row r="69" spans="1:7" x14ac:dyDescent="0.25">
      <c r="A69" s="8">
        <v>42656.360717592594</v>
      </c>
      <c r="B69" s="21" t="s">
        <v>222</v>
      </c>
      <c r="C69" s="21" t="s">
        <v>390</v>
      </c>
      <c r="D69" s="21">
        <v>1310000</v>
      </c>
      <c r="E69" s="21" t="s">
        <v>427</v>
      </c>
      <c r="F69" s="21" t="str">
        <f t="shared" si="2"/>
        <v>rtdc.l.rtdc.4043:itc</v>
      </c>
      <c r="G69" s="8">
        <f t="shared" si="3"/>
        <v>42656.360717592594</v>
      </c>
    </row>
    <row r="70" spans="1:7" x14ac:dyDescent="0.25">
      <c r="A70" s="8">
        <v>42656.366249999999</v>
      </c>
      <c r="B70" s="21" t="s">
        <v>391</v>
      </c>
      <c r="C70" s="21" t="s">
        <v>392</v>
      </c>
      <c r="D70" s="21">
        <v>400000</v>
      </c>
      <c r="E70" s="21" t="s">
        <v>471</v>
      </c>
      <c r="F70" s="21" t="str">
        <f t="shared" si="2"/>
        <v>rtdc.l.rtdc.4002:itc</v>
      </c>
      <c r="G70" s="8">
        <f t="shared" si="3"/>
        <v>42656.366249999999</v>
      </c>
    </row>
    <row r="71" spans="1:7" x14ac:dyDescent="0.25">
      <c r="A71" s="8">
        <v>42656.368900462963</v>
      </c>
      <c r="B71" s="21" t="s">
        <v>363</v>
      </c>
      <c r="C71" s="21" t="s">
        <v>472</v>
      </c>
      <c r="D71" s="21">
        <v>1760000</v>
      </c>
      <c r="E71" s="21" t="s">
        <v>252</v>
      </c>
      <c r="F71" s="21" t="str">
        <f t="shared" si="2"/>
        <v>rtdc.l.rtdc.4017:itc</v>
      </c>
      <c r="G71" s="8">
        <f t="shared" si="3"/>
        <v>42656.368900462963</v>
      </c>
    </row>
    <row r="72" spans="1:7" x14ac:dyDescent="0.25">
      <c r="A72" s="8">
        <v>42656.369884259257</v>
      </c>
      <c r="B72" s="21" t="s">
        <v>406</v>
      </c>
      <c r="C72" s="21" t="s">
        <v>473</v>
      </c>
      <c r="D72" s="21">
        <v>1360000</v>
      </c>
      <c r="E72" s="21" t="s">
        <v>443</v>
      </c>
      <c r="F72" s="21" t="str">
        <f t="shared" si="2"/>
        <v>rtdc.l.rtdc.4025:itc</v>
      </c>
      <c r="G72" s="8">
        <f t="shared" si="3"/>
        <v>42656.369884259257</v>
      </c>
    </row>
    <row r="73" spans="1:7" x14ac:dyDescent="0.25">
      <c r="A73" s="8">
        <v>42656.37872685185</v>
      </c>
      <c r="B73" s="21" t="s">
        <v>237</v>
      </c>
      <c r="C73" s="21" t="s">
        <v>474</v>
      </c>
      <c r="D73" s="21">
        <v>1100000</v>
      </c>
      <c r="E73" s="21" t="s">
        <v>254</v>
      </c>
      <c r="F73" s="21" t="str">
        <f t="shared" si="2"/>
        <v>rtdc.l.rtdc.4031:itc</v>
      </c>
      <c r="G73" s="8">
        <f t="shared" si="3"/>
        <v>42656.37872685185</v>
      </c>
    </row>
    <row r="74" spans="1:7" x14ac:dyDescent="0.25">
      <c r="A74" s="8">
        <v>42656.378854166665</v>
      </c>
      <c r="B74" s="21" t="s">
        <v>217</v>
      </c>
      <c r="C74" s="21" t="s">
        <v>475</v>
      </c>
      <c r="D74" s="21">
        <v>1240000</v>
      </c>
      <c r="E74" s="21" t="s">
        <v>239</v>
      </c>
      <c r="F74" s="21" t="str">
        <f t="shared" si="2"/>
        <v>rtdc.l.rtdc.4013:itc</v>
      </c>
      <c r="G74" s="8">
        <f t="shared" si="3"/>
        <v>42656.378854166665</v>
      </c>
    </row>
    <row r="75" spans="1:7" x14ac:dyDescent="0.25">
      <c r="A75" s="8">
        <v>42656.385914351849</v>
      </c>
      <c r="B75" s="21" t="s">
        <v>379</v>
      </c>
      <c r="C75" s="21" t="s">
        <v>393</v>
      </c>
      <c r="D75" s="21">
        <v>1090000</v>
      </c>
      <c r="E75" s="21" t="s">
        <v>229</v>
      </c>
      <c r="F75" s="21" t="str">
        <f t="shared" si="2"/>
        <v>rtdc.l.rtdc.4042:itc</v>
      </c>
      <c r="G75" s="8">
        <f t="shared" si="3"/>
        <v>42656.385914351849</v>
      </c>
    </row>
    <row r="76" spans="1:7" x14ac:dyDescent="0.25">
      <c r="A76" s="8">
        <v>42656.391851851855</v>
      </c>
      <c r="B76" s="21" t="s">
        <v>230</v>
      </c>
      <c r="C76" s="21" t="s">
        <v>476</v>
      </c>
      <c r="D76" s="21">
        <v>1110000</v>
      </c>
      <c r="E76" s="21" t="s">
        <v>253</v>
      </c>
      <c r="F76" s="21" t="str">
        <f t="shared" si="2"/>
        <v>rtdc.l.rtdc.4037:itc</v>
      </c>
      <c r="G76" s="8">
        <f t="shared" si="3"/>
        <v>42656.391851851855</v>
      </c>
    </row>
    <row r="77" spans="1:7" x14ac:dyDescent="0.25">
      <c r="A77" s="8">
        <v>42656.394652777781</v>
      </c>
      <c r="B77" s="21" t="s">
        <v>200</v>
      </c>
      <c r="C77" s="21" t="s">
        <v>477</v>
      </c>
      <c r="D77" s="21">
        <v>1310000</v>
      </c>
      <c r="E77" s="21" t="s">
        <v>427</v>
      </c>
      <c r="F77" s="21" t="str">
        <f t="shared" si="2"/>
        <v>rtdc.l.rtdc.4044:itc</v>
      </c>
      <c r="G77" s="8">
        <f t="shared" si="3"/>
        <v>42656.394652777781</v>
      </c>
    </row>
    <row r="78" spans="1:7" x14ac:dyDescent="0.25">
      <c r="A78" s="8">
        <v>42656.40121527778</v>
      </c>
      <c r="B78" s="21" t="s">
        <v>235</v>
      </c>
      <c r="C78" s="21" t="s">
        <v>478</v>
      </c>
      <c r="D78" s="21">
        <v>1100000</v>
      </c>
      <c r="E78" s="21" t="s">
        <v>254</v>
      </c>
      <c r="F78" s="21" t="str">
        <f t="shared" si="2"/>
        <v>rtdc.l.rtdc.4032:itc</v>
      </c>
      <c r="G78" s="8">
        <f t="shared" si="3"/>
        <v>42656.40121527778</v>
      </c>
    </row>
    <row r="79" spans="1:7" x14ac:dyDescent="0.25">
      <c r="A79" s="8">
        <v>42656.401736111111</v>
      </c>
      <c r="B79" s="21" t="s">
        <v>250</v>
      </c>
      <c r="C79" s="21" t="s">
        <v>479</v>
      </c>
      <c r="D79" s="21">
        <v>1360000</v>
      </c>
      <c r="E79" s="21" t="s">
        <v>443</v>
      </c>
      <c r="F79" s="21" t="str">
        <f t="shared" si="2"/>
        <v>rtdc.l.rtdc.4026:itc</v>
      </c>
      <c r="G79" s="8">
        <f t="shared" si="3"/>
        <v>42656.401736111111</v>
      </c>
    </row>
    <row r="80" spans="1:7" x14ac:dyDescent="0.25">
      <c r="A80" s="8">
        <v>42656.401805555557</v>
      </c>
      <c r="B80" s="21" t="s">
        <v>394</v>
      </c>
      <c r="C80" s="21" t="s">
        <v>395</v>
      </c>
      <c r="D80" s="21">
        <v>400000</v>
      </c>
      <c r="E80" s="21" t="s">
        <v>471</v>
      </c>
      <c r="F80" s="21" t="str">
        <f t="shared" si="2"/>
        <v>rtdc.l.rtdc.4001:itc</v>
      </c>
      <c r="G80" s="8">
        <f t="shared" si="3"/>
        <v>42656.401805555557</v>
      </c>
    </row>
    <row r="81" spans="1:7" x14ac:dyDescent="0.25">
      <c r="A81" s="8">
        <v>42656.403599537036</v>
      </c>
      <c r="B81" s="21" t="s">
        <v>188</v>
      </c>
      <c r="C81" s="21" t="s">
        <v>480</v>
      </c>
      <c r="D81" s="21">
        <v>1760000</v>
      </c>
      <c r="E81" s="21" t="s">
        <v>252</v>
      </c>
      <c r="F81" s="21" t="str">
        <f t="shared" si="2"/>
        <v>rtdc.l.rtdc.4018:itc</v>
      </c>
      <c r="G81" s="8">
        <f t="shared" si="3"/>
        <v>42656.403599537036</v>
      </c>
    </row>
    <row r="82" spans="1:7" x14ac:dyDescent="0.25">
      <c r="A82" s="8">
        <v>42656.415358796294</v>
      </c>
      <c r="B82" s="21" t="s">
        <v>219</v>
      </c>
      <c r="C82" s="21" t="s">
        <v>481</v>
      </c>
      <c r="D82" s="21">
        <v>900000</v>
      </c>
      <c r="E82" s="21" t="s">
        <v>255</v>
      </c>
      <c r="F82" s="21" t="str">
        <f t="shared" si="2"/>
        <v>rtdc.l.rtdc.4014:itc</v>
      </c>
      <c r="G82" s="8">
        <f t="shared" si="3"/>
        <v>42656.415358796294</v>
      </c>
    </row>
    <row r="83" spans="1:7" x14ac:dyDescent="0.25">
      <c r="A83" s="8">
        <v>42656.416354166664</v>
      </c>
      <c r="B83" s="21" t="s">
        <v>237</v>
      </c>
      <c r="C83" s="21" t="s">
        <v>482</v>
      </c>
      <c r="D83" s="21">
        <v>1100000</v>
      </c>
      <c r="E83" s="21" t="s">
        <v>254</v>
      </c>
      <c r="F83" s="21" t="str">
        <f t="shared" si="2"/>
        <v>rtdc.l.rtdc.4031:itc</v>
      </c>
      <c r="G83" s="8">
        <f t="shared" si="3"/>
        <v>42656.416354166664</v>
      </c>
    </row>
    <row r="84" spans="1:7" x14ac:dyDescent="0.25">
      <c r="A84" s="8">
        <v>42656.419872685183</v>
      </c>
      <c r="B84" s="21" t="s">
        <v>396</v>
      </c>
      <c r="C84" s="21" t="s">
        <v>397</v>
      </c>
      <c r="D84" s="21">
        <v>1090000</v>
      </c>
      <c r="E84" s="21" t="s">
        <v>229</v>
      </c>
      <c r="F84" s="21" t="str">
        <f t="shared" si="2"/>
        <v>rtdc.l.rtdc.4041:itc</v>
      </c>
      <c r="G84" s="8">
        <f t="shared" si="3"/>
        <v>42656.419872685183</v>
      </c>
    </row>
    <row r="85" spans="1:7" x14ac:dyDescent="0.25">
      <c r="A85" s="8">
        <v>42656.424756944441</v>
      </c>
      <c r="B85" s="21" t="s">
        <v>218</v>
      </c>
      <c r="C85" s="21" t="s">
        <v>399</v>
      </c>
      <c r="D85" s="21">
        <v>1110000</v>
      </c>
      <c r="E85" s="21" t="s">
        <v>253</v>
      </c>
      <c r="F85" s="21" t="str">
        <f t="shared" si="2"/>
        <v>rtdc.l.rtdc.4038:itc</v>
      </c>
      <c r="G85" s="8">
        <f t="shared" si="3"/>
        <v>42656.424756944441</v>
      </c>
    </row>
    <row r="86" spans="1:7" x14ac:dyDescent="0.25">
      <c r="A86" s="8">
        <v>42656.43409722222</v>
      </c>
      <c r="B86" s="21" t="s">
        <v>222</v>
      </c>
      <c r="C86" s="21" t="s">
        <v>398</v>
      </c>
      <c r="D86" s="21">
        <v>1310000</v>
      </c>
      <c r="E86" s="21" t="s">
        <v>427</v>
      </c>
      <c r="F86" s="21" t="str">
        <f t="shared" si="2"/>
        <v>rtdc.l.rtdc.4043:itc</v>
      </c>
      <c r="G86" s="8">
        <f t="shared" si="3"/>
        <v>42656.43409722222</v>
      </c>
    </row>
    <row r="87" spans="1:7" x14ac:dyDescent="0.25">
      <c r="A87" s="8">
        <v>42656.437696759262</v>
      </c>
      <c r="B87" s="21" t="s">
        <v>391</v>
      </c>
      <c r="C87" s="21" t="s">
        <v>483</v>
      </c>
      <c r="D87" s="21">
        <v>1830000</v>
      </c>
      <c r="E87" s="21" t="s">
        <v>436</v>
      </c>
      <c r="F87" s="21" t="str">
        <f t="shared" si="2"/>
        <v>rtdc.l.rtdc.4002:itc</v>
      </c>
      <c r="G87" s="8">
        <f t="shared" si="3"/>
        <v>42656.437696759262</v>
      </c>
    </row>
    <row r="88" spans="1:7" x14ac:dyDescent="0.25">
      <c r="A88" s="8">
        <v>42656.440138888887</v>
      </c>
      <c r="B88" s="21" t="s">
        <v>363</v>
      </c>
      <c r="C88" s="21" t="s">
        <v>484</v>
      </c>
      <c r="D88" s="21">
        <v>1760000</v>
      </c>
      <c r="E88" s="21" t="s">
        <v>252</v>
      </c>
      <c r="F88" s="21" t="str">
        <f t="shared" si="2"/>
        <v>rtdc.l.rtdc.4017:itc</v>
      </c>
      <c r="G88" s="8">
        <f t="shared" si="3"/>
        <v>42656.440138888887</v>
      </c>
    </row>
    <row r="89" spans="1:7" x14ac:dyDescent="0.25">
      <c r="A89" s="8">
        <v>42656.442361111112</v>
      </c>
      <c r="B89" s="21" t="s">
        <v>235</v>
      </c>
      <c r="C89" s="21" t="s">
        <v>485</v>
      </c>
      <c r="D89" s="21">
        <v>1100000</v>
      </c>
      <c r="E89" s="21" t="s">
        <v>254</v>
      </c>
      <c r="F89" s="21" t="str">
        <f t="shared" si="2"/>
        <v>rtdc.l.rtdc.4032:itc</v>
      </c>
      <c r="G89" s="8">
        <f t="shared" si="3"/>
        <v>42656.442361111112</v>
      </c>
    </row>
    <row r="90" spans="1:7" x14ac:dyDescent="0.25">
      <c r="A90" s="8">
        <v>42656.442407407405</v>
      </c>
      <c r="B90" s="21" t="s">
        <v>406</v>
      </c>
      <c r="C90" s="21" t="s">
        <v>486</v>
      </c>
      <c r="D90" s="21">
        <v>1360000</v>
      </c>
      <c r="E90" s="21" t="s">
        <v>443</v>
      </c>
      <c r="F90" s="21" t="str">
        <f t="shared" si="2"/>
        <v>rtdc.l.rtdc.4025:itc</v>
      </c>
      <c r="G90" s="8">
        <f t="shared" si="3"/>
        <v>42656.442407407405</v>
      </c>
    </row>
    <row r="91" spans="1:7" x14ac:dyDescent="0.25">
      <c r="A91" s="8">
        <v>42656.453935185185</v>
      </c>
      <c r="B91" s="21" t="s">
        <v>217</v>
      </c>
      <c r="C91" s="21" t="s">
        <v>487</v>
      </c>
      <c r="D91" s="21">
        <v>900000</v>
      </c>
      <c r="E91" s="21" t="s">
        <v>255</v>
      </c>
      <c r="F91" s="21" t="str">
        <f t="shared" si="2"/>
        <v>rtdc.l.rtdc.4013:itc</v>
      </c>
      <c r="G91" s="8">
        <f t="shared" si="3"/>
        <v>42656.453935185185</v>
      </c>
    </row>
    <row r="92" spans="1:7" x14ac:dyDescent="0.25">
      <c r="A92" s="8">
        <v>42656.45585648148</v>
      </c>
      <c r="B92" s="21" t="s">
        <v>379</v>
      </c>
      <c r="C92" s="21" t="s">
        <v>488</v>
      </c>
      <c r="D92" s="21">
        <v>940000</v>
      </c>
      <c r="E92" s="21" t="s">
        <v>241</v>
      </c>
      <c r="F92" s="21" t="str">
        <f t="shared" si="2"/>
        <v>rtdc.l.rtdc.4042:itc</v>
      </c>
      <c r="G92" s="8">
        <f t="shared" si="3"/>
        <v>42656.45585648148</v>
      </c>
    </row>
    <row r="93" spans="1:7" x14ac:dyDescent="0.25">
      <c r="A93" s="8">
        <v>42656.463159722225</v>
      </c>
      <c r="B93" s="21" t="s">
        <v>237</v>
      </c>
      <c r="C93" s="21" t="s">
        <v>400</v>
      </c>
      <c r="D93" s="21">
        <v>1100000</v>
      </c>
      <c r="E93" s="21" t="s">
        <v>254</v>
      </c>
      <c r="F93" s="21" t="str">
        <f t="shared" si="2"/>
        <v>rtdc.l.rtdc.4031:itc</v>
      </c>
      <c r="G93" s="8">
        <f t="shared" si="3"/>
        <v>42656.463159722225</v>
      </c>
    </row>
    <row r="94" spans="1:7" x14ac:dyDescent="0.25">
      <c r="A94" s="8">
        <v>42656.463553240741</v>
      </c>
      <c r="B94" s="21" t="s">
        <v>230</v>
      </c>
      <c r="C94" s="21" t="s">
        <v>402</v>
      </c>
      <c r="D94" s="21">
        <v>1110000</v>
      </c>
      <c r="E94" s="21" t="s">
        <v>253</v>
      </c>
      <c r="F94" s="21" t="str">
        <f t="shared" si="2"/>
        <v>rtdc.l.rtdc.4037:itc</v>
      </c>
      <c r="G94" s="8">
        <f t="shared" si="3"/>
        <v>42656.463553240741</v>
      </c>
    </row>
    <row r="95" spans="1:7" x14ac:dyDescent="0.25">
      <c r="A95" s="8">
        <v>42656.465497685182</v>
      </c>
      <c r="B95" s="21" t="s">
        <v>200</v>
      </c>
      <c r="C95" s="21" t="s">
        <v>489</v>
      </c>
      <c r="D95" s="21">
        <v>2000000</v>
      </c>
      <c r="E95" s="21" t="s">
        <v>256</v>
      </c>
      <c r="F95" s="21" t="str">
        <f t="shared" si="2"/>
        <v>rtdc.l.rtdc.4044:itc</v>
      </c>
      <c r="G95" s="8">
        <f t="shared" si="3"/>
        <v>42656.465497685182</v>
      </c>
    </row>
    <row r="96" spans="1:7" x14ac:dyDescent="0.25">
      <c r="A96" s="8">
        <v>42656.469212962962</v>
      </c>
      <c r="B96" s="21" t="s">
        <v>394</v>
      </c>
      <c r="C96" s="21" t="s">
        <v>401</v>
      </c>
      <c r="D96" s="21">
        <v>310000</v>
      </c>
      <c r="E96" s="21" t="s">
        <v>490</v>
      </c>
      <c r="F96" s="21" t="str">
        <f t="shared" si="2"/>
        <v>rtdc.l.rtdc.4001:itc</v>
      </c>
      <c r="G96" s="8">
        <f t="shared" si="3"/>
        <v>42656.469212962962</v>
      </c>
    </row>
    <row r="97" spans="1:7" x14ac:dyDescent="0.25">
      <c r="A97" s="8">
        <v>42656.475497685184</v>
      </c>
      <c r="B97" s="21" t="s">
        <v>250</v>
      </c>
      <c r="C97" s="21" t="s">
        <v>491</v>
      </c>
      <c r="D97" s="21">
        <v>1360000</v>
      </c>
      <c r="E97" s="21" t="s">
        <v>443</v>
      </c>
      <c r="F97" s="21" t="str">
        <f t="shared" si="2"/>
        <v>rtdc.l.rtdc.4026:itc</v>
      </c>
      <c r="G97" s="8">
        <f t="shared" si="3"/>
        <v>42656.475497685184</v>
      </c>
    </row>
    <row r="98" spans="1:7" x14ac:dyDescent="0.25">
      <c r="A98" s="8">
        <v>42656.477118055554</v>
      </c>
      <c r="B98" s="21" t="s">
        <v>188</v>
      </c>
      <c r="C98" s="21" t="s">
        <v>492</v>
      </c>
      <c r="D98" s="21">
        <v>2040000</v>
      </c>
      <c r="E98" s="21" t="s">
        <v>493</v>
      </c>
      <c r="F98" s="21" t="str">
        <f t="shared" si="2"/>
        <v>rtdc.l.rtdc.4018:itc</v>
      </c>
      <c r="G98" s="8">
        <f t="shared" si="3"/>
        <v>42656.477118055554</v>
      </c>
    </row>
    <row r="99" spans="1:7" x14ac:dyDescent="0.25">
      <c r="A99" s="8">
        <v>42656.485706018517</v>
      </c>
      <c r="B99" s="21" t="s">
        <v>188</v>
      </c>
      <c r="C99" s="21" t="s">
        <v>492</v>
      </c>
      <c r="D99" s="21">
        <v>2040000</v>
      </c>
      <c r="E99" s="21" t="s">
        <v>493</v>
      </c>
      <c r="F99" s="21" t="str">
        <f t="shared" si="2"/>
        <v>rtdc.l.rtdc.4018:itc</v>
      </c>
      <c r="G99" s="8">
        <f t="shared" si="3"/>
        <v>42656.485706018517</v>
      </c>
    </row>
    <row r="100" spans="1:7" x14ac:dyDescent="0.25">
      <c r="A100" s="8">
        <v>42656.486574074072</v>
      </c>
      <c r="B100" s="21" t="s">
        <v>235</v>
      </c>
      <c r="C100" s="21" t="s">
        <v>403</v>
      </c>
      <c r="D100" s="21">
        <v>400000</v>
      </c>
      <c r="E100" s="21" t="s">
        <v>471</v>
      </c>
      <c r="F100" s="21" t="str">
        <f t="shared" si="2"/>
        <v>rtdc.l.rtdc.4032:itc</v>
      </c>
      <c r="G100" s="8">
        <f t="shared" si="3"/>
        <v>42656.486574074072</v>
      </c>
    </row>
    <row r="101" spans="1:7" x14ac:dyDescent="0.25">
      <c r="A101" s="8">
        <v>42656.486944444441</v>
      </c>
      <c r="B101" s="21" t="s">
        <v>219</v>
      </c>
      <c r="C101" s="21" t="s">
        <v>494</v>
      </c>
      <c r="D101" s="21">
        <v>1810000</v>
      </c>
      <c r="E101" s="21" t="s">
        <v>495</v>
      </c>
      <c r="F101" s="21" t="str">
        <f t="shared" si="2"/>
        <v>rtdc.l.rtdc.4014:itc</v>
      </c>
      <c r="G101" s="8">
        <f t="shared" si="3"/>
        <v>42656.486944444441</v>
      </c>
    </row>
    <row r="102" spans="1:7" x14ac:dyDescent="0.25">
      <c r="A102" s="8">
        <v>42656.491226851853</v>
      </c>
      <c r="B102" s="21" t="s">
        <v>396</v>
      </c>
      <c r="C102" s="21" t="s">
        <v>496</v>
      </c>
      <c r="D102" s="21">
        <v>940000</v>
      </c>
      <c r="E102" s="21" t="s">
        <v>241</v>
      </c>
      <c r="F102" s="21" t="str">
        <f t="shared" si="2"/>
        <v>rtdc.l.rtdc.4041:itc</v>
      </c>
      <c r="G102" s="8">
        <f t="shared" si="3"/>
        <v>42656.491226851853</v>
      </c>
    </row>
    <row r="103" spans="1:7" x14ac:dyDescent="0.25">
      <c r="A103" s="8">
        <v>42656.497187499997</v>
      </c>
      <c r="B103" s="21" t="s">
        <v>218</v>
      </c>
      <c r="C103" s="21" t="s">
        <v>497</v>
      </c>
      <c r="D103" s="21">
        <v>2250000</v>
      </c>
      <c r="E103" s="21" t="s">
        <v>242</v>
      </c>
      <c r="F103" s="21" t="str">
        <f t="shared" si="2"/>
        <v>rtdc.l.rtdc.4038:itc</v>
      </c>
      <c r="G103" s="8">
        <f t="shared" si="3"/>
        <v>42656.497187499997</v>
      </c>
    </row>
    <row r="104" spans="1:7" x14ac:dyDescent="0.25">
      <c r="A104" s="8">
        <v>42656.503831018519</v>
      </c>
      <c r="B104" s="21" t="s">
        <v>222</v>
      </c>
      <c r="C104" s="21" t="s">
        <v>498</v>
      </c>
      <c r="D104" s="21">
        <v>2000000</v>
      </c>
      <c r="E104" s="21" t="s">
        <v>256</v>
      </c>
      <c r="F104" s="21" t="str">
        <f t="shared" si="2"/>
        <v>rtdc.l.rtdc.4043:itc</v>
      </c>
      <c r="G104" s="8">
        <f t="shared" si="3"/>
        <v>42656.503831018519</v>
      </c>
    </row>
    <row r="105" spans="1:7" x14ac:dyDescent="0.25">
      <c r="A105" s="8">
        <v>42656.504212962966</v>
      </c>
      <c r="B105" s="21" t="s">
        <v>237</v>
      </c>
      <c r="C105" s="21" t="s">
        <v>404</v>
      </c>
      <c r="D105" s="21">
        <v>1100000</v>
      </c>
      <c r="E105" s="21" t="s">
        <v>254</v>
      </c>
      <c r="F105" s="21" t="str">
        <f t="shared" si="2"/>
        <v>rtdc.l.rtdc.4031:itc</v>
      </c>
      <c r="G105" s="8">
        <f t="shared" si="3"/>
        <v>42656.504212962966</v>
      </c>
    </row>
    <row r="106" spans="1:7" x14ac:dyDescent="0.25">
      <c r="A106" s="8">
        <v>42656.510196759256</v>
      </c>
      <c r="B106" s="21" t="s">
        <v>391</v>
      </c>
      <c r="C106" s="21" t="s">
        <v>405</v>
      </c>
      <c r="D106" s="21">
        <v>310000</v>
      </c>
      <c r="E106" s="21" t="s">
        <v>490</v>
      </c>
      <c r="F106" s="21" t="str">
        <f t="shared" si="2"/>
        <v>rtdc.l.rtdc.4002:itc</v>
      </c>
      <c r="G106" s="8">
        <f t="shared" si="3"/>
        <v>42656.510196759256</v>
      </c>
    </row>
    <row r="107" spans="1:7" x14ac:dyDescent="0.25">
      <c r="A107" s="8">
        <v>42656.516435185185</v>
      </c>
      <c r="B107" s="21" t="s">
        <v>363</v>
      </c>
      <c r="C107" s="21" t="s">
        <v>499</v>
      </c>
      <c r="D107" s="21">
        <v>2040000</v>
      </c>
      <c r="E107" s="21" t="s">
        <v>493</v>
      </c>
      <c r="F107" s="21" t="str">
        <f t="shared" si="2"/>
        <v>rtdc.l.rtdc.4017:itc</v>
      </c>
      <c r="G107" s="8">
        <f t="shared" si="3"/>
        <v>42656.516435185185</v>
      </c>
    </row>
    <row r="108" spans="1:7" x14ac:dyDescent="0.25">
      <c r="A108" s="8">
        <v>42656.517129629632</v>
      </c>
      <c r="B108" s="21" t="s">
        <v>406</v>
      </c>
      <c r="C108" s="21" t="s">
        <v>407</v>
      </c>
      <c r="D108" s="21">
        <v>1740000</v>
      </c>
      <c r="E108" s="21" t="s">
        <v>243</v>
      </c>
      <c r="F108" s="21" t="str">
        <f t="shared" si="2"/>
        <v>rtdc.l.rtdc.4025:itc</v>
      </c>
      <c r="G108" s="8">
        <f t="shared" si="3"/>
        <v>42656.517129629632</v>
      </c>
    </row>
    <row r="109" spans="1:7" x14ac:dyDescent="0.25">
      <c r="A109" s="8">
        <v>42656.519699074073</v>
      </c>
      <c r="B109" s="21" t="s">
        <v>217</v>
      </c>
      <c r="C109" s="21" t="s">
        <v>500</v>
      </c>
      <c r="D109" s="21">
        <v>1810000</v>
      </c>
      <c r="E109" s="21" t="s">
        <v>495</v>
      </c>
      <c r="F109" s="21" t="str">
        <f t="shared" si="2"/>
        <v>rtdc.l.rtdc.4013:itc</v>
      </c>
      <c r="G109" s="8">
        <f t="shared" si="3"/>
        <v>42656.519699074073</v>
      </c>
    </row>
    <row r="110" spans="1:7" x14ac:dyDescent="0.25">
      <c r="A110" s="8">
        <v>42656.525671296295</v>
      </c>
      <c r="B110" s="21" t="s">
        <v>379</v>
      </c>
      <c r="C110" s="21" t="s">
        <v>501</v>
      </c>
      <c r="D110" s="21">
        <v>940000</v>
      </c>
      <c r="E110" s="21" t="s">
        <v>241</v>
      </c>
      <c r="F110" s="21" t="str">
        <f t="shared" si="2"/>
        <v>rtdc.l.rtdc.4042:itc</v>
      </c>
      <c r="G110" s="8">
        <f t="shared" si="3"/>
        <v>42656.525671296295</v>
      </c>
    </row>
    <row r="111" spans="1:7" x14ac:dyDescent="0.25">
      <c r="A111" s="8">
        <v>42656.527731481481</v>
      </c>
      <c r="B111" s="21" t="s">
        <v>235</v>
      </c>
      <c r="C111" s="21" t="s">
        <v>502</v>
      </c>
      <c r="D111" s="21">
        <v>1100000</v>
      </c>
      <c r="E111" s="21" t="s">
        <v>254</v>
      </c>
      <c r="F111" s="21" t="str">
        <f t="shared" si="2"/>
        <v>rtdc.l.rtdc.4032:itc</v>
      </c>
      <c r="G111" s="8">
        <f t="shared" si="3"/>
        <v>42656.527731481481</v>
      </c>
    </row>
    <row r="112" spans="1:7" x14ac:dyDescent="0.25">
      <c r="A112" s="8">
        <v>42656.533321759256</v>
      </c>
      <c r="B112" s="21" t="s">
        <v>230</v>
      </c>
      <c r="C112" s="21" t="s">
        <v>503</v>
      </c>
      <c r="D112" s="21">
        <v>2250000</v>
      </c>
      <c r="E112" s="21" t="s">
        <v>242</v>
      </c>
      <c r="F112" s="21" t="str">
        <f t="shared" si="2"/>
        <v>rtdc.l.rtdc.4037:itc</v>
      </c>
      <c r="G112" s="8">
        <f t="shared" si="3"/>
        <v>42656.533321759256</v>
      </c>
    </row>
    <row r="113" spans="1:7" x14ac:dyDescent="0.25">
      <c r="A113" s="8">
        <v>42656.537673611114</v>
      </c>
      <c r="B113" s="21" t="s">
        <v>200</v>
      </c>
      <c r="C113" s="21" t="s">
        <v>504</v>
      </c>
      <c r="D113" s="21">
        <v>2000000</v>
      </c>
      <c r="E113" s="21" t="s">
        <v>256</v>
      </c>
      <c r="F113" s="21" t="str">
        <f t="shared" si="2"/>
        <v>rtdc.l.rtdc.4044:itc</v>
      </c>
      <c r="G113" s="8">
        <f t="shared" si="3"/>
        <v>42656.537673611114</v>
      </c>
    </row>
    <row r="114" spans="1:7" x14ac:dyDescent="0.25">
      <c r="A114" s="8">
        <v>42656.546168981484</v>
      </c>
      <c r="B114" s="21" t="s">
        <v>237</v>
      </c>
      <c r="C114" s="21" t="s">
        <v>505</v>
      </c>
      <c r="D114" s="21">
        <v>1540000</v>
      </c>
      <c r="E114" s="21" t="s">
        <v>240</v>
      </c>
      <c r="F114" s="21" t="str">
        <f t="shared" si="2"/>
        <v>rtdc.l.rtdc.4031:itc</v>
      </c>
      <c r="G114" s="8">
        <f t="shared" si="3"/>
        <v>42656.546168981484</v>
      </c>
    </row>
    <row r="115" spans="1:7" x14ac:dyDescent="0.25">
      <c r="A115" s="8">
        <v>42656.546678240738</v>
      </c>
      <c r="B115" s="21" t="s">
        <v>394</v>
      </c>
      <c r="C115" s="21" t="s">
        <v>506</v>
      </c>
      <c r="D115" s="21">
        <v>2270000</v>
      </c>
      <c r="E115" s="21" t="s">
        <v>507</v>
      </c>
      <c r="F115" s="21" t="str">
        <f t="shared" si="2"/>
        <v>rtdc.l.rtdc.4001:itc</v>
      </c>
      <c r="G115" s="8">
        <f t="shared" si="3"/>
        <v>42656.546678240738</v>
      </c>
    </row>
    <row r="116" spans="1:7" x14ac:dyDescent="0.25">
      <c r="A116" s="8">
        <v>42656.550312500003</v>
      </c>
      <c r="B116" s="21" t="s">
        <v>188</v>
      </c>
      <c r="C116" s="21" t="s">
        <v>508</v>
      </c>
      <c r="D116" s="21">
        <v>2040000</v>
      </c>
      <c r="E116" s="21" t="s">
        <v>493</v>
      </c>
      <c r="F116" s="21" t="str">
        <f t="shared" si="2"/>
        <v>rtdc.l.rtdc.4018:itc</v>
      </c>
      <c r="G116" s="8">
        <f t="shared" si="3"/>
        <v>42656.550312500003</v>
      </c>
    </row>
    <row r="117" spans="1:7" x14ac:dyDescent="0.25">
      <c r="A117" s="8">
        <v>42656.554780092592</v>
      </c>
      <c r="B117" s="21" t="s">
        <v>250</v>
      </c>
      <c r="C117" s="21" t="s">
        <v>509</v>
      </c>
      <c r="D117" s="21">
        <v>1740000</v>
      </c>
      <c r="E117" s="21" t="s">
        <v>243</v>
      </c>
      <c r="F117" s="21" t="str">
        <f t="shared" si="2"/>
        <v>rtdc.l.rtdc.4026:itc</v>
      </c>
      <c r="G117" s="8">
        <f t="shared" si="3"/>
        <v>42656.554780092592</v>
      </c>
    </row>
    <row r="118" spans="1:7" x14ac:dyDescent="0.25">
      <c r="A118" s="8">
        <v>42656.557222222225</v>
      </c>
      <c r="B118" s="21" t="s">
        <v>219</v>
      </c>
      <c r="C118" s="21" t="s">
        <v>510</v>
      </c>
      <c r="D118" s="21">
        <v>1810000</v>
      </c>
      <c r="E118" s="21" t="s">
        <v>495</v>
      </c>
      <c r="F118" s="21" t="str">
        <f t="shared" si="2"/>
        <v>rtdc.l.rtdc.4014:itc</v>
      </c>
      <c r="G118" s="8">
        <f t="shared" si="3"/>
        <v>42656.557222222225</v>
      </c>
    </row>
    <row r="119" spans="1:7" x14ac:dyDescent="0.25">
      <c r="A119" s="8">
        <v>42656.563020833331</v>
      </c>
      <c r="B119" s="21" t="s">
        <v>396</v>
      </c>
      <c r="C119" s="21" t="s">
        <v>511</v>
      </c>
      <c r="D119" s="21">
        <v>940000</v>
      </c>
      <c r="E119" s="21" t="s">
        <v>241</v>
      </c>
      <c r="F119" s="21" t="str">
        <f t="shared" si="2"/>
        <v>rtdc.l.rtdc.4041:itc</v>
      </c>
      <c r="G119" s="8">
        <f t="shared" si="3"/>
        <v>42656.563020833331</v>
      </c>
    </row>
    <row r="120" spans="1:7" x14ac:dyDescent="0.25">
      <c r="A120" s="8">
        <v>42656.56827546296</v>
      </c>
      <c r="B120" s="21" t="s">
        <v>235</v>
      </c>
      <c r="C120" s="21" t="s">
        <v>512</v>
      </c>
      <c r="D120" s="21">
        <v>1540000</v>
      </c>
      <c r="E120" s="21" t="s">
        <v>240</v>
      </c>
      <c r="F120" s="21" t="str">
        <f t="shared" si="2"/>
        <v>rtdc.l.rtdc.4032:itc</v>
      </c>
      <c r="G120" s="8">
        <f t="shared" si="3"/>
        <v>42656.56827546296</v>
      </c>
    </row>
    <row r="121" spans="1:7" x14ac:dyDescent="0.25">
      <c r="A121" s="8">
        <v>42656.569166666668</v>
      </c>
      <c r="B121" s="21" t="s">
        <v>222</v>
      </c>
      <c r="C121" s="21" t="s">
        <v>513</v>
      </c>
      <c r="D121" s="21">
        <v>2000000</v>
      </c>
      <c r="E121" s="21" t="s">
        <v>256</v>
      </c>
      <c r="F121" s="21" t="str">
        <f t="shared" si="2"/>
        <v>rtdc.l.rtdc.4043:itc</v>
      </c>
      <c r="G121" s="8">
        <f t="shared" si="3"/>
        <v>42656.569166666668</v>
      </c>
    </row>
    <row r="122" spans="1:7" x14ac:dyDescent="0.25">
      <c r="A122" s="8">
        <v>42656.571250000001</v>
      </c>
      <c r="B122" s="26" t="s">
        <v>218</v>
      </c>
      <c r="C122" s="21" t="s">
        <v>514</v>
      </c>
      <c r="D122" s="21">
        <v>1140000</v>
      </c>
      <c r="E122" s="21" t="s">
        <v>202</v>
      </c>
      <c r="F122" s="21" t="str">
        <f t="shared" si="2"/>
        <v>rtdc.l.rtdc.4038:itc</v>
      </c>
      <c r="G122" s="8">
        <f t="shared" si="3"/>
        <v>42656.571250000001</v>
      </c>
    </row>
    <row r="123" spans="1:7" x14ac:dyDescent="0.25">
      <c r="A123" s="8">
        <v>42656.584166666667</v>
      </c>
      <c r="B123" s="21" t="s">
        <v>391</v>
      </c>
      <c r="C123" s="21" t="s">
        <v>515</v>
      </c>
      <c r="D123" s="21">
        <v>2270000</v>
      </c>
      <c r="E123" s="21" t="s">
        <v>507</v>
      </c>
      <c r="F123" s="21" t="str">
        <f t="shared" si="2"/>
        <v>rtdc.l.rtdc.4002:itc</v>
      </c>
      <c r="G123" s="8">
        <f t="shared" si="3"/>
        <v>42656.584166666667</v>
      </c>
    </row>
    <row r="124" spans="1:7" x14ac:dyDescent="0.25">
      <c r="A124" s="8">
        <v>42656.588206018518</v>
      </c>
      <c r="B124" s="21" t="s">
        <v>363</v>
      </c>
      <c r="C124" s="21" t="s">
        <v>516</v>
      </c>
      <c r="D124" s="21">
        <v>2040000</v>
      </c>
      <c r="E124" s="21" t="s">
        <v>493</v>
      </c>
      <c r="F124" s="21" t="str">
        <f t="shared" si="2"/>
        <v>rtdc.l.rtdc.4017:itc</v>
      </c>
      <c r="G124" s="8">
        <f t="shared" si="3"/>
        <v>42656.588206018518</v>
      </c>
    </row>
    <row r="125" spans="1:7" x14ac:dyDescent="0.25">
      <c r="A125" s="8">
        <v>42656.589444444442</v>
      </c>
      <c r="B125" s="21" t="s">
        <v>406</v>
      </c>
      <c r="C125" s="21" t="s">
        <v>517</v>
      </c>
      <c r="D125" s="21">
        <v>1740000</v>
      </c>
      <c r="E125" s="21" t="s">
        <v>243</v>
      </c>
      <c r="F125" s="21" t="str">
        <f t="shared" si="2"/>
        <v>rtdc.l.rtdc.4025:itc</v>
      </c>
      <c r="G125" s="8">
        <f t="shared" si="3"/>
        <v>42656.589444444442</v>
      </c>
    </row>
    <row r="126" spans="1:7" x14ac:dyDescent="0.25">
      <c r="A126" s="8">
        <v>42656.590624999997</v>
      </c>
      <c r="B126" s="21" t="s">
        <v>217</v>
      </c>
      <c r="C126" s="21" t="s">
        <v>518</v>
      </c>
      <c r="D126" s="21">
        <v>1810000</v>
      </c>
      <c r="E126" s="21" t="s">
        <v>495</v>
      </c>
      <c r="F126" s="21" t="str">
        <f t="shared" si="2"/>
        <v>rtdc.l.rtdc.4013:itc</v>
      </c>
      <c r="G126" s="8">
        <f t="shared" si="3"/>
        <v>42656.590624999997</v>
      </c>
    </row>
    <row r="127" spans="1:7" x14ac:dyDescent="0.25">
      <c r="A127" s="8">
        <v>42656.594155092593</v>
      </c>
      <c r="B127" s="21" t="s">
        <v>237</v>
      </c>
      <c r="C127" s="21" t="s">
        <v>519</v>
      </c>
      <c r="D127" s="21">
        <v>1540000</v>
      </c>
      <c r="E127" s="21" t="s">
        <v>240</v>
      </c>
      <c r="F127" s="21" t="str">
        <f t="shared" si="2"/>
        <v>rtdc.l.rtdc.4031:itc</v>
      </c>
      <c r="G127" s="8">
        <f t="shared" si="3"/>
        <v>42656.594155092593</v>
      </c>
    </row>
    <row r="128" spans="1:7" x14ac:dyDescent="0.25">
      <c r="A128" s="8">
        <v>42656.598819444444</v>
      </c>
      <c r="B128" s="21" t="s">
        <v>379</v>
      </c>
      <c r="C128" s="21" t="s">
        <v>520</v>
      </c>
      <c r="D128" s="21">
        <v>940000</v>
      </c>
      <c r="E128" s="21" t="s">
        <v>241</v>
      </c>
      <c r="F128" s="21" t="str">
        <f t="shared" si="2"/>
        <v>rtdc.l.rtdc.4042:itc</v>
      </c>
      <c r="G128" s="8">
        <f t="shared" si="3"/>
        <v>42656.598819444444</v>
      </c>
    </row>
    <row r="129" spans="1:7" x14ac:dyDescent="0.25">
      <c r="A129" s="8">
        <v>42656.602881944447</v>
      </c>
      <c r="B129" s="21" t="s">
        <v>230</v>
      </c>
      <c r="C129" s="21" t="s">
        <v>521</v>
      </c>
      <c r="D129" s="21">
        <v>1140000</v>
      </c>
      <c r="E129" s="21" t="s">
        <v>202</v>
      </c>
      <c r="F129" s="21" t="str">
        <f t="shared" si="2"/>
        <v>rtdc.l.rtdc.4037:itc</v>
      </c>
      <c r="G129" s="8">
        <f t="shared" si="3"/>
        <v>42656.602881944447</v>
      </c>
    </row>
    <row r="130" spans="1:7" x14ac:dyDescent="0.25">
      <c r="A130" s="8">
        <v>42656.609965277778</v>
      </c>
      <c r="B130" s="21" t="s">
        <v>200</v>
      </c>
      <c r="C130" s="21" t="s">
        <v>522</v>
      </c>
      <c r="D130" s="21">
        <v>2000000</v>
      </c>
      <c r="E130" s="21" t="s">
        <v>256</v>
      </c>
      <c r="F130" s="21" t="str">
        <f t="shared" ref="F130:F193" si="4">B130</f>
        <v>rtdc.l.rtdc.4044:itc</v>
      </c>
      <c r="G130" s="8">
        <f t="shared" ref="G130:G193" si="5">A130</f>
        <v>42656.609965277778</v>
      </c>
    </row>
    <row r="131" spans="1:7" x14ac:dyDescent="0.25">
      <c r="A131" s="8">
        <v>42656.610879629632</v>
      </c>
      <c r="B131" s="21" t="s">
        <v>235</v>
      </c>
      <c r="C131" s="21" t="s">
        <v>523</v>
      </c>
      <c r="D131" s="21">
        <v>1540000</v>
      </c>
      <c r="E131" s="21" t="s">
        <v>240</v>
      </c>
      <c r="F131" s="21" t="str">
        <f t="shared" si="4"/>
        <v>rtdc.l.rtdc.4032:itc</v>
      </c>
      <c r="G131" s="8">
        <f t="shared" si="5"/>
        <v>42656.610879629632</v>
      </c>
    </row>
    <row r="132" spans="1:7" x14ac:dyDescent="0.25">
      <c r="A132" s="8">
        <v>42656.612060185187</v>
      </c>
      <c r="B132" s="21" t="s">
        <v>235</v>
      </c>
      <c r="C132" s="21" t="s">
        <v>523</v>
      </c>
      <c r="D132" s="21">
        <v>1540000</v>
      </c>
      <c r="E132" s="21" t="s">
        <v>240</v>
      </c>
      <c r="F132" s="21" t="str">
        <f t="shared" si="4"/>
        <v>rtdc.l.rtdc.4032:itc</v>
      </c>
      <c r="G132" s="8">
        <f t="shared" si="5"/>
        <v>42656.612060185187</v>
      </c>
    </row>
    <row r="133" spans="1:7" x14ac:dyDescent="0.25">
      <c r="A133" s="8">
        <v>42656.612627314818</v>
      </c>
      <c r="B133" s="21" t="s">
        <v>235</v>
      </c>
      <c r="C133" s="21" t="s">
        <v>524</v>
      </c>
      <c r="D133" s="21">
        <v>1540000</v>
      </c>
      <c r="E133" s="21" t="s">
        <v>240</v>
      </c>
      <c r="F133" s="21" t="str">
        <f t="shared" si="4"/>
        <v>rtdc.l.rtdc.4032:itc</v>
      </c>
      <c r="G133" s="8">
        <f t="shared" si="5"/>
        <v>42656.612627314818</v>
      </c>
    </row>
    <row r="134" spans="1:7" x14ac:dyDescent="0.25">
      <c r="A134" s="8">
        <v>42656.614675925928</v>
      </c>
      <c r="B134" s="21" t="s">
        <v>394</v>
      </c>
      <c r="C134" s="21" t="s">
        <v>525</v>
      </c>
      <c r="D134" s="21">
        <v>2270000</v>
      </c>
      <c r="E134" s="21" t="s">
        <v>507</v>
      </c>
      <c r="F134" s="21" t="str">
        <f t="shared" si="4"/>
        <v>rtdc.l.rtdc.4001:itc</v>
      </c>
      <c r="G134" s="8">
        <f t="shared" si="5"/>
        <v>42656.614675925928</v>
      </c>
    </row>
    <row r="135" spans="1:7" x14ac:dyDescent="0.25">
      <c r="A135" s="8">
        <v>42656.622581018521</v>
      </c>
      <c r="B135" s="21" t="s">
        <v>188</v>
      </c>
      <c r="C135" s="21" t="s">
        <v>526</v>
      </c>
      <c r="D135" s="21">
        <v>2040000</v>
      </c>
      <c r="E135" s="21" t="s">
        <v>493</v>
      </c>
      <c r="F135" s="21" t="str">
        <f t="shared" si="4"/>
        <v>rtdc.l.rtdc.4018:itc</v>
      </c>
      <c r="G135" s="8">
        <f t="shared" si="5"/>
        <v>42656.622581018521</v>
      </c>
    </row>
    <row r="136" spans="1:7" x14ac:dyDescent="0.25">
      <c r="A136" s="8">
        <v>42656.627800925926</v>
      </c>
      <c r="B136" s="21" t="s">
        <v>250</v>
      </c>
      <c r="C136" s="21" t="s">
        <v>527</v>
      </c>
      <c r="D136" s="21">
        <v>1740000</v>
      </c>
      <c r="E136" s="21" t="s">
        <v>243</v>
      </c>
      <c r="F136" s="21" t="str">
        <f t="shared" si="4"/>
        <v>rtdc.l.rtdc.4026:itc</v>
      </c>
      <c r="G136" s="8">
        <f t="shared" si="5"/>
        <v>42656.627800925926</v>
      </c>
    </row>
    <row r="137" spans="1:7" x14ac:dyDescent="0.25">
      <c r="A137" s="8">
        <v>42656.63177083333</v>
      </c>
      <c r="B137" s="21" t="s">
        <v>219</v>
      </c>
      <c r="C137" s="21" t="s">
        <v>528</v>
      </c>
      <c r="D137" s="21">
        <v>1810000</v>
      </c>
      <c r="E137" s="21" t="s">
        <v>495</v>
      </c>
      <c r="F137" s="21" t="str">
        <f t="shared" si="4"/>
        <v>rtdc.l.rtdc.4014:itc</v>
      </c>
      <c r="G137" s="8">
        <f t="shared" si="5"/>
        <v>42656.63177083333</v>
      </c>
    </row>
    <row r="138" spans="1:7" x14ac:dyDescent="0.25">
      <c r="A138" s="8">
        <v>42656.633796296293</v>
      </c>
      <c r="B138" s="21" t="s">
        <v>396</v>
      </c>
      <c r="C138" s="21" t="s">
        <v>408</v>
      </c>
      <c r="D138" s="21">
        <v>940000</v>
      </c>
      <c r="E138" s="21" t="s">
        <v>241</v>
      </c>
      <c r="F138" s="21" t="str">
        <f t="shared" si="4"/>
        <v>rtdc.l.rtdc.4041:itc</v>
      </c>
      <c r="G138" s="8">
        <f t="shared" si="5"/>
        <v>42656.633796296293</v>
      </c>
    </row>
    <row r="139" spans="1:7" x14ac:dyDescent="0.25">
      <c r="A139" s="8">
        <v>42656.634641203702</v>
      </c>
      <c r="B139" s="21" t="s">
        <v>225</v>
      </c>
      <c r="C139" s="21" t="s">
        <v>529</v>
      </c>
      <c r="D139" s="21">
        <v>1230000</v>
      </c>
      <c r="E139" s="21" t="s">
        <v>231</v>
      </c>
      <c r="F139" s="21" t="str">
        <f t="shared" si="4"/>
        <v>rtdc.l.rtdc.4039:itc</v>
      </c>
      <c r="G139" s="8">
        <f t="shared" si="5"/>
        <v>42656.634641203702</v>
      </c>
    </row>
    <row r="140" spans="1:7" x14ac:dyDescent="0.25">
      <c r="A140" s="8">
        <v>42656.637523148151</v>
      </c>
      <c r="B140" s="21" t="s">
        <v>237</v>
      </c>
      <c r="C140" s="21" t="s">
        <v>519</v>
      </c>
      <c r="D140" s="21">
        <v>1540000</v>
      </c>
      <c r="E140" s="21" t="s">
        <v>240</v>
      </c>
      <c r="F140" s="21" t="str">
        <f t="shared" si="4"/>
        <v>rtdc.l.rtdc.4031:itc</v>
      </c>
      <c r="G140" s="8">
        <f t="shared" si="5"/>
        <v>42656.637523148151</v>
      </c>
    </row>
    <row r="141" spans="1:7" x14ac:dyDescent="0.25">
      <c r="A141" s="8">
        <v>42656.640567129631</v>
      </c>
      <c r="B141" s="21" t="s">
        <v>225</v>
      </c>
      <c r="C141" s="21" t="s">
        <v>530</v>
      </c>
      <c r="D141" s="21">
        <v>1230000</v>
      </c>
      <c r="E141" s="21" t="s">
        <v>231</v>
      </c>
      <c r="F141" s="21" t="str">
        <f t="shared" si="4"/>
        <v>rtdc.l.rtdc.4039:itc</v>
      </c>
      <c r="G141" s="8">
        <f t="shared" si="5"/>
        <v>42656.640567129631</v>
      </c>
    </row>
    <row r="142" spans="1:7" x14ac:dyDescent="0.25">
      <c r="A142" s="8">
        <v>42656.642465277779</v>
      </c>
      <c r="B142" s="21" t="s">
        <v>218</v>
      </c>
      <c r="C142" s="21" t="s">
        <v>531</v>
      </c>
      <c r="D142" s="21">
        <v>1140000</v>
      </c>
      <c r="E142" s="21" t="s">
        <v>202</v>
      </c>
      <c r="F142" s="21" t="str">
        <f t="shared" si="4"/>
        <v>rtdc.l.rtdc.4038:itc</v>
      </c>
      <c r="G142" s="8">
        <f t="shared" si="5"/>
        <v>42656.642465277779</v>
      </c>
    </row>
    <row r="143" spans="1:7" x14ac:dyDescent="0.25">
      <c r="A143" s="8">
        <v>42656.647986111115</v>
      </c>
      <c r="B143" s="21" t="s">
        <v>218</v>
      </c>
      <c r="C143" s="21" t="s">
        <v>531</v>
      </c>
      <c r="D143" s="21">
        <v>1140000</v>
      </c>
      <c r="E143" s="21" t="s">
        <v>202</v>
      </c>
      <c r="F143" s="21" t="str">
        <f t="shared" si="4"/>
        <v>rtdc.l.rtdc.4038:itc</v>
      </c>
      <c r="G143" s="8">
        <f t="shared" si="5"/>
        <v>42656.647986111115</v>
      </c>
    </row>
    <row r="144" spans="1:7" x14ac:dyDescent="0.25">
      <c r="A144" s="8">
        <v>42656.650671296295</v>
      </c>
      <c r="B144" s="21" t="s">
        <v>222</v>
      </c>
      <c r="C144" s="21" t="s">
        <v>532</v>
      </c>
      <c r="D144" s="21">
        <v>2000000</v>
      </c>
      <c r="E144" s="21" t="s">
        <v>256</v>
      </c>
      <c r="F144" s="21" t="str">
        <f t="shared" si="4"/>
        <v>rtdc.l.rtdc.4043:itc</v>
      </c>
      <c r="G144" s="8">
        <f t="shared" si="5"/>
        <v>42656.650671296295</v>
      </c>
    </row>
    <row r="145" spans="1:7" x14ac:dyDescent="0.25">
      <c r="A145" s="8">
        <v>42656.652002314811</v>
      </c>
      <c r="B145" s="21" t="s">
        <v>235</v>
      </c>
      <c r="C145" s="21" t="s">
        <v>533</v>
      </c>
      <c r="D145" s="21">
        <v>1540000</v>
      </c>
      <c r="E145" s="21" t="s">
        <v>240</v>
      </c>
      <c r="F145" s="21" t="str">
        <f t="shared" si="4"/>
        <v>rtdc.l.rtdc.4032:itc</v>
      </c>
      <c r="G145" s="8">
        <f t="shared" si="5"/>
        <v>42656.652002314811</v>
      </c>
    </row>
    <row r="146" spans="1:7" x14ac:dyDescent="0.25">
      <c r="A146" s="8">
        <v>42656.652083333334</v>
      </c>
      <c r="B146" s="21" t="s">
        <v>391</v>
      </c>
      <c r="C146" s="21" t="s">
        <v>534</v>
      </c>
      <c r="D146" s="21">
        <v>2270000</v>
      </c>
      <c r="E146" s="21" t="s">
        <v>507</v>
      </c>
      <c r="F146" s="21" t="str">
        <f t="shared" si="4"/>
        <v>rtdc.l.rtdc.4002:itc</v>
      </c>
      <c r="G146" s="8">
        <f t="shared" si="5"/>
        <v>42656.652083333334</v>
      </c>
    </row>
    <row r="147" spans="1:7" x14ac:dyDescent="0.25">
      <c r="A147" s="8">
        <v>42656.658831018518</v>
      </c>
      <c r="B147" s="21" t="s">
        <v>368</v>
      </c>
      <c r="C147" s="21" t="s">
        <v>535</v>
      </c>
      <c r="D147" s="21">
        <v>1230000</v>
      </c>
      <c r="E147" s="21" t="s">
        <v>231</v>
      </c>
      <c r="F147" s="21" t="str">
        <f t="shared" si="4"/>
        <v>rtdc.l.rtdc.4040:itc</v>
      </c>
      <c r="G147" s="8">
        <f t="shared" si="5"/>
        <v>42656.658831018518</v>
      </c>
    </row>
    <row r="148" spans="1:7" x14ac:dyDescent="0.25">
      <c r="A148" s="8">
        <v>42656.660694444443</v>
      </c>
      <c r="B148" s="21" t="s">
        <v>363</v>
      </c>
      <c r="C148" s="21" t="s">
        <v>536</v>
      </c>
      <c r="D148" s="21">
        <v>2040000</v>
      </c>
      <c r="E148" s="21" t="s">
        <v>493</v>
      </c>
      <c r="F148" s="21" t="str">
        <f t="shared" si="4"/>
        <v>rtdc.l.rtdc.4017:itc</v>
      </c>
      <c r="G148" s="8">
        <f t="shared" si="5"/>
        <v>42656.660694444443</v>
      </c>
    </row>
    <row r="149" spans="1:7" x14ac:dyDescent="0.25">
      <c r="A149" s="8">
        <v>42656.66202546296</v>
      </c>
      <c r="B149" s="21" t="s">
        <v>406</v>
      </c>
      <c r="C149" s="21" t="s">
        <v>537</v>
      </c>
      <c r="D149" s="21">
        <v>1740000</v>
      </c>
      <c r="E149" s="21" t="s">
        <v>243</v>
      </c>
      <c r="F149" s="21" t="str">
        <f t="shared" si="4"/>
        <v>rtdc.l.rtdc.4025:itc</v>
      </c>
      <c r="G149" s="8">
        <f t="shared" si="5"/>
        <v>42656.66202546296</v>
      </c>
    </row>
    <row r="150" spans="1:7" x14ac:dyDescent="0.25">
      <c r="A150" s="8">
        <v>42656.663460648146</v>
      </c>
      <c r="B150" s="21" t="s">
        <v>217</v>
      </c>
      <c r="C150" s="21" t="s">
        <v>538</v>
      </c>
      <c r="D150" s="21">
        <v>1810000</v>
      </c>
      <c r="E150" s="21" t="s">
        <v>495</v>
      </c>
      <c r="F150" s="21" t="str">
        <f t="shared" si="4"/>
        <v>rtdc.l.rtdc.4013:itc</v>
      </c>
      <c r="G150" s="8">
        <f t="shared" si="5"/>
        <v>42656.663460648146</v>
      </c>
    </row>
    <row r="151" spans="1:7" x14ac:dyDescent="0.25">
      <c r="A151" s="8">
        <v>42656.66810185185</v>
      </c>
      <c r="B151" s="21" t="s">
        <v>237</v>
      </c>
      <c r="C151" s="21" t="s">
        <v>409</v>
      </c>
      <c r="D151" s="21">
        <v>1540000</v>
      </c>
      <c r="E151" s="21" t="s">
        <v>240</v>
      </c>
      <c r="F151" s="21" t="str">
        <f t="shared" si="4"/>
        <v>rtdc.l.rtdc.4031:itc</v>
      </c>
      <c r="G151" s="8">
        <f t="shared" si="5"/>
        <v>42656.66810185185</v>
      </c>
    </row>
    <row r="152" spans="1:7" x14ac:dyDescent="0.25">
      <c r="A152" s="8">
        <v>42656.671712962961</v>
      </c>
      <c r="B152" s="21" t="s">
        <v>379</v>
      </c>
      <c r="C152" s="21" t="s">
        <v>539</v>
      </c>
      <c r="D152" s="21">
        <v>940000</v>
      </c>
      <c r="E152" s="21" t="s">
        <v>241</v>
      </c>
      <c r="F152" s="21" t="str">
        <f t="shared" si="4"/>
        <v>rtdc.l.rtdc.4042:itc</v>
      </c>
      <c r="G152" s="8">
        <f t="shared" si="5"/>
        <v>42656.671712962961</v>
      </c>
    </row>
    <row r="153" spans="1:7" x14ac:dyDescent="0.25">
      <c r="A153" s="8">
        <v>42656.673680555556</v>
      </c>
      <c r="B153" s="21" t="s">
        <v>225</v>
      </c>
      <c r="C153" s="21" t="s">
        <v>540</v>
      </c>
      <c r="D153" s="21">
        <v>1230000</v>
      </c>
      <c r="E153" s="21" t="s">
        <v>231</v>
      </c>
      <c r="F153" s="21" t="str">
        <f t="shared" si="4"/>
        <v>rtdc.l.rtdc.4039:itc</v>
      </c>
      <c r="G153" s="8">
        <f t="shared" si="5"/>
        <v>42656.673680555556</v>
      </c>
    </row>
    <row r="154" spans="1:7" x14ac:dyDescent="0.25">
      <c r="A154" s="8">
        <v>42656.677268518521</v>
      </c>
      <c r="B154" s="21" t="s">
        <v>230</v>
      </c>
      <c r="C154" s="21" t="s">
        <v>541</v>
      </c>
      <c r="D154" s="21">
        <v>1140000</v>
      </c>
      <c r="E154" s="21" t="s">
        <v>202</v>
      </c>
      <c r="F154" s="21" t="str">
        <f t="shared" si="4"/>
        <v>rtdc.l.rtdc.4037:itc</v>
      </c>
      <c r="G154" s="8">
        <f t="shared" si="5"/>
        <v>42656.677268518521</v>
      </c>
    </row>
    <row r="155" spans="1:7" x14ac:dyDescent="0.25">
      <c r="A155" s="8">
        <v>42656.685127314813</v>
      </c>
      <c r="B155" s="21" t="s">
        <v>200</v>
      </c>
      <c r="C155" s="21" t="s">
        <v>542</v>
      </c>
      <c r="D155" s="21">
        <v>2000000</v>
      </c>
      <c r="E155" s="21" t="s">
        <v>256</v>
      </c>
      <c r="F155" s="21" t="str">
        <f t="shared" si="4"/>
        <v>rtdc.l.rtdc.4044:itc</v>
      </c>
      <c r="G155" s="8">
        <f t="shared" si="5"/>
        <v>42656.685127314813</v>
      </c>
    </row>
    <row r="156" spans="1:7" x14ac:dyDescent="0.25">
      <c r="A156" s="8">
        <v>42656.687407407408</v>
      </c>
      <c r="B156" s="21" t="s">
        <v>394</v>
      </c>
      <c r="C156" s="21" t="s">
        <v>543</v>
      </c>
      <c r="D156" s="21">
        <v>2270000</v>
      </c>
      <c r="E156" s="21" t="s">
        <v>507</v>
      </c>
      <c r="F156" s="21" t="str">
        <f t="shared" si="4"/>
        <v>rtdc.l.rtdc.4001:itc</v>
      </c>
      <c r="G156" s="8">
        <f t="shared" si="5"/>
        <v>42656.687407407408</v>
      </c>
    </row>
    <row r="157" spans="1:7" x14ac:dyDescent="0.25">
      <c r="A157" s="8">
        <v>42656.695787037039</v>
      </c>
      <c r="B157" s="21" t="s">
        <v>235</v>
      </c>
      <c r="C157" s="21" t="s">
        <v>544</v>
      </c>
      <c r="D157" s="21">
        <v>1540000</v>
      </c>
      <c r="E157" s="21" t="s">
        <v>240</v>
      </c>
      <c r="F157" s="21" t="str">
        <f t="shared" si="4"/>
        <v>rtdc.l.rtdc.4032:itc</v>
      </c>
      <c r="G157" s="8">
        <f t="shared" si="5"/>
        <v>42656.695787037039</v>
      </c>
    </row>
    <row r="158" spans="1:7" x14ac:dyDescent="0.25">
      <c r="A158" s="8">
        <v>42656.69636574074</v>
      </c>
      <c r="B158" s="21" t="s">
        <v>368</v>
      </c>
      <c r="C158" s="21" t="s">
        <v>545</v>
      </c>
      <c r="D158" s="21">
        <v>1230000</v>
      </c>
      <c r="E158" s="21" t="s">
        <v>231</v>
      </c>
      <c r="F158" s="21" t="str">
        <f t="shared" si="4"/>
        <v>rtdc.l.rtdc.4040:itc</v>
      </c>
      <c r="G158" s="8">
        <f t="shared" si="5"/>
        <v>42656.69636574074</v>
      </c>
    </row>
    <row r="159" spans="1:7" x14ac:dyDescent="0.25">
      <c r="A159" s="8">
        <v>42656.697094907409</v>
      </c>
      <c r="B159" s="21" t="s">
        <v>188</v>
      </c>
      <c r="C159" s="21" t="s">
        <v>546</v>
      </c>
      <c r="D159" s="21">
        <v>2040000</v>
      </c>
      <c r="E159" s="21" t="s">
        <v>493</v>
      </c>
      <c r="F159" s="21" t="str">
        <f t="shared" si="4"/>
        <v>rtdc.l.rtdc.4018:itc</v>
      </c>
      <c r="G159" s="8">
        <f t="shared" si="5"/>
        <v>42656.697094907409</v>
      </c>
    </row>
    <row r="160" spans="1:7" x14ac:dyDescent="0.25">
      <c r="A160" s="8">
        <v>42656.701215277775</v>
      </c>
      <c r="B160" s="21" t="s">
        <v>250</v>
      </c>
      <c r="C160" s="21" t="s">
        <v>547</v>
      </c>
      <c r="D160" s="21">
        <v>1740000</v>
      </c>
      <c r="E160" s="21" t="s">
        <v>243</v>
      </c>
      <c r="F160" s="21" t="str">
        <f t="shared" si="4"/>
        <v>rtdc.l.rtdc.4026:itc</v>
      </c>
      <c r="G160" s="8">
        <f t="shared" si="5"/>
        <v>42656.701215277775</v>
      </c>
    </row>
    <row r="161" spans="1:7" x14ac:dyDescent="0.25">
      <c r="A161" s="8">
        <v>42656.703541666669</v>
      </c>
      <c r="B161" s="21" t="s">
        <v>219</v>
      </c>
      <c r="C161" s="21" t="s">
        <v>548</v>
      </c>
      <c r="D161" s="21">
        <v>1810000</v>
      </c>
      <c r="E161" s="21" t="s">
        <v>495</v>
      </c>
      <c r="F161" s="21" t="str">
        <f t="shared" si="4"/>
        <v>rtdc.l.rtdc.4014:itc</v>
      </c>
      <c r="G161" s="8">
        <f t="shared" si="5"/>
        <v>42656.703541666669</v>
      </c>
    </row>
    <row r="162" spans="1:7" x14ac:dyDescent="0.25">
      <c r="A162" s="8">
        <v>42656.70758101852</v>
      </c>
      <c r="B162" s="21" t="s">
        <v>396</v>
      </c>
      <c r="C162" s="21" t="s">
        <v>549</v>
      </c>
      <c r="D162" s="21">
        <v>940000</v>
      </c>
      <c r="E162" s="21" t="s">
        <v>241</v>
      </c>
      <c r="F162" s="21" t="str">
        <f t="shared" si="4"/>
        <v>rtdc.l.rtdc.4041:itc</v>
      </c>
      <c r="G162" s="8">
        <f t="shared" si="5"/>
        <v>42656.70758101852</v>
      </c>
    </row>
    <row r="163" spans="1:7" x14ac:dyDescent="0.25">
      <c r="A163" s="8">
        <v>42656.709386574075</v>
      </c>
      <c r="B163" s="21" t="s">
        <v>219</v>
      </c>
      <c r="C163" s="21" t="s">
        <v>548</v>
      </c>
      <c r="D163" s="21">
        <v>1810000</v>
      </c>
      <c r="E163" s="21" t="s">
        <v>495</v>
      </c>
      <c r="F163" s="21" t="str">
        <f t="shared" si="4"/>
        <v>rtdc.l.rtdc.4014:itc</v>
      </c>
      <c r="G163" s="8">
        <f t="shared" si="5"/>
        <v>42656.709386574075</v>
      </c>
    </row>
    <row r="164" spans="1:7" x14ac:dyDescent="0.25">
      <c r="A164" s="8">
        <v>42656.715486111112</v>
      </c>
      <c r="B164" s="21" t="s">
        <v>225</v>
      </c>
      <c r="C164" s="21" t="s">
        <v>411</v>
      </c>
      <c r="D164" s="21">
        <v>1230000</v>
      </c>
      <c r="E164" s="21" t="s">
        <v>231</v>
      </c>
      <c r="F164" s="21" t="str">
        <f t="shared" si="4"/>
        <v>rtdc.l.rtdc.4039:itc</v>
      </c>
      <c r="G164" s="8">
        <f t="shared" si="5"/>
        <v>42656.715486111112</v>
      </c>
    </row>
    <row r="165" spans="1:7" x14ac:dyDescent="0.25">
      <c r="A165" s="8">
        <v>42656.716828703706</v>
      </c>
      <c r="B165" s="21" t="s">
        <v>370</v>
      </c>
      <c r="C165" s="21" t="s">
        <v>410</v>
      </c>
      <c r="D165" s="21">
        <v>1290000</v>
      </c>
      <c r="E165" s="21" t="s">
        <v>226</v>
      </c>
      <c r="F165" s="21" t="str">
        <f t="shared" si="4"/>
        <v>rtdc.l.rtdc.4028:itc</v>
      </c>
      <c r="G165" s="8">
        <f t="shared" si="5"/>
        <v>42656.716828703706</v>
      </c>
    </row>
    <row r="166" spans="1:7" x14ac:dyDescent="0.25">
      <c r="A166" s="8">
        <v>42656.717222222222</v>
      </c>
      <c r="B166" s="21" t="s">
        <v>218</v>
      </c>
      <c r="C166" s="21" t="s">
        <v>550</v>
      </c>
      <c r="D166" s="21">
        <v>1180000</v>
      </c>
      <c r="E166" s="21" t="s">
        <v>190</v>
      </c>
      <c r="F166" s="21" t="str">
        <f t="shared" si="4"/>
        <v>rtdc.l.rtdc.4038:itc</v>
      </c>
      <c r="G166" s="8">
        <f t="shared" si="5"/>
        <v>42656.717222222222</v>
      </c>
    </row>
    <row r="167" spans="1:7" x14ac:dyDescent="0.25">
      <c r="A167" s="8">
        <v>42656.719942129632</v>
      </c>
      <c r="B167" s="21" t="s">
        <v>237</v>
      </c>
      <c r="C167" s="21" t="s">
        <v>551</v>
      </c>
      <c r="D167" s="21">
        <v>1540000</v>
      </c>
      <c r="E167" s="21" t="s">
        <v>240</v>
      </c>
      <c r="F167" s="21" t="str">
        <f t="shared" si="4"/>
        <v>rtdc.l.rtdc.4031:itc</v>
      </c>
      <c r="G167" s="8">
        <f t="shared" si="5"/>
        <v>42656.719942129632</v>
      </c>
    </row>
    <row r="168" spans="1:7" x14ac:dyDescent="0.25">
      <c r="A168" s="8">
        <v>42656.724247685182</v>
      </c>
      <c r="B168" s="21" t="s">
        <v>222</v>
      </c>
      <c r="C168" s="21" t="s">
        <v>412</v>
      </c>
      <c r="D168" s="21">
        <v>2000000</v>
      </c>
      <c r="E168" s="21" t="s">
        <v>256</v>
      </c>
      <c r="F168" s="21" t="str">
        <f t="shared" si="4"/>
        <v>rtdc.l.rtdc.4043:itc</v>
      </c>
      <c r="G168" s="8">
        <f t="shared" si="5"/>
        <v>42656.724247685182</v>
      </c>
    </row>
    <row r="169" spans="1:7" x14ac:dyDescent="0.25">
      <c r="A169" s="8">
        <v>42656.725578703707</v>
      </c>
      <c r="B169" s="21" t="s">
        <v>391</v>
      </c>
      <c r="C169" s="21" t="s">
        <v>552</v>
      </c>
      <c r="D169" s="21">
        <v>1140000</v>
      </c>
      <c r="E169" s="21" t="s">
        <v>202</v>
      </c>
      <c r="F169" s="21" t="str">
        <f t="shared" si="4"/>
        <v>rtdc.l.rtdc.4002:itc</v>
      </c>
      <c r="G169" s="8">
        <f t="shared" si="5"/>
        <v>42656.725578703707</v>
      </c>
    </row>
    <row r="170" spans="1:7" x14ac:dyDescent="0.25">
      <c r="A170" s="8">
        <v>42656.732986111114</v>
      </c>
      <c r="B170" s="21" t="s">
        <v>363</v>
      </c>
      <c r="C170" s="21" t="s">
        <v>413</v>
      </c>
      <c r="D170" s="21">
        <v>2040000</v>
      </c>
      <c r="E170" s="21" t="s">
        <v>493</v>
      </c>
      <c r="F170" s="21" t="str">
        <f t="shared" si="4"/>
        <v>rtdc.l.rtdc.4017:itc</v>
      </c>
      <c r="G170" s="8">
        <f t="shared" si="5"/>
        <v>42656.732986111114</v>
      </c>
    </row>
    <row r="171" spans="1:7" x14ac:dyDescent="0.25">
      <c r="A171" s="8">
        <v>42656.734525462962</v>
      </c>
      <c r="B171" s="21" t="s">
        <v>234</v>
      </c>
      <c r="C171" s="21" t="s">
        <v>553</v>
      </c>
      <c r="D171" s="21">
        <v>150000</v>
      </c>
      <c r="E171" s="21" t="s">
        <v>554</v>
      </c>
      <c r="F171" s="21" t="str">
        <f t="shared" si="4"/>
        <v>rtdc.l.rtdc.4015:itc</v>
      </c>
      <c r="G171" s="8">
        <f t="shared" si="5"/>
        <v>42656.734525462962</v>
      </c>
    </row>
    <row r="172" spans="1:7" x14ac:dyDescent="0.25">
      <c r="A172" s="8">
        <v>42656.735486111109</v>
      </c>
      <c r="B172" s="21" t="s">
        <v>406</v>
      </c>
      <c r="C172" s="21" t="s">
        <v>414</v>
      </c>
      <c r="D172" s="21">
        <v>1290000</v>
      </c>
      <c r="E172" s="21" t="s">
        <v>226</v>
      </c>
      <c r="F172" s="21" t="str">
        <f t="shared" si="4"/>
        <v>rtdc.l.rtdc.4025:itc</v>
      </c>
      <c r="G172" s="8">
        <f t="shared" si="5"/>
        <v>42656.735486111109</v>
      </c>
    </row>
    <row r="173" spans="1:7" x14ac:dyDescent="0.25">
      <c r="A173" s="8">
        <v>42656.735868055555</v>
      </c>
      <c r="B173" s="21" t="s">
        <v>235</v>
      </c>
      <c r="C173" s="21" t="s">
        <v>555</v>
      </c>
      <c r="D173" s="21">
        <v>1540000</v>
      </c>
      <c r="E173" s="21" t="s">
        <v>240</v>
      </c>
      <c r="F173" s="21" t="str">
        <f t="shared" si="4"/>
        <v>rtdc.l.rtdc.4032:itc</v>
      </c>
      <c r="G173" s="8">
        <f t="shared" si="5"/>
        <v>42656.735868055555</v>
      </c>
    </row>
    <row r="174" spans="1:7" x14ac:dyDescent="0.25">
      <c r="A174" s="8">
        <v>42656.737638888888</v>
      </c>
      <c r="B174" s="21" t="s">
        <v>217</v>
      </c>
      <c r="C174" s="21" t="s">
        <v>556</v>
      </c>
      <c r="D174" s="21">
        <v>1810000</v>
      </c>
      <c r="E174" s="21" t="s">
        <v>495</v>
      </c>
      <c r="F174" s="21" t="str">
        <f t="shared" si="4"/>
        <v>rtdc.l.rtdc.4013:itc</v>
      </c>
      <c r="G174" s="8">
        <f t="shared" si="5"/>
        <v>42656.737638888888</v>
      </c>
    </row>
    <row r="175" spans="1:7" x14ac:dyDescent="0.25">
      <c r="A175" s="8">
        <v>42656.742511574077</v>
      </c>
      <c r="B175" s="21" t="s">
        <v>368</v>
      </c>
      <c r="C175" s="21" t="s">
        <v>557</v>
      </c>
      <c r="D175" s="21">
        <v>1230000</v>
      </c>
      <c r="E175" s="21" t="s">
        <v>231</v>
      </c>
      <c r="F175" s="21" t="str">
        <f t="shared" si="4"/>
        <v>rtdc.l.rtdc.4040:itc</v>
      </c>
      <c r="G175" s="8">
        <f t="shared" si="5"/>
        <v>42656.742511574077</v>
      </c>
    </row>
    <row r="176" spans="1:7" x14ac:dyDescent="0.25">
      <c r="A176" s="8">
        <v>42656.747037037036</v>
      </c>
      <c r="B176" s="21" t="s">
        <v>379</v>
      </c>
      <c r="C176" s="21" t="s">
        <v>558</v>
      </c>
      <c r="D176" s="21">
        <v>1740000</v>
      </c>
      <c r="E176" s="21" t="s">
        <v>243</v>
      </c>
      <c r="F176" s="21" t="str">
        <f t="shared" si="4"/>
        <v>rtdc.l.rtdc.4042:itc</v>
      </c>
      <c r="G176" s="8">
        <f t="shared" si="5"/>
        <v>42656.747037037036</v>
      </c>
    </row>
    <row r="177" spans="1:7" x14ac:dyDescent="0.25">
      <c r="A177" s="8">
        <v>42656.749085648145</v>
      </c>
      <c r="B177" s="21" t="s">
        <v>237</v>
      </c>
      <c r="C177" s="21" t="s">
        <v>416</v>
      </c>
      <c r="D177" s="21">
        <v>1540000</v>
      </c>
      <c r="E177" s="21" t="s">
        <v>240</v>
      </c>
      <c r="F177" s="21" t="str">
        <f t="shared" si="4"/>
        <v>rtdc.l.rtdc.4031:itc</v>
      </c>
      <c r="G177" s="8">
        <f t="shared" si="5"/>
        <v>42656.749085648145</v>
      </c>
    </row>
    <row r="178" spans="1:7" x14ac:dyDescent="0.25">
      <c r="A178" s="8">
        <v>42656.749212962961</v>
      </c>
      <c r="B178" s="21" t="s">
        <v>230</v>
      </c>
      <c r="C178" s="21" t="s">
        <v>559</v>
      </c>
      <c r="D178" s="21">
        <v>1180000</v>
      </c>
      <c r="E178" s="21" t="s">
        <v>190</v>
      </c>
      <c r="F178" s="21" t="str">
        <f t="shared" si="4"/>
        <v>rtdc.l.rtdc.4037:itc</v>
      </c>
      <c r="G178" s="8">
        <f t="shared" si="5"/>
        <v>42656.749212962961</v>
      </c>
    </row>
    <row r="179" spans="1:7" x14ac:dyDescent="0.25">
      <c r="A179" s="8">
        <v>42656.750069444446</v>
      </c>
      <c r="B179" s="21" t="s">
        <v>227</v>
      </c>
      <c r="C179" s="21" t="s">
        <v>560</v>
      </c>
      <c r="D179" s="21">
        <v>2220000</v>
      </c>
      <c r="E179" s="21" t="s">
        <v>236</v>
      </c>
      <c r="F179" s="21" t="str">
        <f t="shared" si="4"/>
        <v>rtdc.l.rtdc.4029:itc</v>
      </c>
      <c r="G179" s="8">
        <f t="shared" si="5"/>
        <v>42656.750069444446</v>
      </c>
    </row>
    <row r="180" spans="1:7" x14ac:dyDescent="0.25">
      <c r="A180" s="8">
        <v>42656.751400462963</v>
      </c>
      <c r="B180" s="21" t="s">
        <v>369</v>
      </c>
      <c r="C180" s="21" t="s">
        <v>561</v>
      </c>
      <c r="D180" s="21">
        <v>1480000</v>
      </c>
      <c r="E180" s="21" t="s">
        <v>192</v>
      </c>
      <c r="F180" s="21" t="str">
        <f t="shared" si="4"/>
        <v>rtdc.l.rtdc.4019:itc</v>
      </c>
      <c r="G180" s="8">
        <f t="shared" si="5"/>
        <v>42656.751400462963</v>
      </c>
    </row>
    <row r="181" spans="1:7" x14ac:dyDescent="0.25">
      <c r="A181" s="8">
        <v>42656.755370370367</v>
      </c>
      <c r="B181" s="21" t="s">
        <v>225</v>
      </c>
      <c r="C181" s="21" t="s">
        <v>415</v>
      </c>
      <c r="D181" s="21">
        <v>1230000</v>
      </c>
      <c r="E181" s="21" t="s">
        <v>231</v>
      </c>
      <c r="F181" s="21" t="str">
        <f t="shared" si="4"/>
        <v>rtdc.l.rtdc.4039:itc</v>
      </c>
      <c r="G181" s="8">
        <f t="shared" si="5"/>
        <v>42656.755370370367</v>
      </c>
    </row>
    <row r="182" spans="1:7" x14ac:dyDescent="0.25">
      <c r="A182" s="8">
        <v>42656.758171296293</v>
      </c>
      <c r="B182" s="21" t="s">
        <v>200</v>
      </c>
      <c r="C182" s="21" t="s">
        <v>562</v>
      </c>
      <c r="D182" s="21">
        <v>2350000</v>
      </c>
      <c r="E182" s="21" t="s">
        <v>228</v>
      </c>
      <c r="F182" s="21" t="str">
        <f t="shared" si="4"/>
        <v>rtdc.l.rtdc.4044:itc</v>
      </c>
      <c r="G182" s="8">
        <f t="shared" si="5"/>
        <v>42656.758171296293</v>
      </c>
    </row>
    <row r="183" spans="1:7" x14ac:dyDescent="0.25">
      <c r="A183" s="8">
        <v>42656.762349537035</v>
      </c>
      <c r="B183" s="21" t="s">
        <v>216</v>
      </c>
      <c r="C183" s="21" t="s">
        <v>563</v>
      </c>
      <c r="D183" s="21">
        <v>2000000</v>
      </c>
      <c r="E183" s="21" t="s">
        <v>256</v>
      </c>
      <c r="F183" s="21" t="str">
        <f t="shared" si="4"/>
        <v>rtdc.l.rtdc.4020:itc</v>
      </c>
      <c r="G183" s="8">
        <f t="shared" si="5"/>
        <v>42656.762349537035</v>
      </c>
    </row>
    <row r="184" spans="1:7" x14ac:dyDescent="0.25">
      <c r="A184" s="8">
        <v>42656.763113425928</v>
      </c>
      <c r="B184" s="21" t="s">
        <v>227</v>
      </c>
      <c r="C184" s="21" t="s">
        <v>560</v>
      </c>
      <c r="D184" s="21">
        <v>2220000</v>
      </c>
      <c r="E184" s="21" t="s">
        <v>236</v>
      </c>
      <c r="F184" s="21" t="str">
        <f t="shared" si="4"/>
        <v>rtdc.l.rtdc.4029:itc</v>
      </c>
      <c r="G184" s="8">
        <f t="shared" si="5"/>
        <v>42656.763113425928</v>
      </c>
    </row>
    <row r="185" spans="1:7" x14ac:dyDescent="0.25">
      <c r="A185" s="8">
        <v>42656.76390046296</v>
      </c>
      <c r="B185" s="21" t="s">
        <v>394</v>
      </c>
      <c r="C185" s="21" t="s">
        <v>564</v>
      </c>
      <c r="D185" s="21">
        <v>1140000</v>
      </c>
      <c r="E185" s="21" t="s">
        <v>202</v>
      </c>
      <c r="F185" s="21" t="str">
        <f t="shared" si="4"/>
        <v>rtdc.l.rtdc.4001:itc</v>
      </c>
      <c r="G185" s="8">
        <f t="shared" si="5"/>
        <v>42656.76390046296</v>
      </c>
    </row>
    <row r="186" spans="1:7" x14ac:dyDescent="0.25">
      <c r="A186" s="8">
        <v>42656.76935185185</v>
      </c>
      <c r="B186" s="21" t="s">
        <v>188</v>
      </c>
      <c r="C186" s="21" t="s">
        <v>565</v>
      </c>
      <c r="D186" s="21">
        <v>1480000</v>
      </c>
      <c r="E186" s="21" t="s">
        <v>192</v>
      </c>
      <c r="F186" s="21" t="str">
        <f t="shared" si="4"/>
        <v>rtdc.l.rtdc.4018:itc</v>
      </c>
      <c r="G186" s="8">
        <f t="shared" si="5"/>
        <v>42656.76935185185</v>
      </c>
    </row>
    <row r="187" spans="1:7" x14ac:dyDescent="0.25">
      <c r="A187" s="8">
        <v>42656.774918981479</v>
      </c>
      <c r="B187" s="21" t="s">
        <v>566</v>
      </c>
      <c r="C187" s="21" t="s">
        <v>567</v>
      </c>
      <c r="D187" s="21">
        <v>2040000</v>
      </c>
      <c r="E187" s="21" t="s">
        <v>493</v>
      </c>
      <c r="F187" s="21" t="str">
        <f t="shared" si="4"/>
        <v>rtdc.l.rtdc.4027:itc</v>
      </c>
      <c r="G187" s="8">
        <f t="shared" si="5"/>
        <v>42656.774918981479</v>
      </c>
    </row>
    <row r="188" spans="1:7" x14ac:dyDescent="0.25">
      <c r="A188" s="8">
        <v>42656.775960648149</v>
      </c>
      <c r="B188" s="21" t="s">
        <v>235</v>
      </c>
      <c r="C188" s="21" t="s">
        <v>568</v>
      </c>
      <c r="D188" s="21">
        <v>1540000</v>
      </c>
      <c r="E188" s="21" t="s">
        <v>240</v>
      </c>
      <c r="F188" s="21" t="str">
        <f t="shared" si="4"/>
        <v>rtdc.l.rtdc.4032:itc</v>
      </c>
      <c r="G188" s="8">
        <f t="shared" si="5"/>
        <v>42656.775960648149</v>
      </c>
    </row>
    <row r="189" spans="1:7" x14ac:dyDescent="0.25">
      <c r="A189" s="8">
        <v>42656.779062499998</v>
      </c>
      <c r="B189" s="21" t="s">
        <v>250</v>
      </c>
      <c r="C189" s="21" t="s">
        <v>417</v>
      </c>
      <c r="D189" s="21">
        <v>1290000</v>
      </c>
      <c r="E189" s="21" t="s">
        <v>226</v>
      </c>
      <c r="F189" s="21" t="str">
        <f t="shared" si="4"/>
        <v>rtdc.l.rtdc.4026:itc</v>
      </c>
      <c r="G189" s="8">
        <f t="shared" si="5"/>
        <v>42656.779062499998</v>
      </c>
    </row>
    <row r="190" spans="1:7" x14ac:dyDescent="0.25">
      <c r="A190" s="8">
        <v>42656.779178240744</v>
      </c>
      <c r="B190" s="21" t="s">
        <v>219</v>
      </c>
      <c r="C190" s="21" t="s">
        <v>569</v>
      </c>
      <c r="D190" s="21">
        <v>1810000</v>
      </c>
      <c r="E190" s="21" t="s">
        <v>495</v>
      </c>
      <c r="F190" s="21" t="str">
        <f t="shared" si="4"/>
        <v>rtdc.l.rtdc.4014:itc</v>
      </c>
      <c r="G190" s="8">
        <f t="shared" si="5"/>
        <v>42656.779178240744</v>
      </c>
    </row>
    <row r="191" spans="1:7" x14ac:dyDescent="0.25">
      <c r="A191" s="8">
        <v>42656.783032407409</v>
      </c>
      <c r="B191" s="21" t="s">
        <v>368</v>
      </c>
      <c r="C191" s="21" t="s">
        <v>570</v>
      </c>
      <c r="D191" s="21">
        <v>1230000</v>
      </c>
      <c r="E191" s="21" t="s">
        <v>231</v>
      </c>
      <c r="F191" s="21" t="str">
        <f t="shared" si="4"/>
        <v>rtdc.l.rtdc.4040:itc</v>
      </c>
      <c r="G191" s="8">
        <f t="shared" si="5"/>
        <v>42656.783032407409</v>
      </c>
    </row>
    <row r="192" spans="1:7" x14ac:dyDescent="0.25">
      <c r="A192" s="8">
        <v>42656.785810185182</v>
      </c>
      <c r="B192" s="21" t="s">
        <v>396</v>
      </c>
      <c r="C192" s="21" t="s">
        <v>571</v>
      </c>
      <c r="D192" s="21">
        <v>1740000</v>
      </c>
      <c r="E192" s="21" t="s">
        <v>243</v>
      </c>
      <c r="F192" s="21" t="str">
        <f t="shared" si="4"/>
        <v>rtdc.l.rtdc.4041:itc</v>
      </c>
      <c r="G192" s="8">
        <f t="shared" si="5"/>
        <v>42656.785810185182</v>
      </c>
    </row>
    <row r="193" spans="1:7" x14ac:dyDescent="0.25">
      <c r="A193" s="8">
        <v>42656.787523148145</v>
      </c>
      <c r="B193" s="21" t="s">
        <v>218</v>
      </c>
      <c r="C193" s="21" t="s">
        <v>572</v>
      </c>
      <c r="D193" s="21">
        <v>1180000</v>
      </c>
      <c r="E193" s="21" t="s">
        <v>190</v>
      </c>
      <c r="F193" s="21" t="str">
        <f t="shared" si="4"/>
        <v>rtdc.l.rtdc.4038:itc</v>
      </c>
      <c r="G193" s="8">
        <f t="shared" si="5"/>
        <v>42656.787523148145</v>
      </c>
    </row>
    <row r="194" spans="1:7" x14ac:dyDescent="0.25">
      <c r="A194" s="8">
        <v>42656.795081018521</v>
      </c>
      <c r="B194" s="21" t="s">
        <v>222</v>
      </c>
      <c r="C194" s="21" t="s">
        <v>573</v>
      </c>
      <c r="D194" s="21">
        <v>2350000</v>
      </c>
      <c r="E194" s="21" t="s">
        <v>228</v>
      </c>
      <c r="F194" s="21" t="str">
        <f t="shared" ref="F194:F235" si="6">B194</f>
        <v>rtdc.l.rtdc.4043:itc</v>
      </c>
      <c r="G194" s="8">
        <f t="shared" ref="G194:G235" si="7">A194</f>
        <v>42656.795081018521</v>
      </c>
    </row>
    <row r="195" spans="1:7" x14ac:dyDescent="0.25">
      <c r="A195" s="8">
        <v>42656.796134259261</v>
      </c>
      <c r="B195" s="21" t="s">
        <v>225</v>
      </c>
      <c r="C195" s="21" t="s">
        <v>574</v>
      </c>
      <c r="D195" s="21">
        <v>1230000</v>
      </c>
      <c r="E195" s="21" t="s">
        <v>231</v>
      </c>
      <c r="F195" s="21" t="str">
        <f t="shared" si="6"/>
        <v>rtdc.l.rtdc.4039:itc</v>
      </c>
      <c r="G195" s="8">
        <f t="shared" si="7"/>
        <v>42656.796134259261</v>
      </c>
    </row>
    <row r="196" spans="1:7" x14ac:dyDescent="0.25">
      <c r="A196" s="8">
        <v>42656.800949074073</v>
      </c>
      <c r="B196" s="21" t="s">
        <v>363</v>
      </c>
      <c r="C196" s="21" t="s">
        <v>575</v>
      </c>
      <c r="D196" s="21">
        <v>1480000</v>
      </c>
      <c r="E196" s="21" t="s">
        <v>192</v>
      </c>
      <c r="F196" s="21" t="str">
        <f t="shared" si="6"/>
        <v>rtdc.l.rtdc.4017:itc</v>
      </c>
      <c r="G196" s="8">
        <f t="shared" si="7"/>
        <v>42656.800949074073</v>
      </c>
    </row>
    <row r="197" spans="1:7" x14ac:dyDescent="0.25">
      <c r="A197" s="8">
        <v>42656.801874999997</v>
      </c>
      <c r="B197" s="21" t="s">
        <v>237</v>
      </c>
      <c r="C197" s="21" t="s">
        <v>576</v>
      </c>
      <c r="D197" s="21">
        <v>1540000</v>
      </c>
      <c r="E197" s="21" t="s">
        <v>240</v>
      </c>
      <c r="F197" s="21" t="str">
        <f t="shared" si="6"/>
        <v>rtdc.l.rtdc.4031:itc</v>
      </c>
      <c r="G197" s="8">
        <f t="shared" si="7"/>
        <v>42656.801874999997</v>
      </c>
    </row>
    <row r="198" spans="1:7" x14ac:dyDescent="0.25">
      <c r="A198" s="8">
        <v>42656.812384259261</v>
      </c>
      <c r="B198" s="21" t="s">
        <v>406</v>
      </c>
      <c r="C198" s="21" t="s">
        <v>577</v>
      </c>
      <c r="D198" s="21">
        <v>1290000</v>
      </c>
      <c r="E198" s="21" t="s">
        <v>226</v>
      </c>
      <c r="F198" s="21" t="str">
        <f t="shared" si="6"/>
        <v>rtdc.l.rtdc.4025:itc</v>
      </c>
      <c r="G198" s="8">
        <f t="shared" si="7"/>
        <v>42656.812384259261</v>
      </c>
    </row>
    <row r="199" spans="1:7" x14ac:dyDescent="0.25">
      <c r="A199" s="8">
        <v>42656.818692129629</v>
      </c>
      <c r="B199" s="21" t="s">
        <v>235</v>
      </c>
      <c r="C199" s="21" t="s">
        <v>578</v>
      </c>
      <c r="D199" s="21">
        <v>1540000</v>
      </c>
      <c r="E199" s="21" t="s">
        <v>240</v>
      </c>
      <c r="F199" s="21" t="str">
        <f t="shared" si="6"/>
        <v>rtdc.l.rtdc.4032:itc</v>
      </c>
      <c r="G199" s="8">
        <f t="shared" si="7"/>
        <v>42656.818692129629</v>
      </c>
    </row>
    <row r="200" spans="1:7" x14ac:dyDescent="0.25">
      <c r="A200" s="8">
        <v>42656.820289351854</v>
      </c>
      <c r="B200" s="21" t="s">
        <v>379</v>
      </c>
      <c r="C200" s="21" t="s">
        <v>579</v>
      </c>
      <c r="D200" s="21">
        <v>1740000</v>
      </c>
      <c r="E200" s="21" t="s">
        <v>243</v>
      </c>
      <c r="F200" s="21" t="str">
        <f t="shared" si="6"/>
        <v>rtdc.l.rtdc.4042:itc</v>
      </c>
      <c r="G200" s="8">
        <f t="shared" si="7"/>
        <v>42656.820289351854</v>
      </c>
    </row>
    <row r="201" spans="1:7" x14ac:dyDescent="0.25">
      <c r="A201" s="8">
        <v>42656.823460648149</v>
      </c>
      <c r="B201" s="21" t="s">
        <v>230</v>
      </c>
      <c r="C201" s="21" t="s">
        <v>580</v>
      </c>
      <c r="D201" s="21">
        <v>1180000</v>
      </c>
      <c r="E201" s="21" t="s">
        <v>190</v>
      </c>
      <c r="F201" s="21" t="str">
        <f t="shared" si="6"/>
        <v>rtdc.l.rtdc.4037:itc</v>
      </c>
      <c r="G201" s="8">
        <f t="shared" si="7"/>
        <v>42656.823460648149</v>
      </c>
    </row>
    <row r="202" spans="1:7" x14ac:dyDescent="0.25">
      <c r="A202" s="27">
        <v>42656.83253472222</v>
      </c>
      <c r="B202" s="21" t="s">
        <v>237</v>
      </c>
      <c r="C202" s="21" t="s">
        <v>581</v>
      </c>
      <c r="D202" s="21">
        <v>1540000</v>
      </c>
      <c r="E202" s="21" t="s">
        <v>240</v>
      </c>
      <c r="F202" s="21" t="str">
        <f t="shared" si="6"/>
        <v>rtdc.l.rtdc.4031:itc</v>
      </c>
      <c r="G202" s="8">
        <f t="shared" si="7"/>
        <v>42656.83253472222</v>
      </c>
    </row>
    <row r="203" spans="1:7" x14ac:dyDescent="0.25">
      <c r="A203" s="8">
        <v>42656.832766203705</v>
      </c>
      <c r="B203" s="21" t="s">
        <v>200</v>
      </c>
      <c r="C203" s="21" t="s">
        <v>582</v>
      </c>
      <c r="D203" s="21">
        <v>2350000</v>
      </c>
      <c r="E203" s="21" t="s">
        <v>228</v>
      </c>
      <c r="F203" s="21" t="str">
        <f t="shared" si="6"/>
        <v>rtdc.l.rtdc.4044:itc</v>
      </c>
      <c r="G203" s="8">
        <f t="shared" si="7"/>
        <v>42656.832766203705</v>
      </c>
    </row>
    <row r="204" spans="1:7" x14ac:dyDescent="0.25">
      <c r="A204" s="8">
        <v>42656.849236111113</v>
      </c>
      <c r="B204" s="21" t="s">
        <v>250</v>
      </c>
      <c r="C204" s="21" t="s">
        <v>583</v>
      </c>
      <c r="D204" s="21">
        <v>1290000</v>
      </c>
      <c r="E204" s="21" t="s">
        <v>226</v>
      </c>
      <c r="F204" s="21" t="str">
        <f t="shared" si="6"/>
        <v>rtdc.l.rtdc.4026:itc</v>
      </c>
      <c r="G204" s="8">
        <f t="shared" si="7"/>
        <v>42656.849236111113</v>
      </c>
    </row>
    <row r="205" spans="1:7" x14ac:dyDescent="0.25">
      <c r="A205" s="8">
        <v>42656.849826388891</v>
      </c>
      <c r="B205" s="21" t="s">
        <v>188</v>
      </c>
      <c r="C205" s="21" t="s">
        <v>584</v>
      </c>
      <c r="D205" s="21">
        <v>1480000</v>
      </c>
      <c r="E205" s="21" t="s">
        <v>192</v>
      </c>
      <c r="F205" s="21" t="str">
        <f t="shared" si="6"/>
        <v>rtdc.l.rtdc.4018:itc</v>
      </c>
      <c r="G205" s="8">
        <f t="shared" si="7"/>
        <v>42656.849826388891</v>
      </c>
    </row>
    <row r="206" spans="1:7" x14ac:dyDescent="0.25">
      <c r="A206" s="8">
        <v>42656.859976851854</v>
      </c>
      <c r="B206" s="21" t="s">
        <v>235</v>
      </c>
      <c r="C206" s="21" t="s">
        <v>585</v>
      </c>
      <c r="D206" s="21">
        <v>1540000</v>
      </c>
      <c r="E206" s="21" t="s">
        <v>240</v>
      </c>
      <c r="F206" s="21" t="str">
        <f t="shared" si="6"/>
        <v>rtdc.l.rtdc.4032:itc</v>
      </c>
      <c r="G206" s="8">
        <f t="shared" si="7"/>
        <v>42656.859976851854</v>
      </c>
    </row>
    <row r="207" spans="1:7" x14ac:dyDescent="0.25">
      <c r="A207" s="8">
        <v>42656.86582175926</v>
      </c>
      <c r="B207" s="21" t="s">
        <v>222</v>
      </c>
      <c r="C207" s="21" t="s">
        <v>586</v>
      </c>
      <c r="D207" s="21">
        <v>2350000</v>
      </c>
      <c r="E207" s="21" t="s">
        <v>228</v>
      </c>
      <c r="F207" s="21" t="str">
        <f t="shared" si="6"/>
        <v>rtdc.l.rtdc.4043:itc</v>
      </c>
      <c r="G207" s="8">
        <f t="shared" si="7"/>
        <v>42656.86582175926</v>
      </c>
    </row>
    <row r="208" spans="1:7" x14ac:dyDescent="0.25">
      <c r="A208" s="8">
        <v>42656.869490740741</v>
      </c>
      <c r="B208" s="21" t="s">
        <v>218</v>
      </c>
      <c r="C208" s="21" t="s">
        <v>587</v>
      </c>
      <c r="D208" s="21">
        <v>1180000</v>
      </c>
      <c r="E208" s="21" t="s">
        <v>190</v>
      </c>
      <c r="F208" s="21" t="str">
        <f t="shared" si="6"/>
        <v>rtdc.l.rtdc.4038:itc</v>
      </c>
      <c r="G208" s="8">
        <f t="shared" si="7"/>
        <v>42656.869490740741</v>
      </c>
    </row>
    <row r="209" spans="1:7" x14ac:dyDescent="0.25">
      <c r="A209" s="8">
        <v>42656.869502314818</v>
      </c>
      <c r="B209" s="21" t="s">
        <v>222</v>
      </c>
      <c r="C209" s="21" t="s">
        <v>586</v>
      </c>
      <c r="D209" s="21">
        <v>2350000</v>
      </c>
      <c r="E209" s="21" t="s">
        <v>228</v>
      </c>
      <c r="F209" s="21" t="str">
        <f t="shared" si="6"/>
        <v>rtdc.l.rtdc.4043:itc</v>
      </c>
      <c r="G209" s="8">
        <f t="shared" si="7"/>
        <v>42656.869502314818</v>
      </c>
    </row>
    <row r="210" spans="1:7" x14ac:dyDescent="0.25">
      <c r="A210" s="8">
        <v>42656.88722222222</v>
      </c>
      <c r="B210" s="21" t="s">
        <v>363</v>
      </c>
      <c r="C210" s="21" t="s">
        <v>588</v>
      </c>
      <c r="D210" s="21">
        <v>1480000</v>
      </c>
      <c r="E210" s="21" t="s">
        <v>192</v>
      </c>
      <c r="F210" s="21" t="str">
        <f t="shared" si="6"/>
        <v>rtdc.l.rtdc.4017:itc</v>
      </c>
      <c r="G210" s="8">
        <f t="shared" si="7"/>
        <v>42656.88722222222</v>
      </c>
    </row>
    <row r="211" spans="1:7" x14ac:dyDescent="0.25">
      <c r="A211" s="8">
        <v>42656.887835648151</v>
      </c>
      <c r="B211" s="21" t="s">
        <v>237</v>
      </c>
      <c r="C211" s="21" t="s">
        <v>589</v>
      </c>
      <c r="D211" s="21">
        <v>1230000</v>
      </c>
      <c r="E211" s="21" t="s">
        <v>231</v>
      </c>
      <c r="F211" s="21" t="str">
        <f t="shared" si="6"/>
        <v>rtdc.l.rtdc.4031:itc</v>
      </c>
      <c r="G211" s="8">
        <f t="shared" si="7"/>
        <v>42656.887835648151</v>
      </c>
    </row>
    <row r="212" spans="1:7" x14ac:dyDescent="0.25">
      <c r="A212" s="8">
        <v>42656.891770833332</v>
      </c>
      <c r="B212" s="21" t="s">
        <v>406</v>
      </c>
      <c r="C212" s="21" t="s">
        <v>590</v>
      </c>
      <c r="D212" s="21">
        <v>1290000</v>
      </c>
      <c r="E212" s="21" t="s">
        <v>226</v>
      </c>
      <c r="F212" s="21" t="str">
        <f t="shared" si="6"/>
        <v>rtdc.l.rtdc.4025:itc</v>
      </c>
      <c r="G212" s="8">
        <f t="shared" si="7"/>
        <v>42656.891770833332</v>
      </c>
    </row>
    <row r="213" spans="1:7" x14ac:dyDescent="0.25">
      <c r="A213" s="8">
        <v>42656.901064814818</v>
      </c>
      <c r="B213" s="21" t="s">
        <v>235</v>
      </c>
      <c r="C213" s="21" t="s">
        <v>591</v>
      </c>
      <c r="D213" s="21">
        <v>1230000</v>
      </c>
      <c r="E213" s="21" t="s">
        <v>231</v>
      </c>
      <c r="F213" s="21" t="str">
        <f t="shared" si="6"/>
        <v>rtdc.l.rtdc.4032:itc</v>
      </c>
      <c r="G213" s="8">
        <f t="shared" si="7"/>
        <v>42656.901064814818</v>
      </c>
    </row>
    <row r="214" spans="1:7" x14ac:dyDescent="0.25">
      <c r="A214" s="8">
        <v>42656.910312499997</v>
      </c>
      <c r="B214" s="21" t="s">
        <v>230</v>
      </c>
      <c r="C214" s="21" t="s">
        <v>419</v>
      </c>
      <c r="D214" s="21">
        <v>1180000</v>
      </c>
      <c r="E214" s="21" t="s">
        <v>190</v>
      </c>
      <c r="F214" s="21" t="str">
        <f t="shared" si="6"/>
        <v>rtdc.l.rtdc.4037:itc</v>
      </c>
      <c r="G214" s="8">
        <f t="shared" si="7"/>
        <v>42656.910312499997</v>
      </c>
    </row>
    <row r="215" spans="1:7" x14ac:dyDescent="0.25">
      <c r="A215" s="8">
        <v>42656.913275462961</v>
      </c>
      <c r="B215" s="21" t="s">
        <v>200</v>
      </c>
      <c r="C215" s="21" t="s">
        <v>592</v>
      </c>
      <c r="D215" s="21">
        <v>2350000</v>
      </c>
      <c r="E215" s="21" t="s">
        <v>228</v>
      </c>
      <c r="F215" s="21" t="str">
        <f t="shared" si="6"/>
        <v>rtdc.l.rtdc.4044:itc</v>
      </c>
      <c r="G215" s="8">
        <f t="shared" si="7"/>
        <v>42656.913275462961</v>
      </c>
    </row>
    <row r="216" spans="1:7" x14ac:dyDescent="0.25">
      <c r="A216" s="8">
        <v>42656.929351851853</v>
      </c>
      <c r="B216" s="21" t="s">
        <v>237</v>
      </c>
      <c r="C216" s="21" t="s">
        <v>593</v>
      </c>
      <c r="D216" s="21">
        <v>1230000</v>
      </c>
      <c r="E216" s="21" t="s">
        <v>231</v>
      </c>
      <c r="F216" s="21" t="str">
        <f t="shared" si="6"/>
        <v>rtdc.l.rtdc.4031:itc</v>
      </c>
      <c r="G216" s="8">
        <f t="shared" si="7"/>
        <v>42656.929351851853</v>
      </c>
    </row>
    <row r="217" spans="1:7" x14ac:dyDescent="0.25">
      <c r="A217" s="8">
        <v>42656.930949074071</v>
      </c>
      <c r="B217" s="21" t="s">
        <v>188</v>
      </c>
      <c r="C217" s="21" t="s">
        <v>418</v>
      </c>
      <c r="D217" s="21">
        <v>1480000</v>
      </c>
      <c r="E217" s="21" t="s">
        <v>192</v>
      </c>
      <c r="F217" s="21" t="str">
        <f t="shared" si="6"/>
        <v>rtdc.l.rtdc.4018:itc</v>
      </c>
      <c r="G217" s="8">
        <f t="shared" si="7"/>
        <v>42656.930949074071</v>
      </c>
    </row>
    <row r="218" spans="1:7" x14ac:dyDescent="0.25">
      <c r="A218" s="8">
        <v>42656.931122685186</v>
      </c>
      <c r="B218" s="21" t="s">
        <v>250</v>
      </c>
      <c r="C218" s="21" t="s">
        <v>420</v>
      </c>
      <c r="D218" s="21">
        <v>1290000</v>
      </c>
      <c r="E218" s="21" t="s">
        <v>226</v>
      </c>
      <c r="F218" s="21" t="str">
        <f t="shared" si="6"/>
        <v>rtdc.l.rtdc.4026:itc</v>
      </c>
      <c r="G218" s="8">
        <f t="shared" si="7"/>
        <v>42656.931122685186</v>
      </c>
    </row>
    <row r="219" spans="1:7" x14ac:dyDescent="0.25">
      <c r="A219" s="8">
        <v>42656.942465277774</v>
      </c>
      <c r="B219" s="21" t="s">
        <v>235</v>
      </c>
      <c r="C219" s="21" t="s">
        <v>594</v>
      </c>
      <c r="D219" s="21">
        <v>1230000</v>
      </c>
      <c r="E219" s="21" t="s">
        <v>231</v>
      </c>
      <c r="F219" s="21" t="str">
        <f t="shared" si="6"/>
        <v>rtdc.l.rtdc.4032:itc</v>
      </c>
      <c r="G219" s="8">
        <f t="shared" si="7"/>
        <v>42656.942465277774</v>
      </c>
    </row>
    <row r="220" spans="1:7" x14ac:dyDescent="0.25">
      <c r="A220" s="8">
        <v>42656.944826388892</v>
      </c>
      <c r="B220" s="21" t="s">
        <v>188</v>
      </c>
      <c r="C220" s="21" t="s">
        <v>418</v>
      </c>
      <c r="D220" s="21">
        <v>1480000</v>
      </c>
      <c r="E220" s="21" t="s">
        <v>192</v>
      </c>
      <c r="F220" s="21" t="str">
        <f t="shared" si="6"/>
        <v>rtdc.l.rtdc.4018:itc</v>
      </c>
      <c r="G220" s="8">
        <f t="shared" si="7"/>
        <v>42656.944826388892</v>
      </c>
    </row>
    <row r="221" spans="1:7" x14ac:dyDescent="0.25">
      <c r="A221" s="8">
        <v>42656.952222222222</v>
      </c>
      <c r="B221" s="21" t="s">
        <v>222</v>
      </c>
      <c r="C221" s="21" t="s">
        <v>421</v>
      </c>
      <c r="D221" s="21">
        <v>2350000</v>
      </c>
      <c r="E221" s="21" t="s">
        <v>228</v>
      </c>
      <c r="F221" s="21" t="str">
        <f t="shared" si="6"/>
        <v>rtdc.l.rtdc.4043:itc</v>
      </c>
      <c r="G221" s="8">
        <f t="shared" si="7"/>
        <v>42656.952222222222</v>
      </c>
    </row>
    <row r="222" spans="1:7" x14ac:dyDescent="0.25">
      <c r="A222" s="8">
        <v>42656.95412037037</v>
      </c>
      <c r="B222" s="21" t="s">
        <v>218</v>
      </c>
      <c r="C222" s="21" t="s">
        <v>595</v>
      </c>
      <c r="D222" s="21">
        <v>1180000</v>
      </c>
      <c r="E222" s="21" t="s">
        <v>190</v>
      </c>
      <c r="F222" s="21" t="str">
        <f t="shared" si="6"/>
        <v>rtdc.l.rtdc.4038:itc</v>
      </c>
      <c r="G222" s="8">
        <f t="shared" si="7"/>
        <v>42656.95412037037</v>
      </c>
    </row>
    <row r="223" spans="1:7" x14ac:dyDescent="0.25">
      <c r="A223" s="8">
        <v>42656.973819444444</v>
      </c>
      <c r="B223" s="21" t="s">
        <v>363</v>
      </c>
      <c r="C223" s="21" t="s">
        <v>596</v>
      </c>
      <c r="D223" s="21">
        <v>1480000</v>
      </c>
      <c r="E223" s="21" t="s">
        <v>192</v>
      </c>
      <c r="F223" s="21" t="str">
        <f t="shared" si="6"/>
        <v>rtdc.l.rtdc.4017:itc</v>
      </c>
      <c r="G223" s="8">
        <f t="shared" si="7"/>
        <v>42656.973819444444</v>
      </c>
    </row>
    <row r="224" spans="1:7" x14ac:dyDescent="0.25">
      <c r="A224" s="8">
        <v>42656.977476851855</v>
      </c>
      <c r="B224" t="s">
        <v>406</v>
      </c>
      <c r="C224" t="s">
        <v>597</v>
      </c>
      <c r="D224">
        <v>1290000</v>
      </c>
      <c r="E224" t="s">
        <v>226</v>
      </c>
      <c r="F224" s="21" t="str">
        <f t="shared" si="6"/>
        <v>rtdc.l.rtdc.4025:itc</v>
      </c>
      <c r="G224" s="8">
        <f t="shared" si="7"/>
        <v>42656.977476851855</v>
      </c>
    </row>
    <row r="225" spans="1:7" x14ac:dyDescent="0.25">
      <c r="A225" s="8">
        <v>42656.993287037039</v>
      </c>
      <c r="B225" t="s">
        <v>230</v>
      </c>
      <c r="C225" t="s">
        <v>598</v>
      </c>
      <c r="D225">
        <v>1180000</v>
      </c>
      <c r="E225" t="s">
        <v>190</v>
      </c>
      <c r="F225" s="21" t="str">
        <f t="shared" si="6"/>
        <v>rtdc.l.rtdc.4037:itc</v>
      </c>
      <c r="G225" s="8">
        <f t="shared" si="7"/>
        <v>42656.993287037039</v>
      </c>
    </row>
    <row r="226" spans="1:7" x14ac:dyDescent="0.25">
      <c r="A226" s="8">
        <v>42656.993449074071</v>
      </c>
      <c r="B226" t="s">
        <v>200</v>
      </c>
      <c r="C226" t="s">
        <v>599</v>
      </c>
      <c r="D226">
        <v>2350000</v>
      </c>
      <c r="E226" t="s">
        <v>228</v>
      </c>
      <c r="F226" s="21" t="str">
        <f t="shared" si="6"/>
        <v>rtdc.l.rtdc.4044:itc</v>
      </c>
      <c r="G226" s="8">
        <f t="shared" si="7"/>
        <v>42656.993449074071</v>
      </c>
    </row>
    <row r="227" spans="1:7" x14ac:dyDescent="0.25">
      <c r="A227" s="8">
        <v>42657.013020833336</v>
      </c>
      <c r="B227" t="s">
        <v>188</v>
      </c>
      <c r="C227" t="s">
        <v>600</v>
      </c>
      <c r="D227">
        <v>1480000</v>
      </c>
      <c r="E227" t="s">
        <v>192</v>
      </c>
      <c r="F227" s="21" t="str">
        <f t="shared" si="6"/>
        <v>rtdc.l.rtdc.4018:itc</v>
      </c>
      <c r="G227" s="8">
        <f t="shared" si="7"/>
        <v>42657.013020833336</v>
      </c>
    </row>
    <row r="228" spans="1:7" x14ac:dyDescent="0.25">
      <c r="A228" s="8">
        <v>42657.032013888886</v>
      </c>
      <c r="B228" t="s">
        <v>218</v>
      </c>
      <c r="C228" t="s">
        <v>601</v>
      </c>
      <c r="D228">
        <v>1180000</v>
      </c>
      <c r="E228" t="s">
        <v>190</v>
      </c>
      <c r="F228" s="21" t="str">
        <f t="shared" si="6"/>
        <v>rtdc.l.rtdc.4038:itc</v>
      </c>
      <c r="G228" s="8">
        <f t="shared" si="7"/>
        <v>42657.032013888886</v>
      </c>
    </row>
    <row r="229" spans="1:7" x14ac:dyDescent="0.25">
      <c r="A229" s="8">
        <v>42657.032696759263</v>
      </c>
      <c r="B229" t="s">
        <v>222</v>
      </c>
      <c r="C229" t="s">
        <v>602</v>
      </c>
      <c r="D229">
        <v>2350000</v>
      </c>
      <c r="E229" t="s">
        <v>228</v>
      </c>
      <c r="F229" s="21" t="str">
        <f t="shared" si="6"/>
        <v>rtdc.l.rtdc.4043:itc</v>
      </c>
      <c r="G229" s="8">
        <f t="shared" si="7"/>
        <v>42657.032696759263</v>
      </c>
    </row>
    <row r="230" spans="1:7" x14ac:dyDescent="0.25">
      <c r="A230" s="8">
        <v>42657.069456018522</v>
      </c>
      <c r="B230" t="s">
        <v>200</v>
      </c>
      <c r="C230" t="s">
        <v>603</v>
      </c>
      <c r="D230">
        <v>2350000</v>
      </c>
      <c r="E230" t="s">
        <v>228</v>
      </c>
      <c r="F230" s="21" t="str">
        <f t="shared" si="6"/>
        <v>rtdc.l.rtdc.4044:itc</v>
      </c>
      <c r="G230" s="8">
        <f t="shared" si="7"/>
        <v>42657.069456018522</v>
      </c>
    </row>
    <row r="231" spans="1:7" x14ac:dyDescent="0.25">
      <c r="A231" s="8">
        <v>42657.070196759261</v>
      </c>
      <c r="B231" t="s">
        <v>200</v>
      </c>
      <c r="C231" t="s">
        <v>603</v>
      </c>
      <c r="D231">
        <v>2350000</v>
      </c>
      <c r="E231" t="s">
        <v>228</v>
      </c>
      <c r="F231" s="21" t="str">
        <f t="shared" si="6"/>
        <v>rtdc.l.rtdc.4044:itc</v>
      </c>
      <c r="G231" s="8">
        <f t="shared" si="7"/>
        <v>42657.070196759261</v>
      </c>
    </row>
    <row r="232" spans="1:7" x14ac:dyDescent="0.25">
      <c r="A232" s="8">
        <v>42657.090208333335</v>
      </c>
      <c r="B232" t="s">
        <v>188</v>
      </c>
      <c r="C232" t="s">
        <v>604</v>
      </c>
      <c r="D232">
        <v>1480000</v>
      </c>
      <c r="E232" t="s">
        <v>192</v>
      </c>
      <c r="F232" s="21" t="str">
        <f t="shared" si="6"/>
        <v>rtdc.l.rtdc.4018:itc</v>
      </c>
      <c r="G232" s="8">
        <f t="shared" si="7"/>
        <v>42657.090208333335</v>
      </c>
    </row>
    <row r="233" spans="1:7" x14ac:dyDescent="0.25">
      <c r="D233">
        <v>140000</v>
      </c>
      <c r="E233" t="s">
        <v>202</v>
      </c>
      <c r="F233" s="21">
        <f t="shared" si="6"/>
        <v>0</v>
      </c>
      <c r="G233" s="8">
        <f t="shared" si="7"/>
        <v>0</v>
      </c>
    </row>
    <row r="234" spans="1:7" x14ac:dyDescent="0.25">
      <c r="D234">
        <v>1800000</v>
      </c>
      <c r="E234" t="s">
        <v>220</v>
      </c>
      <c r="F234" s="21">
        <f t="shared" si="6"/>
        <v>0</v>
      </c>
      <c r="G234" s="8">
        <f t="shared" si="7"/>
        <v>0</v>
      </c>
    </row>
    <row r="235" spans="1:7" x14ac:dyDescent="0.25">
      <c r="D235">
        <v>1180000</v>
      </c>
      <c r="E235" t="s">
        <v>190</v>
      </c>
      <c r="F235" s="21">
        <f t="shared" si="6"/>
        <v>0</v>
      </c>
      <c r="G235" s="8">
        <f t="shared" si="7"/>
        <v>0</v>
      </c>
    </row>
    <row r="236" spans="1:7" x14ac:dyDescent="0.25">
      <c r="D236">
        <v>1230000</v>
      </c>
      <c r="E236" t="s">
        <v>231</v>
      </c>
      <c r="F236" s="21">
        <f t="shared" ref="F236:F265" si="8">B236</f>
        <v>0</v>
      </c>
      <c r="G236" s="8">
        <f t="shared" ref="G236:G265" si="9">A236</f>
        <v>0</v>
      </c>
    </row>
    <row r="237" spans="1:7" x14ac:dyDescent="0.25">
      <c r="D237">
        <v>1290000</v>
      </c>
      <c r="E237" t="s">
        <v>226</v>
      </c>
      <c r="F237" s="21">
        <f t="shared" si="8"/>
        <v>0</v>
      </c>
      <c r="G237" s="8">
        <f t="shared" si="9"/>
        <v>0</v>
      </c>
    </row>
    <row r="238" spans="1:7" x14ac:dyDescent="0.25">
      <c r="D238">
        <v>2350000</v>
      </c>
      <c r="E238" t="s">
        <v>228</v>
      </c>
      <c r="F238" s="21">
        <f t="shared" si="8"/>
        <v>0</v>
      </c>
      <c r="G238" s="8">
        <f t="shared" si="9"/>
        <v>0</v>
      </c>
    </row>
    <row r="239" spans="1:7" x14ac:dyDescent="0.25">
      <c r="D239">
        <v>1290000</v>
      </c>
      <c r="E239" t="s">
        <v>226</v>
      </c>
      <c r="F239" s="21">
        <f t="shared" si="8"/>
        <v>0</v>
      </c>
      <c r="G239" s="8">
        <f t="shared" si="9"/>
        <v>0</v>
      </c>
    </row>
    <row r="240" spans="1:7" x14ac:dyDescent="0.25">
      <c r="D240">
        <v>1800000</v>
      </c>
      <c r="E240" t="s">
        <v>220</v>
      </c>
      <c r="F240" s="21">
        <f t="shared" si="8"/>
        <v>0</v>
      </c>
      <c r="G240" s="8">
        <f t="shared" si="9"/>
        <v>0</v>
      </c>
    </row>
    <row r="241" spans="1:7" x14ac:dyDescent="0.25">
      <c r="D241">
        <v>1180000</v>
      </c>
      <c r="E241" t="s">
        <v>190</v>
      </c>
      <c r="F241" s="21">
        <f t="shared" si="8"/>
        <v>0</v>
      </c>
      <c r="G241" s="8">
        <f t="shared" si="9"/>
        <v>0</v>
      </c>
    </row>
    <row r="242" spans="1:7" x14ac:dyDescent="0.25">
      <c r="D242">
        <v>2350000</v>
      </c>
      <c r="E242" t="s">
        <v>228</v>
      </c>
      <c r="F242" s="21">
        <f t="shared" si="8"/>
        <v>0</v>
      </c>
      <c r="G242" s="8">
        <f t="shared" si="9"/>
        <v>0</v>
      </c>
    </row>
    <row r="243" spans="1:7" x14ac:dyDescent="0.25">
      <c r="D243">
        <v>1230000</v>
      </c>
      <c r="E243" t="s">
        <v>231</v>
      </c>
      <c r="F243" s="21">
        <f t="shared" si="8"/>
        <v>0</v>
      </c>
      <c r="G243" s="8">
        <f t="shared" si="9"/>
        <v>0</v>
      </c>
    </row>
    <row r="244" spans="1:7" x14ac:dyDescent="0.25">
      <c r="D244">
        <v>1180000</v>
      </c>
      <c r="E244" t="s">
        <v>190</v>
      </c>
      <c r="F244" s="21">
        <f t="shared" si="8"/>
        <v>0</v>
      </c>
      <c r="G244" s="8">
        <f t="shared" si="9"/>
        <v>0</v>
      </c>
    </row>
    <row r="245" spans="1:7" x14ac:dyDescent="0.25">
      <c r="D245">
        <v>1800000</v>
      </c>
      <c r="E245" t="s">
        <v>220</v>
      </c>
      <c r="F245" s="21">
        <f t="shared" si="8"/>
        <v>0</v>
      </c>
      <c r="G245" s="8">
        <f t="shared" si="9"/>
        <v>0</v>
      </c>
    </row>
    <row r="246" spans="1:7" x14ac:dyDescent="0.25">
      <c r="D246">
        <v>1230000</v>
      </c>
      <c r="E246" t="s">
        <v>231</v>
      </c>
      <c r="F246" s="21">
        <f t="shared" si="8"/>
        <v>0</v>
      </c>
      <c r="G246" s="8">
        <f t="shared" si="9"/>
        <v>0</v>
      </c>
    </row>
    <row r="247" spans="1:7" x14ac:dyDescent="0.25">
      <c r="D247">
        <v>2350000</v>
      </c>
      <c r="E247" t="s">
        <v>228</v>
      </c>
      <c r="F247" s="21">
        <f t="shared" si="8"/>
        <v>0</v>
      </c>
      <c r="G247" s="8">
        <f t="shared" si="9"/>
        <v>0</v>
      </c>
    </row>
    <row r="248" spans="1:7" x14ac:dyDescent="0.25">
      <c r="D248">
        <v>1180000</v>
      </c>
      <c r="E248" t="s">
        <v>190</v>
      </c>
      <c r="F248" s="21">
        <f t="shared" si="8"/>
        <v>0</v>
      </c>
      <c r="G248" s="8">
        <f t="shared" si="9"/>
        <v>0</v>
      </c>
    </row>
    <row r="249" spans="1:7" x14ac:dyDescent="0.25">
      <c r="D249">
        <v>1180000</v>
      </c>
      <c r="E249" t="s">
        <v>190</v>
      </c>
      <c r="F249" s="21">
        <f t="shared" si="8"/>
        <v>0</v>
      </c>
      <c r="G249" s="8">
        <f t="shared" si="9"/>
        <v>0</v>
      </c>
    </row>
    <row r="250" spans="1:7" x14ac:dyDescent="0.25">
      <c r="D250">
        <v>1800000</v>
      </c>
      <c r="E250" t="s">
        <v>220</v>
      </c>
      <c r="F250" s="21">
        <f t="shared" si="8"/>
        <v>0</v>
      </c>
      <c r="G250" s="8">
        <f t="shared" si="9"/>
        <v>0</v>
      </c>
    </row>
    <row r="251" spans="1:7" x14ac:dyDescent="0.25">
      <c r="D251">
        <v>2350000</v>
      </c>
      <c r="E251" t="s">
        <v>228</v>
      </c>
      <c r="F251" s="21">
        <f t="shared" si="8"/>
        <v>0</v>
      </c>
      <c r="G251" s="8">
        <f t="shared" si="9"/>
        <v>0</v>
      </c>
    </row>
    <row r="252" spans="1:7" x14ac:dyDescent="0.25">
      <c r="F252" s="21">
        <f t="shared" si="8"/>
        <v>0</v>
      </c>
      <c r="G252" s="8">
        <f t="shared" si="9"/>
        <v>0</v>
      </c>
    </row>
    <row r="253" spans="1:7" x14ac:dyDescent="0.25">
      <c r="A253" s="8">
        <v>42651.069953703707</v>
      </c>
      <c r="B253" t="s">
        <v>203</v>
      </c>
      <c r="C253" t="s">
        <v>211</v>
      </c>
      <c r="D253">
        <v>1800000</v>
      </c>
      <c r="E253" t="s">
        <v>220</v>
      </c>
      <c r="F253" s="21" t="str">
        <f t="shared" si="8"/>
        <v>rtdc.l.rtdc.4046:itc</v>
      </c>
      <c r="G253" s="8">
        <f t="shared" si="9"/>
        <v>42651.069953703707</v>
      </c>
    </row>
    <row r="254" spans="1:7" x14ac:dyDescent="0.25">
      <c r="A254" s="8">
        <v>42651.076747685183</v>
      </c>
      <c r="B254" t="s">
        <v>199</v>
      </c>
      <c r="C254" t="s">
        <v>210</v>
      </c>
      <c r="D254">
        <v>1300000</v>
      </c>
      <c r="E254" t="s">
        <v>114</v>
      </c>
      <c r="F254" s="21" t="str">
        <f t="shared" si="8"/>
        <v>rtdc.l.rtdc.4008:itc</v>
      </c>
      <c r="G254" s="8">
        <f t="shared" si="9"/>
        <v>42651.076747685183</v>
      </c>
    </row>
    <row r="255" spans="1:7" x14ac:dyDescent="0.25">
      <c r="A255" s="8">
        <v>42651.087326388886</v>
      </c>
      <c r="B255" t="s">
        <v>157</v>
      </c>
      <c r="C255" t="s">
        <v>215</v>
      </c>
      <c r="D255">
        <v>630000</v>
      </c>
      <c r="E255" t="b">
        <v>1</v>
      </c>
      <c r="F255" s="21" t="str">
        <f t="shared" si="8"/>
        <v>rtdc.l.rtdc.4051:itc</v>
      </c>
      <c r="G255" s="8">
        <f t="shared" si="9"/>
        <v>42651.087326388886</v>
      </c>
    </row>
    <row r="256" spans="1:7" x14ac:dyDescent="0.25">
      <c r="A256" s="8">
        <v>42651.08803240741</v>
      </c>
      <c r="B256" t="s">
        <v>157</v>
      </c>
      <c r="C256" t="s">
        <v>215</v>
      </c>
      <c r="D256">
        <v>630000</v>
      </c>
      <c r="E256" t="b">
        <v>1</v>
      </c>
      <c r="F256" s="21" t="str">
        <f t="shared" si="8"/>
        <v>rtdc.l.rtdc.4051:itc</v>
      </c>
      <c r="G256" s="8">
        <f t="shared" si="9"/>
        <v>42651.08803240741</v>
      </c>
    </row>
    <row r="257" spans="1:7" x14ac:dyDescent="0.25">
      <c r="A257" s="8">
        <v>42651.089988425927</v>
      </c>
      <c r="B257" t="s">
        <v>157</v>
      </c>
      <c r="C257" t="s">
        <v>214</v>
      </c>
      <c r="D257">
        <v>630000</v>
      </c>
      <c r="E257" t="b">
        <v>1</v>
      </c>
      <c r="F257" s="21" t="str">
        <f t="shared" si="8"/>
        <v>rtdc.l.rtdc.4051:itc</v>
      </c>
      <c r="G257" s="8">
        <f t="shared" si="9"/>
        <v>42651.089988425927</v>
      </c>
    </row>
    <row r="258" spans="1:7" x14ac:dyDescent="0.25">
      <c r="A258" s="8">
        <v>42651.090532407405</v>
      </c>
      <c r="B258" t="s">
        <v>216</v>
      </c>
      <c r="C258" t="s">
        <v>212</v>
      </c>
      <c r="D258">
        <v>1480000</v>
      </c>
      <c r="E258" t="s">
        <v>192</v>
      </c>
      <c r="F258" s="21" t="str">
        <f t="shared" si="8"/>
        <v>rtdc.l.rtdc.4020:itc</v>
      </c>
      <c r="G258" s="8">
        <f t="shared" si="9"/>
        <v>42651.090532407405</v>
      </c>
    </row>
    <row r="259" spans="1:7" x14ac:dyDescent="0.25">
      <c r="A259" s="8">
        <v>42651.110636574071</v>
      </c>
      <c r="B259" t="s">
        <v>201</v>
      </c>
      <c r="C259" t="s">
        <v>213</v>
      </c>
      <c r="D259">
        <v>1300000</v>
      </c>
      <c r="E259" t="s">
        <v>114</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201</v>
      </c>
      <c r="C261" t="s">
        <v>205</v>
      </c>
      <c r="D261">
        <v>1180000</v>
      </c>
      <c r="E261" t="s">
        <v>190</v>
      </c>
      <c r="F261" s="21" t="str">
        <f t="shared" si="8"/>
        <v>rtdc.l.rtdc.4007:itc</v>
      </c>
      <c r="G261" s="8">
        <f t="shared" si="9"/>
        <v>42650.029976851853</v>
      </c>
    </row>
    <row r="262" spans="1:7" x14ac:dyDescent="0.25">
      <c r="A262" s="8">
        <v>42650.042928240742</v>
      </c>
      <c r="B262" t="s">
        <v>157</v>
      </c>
      <c r="C262" t="s">
        <v>204</v>
      </c>
      <c r="D262">
        <v>630000</v>
      </c>
      <c r="E262" t="b">
        <v>1</v>
      </c>
      <c r="F262" s="21" t="str">
        <f t="shared" si="8"/>
        <v>rtdc.l.rtdc.4051:itc</v>
      </c>
      <c r="G262" s="8">
        <f t="shared" si="9"/>
        <v>42650.042928240742</v>
      </c>
    </row>
    <row r="263" spans="1:7" x14ac:dyDescent="0.25">
      <c r="A263" s="8">
        <v>42650.052835648145</v>
      </c>
      <c r="B263" t="s">
        <v>194</v>
      </c>
      <c r="C263" t="s">
        <v>206</v>
      </c>
      <c r="D263">
        <v>1480000</v>
      </c>
      <c r="E263" t="s">
        <v>192</v>
      </c>
      <c r="F263" s="21" t="str">
        <f t="shared" si="8"/>
        <v>rtdc.l.rtdc.4010:itc</v>
      </c>
      <c r="G263" s="8">
        <f t="shared" si="9"/>
        <v>42650.052835648145</v>
      </c>
    </row>
    <row r="264" spans="1:7" x14ac:dyDescent="0.25">
      <c r="A264" s="8">
        <v>42650.053078703706</v>
      </c>
      <c r="B264" t="s">
        <v>200</v>
      </c>
      <c r="C264" t="s">
        <v>207</v>
      </c>
      <c r="D264">
        <v>1300000</v>
      </c>
      <c r="E264" t="s">
        <v>114</v>
      </c>
      <c r="F264" s="21" t="str">
        <f t="shared" si="8"/>
        <v>rtdc.l.rtdc.4044:itc</v>
      </c>
      <c r="G264" s="8">
        <f t="shared" si="9"/>
        <v>42650.053078703706</v>
      </c>
    </row>
    <row r="265" spans="1:7" x14ac:dyDescent="0.25">
      <c r="A265" s="8">
        <v>42650.060115740744</v>
      </c>
      <c r="B265" t="s">
        <v>158</v>
      </c>
      <c r="C265" t="s">
        <v>204</v>
      </c>
      <c r="D265">
        <v>630000</v>
      </c>
      <c r="E265" t="b">
        <v>1</v>
      </c>
      <c r="F265" s="21" t="str">
        <f t="shared" si="8"/>
        <v>rtdc.l.rtdc.4052:itc</v>
      </c>
      <c r="G265" s="8">
        <f t="shared" si="9"/>
        <v>42650.060115740744</v>
      </c>
    </row>
    <row r="266" spans="1:7" x14ac:dyDescent="0.25">
      <c r="A266" s="8">
        <v>42650.078599537039</v>
      </c>
      <c r="B266" t="s">
        <v>157</v>
      </c>
      <c r="C266" t="s">
        <v>204</v>
      </c>
      <c r="D266">
        <v>630000</v>
      </c>
      <c r="E266" t="b">
        <v>1</v>
      </c>
      <c r="F266" s="21" t="str">
        <f t="shared" ref="F266:F281" si="10">B266</f>
        <v>rtdc.l.rtdc.4051:itc</v>
      </c>
      <c r="G266" s="8">
        <f t="shared" ref="G266:G281" si="11">A266</f>
        <v>42650.078599537039</v>
      </c>
    </row>
    <row r="267" spans="1:7" x14ac:dyDescent="0.25">
      <c r="A267" s="8">
        <v>42650.080208333333</v>
      </c>
      <c r="B267" t="s">
        <v>157</v>
      </c>
      <c r="C267" t="s">
        <v>204</v>
      </c>
      <c r="D267">
        <v>630000</v>
      </c>
      <c r="E267" t="b">
        <v>1</v>
      </c>
      <c r="F267" s="21" t="str">
        <f t="shared" si="10"/>
        <v>rtdc.l.rtdc.4051:itc</v>
      </c>
      <c r="G267" s="8">
        <f t="shared" si="11"/>
        <v>42650.080208333333</v>
      </c>
    </row>
    <row r="268" spans="1:7" x14ac:dyDescent="0.25">
      <c r="A268" s="8">
        <v>42650.08153935185</v>
      </c>
      <c r="B268" t="s">
        <v>157</v>
      </c>
      <c r="C268" t="s">
        <v>204</v>
      </c>
      <c r="D268">
        <v>630000</v>
      </c>
      <c r="E268" t="b">
        <v>1</v>
      </c>
      <c r="F268" s="21" t="str">
        <f t="shared" si="10"/>
        <v>rtdc.l.rtdc.4051:itc</v>
      </c>
      <c r="G268" s="8">
        <f t="shared" si="11"/>
        <v>42650.08153935185</v>
      </c>
    </row>
    <row r="269" spans="1:7" x14ac:dyDescent="0.25">
      <c r="A269" s="8">
        <v>42650.082824074074</v>
      </c>
      <c r="B269" t="s">
        <v>157</v>
      </c>
      <c r="C269" t="s">
        <v>204</v>
      </c>
      <c r="D269">
        <v>630000</v>
      </c>
      <c r="E269" t="b">
        <v>1</v>
      </c>
      <c r="F269" s="21" t="str">
        <f t="shared" si="10"/>
        <v>rtdc.l.rtdc.4051:itc</v>
      </c>
      <c r="G269" s="8">
        <f t="shared" si="11"/>
        <v>42650.082824074074</v>
      </c>
    </row>
    <row r="270" spans="1:7" x14ac:dyDescent="0.25">
      <c r="A270" s="8">
        <v>42650.090624999997</v>
      </c>
      <c r="B270" t="s">
        <v>195</v>
      </c>
      <c r="C270" t="s">
        <v>208</v>
      </c>
      <c r="D270">
        <v>1480000</v>
      </c>
      <c r="E270" t="s">
        <v>192</v>
      </c>
      <c r="F270" s="21" t="str">
        <f t="shared" si="10"/>
        <v>rtdc.l.rtdc.4009:itc</v>
      </c>
      <c r="G270" s="8">
        <f t="shared" si="11"/>
        <v>42650.090624999997</v>
      </c>
    </row>
    <row r="271" spans="1:7" x14ac:dyDescent="0.25">
      <c r="A271" s="8">
        <v>42650.101805555554</v>
      </c>
      <c r="B271" t="s">
        <v>158</v>
      </c>
      <c r="C271" t="s">
        <v>204</v>
      </c>
      <c r="D271">
        <v>630000</v>
      </c>
      <c r="E271" t="b">
        <v>1</v>
      </c>
      <c r="F271" s="21" t="str">
        <f t="shared" si="10"/>
        <v>rtdc.l.rtdc.4052:itc</v>
      </c>
      <c r="G271" s="8">
        <f t="shared" si="11"/>
        <v>42650.101805555554</v>
      </c>
    </row>
    <row r="272" spans="1:7" x14ac:dyDescent="0.25">
      <c r="A272" s="8">
        <v>42650.102453703701</v>
      </c>
      <c r="B272" t="s">
        <v>158</v>
      </c>
      <c r="C272" t="s">
        <v>204</v>
      </c>
      <c r="D272">
        <v>630000</v>
      </c>
      <c r="E272" t="b">
        <v>1</v>
      </c>
      <c r="F272" s="21" t="str">
        <f t="shared" si="10"/>
        <v>rtdc.l.rtdc.4052:itc</v>
      </c>
      <c r="G272" s="8">
        <f t="shared" si="11"/>
        <v>42650.102453703701</v>
      </c>
    </row>
    <row r="273" spans="1:7" x14ac:dyDescent="0.25">
      <c r="A273" s="8">
        <v>42650.103645833333</v>
      </c>
      <c r="B273" t="s">
        <v>158</v>
      </c>
      <c r="C273" t="s">
        <v>204</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Q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71"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80" t="s">
        <v>168</v>
      </c>
      <c r="B1" s="180" t="s">
        <v>171</v>
      </c>
      <c r="C1" s="180" t="s">
        <v>164</v>
      </c>
      <c r="D1" s="181" t="s">
        <v>178</v>
      </c>
      <c r="E1" s="180" t="s">
        <v>165</v>
      </c>
      <c r="F1" s="180" t="s">
        <v>163</v>
      </c>
      <c r="G1" s="180" t="s">
        <v>161</v>
      </c>
      <c r="H1" s="180" t="s">
        <v>174</v>
      </c>
      <c r="I1" s="180" t="s">
        <v>175</v>
      </c>
      <c r="J1" s="180" t="s">
        <v>232</v>
      </c>
      <c r="K1" s="180" t="s">
        <v>169</v>
      </c>
      <c r="L1" s="180" t="s">
        <v>167</v>
      </c>
      <c r="M1" s="180" t="s">
        <v>162</v>
      </c>
      <c r="N1" s="180" t="s">
        <v>172</v>
      </c>
      <c r="O1" s="180" t="s">
        <v>166</v>
      </c>
      <c r="P1" s="180" t="s">
        <v>173</v>
      </c>
      <c r="Q1" s="180" t="s">
        <v>170</v>
      </c>
    </row>
    <row r="2" spans="1:17" x14ac:dyDescent="0.25">
      <c r="A2" s="142">
        <v>41.51</v>
      </c>
      <c r="B2" s="142">
        <v>0.43</v>
      </c>
      <c r="C2" s="142">
        <v>35.520000000000003</v>
      </c>
      <c r="D2" s="8">
        <v>42656</v>
      </c>
      <c r="E2" s="142">
        <v>0.79</v>
      </c>
      <c r="F2" s="142" t="s">
        <v>224</v>
      </c>
      <c r="G2" s="142">
        <v>303.49</v>
      </c>
      <c r="H2" s="142">
        <v>0</v>
      </c>
      <c r="I2" s="142">
        <v>0</v>
      </c>
      <c r="J2" s="142"/>
      <c r="K2" s="142">
        <v>1020.97</v>
      </c>
      <c r="L2" s="142" t="s">
        <v>223</v>
      </c>
      <c r="M2" s="142">
        <v>41.51</v>
      </c>
      <c r="N2" s="142">
        <v>1476338400</v>
      </c>
      <c r="O2" s="142">
        <v>7.95</v>
      </c>
      <c r="P2" s="142">
        <v>182</v>
      </c>
      <c r="Q2" s="142">
        <v>1.26</v>
      </c>
    </row>
    <row r="3" spans="1:17" x14ac:dyDescent="0.25">
      <c r="A3" s="142">
        <v>41.37</v>
      </c>
      <c r="B3" s="142">
        <v>0.45</v>
      </c>
      <c r="C3" s="142">
        <v>35.18</v>
      </c>
      <c r="D3" s="8">
        <v>42656.041666666664</v>
      </c>
      <c r="E3" s="142">
        <v>0.78</v>
      </c>
      <c r="F3" s="142" t="s">
        <v>224</v>
      </c>
      <c r="G3" s="142">
        <v>303.39999999999998</v>
      </c>
      <c r="H3" s="142">
        <v>0</v>
      </c>
      <c r="I3" s="142">
        <v>0</v>
      </c>
      <c r="J3" s="142"/>
      <c r="K3" s="142">
        <v>1020.68</v>
      </c>
      <c r="L3" s="142" t="s">
        <v>223</v>
      </c>
      <c r="M3" s="142">
        <v>41.37</v>
      </c>
      <c r="N3" s="142">
        <v>1476342000</v>
      </c>
      <c r="O3" s="142">
        <v>8.16</v>
      </c>
      <c r="P3" s="142">
        <v>204</v>
      </c>
      <c r="Q3" s="142">
        <v>2</v>
      </c>
    </row>
    <row r="4" spans="1:17" x14ac:dyDescent="0.25">
      <c r="A4" s="142">
        <v>41.84</v>
      </c>
      <c r="B4" s="142">
        <v>0.46</v>
      </c>
      <c r="C4" s="142">
        <v>35.39</v>
      </c>
      <c r="D4" s="8">
        <v>42656.083333333336</v>
      </c>
      <c r="E4" s="142">
        <v>0.78</v>
      </c>
      <c r="F4" s="142" t="s">
        <v>224</v>
      </c>
      <c r="G4" s="142">
        <v>303.31</v>
      </c>
      <c r="H4" s="142">
        <v>0</v>
      </c>
      <c r="I4" s="142">
        <v>0</v>
      </c>
      <c r="J4" s="142"/>
      <c r="K4" s="142">
        <v>1020.38</v>
      </c>
      <c r="L4" s="142" t="s">
        <v>223</v>
      </c>
      <c r="M4" s="142">
        <v>41.84</v>
      </c>
      <c r="N4" s="142">
        <v>1476345600</v>
      </c>
      <c r="O4" s="142">
        <v>8.16</v>
      </c>
      <c r="P4" s="142">
        <v>233</v>
      </c>
      <c r="Q4" s="142">
        <v>2.33</v>
      </c>
    </row>
    <row r="5" spans="1:17" x14ac:dyDescent="0.25">
      <c r="A5" s="142">
        <v>42.06</v>
      </c>
      <c r="B5" s="142">
        <v>0.46</v>
      </c>
      <c r="C5" s="142">
        <v>35.29</v>
      </c>
      <c r="D5" s="8">
        <v>42656.125</v>
      </c>
      <c r="E5" s="142">
        <v>0.77</v>
      </c>
      <c r="F5" s="142" t="s">
        <v>224</v>
      </c>
      <c r="G5" s="142">
        <v>303.23</v>
      </c>
      <c r="H5" s="142">
        <v>0</v>
      </c>
      <c r="I5" s="142">
        <v>0</v>
      </c>
      <c r="J5" s="142"/>
      <c r="K5" s="142">
        <v>1020.08</v>
      </c>
      <c r="L5" s="142" t="s">
        <v>223</v>
      </c>
      <c r="M5" s="142">
        <v>42.06</v>
      </c>
      <c r="N5" s="142">
        <v>1476349200</v>
      </c>
      <c r="O5" s="142">
        <v>8.25</v>
      </c>
      <c r="P5" s="142">
        <v>238</v>
      </c>
      <c r="Q5" s="142">
        <v>2.2000000000000002</v>
      </c>
    </row>
    <row r="6" spans="1:17" x14ac:dyDescent="0.25">
      <c r="A6" s="142">
        <v>41.82</v>
      </c>
      <c r="B6" s="142">
        <v>0.55000000000000004</v>
      </c>
      <c r="C6" s="142">
        <v>34.33</v>
      </c>
      <c r="D6" s="8">
        <v>42656.166666666664</v>
      </c>
      <c r="E6" s="142">
        <v>0.75</v>
      </c>
      <c r="F6" s="142" t="s">
        <v>224</v>
      </c>
      <c r="G6" s="142">
        <v>302.39</v>
      </c>
      <c r="H6" s="142">
        <v>0</v>
      </c>
      <c r="I6" s="142">
        <v>0</v>
      </c>
      <c r="J6" s="142"/>
      <c r="K6" s="142">
        <v>1019.76</v>
      </c>
      <c r="L6" s="142" t="s">
        <v>223</v>
      </c>
      <c r="M6" s="142">
        <v>41.82</v>
      </c>
      <c r="N6" s="142">
        <v>1476352800</v>
      </c>
      <c r="O6" s="142">
        <v>8.56</v>
      </c>
      <c r="P6" s="142">
        <v>226</v>
      </c>
      <c r="Q6" s="142">
        <v>2.86</v>
      </c>
    </row>
    <row r="7" spans="1:17" x14ac:dyDescent="0.25">
      <c r="A7" s="142">
        <v>39.86</v>
      </c>
      <c r="B7" s="142">
        <v>0.56999999999999995</v>
      </c>
      <c r="C7" s="142">
        <v>33.479999999999997</v>
      </c>
      <c r="D7" s="8">
        <v>42656.208333333336</v>
      </c>
      <c r="E7" s="142">
        <v>0.72</v>
      </c>
      <c r="F7" s="142" t="s">
        <v>224</v>
      </c>
      <c r="G7" s="142">
        <v>301.27</v>
      </c>
      <c r="H7" s="142">
        <v>0</v>
      </c>
      <c r="I7" s="142">
        <v>0</v>
      </c>
      <c r="J7" s="142"/>
      <c r="K7" s="142">
        <v>1019.41</v>
      </c>
      <c r="L7" s="142" t="s">
        <v>223</v>
      </c>
      <c r="M7" s="142">
        <v>41.77</v>
      </c>
      <c r="N7" s="142">
        <v>1476356400</v>
      </c>
      <c r="O7" s="142">
        <v>8.82</v>
      </c>
      <c r="P7" s="142">
        <v>237</v>
      </c>
      <c r="Q7" s="142">
        <v>3.47</v>
      </c>
    </row>
    <row r="8" spans="1:17" x14ac:dyDescent="0.25">
      <c r="A8" s="142">
        <v>40.36</v>
      </c>
      <c r="B8" s="142">
        <v>0.59</v>
      </c>
      <c r="C8" s="142">
        <v>33.21</v>
      </c>
      <c r="D8" s="8">
        <v>42656.25</v>
      </c>
      <c r="E8" s="142">
        <v>0.7</v>
      </c>
      <c r="F8" s="142" t="s">
        <v>224</v>
      </c>
      <c r="G8" s="142">
        <v>300.37</v>
      </c>
      <c r="H8" s="142">
        <v>1.9E-3</v>
      </c>
      <c r="I8" s="142">
        <v>0.05</v>
      </c>
      <c r="J8" s="142" t="s">
        <v>233</v>
      </c>
      <c r="K8" s="142">
        <v>1018.98</v>
      </c>
      <c r="L8" s="142" t="s">
        <v>223</v>
      </c>
      <c r="M8" s="142">
        <v>42.45</v>
      </c>
      <c r="N8" s="142">
        <v>1476360000</v>
      </c>
      <c r="O8" s="142">
        <v>8.5399999999999991</v>
      </c>
      <c r="P8" s="142">
        <v>238</v>
      </c>
      <c r="Q8" s="142">
        <v>3.76</v>
      </c>
    </row>
    <row r="9" spans="1:17" x14ac:dyDescent="0.25">
      <c r="A9" s="142">
        <v>42.92</v>
      </c>
      <c r="B9" s="142">
        <v>0.56999999999999995</v>
      </c>
      <c r="C9" s="142">
        <v>33.18</v>
      </c>
      <c r="D9" s="8">
        <v>42656.291666666664</v>
      </c>
      <c r="E9" s="142">
        <v>0.65</v>
      </c>
      <c r="F9" s="142" t="s">
        <v>224</v>
      </c>
      <c r="G9" s="142">
        <v>299.94</v>
      </c>
      <c r="H9" s="142">
        <v>2.5000000000000001E-3</v>
      </c>
      <c r="I9" s="142">
        <v>7.0000000000000007E-2</v>
      </c>
      <c r="J9" s="142" t="s">
        <v>233</v>
      </c>
      <c r="K9" s="142">
        <v>1018.45</v>
      </c>
      <c r="L9" s="142" t="s">
        <v>223</v>
      </c>
      <c r="M9" s="142">
        <v>44.22</v>
      </c>
      <c r="N9" s="142">
        <v>1476363600</v>
      </c>
      <c r="O9" s="142">
        <v>8.4700000000000006</v>
      </c>
      <c r="P9" s="142">
        <v>227</v>
      </c>
      <c r="Q9" s="142">
        <v>3.22</v>
      </c>
    </row>
    <row r="10" spans="1:17" x14ac:dyDescent="0.25">
      <c r="A10" s="142">
        <v>46.07</v>
      </c>
      <c r="B10" s="142">
        <v>0.54</v>
      </c>
      <c r="C10" s="142">
        <v>36.700000000000003</v>
      </c>
      <c r="D10" s="8">
        <v>42656.333333333336</v>
      </c>
      <c r="E10" s="142">
        <v>0.7</v>
      </c>
      <c r="F10" s="142" t="s">
        <v>372</v>
      </c>
      <c r="G10" s="142">
        <v>299.73</v>
      </c>
      <c r="H10" s="142">
        <v>0</v>
      </c>
      <c r="I10" s="142">
        <v>0</v>
      </c>
      <c r="J10" s="142"/>
      <c r="K10" s="142">
        <v>1017.83</v>
      </c>
      <c r="L10" s="142" t="s">
        <v>223</v>
      </c>
      <c r="M10" s="142">
        <v>46.07</v>
      </c>
      <c r="N10" s="142">
        <v>1476367200</v>
      </c>
      <c r="O10" s="142">
        <v>5.75</v>
      </c>
      <c r="P10" s="142">
        <v>228</v>
      </c>
      <c r="Q10" s="142">
        <v>2.78</v>
      </c>
    </row>
    <row r="11" spans="1:17" x14ac:dyDescent="0.25">
      <c r="A11" s="142">
        <v>51.11</v>
      </c>
      <c r="B11" s="142">
        <v>0.41</v>
      </c>
      <c r="C11" s="142">
        <v>38.590000000000003</v>
      </c>
      <c r="D11" s="8">
        <v>42656.375</v>
      </c>
      <c r="E11" s="142">
        <v>0.62</v>
      </c>
      <c r="F11" s="142" t="s">
        <v>372</v>
      </c>
      <c r="G11" s="142">
        <v>299.58</v>
      </c>
      <c r="H11" s="142">
        <v>0</v>
      </c>
      <c r="I11" s="142">
        <v>0</v>
      </c>
      <c r="J11" s="142"/>
      <c r="K11" s="142">
        <v>1017.13</v>
      </c>
      <c r="L11" s="142" t="s">
        <v>223</v>
      </c>
      <c r="M11" s="142">
        <v>51.11</v>
      </c>
      <c r="N11" s="142">
        <v>1476370800</v>
      </c>
      <c r="O11" s="142">
        <v>5.82</v>
      </c>
      <c r="P11" s="142">
        <v>227</v>
      </c>
      <c r="Q11" s="142">
        <v>2.85</v>
      </c>
    </row>
    <row r="12" spans="1:17" x14ac:dyDescent="0.25">
      <c r="A12" s="142">
        <v>56.87</v>
      </c>
      <c r="B12" s="142">
        <v>0.38</v>
      </c>
      <c r="C12" s="142">
        <v>36.799999999999997</v>
      </c>
      <c r="D12" s="8">
        <v>42656.416666666664</v>
      </c>
      <c r="E12" s="142">
        <v>0.47</v>
      </c>
      <c r="F12" s="142" t="s">
        <v>372</v>
      </c>
      <c r="G12" s="142">
        <v>299.5</v>
      </c>
      <c r="H12" s="142">
        <v>0</v>
      </c>
      <c r="I12" s="142">
        <v>0</v>
      </c>
      <c r="J12" s="142"/>
      <c r="K12" s="142">
        <v>1016.26</v>
      </c>
      <c r="L12" s="142" t="s">
        <v>223</v>
      </c>
      <c r="M12" s="142">
        <v>56.87</v>
      </c>
      <c r="N12" s="142">
        <v>1476374400</v>
      </c>
      <c r="O12" s="142">
        <v>6.69</v>
      </c>
      <c r="P12" s="142">
        <v>220</v>
      </c>
      <c r="Q12" s="142">
        <v>2.58</v>
      </c>
    </row>
    <row r="13" spans="1:17" x14ac:dyDescent="0.25">
      <c r="A13" s="142">
        <v>63.96</v>
      </c>
      <c r="B13" s="142">
        <v>0.38</v>
      </c>
      <c r="C13" s="142">
        <v>36.28</v>
      </c>
      <c r="D13" s="8">
        <v>42656.458333333336</v>
      </c>
      <c r="E13" s="142">
        <v>0.36</v>
      </c>
      <c r="F13" s="142" t="s">
        <v>372</v>
      </c>
      <c r="G13" s="142">
        <v>299.48</v>
      </c>
      <c r="H13" s="142">
        <v>0</v>
      </c>
      <c r="I13" s="142">
        <v>0</v>
      </c>
      <c r="J13" s="142"/>
      <c r="K13" s="142">
        <v>1015.3</v>
      </c>
      <c r="L13" s="142" t="s">
        <v>223</v>
      </c>
      <c r="M13" s="142">
        <v>63.96</v>
      </c>
      <c r="N13" s="142">
        <v>1476378000</v>
      </c>
      <c r="O13" s="142">
        <v>7.02</v>
      </c>
      <c r="P13" s="142">
        <v>220</v>
      </c>
      <c r="Q13" s="142">
        <v>2.82</v>
      </c>
    </row>
    <row r="14" spans="1:17" x14ac:dyDescent="0.25">
      <c r="A14" s="142">
        <v>72.010000000000005</v>
      </c>
      <c r="B14" s="142">
        <v>0.39</v>
      </c>
      <c r="C14" s="142">
        <v>35.17</v>
      </c>
      <c r="D14" s="8">
        <v>42656.5</v>
      </c>
      <c r="E14" s="142">
        <v>0.26</v>
      </c>
      <c r="F14" s="142" t="s">
        <v>372</v>
      </c>
      <c r="G14" s="142">
        <v>299.22000000000003</v>
      </c>
      <c r="H14" s="142">
        <v>0</v>
      </c>
      <c r="I14" s="142">
        <v>0</v>
      </c>
      <c r="J14" s="142"/>
      <c r="K14" s="142">
        <v>1014.47</v>
      </c>
      <c r="L14" s="142" t="s">
        <v>223</v>
      </c>
      <c r="M14" s="142">
        <v>72.010000000000005</v>
      </c>
      <c r="N14" s="142">
        <v>1476381600</v>
      </c>
      <c r="O14" s="142">
        <v>7.25</v>
      </c>
      <c r="P14" s="142">
        <v>201</v>
      </c>
      <c r="Q14" s="142">
        <v>1.43</v>
      </c>
    </row>
    <row r="15" spans="1:17" x14ac:dyDescent="0.25">
      <c r="A15" s="142">
        <v>75.099999999999994</v>
      </c>
      <c r="B15" s="142">
        <v>0.32</v>
      </c>
      <c r="C15" s="142">
        <v>32.200000000000003</v>
      </c>
      <c r="D15" s="8">
        <v>42656.541666666664</v>
      </c>
      <c r="E15" s="142">
        <v>0.21</v>
      </c>
      <c r="F15" s="142" t="s">
        <v>372</v>
      </c>
      <c r="G15" s="142">
        <v>298.89999999999998</v>
      </c>
      <c r="H15" s="142">
        <v>0</v>
      </c>
      <c r="I15" s="142">
        <v>0</v>
      </c>
      <c r="J15" s="142"/>
      <c r="K15" s="142">
        <v>1013.72</v>
      </c>
      <c r="L15" s="142" t="s">
        <v>223</v>
      </c>
      <c r="M15" s="142">
        <v>75.099999999999994</v>
      </c>
      <c r="N15" s="142">
        <v>1476385200</v>
      </c>
      <c r="O15" s="142">
        <v>7.48</v>
      </c>
      <c r="P15" s="142">
        <v>252</v>
      </c>
      <c r="Q15" s="142">
        <v>0.97</v>
      </c>
    </row>
    <row r="16" spans="1:17" x14ac:dyDescent="0.25">
      <c r="A16" s="142">
        <v>76.510000000000005</v>
      </c>
      <c r="B16" s="142">
        <v>0.26</v>
      </c>
      <c r="C16" s="142">
        <v>30.26</v>
      </c>
      <c r="D16" s="8">
        <v>42656.583333333336</v>
      </c>
      <c r="E16" s="142">
        <v>0.18</v>
      </c>
      <c r="F16" s="142" t="s">
        <v>372</v>
      </c>
      <c r="G16" s="142">
        <v>298.35000000000002</v>
      </c>
      <c r="H16" s="142">
        <v>0</v>
      </c>
      <c r="I16" s="142">
        <v>0</v>
      </c>
      <c r="J16" s="142"/>
      <c r="K16" s="142">
        <v>1013.03</v>
      </c>
      <c r="L16" s="142" t="s">
        <v>223</v>
      </c>
      <c r="M16" s="142">
        <v>76.510000000000005</v>
      </c>
      <c r="N16" s="142">
        <v>1476388800</v>
      </c>
      <c r="O16" s="142">
        <v>7.62</v>
      </c>
      <c r="P16" s="142">
        <v>314</v>
      </c>
      <c r="Q16" s="142">
        <v>0.67</v>
      </c>
    </row>
    <row r="17" spans="1:17" x14ac:dyDescent="0.25">
      <c r="A17" s="142">
        <v>76.52</v>
      </c>
      <c r="B17" s="142">
        <v>0.18</v>
      </c>
      <c r="C17" s="142">
        <v>29.08</v>
      </c>
      <c r="D17" s="8">
        <v>42656.625</v>
      </c>
      <c r="E17" s="142">
        <v>0.17</v>
      </c>
      <c r="F17" s="142" t="s">
        <v>605</v>
      </c>
      <c r="G17" s="142">
        <v>296.76</v>
      </c>
      <c r="H17" s="142">
        <v>0</v>
      </c>
      <c r="I17" s="142">
        <v>0</v>
      </c>
      <c r="J17" s="142"/>
      <c r="K17" s="142">
        <v>1012.5</v>
      </c>
      <c r="L17" s="142" t="s">
        <v>374</v>
      </c>
      <c r="M17" s="142">
        <v>76.52</v>
      </c>
      <c r="N17" s="142">
        <v>1476392400</v>
      </c>
      <c r="O17" s="142">
        <v>7.78</v>
      </c>
      <c r="P17" s="142">
        <v>351</v>
      </c>
      <c r="Q17" s="142">
        <v>1.44</v>
      </c>
    </row>
    <row r="18" spans="1:17" x14ac:dyDescent="0.25">
      <c r="A18" s="142">
        <v>75.760000000000005</v>
      </c>
      <c r="B18" s="142">
        <v>0.17</v>
      </c>
      <c r="C18" s="142">
        <v>28.71</v>
      </c>
      <c r="D18" s="8">
        <v>42656.666666666664</v>
      </c>
      <c r="E18" s="142">
        <v>0.18</v>
      </c>
      <c r="F18" s="142" t="s">
        <v>605</v>
      </c>
      <c r="G18" s="142">
        <v>293.26</v>
      </c>
      <c r="H18" s="142">
        <v>0</v>
      </c>
      <c r="I18" s="142">
        <v>0</v>
      </c>
      <c r="J18" s="142"/>
      <c r="K18" s="142">
        <v>1012.15</v>
      </c>
      <c r="L18" s="142" t="s">
        <v>374</v>
      </c>
      <c r="M18" s="142">
        <v>75.760000000000005</v>
      </c>
      <c r="N18" s="142">
        <v>1476396000</v>
      </c>
      <c r="O18" s="142">
        <v>7.93</v>
      </c>
      <c r="P18" s="142">
        <v>16</v>
      </c>
      <c r="Q18" s="142">
        <v>2.5</v>
      </c>
    </row>
    <row r="19" spans="1:17" x14ac:dyDescent="0.25">
      <c r="A19" s="142">
        <v>73.62</v>
      </c>
      <c r="B19" s="142">
        <v>0.17</v>
      </c>
      <c r="C19" s="142">
        <v>29.93</v>
      </c>
      <c r="D19" s="8">
        <v>42656.708333333336</v>
      </c>
      <c r="E19" s="142">
        <v>0.2</v>
      </c>
      <c r="F19" s="142" t="s">
        <v>605</v>
      </c>
      <c r="G19" s="142">
        <v>288.70999999999998</v>
      </c>
      <c r="H19" s="142">
        <v>0</v>
      </c>
      <c r="I19" s="142">
        <v>0</v>
      </c>
      <c r="J19" s="142"/>
      <c r="K19" s="142">
        <v>1012.01</v>
      </c>
      <c r="L19" s="142" t="s">
        <v>374</v>
      </c>
      <c r="M19" s="142">
        <v>73.62</v>
      </c>
      <c r="N19" s="142">
        <v>1476399600</v>
      </c>
      <c r="O19" s="142">
        <v>8.1300000000000008</v>
      </c>
      <c r="P19" s="142">
        <v>47</v>
      </c>
      <c r="Q19" s="142">
        <v>1.84</v>
      </c>
    </row>
    <row r="20" spans="1:17" x14ac:dyDescent="0.25">
      <c r="A20" s="142">
        <v>68.569999999999993</v>
      </c>
      <c r="B20" s="142">
        <v>0.11</v>
      </c>
      <c r="C20" s="142">
        <v>29.34</v>
      </c>
      <c r="D20" s="8">
        <v>42656.75</v>
      </c>
      <c r="E20" s="142">
        <v>0.23</v>
      </c>
      <c r="F20" s="142" t="s">
        <v>605</v>
      </c>
      <c r="G20" s="142">
        <v>284.91000000000003</v>
      </c>
      <c r="H20" s="142">
        <v>0</v>
      </c>
      <c r="I20" s="142">
        <v>0</v>
      </c>
      <c r="J20" s="142"/>
      <c r="K20" s="142">
        <v>1012.11</v>
      </c>
      <c r="L20" s="142" t="s">
        <v>374</v>
      </c>
      <c r="M20" s="142">
        <v>68.569999999999993</v>
      </c>
      <c r="N20" s="142">
        <v>1476403200</v>
      </c>
      <c r="O20" s="142">
        <v>8.3800000000000008</v>
      </c>
      <c r="P20" s="142">
        <v>92</v>
      </c>
      <c r="Q20" s="142">
        <v>1.69</v>
      </c>
    </row>
    <row r="21" spans="1:17" x14ac:dyDescent="0.25">
      <c r="A21" s="142">
        <v>64.010000000000005</v>
      </c>
      <c r="B21" s="142">
        <v>7.0000000000000007E-2</v>
      </c>
      <c r="C21" s="142">
        <v>30.7</v>
      </c>
      <c r="D21" s="8">
        <v>42656.791666666664</v>
      </c>
      <c r="E21" s="142">
        <v>0.28999999999999998</v>
      </c>
      <c r="F21" s="142" t="s">
        <v>373</v>
      </c>
      <c r="G21" s="142">
        <v>282.62</v>
      </c>
      <c r="H21" s="142">
        <v>0</v>
      </c>
      <c r="I21" s="142">
        <v>0</v>
      </c>
      <c r="J21" s="142"/>
      <c r="K21" s="142">
        <v>1012.27</v>
      </c>
      <c r="L21" s="142" t="s">
        <v>374</v>
      </c>
      <c r="M21" s="142">
        <v>64.010000000000005</v>
      </c>
      <c r="N21" s="142">
        <v>1476406800</v>
      </c>
      <c r="O21" s="142">
        <v>8.6999999999999993</v>
      </c>
      <c r="P21" s="142">
        <v>154</v>
      </c>
      <c r="Q21" s="142">
        <v>1.41</v>
      </c>
    </row>
    <row r="22" spans="1:17" x14ac:dyDescent="0.25">
      <c r="A22" s="142">
        <v>59.63</v>
      </c>
      <c r="B22" s="142">
        <v>0.1</v>
      </c>
      <c r="C22" s="142">
        <v>30.85</v>
      </c>
      <c r="D22" s="8">
        <v>42656.833333333336</v>
      </c>
      <c r="E22" s="142">
        <v>0.33</v>
      </c>
      <c r="F22" s="142" t="s">
        <v>373</v>
      </c>
      <c r="G22" s="142">
        <v>281.08</v>
      </c>
      <c r="H22" s="142">
        <v>0</v>
      </c>
      <c r="I22" s="142">
        <v>0</v>
      </c>
      <c r="J22" s="142"/>
      <c r="K22" s="142">
        <v>1013</v>
      </c>
      <c r="L22" s="142" t="s">
        <v>374</v>
      </c>
      <c r="M22" s="142">
        <v>59.63</v>
      </c>
      <c r="N22" s="142">
        <v>1476410400</v>
      </c>
      <c r="O22" s="142">
        <v>9.07</v>
      </c>
      <c r="P22" s="142">
        <v>214</v>
      </c>
      <c r="Q22" s="142">
        <v>2.64</v>
      </c>
    </row>
    <row r="23" spans="1:17" x14ac:dyDescent="0.25">
      <c r="A23" s="142">
        <v>56.72</v>
      </c>
      <c r="B23" s="142">
        <v>0.12</v>
      </c>
      <c r="C23" s="142">
        <v>30.35</v>
      </c>
      <c r="D23" s="8">
        <v>42656.875</v>
      </c>
      <c r="E23" s="142">
        <v>0.36</v>
      </c>
      <c r="F23" s="142" t="s">
        <v>373</v>
      </c>
      <c r="G23" s="142">
        <v>279.77</v>
      </c>
      <c r="H23" s="142">
        <v>0</v>
      </c>
      <c r="I23" s="142">
        <v>0</v>
      </c>
      <c r="J23" s="142"/>
      <c r="K23" s="142">
        <v>1013.72</v>
      </c>
      <c r="L23" s="142" t="s">
        <v>374</v>
      </c>
      <c r="M23" s="142">
        <v>56.72</v>
      </c>
      <c r="N23" s="142">
        <v>1476414000</v>
      </c>
      <c r="O23" s="142">
        <v>9.44</v>
      </c>
      <c r="P23" s="142">
        <v>220</v>
      </c>
      <c r="Q23" s="142">
        <v>3.81</v>
      </c>
    </row>
    <row r="24" spans="1:17" x14ac:dyDescent="0.25">
      <c r="A24" s="142">
        <v>55.02</v>
      </c>
      <c r="B24" s="142">
        <v>0.2</v>
      </c>
      <c r="C24" s="142">
        <v>30.8</v>
      </c>
      <c r="D24" s="8">
        <v>42656.916666666664</v>
      </c>
      <c r="E24" s="142">
        <v>0.39</v>
      </c>
      <c r="F24" s="142" t="s">
        <v>373</v>
      </c>
      <c r="G24" s="142">
        <v>278.56</v>
      </c>
      <c r="H24" s="142">
        <v>0</v>
      </c>
      <c r="I24" s="142">
        <v>0</v>
      </c>
      <c r="J24" s="142"/>
      <c r="K24" s="142">
        <v>1014.02</v>
      </c>
      <c r="L24" s="142" t="s">
        <v>374</v>
      </c>
      <c r="M24" s="142">
        <v>55.02</v>
      </c>
      <c r="N24" s="142">
        <v>1476417600</v>
      </c>
      <c r="O24" s="142">
        <v>9.36</v>
      </c>
      <c r="P24" s="142">
        <v>209</v>
      </c>
      <c r="Q24" s="142">
        <v>4.1500000000000004</v>
      </c>
    </row>
    <row r="25" spans="1:17" x14ac:dyDescent="0.25">
      <c r="A25" s="142">
        <v>53.49</v>
      </c>
      <c r="B25" s="142">
        <v>0.2</v>
      </c>
      <c r="C25" s="142">
        <v>31.23</v>
      </c>
      <c r="D25" s="8">
        <v>42656.958333333336</v>
      </c>
      <c r="E25" s="142">
        <v>0.42</v>
      </c>
      <c r="F25" s="142" t="s">
        <v>373</v>
      </c>
      <c r="G25" s="142">
        <v>277.58999999999997</v>
      </c>
      <c r="H25" s="142">
        <v>0</v>
      </c>
      <c r="I25" s="142">
        <v>0</v>
      </c>
      <c r="J25" s="142"/>
      <c r="K25" s="142">
        <v>1014.11</v>
      </c>
      <c r="L25" s="142" t="s">
        <v>374</v>
      </c>
      <c r="M25" s="142">
        <v>53.49</v>
      </c>
      <c r="N25" s="142">
        <v>1476421200</v>
      </c>
      <c r="O25" s="142">
        <v>9.31</v>
      </c>
      <c r="P25" s="142">
        <v>217</v>
      </c>
      <c r="Q25" s="142">
        <v>4.5599999999999996</v>
      </c>
    </row>
    <row r="26" spans="1:17" x14ac:dyDescent="0.25">
      <c r="A26" s="142">
        <v>50.96</v>
      </c>
      <c r="B26" s="142">
        <v>0.19</v>
      </c>
      <c r="C26" s="142">
        <v>30.25</v>
      </c>
      <c r="D26" s="8">
        <v>42657</v>
      </c>
      <c r="E26" s="142">
        <v>0.45</v>
      </c>
      <c r="F26" s="142" t="s">
        <v>373</v>
      </c>
      <c r="G26" s="142">
        <v>276.77</v>
      </c>
      <c r="H26" s="142">
        <v>0</v>
      </c>
      <c r="I26" s="142">
        <v>0</v>
      </c>
      <c r="J26" s="142"/>
      <c r="K26" s="142">
        <v>1014.22</v>
      </c>
      <c r="L26" s="142" t="s">
        <v>374</v>
      </c>
      <c r="M26" s="142">
        <v>50.96</v>
      </c>
      <c r="N26" s="142">
        <v>1476424800</v>
      </c>
      <c r="O26" s="142">
        <v>9.41</v>
      </c>
      <c r="P26" s="142">
        <v>215</v>
      </c>
      <c r="Q26" s="142">
        <v>4.5</v>
      </c>
    </row>
    <row r="27" spans="1:17" x14ac:dyDescent="0.25">
      <c r="A27" s="142">
        <v>50.39</v>
      </c>
      <c r="B27" s="142">
        <v>0.37</v>
      </c>
      <c r="C27" s="142">
        <v>29.37</v>
      </c>
      <c r="D27" s="8">
        <v>42657.041666666664</v>
      </c>
      <c r="E27" s="142">
        <v>0.44</v>
      </c>
      <c r="F27" s="142" t="s">
        <v>224</v>
      </c>
      <c r="G27" s="142">
        <v>276.22000000000003</v>
      </c>
      <c r="H27" s="142">
        <v>0</v>
      </c>
      <c r="I27" s="142">
        <v>0</v>
      </c>
      <c r="J27" s="142"/>
      <c r="K27" s="142">
        <v>1014.49</v>
      </c>
      <c r="L27" s="142" t="s">
        <v>223</v>
      </c>
      <c r="M27" s="142">
        <v>50.39</v>
      </c>
      <c r="N27" s="142">
        <v>1476428400</v>
      </c>
      <c r="O27" s="142">
        <v>9.4700000000000006</v>
      </c>
      <c r="P27" s="142">
        <v>215</v>
      </c>
      <c r="Q27" s="142">
        <v>4.47</v>
      </c>
    </row>
    <row r="28" spans="1:17" x14ac:dyDescent="0.25">
      <c r="A28" s="142">
        <v>48.19</v>
      </c>
      <c r="B28" s="142">
        <v>0.39</v>
      </c>
      <c r="C28" s="142">
        <v>29.12</v>
      </c>
      <c r="D28" s="8">
        <v>42657.083333333336</v>
      </c>
      <c r="E28" s="142">
        <v>0.45</v>
      </c>
      <c r="F28" s="142" t="s">
        <v>224</v>
      </c>
      <c r="G28" s="142">
        <v>275.67</v>
      </c>
      <c r="H28" s="142">
        <v>0</v>
      </c>
      <c r="I28" s="142">
        <v>0</v>
      </c>
      <c r="J28" s="142"/>
      <c r="K28" s="142">
        <v>1014.7</v>
      </c>
      <c r="L28" s="142" t="s">
        <v>223</v>
      </c>
      <c r="M28" s="142">
        <v>49.8</v>
      </c>
      <c r="N28" s="142">
        <v>1476432000</v>
      </c>
      <c r="O28" s="142">
        <v>9.4700000000000006</v>
      </c>
      <c r="P28" s="142">
        <v>213</v>
      </c>
      <c r="Q28" s="142">
        <v>4.66</v>
      </c>
    </row>
    <row r="29" spans="1:17" x14ac:dyDescent="0.25">
      <c r="A29" s="142">
        <v>46.98</v>
      </c>
      <c r="B29" s="142">
        <v>0.31</v>
      </c>
      <c r="C29" s="142">
        <v>29.44</v>
      </c>
      <c r="D29" s="8">
        <v>42657.125</v>
      </c>
      <c r="E29" s="142">
        <v>0.46</v>
      </c>
      <c r="F29" s="142" t="s">
        <v>224</v>
      </c>
      <c r="G29" s="142">
        <v>275.11</v>
      </c>
      <c r="H29" s="142">
        <v>0</v>
      </c>
      <c r="I29" s="142">
        <v>0</v>
      </c>
      <c r="J29" s="142"/>
      <c r="K29" s="142">
        <v>1014.89</v>
      </c>
      <c r="L29" s="142" t="s">
        <v>223</v>
      </c>
      <c r="M29" s="142">
        <v>49.1</v>
      </c>
      <c r="N29" s="142">
        <v>1476435600</v>
      </c>
      <c r="O29" s="142">
        <v>8.85</v>
      </c>
      <c r="P29" s="142">
        <v>212</v>
      </c>
      <c r="Q29" s="142">
        <v>5.29</v>
      </c>
    </row>
    <row r="31" spans="1:17" x14ac:dyDescent="0.25">
      <c r="A31" s="136" t="s">
        <v>375</v>
      </c>
    </row>
    <row r="33" spans="1:1" x14ac:dyDescent="0.25">
      <c r="A33" s="136" t="s">
        <v>221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Q9" sqref="Q9"/>
    </sheetView>
  </sheetViews>
  <sheetFormatPr defaultRowHeight="15" x14ac:dyDescent="0.25"/>
  <cols>
    <col min="1" max="1" width="32.140625" customWidth="1"/>
    <col min="3" max="3" width="24" style="69"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59" t="s">
        <v>100</v>
      </c>
      <c r="D1" s="160" t="s">
        <v>101</v>
      </c>
      <c r="J1" s="32" t="s">
        <v>102</v>
      </c>
      <c r="K1" s="32" t="s">
        <v>66</v>
      </c>
      <c r="L1" s="32" t="s">
        <v>67</v>
      </c>
      <c r="O1" s="70" t="s">
        <v>103</v>
      </c>
    </row>
    <row r="2" spans="1:16" ht="15.75" thickBot="1" x14ac:dyDescent="0.3">
      <c r="A2" s="12">
        <v>42656</v>
      </c>
      <c r="B2" s="4"/>
      <c r="C2" s="161">
        <v>50</v>
      </c>
      <c r="D2" s="162">
        <v>25</v>
      </c>
      <c r="F2" t="s">
        <v>115</v>
      </c>
      <c r="J2" s="32"/>
      <c r="K2" s="32" t="s">
        <v>66</v>
      </c>
      <c r="L2" s="32" t="s">
        <v>67</v>
      </c>
    </row>
    <row r="3" spans="1:16" x14ac:dyDescent="0.25">
      <c r="F3" t="s">
        <v>52</v>
      </c>
      <c r="J3" s="33" t="s">
        <v>68</v>
      </c>
      <c r="K3" s="34">
        <v>2.7052</v>
      </c>
      <c r="L3" s="34">
        <v>2.7349999999999999</v>
      </c>
      <c r="M3" s="106">
        <f t="shared" ref="M3:M14" si="0">AVERAGE(K3:L3)</f>
        <v>2.7201</v>
      </c>
      <c r="O3" t="s">
        <v>104</v>
      </c>
      <c r="P3" s="68">
        <f>AVERAGE(1.0714,1.1016)</f>
        <v>1.0865</v>
      </c>
    </row>
    <row r="4" spans="1:16" ht="45" x14ac:dyDescent="0.25">
      <c r="C4" s="159" t="s">
        <v>100</v>
      </c>
      <c r="D4" s="160" t="s">
        <v>101</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F6" t="s">
        <v>116</v>
      </c>
      <c r="J6" s="33" t="s">
        <v>71</v>
      </c>
      <c r="K6" s="34">
        <v>4.2778999999999998</v>
      </c>
      <c r="L6" s="34">
        <v>4.2961</v>
      </c>
      <c r="M6" s="106">
        <f t="shared" si="0"/>
        <v>4.2869999999999999</v>
      </c>
    </row>
    <row r="7" spans="1:16" x14ac:dyDescent="0.25">
      <c r="F7" t="s">
        <v>117</v>
      </c>
      <c r="J7" s="33" t="s">
        <v>72</v>
      </c>
      <c r="K7" s="34">
        <v>4.7865000000000002</v>
      </c>
      <c r="L7" s="34">
        <v>4.8048000000000002</v>
      </c>
      <c r="M7" s="106">
        <f t="shared" si="0"/>
        <v>4.7956500000000002</v>
      </c>
    </row>
    <row r="8" spans="1:16" x14ac:dyDescent="0.25">
      <c r="F8" t="s">
        <v>118</v>
      </c>
      <c r="J8" s="33" t="s">
        <v>73</v>
      </c>
      <c r="K8" s="34">
        <v>5.3155000000000001</v>
      </c>
      <c r="L8" s="34">
        <v>5.3277000000000001</v>
      </c>
      <c r="M8" s="106">
        <f t="shared" si="0"/>
        <v>5.3216000000000001</v>
      </c>
    </row>
    <row r="9" spans="1:16" x14ac:dyDescent="0.25">
      <c r="J9" s="33" t="s">
        <v>74</v>
      </c>
      <c r="K9" s="34">
        <v>5.8117000000000001</v>
      </c>
      <c r="L9" s="34">
        <v>5.8300999999999998</v>
      </c>
      <c r="M9" s="106">
        <f t="shared" si="0"/>
        <v>5.8209</v>
      </c>
    </row>
    <row r="10" spans="1:16" x14ac:dyDescent="0.25">
      <c r="J10" s="33" t="s">
        <v>75</v>
      </c>
      <c r="K10" s="34">
        <v>5.8783000000000003</v>
      </c>
      <c r="L10" s="34">
        <v>5.8903999999999996</v>
      </c>
      <c r="M10" s="106">
        <f t="shared" si="0"/>
        <v>5.8843499999999995</v>
      </c>
    </row>
    <row r="11" spans="1:16" x14ac:dyDescent="0.25">
      <c r="J11" s="33" t="s">
        <v>76</v>
      </c>
      <c r="K11" s="34">
        <v>6.3068</v>
      </c>
      <c r="L11" s="34">
        <v>6.3308999999999997</v>
      </c>
      <c r="M11" s="106">
        <f t="shared" si="0"/>
        <v>6.3188499999999994</v>
      </c>
    </row>
    <row r="12" spans="1:16" x14ac:dyDescent="0.25">
      <c r="J12" s="33" t="s">
        <v>77</v>
      </c>
      <c r="K12" s="34">
        <v>7.8349000000000002</v>
      </c>
      <c r="L12" s="34">
        <v>7.8468999999999998</v>
      </c>
      <c r="M12" s="106">
        <f t="shared" si="0"/>
        <v>7.8408999999999995</v>
      </c>
    </row>
    <row r="13" spans="1:16" x14ac:dyDescent="0.25">
      <c r="J13" s="33" t="s">
        <v>78</v>
      </c>
      <c r="K13" s="34">
        <v>10.373799999999999</v>
      </c>
      <c r="L13" s="34">
        <v>10.38</v>
      </c>
      <c r="M13" s="106">
        <f t="shared" si="0"/>
        <v>10.376899999999999</v>
      </c>
    </row>
    <row r="14" spans="1:16" x14ac:dyDescent="0.25">
      <c r="J14" s="33" t="s">
        <v>79</v>
      </c>
      <c r="K14" s="34">
        <v>10.8954</v>
      </c>
      <c r="L14" s="34">
        <v>10.913500000000001</v>
      </c>
      <c r="M14" s="106">
        <f t="shared" si="0"/>
        <v>10.904450000000001</v>
      </c>
    </row>
    <row r="15" spans="1:16" x14ac:dyDescent="0.25">
      <c r="J15" s="33"/>
      <c r="K15" s="34"/>
      <c r="L15" s="34"/>
    </row>
    <row r="16" spans="1:16" x14ac:dyDescent="0.25">
      <c r="J16" s="33"/>
      <c r="K16" s="34"/>
      <c r="L16" s="34"/>
    </row>
    <row r="17" spans="10:13" x14ac:dyDescent="0.25">
      <c r="J17" s="33"/>
      <c r="K17" s="34"/>
      <c r="L17" s="34"/>
    </row>
    <row r="18" spans="10:13" x14ac:dyDescent="0.25">
      <c r="J18" s="33" t="s">
        <v>85</v>
      </c>
      <c r="K18" s="34"/>
      <c r="L18" s="34"/>
      <c r="M18" s="68" t="str">
        <f>"""C:\Program Files (x86)\AstroGrep\AstroGrep.exe"""</f>
        <v>"C:\Program Files (x86)\AstroGrep\AstroGrep.exe"</v>
      </c>
    </row>
    <row r="19" spans="10:13" x14ac:dyDescent="0.25">
      <c r="J19" s="33" t="s">
        <v>86</v>
      </c>
      <c r="K19" s="34"/>
      <c r="L19" s="34"/>
      <c r="M19" s="68" t="s">
        <v>113</v>
      </c>
    </row>
    <row r="20" spans="10:13" x14ac:dyDescent="0.25">
      <c r="J20" t="s">
        <v>87</v>
      </c>
      <c r="M20" s="68" t="s">
        <v>191</v>
      </c>
    </row>
    <row r="21" spans="10:13" x14ac:dyDescent="0.25">
      <c r="J21" s="21" t="s">
        <v>90</v>
      </c>
      <c r="K21" s="21" t="s">
        <v>91</v>
      </c>
      <c r="M21" s="68" t="s">
        <v>193</v>
      </c>
    </row>
    <row r="22" spans="10:13" x14ac:dyDescent="0.25">
      <c r="J22" s="21" t="s">
        <v>92</v>
      </c>
      <c r="K22" s="21" t="s">
        <v>93</v>
      </c>
      <c r="M22" s="68" t="s">
        <v>112</v>
      </c>
    </row>
    <row r="23" spans="10:13" x14ac:dyDescent="0.25">
      <c r="J23" s="29" t="s">
        <v>95</v>
      </c>
      <c r="K23" s="21"/>
      <c r="M23" s="69">
        <v>-6</v>
      </c>
    </row>
    <row r="24" spans="10:13" x14ac:dyDescent="0.25">
      <c r="J24" s="21" t="s">
        <v>109</v>
      </c>
      <c r="K24" s="21"/>
      <c r="M24" s="68" t="s">
        <v>111</v>
      </c>
    </row>
    <row r="25" spans="10:13" x14ac:dyDescent="0.25">
      <c r="J25" t="s">
        <v>152</v>
      </c>
      <c r="M25" s="68" t="b">
        <v>1</v>
      </c>
    </row>
    <row r="26" spans="10:13" x14ac:dyDescent="0.25">
      <c r="J26" t="s">
        <v>153</v>
      </c>
      <c r="M26" s="68" t="str">
        <f>"C:\Users\stu\Documents\GitHub\eaglep3-reporting\EC\"&amp;TEXT(A2,"yyyy-mm-dd")&amp;"-refined-times.txt"</f>
        <v>C:\Users\stu\Documents\GitHub\eaglep3-reporting\EC\2016-10-13-refined-times.txt</v>
      </c>
    </row>
    <row r="27" spans="10:13" x14ac:dyDescent="0.25">
      <c r="J27" t="s">
        <v>246</v>
      </c>
      <c r="M27" s="68" t="str">
        <f>"C:\Users\stu\Documents\GitHub\eaglep3-reporting\EC\"&amp;TEXT(A2,"YYYY-MM-DD")&amp;"-Enforcements.txt"</f>
        <v>C:\Users\stu\Documents\GitHub\eaglep3-reporting\EC\2016-10-13-Enforcements.txt</v>
      </c>
    </row>
    <row r="28" spans="10:13" x14ac:dyDescent="0.25">
      <c r="J28" t="s">
        <v>247</v>
      </c>
      <c r="M28" s="106" t="str">
        <f>"C:\Users\stu\Documents\GitHub\eaglep3-reporting\EC\"&amp;TEXT(A2,"YYYY-MM-DD")&amp;"-Runs-Refined.txt"</f>
        <v>C:\Users\stu\Documents\GitHub\eaglep3-reporting\EC\2016-10-13-Runs-Refined.txt</v>
      </c>
    </row>
    <row r="29" spans="10:13" x14ac:dyDescent="0.25">
      <c r="J29" t="s">
        <v>248</v>
      </c>
      <c r="M29" s="106" t="str">
        <f>"C:\Users\stu\Documents\GitHub\eaglep3-reporting\EC\"&amp;TEXT(A2,"YYYY-MM-DD")&amp;"-Trips.txt"</f>
        <v>C:\Users\stu\Documents\GitHub\eaglep3-reporting\EC\2016-10-13-Trips.txt</v>
      </c>
    </row>
    <row r="30" spans="10:13" x14ac:dyDescent="0.25">
      <c r="J30" t="s">
        <v>249</v>
      </c>
      <c r="M30" s="106" t="str">
        <f>"C:\Users\stu\Documents\GitHub\eaglep3-reporting\EC\"&amp;TEXT(A2,"YYYY-MM-DD")&amp;"-Weather.txt"</f>
        <v>C:\Users\stu\Documents\GitHub\eaglep3-reporting\EC\2016-10-13-Weather.txt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4"/>
  <sheetViews>
    <sheetView workbookViewId="0"/>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123</v>
      </c>
      <c r="B1" s="115" t="s">
        <v>124</v>
      </c>
      <c r="C1" s="116" t="s">
        <v>125</v>
      </c>
      <c r="H1" t="s">
        <v>119</v>
      </c>
      <c r="I1" s="117" t="s">
        <v>121</v>
      </c>
      <c r="J1"/>
    </row>
    <row r="2" spans="1:11" x14ac:dyDescent="0.25">
      <c r="A2" s="116" t="s">
        <v>126</v>
      </c>
      <c r="B2" s="116" t="s">
        <v>127</v>
      </c>
      <c r="C2" s="116" t="s">
        <v>128</v>
      </c>
      <c r="H2" t="s">
        <v>120</v>
      </c>
      <c r="I2" s="106" t="s">
        <v>122</v>
      </c>
      <c r="J2"/>
    </row>
    <row r="3" spans="1:11" x14ac:dyDescent="0.25">
      <c r="A3" s="116" t="s">
        <v>129</v>
      </c>
      <c r="B3" s="116" t="s">
        <v>130</v>
      </c>
      <c r="C3" s="116" t="s">
        <v>131</v>
      </c>
      <c r="H3" t="s">
        <v>145</v>
      </c>
      <c r="I3" s="106">
        <v>1</v>
      </c>
      <c r="J3"/>
      <c r="K3" s="68"/>
    </row>
    <row r="4" spans="1:11" x14ac:dyDescent="0.25">
      <c r="A4" s="116" t="s">
        <v>132</v>
      </c>
      <c r="C4" s="116" t="s">
        <v>133</v>
      </c>
      <c r="H4" t="s">
        <v>146</v>
      </c>
      <c r="I4" s="106">
        <v>2</v>
      </c>
      <c r="J4"/>
      <c r="K4" s="68"/>
    </row>
    <row r="5" spans="1:11" x14ac:dyDescent="0.25">
      <c r="A5" s="116" t="s">
        <v>134</v>
      </c>
      <c r="C5" s="116" t="s">
        <v>135</v>
      </c>
      <c r="H5" t="s">
        <v>147</v>
      </c>
      <c r="I5" s="106">
        <v>23</v>
      </c>
      <c r="J5"/>
      <c r="K5" s="68"/>
    </row>
    <row r="6" spans="1:11" x14ac:dyDescent="0.25">
      <c r="A6" s="116" t="s">
        <v>136</v>
      </c>
      <c r="C6" s="116" t="s">
        <v>137</v>
      </c>
      <c r="H6" s="119" t="s">
        <v>148</v>
      </c>
      <c r="I6" s="120" t="s">
        <v>127</v>
      </c>
    </row>
    <row r="7" spans="1:11" x14ac:dyDescent="0.25">
      <c r="A7" s="116" t="s">
        <v>138</v>
      </c>
      <c r="C7" s="116" t="s">
        <v>139</v>
      </c>
    </row>
    <row r="8" spans="1:11" x14ac:dyDescent="0.25">
      <c r="C8" s="116" t="s">
        <v>140</v>
      </c>
    </row>
    <row r="9" spans="1:11" x14ac:dyDescent="0.25">
      <c r="C9" s="119" t="s">
        <v>179</v>
      </c>
    </row>
    <row r="10" spans="1:11" x14ac:dyDescent="0.25">
      <c r="C10" s="116" t="s">
        <v>141</v>
      </c>
    </row>
    <row r="11" spans="1:11" x14ac:dyDescent="0.25">
      <c r="C11" s="116" t="s">
        <v>142</v>
      </c>
    </row>
    <row r="12" spans="1:11" x14ac:dyDescent="0.25">
      <c r="C12" s="116" t="s">
        <v>143</v>
      </c>
    </row>
    <row r="13" spans="1:11" x14ac:dyDescent="0.25">
      <c r="C13" s="116" t="s">
        <v>144</v>
      </c>
    </row>
    <row r="14" spans="1:11" x14ac:dyDescent="0.25">
      <c r="C14" s="119" t="s">
        <v>180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2016-10-14T14:35:20Z</dcterms:modified>
</cp:coreProperties>
</file>