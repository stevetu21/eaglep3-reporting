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Trips'!$A$2:$J$30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4" i="1" l="1"/>
  <c r="L204" i="1"/>
  <c r="M204" i="1"/>
  <c r="N204" i="1"/>
  <c r="V204" i="1"/>
  <c r="AA204" i="1"/>
  <c r="AB204" i="1"/>
  <c r="AC204" i="1"/>
  <c r="AD204" i="1"/>
  <c r="T204" i="1" s="1"/>
  <c r="AE204" i="1"/>
  <c r="AF204" i="1"/>
  <c r="AH204" i="1"/>
  <c r="AM204" i="1"/>
  <c r="AN204" i="1"/>
  <c r="K200" i="1"/>
  <c r="L200" i="1"/>
  <c r="M200" i="1"/>
  <c r="N200" i="1" s="1"/>
  <c r="V200" i="1"/>
  <c r="AA200" i="1"/>
  <c r="AB200" i="1"/>
  <c r="AC200" i="1"/>
  <c r="AD200" i="1"/>
  <c r="T200" i="1" s="1"/>
  <c r="AE200" i="1"/>
  <c r="AF200" i="1"/>
  <c r="AH200" i="1"/>
  <c r="AM200" i="1"/>
  <c r="AN200" i="1"/>
  <c r="K198" i="1"/>
  <c r="L198" i="1"/>
  <c r="M198" i="1"/>
  <c r="N198" i="1" s="1"/>
  <c r="V198" i="1"/>
  <c r="AA198" i="1"/>
  <c r="AB198" i="1"/>
  <c r="AC198" i="1"/>
  <c r="AD198" i="1"/>
  <c r="T198" i="1" s="1"/>
  <c r="AE198" i="1"/>
  <c r="AF198" i="1"/>
  <c r="AH198" i="1"/>
  <c r="AM198" i="1"/>
  <c r="AN198" i="1"/>
  <c r="AG204" i="1"/>
  <c r="AG200" i="1"/>
  <c r="AG198" i="1"/>
  <c r="U204" i="1" l="1"/>
  <c r="S204" i="1" s="1"/>
  <c r="AI204" i="1"/>
  <c r="W204" i="1"/>
  <c r="U200" i="1"/>
  <c r="S200" i="1" s="1"/>
  <c r="AI200" i="1"/>
  <c r="W200" i="1"/>
  <c r="AI198" i="1"/>
  <c r="U198" i="1"/>
  <c r="S198" i="1" s="1"/>
  <c r="W19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S23" i="3" s="1"/>
  <c r="Y38" i="1"/>
  <c r="Z38" i="1"/>
  <c r="AB38" i="1"/>
  <c r="AC38" i="1"/>
  <c r="AD38" i="1"/>
  <c r="T38" i="1" s="1"/>
  <c r="AE38" i="1"/>
  <c r="R23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S12" i="3" s="1"/>
  <c r="Y49" i="1"/>
  <c r="Z49" i="1"/>
  <c r="AB49" i="1"/>
  <c r="AC49" i="1"/>
  <c r="AD49" i="1"/>
  <c r="T49" i="1" s="1"/>
  <c r="AE49" i="1"/>
  <c r="R12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S27" i="3" s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S10" i="3" s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R14" i="3" s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S8" i="3" s="1"/>
  <c r="Y82" i="1"/>
  <c r="Z82" i="1"/>
  <c r="AB82" i="1"/>
  <c r="AC82" i="1"/>
  <c r="AD82" i="1"/>
  <c r="T82" i="1" s="1"/>
  <c r="AE82" i="1"/>
  <c r="R8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AA87" i="1" s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S11" i="3" s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S17" i="3" s="1"/>
  <c r="Y98" i="1"/>
  <c r="Z98" i="1"/>
  <c r="AB98" i="1"/>
  <c r="AC98" i="1"/>
  <c r="AD98" i="1"/>
  <c r="AE98" i="1"/>
  <c r="R17" i="3" s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R18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S20" i="3" s="1"/>
  <c r="Y110" i="1"/>
  <c r="Z110" i="1"/>
  <c r="AB110" i="1"/>
  <c r="AC110" i="1"/>
  <c r="AD110" i="1"/>
  <c r="AE110" i="1"/>
  <c r="R20" i="3" s="1"/>
  <c r="AF110" i="1"/>
  <c r="AH110" i="1"/>
  <c r="AM110" i="1"/>
  <c r="AN110" i="1"/>
  <c r="K111" i="1"/>
  <c r="L111" i="1"/>
  <c r="M111" i="1"/>
  <c r="N111" i="1" s="1"/>
  <c r="V111" i="1"/>
  <c r="S7" i="3" s="1"/>
  <c r="Y111" i="1"/>
  <c r="Z111" i="1"/>
  <c r="AB111" i="1"/>
  <c r="AC111" i="1"/>
  <c r="AD111" i="1"/>
  <c r="AE111" i="1"/>
  <c r="R7" i="3" s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R9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S28" i="3" s="1"/>
  <c r="Y117" i="1"/>
  <c r="Z117" i="1"/>
  <c r="AA117" i="1" s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S15" i="3" s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S25" i="3" s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S19" i="3" s="1"/>
  <c r="Y134" i="1"/>
  <c r="Z134" i="1"/>
  <c r="AB134" i="1"/>
  <c r="AC134" i="1"/>
  <c r="AD134" i="1"/>
  <c r="T134" i="1" s="1"/>
  <c r="AE134" i="1"/>
  <c r="R19" i="3" s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R21" i="3" s="1"/>
  <c r="AF145" i="1"/>
  <c r="AH145" i="1"/>
  <c r="AM145" i="1"/>
  <c r="AN145" i="1"/>
  <c r="K146" i="1"/>
  <c r="L146" i="1"/>
  <c r="M146" i="1"/>
  <c r="N146" i="1" s="1"/>
  <c r="V146" i="1"/>
  <c r="Y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S26" i="3" s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S29" i="3" s="1"/>
  <c r="Y153" i="1"/>
  <c r="Z153" i="1"/>
  <c r="AB153" i="1"/>
  <c r="AC153" i="1"/>
  <c r="AD153" i="1"/>
  <c r="T153" i="1" s="1"/>
  <c r="AE153" i="1"/>
  <c r="R29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25" i="1"/>
  <c r="L225" i="1"/>
  <c r="M225" i="1"/>
  <c r="N225" i="1" s="1"/>
  <c r="V225" i="1"/>
  <c r="Y225" i="1"/>
  <c r="Z225" i="1"/>
  <c r="AA225" i="1" s="1"/>
  <c r="AB225" i="1"/>
  <c r="AC225" i="1"/>
  <c r="AD225" i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78" i="1"/>
  <c r="AM178" i="1"/>
  <c r="AN178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79" i="1"/>
  <c r="AM179" i="1"/>
  <c r="AN17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0" i="1"/>
  <c r="AM180" i="1"/>
  <c r="AN18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1" i="1"/>
  <c r="AM181" i="1"/>
  <c r="AN18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3" i="1"/>
  <c r="AM183" i="1"/>
  <c r="AN18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4" i="1"/>
  <c r="AM184" i="1"/>
  <c r="AN184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5" i="1"/>
  <c r="AM185" i="1"/>
  <c r="AN18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6" i="1"/>
  <c r="AM186" i="1"/>
  <c r="AN186" i="1"/>
  <c r="K168" i="1"/>
  <c r="L168" i="1"/>
  <c r="M168" i="1"/>
  <c r="N168" i="1" s="1"/>
  <c r="V168" i="1"/>
  <c r="S33" i="3" s="1"/>
  <c r="Y168" i="1"/>
  <c r="Z168" i="1"/>
  <c r="AB168" i="1"/>
  <c r="AC168" i="1"/>
  <c r="AD168" i="1"/>
  <c r="AE168" i="1"/>
  <c r="R33" i="3" s="1"/>
  <c r="AF168" i="1"/>
  <c r="AH187" i="1"/>
  <c r="AM187" i="1"/>
  <c r="AN18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8" i="1"/>
  <c r="AM188" i="1"/>
  <c r="AN188" i="1"/>
  <c r="K170" i="1"/>
  <c r="L170" i="1"/>
  <c r="M170" i="1"/>
  <c r="N170" i="1" s="1"/>
  <c r="T170" i="1"/>
  <c r="V170" i="1"/>
  <c r="X170" i="1"/>
  <c r="Y170" i="1"/>
  <c r="Z170" i="1"/>
  <c r="AB170" i="1"/>
  <c r="AC170" i="1"/>
  <c r="AD170" i="1"/>
  <c r="AE170" i="1"/>
  <c r="AF170" i="1"/>
  <c r="AH189" i="1"/>
  <c r="AM189" i="1"/>
  <c r="AN189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90" i="1"/>
  <c r="AM190" i="1"/>
  <c r="AN190" i="1"/>
  <c r="K172" i="1"/>
  <c r="L172" i="1"/>
  <c r="M172" i="1"/>
  <c r="N172" i="1"/>
  <c r="V172" i="1"/>
  <c r="Y172" i="1"/>
  <c r="Z172" i="1"/>
  <c r="AB172" i="1"/>
  <c r="AC172" i="1"/>
  <c r="AD172" i="1"/>
  <c r="AE172" i="1"/>
  <c r="AF172" i="1"/>
  <c r="AH191" i="1"/>
  <c r="AM191" i="1"/>
  <c r="AN19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2" i="1"/>
  <c r="AM192" i="1"/>
  <c r="AN192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3" i="1"/>
  <c r="AM193" i="1"/>
  <c r="AN193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4" i="1"/>
  <c r="AM194" i="1"/>
  <c r="AN194" i="1"/>
  <c r="K176" i="1"/>
  <c r="L176" i="1"/>
  <c r="M176" i="1"/>
  <c r="P176" i="1" s="1"/>
  <c r="V176" i="1"/>
  <c r="S31" i="3" s="1"/>
  <c r="Y176" i="1"/>
  <c r="Z176" i="1"/>
  <c r="AB176" i="1"/>
  <c r="AC176" i="1"/>
  <c r="AD176" i="1"/>
  <c r="AE176" i="1"/>
  <c r="R31" i="3" s="1"/>
  <c r="AF176" i="1"/>
  <c r="AH195" i="1"/>
  <c r="AM195" i="1"/>
  <c r="AN195" i="1"/>
  <c r="K177" i="1"/>
  <c r="L177" i="1"/>
  <c r="M177" i="1"/>
  <c r="N177" i="1" s="1"/>
  <c r="V177" i="1"/>
  <c r="S30" i="3" s="1"/>
  <c r="Y177" i="1"/>
  <c r="Z177" i="1"/>
  <c r="AB177" i="1"/>
  <c r="AC177" i="1"/>
  <c r="AD177" i="1"/>
  <c r="T177" i="1" s="1"/>
  <c r="AE177" i="1"/>
  <c r="R30" i="3" s="1"/>
  <c r="AF177" i="1"/>
  <c r="AH196" i="1"/>
  <c r="AM196" i="1"/>
  <c r="AN19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7" i="1"/>
  <c r="AM197" i="1"/>
  <c r="AN197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9" i="1"/>
  <c r="AM199" i="1"/>
  <c r="AN19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1" i="1"/>
  <c r="AM201" i="1"/>
  <c r="AN20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2" i="1"/>
  <c r="AM202" i="1"/>
  <c r="AN20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3" i="1"/>
  <c r="AM203" i="1"/>
  <c r="AN20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5" i="1"/>
  <c r="AM205" i="1"/>
  <c r="AN205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6" i="1"/>
  <c r="AM206" i="1"/>
  <c r="AN20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7" i="1"/>
  <c r="AM207" i="1"/>
  <c r="AN207" i="1"/>
  <c r="K186" i="1"/>
  <c r="L186" i="1"/>
  <c r="M186" i="1"/>
  <c r="N186" i="1" s="1"/>
  <c r="V186" i="1"/>
  <c r="S32" i="3" s="1"/>
  <c r="Y186" i="1"/>
  <c r="Z186" i="1"/>
  <c r="AB186" i="1"/>
  <c r="AC186" i="1"/>
  <c r="AD186" i="1"/>
  <c r="AE186" i="1"/>
  <c r="R32" i="3" s="1"/>
  <c r="AF186" i="1"/>
  <c r="AH208" i="1"/>
  <c r="AM208" i="1"/>
  <c r="AN208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9" i="1"/>
  <c r="AM209" i="1"/>
  <c r="AN209" i="1"/>
  <c r="K188" i="1"/>
  <c r="L188" i="1"/>
  <c r="M188" i="1"/>
  <c r="N188" i="1" s="1"/>
  <c r="V188" i="1"/>
  <c r="S35" i="3" s="1"/>
  <c r="Y188" i="1"/>
  <c r="Z188" i="1"/>
  <c r="AB188" i="1"/>
  <c r="AC188" i="1"/>
  <c r="AD188" i="1"/>
  <c r="AE188" i="1"/>
  <c r="R35" i="3" s="1"/>
  <c r="AF188" i="1"/>
  <c r="AH210" i="1"/>
  <c r="AM210" i="1"/>
  <c r="AN21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2" i="1"/>
  <c r="AM212" i="1"/>
  <c r="AN212" i="1"/>
  <c r="K191" i="1"/>
  <c r="L191" i="1"/>
  <c r="M191" i="1"/>
  <c r="N191" i="1" s="1"/>
  <c r="V191" i="1"/>
  <c r="S34" i="3" s="1"/>
  <c r="Y191" i="1"/>
  <c r="Z191" i="1"/>
  <c r="AB191" i="1"/>
  <c r="AC191" i="1"/>
  <c r="AD191" i="1"/>
  <c r="AE191" i="1"/>
  <c r="R34" i="3" s="1"/>
  <c r="AF191" i="1"/>
  <c r="AH213" i="1"/>
  <c r="AM213" i="1"/>
  <c r="AN213" i="1"/>
  <c r="K192" i="1"/>
  <c r="L192" i="1"/>
  <c r="M192" i="1"/>
  <c r="P192" i="1" s="1"/>
  <c r="V192" i="1"/>
  <c r="Y192" i="1"/>
  <c r="Z192" i="1"/>
  <c r="AB192" i="1"/>
  <c r="AC192" i="1"/>
  <c r="AD192" i="1"/>
  <c r="AE192" i="1"/>
  <c r="AF192" i="1"/>
  <c r="AH214" i="1"/>
  <c r="AM214" i="1"/>
  <c r="AN21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5" i="1"/>
  <c r="AM215" i="1"/>
  <c r="AN21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7" i="1"/>
  <c r="AM217" i="1"/>
  <c r="AN21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9" i="1"/>
  <c r="AM219" i="1"/>
  <c r="AN219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20" i="1"/>
  <c r="AM220" i="1"/>
  <c r="AN220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21" i="1"/>
  <c r="AM221" i="1"/>
  <c r="AN22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2" i="1"/>
  <c r="AM222" i="1"/>
  <c r="AN22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3" i="1"/>
  <c r="AM223" i="1"/>
  <c r="AN223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24" i="1"/>
  <c r="AM224" i="1"/>
  <c r="AN224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5" i="1"/>
  <c r="AM225" i="1"/>
  <c r="AN225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26" i="1"/>
  <c r="AM226" i="1"/>
  <c r="AN22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7" i="1"/>
  <c r="AM227" i="1"/>
  <c r="AN22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8" i="1"/>
  <c r="AM228" i="1"/>
  <c r="AN22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9" i="1"/>
  <c r="AM229" i="1"/>
  <c r="AN22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0" i="1"/>
  <c r="AM230" i="1"/>
  <c r="AN23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1" i="1"/>
  <c r="AM231" i="1"/>
  <c r="AN231" i="1"/>
  <c r="M13" i="3"/>
  <c r="R13" i="3"/>
  <c r="S13" i="3"/>
  <c r="U13" i="3"/>
  <c r="T13" i="3" s="1"/>
  <c r="V13" i="3"/>
  <c r="X13" i="3"/>
  <c r="AC13" i="3"/>
  <c r="M16" i="3"/>
  <c r="R16" i="3"/>
  <c r="S16" i="3"/>
  <c r="U16" i="3"/>
  <c r="V16" i="3"/>
  <c r="X16" i="3"/>
  <c r="AC16" i="3"/>
  <c r="M33" i="3"/>
  <c r="U33" i="3"/>
  <c r="AC33" i="3" s="1"/>
  <c r="V33" i="3"/>
  <c r="X33" i="3"/>
  <c r="M23" i="3"/>
  <c r="T23" i="3"/>
  <c r="U23" i="3"/>
  <c r="AC23" i="3" s="1"/>
  <c r="V23" i="3"/>
  <c r="X23" i="3"/>
  <c r="M12" i="3"/>
  <c r="U12" i="3"/>
  <c r="T12" i="3" s="1"/>
  <c r="V12" i="3"/>
  <c r="AE12" i="3" s="1"/>
  <c r="X12" i="3"/>
  <c r="AC12" i="3"/>
  <c r="AD12" i="3"/>
  <c r="M10" i="3"/>
  <c r="R10" i="3"/>
  <c r="U10" i="3"/>
  <c r="AD13" i="3" s="1"/>
  <c r="V10" i="3"/>
  <c r="X10" i="3"/>
  <c r="AC10" i="3"/>
  <c r="M27" i="3"/>
  <c r="R27" i="3"/>
  <c r="U27" i="3"/>
  <c r="AC27" i="3" s="1"/>
  <c r="V27" i="3"/>
  <c r="X27" i="3"/>
  <c r="M31" i="3"/>
  <c r="U31" i="3"/>
  <c r="AC31" i="3" s="1"/>
  <c r="V31" i="3"/>
  <c r="X31" i="3"/>
  <c r="M30" i="3"/>
  <c r="U30" i="3"/>
  <c r="T30" i="3" s="1"/>
  <c r="V30" i="3"/>
  <c r="X30" i="3"/>
  <c r="AD16" i="3"/>
  <c r="M14" i="3"/>
  <c r="S14" i="3"/>
  <c r="U14" i="3"/>
  <c r="V14" i="3"/>
  <c r="X14" i="3"/>
  <c r="AC14" i="3"/>
  <c r="M24" i="3"/>
  <c r="R24" i="3"/>
  <c r="S24" i="3"/>
  <c r="U24" i="3"/>
  <c r="AC24" i="3" s="1"/>
  <c r="V24" i="3"/>
  <c r="X24" i="3"/>
  <c r="M8" i="3"/>
  <c r="T8" i="3"/>
  <c r="U8" i="3"/>
  <c r="AC8" i="3" s="1"/>
  <c r="V8" i="3"/>
  <c r="X8" i="3"/>
  <c r="M11" i="3"/>
  <c r="R11" i="3"/>
  <c r="U11" i="3"/>
  <c r="T11" i="3" s="1"/>
  <c r="V11" i="3"/>
  <c r="X11" i="3"/>
  <c r="M17" i="3"/>
  <c r="U17" i="3"/>
  <c r="V17" i="3"/>
  <c r="X17" i="3"/>
  <c r="AC17" i="3"/>
  <c r="M32" i="3"/>
  <c r="U32" i="3"/>
  <c r="AC32" i="3" s="1"/>
  <c r="V32" i="3"/>
  <c r="X32" i="3"/>
  <c r="M18" i="3"/>
  <c r="S18" i="3"/>
  <c r="U18" i="3"/>
  <c r="AC18" i="3" s="1"/>
  <c r="V18" i="3"/>
  <c r="X18" i="3"/>
  <c r="AE23" i="3"/>
  <c r="M7" i="3"/>
  <c r="T7" i="3"/>
  <c r="U7" i="3"/>
  <c r="V7" i="3"/>
  <c r="AE24" i="3" s="1"/>
  <c r="X7" i="3"/>
  <c r="AC7" i="3"/>
  <c r="AD24" i="3"/>
  <c r="M35" i="3"/>
  <c r="U35" i="3"/>
  <c r="V35" i="3"/>
  <c r="X35" i="3"/>
  <c r="M20" i="3"/>
  <c r="U20" i="3"/>
  <c r="AC20" i="3" s="1"/>
  <c r="V20" i="3"/>
  <c r="X20" i="3"/>
  <c r="M28" i="3"/>
  <c r="R28" i="3"/>
  <c r="U28" i="3"/>
  <c r="AC28" i="3" s="1"/>
  <c r="V28" i="3"/>
  <c r="AE27" i="3" s="1"/>
  <c r="X28" i="3"/>
  <c r="M34" i="3"/>
  <c r="U34" i="3"/>
  <c r="AC34" i="3" s="1"/>
  <c r="V34" i="3"/>
  <c r="X34" i="3"/>
  <c r="AD28" i="3"/>
  <c r="M9" i="3"/>
  <c r="S9" i="3"/>
  <c r="U9" i="3"/>
  <c r="V9" i="3"/>
  <c r="X9" i="3"/>
  <c r="AC9" i="3"/>
  <c r="M15" i="3"/>
  <c r="R15" i="3"/>
  <c r="U15" i="3"/>
  <c r="AC15" i="3" s="1"/>
  <c r="V15" i="3"/>
  <c r="X15" i="3"/>
  <c r="M36" i="3"/>
  <c r="R36" i="3"/>
  <c r="S36" i="3"/>
  <c r="T36" i="3"/>
  <c r="U36" i="3"/>
  <c r="AC36" i="3" s="1"/>
  <c r="V36" i="3"/>
  <c r="AE31" i="3" s="1"/>
  <c r="X36" i="3"/>
  <c r="AD31" i="3"/>
  <c r="M25" i="3"/>
  <c r="R25" i="3"/>
  <c r="U25" i="3"/>
  <c r="T25" i="3" s="1"/>
  <c r="V25" i="3"/>
  <c r="X25" i="3"/>
  <c r="AD32" i="3"/>
  <c r="M19" i="3"/>
  <c r="U19" i="3"/>
  <c r="AD33" i="3" s="1"/>
  <c r="V19" i="3"/>
  <c r="X19" i="3"/>
  <c r="AC19" i="3"/>
  <c r="M21" i="3"/>
  <c r="S21" i="3"/>
  <c r="U21" i="3"/>
  <c r="AC21" i="3" s="1"/>
  <c r="V21" i="3"/>
  <c r="X21" i="3"/>
  <c r="M37" i="3"/>
  <c r="R37" i="3"/>
  <c r="S37" i="3"/>
  <c r="U37" i="3"/>
  <c r="AC37" i="3" s="1"/>
  <c r="V37" i="3"/>
  <c r="X37" i="3"/>
  <c r="AD35" i="3"/>
  <c r="AE35" i="3"/>
  <c r="M26" i="3"/>
  <c r="R26" i="3"/>
  <c r="U26" i="3"/>
  <c r="T26" i="3" s="1"/>
  <c r="V26" i="3"/>
  <c r="AE36" i="3" s="1"/>
  <c r="X26" i="3"/>
  <c r="AD36" i="3"/>
  <c r="M29" i="3"/>
  <c r="U29" i="3"/>
  <c r="V29" i="3"/>
  <c r="X29" i="3"/>
  <c r="W10" i="3"/>
  <c r="W9" i="3"/>
  <c r="W34" i="3"/>
  <c r="W24" i="3"/>
  <c r="W21" i="3"/>
  <c r="W31" i="3"/>
  <c r="W13" i="3"/>
  <c r="W26" i="3"/>
  <c r="W14" i="3"/>
  <c r="W19" i="3"/>
  <c r="W25" i="3"/>
  <c r="W32" i="3"/>
  <c r="W36" i="3"/>
  <c r="W12" i="3"/>
  <c r="W8" i="3"/>
  <c r="W17" i="3"/>
  <c r="W29" i="3"/>
  <c r="W33" i="3"/>
  <c r="W20" i="3"/>
  <c r="W7" i="3"/>
  <c r="W18" i="3"/>
  <c r="W30" i="3"/>
  <c r="W16" i="3"/>
  <c r="W35" i="3"/>
  <c r="W37" i="3"/>
  <c r="W27" i="3"/>
  <c r="W15" i="3"/>
  <c r="W23" i="3"/>
  <c r="W28" i="3"/>
  <c r="W11" i="3"/>
  <c r="AG33" i="1"/>
  <c r="AG92" i="1"/>
  <c r="AG196" i="1"/>
  <c r="AG102" i="1"/>
  <c r="AG166" i="1"/>
  <c r="AG84" i="1"/>
  <c r="AG57" i="1"/>
  <c r="AG219" i="1"/>
  <c r="AG30" i="1"/>
  <c r="AG124" i="1"/>
  <c r="AG190" i="1"/>
  <c r="AG178" i="1"/>
  <c r="AG115" i="1"/>
  <c r="AG101" i="1"/>
  <c r="AG55" i="1"/>
  <c r="AG94" i="1"/>
  <c r="AG153" i="1"/>
  <c r="AG203" i="1"/>
  <c r="AG70" i="1"/>
  <c r="AG182" i="1"/>
  <c r="AG93" i="1"/>
  <c r="AG68" i="1"/>
  <c r="AG97" i="1"/>
  <c r="AG26" i="1"/>
  <c r="AG214" i="1"/>
  <c r="AG72" i="1"/>
  <c r="AG108" i="1"/>
  <c r="AG228" i="1"/>
  <c r="AG106" i="1"/>
  <c r="AG105" i="1"/>
  <c r="AG222" i="1"/>
  <c r="AG164" i="1"/>
  <c r="AG81" i="1"/>
  <c r="AG52" i="1"/>
  <c r="AG146" i="1"/>
  <c r="AG22" i="1"/>
  <c r="AG49" i="1"/>
  <c r="AG189" i="1"/>
  <c r="AG147" i="1"/>
  <c r="AG74" i="1"/>
  <c r="AG179" i="1"/>
  <c r="AG191" i="1"/>
  <c r="AG95" i="1"/>
  <c r="AG180" i="1"/>
  <c r="AG208" i="1"/>
  <c r="AG37" i="1"/>
  <c r="AG25" i="1"/>
  <c r="AG197" i="1"/>
  <c r="AG61" i="1"/>
  <c r="AG139" i="1"/>
  <c r="AG170" i="1"/>
  <c r="AG48" i="1"/>
  <c r="AG158" i="1"/>
  <c r="AG149" i="1"/>
  <c r="AG62" i="1"/>
  <c r="AG156" i="1"/>
  <c r="AG201" i="1"/>
  <c r="AG128" i="1"/>
  <c r="AG31" i="1"/>
  <c r="AG112" i="1"/>
  <c r="AG71" i="1"/>
  <c r="AG181" i="1"/>
  <c r="AG63" i="1"/>
  <c r="AG207" i="1"/>
  <c r="AG66" i="1"/>
  <c r="AG44" i="1"/>
  <c r="AG154" i="1"/>
  <c r="AG133" i="1"/>
  <c r="AG29" i="1"/>
  <c r="AG121" i="1"/>
  <c r="AG192" i="1"/>
  <c r="AG202" i="1"/>
  <c r="AG122" i="1"/>
  <c r="AG56" i="1"/>
  <c r="AG140" i="1"/>
  <c r="AG96" i="1"/>
  <c r="AG38" i="1"/>
  <c r="AG73" i="1"/>
  <c r="AG227" i="1"/>
  <c r="AG126" i="1"/>
  <c r="AG141" i="1"/>
  <c r="AG18" i="1"/>
  <c r="AG199" i="1"/>
  <c r="AG155" i="1"/>
  <c r="AG41" i="1"/>
  <c r="AG230" i="1"/>
  <c r="AG171" i="1"/>
  <c r="AG45" i="1"/>
  <c r="AG223" i="1"/>
  <c r="AG117" i="1"/>
  <c r="AG111" i="1"/>
  <c r="AG211" i="1"/>
  <c r="AG86" i="1"/>
  <c r="AG107" i="1"/>
  <c r="AG168" i="1"/>
  <c r="AG27" i="1"/>
  <c r="AG109" i="1"/>
  <c r="AG231" i="1"/>
  <c r="AG184" i="1"/>
  <c r="AG69" i="1"/>
  <c r="AG103" i="1"/>
  <c r="AG23" i="1"/>
  <c r="AG91" i="1"/>
  <c r="AG210" i="1"/>
  <c r="AG169" i="1"/>
  <c r="AG54" i="1"/>
  <c r="AG159" i="1"/>
  <c r="AG165" i="1"/>
  <c r="AG143" i="1"/>
  <c r="AG19" i="1"/>
  <c r="AG127" i="1"/>
  <c r="AG144" i="1"/>
  <c r="AG42" i="1"/>
  <c r="AG89" i="1"/>
  <c r="AG145" i="1"/>
  <c r="AG151" i="1"/>
  <c r="AG40" i="1"/>
  <c r="AG64" i="1"/>
  <c r="AG134" i="1"/>
  <c r="AG221" i="1"/>
  <c r="AG129" i="1"/>
  <c r="AG50" i="1"/>
  <c r="AG225" i="1"/>
  <c r="AG100" i="1"/>
  <c r="AG36" i="1"/>
  <c r="AG80" i="1"/>
  <c r="AG215" i="1"/>
  <c r="AG113" i="1"/>
  <c r="AG34" i="1"/>
  <c r="AG51" i="1"/>
  <c r="AG217" i="1"/>
  <c r="AG90" i="1"/>
  <c r="AG152" i="1"/>
  <c r="AG195" i="1"/>
  <c r="AG177" i="1"/>
  <c r="AG135" i="1"/>
  <c r="AG46" i="1"/>
  <c r="AG150" i="1"/>
  <c r="AG161" i="1"/>
  <c r="AG132" i="1"/>
  <c r="AG110" i="1"/>
  <c r="AG131" i="1"/>
  <c r="AG174" i="1"/>
  <c r="AG83" i="1"/>
  <c r="AG58" i="1"/>
  <c r="AG176" i="1"/>
  <c r="AG148" i="1"/>
  <c r="AG209" i="1"/>
  <c r="AG88" i="1"/>
  <c r="AG75" i="1"/>
  <c r="AG226" i="1"/>
  <c r="AG188" i="1"/>
  <c r="AG28" i="1"/>
  <c r="AG175" i="1"/>
  <c r="AG136" i="1"/>
  <c r="AG17" i="1"/>
  <c r="AG173" i="1"/>
  <c r="AG193" i="1"/>
  <c r="AG212" i="1"/>
  <c r="AG160" i="1"/>
  <c r="AG87" i="1"/>
  <c r="AG14" i="1"/>
  <c r="AG98" i="1"/>
  <c r="AG157" i="1"/>
  <c r="AG220" i="1"/>
  <c r="AG206" i="1"/>
  <c r="AG67" i="1"/>
  <c r="AG16" i="1"/>
  <c r="AG142" i="1"/>
  <c r="AG24" i="1"/>
  <c r="AG114" i="1"/>
  <c r="AG167" i="1"/>
  <c r="AG138" i="1"/>
  <c r="AG82" i="1"/>
  <c r="AG85" i="1"/>
  <c r="AG20" i="1"/>
  <c r="AG60" i="1"/>
  <c r="AG130" i="1"/>
  <c r="AG205" i="1"/>
  <c r="AG35" i="1"/>
  <c r="AG229" i="1"/>
  <c r="AG78" i="1"/>
  <c r="AG183" i="1"/>
  <c r="AG21" i="1"/>
  <c r="AG216" i="1"/>
  <c r="AG123" i="1"/>
  <c r="AG32" i="1"/>
  <c r="AG65" i="1"/>
  <c r="AG118" i="1"/>
  <c r="AG224" i="1"/>
  <c r="AG76" i="1"/>
  <c r="AG185" i="1"/>
  <c r="AG79" i="1"/>
  <c r="AG15" i="1"/>
  <c r="AG213" i="1"/>
  <c r="AG104" i="1"/>
  <c r="AG187" i="1"/>
  <c r="AG43" i="1"/>
  <c r="AG218" i="1"/>
  <c r="AG53" i="1"/>
  <c r="AG39" i="1"/>
  <c r="AG137" i="1"/>
  <c r="AG119" i="1"/>
  <c r="AG77" i="1"/>
  <c r="AG125" i="1"/>
  <c r="AG99" i="1"/>
  <c r="AG47" i="1"/>
  <c r="AG194" i="1"/>
  <c r="AG172" i="1"/>
  <c r="AG59" i="1"/>
  <c r="AG120" i="1"/>
  <c r="AG163" i="1"/>
  <c r="AG162" i="1"/>
  <c r="AG116" i="1"/>
  <c r="AG186" i="1"/>
  <c r="X122" i="1" l="1"/>
  <c r="AA88" i="1"/>
  <c r="T88" i="1"/>
  <c r="X186" i="1"/>
  <c r="X98" i="1"/>
  <c r="X190" i="1"/>
  <c r="AA197" i="1"/>
  <c r="X208" i="1"/>
  <c r="AA97" i="1"/>
  <c r="X87" i="1"/>
  <c r="X85" i="1"/>
  <c r="AA224" i="1"/>
  <c r="W224" i="1" s="1"/>
  <c r="T206" i="1"/>
  <c r="U206" i="1" s="1"/>
  <c r="S206" i="1" s="1"/>
  <c r="X206" i="1"/>
  <c r="T203" i="1"/>
  <c r="U203" i="1" s="1"/>
  <c r="S203" i="1" s="1"/>
  <c r="X203" i="1"/>
  <c r="X183" i="1"/>
  <c r="X182" i="1"/>
  <c r="AA137" i="1"/>
  <c r="X134" i="1"/>
  <c r="AA83" i="1"/>
  <c r="W83" i="1" s="1"/>
  <c r="X81" i="1"/>
  <c r="T199" i="1"/>
  <c r="X177" i="1"/>
  <c r="X174" i="1"/>
  <c r="X173" i="1"/>
  <c r="AA209" i="1"/>
  <c r="W209" i="1" s="1"/>
  <c r="AA157" i="1"/>
  <c r="X200" i="1"/>
  <c r="X202" i="1"/>
  <c r="T201" i="1"/>
  <c r="AA183" i="1"/>
  <c r="W183" i="1" s="1"/>
  <c r="AA175" i="1"/>
  <c r="AA163" i="1"/>
  <c r="W163" i="1" s="1"/>
  <c r="AA161" i="1"/>
  <c r="AA230" i="1"/>
  <c r="T209" i="1"/>
  <c r="X209" i="1"/>
  <c r="T207" i="1"/>
  <c r="U207" i="1" s="1"/>
  <c r="S207" i="1" s="1"/>
  <c r="X207" i="1"/>
  <c r="AA151" i="1"/>
  <c r="X141" i="1"/>
  <c r="AA139" i="1"/>
  <c r="X138" i="1"/>
  <c r="AA134" i="1"/>
  <c r="T81" i="1"/>
  <c r="AA80" i="1"/>
  <c r="X204" i="1"/>
  <c r="X198" i="1"/>
  <c r="X36" i="1"/>
  <c r="AA16" i="1"/>
  <c r="AA74" i="1"/>
  <c r="W74" i="1" s="1"/>
  <c r="AA68" i="1"/>
  <c r="AA64" i="1"/>
  <c r="AA186" i="1"/>
  <c r="AA166" i="1"/>
  <c r="W166" i="1" s="1"/>
  <c r="X73" i="1"/>
  <c r="X33" i="1"/>
  <c r="AA141" i="1"/>
  <c r="X72" i="1"/>
  <c r="X70" i="1"/>
  <c r="X24" i="1"/>
  <c r="AA20" i="1"/>
  <c r="T71" i="1"/>
  <c r="U71" i="1" s="1"/>
  <c r="S71" i="1" s="1"/>
  <c r="X71" i="1"/>
  <c r="AA48" i="1"/>
  <c r="W48" i="1" s="1"/>
  <c r="X37" i="1"/>
  <c r="X25" i="1"/>
  <c r="X16" i="1"/>
  <c r="AA23" i="1"/>
  <c r="W23" i="1" s="1"/>
  <c r="X17" i="1"/>
  <c r="AA15" i="1"/>
  <c r="T124" i="1"/>
  <c r="U124" i="1" s="1"/>
  <c r="S124" i="1" s="1"/>
  <c r="X124" i="1"/>
  <c r="X221" i="1"/>
  <c r="AA219" i="1"/>
  <c r="AA201" i="1"/>
  <c r="W201" i="1" s="1"/>
  <c r="T174" i="1"/>
  <c r="U174" i="1" s="1"/>
  <c r="S174" i="1" s="1"/>
  <c r="X162" i="1"/>
  <c r="AA213" i="1"/>
  <c r="W213" i="1" s="1"/>
  <c r="X150" i="1"/>
  <c r="AA118" i="1"/>
  <c r="AA116" i="1"/>
  <c r="W116" i="1" s="1"/>
  <c r="AA114" i="1"/>
  <c r="W114" i="1" s="1"/>
  <c r="X99" i="1"/>
  <c r="X80" i="1"/>
  <c r="X48" i="1"/>
  <c r="X41" i="1"/>
  <c r="T41" i="1"/>
  <c r="AA37" i="1"/>
  <c r="X191" i="1"/>
  <c r="T98" i="1"/>
  <c r="U98" i="1" s="1"/>
  <c r="S98" i="1" s="1"/>
  <c r="X49" i="1"/>
  <c r="AA196" i="1"/>
  <c r="X166" i="1"/>
  <c r="AA160" i="1"/>
  <c r="W160" i="1" s="1"/>
  <c r="X214" i="1"/>
  <c r="X210" i="1"/>
  <c r="X158" i="1"/>
  <c r="AA150" i="1"/>
  <c r="W150" i="1" s="1"/>
  <c r="AA145" i="1"/>
  <c r="AA126" i="1"/>
  <c r="AA101" i="1"/>
  <c r="W101" i="1" s="1"/>
  <c r="T99" i="1"/>
  <c r="U99" i="1" s="1"/>
  <c r="S99" i="1" s="1"/>
  <c r="AA98" i="1"/>
  <c r="W98" i="1" s="1"/>
  <c r="AA93" i="1"/>
  <c r="T80" i="1"/>
  <c r="U80" i="1" s="1"/>
  <c r="S80" i="1" s="1"/>
  <c r="X76" i="1"/>
  <c r="T76" i="1"/>
  <c r="T48" i="1"/>
  <c r="AA47" i="1"/>
  <c r="W47" i="1" s="1"/>
  <c r="T42" i="1"/>
  <c r="U42" i="1" s="1"/>
  <c r="S42" i="1" s="1"/>
  <c r="X43" i="1"/>
  <c r="AA29" i="1"/>
  <c r="X21" i="1"/>
  <c r="AA75" i="1"/>
  <c r="W75" i="1" s="1"/>
  <c r="AA71" i="1"/>
  <c r="AA65" i="1"/>
  <c r="AA57" i="1"/>
  <c r="W57" i="1" s="1"/>
  <c r="AA53" i="1"/>
  <c r="W53" i="1" s="1"/>
  <c r="AA21" i="1"/>
  <c r="W21" i="1" s="1"/>
  <c r="AA18" i="1"/>
  <c r="W18" i="1" s="1"/>
  <c r="AA221" i="1"/>
  <c r="W221" i="1" s="1"/>
  <c r="AA205" i="1"/>
  <c r="W205" i="1" s="1"/>
  <c r="AA193" i="1"/>
  <c r="AA189" i="1"/>
  <c r="W189" i="1" s="1"/>
  <c r="AA226" i="1"/>
  <c r="AA216" i="1"/>
  <c r="W216" i="1" s="1"/>
  <c r="AA212" i="1"/>
  <c r="X146" i="1"/>
  <c r="X142" i="1"/>
  <c r="AA138" i="1"/>
  <c r="X133" i="1"/>
  <c r="AA129" i="1"/>
  <c r="W129" i="1" s="1"/>
  <c r="AA119" i="1"/>
  <c r="X117" i="1"/>
  <c r="X115" i="1"/>
  <c r="AA115" i="1"/>
  <c r="X111" i="1"/>
  <c r="AA111" i="1"/>
  <c r="X107" i="1"/>
  <c r="AA107" i="1"/>
  <c r="X103" i="1"/>
  <c r="AA103" i="1"/>
  <c r="W103" i="1" s="1"/>
  <c r="AA96" i="1"/>
  <c r="X84" i="1"/>
  <c r="AA66" i="1"/>
  <c r="W66" i="1" s="1"/>
  <c r="AA43" i="1"/>
  <c r="AA38" i="1"/>
  <c r="AA27" i="1"/>
  <c r="AA24" i="1"/>
  <c r="W24" i="1" s="1"/>
  <c r="X187" i="1"/>
  <c r="AA122" i="1"/>
  <c r="X121" i="1"/>
  <c r="X110" i="1"/>
  <c r="X106" i="1"/>
  <c r="T84" i="1"/>
  <c r="T70" i="1"/>
  <c r="U70" i="1" s="1"/>
  <c r="S70" i="1" s="1"/>
  <c r="X62" i="1"/>
  <c r="AA46" i="1"/>
  <c r="W46" i="1" s="1"/>
  <c r="X40" i="1"/>
  <c r="X39" i="1"/>
  <c r="AA31" i="1"/>
  <c r="W31" i="1" s="1"/>
  <c r="X23" i="1"/>
  <c r="AA19" i="1"/>
  <c r="X224" i="1"/>
  <c r="X222" i="1"/>
  <c r="AA203" i="1"/>
  <c r="W203" i="1" s="1"/>
  <c r="AA191" i="1"/>
  <c r="T191" i="1"/>
  <c r="U191" i="1" s="1"/>
  <c r="S191" i="1" s="1"/>
  <c r="T190" i="1"/>
  <c r="U190" i="1" s="1"/>
  <c r="S190" i="1" s="1"/>
  <c r="AA188" i="1"/>
  <c r="W188" i="1" s="1"/>
  <c r="AA181" i="1"/>
  <c r="W181" i="1" s="1"/>
  <c r="X178" i="1"/>
  <c r="AA168" i="1"/>
  <c r="W168" i="1" s="1"/>
  <c r="AA228" i="1"/>
  <c r="X227" i="1"/>
  <c r="T214" i="1"/>
  <c r="AA158" i="1"/>
  <c r="T158" i="1"/>
  <c r="U158" i="1" s="1"/>
  <c r="S158" i="1" s="1"/>
  <c r="AA156" i="1"/>
  <c r="W156" i="1" s="1"/>
  <c r="AA146" i="1"/>
  <c r="T146" i="1"/>
  <c r="U146" i="1" s="1"/>
  <c r="S146" i="1" s="1"/>
  <c r="AA142" i="1"/>
  <c r="W142" i="1" s="1"/>
  <c r="T142" i="1"/>
  <c r="AA133" i="1"/>
  <c r="W133" i="1" s="1"/>
  <c r="X130" i="1"/>
  <c r="X129" i="1"/>
  <c r="AA127" i="1"/>
  <c r="X126" i="1"/>
  <c r="X125" i="1"/>
  <c r="X119" i="1"/>
  <c r="AA113" i="1"/>
  <c r="AA109" i="1"/>
  <c r="AA105" i="1"/>
  <c r="W105" i="1" s="1"/>
  <c r="AA95" i="1"/>
  <c r="W95" i="1" s="1"/>
  <c r="T85" i="1"/>
  <c r="AA84" i="1"/>
  <c r="X77" i="1"/>
  <c r="AA61" i="1"/>
  <c r="W61" i="1" s="1"/>
  <c r="X58" i="1"/>
  <c r="AA51" i="1"/>
  <c r="W51" i="1" s="1"/>
  <c r="AA35" i="1"/>
  <c r="W35" i="1" s="1"/>
  <c r="AA40" i="1"/>
  <c r="W40" i="1" s="1"/>
  <c r="AA39" i="1"/>
  <c r="AA30" i="1"/>
  <c r="X20" i="1"/>
  <c r="X19" i="1"/>
  <c r="AA17" i="1"/>
  <c r="AA222" i="1"/>
  <c r="AA194" i="1"/>
  <c r="W194" i="1" s="1"/>
  <c r="AA185" i="1"/>
  <c r="W185" i="1" s="1"/>
  <c r="AA180" i="1"/>
  <c r="AA178" i="1"/>
  <c r="AA177" i="1"/>
  <c r="W177" i="1" s="1"/>
  <c r="AA173" i="1"/>
  <c r="W173" i="1" s="1"/>
  <c r="AA169" i="1"/>
  <c r="AA165" i="1"/>
  <c r="W165" i="1" s="1"/>
  <c r="AA231" i="1"/>
  <c r="X217" i="1"/>
  <c r="AA217" i="1"/>
  <c r="AA207" i="1"/>
  <c r="AA153" i="1"/>
  <c r="W153" i="1" s="1"/>
  <c r="X149" i="1"/>
  <c r="AA149" i="1"/>
  <c r="AA147" i="1"/>
  <c r="W147" i="1" s="1"/>
  <c r="AA143" i="1"/>
  <c r="W143" i="1" s="1"/>
  <c r="AA130" i="1"/>
  <c r="T126" i="1"/>
  <c r="AA125" i="1"/>
  <c r="AA124" i="1"/>
  <c r="AA121" i="1"/>
  <c r="W121" i="1" s="1"/>
  <c r="X118" i="1"/>
  <c r="X114" i="1"/>
  <c r="AA112" i="1"/>
  <c r="AA110" i="1"/>
  <c r="AA108" i="1"/>
  <c r="W108" i="1" s="1"/>
  <c r="AA106" i="1"/>
  <c r="AA104" i="1"/>
  <c r="T77" i="1"/>
  <c r="U77" i="1" s="1"/>
  <c r="S77" i="1" s="1"/>
  <c r="AA76" i="1"/>
  <c r="AA73" i="1"/>
  <c r="X66" i="1"/>
  <c r="AA60" i="1"/>
  <c r="W60" i="1" s="1"/>
  <c r="X54" i="1"/>
  <c r="AA45" i="1"/>
  <c r="X32" i="1"/>
  <c r="T205" i="1"/>
  <c r="U205" i="1" s="1"/>
  <c r="S205" i="1" s="1"/>
  <c r="T195" i="1"/>
  <c r="U195" i="1" s="1"/>
  <c r="S195" i="1" s="1"/>
  <c r="X195" i="1"/>
  <c r="AA223" i="1"/>
  <c r="W223" i="1" s="1"/>
  <c r="AA220" i="1"/>
  <c r="W220" i="1" s="1"/>
  <c r="X220" i="1"/>
  <c r="T194" i="1"/>
  <c r="U194" i="1" s="1"/>
  <c r="S194" i="1" s="1"/>
  <c r="X194" i="1"/>
  <c r="X193" i="1"/>
  <c r="X230" i="1"/>
  <c r="X153" i="1"/>
  <c r="AA131" i="1"/>
  <c r="AA123" i="1"/>
  <c r="W123" i="1" s="1"/>
  <c r="T121" i="1"/>
  <c r="U121" i="1" s="1"/>
  <c r="S121" i="1" s="1"/>
  <c r="AA120" i="1"/>
  <c r="T118" i="1"/>
  <c r="U118" i="1" s="1"/>
  <c r="S118" i="1" s="1"/>
  <c r="T115" i="1"/>
  <c r="U115" i="1" s="1"/>
  <c r="S115" i="1" s="1"/>
  <c r="T111" i="1"/>
  <c r="U111" i="1" s="1"/>
  <c r="S111" i="1" s="1"/>
  <c r="T107" i="1"/>
  <c r="U107" i="1" s="1"/>
  <c r="S107" i="1" s="1"/>
  <c r="T103" i="1"/>
  <c r="U103" i="1" s="1"/>
  <c r="S103" i="1" s="1"/>
  <c r="AA102" i="1"/>
  <c r="W102" i="1" s="1"/>
  <c r="T102" i="1"/>
  <c r="U102" i="1" s="1"/>
  <c r="S102" i="1" s="1"/>
  <c r="AA100" i="1"/>
  <c r="W100" i="1" s="1"/>
  <c r="AA99" i="1"/>
  <c r="X95" i="1"/>
  <c r="X94" i="1"/>
  <c r="AA90" i="1"/>
  <c r="W90" i="1" s="1"/>
  <c r="AA89" i="1"/>
  <c r="X83" i="1"/>
  <c r="X79" i="1"/>
  <c r="X75" i="1"/>
  <c r="X69" i="1"/>
  <c r="X65" i="1"/>
  <c r="X61" i="1"/>
  <c r="AA58" i="1"/>
  <c r="W58" i="1" s="1"/>
  <c r="AA56" i="1"/>
  <c r="AA55" i="1"/>
  <c r="AA50" i="1"/>
  <c r="W50" i="1" s="1"/>
  <c r="AA49" i="1"/>
  <c r="W49" i="1" s="1"/>
  <c r="X45" i="1"/>
  <c r="X44" i="1"/>
  <c r="AA42" i="1"/>
  <c r="W42" i="1" s="1"/>
  <c r="AA41" i="1"/>
  <c r="T37" i="1"/>
  <c r="AA36" i="1"/>
  <c r="T36" i="1"/>
  <c r="U36" i="1" s="1"/>
  <c r="S36" i="1" s="1"/>
  <c r="X35" i="1"/>
  <c r="X29" i="1"/>
  <c r="X28" i="1"/>
  <c r="AA26" i="1"/>
  <c r="W26" i="1" s="1"/>
  <c r="AA25" i="1"/>
  <c r="W25" i="1" s="1"/>
  <c r="T23" i="1"/>
  <c r="U23" i="1" s="1"/>
  <c r="S23" i="1" s="1"/>
  <c r="AA22" i="1"/>
  <c r="T20" i="1"/>
  <c r="U20" i="1" s="1"/>
  <c r="S20" i="1" s="1"/>
  <c r="T17" i="1"/>
  <c r="U17" i="1" s="1"/>
  <c r="S17" i="1" s="1"/>
  <c r="X15" i="1"/>
  <c r="AA206" i="1"/>
  <c r="AA202" i="1"/>
  <c r="W202" i="1" s="1"/>
  <c r="AA199" i="1"/>
  <c r="W199" i="1" s="1"/>
  <c r="X197" i="1"/>
  <c r="AA187" i="1"/>
  <c r="T187" i="1"/>
  <c r="U187" i="1" s="1"/>
  <c r="S187" i="1" s="1"/>
  <c r="T186" i="1"/>
  <c r="U186" i="1" s="1"/>
  <c r="S186" i="1" s="1"/>
  <c r="AA184" i="1"/>
  <c r="W184" i="1" s="1"/>
  <c r="AA182" i="1"/>
  <c r="W182" i="1" s="1"/>
  <c r="X181" i="1"/>
  <c r="X179" i="1"/>
  <c r="AA176" i="1"/>
  <c r="AA170" i="1"/>
  <c r="X169" i="1"/>
  <c r="T166" i="1"/>
  <c r="U166" i="1" s="1"/>
  <c r="S166" i="1" s="1"/>
  <c r="AA164" i="1"/>
  <c r="W164" i="1" s="1"/>
  <c r="AA159" i="1"/>
  <c r="X231" i="1"/>
  <c r="AA227" i="1"/>
  <c r="X226" i="1"/>
  <c r="T217" i="1"/>
  <c r="AA215" i="1"/>
  <c r="AA210" i="1"/>
  <c r="T210" i="1"/>
  <c r="U210" i="1" s="1"/>
  <c r="S210" i="1" s="1"/>
  <c r="AA208" i="1"/>
  <c r="AA155" i="1"/>
  <c r="X154" i="1"/>
  <c r="T149" i="1"/>
  <c r="U149" i="1" s="1"/>
  <c r="S149" i="1" s="1"/>
  <c r="AA148" i="1"/>
  <c r="W148" i="1" s="1"/>
  <c r="X145" i="1"/>
  <c r="T141" i="1"/>
  <c r="U141" i="1" s="1"/>
  <c r="S141" i="1" s="1"/>
  <c r="AA140" i="1"/>
  <c r="W140" i="1" s="1"/>
  <c r="X137" i="1"/>
  <c r="T133" i="1"/>
  <c r="U133" i="1" s="1"/>
  <c r="S133" i="1" s="1"/>
  <c r="AA132" i="1"/>
  <c r="W132" i="1" s="1"/>
  <c r="T117" i="1"/>
  <c r="T114" i="1"/>
  <c r="U114" i="1" s="1"/>
  <c r="S114" i="1" s="1"/>
  <c r="T110" i="1"/>
  <c r="U110" i="1" s="1"/>
  <c r="S110" i="1" s="1"/>
  <c r="T106" i="1"/>
  <c r="U106" i="1" s="1"/>
  <c r="S106" i="1" s="1"/>
  <c r="T73" i="1"/>
  <c r="AA72" i="1"/>
  <c r="W72" i="1" s="1"/>
  <c r="T72" i="1"/>
  <c r="U72" i="1" s="1"/>
  <c r="S72" i="1" s="1"/>
  <c r="AA62" i="1"/>
  <c r="W62" i="1" s="1"/>
  <c r="X57" i="1"/>
  <c r="AA54" i="1"/>
  <c r="W54" i="1" s="1"/>
  <c r="AA32" i="1"/>
  <c r="X31" i="1"/>
  <c r="AA14" i="1"/>
  <c r="X185" i="1"/>
  <c r="X165" i="1"/>
  <c r="X216" i="1"/>
  <c r="AA94" i="1"/>
  <c r="W94" i="1" s="1"/>
  <c r="AA92" i="1"/>
  <c r="W92" i="1" s="1"/>
  <c r="AA91" i="1"/>
  <c r="AA86" i="1"/>
  <c r="AA85" i="1"/>
  <c r="AA82" i="1"/>
  <c r="W82" i="1" s="1"/>
  <c r="AA81" i="1"/>
  <c r="AA78" i="1"/>
  <c r="AA77" i="1"/>
  <c r="AA69" i="1"/>
  <c r="W69" i="1" s="1"/>
  <c r="AA67" i="1"/>
  <c r="W67" i="1" s="1"/>
  <c r="AA63" i="1"/>
  <c r="W63" i="1" s="1"/>
  <c r="AA59" i="1"/>
  <c r="AA52" i="1"/>
  <c r="W52" i="1" s="1"/>
  <c r="AA44" i="1"/>
  <c r="W44" i="1" s="1"/>
  <c r="AA34" i="1"/>
  <c r="W34" i="1" s="1"/>
  <c r="AA33" i="1"/>
  <c r="AA28" i="1"/>
  <c r="W28" i="1" s="1"/>
  <c r="X27" i="1"/>
  <c r="AA195" i="1"/>
  <c r="W195" i="1" s="1"/>
  <c r="AA192" i="1"/>
  <c r="AA190" i="1"/>
  <c r="X189" i="1"/>
  <c r="AA179" i="1"/>
  <c r="W179" i="1" s="1"/>
  <c r="AA174" i="1"/>
  <c r="AA172" i="1"/>
  <c r="W172" i="1" s="1"/>
  <c r="AA167" i="1"/>
  <c r="W167" i="1" s="1"/>
  <c r="AA162" i="1"/>
  <c r="W162" i="1" s="1"/>
  <c r="X161" i="1"/>
  <c r="AA229" i="1"/>
  <c r="AA218" i="1"/>
  <c r="AA211" i="1"/>
  <c r="X157" i="1"/>
  <c r="AA154" i="1"/>
  <c r="W154" i="1" s="1"/>
  <c r="AA152" i="1"/>
  <c r="W152" i="1" s="1"/>
  <c r="AA144" i="1"/>
  <c r="AA136" i="1"/>
  <c r="W136" i="1" s="1"/>
  <c r="AA128" i="1"/>
  <c r="AA70" i="1"/>
  <c r="X53" i="1"/>
  <c r="AI231" i="1"/>
  <c r="U224" i="1"/>
  <c r="S224" i="1" s="1"/>
  <c r="U220" i="1"/>
  <c r="S220" i="1" s="1"/>
  <c r="AI227" i="1"/>
  <c r="AI223" i="1"/>
  <c r="AI219" i="1"/>
  <c r="U197" i="1"/>
  <c r="S197" i="1" s="1"/>
  <c r="AI215" i="1"/>
  <c r="U193" i="1"/>
  <c r="S193" i="1" s="1"/>
  <c r="AI211" i="1"/>
  <c r="U189" i="1"/>
  <c r="S189" i="1" s="1"/>
  <c r="AI207" i="1"/>
  <c r="U185" i="1"/>
  <c r="S185" i="1" s="1"/>
  <c r="AI202" i="1"/>
  <c r="U181" i="1"/>
  <c r="S181" i="1" s="1"/>
  <c r="AI196" i="1"/>
  <c r="U177" i="1"/>
  <c r="S177" i="1" s="1"/>
  <c r="AI192" i="1"/>
  <c r="U173" i="1"/>
  <c r="S173" i="1" s="1"/>
  <c r="AI188" i="1"/>
  <c r="U169" i="1"/>
  <c r="S169" i="1" s="1"/>
  <c r="AI184" i="1"/>
  <c r="U165" i="1"/>
  <c r="S165" i="1" s="1"/>
  <c r="AI180" i="1"/>
  <c r="U161" i="1"/>
  <c r="S161" i="1" s="1"/>
  <c r="AI176" i="1"/>
  <c r="U230" i="1"/>
  <c r="S230" i="1" s="1"/>
  <c r="AI172" i="1"/>
  <c r="U226" i="1"/>
  <c r="S226" i="1" s="1"/>
  <c r="AI168" i="1"/>
  <c r="U216" i="1"/>
  <c r="S216" i="1" s="1"/>
  <c r="U222" i="1"/>
  <c r="S222" i="1" s="1"/>
  <c r="AI229" i="1"/>
  <c r="AI228" i="1"/>
  <c r="U221" i="1"/>
  <c r="S221" i="1" s="1"/>
  <c r="AI224" i="1"/>
  <c r="AI220" i="1"/>
  <c r="U199" i="1"/>
  <c r="S199" i="1" s="1"/>
  <c r="AI216" i="1"/>
  <c r="AI212" i="1"/>
  <c r="AI208" i="1"/>
  <c r="AI203" i="1"/>
  <c r="U182" i="1"/>
  <c r="S182" i="1" s="1"/>
  <c r="AI197" i="1"/>
  <c r="U178" i="1"/>
  <c r="S178" i="1" s="1"/>
  <c r="AI193" i="1"/>
  <c r="AI189" i="1"/>
  <c r="U170" i="1"/>
  <c r="S170" i="1" s="1"/>
  <c r="AI185" i="1"/>
  <c r="AI181" i="1"/>
  <c r="U162" i="1"/>
  <c r="S162" i="1" s="1"/>
  <c r="AI177" i="1"/>
  <c r="U231" i="1"/>
  <c r="S231" i="1" s="1"/>
  <c r="AI173" i="1"/>
  <c r="U227" i="1"/>
  <c r="S227" i="1" s="1"/>
  <c r="AI169" i="1"/>
  <c r="U217" i="1"/>
  <c r="S217" i="1" s="1"/>
  <c r="AI225" i="1"/>
  <c r="U201" i="1"/>
  <c r="S201" i="1" s="1"/>
  <c r="AI221" i="1"/>
  <c r="AI217" i="1"/>
  <c r="AI213" i="1"/>
  <c r="AI209" i="1"/>
  <c r="U183" i="1"/>
  <c r="S183" i="1" s="1"/>
  <c r="AI205" i="1"/>
  <c r="U179" i="1"/>
  <c r="S179" i="1" s="1"/>
  <c r="AI199" i="1"/>
  <c r="U175" i="1"/>
  <c r="S175" i="1" s="1"/>
  <c r="AI194" i="1"/>
  <c r="U171" i="1"/>
  <c r="S171" i="1" s="1"/>
  <c r="AI190" i="1"/>
  <c r="U167" i="1"/>
  <c r="S167" i="1" s="1"/>
  <c r="AI186" i="1"/>
  <c r="U163" i="1"/>
  <c r="S163" i="1" s="1"/>
  <c r="AI182" i="1"/>
  <c r="U159" i="1"/>
  <c r="S159" i="1" s="1"/>
  <c r="AI178" i="1"/>
  <c r="U228" i="1"/>
  <c r="S228" i="1" s="1"/>
  <c r="AI174" i="1"/>
  <c r="U218" i="1"/>
  <c r="S218" i="1" s="1"/>
  <c r="AI170" i="1"/>
  <c r="AI230" i="1"/>
  <c r="AI226" i="1"/>
  <c r="AI222" i="1"/>
  <c r="AI218" i="1"/>
  <c r="AI214" i="1"/>
  <c r="AI210" i="1"/>
  <c r="AI206" i="1"/>
  <c r="AI201" i="1"/>
  <c r="AI195" i="1"/>
  <c r="AI191" i="1"/>
  <c r="AI187" i="1"/>
  <c r="AI183" i="1"/>
  <c r="AI179" i="1"/>
  <c r="AI175" i="1"/>
  <c r="AI171" i="1"/>
  <c r="AI167" i="1"/>
  <c r="AI166" i="1"/>
  <c r="U214" i="1"/>
  <c r="S214" i="1" s="1"/>
  <c r="U213" i="1"/>
  <c r="S213" i="1" s="1"/>
  <c r="AI165" i="1"/>
  <c r="AI161" i="1"/>
  <c r="U209" i="1"/>
  <c r="S209" i="1" s="1"/>
  <c r="AI157" i="1"/>
  <c r="U157" i="1"/>
  <c r="S157" i="1" s="1"/>
  <c r="AI153" i="1"/>
  <c r="U153" i="1"/>
  <c r="S153" i="1" s="1"/>
  <c r="AI149" i="1"/>
  <c r="AI145" i="1"/>
  <c r="U145" i="1"/>
  <c r="S145" i="1" s="1"/>
  <c r="AI141" i="1"/>
  <c r="AI137" i="1"/>
  <c r="U137" i="1"/>
  <c r="S137" i="1" s="1"/>
  <c r="AI133" i="1"/>
  <c r="AI129" i="1"/>
  <c r="U129" i="1"/>
  <c r="S129" i="1" s="1"/>
  <c r="AI125" i="1"/>
  <c r="U125" i="1"/>
  <c r="S125" i="1" s="1"/>
  <c r="AI162" i="1"/>
  <c r="AI158" i="1"/>
  <c r="AI154" i="1"/>
  <c r="U154" i="1"/>
  <c r="S154" i="1" s="1"/>
  <c r="AI150" i="1"/>
  <c r="U150" i="1"/>
  <c r="S150" i="1" s="1"/>
  <c r="AI146" i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26" i="1"/>
  <c r="U126" i="1"/>
  <c r="S126" i="1" s="1"/>
  <c r="U211" i="1"/>
  <c r="S211" i="1" s="1"/>
  <c r="AI163" i="1"/>
  <c r="AI159" i="1"/>
  <c r="U155" i="1"/>
  <c r="S155" i="1" s="1"/>
  <c r="AI155" i="1"/>
  <c r="U151" i="1"/>
  <c r="S151" i="1" s="1"/>
  <c r="AI151" i="1"/>
  <c r="U147" i="1"/>
  <c r="S147" i="1" s="1"/>
  <c r="AI147" i="1"/>
  <c r="U143" i="1"/>
  <c r="S143" i="1" s="1"/>
  <c r="AI143" i="1"/>
  <c r="U139" i="1"/>
  <c r="S139" i="1" s="1"/>
  <c r="AI139" i="1"/>
  <c r="U135" i="1"/>
  <c r="S135" i="1" s="1"/>
  <c r="AI135" i="1"/>
  <c r="U131" i="1"/>
  <c r="S131" i="1" s="1"/>
  <c r="AI131" i="1"/>
  <c r="U127" i="1"/>
  <c r="S127" i="1" s="1"/>
  <c r="AI127" i="1"/>
  <c r="U123" i="1"/>
  <c r="S123" i="1" s="1"/>
  <c r="AI123" i="1"/>
  <c r="AI164" i="1"/>
  <c r="AI160" i="1"/>
  <c r="AI156" i="1"/>
  <c r="AI152" i="1"/>
  <c r="U148" i="1"/>
  <c r="S148" i="1" s="1"/>
  <c r="AI148" i="1"/>
  <c r="U144" i="1"/>
  <c r="S144" i="1" s="1"/>
  <c r="AI144" i="1"/>
  <c r="U140" i="1"/>
  <c r="S140" i="1" s="1"/>
  <c r="AI140" i="1"/>
  <c r="U136" i="1"/>
  <c r="S136" i="1" s="1"/>
  <c r="AI136" i="1"/>
  <c r="U132" i="1"/>
  <c r="S132" i="1" s="1"/>
  <c r="AI132" i="1"/>
  <c r="U128" i="1"/>
  <c r="S128" i="1" s="1"/>
  <c r="AI128" i="1"/>
  <c r="AI124" i="1"/>
  <c r="AI120" i="1"/>
  <c r="U120" i="1"/>
  <c r="S120" i="1" s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121" i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3" i="1"/>
  <c r="U93" i="1"/>
  <c r="S93" i="1" s="1"/>
  <c r="AI89" i="1"/>
  <c r="U89" i="1"/>
  <c r="S89" i="1" s="1"/>
  <c r="U122" i="1"/>
  <c r="S122" i="1" s="1"/>
  <c r="AI122" i="1"/>
  <c r="AI118" i="1"/>
  <c r="AI114" i="1"/>
  <c r="AI110" i="1"/>
  <c r="AI106" i="1"/>
  <c r="AI102" i="1"/>
  <c r="AI98" i="1"/>
  <c r="U94" i="1"/>
  <c r="S94" i="1" s="1"/>
  <c r="AI94" i="1"/>
  <c r="U119" i="1"/>
  <c r="S119" i="1" s="1"/>
  <c r="AI119" i="1"/>
  <c r="AI115" i="1"/>
  <c r="AI111" i="1"/>
  <c r="AI107" i="1"/>
  <c r="AI103" i="1"/>
  <c r="AI99" i="1"/>
  <c r="U95" i="1"/>
  <c r="S95" i="1" s="1"/>
  <c r="AI95" i="1"/>
  <c r="U91" i="1"/>
  <c r="S91" i="1" s="1"/>
  <c r="AI91" i="1"/>
  <c r="U87" i="1"/>
  <c r="S87" i="1" s="1"/>
  <c r="AI87" i="1"/>
  <c r="AI83" i="1"/>
  <c r="U83" i="1"/>
  <c r="S83" i="1" s="1"/>
  <c r="AI79" i="1"/>
  <c r="U79" i="1"/>
  <c r="S79" i="1" s="1"/>
  <c r="AI75" i="1"/>
  <c r="U75" i="1"/>
  <c r="S75" i="1" s="1"/>
  <c r="AI71" i="1"/>
  <c r="AI68" i="1"/>
  <c r="U68" i="1"/>
  <c r="S68" i="1" s="1"/>
  <c r="AI64" i="1"/>
  <c r="U64" i="1"/>
  <c r="S64" i="1" s="1"/>
  <c r="AI60" i="1"/>
  <c r="U60" i="1"/>
  <c r="S60" i="1" s="1"/>
  <c r="AI88" i="1"/>
  <c r="U88" i="1"/>
  <c r="S88" i="1" s="1"/>
  <c r="AI84" i="1"/>
  <c r="U84" i="1"/>
  <c r="S84" i="1" s="1"/>
  <c r="AI80" i="1"/>
  <c r="AI76" i="1"/>
  <c r="U76" i="1"/>
  <c r="S76" i="1" s="1"/>
  <c r="AI72" i="1"/>
  <c r="AI69" i="1"/>
  <c r="U69" i="1"/>
  <c r="S69" i="1" s="1"/>
  <c r="AI65" i="1"/>
  <c r="U65" i="1"/>
  <c r="S65" i="1" s="1"/>
  <c r="AI61" i="1"/>
  <c r="U61" i="1"/>
  <c r="S61" i="1" s="1"/>
  <c r="U85" i="1"/>
  <c r="S85" i="1" s="1"/>
  <c r="AI85" i="1"/>
  <c r="U81" i="1"/>
  <c r="S81" i="1" s="1"/>
  <c r="AI81" i="1"/>
  <c r="AI77" i="1"/>
  <c r="U73" i="1"/>
  <c r="S73" i="1" s="1"/>
  <c r="AI73" i="1"/>
  <c r="AI70" i="1"/>
  <c r="U66" i="1"/>
  <c r="S66" i="1" s="1"/>
  <c r="AI66" i="1"/>
  <c r="U62" i="1"/>
  <c r="S62" i="1" s="1"/>
  <c r="AI62" i="1"/>
  <c r="U90" i="1"/>
  <c r="S90" i="1" s="1"/>
  <c r="AI90" i="1"/>
  <c r="U86" i="1"/>
  <c r="S86" i="1" s="1"/>
  <c r="AI86" i="1"/>
  <c r="U82" i="1"/>
  <c r="S82" i="1" s="1"/>
  <c r="AI82" i="1"/>
  <c r="U78" i="1"/>
  <c r="S78" i="1" s="1"/>
  <c r="AI78" i="1"/>
  <c r="U74" i="1"/>
  <c r="S74" i="1" s="1"/>
  <c r="AI74" i="1"/>
  <c r="U67" i="1"/>
  <c r="S67" i="1" s="1"/>
  <c r="AI67" i="1"/>
  <c r="U63" i="1"/>
  <c r="S63" i="1" s="1"/>
  <c r="AI63" i="1"/>
  <c r="U59" i="1"/>
  <c r="S59" i="1" s="1"/>
  <c r="AI59" i="1"/>
  <c r="U57" i="1"/>
  <c r="S57" i="1" s="1"/>
  <c r="AI57" i="1"/>
  <c r="AI53" i="1"/>
  <c r="U53" i="1"/>
  <c r="S53" i="1" s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AI58" i="1"/>
  <c r="U58" i="1"/>
  <c r="S58" i="1" s="1"/>
  <c r="AI54" i="1"/>
  <c r="U54" i="1"/>
  <c r="S54" i="1" s="1"/>
  <c r="AI50" i="1"/>
  <c r="U50" i="1"/>
  <c r="S50" i="1" s="1"/>
  <c r="AI46" i="1"/>
  <c r="U46" i="1"/>
  <c r="S46" i="1" s="1"/>
  <c r="AI42" i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5" i="1"/>
  <c r="S55" i="1" s="1"/>
  <c r="AI55" i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AI23" i="1"/>
  <c r="U19" i="1"/>
  <c r="S19" i="1" s="1"/>
  <c r="AI19" i="1"/>
  <c r="U15" i="1"/>
  <c r="S15" i="1" s="1"/>
  <c r="AI15" i="1"/>
  <c r="AI56" i="1"/>
  <c r="AI52" i="1"/>
  <c r="U48" i="1"/>
  <c r="S48" i="1" s="1"/>
  <c r="AI48" i="1"/>
  <c r="U44" i="1"/>
  <c r="S44" i="1" s="1"/>
  <c r="AI44" i="1"/>
  <c r="U40" i="1"/>
  <c r="S40" i="1" s="1"/>
  <c r="AI40" i="1"/>
  <c r="AI36" i="1"/>
  <c r="U32" i="1"/>
  <c r="S32" i="1" s="1"/>
  <c r="AI32" i="1"/>
  <c r="U28" i="1"/>
  <c r="S28" i="1" s="1"/>
  <c r="AI28" i="1"/>
  <c r="U24" i="1"/>
  <c r="S24" i="1" s="1"/>
  <c r="AI24" i="1"/>
  <c r="AI20" i="1"/>
  <c r="U16" i="1"/>
  <c r="S16" i="1" s="1"/>
  <c r="AI16" i="1"/>
  <c r="W222" i="1"/>
  <c r="W197" i="1"/>
  <c r="W196" i="1"/>
  <c r="W180" i="1"/>
  <c r="W175" i="1"/>
  <c r="W169" i="1"/>
  <c r="W231" i="1"/>
  <c r="W226" i="1"/>
  <c r="W225" i="1"/>
  <c r="W206" i="1"/>
  <c r="W187" i="1"/>
  <c r="W176" i="1"/>
  <c r="W170" i="1"/>
  <c r="W159" i="1"/>
  <c r="W227" i="1"/>
  <c r="W215" i="1"/>
  <c r="W219" i="1"/>
  <c r="W191" i="1"/>
  <c r="W186" i="1"/>
  <c r="W171" i="1"/>
  <c r="W161" i="1"/>
  <c r="W228" i="1"/>
  <c r="W217" i="1"/>
  <c r="W193" i="1"/>
  <c r="W192" i="1"/>
  <c r="W190" i="1"/>
  <c r="W178" i="1"/>
  <c r="W174" i="1"/>
  <c r="W230" i="1"/>
  <c r="W229" i="1"/>
  <c r="W218" i="1"/>
  <c r="X223" i="1"/>
  <c r="T223" i="1"/>
  <c r="U223" i="1" s="1"/>
  <c r="S223" i="1" s="1"/>
  <c r="X219" i="1"/>
  <c r="T219" i="1"/>
  <c r="U219" i="1" s="1"/>
  <c r="S219" i="1" s="1"/>
  <c r="T202" i="1"/>
  <c r="U202" i="1" s="1"/>
  <c r="S202" i="1" s="1"/>
  <c r="X196" i="1"/>
  <c r="T196" i="1"/>
  <c r="U196" i="1" s="1"/>
  <c r="S196" i="1" s="1"/>
  <c r="X192" i="1"/>
  <c r="T192" i="1"/>
  <c r="U192" i="1" s="1"/>
  <c r="S192" i="1" s="1"/>
  <c r="X188" i="1"/>
  <c r="T188" i="1"/>
  <c r="U188" i="1" s="1"/>
  <c r="S188" i="1" s="1"/>
  <c r="X184" i="1"/>
  <c r="T184" i="1"/>
  <c r="U184" i="1" s="1"/>
  <c r="S184" i="1" s="1"/>
  <c r="X180" i="1"/>
  <c r="T180" i="1"/>
  <c r="U180" i="1" s="1"/>
  <c r="S180" i="1" s="1"/>
  <c r="X176" i="1"/>
  <c r="T176" i="1"/>
  <c r="U176" i="1" s="1"/>
  <c r="S176" i="1" s="1"/>
  <c r="X172" i="1"/>
  <c r="T172" i="1"/>
  <c r="U172" i="1" s="1"/>
  <c r="S172" i="1" s="1"/>
  <c r="X168" i="1"/>
  <c r="T168" i="1"/>
  <c r="U168" i="1" s="1"/>
  <c r="S168" i="1" s="1"/>
  <c r="X164" i="1"/>
  <c r="T164" i="1"/>
  <c r="U164" i="1" s="1"/>
  <c r="S164" i="1" s="1"/>
  <c r="X160" i="1"/>
  <c r="T160" i="1"/>
  <c r="U160" i="1" s="1"/>
  <c r="S160" i="1" s="1"/>
  <c r="X229" i="1"/>
  <c r="T229" i="1"/>
  <c r="U229" i="1" s="1"/>
  <c r="S229" i="1" s="1"/>
  <c r="X225" i="1"/>
  <c r="T225" i="1"/>
  <c r="U225" i="1" s="1"/>
  <c r="S225" i="1" s="1"/>
  <c r="W212" i="1"/>
  <c r="W207" i="1"/>
  <c r="W149" i="1"/>
  <c r="W141" i="1"/>
  <c r="W139" i="1"/>
  <c r="W134" i="1"/>
  <c r="W131" i="1"/>
  <c r="AA214" i="1"/>
  <c r="W214" i="1" s="1"/>
  <c r="X213" i="1"/>
  <c r="T212" i="1"/>
  <c r="U212" i="1" s="1"/>
  <c r="S212" i="1" s="1"/>
  <c r="X212" i="1"/>
  <c r="W210" i="1"/>
  <c r="W208" i="1"/>
  <c r="W155" i="1"/>
  <c r="W126" i="1"/>
  <c r="W125" i="1"/>
  <c r="T215" i="1"/>
  <c r="U215" i="1" s="1"/>
  <c r="S215" i="1" s="1"/>
  <c r="X215" i="1"/>
  <c r="W158" i="1"/>
  <c r="W157" i="1"/>
  <c r="W151" i="1"/>
  <c r="W146" i="1"/>
  <c r="W145" i="1"/>
  <c r="W138" i="1"/>
  <c r="W137" i="1"/>
  <c r="W135" i="1"/>
  <c r="W130" i="1"/>
  <c r="W127" i="1"/>
  <c r="W124" i="1"/>
  <c r="X175" i="1"/>
  <c r="X171" i="1"/>
  <c r="X167" i="1"/>
  <c r="X163" i="1"/>
  <c r="X159" i="1"/>
  <c r="X228" i="1"/>
  <c r="X218" i="1"/>
  <c r="W211" i="1"/>
  <c r="W144" i="1"/>
  <c r="W128" i="1"/>
  <c r="T208" i="1"/>
  <c r="U208" i="1" s="1"/>
  <c r="S208" i="1" s="1"/>
  <c r="X156" i="1"/>
  <c r="T156" i="1"/>
  <c r="U156" i="1" s="1"/>
  <c r="S156" i="1" s="1"/>
  <c r="X152" i="1"/>
  <c r="T152" i="1"/>
  <c r="U152" i="1" s="1"/>
  <c r="S152" i="1" s="1"/>
  <c r="X148" i="1"/>
  <c r="X144" i="1"/>
  <c r="X140" i="1"/>
  <c r="X136" i="1"/>
  <c r="X132" i="1"/>
  <c r="X128" i="1"/>
  <c r="W120" i="1"/>
  <c r="W119" i="1"/>
  <c r="W117" i="1"/>
  <c r="W110" i="1"/>
  <c r="W106" i="1"/>
  <c r="W99" i="1"/>
  <c r="W97" i="1"/>
  <c r="W122" i="1"/>
  <c r="W115" i="1"/>
  <c r="W112" i="1"/>
  <c r="W111" i="1"/>
  <c r="W107" i="1"/>
  <c r="W104" i="1"/>
  <c r="W87" i="1"/>
  <c r="W113" i="1"/>
  <c r="W109" i="1"/>
  <c r="W91" i="1"/>
  <c r="X211" i="1"/>
  <c r="X155" i="1"/>
  <c r="X151" i="1"/>
  <c r="X147" i="1"/>
  <c r="X143" i="1"/>
  <c r="X139" i="1"/>
  <c r="X135" i="1"/>
  <c r="X131" i="1"/>
  <c r="X127" i="1"/>
  <c r="X123" i="1"/>
  <c r="W118" i="1"/>
  <c r="W96" i="1"/>
  <c r="W93" i="1"/>
  <c r="X91" i="1"/>
  <c r="X90" i="1"/>
  <c r="W89" i="1"/>
  <c r="X120" i="1"/>
  <c r="X116" i="1"/>
  <c r="X112" i="1"/>
  <c r="X108" i="1"/>
  <c r="X104" i="1"/>
  <c r="X100" i="1"/>
  <c r="X96" i="1"/>
  <c r="X92" i="1"/>
  <c r="W84" i="1"/>
  <c r="W80" i="1"/>
  <c r="W79" i="1"/>
  <c r="W76" i="1"/>
  <c r="W65" i="1"/>
  <c r="X113" i="1"/>
  <c r="X109" i="1"/>
  <c r="X105" i="1"/>
  <c r="X101" i="1"/>
  <c r="X97" i="1"/>
  <c r="X93" i="1"/>
  <c r="W88" i="1"/>
  <c r="W86" i="1"/>
  <c r="W85" i="1"/>
  <c r="W81" i="1"/>
  <c r="W78" i="1"/>
  <c r="W77" i="1"/>
  <c r="W73" i="1"/>
  <c r="W71" i="1"/>
  <c r="W64" i="1"/>
  <c r="W59" i="1"/>
  <c r="W70" i="1"/>
  <c r="W68" i="1"/>
  <c r="X86" i="1"/>
  <c r="X82" i="1"/>
  <c r="X78" i="1"/>
  <c r="X74" i="1"/>
  <c r="X67" i="1"/>
  <c r="X63" i="1"/>
  <c r="X59" i="1"/>
  <c r="W56" i="1"/>
  <c r="W55" i="1"/>
  <c r="W41" i="1"/>
  <c r="W39" i="1"/>
  <c r="W36" i="1"/>
  <c r="W22" i="1"/>
  <c r="W19" i="1"/>
  <c r="W16" i="1"/>
  <c r="X68" i="1"/>
  <c r="X64" i="1"/>
  <c r="X60" i="1"/>
  <c r="W38" i="1"/>
  <c r="W37" i="1"/>
  <c r="W32" i="1"/>
  <c r="W17" i="1"/>
  <c r="W15" i="1"/>
  <c r="W14" i="1"/>
  <c r="W33" i="1"/>
  <c r="X89" i="1"/>
  <c r="W45" i="1"/>
  <c r="W43" i="1"/>
  <c r="W30" i="1"/>
  <c r="W29" i="1"/>
  <c r="W27" i="1"/>
  <c r="W20" i="1"/>
  <c r="X56" i="1"/>
  <c r="T56" i="1"/>
  <c r="U56" i="1" s="1"/>
  <c r="S56" i="1" s="1"/>
  <c r="X52" i="1"/>
  <c r="T52" i="1"/>
  <c r="U52" i="1" s="1"/>
  <c r="S52" i="1" s="1"/>
  <c r="X50" i="1"/>
  <c r="X46" i="1"/>
  <c r="X42" i="1"/>
  <c r="X38" i="1"/>
  <c r="X34" i="1"/>
  <c r="X30" i="1"/>
  <c r="X26" i="1"/>
  <c r="X22" i="1"/>
  <c r="X18" i="1"/>
  <c r="X55" i="1"/>
  <c r="X51" i="1"/>
  <c r="X47" i="1"/>
  <c r="AD20" i="3"/>
  <c r="AE19" i="3"/>
  <c r="AD17" i="3"/>
  <c r="AE15" i="3"/>
  <c r="T37" i="3"/>
  <c r="T34" i="3"/>
  <c r="AD19" i="3"/>
  <c r="AD37" i="3"/>
  <c r="AD25" i="3"/>
  <c r="AE20" i="3"/>
  <c r="AC30" i="3"/>
  <c r="AE11" i="3"/>
  <c r="AD9" i="3"/>
  <c r="AD29" i="3"/>
  <c r="AD21" i="3"/>
  <c r="AD11" i="3"/>
  <c r="AD8" i="3"/>
  <c r="AC29" i="3"/>
  <c r="AC26" i="3"/>
  <c r="AE28" i="3"/>
  <c r="AD27" i="3"/>
  <c r="T28" i="3"/>
  <c r="AC35" i="3"/>
  <c r="AC11" i="3"/>
  <c r="AE32" i="3"/>
  <c r="AE16" i="3"/>
  <c r="AD15" i="3"/>
  <c r="T31" i="3"/>
  <c r="AC25" i="3"/>
  <c r="AD23" i="3"/>
  <c r="T18" i="3"/>
  <c r="Y26" i="3"/>
  <c r="Y11" i="3"/>
  <c r="Y30" i="3"/>
  <c r="Y12" i="3"/>
  <c r="Y13" i="3"/>
  <c r="Y28" i="3"/>
  <c r="Y18" i="3"/>
  <c r="Y8" i="3"/>
  <c r="Y31" i="3"/>
  <c r="Y23" i="3"/>
  <c r="Y7" i="3"/>
  <c r="Y36" i="3"/>
  <c r="Y21" i="3"/>
  <c r="Y15" i="3"/>
  <c r="Y20" i="3"/>
  <c r="Y32" i="3"/>
  <c r="Y24" i="3"/>
  <c r="Y27" i="3"/>
  <c r="Y33" i="3"/>
  <c r="Y25" i="3"/>
  <c r="Y34" i="3"/>
  <c r="Y37" i="3"/>
  <c r="Y29" i="3"/>
  <c r="Y19" i="3"/>
  <c r="Y9" i="3"/>
  <c r="Y35" i="3"/>
  <c r="Y17" i="3"/>
  <c r="Y14" i="3"/>
  <c r="Y10" i="3"/>
  <c r="Y16" i="3"/>
  <c r="AE30" i="3"/>
  <c r="T15" i="3"/>
  <c r="AE14" i="3"/>
  <c r="T27" i="3"/>
  <c r="AE10" i="3"/>
  <c r="T33" i="3"/>
  <c r="AE34" i="3"/>
  <c r="AE26" i="3"/>
  <c r="T20" i="3"/>
  <c r="T32" i="3"/>
  <c r="AE18" i="3"/>
  <c r="T24" i="3"/>
  <c r="AE37" i="3"/>
  <c r="T29" i="3"/>
  <c r="AD34" i="3"/>
  <c r="AE33" i="3"/>
  <c r="T19" i="3"/>
  <c r="AD30" i="3"/>
  <c r="AE29" i="3"/>
  <c r="T9" i="3"/>
  <c r="AD26" i="3"/>
  <c r="AE25" i="3"/>
  <c r="T35" i="3"/>
  <c r="AE21" i="3"/>
  <c r="T17" i="3"/>
  <c r="AD18" i="3"/>
  <c r="AE17" i="3"/>
  <c r="T14" i="3"/>
  <c r="AD14" i="3"/>
  <c r="AE13" i="3"/>
  <c r="T10" i="3"/>
  <c r="AD10" i="3"/>
  <c r="AE9" i="3"/>
  <c r="T16" i="3"/>
  <c r="T21" i="3"/>
  <c r="AE8" i="3"/>
  <c r="R22" i="3"/>
  <c r="M22" i="3"/>
  <c r="S22" i="3"/>
  <c r="U22" i="3"/>
  <c r="T22" i="3" s="1"/>
  <c r="V22" i="3"/>
  <c r="X22" i="3"/>
  <c r="W22" i="3"/>
  <c r="AE22" i="3" l="1"/>
  <c r="AD22" i="3"/>
  <c r="AC22" i="3"/>
  <c r="Y22" i="3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B3" i="6" l="1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N13" i="3" s="1"/>
  <c r="G42" i="4"/>
  <c r="G43" i="4"/>
  <c r="G44" i="4"/>
  <c r="G45" i="4"/>
  <c r="N16" i="3" s="1"/>
  <c r="G46" i="4"/>
  <c r="G47" i="4"/>
  <c r="G48" i="4"/>
  <c r="G49" i="4"/>
  <c r="G50" i="4"/>
  <c r="G51" i="4"/>
  <c r="G52" i="4"/>
  <c r="G53" i="4"/>
  <c r="N23" i="3" s="1"/>
  <c r="G54" i="4"/>
  <c r="G55" i="4"/>
  <c r="G56" i="4"/>
  <c r="N33" i="3" s="1"/>
  <c r="G57" i="4"/>
  <c r="G58" i="4"/>
  <c r="G59" i="4"/>
  <c r="G60" i="4"/>
  <c r="G61" i="4"/>
  <c r="G62" i="4"/>
  <c r="G63" i="4"/>
  <c r="N12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22" i="3" s="1"/>
  <c r="G81" i="4"/>
  <c r="G82" i="4"/>
  <c r="G83" i="4"/>
  <c r="G84" i="4"/>
  <c r="N27" i="3" s="1"/>
  <c r="G85" i="4"/>
  <c r="G86" i="4"/>
  <c r="N10" i="3" s="1"/>
  <c r="G87" i="4"/>
  <c r="G88" i="4"/>
  <c r="G89" i="4"/>
  <c r="G90" i="4"/>
  <c r="G91" i="4"/>
  <c r="G92" i="4"/>
  <c r="G93" i="4"/>
  <c r="N31" i="3" s="1"/>
  <c r="G94" i="4"/>
  <c r="G95" i="4"/>
  <c r="G96" i="4"/>
  <c r="N14" i="3" s="1"/>
  <c r="G97" i="4"/>
  <c r="G98" i="4"/>
  <c r="G99" i="4"/>
  <c r="N24" i="3" s="1"/>
  <c r="G100" i="4"/>
  <c r="N30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N8" i="3" s="1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11" i="3" s="1"/>
  <c r="G134" i="4"/>
  <c r="G135" i="4"/>
  <c r="G136" i="4"/>
  <c r="N17" i="3" s="1"/>
  <c r="G137" i="4"/>
  <c r="G138" i="4"/>
  <c r="G139" i="4"/>
  <c r="G140" i="4"/>
  <c r="N18" i="3" s="1"/>
  <c r="G141" i="4"/>
  <c r="G142" i="4"/>
  <c r="N32" i="3" s="1"/>
  <c r="G143" i="4"/>
  <c r="G144" i="4"/>
  <c r="G145" i="4"/>
  <c r="G146" i="4"/>
  <c r="N7" i="3" s="1"/>
  <c r="G147" i="4"/>
  <c r="G148" i="4"/>
  <c r="N35" i="3" s="1"/>
  <c r="G149" i="4"/>
  <c r="G150" i="4"/>
  <c r="G151" i="4"/>
  <c r="G152" i="4"/>
  <c r="G153" i="4"/>
  <c r="G154" i="4"/>
  <c r="N20" i="3" s="1"/>
  <c r="G155" i="4"/>
  <c r="N28" i="3" s="1"/>
  <c r="G156" i="4"/>
  <c r="G157" i="4"/>
  <c r="G158" i="4"/>
  <c r="G159" i="4"/>
  <c r="G160" i="4"/>
  <c r="G161" i="4"/>
  <c r="N34" i="3" s="1"/>
  <c r="G162" i="4"/>
  <c r="G163" i="4"/>
  <c r="N9" i="3" s="1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15" i="3" s="1"/>
  <c r="G182" i="4"/>
  <c r="G183" i="4"/>
  <c r="G184" i="4"/>
  <c r="N36" i="3" s="1"/>
  <c r="G185" i="4"/>
  <c r="G186" i="4"/>
  <c r="G187" i="4"/>
  <c r="N25" i="3" s="1"/>
  <c r="G188" i="4"/>
  <c r="G189" i="4"/>
  <c r="G190" i="4"/>
  <c r="G191" i="4"/>
  <c r="G192" i="4"/>
  <c r="G193" i="4"/>
  <c r="G194" i="4"/>
  <c r="G195" i="4"/>
  <c r="G196" i="4"/>
  <c r="G197" i="4"/>
  <c r="N19" i="3" s="1"/>
  <c r="G198" i="4"/>
  <c r="G199" i="4"/>
  <c r="G200" i="4"/>
  <c r="G201" i="4"/>
  <c r="G202" i="4"/>
  <c r="G203" i="4"/>
  <c r="G204" i="4"/>
  <c r="G205" i="4"/>
  <c r="G206" i="4"/>
  <c r="G207" i="4"/>
  <c r="G208" i="4"/>
  <c r="G209" i="4"/>
  <c r="N21" i="3" s="1"/>
  <c r="G210" i="4"/>
  <c r="G211" i="4"/>
  <c r="G212" i="4"/>
  <c r="G213" i="4"/>
  <c r="G214" i="4"/>
  <c r="G215" i="4"/>
  <c r="G216" i="4"/>
  <c r="G217" i="4"/>
  <c r="N37" i="3" s="1"/>
  <c r="G218" i="4"/>
  <c r="G219" i="4"/>
  <c r="N26" i="3" s="1"/>
  <c r="G220" i="4"/>
  <c r="G221" i="4"/>
  <c r="N29" i="3" s="1"/>
  <c r="G222" i="4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B4" i="6" l="1"/>
  <c r="S9" i="1"/>
  <c r="J9" i="1"/>
  <c r="B5" i="6" l="1"/>
  <c r="H4" i="6"/>
  <c r="J4" i="6"/>
  <c r="F4" i="6"/>
  <c r="G4" i="6"/>
  <c r="I4" i="6"/>
  <c r="S11" i="1"/>
  <c r="A11" i="1"/>
  <c r="F5" i="6" l="1"/>
  <c r="I5" i="6"/>
  <c r="J5" i="6"/>
  <c r="G5" i="6"/>
  <c r="H5" i="6"/>
  <c r="B1" i="6"/>
  <c r="A5" i="3"/>
  <c r="B6" i="6" l="1"/>
  <c r="H6" i="6" l="1"/>
  <c r="F6" i="6"/>
  <c r="G6" i="6"/>
  <c r="I6" i="6"/>
  <c r="J6" i="6"/>
  <c r="B7" i="6"/>
  <c r="B8" i="6" l="1"/>
  <c r="G7" i="6"/>
  <c r="H7" i="6"/>
  <c r="I7" i="6"/>
  <c r="J7" i="6"/>
  <c r="F7" i="6"/>
  <c r="B9" i="6" l="1"/>
  <c r="I8" i="6"/>
  <c r="G8" i="6"/>
  <c r="F8" i="6"/>
  <c r="H8" i="6"/>
  <c r="J8" i="6"/>
  <c r="G9" i="6" l="1"/>
  <c r="F9" i="6"/>
  <c r="H9" i="6"/>
  <c r="I9" i="6"/>
  <c r="J9" i="6"/>
  <c r="B10" i="6"/>
  <c r="H10" i="6" l="1"/>
  <c r="J10" i="6"/>
  <c r="F10" i="6"/>
  <c r="G10" i="6"/>
  <c r="I10" i="6"/>
  <c r="B11" i="6"/>
  <c r="B12" i="6" l="1"/>
  <c r="F11" i="6"/>
  <c r="G11" i="6"/>
  <c r="I11" i="6"/>
  <c r="H11" i="6"/>
  <c r="J11" i="6"/>
  <c r="F12" i="6" l="1"/>
  <c r="G12" i="6"/>
  <c r="J12" i="6"/>
  <c r="H12" i="6"/>
  <c r="I12" i="6"/>
  <c r="B13" i="6"/>
  <c r="G13" i="6" l="1"/>
  <c r="J13" i="6"/>
  <c r="F13" i="6"/>
  <c r="H13" i="6"/>
  <c r="I13" i="6"/>
  <c r="B14" i="6"/>
  <c r="B15" i="6" l="1"/>
  <c r="F14" i="6"/>
  <c r="G14" i="6"/>
  <c r="H14" i="6"/>
  <c r="I14" i="6"/>
  <c r="J14" i="6"/>
  <c r="B16" i="6" l="1"/>
  <c r="J15" i="6"/>
  <c r="F15" i="6"/>
  <c r="I15" i="6"/>
  <c r="G15" i="6"/>
  <c r="H15" i="6"/>
  <c r="B17" i="6" l="1"/>
  <c r="G16" i="6"/>
  <c r="H16" i="6"/>
  <c r="F16" i="6"/>
  <c r="I16" i="6"/>
  <c r="J16" i="6"/>
  <c r="G17" i="6" l="1"/>
  <c r="I17" i="6"/>
  <c r="J17" i="6"/>
  <c r="F17" i="6"/>
  <c r="H17" i="6"/>
  <c r="B18" i="6"/>
  <c r="B19" i="6" l="1"/>
  <c r="J18" i="6"/>
  <c r="F18" i="6"/>
  <c r="H18" i="6"/>
  <c r="G18" i="6"/>
  <c r="I18" i="6"/>
  <c r="B20" i="6" l="1"/>
  <c r="H19" i="6"/>
  <c r="F19" i="6"/>
  <c r="I19" i="6"/>
  <c r="J19" i="6"/>
  <c r="G19" i="6"/>
  <c r="B22" i="6" l="1"/>
  <c r="B21" i="6"/>
  <c r="G20" i="6"/>
  <c r="H20" i="6"/>
  <c r="F20" i="6"/>
  <c r="I20" i="6"/>
  <c r="J20" i="6"/>
  <c r="G21" i="6" l="1"/>
  <c r="H21" i="6"/>
  <c r="I21" i="6"/>
  <c r="J21" i="6"/>
  <c r="F21" i="6"/>
  <c r="H22" i="6"/>
  <c r="J22" i="6"/>
  <c r="G22" i="6"/>
  <c r="I22" i="6"/>
  <c r="F2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<sst xmlns="http://schemas.openxmlformats.org/spreadsheetml/2006/main" count="2657" uniqueCount="1019">
  <si>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</si>
  <si>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</si>
  <si>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</si>
  <si>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</si>
  <si>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</si>
  <si>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</si>
  <si>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</si>
  <si>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</si>
  <si>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</si>
  <si>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</si>
  <si>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</si>
  <si>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</si>
  <si>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</si>
  <si>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</si>
  <si>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</si>
  <si>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</si>
  <si>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</si>
  <si>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</si>
  <si>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</si>
  <si>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</si>
  <si>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</si>
  <si>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</si>
  <si>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</si>
  <si>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</si>
  <si>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</si>
  <si>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</si>
  <si>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</si>
  <si>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</si>
  <si>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</si>
  <si>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</si>
  <si>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</si>
  <si>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</si>
  <si>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</si>
  <si>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</si>
  <si>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</si>
  <si>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</si>
  <si>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</si>
  <si>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</si>
  <si>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</si>
  <si>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</si>
  <si>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</si>
  <si>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</si>
  <si>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</si>
  <si>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</si>
  <si>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</si>
  <si>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</si>
  <si>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</si>
  <si>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</si>
  <si>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</si>
  <si>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</si>
  <si>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</si>
  <si>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</si>
  <si>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</si>
  <si>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</si>
  <si>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</si>
  <si>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</si>
  <si>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</si>
  <si>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</si>
  <si>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</si>
  <si>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</si>
  <si>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</si>
  <si>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</si>
  <si>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</si>
  <si>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</si>
  <si>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</si>
  <si>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</si>
  <si>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</si>
  <si>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</si>
  <si>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</si>
  <si>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</si>
  <si>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</si>
  <si>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</si>
  <si>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</si>
  <si>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</si>
  <si>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</si>
  <si>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</si>
  <si>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</si>
  <si>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</si>
  <si>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</si>
  <si>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</si>
  <si>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</si>
  <si>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</si>
  <si>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</si>
  <si>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</si>
  <si>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</si>
  <si>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</si>
  <si>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</si>
  <si>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</si>
  <si>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</si>
  <si>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</si>
  <si>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</si>
  <si>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</si>
  <si>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</si>
  <si>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</si>
  <si>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</si>
  <si>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</si>
  <si>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</si>
  <si>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</si>
  <si>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</si>
  <si>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</si>
  <si>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</si>
  <si>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</si>
  <si>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</si>
  <si>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</si>
  <si>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</si>
  <si>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</si>
  <si>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</si>
  <si>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</si>
  <si>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</si>
  <si>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</si>
  <si>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</si>
  <si>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</si>
  <si>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</si>
  <si>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</si>
  <si>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</si>
  <si>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</si>
  <si>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</si>
  <si>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</si>
  <si>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</si>
  <si>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</si>
  <si>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</si>
  <si>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</si>
  <si>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</si>
  <si>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</si>
  <si>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</si>
  <si>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</si>
  <si>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</si>
  <si>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</si>
  <si>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</si>
  <si>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</si>
  <si>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</si>
  <si>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</si>
  <si>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</si>
  <si>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</si>
  <si>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</si>
  <si>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</si>
  <si>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</si>
  <si>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</si>
  <si>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</si>
  <si>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</si>
  <si>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</si>
  <si>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</si>
  <si>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</si>
  <si>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</si>
  <si>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</si>
  <si>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</si>
  <si>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</si>
  <si>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</si>
  <si>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</si>
  <si>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</si>
  <si>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</si>
  <si>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</si>
  <si>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</si>
  <si>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</si>
  <si>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</si>
  <si>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</si>
  <si>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</si>
  <si>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</si>
  <si>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</si>
  <si>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</si>
  <si>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</si>
  <si>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</si>
  <si>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</si>
  <si>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</si>
  <si>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</si>
  <si>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</si>
  <si>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</si>
  <si>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</si>
  <si>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</si>
  <si>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</si>
  <si>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</si>
  <si>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</si>
  <si>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</si>
  <si>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</si>
  <si>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</si>
  <si>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</si>
  <si>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</si>
  <si>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</si>
  <si>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</si>
  <si>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</si>
  <si>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</si>
  <si>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</si>
  <si>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</si>
  <si>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</si>
  <si>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</si>
  <si>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</si>
  <si>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</si>
  <si>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</si>
  <si>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</si>
  <si>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</si>
  <si>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</si>
  <si>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</si>
  <si>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</si>
  <si>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</si>
  <si>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</si>
  <si>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</si>
  <si>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</si>
  <si>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</si>
  <si>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</si>
  <si>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</si>
  <si>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</si>
  <si>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</si>
  <si>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</si>
  <si>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</si>
  <si>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</si>
  <si>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</si>
  <si>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</si>
  <si>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</si>
  <si>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</si>
  <si>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</si>
  <si>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</si>
  <si>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</si>
  <si>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</si>
  <si>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</si>
  <si>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</si>
  <si>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</si>
  <si>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</si>
  <si>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</si>
  <si>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</si>
  <si>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</si>
  <si>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</si>
  <si>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</si>
  <si>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</si>
  <si>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</si>
  <si>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</si>
  <si>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</si>
  <si>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</si>
  <si>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</si>
  <si>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</si>
  <si>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</si>
  <si>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</si>
  <si>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</si>
  <si>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</si>
  <si>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</si>
  <si>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</si>
  <si>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</si>
  <si>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</si>
  <si>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</si>
  <si>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</si>
  <si>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</si>
  <si>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</si>
  <si>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</si>
  <si>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</si>
  <si>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</si>
  <si>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</si>
  <si>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</si>
  <si>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</si>
  <si>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</si>
  <si>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</si>
  <si>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</si>
  <si>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</si>
  <si>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</si>
  <si>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</si>
  <si>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</si>
  <si>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</si>
  <si>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</si>
  <si>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</si>
  <si>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</si>
  <si>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</si>
  <si>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</si>
  <si>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</si>
  <si>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</si>
  <si>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</si>
  <si>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</si>
  <si>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</si>
  <si>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</si>
  <si>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</si>
  <si>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</si>
  <si>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</si>
  <si>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</si>
  <si>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</si>
  <si>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</si>
  <si>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</si>
  <si>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</si>
  <si>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</si>
  <si>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</si>
  <si>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</si>
  <si>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</si>
  <si>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</si>
  <si>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</si>
  <si>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</si>
  <si>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</si>
  <si>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</si>
  <si>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</si>
  <si>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</si>
  <si>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</si>
  <si>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</si>
  <si>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</si>
  <si>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</si>
  <si>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</si>
  <si>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</si>
  <si>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</si>
  <si>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</si>
  <si>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</si>
  <si>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</si>
  <si>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</si>
  <si>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</si>
  <si>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</si>
  <si>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</si>
  <si>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</si>
  <si>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</si>
  <si>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</si>
  <si>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</si>
  <si>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</si>
  <si>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</si>
  <si>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</si>
  <si>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</si>
  <si>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</si>
  <si>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</si>
  <si>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</si>
  <si>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</si>
  <si>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</si>
  <si>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</si>
  <si>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</si>
  <si>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</si>
  <si>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</si>
  <si>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</si>
  <si>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</si>
  <si>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</si>
  <si>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</si>
  <si>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</si>
  <si>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</si>
  <si>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</si>
  <si>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</si>
  <si>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</si>
  <si>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</si>
  <si>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</si>
  <si>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</si>
  <si>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</si>
  <si>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</si>
  <si>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</si>
  <si>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</si>
  <si>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</si>
  <si>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</si>
  <si>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</si>
  <si>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</si>
  <si>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</si>
  <si>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</si>
  <si>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</si>
  <si>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</si>
  <si>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</si>
  <si>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</si>
  <si>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</si>
  <si>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</si>
  <si>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</si>
  <si>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204:154</t>
  </si>
  <si>
    <t>DAVIS</t>
  </si>
  <si>
    <t>M - F = 49 trips</t>
  </si>
  <si>
    <t>Sat - Sun = 35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</si>
  <si>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</si>
  <si>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</si>
  <si>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</si>
  <si>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</si>
  <si>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</si>
  <si>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</si>
  <si>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</si>
  <si>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</si>
  <si>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</si>
  <si>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</si>
  <si>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</si>
  <si>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</si>
  <si>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</si>
  <si>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</si>
  <si>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</si>
  <si>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</si>
  <si>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</si>
  <si>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</si>
  <si>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</si>
  <si>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</si>
  <si>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</si>
  <si>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</si>
  <si>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</si>
  <si>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</si>
  <si>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</si>
  <si>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</si>
  <si>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</si>
  <si>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</si>
  <si>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</si>
  <si>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WEST</t>
  </si>
  <si>
    <t>BRYAN</t>
  </si>
  <si>
    <t>204:232977</t>
  </si>
  <si>
    <t>204:232980</t>
  </si>
  <si>
    <t>rtdc.l.rtdc.4030:itc</t>
  </si>
  <si>
    <t>FORTUNATO</t>
  </si>
  <si>
    <t>FRANK</t>
  </si>
  <si>
    <t>204:469</t>
  </si>
  <si>
    <t>204:161</t>
  </si>
  <si>
    <t>RESPASS</t>
  </si>
  <si>
    <t>AARON</t>
  </si>
  <si>
    <t>204:233305</t>
  </si>
  <si>
    <t>204:167</t>
  </si>
  <si>
    <t>204:437</t>
  </si>
  <si>
    <t>SPECTOR</t>
  </si>
  <si>
    <t>BONDS</t>
  </si>
  <si>
    <t>REYNALDO</t>
  </si>
  <si>
    <t>YORK</t>
  </si>
  <si>
    <t>EDGAR</t>
  </si>
  <si>
    <t>LEVIN</t>
  </si>
  <si>
    <t>SCOTT</t>
  </si>
  <si>
    <t>GUNTHIER</t>
  </si>
  <si>
    <t>ERIC</t>
  </si>
  <si>
    <t>204:442</t>
  </si>
  <si>
    <t>300:58623</t>
  </si>
  <si>
    <t>JAMES</t>
  </si>
  <si>
    <t>204:160</t>
  </si>
  <si>
    <t>204:460</t>
  </si>
  <si>
    <t>204:233013</t>
  </si>
  <si>
    <t>300:58943</t>
  </si>
  <si>
    <t>204:976</t>
  </si>
  <si>
    <t>204:158</t>
  </si>
  <si>
    <t>204:232984</t>
  </si>
  <si>
    <t>204:232978</t>
  </si>
  <si>
    <t>LEVERE</t>
  </si>
  <si>
    <t>CRAIG</t>
  </si>
  <si>
    <t>rtdc.l.rtdc.4032:itc</t>
  </si>
  <si>
    <t>204:232986</t>
  </si>
  <si>
    <t>204:232994</t>
  </si>
  <si>
    <t>204:232975</t>
  </si>
  <si>
    <t>204:233302</t>
  </si>
  <si>
    <t>204:233314</t>
  </si>
  <si>
    <t>300:23346</t>
  </si>
  <si>
    <t>204:979</t>
  </si>
  <si>
    <t>rtdc.l.rtdc.4009:itc</t>
  </si>
  <si>
    <t>rtdc.l.rtdc.4033:itc</t>
  </si>
  <si>
    <t>rtdc.l.rtdc.4034:itc</t>
  </si>
  <si>
    <t>rtdc.l.rtdc.4010:itc</t>
  </si>
  <si>
    <t>DUNCAN</t>
  </si>
  <si>
    <t>SHEILA</t>
  </si>
  <si>
    <t>rtdc.l.rtdc.4061:itc</t>
  </si>
  <si>
    <t>204:233308</t>
  </si>
  <si>
    <t>204:233001</t>
  </si>
  <si>
    <t>204:127</t>
  </si>
  <si>
    <t>204:429</t>
  </si>
  <si>
    <t>204:233322</t>
  </si>
  <si>
    <t>204:134</t>
  </si>
  <si>
    <t>204:965</t>
  </si>
  <si>
    <t>300:58958</t>
  </si>
  <si>
    <t>rtdc.l.rtdc.4020:itc</t>
  </si>
  <si>
    <t>rtdc.l.rtdc.4019:itc</t>
  </si>
  <si>
    <t>BARRON</t>
  </si>
  <si>
    <t>PERLA</t>
  </si>
  <si>
    <t>BRUDER</t>
  </si>
  <si>
    <t>RICHARD</t>
  </si>
  <si>
    <t>NEWELL</t>
  </si>
  <si>
    <t>MOSES</t>
  </si>
  <si>
    <t>BRADLEY</t>
  </si>
  <si>
    <t>ZEWDU</t>
  </si>
  <si>
    <t>DEREJE</t>
  </si>
  <si>
    <t>PERKINS</t>
  </si>
  <si>
    <t>DARREN</t>
  </si>
  <si>
    <t>HART</t>
  </si>
  <si>
    <t>KEVIN</t>
  </si>
  <si>
    <t>BIRKHOLZ</t>
  </si>
  <si>
    <t>NADINE</t>
  </si>
  <si>
    <t>204:233293</t>
  </si>
  <si>
    <t>204:232988</t>
  </si>
  <si>
    <t>204:233317</t>
  </si>
  <si>
    <t>204:440</t>
  </si>
  <si>
    <t>204:233303</t>
  </si>
  <si>
    <t>204:233304</t>
  </si>
  <si>
    <t>204:233004</t>
  </si>
  <si>
    <t>204:233000</t>
  </si>
  <si>
    <t>204:433</t>
  </si>
  <si>
    <t>204:233002</t>
  </si>
  <si>
    <t>204:139</t>
  </si>
  <si>
    <t>204:233310</t>
  </si>
  <si>
    <t>204:694</t>
  </si>
  <si>
    <t>300:58624</t>
  </si>
  <si>
    <t>rtdc.l.rtdc.4031:itc</t>
  </si>
  <si>
    <t>rtdc.l.rtdc.4059:itc</t>
  </si>
  <si>
    <t>rtdc.l.rtdc.4015:itc</t>
  </si>
  <si>
    <t>rtdc.l.rtdc.4016:itc</t>
  </si>
  <si>
    <t>313-06</t>
  </si>
  <si>
    <t>WENDY</t>
  </si>
  <si>
    <t>DE LA ROSA</t>
  </si>
  <si>
    <t>ALEX</t>
  </si>
  <si>
    <t>rtdc.l.rtdc.4060:itc</t>
  </si>
  <si>
    <t>PAGE</t>
  </si>
  <si>
    <t>MARCUS</t>
  </si>
  <si>
    <t>rtdc.l.rtdc.4062:itc</t>
  </si>
  <si>
    <t>DELGADO</t>
  </si>
  <si>
    <t>DIANAH</t>
  </si>
  <si>
    <t>HOLCOMB</t>
  </si>
  <si>
    <t>KAMDEN</t>
  </si>
  <si>
    <t>DAVID</t>
  </si>
  <si>
    <t>840-06</t>
  </si>
  <si>
    <t>223-06</t>
  </si>
  <si>
    <t>305-06</t>
  </si>
  <si>
    <t>222-06</t>
  </si>
  <si>
    <t>225-06</t>
  </si>
  <si>
    <t>843-06</t>
  </si>
  <si>
    <t>224-06</t>
  </si>
  <si>
    <t>227-06</t>
  </si>
  <si>
    <t>842-06</t>
  </si>
  <si>
    <t>229-06</t>
  </si>
  <si>
    <t>226-06</t>
  </si>
  <si>
    <t>845-06</t>
  </si>
  <si>
    <t>231-06</t>
  </si>
  <si>
    <t>844-06</t>
  </si>
  <si>
    <t>228-06</t>
  </si>
  <si>
    <t>230-06</t>
  </si>
  <si>
    <t>233-06</t>
  </si>
  <si>
    <t>847-06</t>
  </si>
  <si>
    <t>232-06</t>
  </si>
  <si>
    <t>235-06</t>
  </si>
  <si>
    <t>846-06</t>
  </si>
  <si>
    <t>237-06</t>
  </si>
  <si>
    <t>234-06</t>
  </si>
  <si>
    <t>849-06</t>
  </si>
  <si>
    <t>239-06</t>
  </si>
  <si>
    <t>NICHOLSON</t>
  </si>
  <si>
    <t>WESLEY</t>
  </si>
  <si>
    <t>236-06</t>
  </si>
  <si>
    <t>908-06</t>
  </si>
  <si>
    <t>238-06</t>
  </si>
  <si>
    <t>241-06</t>
  </si>
  <si>
    <t>240-06</t>
  </si>
  <si>
    <t>243-06</t>
  </si>
  <si>
    <t>307-06</t>
  </si>
  <si>
    <t>242-06</t>
  </si>
  <si>
    <t>309-06</t>
  </si>
  <si>
    <t>244-06</t>
  </si>
  <si>
    <t>311-06</t>
  </si>
  <si>
    <t>204:480</t>
  </si>
  <si>
    <t>204:232991</t>
  </si>
  <si>
    <t>204:233309</t>
  </si>
  <si>
    <t>204:435</t>
  </si>
  <si>
    <t>204:475</t>
  </si>
  <si>
    <t>204:233315</t>
  </si>
  <si>
    <t>204:232987</t>
  </si>
  <si>
    <t>204:136</t>
  </si>
  <si>
    <t>204:163</t>
  </si>
  <si>
    <t>204:233283</t>
  </si>
  <si>
    <t>204:233299</t>
  </si>
  <si>
    <t>204:462</t>
  </si>
  <si>
    <t>204:233021</t>
  </si>
  <si>
    <t>204:233320</t>
  </si>
  <si>
    <t>204:233011</t>
  </si>
  <si>
    <t>204:233336</t>
  </si>
  <si>
    <t>300:23299</t>
  </si>
  <si>
    <t>204:950</t>
  </si>
  <si>
    <t>204:985</t>
  </si>
  <si>
    <t>300:58609</t>
  </si>
  <si>
    <t>204:649</t>
  </si>
  <si>
    <t>300:58948</t>
  </si>
  <si>
    <t>300:58634</t>
  </si>
  <si>
    <t>204:684</t>
  </si>
  <si>
    <t>rtdc.l.rtdc.4065:itc</t>
  </si>
  <si>
    <t>rtdc.l.rtdc.4050:itc</t>
  </si>
  <si>
    <t>MAELZER</t>
  </si>
  <si>
    <t>KURT</t>
  </si>
  <si>
    <t>rtdc.l.rtdc.4049:itc</t>
  </si>
  <si>
    <t>rtdc.l.rtdc.4046:itc</t>
  </si>
  <si>
    <t>WILLIAMS</t>
  </si>
  <si>
    <t>DONTE</t>
  </si>
  <si>
    <t>GONZALEZ</t>
  </si>
  <si>
    <t>ARMANDO</t>
  </si>
  <si>
    <t>CASSIDY</t>
  </si>
  <si>
    <t>BRANDON</t>
  </si>
  <si>
    <t>BADERTSCHER</t>
  </si>
  <si>
    <t>DIANE</t>
  </si>
  <si>
    <t>MCREYNOLDS</t>
  </si>
  <si>
    <t>KYLE</t>
  </si>
  <si>
    <t>242-07</t>
  </si>
  <si>
    <t>309-07</t>
  </si>
  <si>
    <t>244-07</t>
  </si>
  <si>
    <t>311-07</t>
  </si>
  <si>
    <t>313-07</t>
  </si>
  <si>
    <t>300-08</t>
  </si>
  <si>
    <t>204:438</t>
  </si>
  <si>
    <t>204:233306</t>
  </si>
  <si>
    <t>204:232996</t>
  </si>
  <si>
    <t>204:233355</t>
  </si>
  <si>
    <t>204:233324</t>
  </si>
  <si>
    <t>204:233295</t>
  </si>
  <si>
    <t>204:451</t>
  </si>
  <si>
    <t>204:233009</t>
  </si>
  <si>
    <t>204:232992</t>
  </si>
  <si>
    <t>204:233344</t>
  </si>
  <si>
    <t>204:233341</t>
  </si>
  <si>
    <t>204:444</t>
  </si>
  <si>
    <t>204:233036</t>
  </si>
  <si>
    <t>204:233034</t>
  </si>
  <si>
    <t>204:132</t>
  </si>
  <si>
    <t>204:233321</t>
  </si>
  <si>
    <t>204:233049</t>
  </si>
  <si>
    <t>204:962</t>
  </si>
  <si>
    <t>300:58973</t>
  </si>
  <si>
    <t>204:673</t>
  </si>
  <si>
    <t>300:58709</t>
  </si>
  <si>
    <t>204:663</t>
  </si>
  <si>
    <t>300:58613</t>
  </si>
  <si>
    <t>204:981</t>
  </si>
  <si>
    <t>300:58640</t>
  </si>
  <si>
    <t>300:58630</t>
  </si>
  <si>
    <t>204:689</t>
  </si>
  <si>
    <t>300:58937</t>
  </si>
  <si>
    <t>rtdc.l.rtdc.4001:itc</t>
  </si>
  <si>
    <t>102-08</t>
  </si>
  <si>
    <t>rtdc.l.rtdc.4044:itc</t>
  </si>
  <si>
    <t>123-08</t>
  </si>
  <si>
    <t>118-08</t>
  </si>
  <si>
    <t>rtdc.l.rtdc.4028:itc</t>
  </si>
  <si>
    <t>809-08</t>
  </si>
  <si>
    <t>126-08</t>
  </si>
  <si>
    <t>TEMPORARY SPEED RESTRICTION</t>
  </si>
  <si>
    <t>137-08</t>
  </si>
  <si>
    <t>rtdc.l.rtdc.4058:itc</t>
  </si>
  <si>
    <t>155-08</t>
  </si>
  <si>
    <t>rtdc.l.rtdc.4002:itc</t>
  </si>
  <si>
    <t>153-08</t>
  </si>
  <si>
    <t>817-08</t>
  </si>
  <si>
    <t>rtdc.l.rtdc.4029:itc</t>
  </si>
  <si>
    <t>818-08</t>
  </si>
  <si>
    <t>rtdc.l.rtdc.4057:itc</t>
  </si>
  <si>
    <t>156-08</t>
  </si>
  <si>
    <t>158-08</t>
  </si>
  <si>
    <t>170-08</t>
  </si>
  <si>
    <t>184-08</t>
  </si>
  <si>
    <t>186-08</t>
  </si>
  <si>
    <t>827-08</t>
  </si>
  <si>
    <t>188-08</t>
  </si>
  <si>
    <t>199-08</t>
  </si>
  <si>
    <t>829-08</t>
  </si>
  <si>
    <t>198-08</t>
  </si>
  <si>
    <t>205-08</t>
  </si>
  <si>
    <t>rtdc.l.rtdc.4027:itc</t>
  </si>
  <si>
    <t>832-08</t>
  </si>
  <si>
    <t>202-08</t>
  </si>
  <si>
    <t>212-08</t>
  </si>
  <si>
    <t>839-08</t>
  </si>
  <si>
    <t>216-08</t>
  </si>
  <si>
    <t>222-08</t>
  </si>
  <si>
    <t>rtdc.l.rtdc.4006:itc</t>
  </si>
  <si>
    <t>233-08</t>
  </si>
  <si>
    <t>849-08</t>
  </si>
  <si>
    <t>236-08</t>
  </si>
  <si>
    <t>241-08</t>
  </si>
  <si>
    <t>101-08</t>
  </si>
  <si>
    <t>51-08</t>
  </si>
  <si>
    <t>52-08</t>
  </si>
  <si>
    <t>302-08</t>
  </si>
  <si>
    <t>103-08</t>
  </si>
  <si>
    <t>rtdc.l.rtdc.4005:itc</t>
  </si>
  <si>
    <t>304-08</t>
  </si>
  <si>
    <t>306-08</t>
  </si>
  <si>
    <t>105-08</t>
  </si>
  <si>
    <t>rtdc.l.rtdc.4043:itc</t>
  </si>
  <si>
    <t>308-08</t>
  </si>
  <si>
    <t>107-08</t>
  </si>
  <si>
    <t>104-08</t>
  </si>
  <si>
    <t>109-08</t>
  </si>
  <si>
    <t>310-08</t>
  </si>
  <si>
    <t>MACDONALD</t>
  </si>
  <si>
    <t>THOMAS</t>
  </si>
  <si>
    <t>901-08</t>
  </si>
  <si>
    <t>111-08</t>
  </si>
  <si>
    <t>106-08</t>
  </si>
  <si>
    <t>800-08</t>
  </si>
  <si>
    <t>113-08</t>
  </si>
  <si>
    <t>312-08</t>
  </si>
  <si>
    <t>108-08</t>
  </si>
  <si>
    <t>115-08</t>
  </si>
  <si>
    <t>110-08</t>
  </si>
  <si>
    <t>801-08</t>
  </si>
  <si>
    <t>112-08</t>
  </si>
  <si>
    <t>117-08</t>
  </si>
  <si>
    <t>902-08</t>
  </si>
  <si>
    <t>LALONDE</t>
  </si>
  <si>
    <t>GREGORY</t>
  </si>
  <si>
    <t>119-08</t>
  </si>
  <si>
    <t>LANGERAK</t>
  </si>
  <si>
    <t>WILLIAM</t>
  </si>
  <si>
    <t>802-08</t>
  </si>
  <si>
    <t>114-08</t>
  </si>
  <si>
    <t>803-08</t>
  </si>
  <si>
    <t>121-08</t>
  </si>
  <si>
    <t>116-08</t>
  </si>
  <si>
    <t>804-08</t>
  </si>
  <si>
    <t>805-08</t>
  </si>
  <si>
    <t>125-08</t>
  </si>
  <si>
    <t>120-08</t>
  </si>
  <si>
    <t>806-08</t>
  </si>
  <si>
    <t>127-08</t>
  </si>
  <si>
    <t>807-08</t>
  </si>
  <si>
    <t>HUFFSMITH</t>
  </si>
  <si>
    <t>MONTY</t>
  </si>
  <si>
    <t>122-08</t>
  </si>
  <si>
    <t>129-08</t>
  </si>
  <si>
    <t>124-08</t>
  </si>
  <si>
    <t>131-08</t>
  </si>
  <si>
    <t>BIRENBAUM</t>
  </si>
  <si>
    <t>808-08</t>
  </si>
  <si>
    <t>133-08</t>
  </si>
  <si>
    <t>128-08</t>
  </si>
  <si>
    <t>135-08</t>
  </si>
  <si>
    <t>810-08</t>
  </si>
  <si>
    <t>130-08</t>
  </si>
  <si>
    <t>811-08</t>
  </si>
  <si>
    <t>139-08</t>
  </si>
  <si>
    <t>132-08</t>
  </si>
  <si>
    <t>903-08</t>
  </si>
  <si>
    <t>812-08</t>
  </si>
  <si>
    <t>134-08</t>
  </si>
  <si>
    <t>141-08</t>
  </si>
  <si>
    <t>136-08</t>
  </si>
  <si>
    <t>143-08</t>
  </si>
  <si>
    <t>813-08</t>
  </si>
  <si>
    <t>138-08</t>
  </si>
  <si>
    <t>140-08</t>
  </si>
  <si>
    <t>145-08</t>
  </si>
  <si>
    <t>YANAI</t>
  </si>
  <si>
    <t>IAN</t>
  </si>
  <si>
    <t>147-08</t>
  </si>
  <si>
    <t>814-08</t>
  </si>
  <si>
    <t>149-08</t>
  </si>
  <si>
    <t>142-08</t>
  </si>
  <si>
    <t>144-08</t>
  </si>
  <si>
    <t>146-08</t>
  </si>
  <si>
    <t>151-08</t>
  </si>
  <si>
    <t>815-08</t>
  </si>
  <si>
    <t>148-08</t>
  </si>
  <si>
    <t>816-08</t>
  </si>
  <si>
    <t>150-08</t>
  </si>
  <si>
    <t>157-08</t>
  </si>
  <si>
    <t>152-08</t>
  </si>
  <si>
    <t>159-08</t>
  </si>
  <si>
    <t>154-08</t>
  </si>
  <si>
    <t>161-08</t>
  </si>
  <si>
    <t>SAFIEF</t>
  </si>
  <si>
    <t>AEIMEN</t>
  </si>
  <si>
    <t>163-08</t>
  </si>
  <si>
    <t>160-08</t>
  </si>
  <si>
    <t>165-08</t>
  </si>
  <si>
    <t>167-08</t>
  </si>
  <si>
    <t>162-08</t>
  </si>
  <si>
    <t>819-08</t>
  </si>
  <si>
    <t>169-08</t>
  </si>
  <si>
    <t>164-08</t>
  </si>
  <si>
    <t>171-08</t>
  </si>
  <si>
    <t>820-08</t>
  </si>
  <si>
    <t>173-08</t>
  </si>
  <si>
    <t>166-08</t>
  </si>
  <si>
    <t>168-08</t>
  </si>
  <si>
    <t>175-08</t>
  </si>
  <si>
    <t>821-08</t>
  </si>
  <si>
    <t>177-08</t>
  </si>
  <si>
    <t>172-08</t>
  </si>
  <si>
    <t>174-08</t>
  </si>
  <si>
    <t>179-08</t>
  </si>
  <si>
    <t>822-08</t>
  </si>
  <si>
    <t>181-08</t>
  </si>
  <si>
    <t>176-08</t>
  </si>
  <si>
    <t>183-08</t>
  </si>
  <si>
    <t>178-08</t>
  </si>
  <si>
    <t>823-08</t>
  </si>
  <si>
    <t>185-08</t>
  </si>
  <si>
    <t>187-08</t>
  </si>
  <si>
    <t>180-08</t>
  </si>
  <si>
    <t>182-08</t>
  </si>
  <si>
    <t>824-08</t>
  </si>
  <si>
    <t>189-08</t>
  </si>
  <si>
    <t>191-08</t>
  </si>
  <si>
    <t>825-08</t>
  </si>
  <si>
    <t>193-08</t>
  </si>
  <si>
    <t>904-08</t>
  </si>
  <si>
    <t>SMITH</t>
  </si>
  <si>
    <t>195-08</t>
  </si>
  <si>
    <t>190-08</t>
  </si>
  <si>
    <t>826-08</t>
  </si>
  <si>
    <t>197-08</t>
  </si>
  <si>
    <t>192-08</t>
  </si>
  <si>
    <t>828-08</t>
  </si>
  <si>
    <t>194-08</t>
  </si>
  <si>
    <t>201-08</t>
  </si>
  <si>
    <t>196-08</t>
  </si>
  <si>
    <t>203-08</t>
  </si>
  <si>
    <t>831-08</t>
  </si>
  <si>
    <t>830-08</t>
  </si>
  <si>
    <t>63-08</t>
  </si>
  <si>
    <t>200-08</t>
  </si>
  <si>
    <t>207-08</t>
  </si>
  <si>
    <t>833-08</t>
  </si>
  <si>
    <t>209-08</t>
  </si>
  <si>
    <t>204-08</t>
  </si>
  <si>
    <t>211-08</t>
  </si>
  <si>
    <t>835-08</t>
  </si>
  <si>
    <t>76-08</t>
  </si>
  <si>
    <t>ELBAUM</t>
  </si>
  <si>
    <t>MIKE</t>
  </si>
  <si>
    <t>206-08</t>
  </si>
  <si>
    <t>834-08</t>
  </si>
  <si>
    <t>rtdc.l.rtdc.4026:itc</t>
  </si>
  <si>
    <t>69-08</t>
  </si>
  <si>
    <t>213-08</t>
  </si>
  <si>
    <t>208-08</t>
  </si>
  <si>
    <t>215-08</t>
  </si>
  <si>
    <t>836-08</t>
  </si>
  <si>
    <t>837-08</t>
  </si>
  <si>
    <t>210-08</t>
  </si>
  <si>
    <t>217-08</t>
  </si>
  <si>
    <t>214-08</t>
  </si>
  <si>
    <t>219-08</t>
  </si>
  <si>
    <t>DAVIDSON</t>
  </si>
  <si>
    <t>838-08</t>
  </si>
  <si>
    <t>301-08</t>
  </si>
  <si>
    <t>221-08</t>
  </si>
  <si>
    <t>906-08</t>
  </si>
  <si>
    <t>218-08</t>
  </si>
  <si>
    <t>841-08</t>
  </si>
  <si>
    <t>303-08</t>
  </si>
  <si>
    <t>220-08</t>
  </si>
  <si>
    <t>223-08</t>
  </si>
  <si>
    <t>840-08</t>
  </si>
  <si>
    <t>305-08</t>
  </si>
  <si>
    <t>225-08</t>
  </si>
  <si>
    <t>843-08</t>
  </si>
  <si>
    <t>227-08</t>
  </si>
  <si>
    <t>224-08</t>
  </si>
  <si>
    <t>842-08</t>
  </si>
  <si>
    <t>226-08</t>
  </si>
  <si>
    <t>229-08</t>
  </si>
  <si>
    <t>845-08</t>
  </si>
  <si>
    <t>231-08</t>
  </si>
  <si>
    <t>228-08</t>
  </si>
  <si>
    <t>844-08</t>
  </si>
  <si>
    <t>230-08</t>
  </si>
  <si>
    <t>847-08</t>
  </si>
  <si>
    <t>235-08</t>
  </si>
  <si>
    <t>232-08</t>
  </si>
  <si>
    <t>846-08</t>
  </si>
  <si>
    <t>234-08</t>
  </si>
  <si>
    <t>237-08</t>
  </si>
  <si>
    <t>239-08</t>
  </si>
  <si>
    <t>908-08</t>
  </si>
  <si>
    <t>238-08</t>
  </si>
  <si>
    <t>240-08</t>
  </si>
  <si>
    <t>243-08</t>
  </si>
  <si>
    <t>242-08</t>
  </si>
  <si>
    <t>245-08</t>
  </si>
  <si>
    <t>307-08</t>
  </si>
  <si>
    <t>244-08</t>
  </si>
  <si>
    <t>309-08</t>
  </si>
  <si>
    <t>246-08</t>
  </si>
  <si>
    <t>311-08</t>
  </si>
  <si>
    <t>313-08</t>
  </si>
  <si>
    <t>precipType</t>
  </si>
  <si>
    <t>partly-cloudy-day</t>
  </si>
  <si>
    <t>Partly Cloudy</t>
  </si>
  <si>
    <t>partly-cloudy-night</t>
  </si>
  <si>
    <t>rain</t>
  </si>
  <si>
    <t>204:743</t>
  </si>
  <si>
    <t>204:232979</t>
  </si>
  <si>
    <t>204:233319</t>
  </si>
  <si>
    <t>204:466</t>
  </si>
  <si>
    <t>204:232976</t>
  </si>
  <si>
    <t>204:233255</t>
  </si>
  <si>
    <t>204:232932</t>
  </si>
  <si>
    <t>204:233297</t>
  </si>
  <si>
    <t>204:233286</t>
  </si>
  <si>
    <t>204:232953</t>
  </si>
  <si>
    <t>204:233289</t>
  </si>
  <si>
    <t>204:233270</t>
  </si>
  <si>
    <t>204:232973</t>
  </si>
  <si>
    <t>204:232972</t>
  </si>
  <si>
    <t>204:232983</t>
  </si>
  <si>
    <t>204:233234</t>
  </si>
  <si>
    <t>204:232971</t>
  </si>
  <si>
    <t>204:477</t>
  </si>
  <si>
    <t>204:232959</t>
  </si>
  <si>
    <t>204:233278</t>
  </si>
  <si>
    <t>204:233300</t>
  </si>
  <si>
    <t>204:233263</t>
  </si>
  <si>
    <t>204:232952</t>
  </si>
  <si>
    <t>204:232969</t>
  </si>
  <si>
    <t>204:233363</t>
  </si>
  <si>
    <t>204:233010</t>
  </si>
  <si>
    <t>204:431</t>
  </si>
  <si>
    <t>204:233284</t>
  </si>
  <si>
    <t>204:232963</t>
  </si>
  <si>
    <t>204:233291</t>
  </si>
  <si>
    <t>204:232964</t>
  </si>
  <si>
    <t>204:233272</t>
  </si>
  <si>
    <t>204:233268</t>
  </si>
  <si>
    <t>204:232967</t>
  </si>
  <si>
    <t>204:233327</t>
  </si>
  <si>
    <t>204:233028</t>
  </si>
  <si>
    <t>204:233316</t>
  </si>
  <si>
    <t>204:233338</t>
  </si>
  <si>
    <t>204:233051</t>
  </si>
  <si>
    <t>204:233364</t>
  </si>
  <si>
    <t>204:233015</t>
  </si>
  <si>
    <t>204:233008</t>
  </si>
  <si>
    <t>204:233334</t>
  </si>
  <si>
    <t>204:233351</t>
  </si>
  <si>
    <t>204:233353</t>
  </si>
  <si>
    <t>204:233382</t>
  </si>
  <si>
    <t>204:233059</t>
  </si>
  <si>
    <t>204:233027</t>
  </si>
  <si>
    <t>204:233032</t>
  </si>
  <si>
    <t>204:232970</t>
  </si>
  <si>
    <t>204:233288</t>
  </si>
  <si>
    <t>204:232965</t>
  </si>
  <si>
    <t>204:233061</t>
  </si>
  <si>
    <t>204:233276</t>
  </si>
  <si>
    <t>204:130</t>
  </si>
  <si>
    <t>204:233407</t>
  </si>
  <si>
    <t>204:233099</t>
  </si>
  <si>
    <t>204:233359</t>
  </si>
  <si>
    <t>204:427</t>
  </si>
  <si>
    <t>204:233328</t>
  </si>
  <si>
    <t>204:176</t>
  </si>
  <si>
    <t>204:232944</t>
  </si>
  <si>
    <t>204:165</t>
  </si>
  <si>
    <t>300:22221</t>
  </si>
  <si>
    <t>300:23559</t>
  </si>
  <si>
    <t>300:23308</t>
  </si>
  <si>
    <t>300:23987</t>
  </si>
  <si>
    <t>300:19406</t>
  </si>
  <si>
    <t>300:23104</t>
  </si>
  <si>
    <t>300:22561</t>
  </si>
  <si>
    <t>300:23304</t>
  </si>
  <si>
    <t>300:25463</t>
  </si>
  <si>
    <t>204:484</t>
  </si>
  <si>
    <t>300:23432</t>
  </si>
  <si>
    <t>204:3558</t>
  </si>
  <si>
    <t>300:23650</t>
  </si>
  <si>
    <t>204:408</t>
  </si>
  <si>
    <t>300:24243</t>
  </si>
  <si>
    <t>204:3241</t>
  </si>
  <si>
    <t>204:1167</t>
  </si>
  <si>
    <t>204:1475</t>
  </si>
  <si>
    <t>204:1150</t>
  </si>
  <si>
    <t>300:23302</t>
  </si>
  <si>
    <t>300:22265</t>
  </si>
  <si>
    <t>204:2030</t>
  </si>
  <si>
    <t>300:58617</t>
  </si>
  <si>
    <t>204:710</t>
  </si>
  <si>
    <t>204:986</t>
  </si>
  <si>
    <t>300:58965</t>
  </si>
  <si>
    <t>300:58653</t>
  </si>
  <si>
    <t>204:685</t>
  </si>
  <si>
    <t>300:58619</t>
  </si>
  <si>
    <t>204:978</t>
  </si>
  <si>
    <t>300:58982</t>
  </si>
  <si>
    <t>300:58673</t>
  </si>
  <si>
    <t>204:971</t>
  </si>
  <si>
    <t>300:58939</t>
  </si>
  <si>
    <t>300:58975</t>
  </si>
  <si>
    <t>300:58666</t>
  </si>
  <si>
    <t>300:58969</t>
  </si>
  <si>
    <t>300:58649</t>
  </si>
  <si>
    <t>204:951</t>
  </si>
  <si>
    <t>300:58657</t>
  </si>
  <si>
    <t>204:677</t>
  </si>
  <si>
    <t>204:1889</t>
  </si>
  <si>
    <t>300:58661</t>
  </si>
  <si>
    <t>204:729</t>
  </si>
  <si>
    <t>300:58963</t>
  </si>
  <si>
    <t>300:58656</t>
  </si>
  <si>
    <t>300:58941</t>
  </si>
  <si>
    <t>204:957</t>
  </si>
  <si>
    <t>204:698</t>
  </si>
  <si>
    <t>204:960</t>
  </si>
  <si>
    <t>300:58978</t>
  </si>
  <si>
    <t>300:58658</t>
  </si>
  <si>
    <t>204:740</t>
  </si>
  <si>
    <t>204:964</t>
  </si>
  <si>
    <t>204:717</t>
  </si>
  <si>
    <t>204:999</t>
  </si>
  <si>
    <t>300:58990</t>
  </si>
  <si>
    <t>300:58677</t>
  </si>
  <si>
    <t>204:624</t>
  </si>
  <si>
    <t>204:988</t>
  </si>
  <si>
    <t>204:661</t>
  </si>
  <si>
    <t>204:922</t>
  </si>
  <si>
    <t>300:58984</t>
  </si>
  <si>
    <t>204:647</t>
  </si>
  <si>
    <t>204:680</t>
  </si>
  <si>
    <t>204:692</t>
  </si>
  <si>
    <t>300:58928</t>
  </si>
  <si>
    <t>204:642</t>
  </si>
  <si>
    <t>300:58693</t>
  </si>
  <si>
    <t>204:664</t>
  </si>
  <si>
    <t>204:936</t>
  </si>
  <si>
    <t>300:59009</t>
  </si>
  <si>
    <t>300:29930</t>
  </si>
  <si>
    <t>300:23273</t>
  </si>
  <si>
    <t>300:24212</t>
  </si>
  <si>
    <t>300:23430</t>
  </si>
  <si>
    <t>300:28793</t>
  </si>
  <si>
    <t>start /low /b %USERPROFILE%\Documents\GitHub\eaglep3\Utilities\DownloadLogsFromS3.py --loco 4061 --day 2017-09-08</t>
  </si>
  <si>
    <t>start /low /b %USERPROFILE%\Documents\GitHub\eaglep3\Utilities\DownloadLogsFromS3.py --loco 4005 --day 2017-09-08</t>
  </si>
  <si>
    <t>start /low /b %USERPROFILE%\Documents\GitHub\eaglep3\Utilities\DownloadLogsFromS3.py --loco 4030 --day 2017-09-08</t>
  </si>
  <si>
    <t>start /low /b %USERPROFILE%\Documents\GitHub\eaglep3\Utilities\DownloadLogsFromS3.py --loco 4062 --day 2017-09-08</t>
  </si>
  <si>
    <t>start /low /b %USERPROFILE%\Documents\GitHub\eaglep3\Utilities\DownloadLogsFromS3.py --loco 4057 --day 2017-09-08</t>
  </si>
  <si>
    <t>start /low /b %USERPROFILE%\Documents\GitHub\eaglep3\Utilities\DownloadLogsFromS3.py --loco 4031 --day 2017-09-08</t>
  </si>
  <si>
    <t>start /low /b %USERPROFILE%\Documents\GitHub\eaglep3\Utilities\DownloadLogsFromS3.py --loco 4058 --day 2017-09-08</t>
  </si>
  <si>
    <t>start /low /b %USERPROFILE%\Documents\GitHub\eaglep3\Utilities\DownloadLogsFromS3.py --loco 4044 --day 2017-09-08</t>
  </si>
  <si>
    <t>start /low /b %USERPROFILE%\Documents\GitHub\eaglep3\Utilities\DownloadLogsFromS3.py --loco 4057 --day 2017-09-09</t>
  </si>
  <si>
    <t>start /low /b %USERPROFILE%\Documents\GitHub\eaglep3\Utilities\DownloadLogsFromS3.py --loco 4001 --day 2017-09-09</t>
  </si>
  <si>
    <t>start /low /b %USERPROFILE%\Documents\GitHub\eaglep3\Utilities\DownloadLogsFromS3.py --loco 4006 --day 2017-09-09</t>
  </si>
  <si>
    <t>start /low /b %USERPROFILE%\Documents\GitHub\eaglep3\Utilities\DownloadLogsFromS3.py --loco 4001 --day 2017-09-08</t>
  </si>
  <si>
    <t>start /low /b %USERPROFILE%\Documents\GitHub\eaglep3\Utilities\DownloadLogsFromS3.py --loco 4031 --day 2017-09-09</t>
  </si>
  <si>
    <t>start /low /b %USERPROFILE%\Documents\GitHub\eaglep3\Utilities\DownloadLogsFromS3.py --loco 4033 --day 2017-09-09</t>
  </si>
  <si>
    <t>start /low /b %USERPROFILE%\Documents\GitHub\eaglep3\Utilities\DownloadLogsFromS3.py --loco 4002 --day 2017-09-08</t>
  </si>
  <si>
    <t>start /low /b %USERPROFILE%\Documents\GitHub\eaglep3\Utilities\DownloadLogsFromS3.py --loco 4034 --day 2017-09-08</t>
  </si>
  <si>
    <t>start /low /b %USERPROFILE%\Documents\GitHub\eaglep3\Utilities\DownloadLogsFromS3.py --loco 4029 --day 2017-09-08</t>
  </si>
  <si>
    <t>start /low /b %USERPROFILE%\Documents\GitHub\eaglep3\Utilities\DownloadLogsFromS3.py --loco 4028 --day 2017-09-08</t>
  </si>
  <si>
    <t>start /low /b %USERPROFILE%\Documents\GitHub\eaglep3\Utilities\DownloadLogsFromS3.py --loco 4027 --day 2017-09-08</t>
  </si>
  <si>
    <t>start /low /b %USERPROFILE%\Documents\GitHub\eaglep3\Utilities\DownloadLogsFromS3.py --loco 4028 --day 2017-09-09</t>
  </si>
  <si>
    <t>start /low /b %USERPROFILE%\Documents\GitHub\eaglep3\Utilities\DownloadLogsFromS3.py --loco 4030 --day 2017-09-09</t>
  </si>
  <si>
    <t>Poor GPS at DUS</t>
  </si>
  <si>
    <t>Onboard in-route failure</t>
  </si>
  <si>
    <t>Overspeed</t>
  </si>
  <si>
    <t>Restricting aspect</t>
  </si>
  <si>
    <t>Red fence due to mid-block init</t>
  </si>
  <si>
    <t>Red fence observed due to going active past signal</t>
  </si>
  <si>
    <t>Unhealthy @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</si>
</sst>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topLeftCell="A28" zoomScaleNormal="100" workbookViewId="0">
      <selection activeCell="AF196" sqref="AF19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42986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42986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48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COUNTIFS($N$13:$N$9314,"&gt;0",$AG$13:$AG$9314,I1)</f>
        <v>146</v>
      </c>
      <c r="K5" s="39"/>
      <c r="L5" s="184"/>
      <c r="M5" s="40">
        <f>AVERAGEIFS($N$13:$N$9314,$AG$13:$AG$9314,I1)</f>
        <v>37.072716894940704</v>
      </c>
      <c r="N5" s="38">
        <f t="array" ref="N5">MIN(IF($AG$13:$AG$9314=I1,IF(ISNUMBER($N$13:$N$9314),IF($N$13:$N$9314&gt;0,$N$13:$N$9314))))</f>
        <v>33.216666657244787</v>
      </c>
      <c r="O5" s="3">
        <f t="array" ref="O5">MAX(IF($AG$13:$AG$9314=I1,IF(ISNUMBER($N$13:$N$9314),IF($N$13:$N$9314&gt;0,$N$13:$N$9314))))</f>
        <v>41.33333332487382</v>
      </c>
      <c r="P5" s="2"/>
      <c r="R5" s="163" t="s">
        <v>17</v>
      </c>
      <c r="S5" s="183">
        <f>COUNTIFS($N$13:$N$9314,"&gt;0",$AG$13:$AG$9314,R1)</f>
        <v>46</v>
      </c>
      <c r="T5" s="184"/>
      <c r="U5" s="184"/>
      <c r="V5" s="180">
        <f>AVERAGEIFS($N$13:$N$9314,$AG$13:$AG$9314,R1)</f>
        <v>14.988043478806503</v>
      </c>
      <c r="W5" s="181">
        <f t="array" ref="W5">MIN(IF($AG$13:$AG$9314=R1,IF(ISNUMBER($N$13:$N$9314),IF($N$13:$N$9314&gt;0,$N$13:$N$9314))))</f>
        <v>11.750000001629815</v>
      </c>
      <c r="X5" s="182">
        <f t="array" ref="X5">MAX(IF($AG$13:$AG$9314=R1,IF(ISNUMBER($N$13:$N$9314),IF($N$13:$N$9314&gt;0,$N$13:$N$9314))))</f>
        <v>20.883333332603797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COUNT($O$13:$O$136)</f>
        <v>0</v>
      </c>
      <c r="K6" s="39"/>
      <c r="L6" s="184"/>
      <c r="M6" s="40">
        <f>IFERROR(AVERAGE($O$13:$O$136),0)</f>
        <v>0</v>
      </c>
      <c r="N6" s="38">
        <f>MIN($O$13:$O$136)</f>
        <v>0</v>
      </c>
      <c r="O6" s="3">
        <f>MAX($O$13:$O$136)</f>
        <v>0</v>
      </c>
      <c r="P6" s="2"/>
      <c r="R6" s="164" t="s">
        <v>43</v>
      </c>
      <c r="S6" s="183">
        <f>COUNT($O$13:$O$136)</f>
        <v>0</v>
      </c>
      <c r="T6" s="184"/>
      <c r="U6" s="184"/>
      <c r="V6" s="180">
        <f>IFERROR(AVERAGE($O$13:$O$136),0)</f>
        <v>0</v>
      </c>
      <c r="W6" s="181">
        <f>MIN($O$13:$O$136)</f>
        <v>0</v>
      </c>
      <c r="X6" s="182">
        <f>MAX($O$13:$O$136)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COUNTIFS($P$13:$P$9314,"&gt;0",$AG$13:$AG$9314,I1)</f>
        <v>0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COUNTIFS($P$13:$P$9314,"&gt;0",$AG$13:$AG$9314,R1)</f>
        <v>2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146</v>
      </c>
      <c r="K8" s="39"/>
      <c r="L8" s="184"/>
      <c r="M8" s="40">
        <f>M5</f>
        <v>37.072716894940704</v>
      </c>
      <c r="N8" s="38">
        <f>N5</f>
        <v>33.216666657244787</v>
      </c>
      <c r="O8" s="3">
        <f>O5</f>
        <v>41.33333332487382</v>
      </c>
      <c r="P8" s="2"/>
      <c r="R8" s="163" t="s">
        <v>16</v>
      </c>
      <c r="S8" s="183">
        <f>S5</f>
        <v>46</v>
      </c>
      <c r="T8" s="184"/>
      <c r="U8" s="184"/>
      <c r="V8" s="180">
        <f>V5</f>
        <v>14.988043478806503</v>
      </c>
      <c r="W8" s="181">
        <f>W5</f>
        <v>11.750000001629815</v>
      </c>
      <c r="X8" s="182">
        <f>X5</f>
        <v>20.883333332603797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0.95833333333333337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- 2017-09-08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AVERAGE(S13:S107)</f>
        <v>1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638</v>
      </c>
      <c r="B13" s="7">
        <v>4002</v>
      </c>
      <c r="C13" s="21" t="s">
        <v>197</v>
      </c>
      <c r="D13" s="21" t="s">
        <v>851</v>
      </c>
      <c r="E13" s="13">
        <v>42986.126284722224</v>
      </c>
      <c r="F13" s="13">
        <v>42986.135798611111</v>
      </c>
      <c r="G13" s="7">
        <v>53</v>
      </c>
      <c r="H13" s="21" t="s">
        <v>454</v>
      </c>
      <c r="I13" s="13">
        <v>42986.159884259258</v>
      </c>
      <c r="J13" s="7">
        <v>0</v>
      </c>
      <c r="K13" s="89" t="str">
        <f t="shared" ref="K13:K75" si="0">IF(ISEVEN(B13),(B13-1)&amp;"/"&amp;B13,B13&amp;"/"&amp;(B13+1))</f>
        <v>4001/4002</v>
      </c>
      <c r="L13" s="214" t="str">
        <f>VLOOKUP(A13,'Trips&amp;Operators'!$C$1:$G$99911,5,FALSE)</f>
        <v>YORK EDGAR</v>
      </c>
      <c r="M13" s="6">
        <f t="shared" ref="M13:M75" si="1">I13-F13</f>
        <v>2.4085648146865424E-2</v>
      </c>
      <c r="N13" s="7">
        <f t="shared" ref="N13:N75" si="2">24*60*SUM($M13:$M13)</f>
        <v>34.68333333148621</v>
      </c>
      <c r="O13" s="7"/>
      <c r="P13" s="7"/>
      <c r="Q13" s="22"/>
      <c r="R13" s="167"/>
      <c r="S13" s="210">
        <f t="shared" ref="S13:S75" si="3">1/IF(AG13="EC",12,1)*SUM(U13:U13)</f>
        <v>1</v>
      </c>
      <c r="T13" s="192" t="str">
        <f t="shared" ref="T13:T75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5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-08T02:01:51-0600',mode:absolute,to:'2017-09-08T04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94" t="str">
        <f>IF(AA13&lt;VLOOKUP(AG13,Variables!$AC$3:$AD$8,2,FALSE),"Y","N")</f>
        <v>N</v>
      </c>
      <c r="X13" s="194" t="e">
        <f t="shared" ref="X13:X75" si="6">VALUE(LEFT(AD13,4))-VALUE(LEFT(AD12,4))</f>
        <v>#VALUE!</v>
      </c>
      <c r="Y13" s="194">
        <f t="shared" ref="Y13:Y75" si="7">RIGHT(D13,LEN(D13)-4)/10000</f>
        <v>7.4300000000000005E-2</v>
      </c>
      <c r="Z13" s="194">
        <f t="shared" ref="Z13:Z75" si="8">RIGHT(H13,LEN(H13)-4)/10000</f>
        <v>23.3293</v>
      </c>
      <c r="AA13" s="194">
        <f t="shared" ref="AA13:AA75" si="9">ABS(Z13-Y13)</f>
        <v>23.254999999999999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 t="shared" ref="AD13:AD75" si="10">VALUE(LEFT(A13,LEN(A13)-3))</f>
        <v>101</v>
      </c>
      <c r="AE13" s="77" t="str">
        <f t="shared" ref="AE13:AE75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13" s="74" t="str">
        <f t="shared" ref="AF13:AF75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/stypes="app*4002*20170908*" /stext=" 09:.+((SYSTEM_STATE.+slice.+state.+changed )|(ment ac)|(multiple cpu faults)|(system.+state.+changed )|(\[timeout)|(PRM\|1\|D)|(kpr)|(kdp)|(train st.+moving)|(\|lc)|(penalty))"</v>
      </c>
      <c r="AG13" s="206" t="str">
        <f t="shared" ref="AG13:AG75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4002 --swversion DE.1.0.9.0 --startMP 204:743 --initTime 2017-09-08T03:01:51 --startdatetime 2017-09-08T03:15:33 --delay 53 --endMP 204:233293 --enddatetime 2017-09-08T03:50:14 --enforcementcount 0 &gt;&gt;C:\Users\stu\Documents\GitHub\eaglep3-reporting\EC\2017-09-08-refined-times.txt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{"issue":{"subject":"","project_id":79,"tracker_id":40,"status_id":1,"priority_id":2,"assigned_to_id":338,"start_date":"2017-09-08","description":"","custom_fields":[{"id":1,"name":"Subdivision","value":"EC"},{"id":4,"name":"Milepost","value":"23.3293"},{"id":17,"name":"Train ID","value":"101-08"},{"id":16,"name":"Locomotive ID","value":"4002"},{"id":130,"name":"Impact","value":""},{"id":150,"name":"Time of Event (Mountain Time)","value":"03:50:14"},{"id":151,"name":"Denver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4002 --day 2017-09-08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09:50:14"},{"id":29,"name":"Sharepoint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598</v>
      </c>
      <c r="B14" s="7">
        <v>4001</v>
      </c>
      <c r="C14" s="21" t="s">
        <v>197</v>
      </c>
      <c r="D14" s="21" t="s">
        <v>852</v>
      </c>
      <c r="E14" s="13">
        <v>42986.160798611112</v>
      </c>
      <c r="F14" s="13">
        <v>42986.175266203703</v>
      </c>
      <c r="G14" s="7">
        <v>51</v>
      </c>
      <c r="H14" s="21" t="s">
        <v>374</v>
      </c>
      <c r="I14" s="13">
        <v>42986.200821759259</v>
      </c>
      <c r="J14" s="7">
        <v>0</v>
      </c>
      <c r="K14" s="89" t="str">
        <f t="shared" si="0"/>
        <v>4001/4002</v>
      </c>
      <c r="L14" s="214" t="str">
        <f>VLOOKUP(A14,'Trips&amp;Operators'!$C$1:$G$99911,5,FALSE)</f>
        <v>YORK EDGAR</v>
      </c>
      <c r="M14" s="6">
        <f t="shared" si="1"/>
        <v>2.5555555555911269E-2</v>
      </c>
      <c r="N14" s="7">
        <f t="shared" si="2"/>
        <v>36.800000000512227</v>
      </c>
      <c r="O14" s="7"/>
      <c r="P14" s="7"/>
      <c r="Q14" s="22"/>
      <c r="R14" s="167"/>
      <c r="S14" s="210">
        <f t="shared" si="3"/>
        <v>1</v>
      </c>
      <c r="T14" s="192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-09-08T02:51:33-0600',mode:absolute,to:'2017-09-08T05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194" t="str">
        <f>IF(AA14&lt;VLOOKUP(AG14,Variables!$AC$3:$AD$8,2,FALSE),"Y","N")</f>
        <v>N</v>
      </c>
      <c r="X14" s="194">
        <f t="shared" si="6"/>
        <v>1</v>
      </c>
      <c r="Y14" s="194">
        <f t="shared" si="7"/>
        <v>23.297899999999998</v>
      </c>
      <c r="Z14" s="194">
        <f t="shared" si="8"/>
        <v>1.5599999999999999E-2</v>
      </c>
      <c r="AA14" s="194">
        <f t="shared" si="9"/>
        <v>23.282299999999999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si="10"/>
        <v>102</v>
      </c>
      <c r="AE14" s="77" t="str">
        <f t="shared" si="11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14" s="74" t="str">
        <f t="shared" si="12"/>
        <v>"C:\Program Files (x86)\AstroGrep\AstroGrep.exe" /e /r /s /spath="%USERPROFILE%\AppData\Local\Temp\OnboardLogs" /stypes="app*4001*20170908*" /stext=" 10:.+((SYSTEM_STATE.+slice.+state.+changed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4001 --swversion DE.1.0.9.0 --startMP 204:232979 --initTime 2017-09-08T03:51:33 --startdatetime 2017-09-08T04:12:23 --delay 51 --endMP 204:156 --enddatetime 2017-09-08T04:49:11 --enforcementcount 0 &gt;&gt;C:\Users\stu\Documents\GitHub\eaglep3-reporting\EC\2017-09-08-refined-times.txt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{"issue":{"subject":"","project_id":79,"tracker_id":40,"status_id":1,"priority_id":2,"assigned_to_id":338,"start_date":"2017-09-08","description":"","custom_fields":[{"id":1,"name":"Subdivision","value":"EC"},{"id":4,"name":"Milepost","value":"0.0156"},{"id":17,"name":"Train ID","value":"102-08"},{"id":16,"name":"Locomotive ID","value":"4001"},{"id":130,"name":"Impact","value":""},{"id":150,"name":"Time of Event (Mountain Time)","value":"04:49:11"},{"id":151,"name":"Denver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4001 --day 2017-09-08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10:49:11"},{"id":29,"name":"Sharepoint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642</v>
      </c>
      <c r="B15" s="7">
        <v>4062</v>
      </c>
      <c r="C15" s="21" t="s">
        <v>197</v>
      </c>
      <c r="D15" s="21" t="s">
        <v>362</v>
      </c>
      <c r="E15" s="13">
        <v>42986.150381944448</v>
      </c>
      <c r="F15" s="13">
        <v>42986.156469907408</v>
      </c>
      <c r="G15" s="7">
        <v>57</v>
      </c>
      <c r="H15" s="21" t="s">
        <v>853</v>
      </c>
      <c r="I15" s="13">
        <v>42986.181215277778</v>
      </c>
      <c r="J15" s="7">
        <v>0</v>
      </c>
      <c r="K15" s="89" t="str">
        <f t="shared" si="0"/>
        <v>4061/4062</v>
      </c>
      <c r="L15" s="214" t="str">
        <f>VLOOKUP(A15,'Trips&amp;Operators'!$C$1:$G$99911,5,FALSE)</f>
        <v>MAELZER KURT</v>
      </c>
      <c r="M15" s="6">
        <f t="shared" si="1"/>
        <v>2.47453703705105E-2</v>
      </c>
      <c r="N15" s="7">
        <f t="shared" si="2"/>
        <v>35.63333333353512</v>
      </c>
      <c r="O15" s="7"/>
      <c r="P15" s="7"/>
      <c r="Q15" s="22"/>
      <c r="R15" s="167"/>
      <c r="S15" s="210">
        <f t="shared" si="3"/>
        <v>1</v>
      </c>
      <c r="T15" s="192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-09-08T02:36:33-0600',mode:absolute,to:'2017-09-08T05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" s="194" t="str">
        <f>IF(AA15&lt;VLOOKUP(AG15,Variables!$AC$3:$AD$8,2,FALSE),"Y","N")</f>
        <v>N</v>
      </c>
      <c r="X15" s="194">
        <f t="shared" si="6"/>
        <v>1</v>
      </c>
      <c r="Y15" s="194">
        <f t="shared" si="7"/>
        <v>4.4900000000000002E-2</v>
      </c>
      <c r="Z15" s="194">
        <f t="shared" si="8"/>
        <v>23.331900000000001</v>
      </c>
      <c r="AA15" s="194">
        <f t="shared" si="9"/>
        <v>23.287000000000003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si="10"/>
        <v>103</v>
      </c>
      <c r="AE15" s="77" t="str">
        <f t="shared" si="11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15" s="74" t="str">
        <f t="shared" si="12"/>
        <v>"C:\Program Files (x86)\AstroGrep\AstroGrep.exe" /e /r /s /spath="%USERPROFILE%\AppData\Local\Temp\OnboardLogs" /stypes="app*4062*20170908*" /stext=" 10:.+((SYSTEM_STATE.+slice.+state.+changed )|(ment ac)|(multiple cpu faults)|(system.+state.+changed )|(\[timeout)|(PRM\|1\|D)|(kpr)|(kdp)|(train st.+moving)|(\|lc)|(penalty))"</v>
      </c>
      <c r="AG15" s="206" t="str">
        <f t="shared" si="13"/>
        <v>EC</v>
      </c>
      <c r="AH15" s="78" t="str">
        <f t="shared" si="18"/>
        <v>"%USERPROFILE%\Documents\GitHub\eaglep3\Utilities\RefineRTDCRunTimes.py" --tripid 103-08 --locoid 4062 --swversion DE.1.0.9.0 --startMP 204:449 --initTime 2017-09-08T03:36:33 --startdatetime 2017-09-08T03:45:19 --delay 57 --endMP 204:233319 --enddatetime 2017-09-08T04:20:57 --enforcementcount 0 &gt;&gt;C:\Users\stu\Documents\GitHub\eaglep3-reporting\EC\2017-09-08-refined-times.txt</v>
      </c>
      <c r="AI15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{"issue":{"subject":"","project_id":79,"tracker_id":40,"status_id":1,"priority_id":2,"assigned_to_id":338,"start_date":"2017-09-08","description":"","custom_fields":[{"id":1,"name":"Subdivision","value":"EC"},{"id":4,"name":"Milepost","value":"23.3319"},{"id":17,"name":"Train ID","value":"103-08"},{"id":16,"name":"Locomotive ID","value":"4062"},{"id":130,"name":"Impact","value":""},{"id":150,"name":"Time of Event (Mountain Time)","value":"04:20:57"},{"id":151,"name":"Denver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4062 --day 2017-09-08</v>
      </c>
      <c r="AN15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10:20:57"},{"id":29,"name":"Sharepoint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650</v>
      </c>
      <c r="B16" s="7">
        <v>4061</v>
      </c>
      <c r="C16" s="21" t="s">
        <v>197</v>
      </c>
      <c r="D16" s="21" t="s">
        <v>537</v>
      </c>
      <c r="E16" s="13">
        <v>42986.186076388891</v>
      </c>
      <c r="F16" s="13">
        <v>42986.196064814816</v>
      </c>
      <c r="G16" s="7">
        <v>54</v>
      </c>
      <c r="H16" s="21" t="s">
        <v>464</v>
      </c>
      <c r="I16" s="13">
        <v>42986.222395833334</v>
      </c>
      <c r="J16" s="7">
        <v>0</v>
      </c>
      <c r="K16" s="89" t="str">
        <f t="shared" si="0"/>
        <v>4061/4062</v>
      </c>
      <c r="L16" s="214" t="str">
        <f>VLOOKUP(A16,'Trips&amp;Operators'!$C$1:$G$99911,5,FALSE)</f>
        <v>MAELZER KURT</v>
      </c>
      <c r="M16" s="6">
        <f t="shared" si="1"/>
        <v>2.6331018518249039E-2</v>
      </c>
      <c r="N16" s="7">
        <f t="shared" si="2"/>
        <v>37.916666666278616</v>
      </c>
      <c r="O16" s="7"/>
      <c r="P16" s="7"/>
      <c r="Q16" s="22"/>
      <c r="R16" s="167"/>
      <c r="S16" s="210">
        <f t="shared" si="3"/>
        <v>1</v>
      </c>
      <c r="T16" s="192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-09-08T03:27:57-0600',mode:absolute,to:'2017-09-08T06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" s="194" t="str">
        <f>IF(AA16&lt;VLOOKUP(AG16,Variables!$AC$3:$AD$8,2,FALSE),"Y","N")</f>
        <v>N</v>
      </c>
      <c r="X16" s="194">
        <f t="shared" si="6"/>
        <v>1</v>
      </c>
      <c r="Y16" s="194">
        <f t="shared" si="7"/>
        <v>23.301100000000002</v>
      </c>
      <c r="Z16" s="194">
        <f t="shared" si="8"/>
        <v>1.3899999999999999E-2</v>
      </c>
      <c r="AA16" s="194">
        <f t="shared" si="9"/>
        <v>23.287200000000002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0"/>
        <v>104</v>
      </c>
      <c r="AE16" s="77" t="str">
        <f t="shared" si="11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16" s="74" t="str">
        <f t="shared" si="12"/>
        <v>"C:\Program Files (x86)\AstroGrep\AstroGrep.exe" /e /r /s /spath="%USERPROFILE%\AppData\Local\Temp\OnboardLogs" /stypes="app*4061*20170908*" /stext=" 11:.+((SYSTEM_STATE.+slice.+state.+changed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78" t="str">
        <f t="shared" si="18"/>
        <v>"%USERPROFILE%\Documents\GitHub\eaglep3\Utilities\RefineRTDCRunTimes.py" --tripid 104-08 --locoid 4061 --swversion DE.1.0.9.0 --startMP 204:233011 --initTime 2017-09-08T04:27:57 --startdatetime 2017-09-08T04:42:20 --delay 54 --endMP 204:139 --enddatetime 2017-09-08T05:20:15 --enforcementcount 0 &gt;&gt;C:\Users\stu\Documents\GitHub\eaglep3-reporting\EC\2017-09-08-refined-times.txt</v>
      </c>
      <c r="AI16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{"issue":{"subject":"","project_id":79,"tracker_id":40,"status_id":1,"priority_id":2,"assigned_to_id":338,"start_date":"2017-09-08","description":"","custom_fields":[{"id":1,"name":"Subdivision","value":"EC"},{"id":4,"name":"Milepost","value":"0.0139"},{"id":17,"name":"Train ID","value":"104-08"},{"id":16,"name":"Locomotive ID","value":"4061"},{"id":130,"name":"Impact","value":""},{"id":150,"name":"Time of Event (Mountain Time)","value":"05:20:15"},{"id":151,"name":"Denver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4061 --day 2017-09-08</v>
      </c>
      <c r="AN16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11:20:15"},{"id":29,"name":"Sharepoint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646</v>
      </c>
      <c r="B17" s="7">
        <v>4006</v>
      </c>
      <c r="C17" s="21" t="s">
        <v>197</v>
      </c>
      <c r="D17" s="21" t="s">
        <v>363</v>
      </c>
      <c r="E17" s="13">
        <v>42986.176018518519</v>
      </c>
      <c r="F17" s="13">
        <v>42986.177615740744</v>
      </c>
      <c r="G17" s="7">
        <v>63</v>
      </c>
      <c r="H17" s="21" t="s">
        <v>536</v>
      </c>
      <c r="I17" s="13">
        <v>42986.202708333331</v>
      </c>
      <c r="J17" s="7">
        <v>0</v>
      </c>
      <c r="K17" s="89" t="str">
        <f t="shared" si="0"/>
        <v>4005/4006</v>
      </c>
      <c r="L17" s="214" t="str">
        <f>VLOOKUP(A17,'Trips&amp;Operators'!$C$1:$G$99911,5,FALSE)</f>
        <v>BONDS REYNALDO</v>
      </c>
      <c r="M17" s="6">
        <f t="shared" si="1"/>
        <v>2.509259258658858E-2</v>
      </c>
      <c r="N17" s="7">
        <f t="shared" si="2"/>
        <v>36.133333324687555</v>
      </c>
      <c r="O17" s="7"/>
      <c r="P17" s="7"/>
      <c r="Q17" s="22"/>
      <c r="R17" s="167"/>
      <c r="S17" s="210">
        <f t="shared" si="3"/>
        <v>1</v>
      </c>
      <c r="T17" s="192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-09-08T03:13:28-0600',mode:absolute,to:'2017-09-08T05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94" t="str">
        <f>IF(AA17&lt;VLOOKUP(AG17,Variables!$AC$3:$AD$8,2,FALSE),"Y","N")</f>
        <v>N</v>
      </c>
      <c r="X17" s="194">
        <f t="shared" si="6"/>
        <v>1</v>
      </c>
      <c r="Y17" s="194">
        <f t="shared" si="7"/>
        <v>4.5699999999999998E-2</v>
      </c>
      <c r="Z17" s="194">
        <f t="shared" si="8"/>
        <v>23.332000000000001</v>
      </c>
      <c r="AA17" s="194">
        <f t="shared" si="9"/>
        <v>23.286300000000001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si="10"/>
        <v>105</v>
      </c>
      <c r="AE17" s="77" t="str">
        <f t="shared" si="11"/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AF17" s="74" t="str">
        <f t="shared" si="12"/>
        <v>"C:\Program Files (x86)\AstroGrep\AstroGrep.exe" /e /r /s /spath="%USERPROFILE%\AppData\Local\Temp\OnboardLogs" /stypes="app*4006*20170908*" /stext=" 10:.+((SYSTEM_STATE.+slice.+state.+changed )|(ment ac)|(multiple cpu faults)|(system.+state.+changed )|(\[timeout)|(PRM\|1\|D)|(kpr)|(kdp)|(train st.+moving)|(\|lc)|(penalty))"</v>
      </c>
      <c r="AG17" s="206" t="str">
        <f t="shared" si="13"/>
        <v>EC</v>
      </c>
      <c r="AH17" s="78" t="str">
        <f t="shared" si="18"/>
        <v>"%USERPROFILE%\Documents\GitHub\eaglep3\Utilities\RefineRTDCRunTimes.py" --tripid 105-08 --locoid 4006 --swversion DE.1.0.9.0 --startMP 204:457 --initTime 2017-09-08T04:13:28 --startdatetime 2017-09-08T04:15:46 --delay 63 --endMP 204:233320 --enddatetime 2017-09-08T04:51:54 --enforcementcount 0 &gt;&gt;C:\Users\stu\Documents\GitHub\eaglep3-reporting\EC\2017-09-08-refined-times.txt</v>
      </c>
      <c r="AI17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{"issue":{"subject":"","project_id":79,"tracker_id":40,"status_id":1,"priority_id":2,"assigned_to_id":338,"start_date":"2017-09-08","description":"","custom_fields":[{"id":1,"name":"Subdivision","value":"EC"},{"id":4,"name":"Milepost","value":"23.332"},{"id":17,"name":"Train ID","value":"105-08"},{"id":16,"name":"Locomotive ID","value":"4006"},{"id":130,"name":"Impact","value":""},{"id":150,"name":"Time of Event (Mountain Time)","value":"04:51:54"},{"id":151,"name":"Denver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4006 --day 2017-09-08</v>
      </c>
      <c r="AN17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10:51:54"},{"id":29,"name":"Sharepoint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657</v>
      </c>
      <c r="B18" s="7">
        <v>4005</v>
      </c>
      <c r="C18" s="21" t="s">
        <v>197</v>
      </c>
      <c r="D18" s="21" t="s">
        <v>415</v>
      </c>
      <c r="E18" s="13">
        <v>42986.212592592594</v>
      </c>
      <c r="F18" s="13">
        <v>42986.216851851852</v>
      </c>
      <c r="G18" s="7">
        <v>52</v>
      </c>
      <c r="H18" s="21" t="s">
        <v>343</v>
      </c>
      <c r="I18" s="13">
        <v>42986.243842592594</v>
      </c>
      <c r="J18" s="7">
        <v>0</v>
      </c>
      <c r="K18" s="89" t="str">
        <f t="shared" si="0"/>
        <v>4005/4006</v>
      </c>
      <c r="L18" s="214" t="str">
        <f>VLOOKUP(A18,'Trips&amp;Operators'!$C$1:$G$99911,5,FALSE)</f>
        <v>BONDS REYNALDO</v>
      </c>
      <c r="M18" s="6">
        <f t="shared" si="1"/>
        <v>2.6990740741894115E-2</v>
      </c>
      <c r="N18" s="7">
        <f t="shared" si="2"/>
        <v>38.866666668327525</v>
      </c>
      <c r="O18" s="7"/>
      <c r="P18" s="7"/>
      <c r="Q18" s="22"/>
      <c r="R18" s="167"/>
      <c r="S18" s="210">
        <f t="shared" si="3"/>
        <v>1</v>
      </c>
      <c r="T18" s="192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-09-08T04:06:08-0600',mode:absolute,to:'2017-09-08T06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" s="194" t="str">
        <f>IF(AA18&lt;VLOOKUP(AG18,Variables!$AC$3:$AD$8,2,FALSE),"Y","N")</f>
        <v>N</v>
      </c>
      <c r="X18" s="194">
        <f t="shared" si="6"/>
        <v>1</v>
      </c>
      <c r="Y18" s="194">
        <f t="shared" si="7"/>
        <v>23.2986</v>
      </c>
      <c r="Z18" s="194">
        <f t="shared" si="8"/>
        <v>1.47E-2</v>
      </c>
      <c r="AA18" s="194">
        <f t="shared" si="9"/>
        <v>23.283899999999999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 t="shared" si="10"/>
        <v>106</v>
      </c>
      <c r="AE18" s="77" t="str">
        <f t="shared" si="11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18" s="74" t="str">
        <f t="shared" si="12"/>
        <v>"C:\Program Files (x86)\AstroGrep\AstroGrep.exe" /e /r /s /spath="%USERPROFILE%\AppData\Local\Temp\OnboardLogs" /stypes="app*4005*20170908*" /stext=" 11:.+((SYSTEM_STATE.+slice.+state.+changed )|(ment ac)|(multiple cpu faults)|(system.+state.+changed )|(\[timeout)|(PRM\|1\|D)|(kpr)|(kdp)|(train st.+moving)|(\|lc)|(penalty))"</v>
      </c>
      <c r="AG18" s="206" t="str">
        <f t="shared" si="13"/>
        <v>EC</v>
      </c>
      <c r="AH18" s="78" t="str">
        <f t="shared" si="18"/>
        <v>"%USERPROFILE%\Documents\GitHub\eaglep3\Utilities\RefineRTDCRunTimes.py" --tripid 106-08 --locoid 4005 --swversion DE.1.0.9.0 --startMP 204:232986 --initTime 2017-09-08T05:06:08 --startdatetime 2017-09-08T05:12:16 --delay 52 --endMP 204:147 --enddatetime 2017-09-08T05:51:08 --enforcementcount 0 &gt;&gt;C:\Users\stu\Documents\GitHub\eaglep3-reporting\EC\2017-09-08-refined-times.txt</v>
      </c>
      <c r="AI18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{"issue":{"subject":"","project_id":79,"tracker_id":40,"status_id":1,"priority_id":2,"assigned_to_id":338,"start_date":"2017-09-08","description":"","custom_fields":[{"id":1,"name":"Subdivision","value":"EC"},{"id":4,"name":"Milepost","value":"0.0147"},{"id":17,"name":"Train ID","value":"106-08"},{"id":16,"name":"Locomotive ID","value":"4005"},{"id":130,"name":"Impact","value":""},{"id":150,"name":"Time of Event (Mountain Time)","value":"05:51:08"},{"id":151,"name":"Denver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4005 --day 2017-09-08</v>
      </c>
      <c r="AN18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11:51:08"},{"id":29,"name":"Sharepoint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649</v>
      </c>
      <c r="B19" s="7">
        <v>4034</v>
      </c>
      <c r="C19" s="21" t="s">
        <v>197</v>
      </c>
      <c r="D19" s="21" t="s">
        <v>854</v>
      </c>
      <c r="E19" s="13">
        <v>42986.183611111112</v>
      </c>
      <c r="F19" s="13">
        <v>42986.187893518516</v>
      </c>
      <c r="G19" s="7">
        <v>77</v>
      </c>
      <c r="H19" s="21" t="s">
        <v>532</v>
      </c>
      <c r="I19" s="13">
        <v>42986.213761574072</v>
      </c>
      <c r="J19" s="7">
        <v>0</v>
      </c>
      <c r="K19" s="89" t="str">
        <f t="shared" si="0"/>
        <v>4033/4034</v>
      </c>
      <c r="L19" s="214" t="str">
        <f>VLOOKUP(A19,'Trips&amp;Operators'!$C$1:$G$99911,5,FALSE)</f>
        <v>BARRON PERLA</v>
      </c>
      <c r="M19" s="6">
        <f t="shared" si="1"/>
        <v>2.5868055556202307E-2</v>
      </c>
      <c r="N19" s="7">
        <f t="shared" si="2"/>
        <v>37.250000000931323</v>
      </c>
      <c r="O19" s="7"/>
      <c r="P19" s="7"/>
      <c r="Q19" s="22"/>
      <c r="R19" s="167"/>
      <c r="S19" s="210">
        <f t="shared" si="3"/>
        <v>1</v>
      </c>
      <c r="T19" s="192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-09-08T03:24:24-0600',mode:absolute,to:'2017-09-08T06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9" s="194" t="str">
        <f>IF(AA19&lt;VLOOKUP(AG19,Variables!$AC$3:$AD$8,2,FALSE),"Y","N")</f>
        <v>N</v>
      </c>
      <c r="X19" s="194">
        <f t="shared" si="6"/>
        <v>1</v>
      </c>
      <c r="Y19" s="194">
        <f t="shared" si="7"/>
        <v>4.6600000000000003E-2</v>
      </c>
      <c r="Z19" s="194">
        <f t="shared" si="8"/>
        <v>23.328299999999999</v>
      </c>
      <c r="AA19" s="194">
        <f t="shared" si="9"/>
        <v>23.281699999999997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si="10"/>
        <v>107</v>
      </c>
      <c r="AE19" s="77" t="str">
        <f t="shared" si="11"/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AF19" s="74" t="str">
        <f t="shared" si="12"/>
        <v>"C:\Program Files (x86)\AstroGrep\AstroGrep.exe" /e /r /s /spath="%USERPROFILE%\AppData\Local\Temp\OnboardLogs" /stypes="app*4034*20170908*" /stext=" 11:.+((SYSTEM_STATE.+slice.+state.+changed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78" t="str">
        <f t="shared" si="18"/>
        <v>"%USERPROFILE%\Documents\GitHub\eaglep3\Utilities\RefineRTDCRunTimes.py" --tripid 107-08 --locoid 4034 --swversion DE.1.0.9.0 --startMP 204:466 --initTime 2017-09-08T04:24:24 --startdatetime 2017-09-08T04:30:34 --delay 77 --endMP 204:233283 --enddatetime 2017-09-08T05:07:49 --enforcementcount 0 &gt;&gt;C:\Users\stu\Documents\GitHub\eaglep3-reporting\EC\2017-09-08-refined-times.txt</v>
      </c>
      <c r="AI19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{"issue":{"subject":"","project_id":79,"tracker_id":40,"status_id":1,"priority_id":2,"assigned_to_id":338,"start_date":"2017-09-08","description":"","custom_fields":[{"id":1,"name":"Subdivision","value":"EC"},{"id":4,"name":"Milepost","value":"23.3283"},{"id":17,"name":"Train ID","value":"107-08"},{"id":16,"name":"Locomotive ID","value":"4034"},{"id":130,"name":"Impact","value":""},{"id":150,"name":"Time of Event (Mountain Time)","value":"05:07:49"},{"id":151,"name":"Denver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4034 --day 2017-09-08</v>
      </c>
      <c r="AN19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11:07:49"},{"id":29,"name":"Sharepoint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661</v>
      </c>
      <c r="B20" s="7">
        <v>4033</v>
      </c>
      <c r="C20" s="21" t="s">
        <v>197</v>
      </c>
      <c r="D20" s="21" t="s">
        <v>855</v>
      </c>
      <c r="E20" s="13">
        <v>42986.221805555557</v>
      </c>
      <c r="F20" s="13">
        <v>42986.227349537039</v>
      </c>
      <c r="G20" s="7">
        <v>86</v>
      </c>
      <c r="H20" s="21" t="s">
        <v>409</v>
      </c>
      <c r="I20" s="13">
        <v>42986.253888888888</v>
      </c>
      <c r="J20" s="7">
        <v>0</v>
      </c>
      <c r="K20" s="89" t="str">
        <f t="shared" si="0"/>
        <v>4033/4034</v>
      </c>
      <c r="L20" s="214" t="str">
        <f>VLOOKUP(A20,'Trips&amp;Operators'!$C$1:$G$99911,5,FALSE)</f>
        <v>BARRON PERLA</v>
      </c>
      <c r="M20" s="6">
        <f t="shared" si="1"/>
        <v>2.6539351849351078E-2</v>
      </c>
      <c r="N20" s="7">
        <f t="shared" si="2"/>
        <v>38.216666663065553</v>
      </c>
      <c r="O20" s="7"/>
      <c r="P20" s="7"/>
      <c r="Q20" s="22"/>
      <c r="R20" s="167"/>
      <c r="S20" s="210">
        <f t="shared" si="3"/>
        <v>1</v>
      </c>
      <c r="T20" s="192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-09-08T04:19:24-0600',mode:absolute,to:'2017-09-08T07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" s="194" t="str">
        <f>IF(AA20&lt;VLOOKUP(AG20,Variables!$AC$3:$AD$8,2,FALSE),"Y","N")</f>
        <v>N</v>
      </c>
      <c r="X20" s="194">
        <f t="shared" si="6"/>
        <v>1</v>
      </c>
      <c r="Y20" s="194">
        <f t="shared" si="7"/>
        <v>23.297599999999999</v>
      </c>
      <c r="Z20" s="194">
        <f t="shared" si="8"/>
        <v>1.5800000000000002E-2</v>
      </c>
      <c r="AA20" s="194">
        <f t="shared" si="9"/>
        <v>23.2818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si="10"/>
        <v>108</v>
      </c>
      <c r="AE20" s="77" t="str">
        <f t="shared" si="11"/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20" s="74" t="str">
        <f t="shared" si="12"/>
        <v>"C:\Program Files (x86)\AstroGrep\AstroGrep.exe" /e /r /s /spath="%USERPROFILE%\AppData\Local\Temp\OnboardLogs" /stypes="app*4033*20170908*" /stext=" 12:.+((SYSTEM_STATE.+slice.+state.+changed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78" t="str">
        <f t="shared" si="18"/>
        <v>"%USERPROFILE%\Documents\GitHub\eaglep3\Utilities\RefineRTDCRunTimes.py" --tripid 108-08 --locoid 4033 --swversion DE.1.0.9.0 --startMP 204:232976 --initTime 2017-09-08T05:19:24 --startdatetime 2017-09-08T05:27:23 --delay 86 --endMP 204:158 --enddatetime 2017-09-08T06:05:36 --enforcementcount 0 &gt;&gt;C:\Users\stu\Documents\GitHub\eaglep3-reporting\EC\2017-09-08-refined-times.txt</v>
      </c>
      <c r="AI20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{"issue":{"subject":"","project_id":79,"tracker_id":40,"status_id":1,"priority_id":2,"assigned_to_id":338,"start_date":"2017-09-08","description":"","custom_fields":[{"id":1,"name":"Subdivision","value":"EC"},{"id":4,"name":"Milepost","value":"0.0158"},{"id":17,"name":"Train ID","value":"108-08"},{"id":16,"name":"Locomotive ID","value":"4033"},{"id":130,"name":"Impact","value":""},{"id":150,"name":"Time of Event (Mountain Time)","value":"06:05:36"},{"id":151,"name":"Denver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4033 --day 2017-09-08</v>
      </c>
      <c r="AN20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651</v>
      </c>
      <c r="B21" s="7">
        <v>4044</v>
      </c>
      <c r="C21" s="21" t="s">
        <v>197</v>
      </c>
      <c r="D21" s="21" t="s">
        <v>375</v>
      </c>
      <c r="E21" s="13">
        <v>42986.192847222221</v>
      </c>
      <c r="F21" s="13">
        <v>42986.19809027778</v>
      </c>
      <c r="G21" s="7">
        <v>82</v>
      </c>
      <c r="H21" s="21" t="s">
        <v>454</v>
      </c>
      <c r="I21" s="13">
        <v>42986.223715277774</v>
      </c>
      <c r="J21" s="7">
        <v>0</v>
      </c>
      <c r="K21" s="89" t="str">
        <f t="shared" si="0"/>
        <v>4043/4044</v>
      </c>
      <c r="L21" s="214" t="str">
        <f>VLOOKUP(A21,'Trips&amp;Operators'!$C$1:$G$99911,5,FALSE)</f>
        <v>DAVIS WENDY</v>
      </c>
      <c r="M21" s="6">
        <f t="shared" si="1"/>
        <v>2.5624999994761311E-2</v>
      </c>
      <c r="N21" s="7">
        <f t="shared" si="2"/>
        <v>36.899999992456287</v>
      </c>
      <c r="O21" s="7"/>
      <c r="P21" s="7"/>
      <c r="Q21" s="22"/>
      <c r="R21" s="167"/>
      <c r="S21" s="210">
        <f t="shared" si="3"/>
        <v>1</v>
      </c>
      <c r="T21" s="192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-09-08T03:37:42-0600',mode:absolute,to:'2017-09-08T06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194" t="str">
        <f>IF(AA21&lt;VLOOKUP(AG21,Variables!$AC$3:$AD$8,2,FALSE),"Y","N")</f>
        <v>N</v>
      </c>
      <c r="X21" s="194">
        <f t="shared" si="6"/>
        <v>1</v>
      </c>
      <c r="Y21" s="194">
        <f t="shared" si="7"/>
        <v>4.6699999999999998E-2</v>
      </c>
      <c r="Z21" s="194">
        <f t="shared" si="8"/>
        <v>23.3293</v>
      </c>
      <c r="AA21" s="194">
        <f t="shared" si="9"/>
        <v>23.282599999999999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10"/>
        <v>109</v>
      </c>
      <c r="AE21" s="77" t="str">
        <f t="shared" si="11"/>
        <v>aws s3 cp s3://rtdc.mdm.uploadarchive.raw/RTDC4044/ "%USERPROFILE%\AppData\Local\Temp\OnboardLogs"\RTDC4044\2017-09-08 --exclude "*" --recursive --include "*20170908*" &amp; "%USERPROFILE%\Documents\GitHub\mrs-test-scripts\Headless Mode &amp; Sideloading\WalkAndUnGZ.bat" "%USERPROFILE%\AppData\Local\Temp\OnboardLogs"\RTDC4044\2017-09-08 &amp; 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</v>
      </c>
      <c r="AF21" s="74" t="str">
        <f t="shared" si="12"/>
        <v>"C:\Program Files (x86)\AstroGrep\AstroGrep.exe" /e /r /s /spath="%USERPROFILE%\AppData\Local\Temp\OnboardLogs" /stypes="app*4044*20170908*" /stext=" 11:.+((SYSTEM_STATE.+slice.+state.+changed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78" t="str">
        <f t="shared" si="18"/>
        <v>"%USERPROFILE%\Documents\GitHub\eaglep3\Utilities\RefineRTDCRunTimes.py" --tripid 109-08 --locoid 4044 --swversion DE.1.0.9.0 --startMP 204:467 --initTime 2017-09-08T04:37:42 --startdatetime 2017-09-08T04:45:15 --delay 82 --endMP 204:233293 --enddatetime 2017-09-08T05:22:09 --enforcementcount 0 &gt;&gt;C:\Users\stu\Documents\GitHub\eaglep3-reporting\EC\2017-09-08-refined-times.txt</v>
      </c>
      <c r="AI21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{"issue":{"subject":"","project_id":79,"tracker_id":40,"status_id":1,"priority_id":2,"assigned_to_id":338,"start_date":"2017-09-08","description":"","custom_fields":[{"id":1,"name":"Subdivision","value":"EC"},{"id":4,"name":"Milepost","value":"23.3293"},{"id":17,"name":"Train ID","value":"109-08"},{"id":16,"name":"Locomotive ID","value":"4044"},{"id":130,"name":"Impact","value":""},{"id":150,"name":"Time of Event (Mountain Time)","value":"05:22:09"},{"id":151,"name":"Denver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4044 --day 2017-09-08</v>
      </c>
      <c r="AN21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11:22:09"},{"id":29,"name":"Sharepoint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663</v>
      </c>
      <c r="B22" s="7">
        <v>4043</v>
      </c>
      <c r="C22" s="21" t="s">
        <v>197</v>
      </c>
      <c r="D22" s="21" t="s">
        <v>417</v>
      </c>
      <c r="E22" s="13">
        <v>42986.227175925924</v>
      </c>
      <c r="F22" s="13">
        <v>42986.237662037034</v>
      </c>
      <c r="G22" s="7">
        <v>58</v>
      </c>
      <c r="H22" s="21" t="s">
        <v>338</v>
      </c>
      <c r="I22" s="13">
        <v>42986.265567129631</v>
      </c>
      <c r="J22" s="7">
        <v>0</v>
      </c>
      <c r="K22" s="89" t="str">
        <f t="shared" si="0"/>
        <v>4043/4044</v>
      </c>
      <c r="L22" s="214" t="str">
        <f>VLOOKUP(A22,'Trips&amp;Operators'!$C$1:$G$99911,5,FALSE)</f>
        <v>DAVIS WENDY</v>
      </c>
      <c r="M22" s="6">
        <f t="shared" si="1"/>
        <v>2.7905092596483883E-2</v>
      </c>
      <c r="N22" s="7">
        <f t="shared" si="2"/>
        <v>40.183333338936791</v>
      </c>
      <c r="O22" s="7"/>
      <c r="P22" s="7"/>
      <c r="Q22" s="22"/>
      <c r="R22" s="167"/>
      <c r="S22" s="210">
        <f t="shared" si="3"/>
        <v>1</v>
      </c>
      <c r="T22" s="192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-09-08T04:27:08-0600',mode:absolute,to:'2017-09-08T07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194" t="str">
        <f>IF(AA22&lt;VLOOKUP(AG22,Variables!$AC$3:$AD$8,2,FALSE),"Y","N")</f>
        <v>N</v>
      </c>
      <c r="X22" s="194">
        <f t="shared" si="6"/>
        <v>1</v>
      </c>
      <c r="Y22" s="194">
        <f t="shared" si="7"/>
        <v>23.297499999999999</v>
      </c>
      <c r="Z22" s="194">
        <f t="shared" si="8"/>
        <v>1.4999999999999999E-2</v>
      </c>
      <c r="AA22" s="194">
        <f t="shared" si="9"/>
        <v>23.282499999999999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 t="shared" si="10"/>
        <v>110</v>
      </c>
      <c r="AE22" s="77" t="str">
        <f t="shared" si="11"/>
        <v>aws s3 cp s3://rtdc.mdm.uploadarchive.raw/RTDC4043/ "%USERPROFILE%\AppData\Local\Temp\OnboardLogs"\RTDC4043\2017-09-08 --exclude "*" --recursive --include "*20170908*" &amp; "%USERPROFILE%\Documents\GitHub\mrs-test-scripts\Headless Mode &amp; Sideloading\WalkAndUnGZ.bat" "%USERPROFILE%\AppData\Local\Temp\OnboardLogs"\RTDC4043\2017-09-08 &amp; 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</v>
      </c>
      <c r="AF22" s="74" t="str">
        <f t="shared" si="12"/>
        <v>"C:\Program Files (x86)\AstroGrep\AstroGrep.exe" /e /r /s /spath="%USERPROFILE%\AppData\Local\Temp\OnboardLogs" /stypes="app*4043*20170908*" /stext=" 12:.+((SYSTEM_STATE.+slice.+state.+changed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78" t="str">
        <f t="shared" si="18"/>
        <v>"%USERPROFILE%\Documents\GitHub\eaglep3\Utilities\RefineRTDCRunTimes.py" --tripid 110-08 --locoid 4043 --swversion DE.1.0.9.0 --startMP 204:232975 --initTime 2017-09-08T05:27:08 --startdatetime 2017-09-08T05:42:14 --delay 58 --endMP 204:150 --enddatetime 2017-09-08T06:22:25 --enforcementcount 0 &gt;&gt;C:\Users\stu\Documents\GitHub\eaglep3-reporting\EC\2017-09-08-refined-times.txt</v>
      </c>
      <c r="AI22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{"issue":{"subject":"","project_id":79,"tracker_id":40,"status_id":1,"priority_id":2,"assigned_to_id":338,"start_date":"2017-09-08","description":"","custom_fields":[{"id":1,"name":"Subdivision","value":"EC"},{"id":4,"name":"Milepost","value":"0.015"},{"id":17,"name":"Train ID","value":"110-08"},{"id":16,"name":"Locomotive ID","value":"4043"},{"id":130,"name":"Impact","value":""},{"id":150,"name":"Time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4043 --day 2017-09-08</v>
      </c>
      <c r="AN22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656</v>
      </c>
      <c r="B23" s="7">
        <v>4002</v>
      </c>
      <c r="C23" s="21" t="s">
        <v>197</v>
      </c>
      <c r="D23" s="21" t="s">
        <v>351</v>
      </c>
      <c r="E23" s="13">
        <v>42986.201944444445</v>
      </c>
      <c r="F23" s="13">
        <v>42986.208506944444</v>
      </c>
      <c r="G23" s="7">
        <v>43</v>
      </c>
      <c r="H23" s="21" t="s">
        <v>459</v>
      </c>
      <c r="I23" s="13">
        <v>42986.233344907407</v>
      </c>
      <c r="J23" s="7">
        <v>0</v>
      </c>
      <c r="K23" s="89" t="str">
        <f t="shared" si="0"/>
        <v>4001/4002</v>
      </c>
      <c r="L23" s="214" t="str">
        <f>VLOOKUP(A23,'Trips&amp;Operators'!$C$1:$G$99911,5,FALSE)</f>
        <v>YORK EDGAR</v>
      </c>
      <c r="M23" s="6">
        <f t="shared" si="1"/>
        <v>2.4837962962919846E-2</v>
      </c>
      <c r="N23" s="7">
        <f t="shared" si="2"/>
        <v>35.766666666604578</v>
      </c>
      <c r="O23" s="7"/>
      <c r="P23" s="7"/>
      <c r="Q23" s="22"/>
      <c r="R23" s="167"/>
      <c r="S23" s="210">
        <f t="shared" si="3"/>
        <v>1</v>
      </c>
      <c r="T23" s="192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-09-08T03:50:48-0600',mode:absolute,to:'2017-09-08T06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94" t="str">
        <f>IF(AA23&lt;VLOOKUP(AG23,Variables!$AC$3:$AD$8,2,FALSE),"Y","N")</f>
        <v>N</v>
      </c>
      <c r="X23" s="194">
        <f t="shared" si="6"/>
        <v>1</v>
      </c>
      <c r="Y23" s="194">
        <f t="shared" si="7"/>
        <v>4.5499999999999999E-2</v>
      </c>
      <c r="Z23" s="194">
        <f t="shared" si="8"/>
        <v>23.330400000000001</v>
      </c>
      <c r="AA23" s="194">
        <f t="shared" si="9"/>
        <v>23.2849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10"/>
        <v>111</v>
      </c>
      <c r="AE23" s="77" t="str">
        <f t="shared" si="11"/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23" s="74" t="str">
        <f t="shared" si="12"/>
        <v>"C:\Program Files (x86)\AstroGrep\AstroGrep.exe" /e /r /s /spath="%USERPROFILE%\AppData\Local\Temp\OnboardLogs" /stypes="app*4002*20170908*" /stext=" 11:.+((SYSTEM_STATE.+slice.+state.+changed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78" t="str">
        <f t="shared" si="18"/>
        <v>"%USERPROFILE%\Documents\GitHub\eaglep3\Utilities\RefineRTDCRunTimes.py" --tripid 111-08 --locoid 4002 --swversion DE.1.0.9.0 --startMP 204:455 --initTime 2017-09-08T04:50:48 --startdatetime 2017-09-08T05:00:15 --delay 43 --endMP 204:233304 --enddatetime 2017-09-08T05:36:01 --enforcementcount 0 &gt;&gt;C:\Users\stu\Documents\GitHub\eaglep3-reporting\EC\2017-09-08-refined-times.txt</v>
      </c>
      <c r="AI23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{"issue":{"subject":"","project_id":79,"tracker_id":40,"status_id":1,"priority_id":2,"assigned_to_id":338,"start_date":"2017-09-08","description":"","custom_fields":[{"id":1,"name":"Subdivision","value":"EC"},{"id":4,"name":"Milepost","value":"23.3304"},{"id":17,"name":"Train ID","value":"111-08"},{"id":16,"name":"Locomotive ID","value":"4002"},{"id":130,"name":"Impact","value":""},{"id":150,"name":"Time of Event (Mountain Time)","value":"05:36:01"},{"id":151,"name":"Denver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4002 --day 2017-09-08</v>
      </c>
      <c r="AN23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665</v>
      </c>
      <c r="B24" s="7">
        <v>4001</v>
      </c>
      <c r="C24" s="21" t="s">
        <v>197</v>
      </c>
      <c r="D24" s="21" t="s">
        <v>524</v>
      </c>
      <c r="E24" s="13">
        <v>42986.234317129631</v>
      </c>
      <c r="F24" s="13">
        <v>42986.248182870368</v>
      </c>
      <c r="G24" s="7">
        <v>46</v>
      </c>
      <c r="H24" s="21" t="s">
        <v>338</v>
      </c>
      <c r="I24" s="13">
        <v>42986.27375</v>
      </c>
      <c r="J24" s="7">
        <v>0</v>
      </c>
      <c r="K24" s="89" t="str">
        <f t="shared" si="0"/>
        <v>4001/4002</v>
      </c>
      <c r="L24" s="214" t="str">
        <f>VLOOKUP(A24,'Trips&amp;Operators'!$C$1:$G$99911,5,FALSE)</f>
        <v>YORK EDGAR</v>
      </c>
      <c r="M24" s="6">
        <f t="shared" si="1"/>
        <v>2.5567129632690921E-2</v>
      </c>
      <c r="N24" s="7">
        <f t="shared" si="2"/>
        <v>36.816666671074927</v>
      </c>
      <c r="O24" s="7"/>
      <c r="P24" s="7"/>
      <c r="Q24" s="22"/>
      <c r="R24" s="167"/>
      <c r="S24" s="210">
        <f t="shared" si="3"/>
        <v>1</v>
      </c>
      <c r="T24" s="192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-09-08T04:37:25-0600',mode:absolute,to:'2017-09-08T07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94" t="str">
        <f>IF(AA24&lt;VLOOKUP(AG24,Variables!$AC$3:$AD$8,2,FALSE),"Y","N")</f>
        <v>N</v>
      </c>
      <c r="X24" s="194">
        <f t="shared" si="6"/>
        <v>1</v>
      </c>
      <c r="Y24" s="194">
        <f t="shared" si="7"/>
        <v>23.299099999999999</v>
      </c>
      <c r="Z24" s="194">
        <f t="shared" si="8"/>
        <v>1.4999999999999999E-2</v>
      </c>
      <c r="AA24" s="194">
        <f t="shared" si="9"/>
        <v>23.284099999999999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10"/>
        <v>112</v>
      </c>
      <c r="AE24" s="77" t="str">
        <f t="shared" si="11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24" s="74" t="str">
        <f t="shared" si="12"/>
        <v>"C:\Program Files (x86)\AstroGrep\AstroGrep.exe" /e /r /s /spath="%USERPROFILE%\AppData\Local\Temp\OnboardLogs" /stypes="app*4001*20170908*" /stext=" 12:.+((SYSTEM_STATE.+slice.+state.+changed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78" t="str">
        <f t="shared" si="18"/>
        <v>"%USERPROFILE%\Documents\GitHub\eaglep3\Utilities\RefineRTDCRunTimes.py" --tripid 112-08 --locoid 4001 --swversion DE.1.0.9.0 --startMP 204:232991 --initTime 2017-09-08T05:37:25 --startdatetime 2017-09-08T05:57:23 --delay 46 --endMP 204:150 --enddatetime 2017-09-08T06:34:12 --enforcementcount 0 &gt;&gt;C:\Users\stu\Documents\GitHub\eaglep3-reporting\EC\2017-09-08-refined-times.txt</v>
      </c>
      <c r="AI24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{"issue":{"subject":"","project_id":79,"tracker_id":40,"status_id":1,"priority_id":2,"assigned_to_id":338,"start_date":"2017-09-08","description":"","custom_fields":[{"id":1,"name":"Subdivision","value":"EC"},{"id":4,"name":"Milepost","value":"0.015"},{"id":17,"name":"Train ID","value":"112-08"},{"id":16,"name":"Locomotive ID","value":"4001"},{"id":130,"name":"Impact","value":""},{"id":150,"name":"Time of Event (Mountain Time)","value":"06:34:12"},{"id":151,"name":"Denver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4001 --day 2017-09-08</v>
      </c>
      <c r="AN24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659</v>
      </c>
      <c r="B25" s="7">
        <v>4058</v>
      </c>
      <c r="C25" s="21" t="s">
        <v>197</v>
      </c>
      <c r="D25" s="21" t="s">
        <v>375</v>
      </c>
      <c r="E25" s="13">
        <v>42986.212824074071</v>
      </c>
      <c r="F25" s="13">
        <v>42986.219270833331</v>
      </c>
      <c r="G25" s="7">
        <v>142</v>
      </c>
      <c r="H25" s="21" t="s">
        <v>856</v>
      </c>
      <c r="I25" s="13">
        <v>42986.243784722225</v>
      </c>
      <c r="J25" s="7">
        <v>0</v>
      </c>
      <c r="K25" s="89" t="str">
        <f t="shared" si="0"/>
        <v>4057/4058</v>
      </c>
      <c r="L25" s="214" t="str">
        <f>VLOOKUP(A25,'Trips&amp;Operators'!$C$1:$G$99911,5,FALSE)</f>
        <v>MACDONALD THOMAS</v>
      </c>
      <c r="M25" s="6">
        <f t="shared" si="1"/>
        <v>2.4513888893125113E-2</v>
      </c>
      <c r="N25" s="7">
        <f t="shared" si="2"/>
        <v>35.300000006100163</v>
      </c>
      <c r="O25" s="7"/>
      <c r="P25" s="7"/>
      <c r="Q25" s="22"/>
      <c r="R25" s="167"/>
      <c r="S25" s="210">
        <f t="shared" si="3"/>
        <v>1</v>
      </c>
      <c r="T25" s="192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-09-08T04:06:28-0600',mode:absolute,to:'2017-09-08T06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" s="194" t="str">
        <f>IF(AA25&lt;VLOOKUP(AG25,Variables!$AC$3:$AD$8,2,FALSE),"Y","N")</f>
        <v>N</v>
      </c>
      <c r="X25" s="194">
        <f t="shared" si="6"/>
        <v>1</v>
      </c>
      <c r="Y25" s="194">
        <f t="shared" si="7"/>
        <v>4.6699999999999998E-2</v>
      </c>
      <c r="Z25" s="194">
        <f t="shared" si="8"/>
        <v>23.325500000000002</v>
      </c>
      <c r="AA25" s="194">
        <f t="shared" si="9"/>
        <v>23.2788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10"/>
        <v>113</v>
      </c>
      <c r="AE25" s="77" t="str">
        <f t="shared" si="11"/>
        <v>aws s3 cp s3://rtdc.mdm.uploadarchive.raw/RTDC4058/ "%USERPROFILE%\AppData\Local\Temp\OnboardLogs"\RTDC4058\2017-09-08 --exclude "*" --recursive --include "*20170908*" &amp; "%USERPROFILE%\Documents\GitHub\mrs-test-scripts\Headless Mode &amp; Sideloading\WalkAndUnGZ.bat" "%USERPROFILE%\AppData\Local\Temp\OnboardLogs"\RTDC4058\2017-09-08 &amp; 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</v>
      </c>
      <c r="AF25" s="74" t="str">
        <f t="shared" si="12"/>
        <v>"C:\Program Files (x86)\AstroGrep\AstroGrep.exe" /e /r /s /spath="%USERPROFILE%\AppData\Local\Temp\OnboardLogs" /stypes="app*4058*20170908*" /stext=" 11:.+((SYSTEM_STATE.+slice.+state.+changed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78" t="str">
        <f t="shared" si="18"/>
        <v>"%USERPROFILE%\Documents\GitHub\eaglep3\Utilities\RefineRTDCRunTimes.py" --tripid 113-08 --locoid 4058 --swversion DE.1.0.9.0 --startMP 204:467 --initTime 2017-09-08T05:06:28 --startdatetime 2017-09-08T05:15:45 --delay 142 --endMP 204:233255 --enddatetime 2017-09-08T05:51:03 --enforcementcount 0 &gt;&gt;C:\Users\stu\Documents\GitHub\eaglep3-reporting\EC\2017-09-08-refined-times.txt</v>
      </c>
      <c r="AI25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{"issue":{"subject":"","project_id":79,"tracker_id":40,"status_id":1,"priority_id":2,"assigned_to_id":338,"start_date":"2017-09-08","description":"","custom_fields":[{"id":1,"name":"Subdivision","value":"EC"},{"id":4,"name":"Milepost","value":"23.3255"},{"id":17,"name":"Train ID","value":"113-08"},{"id":16,"name":"Locomotive ID","value":"4058"},{"id":130,"name":"Impact","value":""},{"id":150,"name":"Time of Event (Mountain Time)","value":"05:51:03"},{"id":151,"name":"Denver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4058 --day 2017-09-08</v>
      </c>
      <c r="AN25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11:51:03"},{"id":29,"name":"Sharepoint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674</v>
      </c>
      <c r="B26" s="7">
        <v>4057</v>
      </c>
      <c r="C26" s="21" t="s">
        <v>197</v>
      </c>
      <c r="D26" s="21" t="s">
        <v>857</v>
      </c>
      <c r="E26" s="13">
        <v>42986.245474537034</v>
      </c>
      <c r="F26" s="13">
        <v>42986.258750000001</v>
      </c>
      <c r="G26" s="7">
        <v>831</v>
      </c>
      <c r="H26" s="21" t="s">
        <v>339</v>
      </c>
      <c r="I26" s="13">
        <v>42986.285949074074</v>
      </c>
      <c r="J26" s="7">
        <v>0</v>
      </c>
      <c r="K26" s="89" t="str">
        <f t="shared" si="0"/>
        <v>4057/4058</v>
      </c>
      <c r="L26" s="214" t="str">
        <f>VLOOKUP(A26,'Trips&amp;Operators'!$C$1:$G$99911,5,FALSE)</f>
        <v>MACDONALD THOMAS</v>
      </c>
      <c r="M26" s="6">
        <f t="shared" si="1"/>
        <v>2.7199074072996154E-2</v>
      </c>
      <c r="N26" s="7">
        <f t="shared" si="2"/>
        <v>39.166666665114462</v>
      </c>
      <c r="O26" s="7"/>
      <c r="P26" s="7"/>
      <c r="Q26" s="22"/>
      <c r="R26" s="167"/>
      <c r="S26" s="210">
        <f t="shared" si="3"/>
        <v>1</v>
      </c>
      <c r="T26" s="192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-09-08T04:53:29-0600',mode:absolute,to:'2017-09-08T07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6" s="194" t="str">
        <f>IF(AA26&lt;VLOOKUP(AG26,Variables!$AC$3:$AD$8,2,FALSE),"Y","N")</f>
        <v>N</v>
      </c>
      <c r="X26" s="194">
        <f t="shared" si="6"/>
        <v>1</v>
      </c>
      <c r="Y26" s="194">
        <f t="shared" si="7"/>
        <v>23.293199999999999</v>
      </c>
      <c r="Z26" s="194">
        <f t="shared" si="8"/>
        <v>1.49E-2</v>
      </c>
      <c r="AA26" s="194">
        <f t="shared" si="9"/>
        <v>23.278299999999998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10"/>
        <v>114</v>
      </c>
      <c r="AE26" s="77" t="str">
        <f t="shared" si="11"/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AF26" s="74" t="str">
        <f t="shared" si="12"/>
        <v>"C:\Program Files (x86)\AstroGrep\AstroGrep.exe" /e /r /s /spath="%USERPROFILE%\AppData\Local\Temp\OnboardLogs" /stypes="app*4057*20170908*" /stext=" 12:.+((SYSTEM_STATE.+slice.+state.+changed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78" t="str">
        <f t="shared" si="18"/>
        <v>"%USERPROFILE%\Documents\GitHub\eaglep3\Utilities\RefineRTDCRunTimes.py" --tripid 114-08 --locoid 4057 --swversion DE.1.0.9.0 --startMP 204:232932 --initTime 2017-09-08T05:53:29 --startdatetime 2017-09-08T06:12:36 --delay 831 --endMP 204:149 --enddatetime 2017-09-08T06:51:46 --enforcementcount 0 &gt;&gt;C:\Users\stu\Documents\GitHub\eaglep3-reporting\EC\2017-09-08-refined-times.txt</v>
      </c>
      <c r="AI26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{"issue":{"subject":"","project_id":79,"tracker_id":40,"status_id":1,"priority_id":2,"assigned_to_id":338,"start_date":"2017-09-08","description":"","custom_fields":[{"id":1,"name":"Subdivision","value":"EC"},{"id":4,"name":"Milepost","value":"0.0149"},{"id":17,"name":"Train ID","value":"114-08"},{"id":16,"name":"Locomotive ID","value":"4057"},{"id":130,"name":"Impact","value":""},{"id":150,"name":"Time of Event (Mountain Time)","value":"06:51:46"},{"id":151,"name":"Denver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4057 --day 2017-09-08</v>
      </c>
      <c r="AN26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662</v>
      </c>
      <c r="B27" s="7">
        <v>4062</v>
      </c>
      <c r="C27" s="21" t="s">
        <v>197</v>
      </c>
      <c r="D27" s="21" t="s">
        <v>337</v>
      </c>
      <c r="E27" s="13">
        <v>42986.226342592592</v>
      </c>
      <c r="F27" s="13">
        <v>42986.229409722226</v>
      </c>
      <c r="G27" s="7">
        <v>45</v>
      </c>
      <c r="H27" s="21" t="s">
        <v>429</v>
      </c>
      <c r="I27" s="13">
        <v>42986.254837962966</v>
      </c>
      <c r="J27" s="7">
        <v>0</v>
      </c>
      <c r="K27" s="89" t="str">
        <f t="shared" si="0"/>
        <v>4061/4062</v>
      </c>
      <c r="L27" s="214" t="str">
        <f>VLOOKUP(A27,'Trips&amp;Operators'!$C$1:$G$99911,5,FALSE)</f>
        <v>MAELZER KURT</v>
      </c>
      <c r="M27" s="6">
        <f t="shared" si="1"/>
        <v>2.5428240740438923E-2</v>
      </c>
      <c r="N27" s="7">
        <f t="shared" si="2"/>
        <v>36.616666666232049</v>
      </c>
      <c r="O27" s="7"/>
      <c r="P27" s="7"/>
      <c r="Q27" s="22"/>
      <c r="R27" s="167"/>
      <c r="S27" s="210">
        <f t="shared" si="3"/>
        <v>1</v>
      </c>
      <c r="T27" s="192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-09-08T04:25:56-0600',mode:absolute,to:'2017-09-08T07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7" s="194" t="str">
        <f>IF(AA27&lt;VLOOKUP(AG27,Variables!$AC$3:$AD$8,2,FALSE),"Y","N")</f>
        <v>N</v>
      </c>
      <c r="X27" s="194">
        <f t="shared" si="6"/>
        <v>1</v>
      </c>
      <c r="Y27" s="194">
        <f t="shared" si="7"/>
        <v>4.4600000000000001E-2</v>
      </c>
      <c r="Z27" s="194">
        <f t="shared" si="8"/>
        <v>23.3308</v>
      </c>
      <c r="AA27" s="194">
        <f t="shared" si="9"/>
        <v>23.286200000000001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10"/>
        <v>115</v>
      </c>
      <c r="AE27" s="77" t="str">
        <f t="shared" si="11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27" s="74" t="str">
        <f t="shared" si="12"/>
        <v>"C:\Program Files (x86)\AstroGrep\AstroGrep.exe" /e /r /s /spath="%USERPROFILE%\AppData\Local\Temp\OnboardLogs" /stypes="app*4062*20170908*" /stext=" 12:.+((SYSTEM_STATE.+slice.+state.+changed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78" t="str">
        <f t="shared" si="18"/>
        <v>"%USERPROFILE%\Documents\GitHub\eaglep3\Utilities\RefineRTDCRunTimes.py" --tripid 115-08 --locoid 4062 --swversion DE.1.0.9.0 --startMP 204:446 --initTime 2017-09-08T05:25:56 --startdatetime 2017-09-08T05:30:21 --delay 45 --endMP 204:233308 --enddatetime 2017-09-08T06:06:58 --enforcementcount 0 &gt;&gt;C:\Users\stu\Documents\GitHub\eaglep3-reporting\EC\2017-09-08-refined-times.txt</v>
      </c>
      <c r="AI27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{"issue":{"subject":"","project_id":79,"tracker_id":40,"status_id":1,"priority_id":2,"assigned_to_id":338,"start_date":"2017-09-08","description":"","custom_fields":[{"id":1,"name":"Subdivision","value":"EC"},{"id":4,"name":"Milepost","value":"23.3308"},{"id":17,"name":"Train ID","value":"115-08"},{"id":16,"name":"Locomotive ID","value":"4062"},{"id":130,"name":"Impact","value":""},{"id":150,"name":"Time of Event (Mountain Time)","value":"06:06:58"},{"id":151,"name":"Denver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4062 --day 2017-09-08</v>
      </c>
      <c r="AN27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677</v>
      </c>
      <c r="B28" s="7">
        <v>4061</v>
      </c>
      <c r="C28" s="21" t="s">
        <v>197</v>
      </c>
      <c r="D28" s="21" t="s">
        <v>571</v>
      </c>
      <c r="E28" s="13">
        <v>42986.264328703706</v>
      </c>
      <c r="F28" s="13">
        <v>42986.268969907411</v>
      </c>
      <c r="G28" s="7">
        <v>70</v>
      </c>
      <c r="H28" s="21" t="s">
        <v>342</v>
      </c>
      <c r="I28" s="13">
        <v>42986.295208333337</v>
      </c>
      <c r="J28" s="7">
        <v>0</v>
      </c>
      <c r="K28" s="89" t="str">
        <f t="shared" si="0"/>
        <v>4061/4062</v>
      </c>
      <c r="L28" s="214" t="str">
        <f>VLOOKUP(A28,'Trips&amp;Operators'!$C$1:$G$99911,5,FALSE)</f>
        <v>MAELZER KURT</v>
      </c>
      <c r="M28" s="6">
        <f t="shared" si="1"/>
        <v>2.6238425925839692E-2</v>
      </c>
      <c r="N28" s="7">
        <f t="shared" si="2"/>
        <v>37.783333333209157</v>
      </c>
      <c r="O28" s="7"/>
      <c r="P28" s="7"/>
      <c r="Q28" s="22"/>
      <c r="R28" s="167"/>
      <c r="S28" s="210">
        <f t="shared" si="3"/>
        <v>1</v>
      </c>
      <c r="T28" s="192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-09-08T05:20:38-0600',mode:absolute,to:'2017-09-08T08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8" s="194" t="str">
        <f>IF(AA28&lt;VLOOKUP(AG28,Variables!$AC$3:$AD$8,2,FALSE),"Y","N")</f>
        <v>N</v>
      </c>
      <c r="X28" s="194">
        <f t="shared" si="6"/>
        <v>1</v>
      </c>
      <c r="Y28" s="194">
        <f t="shared" si="7"/>
        <v>23.299600000000002</v>
      </c>
      <c r="Z28" s="194">
        <f t="shared" si="8"/>
        <v>1.41E-2</v>
      </c>
      <c r="AA28" s="194">
        <f t="shared" si="9"/>
        <v>23.285500000000003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10"/>
        <v>116</v>
      </c>
      <c r="AE28" s="77" t="str">
        <f t="shared" si="11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28" s="74" t="str">
        <f t="shared" si="12"/>
        <v>"C:\Program Files (x86)\AstroGrep\AstroGrep.exe" /e /r /s /spath="%USERPROFILE%\AppData\Local\Temp\OnboardLogs" /stypes="app*4061*20170908*" /stext=" 13:.+((SYSTEM_STATE.+slice.+state.+changed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78" t="str">
        <f t="shared" si="18"/>
        <v>"%USERPROFILE%\Documents\GitHub\eaglep3\Utilities\RefineRTDCRunTimes.py" --tripid 116-08 --locoid 4061 --swversion DE.1.0.9.0 --startMP 204:232996 --initTime 2017-09-08T06:20:38 --startdatetime 2017-09-08T06:27:19 --delay 70 --endMP 204:141 --enddatetime 2017-09-08T07:05:06 --enforcementcount 0 &gt;&gt;C:\Users\stu\Documents\GitHub\eaglep3-reporting\EC\2017-09-08-refined-times.txt</v>
      </c>
      <c r="AI28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{"issue":{"subject":"","project_id":79,"tracker_id":40,"status_id":1,"priority_id":2,"assigned_to_id":338,"start_date":"2017-09-08","description":"","custom_fields":[{"id":1,"name":"Subdivision","value":"EC"},{"id":4,"name":"Milepost","value":"0.0141"},{"id":17,"name":"Train ID","value":"116-08"},{"id":16,"name":"Locomotive ID","value":"4061"},{"id":130,"name":"Impact","value":""},{"id":150,"name":"Time of Event (Mountain Time)","value":"07:05:06"},{"id":151,"name":"Denver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4061 --day 2017-09-08</v>
      </c>
      <c r="AN28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666</v>
      </c>
      <c r="B29" s="7">
        <v>4032</v>
      </c>
      <c r="C29" s="21" t="s">
        <v>197</v>
      </c>
      <c r="D29" s="21" t="s">
        <v>366</v>
      </c>
      <c r="E29" s="13">
        <v>42986.234027777777</v>
      </c>
      <c r="F29" s="13">
        <v>42986.239814814813</v>
      </c>
      <c r="G29" s="7">
        <v>77</v>
      </c>
      <c r="H29" s="21" t="s">
        <v>858</v>
      </c>
      <c r="I29" s="13">
        <v>42986.264490740738</v>
      </c>
      <c r="J29" s="7">
        <v>0</v>
      </c>
      <c r="K29" s="89" t="str">
        <f t="shared" si="0"/>
        <v>4031/4032</v>
      </c>
      <c r="L29" s="214" t="str">
        <f>VLOOKUP(A29,'Trips&amp;Operators'!$C$1:$G$99911,5,FALSE)</f>
        <v>GUNTHIER ERIC</v>
      </c>
      <c r="M29" s="6">
        <f t="shared" si="1"/>
        <v>2.4675925924384501E-2</v>
      </c>
      <c r="N29" s="7">
        <f t="shared" si="2"/>
        <v>35.533333331113681</v>
      </c>
      <c r="O29" s="7"/>
      <c r="P29" s="7"/>
      <c r="Q29" s="22"/>
      <c r="R29" s="167"/>
      <c r="S29" s="210">
        <f t="shared" si="3"/>
        <v>1</v>
      </c>
      <c r="T29" s="192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-09-08T04:37:00-0600',mode:absolute,to:'2017-09-08T07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9" s="194" t="str">
        <f>IF(AA29&lt;VLOOKUP(AG29,Variables!$AC$3:$AD$8,2,FALSE),"Y","N")</f>
        <v>N</v>
      </c>
      <c r="X29" s="194">
        <f t="shared" si="6"/>
        <v>1</v>
      </c>
      <c r="Y29" s="194">
        <f t="shared" si="7"/>
        <v>4.6399999999999997E-2</v>
      </c>
      <c r="Z29" s="194">
        <f t="shared" si="8"/>
        <v>23.329699999999999</v>
      </c>
      <c r="AA29" s="194">
        <f t="shared" si="9"/>
        <v>23.283300000000001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10"/>
        <v>117</v>
      </c>
      <c r="AE29" s="77" t="str">
        <f t="shared" si="11"/>
        <v>aws s3 cp s3://rtdc.mdm.uploadarchive.raw/RTDC4032/ "%USERPROFILE%\AppData\Local\Temp\OnboardLogs"\RTDC4032\2017-09-08 --exclude "*" --recursive --include "*20170908*" &amp; "%USERPROFILE%\Documents\GitHub\mrs-test-scripts\Headless Mode &amp; Sideloading\WalkAndUnGZ.bat" "%USERPROFILE%\AppData\Local\Temp\OnboardLogs"\RTDC4032\2017-09-08 &amp; aws s3 cp s3://rtdc.mdm.uploadarchive.raw/RTDC4032/ "%USERPROFILE%\AppData\Local\Temp\OnboardLogs"\RTDC4032\2017-09-09 --exclude "*" --recursive --include "*20170909*" &amp; "%USERPROFILE%\Documents\GitHub\mrs-test-scripts\Headless Mode &amp; Sideloading\WalkAndUnGZ.bat" "%USERPROFILE%\AppData\Local\Temp\OnboardLogs"\RTDC4032\2017-09-09</v>
      </c>
      <c r="AF29" s="74" t="str">
        <f t="shared" si="12"/>
        <v>"C:\Program Files (x86)\AstroGrep\AstroGrep.exe" /e /r /s /spath="%USERPROFILE%\AppData\Local\Temp\OnboardLogs" /stypes="app*4032*20170908*" /stext=" 12:.+((SYSTEM_STATE.+slice.+state.+changed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78" t="str">
        <f t="shared" si="18"/>
        <v>"%USERPROFILE%\Documents\GitHub\eaglep3\Utilities\RefineRTDCRunTimes.py" --tripid 117-08 --locoid 4032 --swversion DE.1.0.9.0 --startMP 204:464 --initTime 2017-09-08T05:37:00 --startdatetime 2017-09-08T05:45:20 --delay 77 --endMP 204:233297 --enddatetime 2017-09-08T06:20:52 --enforcementcount 0 &gt;&gt;C:\Users\stu\Documents\GitHub\eaglep3-reporting\EC\2017-09-08-refined-times.txt</v>
      </c>
      <c r="AI29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{"issue":{"subject":"","project_id":79,"tracker_id":40,"status_id":1,"priority_id":2,"assigned_to_id":338,"start_date":"2017-09-08","description":"","custom_fields":[{"id":1,"name":"Subdivision","value":"EC"},{"id":4,"name":"Milepost","value":"23.3297"},{"id":17,"name":"Train ID","value":"117-08"},{"id":16,"name":"Locomotive ID","value":"4032"},{"id":130,"name":"Impact","value":""},{"id":150,"name":"Time of Event (Mountain Time)","value":"06:20:52"},{"id":151,"name":"Denver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4032 --day 2017-09-08</v>
      </c>
      <c r="AN29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601</v>
      </c>
      <c r="B30" s="7">
        <v>4031</v>
      </c>
      <c r="C30" s="21" t="s">
        <v>197</v>
      </c>
      <c r="D30" s="21" t="s">
        <v>417</v>
      </c>
      <c r="E30" s="13">
        <v>42986.268750000003</v>
      </c>
      <c r="F30" s="13">
        <v>42986.279479166667</v>
      </c>
      <c r="G30" s="7">
        <v>689</v>
      </c>
      <c r="H30" s="21" t="s">
        <v>374</v>
      </c>
      <c r="I30" s="13">
        <v>42986.306886574072</v>
      </c>
      <c r="J30" s="7">
        <v>0</v>
      </c>
      <c r="K30" s="89" t="str">
        <f t="shared" si="0"/>
        <v>4031/4032</v>
      </c>
      <c r="L30" s="214" t="str">
        <f>VLOOKUP(A30,'Trips&amp;Operators'!$C$1:$G$99911,5,FALSE)</f>
        <v>GUNTHIER ERIC</v>
      </c>
      <c r="M30" s="6">
        <f t="shared" si="1"/>
        <v>2.7407407404098194E-2</v>
      </c>
      <c r="N30" s="7">
        <f t="shared" si="2"/>
        <v>39.466666661901399</v>
      </c>
      <c r="O30" s="7"/>
      <c r="P30" s="7"/>
      <c r="Q30" s="22"/>
      <c r="R30" s="167"/>
      <c r="S30" s="210">
        <f t="shared" si="3"/>
        <v>1</v>
      </c>
      <c r="T30" s="192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-09-08T05:27:00-0600',mode:absolute,to:'2017-09-08T08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194" t="str">
        <f>IF(AA30&lt;VLOOKUP(AG30,Variables!$AC$3:$AD$8,2,FALSE),"Y","N")</f>
        <v>N</v>
      </c>
      <c r="X30" s="194">
        <f t="shared" si="6"/>
        <v>1</v>
      </c>
      <c r="Y30" s="194">
        <f t="shared" si="7"/>
        <v>23.297499999999999</v>
      </c>
      <c r="Z30" s="194">
        <f t="shared" si="8"/>
        <v>1.5599999999999999E-2</v>
      </c>
      <c r="AA30" s="194">
        <f t="shared" si="9"/>
        <v>23.2819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10"/>
        <v>118</v>
      </c>
      <c r="AE30" s="77" t="str">
        <f t="shared" si="11"/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AF30" s="74" t="str">
        <f t="shared" si="12"/>
        <v>"C:\Program Files (x86)\AstroGrep\AstroGrep.exe" /e /r /s /spath="%USERPROFILE%\AppData\Local\Temp\OnboardLogs" /stypes="app*4031*20170908*" /stext=" 13:.+((SYSTEM_STATE.+slice.+state.+changed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78" t="str">
        <f t="shared" si="18"/>
        <v>"%USERPROFILE%\Documents\GitHub\eaglep3\Utilities\RefineRTDCRunTimes.py" --tripid 118-08 --locoid 4031 --swversion DE.1.0.9.0 --startMP 204:232975 --initTime 2017-09-08T06:27:00 --startdatetime 2017-09-08T06:42:27 --delay 689 --endMP 204:156 --enddatetime 2017-09-08T07:21:55 --enforcementcount 0 &gt;&gt;C:\Users\stu\Documents\GitHub\eaglep3-reporting\EC\2017-09-08-refined-times.txt</v>
      </c>
      <c r="AI30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{"issue":{"subject":"","project_id":79,"tracker_id":40,"status_id":1,"priority_id":2,"assigned_to_id":338,"start_date":"2017-09-08","description":"","custom_fields":[{"id":1,"name":"Subdivision","value":"EC"},{"id":4,"name":"Milepost","value":"0.0156"},{"id":17,"name":"Train ID","value":"118-08"},{"id":16,"name":"Locomotive ID","value":"4031"},{"id":130,"name":"Impact","value":""},{"id":150,"name":"Time of Event (Mountain Time)","value":"07:21:55"},{"id":151,"name":"Denver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4031 --day 2017-09-08</v>
      </c>
      <c r="AN30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670</v>
      </c>
      <c r="B31" s="7">
        <v>4006</v>
      </c>
      <c r="C31" s="21" t="s">
        <v>197</v>
      </c>
      <c r="D31" s="21" t="s">
        <v>580</v>
      </c>
      <c r="E31" s="13">
        <v>42986.246620370373</v>
      </c>
      <c r="F31" s="13">
        <v>42986.25037037037</v>
      </c>
      <c r="G31" s="7">
        <v>75</v>
      </c>
      <c r="H31" s="21" t="s">
        <v>429</v>
      </c>
      <c r="I31" s="13">
        <v>42986.276331018518</v>
      </c>
      <c r="J31" s="7">
        <v>0</v>
      </c>
      <c r="K31" s="89" t="str">
        <f t="shared" si="0"/>
        <v>4005/4006</v>
      </c>
      <c r="L31" s="214" t="str">
        <f>VLOOKUP(A31,'Trips&amp;Operators'!$C$1:$G$99911,5,FALSE)</f>
        <v>LANGERAK WILLIAM</v>
      </c>
      <c r="M31" s="6">
        <f t="shared" si="1"/>
        <v>2.5960648148611654E-2</v>
      </c>
      <c r="N31" s="7">
        <f t="shared" si="2"/>
        <v>37.383333334000781</v>
      </c>
      <c r="O31" s="7"/>
      <c r="P31" s="7"/>
      <c r="Q31" s="22"/>
      <c r="R31" s="167"/>
      <c r="S31" s="210">
        <f t="shared" si="3"/>
        <v>1</v>
      </c>
      <c r="T31" s="192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-09-08T04:55:08-0600',mode:absolute,to:'2017-09-08T07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94" t="str">
        <f>IF(AA31&lt;VLOOKUP(AG31,Variables!$AC$3:$AD$8,2,FALSE),"Y","N")</f>
        <v>N</v>
      </c>
      <c r="X31" s="194">
        <f t="shared" si="6"/>
        <v>1</v>
      </c>
      <c r="Y31" s="194">
        <f t="shared" si="7"/>
        <v>4.4400000000000002E-2</v>
      </c>
      <c r="Z31" s="194">
        <f t="shared" si="8"/>
        <v>23.3308</v>
      </c>
      <c r="AA31" s="194">
        <f t="shared" si="9"/>
        <v>23.2864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10"/>
        <v>119</v>
      </c>
      <c r="AE31" s="77" t="str">
        <f t="shared" si="11"/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AF31" s="74" t="str">
        <f t="shared" si="12"/>
        <v>"C:\Program Files (x86)\AstroGrep\AstroGrep.exe" /e /r /s /spath="%USERPROFILE%\AppData\Local\Temp\OnboardLogs" /stypes="app*4006*20170908*" /stext=" 12:.+((SYSTEM_STATE.+slice.+state.+changed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78" t="str">
        <f t="shared" si="18"/>
        <v>"%USERPROFILE%\Documents\GitHub\eaglep3\Utilities\RefineRTDCRunTimes.py" --tripid 119-08 --locoid 4006 --swversion DE.1.0.9.0 --startMP 204:444 --initTime 2017-09-08T05:55:08 --startdatetime 2017-09-08T06:00:32 --delay 75 --endMP 204:233308 --enddatetime 2017-09-08T06:37:55 --enforcementcount 0 &gt;&gt;C:\Users\stu\Documents\GitHub\eaglep3-reporting\EC\2017-09-08-refined-times.txt</v>
      </c>
      <c r="AI31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{"issue":{"subject":"","project_id":79,"tracker_id":40,"status_id":1,"priority_id":2,"assigned_to_id":338,"start_date":"2017-09-08","description":"","custom_fields":[{"id":1,"name":"Subdivision","value":"EC"},{"id":4,"name":"Milepost","value":"23.3308"},{"id":17,"name":"Train ID","value":"119-08"},{"id":16,"name":"Locomotive ID","value":"4006"},{"id":130,"name":"Impact","value":""},{"id":150,"name":"Time of Event (Mountain Time)","value":"06:37:55"},{"id":151,"name":"Denver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4006 --day 2017-09-08</v>
      </c>
      <c r="AN31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681</v>
      </c>
      <c r="B32" s="7">
        <v>4005</v>
      </c>
      <c r="C32" s="21" t="s">
        <v>197</v>
      </c>
      <c r="D32" s="21" t="s">
        <v>529</v>
      </c>
      <c r="E32" s="13">
        <v>42986.278124999997</v>
      </c>
      <c r="F32" s="13">
        <v>42986.28979166667</v>
      </c>
      <c r="G32" s="7">
        <v>79</v>
      </c>
      <c r="H32" s="21" t="s">
        <v>409</v>
      </c>
      <c r="I32" s="13">
        <v>42986.31722222222</v>
      </c>
      <c r="J32" s="7">
        <v>0</v>
      </c>
      <c r="K32" s="89" t="str">
        <f t="shared" si="0"/>
        <v>4005/4006</v>
      </c>
      <c r="L32" s="214" t="str">
        <f>VLOOKUP(A32,'Trips&amp;Operators'!$C$1:$G$99911,5,FALSE)</f>
        <v>LANGERAK WILLIAM</v>
      </c>
      <c r="M32" s="6">
        <f t="shared" si="1"/>
        <v>2.7430555550381541E-2</v>
      </c>
      <c r="N32" s="7">
        <f t="shared" si="2"/>
        <v>39.499999992549419</v>
      </c>
      <c r="O32" s="7"/>
      <c r="P32" s="7"/>
      <c r="Q32" s="22"/>
      <c r="R32" s="167"/>
      <c r="S32" s="210">
        <f t="shared" si="3"/>
        <v>1</v>
      </c>
      <c r="T32" s="192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-09-08T05:40:30-0600',mode:absolute,to:'2017-09-08T08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94" t="str">
        <f>IF(AA32&lt;VLOOKUP(AG32,Variables!$AC$3:$AD$8,2,FALSE),"Y","N")</f>
        <v>N</v>
      </c>
      <c r="X32" s="194">
        <f t="shared" si="6"/>
        <v>1</v>
      </c>
      <c r="Y32" s="194">
        <f t="shared" si="7"/>
        <v>23.2987</v>
      </c>
      <c r="Z32" s="194">
        <f t="shared" si="8"/>
        <v>1.5800000000000002E-2</v>
      </c>
      <c r="AA32" s="194">
        <f t="shared" si="9"/>
        <v>23.282900000000001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 t="shared" si="10"/>
        <v>120</v>
      </c>
      <c r="AE32" s="77" t="str">
        <f t="shared" si="11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32" s="74" t="str">
        <f t="shared" si="12"/>
        <v>"C:\Program Files (x86)\AstroGrep\AstroGrep.exe" /e /r /s /spath="%USERPROFILE%\AppData\Local\Temp\OnboardLogs" /stypes="app*4005*20170908*" /stext=" 13:.+((SYSTEM_STATE.+slice.+state.+changed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78" t="str">
        <f t="shared" si="18"/>
        <v>"%USERPROFILE%\Documents\GitHub\eaglep3\Utilities\RefineRTDCRunTimes.py" --tripid 120-08 --locoid 4005 --swversion DE.1.0.9.0 --startMP 204:232987 --initTime 2017-09-08T06:40:30 --startdatetime 2017-09-08T06:57:18 --delay 79 --endMP 204:158 --enddatetime 2017-09-08T07:36:48 --enforcementcount 0 &gt;&gt;C:\Users\stu\Documents\GitHub\eaglep3-reporting\EC\2017-09-08-refined-times.txt</v>
      </c>
      <c r="AI32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{"issue":{"subject":"","project_id":79,"tracker_id":40,"status_id":1,"priority_id":2,"assigned_to_id":338,"start_date":"2017-09-08","description":"","custom_fields":[{"id":1,"name":"Subdivision","value":"EC"},{"id":4,"name":"Milepost","value":"0.0158"},{"id":17,"name":"Train ID","value":"120-08"},{"id":16,"name":"Locomotive ID","value":"4005"},{"id":130,"name":"Impact","value":""},{"id":150,"name":"Time of Event (Mountain Time)","value":"07:36:48"},{"id":151,"name":"Denver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4005 --day 2017-09-08</v>
      </c>
      <c r="AN32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676</v>
      </c>
      <c r="B33" s="7">
        <v>4034</v>
      </c>
      <c r="C33" s="21" t="s">
        <v>197</v>
      </c>
      <c r="D33" s="21" t="s">
        <v>385</v>
      </c>
      <c r="E33" s="13">
        <v>42986.255648148152</v>
      </c>
      <c r="F33" s="13">
        <v>42986.260601851849</v>
      </c>
      <c r="G33" s="7">
        <v>60</v>
      </c>
      <c r="H33" s="21" t="s">
        <v>859</v>
      </c>
      <c r="I33" s="13">
        <v>42986.285682870373</v>
      </c>
      <c r="J33" s="7">
        <v>0</v>
      </c>
      <c r="K33" s="89" t="str">
        <f t="shared" si="0"/>
        <v>4033/4034</v>
      </c>
      <c r="L33" s="214" t="str">
        <f>VLOOKUP(A33,'Trips&amp;Operators'!$C$1:$G$99911,5,FALSE)</f>
        <v>BARRON PERLA</v>
      </c>
      <c r="M33" s="6">
        <f t="shared" si="1"/>
        <v>2.5081018524360843E-2</v>
      </c>
      <c r="N33" s="7">
        <f t="shared" si="2"/>
        <v>36.116666675079614</v>
      </c>
      <c r="O33" s="7"/>
      <c r="P33" s="7"/>
      <c r="Q33" s="22"/>
      <c r="R33" s="167"/>
      <c r="S33" s="210">
        <f t="shared" si="3"/>
        <v>1</v>
      </c>
      <c r="T33" s="192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-09-08T05:08:08-0600',mode:absolute,to:'2017-09-08T07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3" s="194" t="str">
        <f>IF(AA33&lt;VLOOKUP(AG33,Variables!$AC$3:$AD$8,2,FALSE),"Y","N")</f>
        <v>N</v>
      </c>
      <c r="X33" s="194">
        <f t="shared" si="6"/>
        <v>1</v>
      </c>
      <c r="Y33" s="194">
        <f t="shared" si="7"/>
        <v>4.6899999999999997E-2</v>
      </c>
      <c r="Z33" s="194">
        <f t="shared" si="8"/>
        <v>23.328600000000002</v>
      </c>
      <c r="AA33" s="194">
        <f t="shared" si="9"/>
        <v>23.281700000000001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10"/>
        <v>121</v>
      </c>
      <c r="AE33" s="77" t="str">
        <f t="shared" si="11"/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AF33" s="74" t="str">
        <f t="shared" si="12"/>
        <v>"C:\Program Files (x86)\AstroGrep\AstroGrep.exe" /e /r /s /spath="%USERPROFILE%\AppData\Local\Temp\OnboardLogs" /stypes="app*4034*20170908*" /stext=" 12:.+((SYSTEM_STATE.+slice.+state.+changed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78" t="str">
        <f t="shared" si="18"/>
        <v>"%USERPROFILE%\Documents\GitHub\eaglep3\Utilities\RefineRTDCRunTimes.py" --tripid 121-08 --locoid 4034 --swversion DE.1.0.9.0 --startMP 204:469 --initTime 2017-09-08T06:08:08 --startdatetime 2017-09-08T06:15:16 --delay 60 --endMP 204:233286 --enddatetime 2017-09-08T06:51:23 --enforcementcount 0 &gt;&gt;C:\Users\stu\Documents\GitHub\eaglep3-reporting\EC\2017-09-08-refined-times.txt</v>
      </c>
      <c r="AI33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{"issue":{"subject":"","project_id":79,"tracker_id":40,"status_id":1,"priority_id":2,"assigned_to_id":338,"start_date":"2017-09-08","description":"","custom_fields":[{"id":1,"name":"Subdivision","value":"EC"},{"id":4,"name":"Milepost","value":"23.3286"},{"id":17,"name":"Train ID","value":"121-08"},{"id":16,"name":"Locomotive ID","value":"4034"},{"id":130,"name":"Impact","value":""},{"id":150,"name":"Time of Event (Mountain Time)","value":"06:51:23"},{"id":151,"name":"Denver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4034 --day 2017-09-08</v>
      </c>
      <c r="AN33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687</v>
      </c>
      <c r="B34" s="7">
        <v>4033</v>
      </c>
      <c r="C34" s="21" t="s">
        <v>197</v>
      </c>
      <c r="D34" s="21" t="s">
        <v>860</v>
      </c>
      <c r="E34" s="13">
        <v>42986.297060185185</v>
      </c>
      <c r="F34" s="13">
        <v>42986.300185185188</v>
      </c>
      <c r="G34" s="7">
        <v>72</v>
      </c>
      <c r="H34" s="21" t="s">
        <v>409</v>
      </c>
      <c r="I34" s="13">
        <v>42986.32880787037</v>
      </c>
      <c r="J34" s="7">
        <v>0</v>
      </c>
      <c r="K34" s="89" t="str">
        <f t="shared" si="0"/>
        <v>4033/4034</v>
      </c>
      <c r="L34" s="214" t="str">
        <f>VLOOKUP(A34,'Trips&amp;Operators'!$C$1:$G$99911,5,FALSE)</f>
        <v>BARRON PERLA</v>
      </c>
      <c r="M34" s="6">
        <f t="shared" si="1"/>
        <v>2.8622685182199348E-2</v>
      </c>
      <c r="N34" s="7">
        <f t="shared" si="2"/>
        <v>41.216666662367061</v>
      </c>
      <c r="O34" s="7"/>
      <c r="P34" s="7"/>
      <c r="Q34" s="22"/>
      <c r="R34" s="167"/>
      <c r="S34" s="210">
        <f t="shared" si="3"/>
        <v>1</v>
      </c>
      <c r="T34" s="192" t="str">
        <f t="shared" si="4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-09-08T06:07:46-0600',mode:absolute,to:'2017-09-08T08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4" s="194" t="str">
        <f>IF(AA34&lt;VLOOKUP(AG34,Variables!$AC$3:$AD$8,2,FALSE),"Y","N")</f>
        <v>N</v>
      </c>
      <c r="X34" s="194">
        <f t="shared" si="6"/>
        <v>1</v>
      </c>
      <c r="Y34" s="194">
        <f t="shared" si="7"/>
        <v>23.295300000000001</v>
      </c>
      <c r="Z34" s="194">
        <f t="shared" si="8"/>
        <v>1.5800000000000002E-2</v>
      </c>
      <c r="AA34" s="194">
        <f t="shared" si="9"/>
        <v>23.279500000000002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10"/>
        <v>122</v>
      </c>
      <c r="AE34" s="77" t="str">
        <f t="shared" si="11"/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34" s="74" t="str">
        <f t="shared" si="12"/>
        <v>"C:\Program Files (x86)\AstroGrep\AstroGrep.exe" /e /r /s /spath="%USERPROFILE%\AppData\Local\Temp\OnboardLogs" /stypes="app*4033*20170908*" /stext=" 13:.+((SYSTEM_STATE.+slice.+state.+changed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78" t="str">
        <f t="shared" si="18"/>
        <v>"%USERPROFILE%\Documents\GitHub\eaglep3\Utilities\RefineRTDCRunTimes.py" --tripid 122-08 --locoid 4033 --swversion DE.1.0.9.0 --startMP 204:232953 --initTime 2017-09-08T07:07:46 --startdatetime 2017-09-08T07:12:16 --delay 72 --endMP 204:158 --enddatetime 2017-09-08T07:53:29 --enforcementcount 0 &gt;&gt;C:\Users\stu\Documents\GitHub\eaglep3-reporting\EC\2017-09-08-refined-times.txt</v>
      </c>
      <c r="AI34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{"issue":{"subject":"","project_id":79,"tracker_id":40,"status_id":1,"priority_id":2,"assigned_to_id":338,"start_date":"2017-09-08","description":"","custom_fields":[{"id":1,"name":"Subdivision","value":"EC"},{"id":4,"name":"Milepost","value":"0.0158"},{"id":17,"name":"Train ID","value":"122-08"},{"id":16,"name":"Locomotive ID","value":"4033"},{"id":130,"name":"Impact","value":""},{"id":150,"name":"Time of Event (Mountain Time)","value":"07:53:29"},{"id":151,"name":"Denver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4033 --day 2017-09-08</v>
      </c>
      <c r="AN34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600</v>
      </c>
      <c r="B35" s="7">
        <v>4044</v>
      </c>
      <c r="C35" s="21" t="s">
        <v>197</v>
      </c>
      <c r="D35" s="21" t="s">
        <v>362</v>
      </c>
      <c r="E35" s="13">
        <v>42986.26734953704</v>
      </c>
      <c r="F35" s="13">
        <v>42986.270995370367</v>
      </c>
      <c r="G35" s="7">
        <v>59</v>
      </c>
      <c r="H35" s="21" t="s">
        <v>861</v>
      </c>
      <c r="I35" s="13">
        <v>42986.296736111108</v>
      </c>
      <c r="J35" s="7">
        <v>0</v>
      </c>
      <c r="K35" s="89" t="str">
        <f t="shared" si="0"/>
        <v>4043/4044</v>
      </c>
      <c r="L35" s="214" t="str">
        <f>VLOOKUP(A35,'Trips&amp;Operators'!$C$1:$G$99911,5,FALSE)</f>
        <v>DAVIS WENDY</v>
      </c>
      <c r="M35" s="6">
        <f t="shared" si="1"/>
        <v>2.5740740740729962E-2</v>
      </c>
      <c r="N35" s="7">
        <f t="shared" si="2"/>
        <v>37.066666666651145</v>
      </c>
      <c r="O35" s="7"/>
      <c r="P35" s="7"/>
      <c r="Q35" s="22"/>
      <c r="R35" s="167"/>
      <c r="S35" s="210">
        <f t="shared" si="3"/>
        <v>1</v>
      </c>
      <c r="T35" s="192" t="str">
        <f t="shared" si="4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-09-08T05:24:59-0600',mode:absolute,to:'2017-09-08T08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194" t="str">
        <f>IF(AA35&lt;VLOOKUP(AG35,Variables!$AC$3:$AD$8,2,FALSE),"Y","N")</f>
        <v>N</v>
      </c>
      <c r="X35" s="194">
        <f t="shared" si="6"/>
        <v>1</v>
      </c>
      <c r="Y35" s="194">
        <f t="shared" si="7"/>
        <v>4.4900000000000002E-2</v>
      </c>
      <c r="Z35" s="194">
        <f t="shared" si="8"/>
        <v>23.328900000000001</v>
      </c>
      <c r="AA35" s="194">
        <f t="shared" si="9"/>
        <v>23.284000000000002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10"/>
        <v>123</v>
      </c>
      <c r="AE35" s="77" t="str">
        <f t="shared" si="11"/>
        <v>aws s3 cp s3://rtdc.mdm.uploadarchive.raw/RTDC4044/ "%USERPROFILE%\AppData\Local\Temp\OnboardLogs"\RTDC4044\2017-09-08 --exclude "*" --recursive --include "*20170908*" &amp; "%USERPROFILE%\Documents\GitHub\mrs-test-scripts\Headless Mode &amp; Sideloading\WalkAndUnGZ.bat" "%USERPROFILE%\AppData\Local\Temp\OnboardLogs"\RTDC4044\2017-09-08 &amp; 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</v>
      </c>
      <c r="AF35" s="74" t="str">
        <f t="shared" si="12"/>
        <v>"C:\Program Files (x86)\AstroGrep\AstroGrep.exe" /e /r /s /spath="%USERPROFILE%\AppData\Local\Temp\OnboardLogs" /stypes="app*4044*20170908*" /stext=" 13:.+((SYSTEM_STATE.+slice.+state.+changed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78" t="str">
        <f t="shared" si="18"/>
        <v>"%USERPROFILE%\Documents\GitHub\eaglep3\Utilities\RefineRTDCRunTimes.py" --tripid 123-08 --locoid 4044 --swversion DE.1.0.9.0 --startMP 204:449 --initTime 2017-09-08T06:24:59 --startdatetime 2017-09-08T06:30:14 --delay 59 --endMP 204:233289 --enddatetime 2017-09-08T07:07:18 --enforcementcount 0 &gt;&gt;C:\Users\stu\Documents\GitHub\eaglep3-reporting\EC\2017-09-08-refined-times.txt</v>
      </c>
      <c r="AI35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{"issue":{"subject":"","project_id":79,"tracker_id":40,"status_id":1,"priority_id":2,"assigned_to_id":338,"start_date":"2017-09-08","description":"","custom_fields":[{"id":1,"name":"Subdivision","value":"EC"},{"id":4,"name":"Milepost","value":"23.3289"},{"id":17,"name":"Train ID","value":"123-08"},{"id":16,"name":"Locomotive ID","value":"4044"},{"id":130,"name":"Impact","value":""},{"id":150,"name":"Time of Event (Mountain Time)","value":"07:07:18"},{"id":151,"name":"Denver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4044 --day 2017-09-08</v>
      </c>
      <c r="AN35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689</v>
      </c>
      <c r="B36" s="7">
        <v>4043</v>
      </c>
      <c r="C36" s="21" t="s">
        <v>197</v>
      </c>
      <c r="D36" s="21" t="s">
        <v>529</v>
      </c>
      <c r="E36" s="13">
        <v>42986.301736111112</v>
      </c>
      <c r="F36" s="13">
        <v>42986.310567129629</v>
      </c>
      <c r="G36" s="7">
        <v>56</v>
      </c>
      <c r="H36" s="21" t="s">
        <v>368</v>
      </c>
      <c r="I36" s="13">
        <v>42986.337476851855</v>
      </c>
      <c r="J36" s="7">
        <v>0</v>
      </c>
      <c r="K36" s="89" t="str">
        <f t="shared" si="0"/>
        <v>4043/4044</v>
      </c>
      <c r="L36" s="214" t="str">
        <f>VLOOKUP(A36,'Trips&amp;Operators'!$C$1:$G$99911,5,FALSE)</f>
        <v>DAVIS WENDY</v>
      </c>
      <c r="M36" s="6">
        <f t="shared" si="1"/>
        <v>2.6909722226264421E-2</v>
      </c>
      <c r="N36" s="7">
        <f t="shared" si="2"/>
        <v>38.750000005820766</v>
      </c>
      <c r="O36" s="7"/>
      <c r="P36" s="7"/>
      <c r="Q36" s="22"/>
      <c r="R36" s="167"/>
      <c r="S36" s="210">
        <f t="shared" si="3"/>
        <v>1</v>
      </c>
      <c r="T36" s="192" t="str">
        <f t="shared" si="4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-09-08T06:14:30-0600',mode:absolute,to:'2017-09-08T09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194" t="str">
        <f>IF(AA36&lt;VLOOKUP(AG36,Variables!$AC$3:$AD$8,2,FALSE),"Y","N")</f>
        <v>N</v>
      </c>
      <c r="X36" s="194">
        <f t="shared" si="6"/>
        <v>1</v>
      </c>
      <c r="Y36" s="194">
        <f t="shared" si="7"/>
        <v>23.2987</v>
      </c>
      <c r="Z36" s="194">
        <f t="shared" si="8"/>
        <v>1.4500000000000001E-2</v>
      </c>
      <c r="AA36" s="194">
        <f t="shared" si="9"/>
        <v>23.284199999999998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10"/>
        <v>124</v>
      </c>
      <c r="AE36" s="77" t="str">
        <f t="shared" si="11"/>
        <v>aws s3 cp s3://rtdc.mdm.uploadarchive.raw/RTDC4043/ "%USERPROFILE%\AppData\Local\Temp\OnboardLogs"\RTDC4043\2017-09-08 --exclude "*" --recursive --include "*20170908*" &amp; "%USERPROFILE%\Documents\GitHub\mrs-test-scripts\Headless Mode &amp; Sideloading\WalkAndUnGZ.bat" "%USERPROFILE%\AppData\Local\Temp\OnboardLogs"\RTDC4043\2017-09-08 &amp; 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</v>
      </c>
      <c r="AF36" s="74" t="str">
        <f t="shared" si="12"/>
        <v>"C:\Program Files (x86)\AstroGrep\AstroGrep.exe" /e /r /s /spath="%USERPROFILE%\AppData\Local\Temp\OnboardLogs" /stypes="app*4043*20170908*" /stext=" 14:.+((SYSTEM_STATE.+slice.+state.+changed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78" t="str">
        <f t="shared" si="18"/>
        <v>"%USERPROFILE%\Documents\GitHub\eaglep3\Utilities\RefineRTDCRunTimes.py" --tripid 124-08 --locoid 4043 --swversion DE.1.0.9.0 --startMP 204:232987 --initTime 2017-09-08T07:14:30 --startdatetime 2017-09-08T07:27:13 --delay 56 --endMP 204:145 --enddatetime 2017-09-08T08:05:58 --enforcementcount 0 &gt;&gt;C:\Users\stu\Documents\GitHub\eaglep3-reporting\EC\2017-09-08-refined-times.txt</v>
      </c>
      <c r="AI36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{"issue":{"subject":"","project_id":79,"tracker_id":40,"status_id":1,"priority_id":2,"assigned_to_id":338,"start_date":"2017-09-08","description":"","custom_fields":[{"id":1,"name":"Subdivision","value":"EC"},{"id":4,"name":"Milepost","value":"0.0145"},{"id":17,"name":"Train ID","value":"124-08"},{"id":16,"name":"Locomotive ID","value":"4043"},{"id":130,"name":"Impact","value":""},{"id":150,"name":"Time of Event (Mountain Time)","value":"08:05:58"},{"id":151,"name":"Denver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4043 --day 2017-09-08</v>
      </c>
      <c r="AN36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680</v>
      </c>
      <c r="B37" s="7">
        <v>4002</v>
      </c>
      <c r="C37" s="21" t="s">
        <v>197</v>
      </c>
      <c r="D37" s="21" t="s">
        <v>385</v>
      </c>
      <c r="E37" s="13">
        <v>42986.275000000001</v>
      </c>
      <c r="F37" s="13">
        <v>42986.281423611108</v>
      </c>
      <c r="G37" s="7">
        <v>46</v>
      </c>
      <c r="H37" s="21" t="s">
        <v>862</v>
      </c>
      <c r="I37" s="13">
        <v>42986.305046296293</v>
      </c>
      <c r="J37" s="7">
        <v>0</v>
      </c>
      <c r="K37" s="89" t="str">
        <f t="shared" si="0"/>
        <v>4001/4002</v>
      </c>
      <c r="L37" s="214" t="str">
        <f>VLOOKUP(A37,'Trips&amp;Operators'!$C$1:$G$99911,5,FALSE)</f>
        <v>YORK EDGAR</v>
      </c>
      <c r="M37" s="6">
        <f t="shared" si="1"/>
        <v>2.3622685184818693E-2</v>
      </c>
      <c r="N37" s="7">
        <f t="shared" si="2"/>
        <v>34.016666666138917</v>
      </c>
      <c r="O37" s="7"/>
      <c r="P37" s="7"/>
      <c r="Q37" s="22"/>
      <c r="R37" s="167"/>
      <c r="S37" s="210">
        <f t="shared" si="3"/>
        <v>1</v>
      </c>
      <c r="T37" s="192" t="str">
        <f t="shared" si="4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-09-08T05:36:00-0600',mode:absolute,to:'2017-09-08T08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94" t="str">
        <f>IF(AA37&lt;VLOOKUP(AG37,Variables!$AC$3:$AD$8,2,FALSE),"Y","N")</f>
        <v>N</v>
      </c>
      <c r="X37" s="194">
        <f t="shared" si="6"/>
        <v>1</v>
      </c>
      <c r="Y37" s="194">
        <f t="shared" si="7"/>
        <v>4.6899999999999997E-2</v>
      </c>
      <c r="Z37" s="194">
        <f t="shared" si="8"/>
        <v>23.327000000000002</v>
      </c>
      <c r="AA37" s="194">
        <f t="shared" si="9"/>
        <v>23.280100000000001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 t="shared" si="10"/>
        <v>125</v>
      </c>
      <c r="AE37" s="77" t="str">
        <f t="shared" si="11"/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37" s="74" t="str">
        <f t="shared" si="12"/>
        <v>"C:\Program Files (x86)\AstroGrep\AstroGrep.exe" /e /r /s /spath="%USERPROFILE%\AppData\Local\Temp\OnboardLogs" /stypes="app*4002*20170908*" /stext=" 13:.+((SYSTEM_STATE.+slice.+state.+changed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78" t="str">
        <f t="shared" si="18"/>
        <v>"%USERPROFILE%\Documents\GitHub\eaglep3\Utilities\RefineRTDCRunTimes.py" --tripid 125-08 --locoid 4002 --swversion DE.1.0.9.0 --startMP 204:469 --initTime 2017-09-08T06:36:00 --startdatetime 2017-09-08T06:45:15 --delay 46 --endMP 204:233270 --enddatetime 2017-09-08T07:19:16 --enforcementcount 0 &gt;&gt;C:\Users\stu\Documents\GitHub\eaglep3-reporting\EC\2017-09-08-refined-times.txt</v>
      </c>
      <c r="AI37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{"issue":{"subject":"","project_id":79,"tracker_id":40,"status_id":1,"priority_id":2,"assigned_to_id":338,"start_date":"2017-09-08","description":"","custom_fields":[{"id":1,"name":"Subdivision","value":"EC"},{"id":4,"name":"Milepost","value":"23.327"},{"id":17,"name":"Train ID","value":"125-08"},{"id":16,"name":"Locomotive ID","value":"4002"},{"id":130,"name":"Impact","value":""},{"id":150,"name":"Time of Event (Mountain Time)","value":"07:19:16"},{"id":151,"name":"Denver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4002 --day 2017-09-08</v>
      </c>
      <c r="AN37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604</v>
      </c>
      <c r="B38" s="7">
        <v>4001</v>
      </c>
      <c r="C38" s="21" t="s">
        <v>197</v>
      </c>
      <c r="D38" s="21" t="s">
        <v>863</v>
      </c>
      <c r="E38" s="13">
        <v>42986.306180555555</v>
      </c>
      <c r="F38" s="13">
        <v>42986.321018518516</v>
      </c>
      <c r="G38" s="7">
        <v>57</v>
      </c>
      <c r="H38" s="21" t="s">
        <v>404</v>
      </c>
      <c r="I38" s="13">
        <v>42986.346608796295</v>
      </c>
      <c r="J38" s="7">
        <v>0</v>
      </c>
      <c r="K38" s="89" t="str">
        <f t="shared" si="0"/>
        <v>4001/4002</v>
      </c>
      <c r="L38" s="214" t="str">
        <f>VLOOKUP(A38,'Trips&amp;Operators'!$C$1:$G$99911,5,FALSE)</f>
        <v>YORK EDGAR</v>
      </c>
      <c r="M38" s="6">
        <f t="shared" si="1"/>
        <v>2.5590277778974269E-2</v>
      </c>
      <c r="N38" s="7">
        <f t="shared" si="2"/>
        <v>36.850000001722947</v>
      </c>
      <c r="O38" s="7"/>
      <c r="P38" s="7"/>
      <c r="Q38" s="22"/>
      <c r="R38" s="167"/>
      <c r="S38" s="210">
        <f t="shared" si="3"/>
        <v>1</v>
      </c>
      <c r="T38" s="192" t="str">
        <f t="shared" si="4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-09-08T06:20:54-0600',mode:absolute,to:'2017-09-08T09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94" t="str">
        <f>IF(AA38&lt;VLOOKUP(AG38,Variables!$AC$3:$AD$8,2,FALSE),"Y","N")</f>
        <v>N</v>
      </c>
      <c r="X38" s="194">
        <f t="shared" si="6"/>
        <v>1</v>
      </c>
      <c r="Y38" s="194">
        <f t="shared" si="7"/>
        <v>23.2973</v>
      </c>
      <c r="Z38" s="194">
        <f t="shared" si="8"/>
        <v>1.6E-2</v>
      </c>
      <c r="AA38" s="194">
        <f t="shared" si="9"/>
        <v>23.281300000000002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 t="shared" si="10"/>
        <v>126</v>
      </c>
      <c r="AE38" s="77" t="str">
        <f t="shared" si="11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38" s="74" t="str">
        <f t="shared" si="12"/>
        <v>"C:\Program Files (x86)\AstroGrep\AstroGrep.exe" /e /r /s /spath="%USERPROFILE%\AppData\Local\Temp\OnboardLogs" /stypes="app*4001*20170908*" /stext=" 14:.+((SYSTEM_STATE.+slice.+state.+changed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78" t="str">
        <f t="shared" si="18"/>
        <v>"%USERPROFILE%\Documents\GitHub\eaglep3\Utilities\RefineRTDCRunTimes.py" --tripid 126-08 --locoid 4001 --swversion DE.1.0.9.0 --startMP 204:232973 --initTime 2017-09-08T07:20:54 --startdatetime 2017-09-08T07:42:16 --delay 57 --endMP 204:160 --enddatetime 2017-09-08T08:19:07 --enforcementcount 0 &gt;&gt;C:\Users\stu\Documents\GitHub\eaglep3-reporting\EC\2017-09-08-refined-times.txt</v>
      </c>
      <c r="AI38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{"issue":{"subject":"","project_id":79,"tracker_id":40,"status_id":1,"priority_id":2,"assigned_to_id":338,"start_date":"2017-09-08","description":"","custom_fields":[{"id":1,"name":"Subdivision","value":"EC"},{"id":4,"name":"Milepost","value":"0.016"},{"id":17,"name":"Train ID","value":"126-08"},{"id":16,"name":"Locomotive ID","value":"4001"},{"id":130,"name":"Impact","value":""},{"id":150,"name":"Time of Event (Mountain Time)","value":"08:19:07"},{"id":151,"name":"Denver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4001 --day 2017-09-08</v>
      </c>
      <c r="AN38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683</v>
      </c>
      <c r="B39" s="7">
        <v>4058</v>
      </c>
      <c r="C39" s="21" t="s">
        <v>197</v>
      </c>
      <c r="D39" s="21" t="s">
        <v>534</v>
      </c>
      <c r="E39" s="13">
        <v>42986.289849537039</v>
      </c>
      <c r="F39" s="13">
        <v>42986.291956018518</v>
      </c>
      <c r="G39" s="7">
        <v>52</v>
      </c>
      <c r="H39" s="21" t="s">
        <v>574</v>
      </c>
      <c r="I39" s="13">
        <v>42986.317037037035</v>
      </c>
      <c r="J39" s="7">
        <v>0</v>
      </c>
      <c r="K39" s="89" t="str">
        <f t="shared" si="0"/>
        <v>4057/4058</v>
      </c>
      <c r="L39" s="214" t="str">
        <f>VLOOKUP(A39,'Trips&amp;Operators'!$C$1:$G$99911,5,FALSE)</f>
        <v>MACDONALD THOMAS</v>
      </c>
      <c r="M39" s="6">
        <f t="shared" si="1"/>
        <v>2.5081018517084885E-2</v>
      </c>
      <c r="N39" s="7">
        <f t="shared" si="2"/>
        <v>36.116666664602235</v>
      </c>
      <c r="O39" s="7"/>
      <c r="P39" s="7"/>
      <c r="Q39" s="22"/>
      <c r="R39" s="167"/>
      <c r="S39" s="210">
        <f t="shared" si="3"/>
        <v>1</v>
      </c>
      <c r="T39" s="192" t="str">
        <f t="shared" si="4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-09-08T05:57:23-0600',mode:absolute,to:'2017-09-08T08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9" s="194" t="str">
        <f>IF(AA39&lt;VLOOKUP(AG39,Variables!$AC$3:$AD$8,2,FALSE),"Y","N")</f>
        <v>N</v>
      </c>
      <c r="X39" s="194">
        <f t="shared" si="6"/>
        <v>1</v>
      </c>
      <c r="Y39" s="194">
        <f t="shared" si="7"/>
        <v>4.6199999999999998E-2</v>
      </c>
      <c r="Z39" s="194">
        <f t="shared" si="8"/>
        <v>23.329499999999999</v>
      </c>
      <c r="AA39" s="194">
        <f t="shared" si="9"/>
        <v>23.283300000000001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10"/>
        <v>127</v>
      </c>
      <c r="AE39" s="77" t="str">
        <f t="shared" si="11"/>
        <v>aws s3 cp s3://rtdc.mdm.uploadarchive.raw/RTDC4058/ "%USERPROFILE%\AppData\Local\Temp\OnboardLogs"\RTDC4058\2017-09-08 --exclude "*" --recursive --include "*20170908*" &amp; "%USERPROFILE%\Documents\GitHub\mrs-test-scripts\Headless Mode &amp; Sideloading\WalkAndUnGZ.bat" "%USERPROFILE%\AppData\Local\Temp\OnboardLogs"\RTDC4058\2017-09-08 &amp; 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</v>
      </c>
      <c r="AF39" s="74" t="str">
        <f t="shared" si="12"/>
        <v>"C:\Program Files (x86)\AstroGrep\AstroGrep.exe" /e /r /s /spath="%USERPROFILE%\AppData\Local\Temp\OnboardLogs" /stypes="app*4058*20170908*" /stext=" 13:.+((SYSTEM_STATE.+slice.+state.+changed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78" t="str">
        <f t="shared" si="18"/>
        <v>"%USERPROFILE%\Documents\GitHub\eaglep3\Utilities\RefineRTDCRunTimes.py" --tripid 127-08 --locoid 4058 --swversion DE.1.0.9.0 --startMP 204:462 --initTime 2017-09-08T06:57:23 --startdatetime 2017-09-08T07:00:25 --delay 52 --endMP 204:233295 --enddatetime 2017-09-08T07:36:32 --enforcementcount 0 &gt;&gt;C:\Users\stu\Documents\GitHub\eaglep3-reporting\EC\2017-09-08-refined-times.txt</v>
      </c>
      <c r="AI39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{"issue":{"subject":"","project_id":79,"tracker_id":40,"status_id":1,"priority_id":2,"assigned_to_id":338,"start_date":"2017-09-08","description":"","custom_fields":[{"id":1,"name":"Subdivision","value":"EC"},{"id":4,"name":"Milepost","value":"23.3295"},{"id":17,"name":"Train ID","value":"127-08"},{"id":16,"name":"Locomotive ID","value":"4058"},{"id":130,"name":"Impact","value":""},{"id":150,"name":"Time of Event (Mountain Time)","value":"07:36:32"},{"id":151,"name":"Denver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4058 --day 2017-09-08</v>
      </c>
      <c r="AN39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694</v>
      </c>
      <c r="B40" s="7">
        <v>4057</v>
      </c>
      <c r="C40" s="21" t="s">
        <v>197</v>
      </c>
      <c r="D40" s="21" t="s">
        <v>864</v>
      </c>
      <c r="E40" s="13">
        <v>42986.329988425925</v>
      </c>
      <c r="F40" s="13">
        <v>42986.331504629627</v>
      </c>
      <c r="G40" s="7">
        <v>79</v>
      </c>
      <c r="H40" s="21" t="s">
        <v>404</v>
      </c>
      <c r="I40" s="13">
        <v>42986.359074074076</v>
      </c>
      <c r="J40" s="7">
        <v>0</v>
      </c>
      <c r="K40" s="89" t="str">
        <f t="shared" si="0"/>
        <v>4057/4058</v>
      </c>
      <c r="L40" s="214" t="str">
        <f>VLOOKUP(A40,'Trips&amp;Operators'!$C$1:$G$99911,5,FALSE)</f>
        <v>MACDONALD THOMAS</v>
      </c>
      <c r="M40" s="6">
        <f t="shared" si="1"/>
        <v>2.7569444449909497E-2</v>
      </c>
      <c r="N40" s="7">
        <f t="shared" si="2"/>
        <v>39.700000007869676</v>
      </c>
      <c r="O40" s="7"/>
      <c r="P40" s="7"/>
      <c r="Q40" s="22"/>
      <c r="R40" s="167"/>
      <c r="S40" s="210">
        <f t="shared" si="3"/>
        <v>1</v>
      </c>
      <c r="T40" s="192" t="str">
        <f t="shared" si="4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-09-08T06:55:11-0600',mode:absolute,to:'2017-09-08T09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0" s="194" t="str">
        <f>IF(AA40&lt;VLOOKUP(AG40,Variables!$AC$3:$AD$8,2,FALSE),"Y","N")</f>
        <v>N</v>
      </c>
      <c r="X40" s="194">
        <f t="shared" si="6"/>
        <v>1</v>
      </c>
      <c r="Y40" s="194">
        <f t="shared" si="7"/>
        <v>23.2972</v>
      </c>
      <c r="Z40" s="194">
        <f t="shared" si="8"/>
        <v>1.6E-2</v>
      </c>
      <c r="AA40" s="194">
        <f t="shared" si="9"/>
        <v>23.281200000000002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10"/>
        <v>128</v>
      </c>
      <c r="AE40" s="77" t="str">
        <f t="shared" si="11"/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AF40" s="74" t="str">
        <f t="shared" si="12"/>
        <v>"C:\Program Files (x86)\AstroGrep\AstroGrep.exe" /e /r /s /spath="%USERPROFILE%\AppData\Local\Temp\OnboardLogs" /stypes="app*4057*20170908*" /stext=" 14:.+((SYSTEM_STATE.+slice.+state.+changed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78" t="str">
        <f t="shared" si="18"/>
        <v>"%USERPROFILE%\Documents\GitHub\eaglep3\Utilities\RefineRTDCRunTimes.py" --tripid 128-08 --locoid 4057 --swversion DE.1.0.9.0 --startMP 204:232972 --initTime 2017-09-08T07:55:11 --startdatetime 2017-09-08T07:57:22 --delay 79 --endMP 204:160 --enddatetime 2017-09-08T08:37:04 --enforcementcount 0 &gt;&gt;C:\Users\stu\Documents\GitHub\eaglep3-reporting\EC\2017-09-08-refined-times.txt</v>
      </c>
      <c r="AI40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{"issue":{"subject":"","project_id":79,"tracker_id":40,"status_id":1,"priority_id":2,"assigned_to_id":338,"start_date":"2017-09-08","description":"","custom_fields":[{"id":1,"name":"Subdivision","value":"EC"},{"id":4,"name":"Milepost","value":"0.016"},{"id":17,"name":"Train ID","value":"128-08"},{"id":16,"name":"Locomotive ID","value":"4057"},{"id":130,"name":"Impact","value":""},{"id":150,"name":"Time of Event (Mountain Time)","value":"08:37:04"},{"id":151,"name":"Denver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4057 --day 2017-09-08</v>
      </c>
      <c r="AN40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688</v>
      </c>
      <c r="B41" s="7">
        <v>4062</v>
      </c>
      <c r="C41" s="21" t="s">
        <v>197</v>
      </c>
      <c r="D41" s="21" t="s">
        <v>580</v>
      </c>
      <c r="E41" s="13">
        <v>42986.29755787037</v>
      </c>
      <c r="F41" s="13">
        <v>42986.302442129629</v>
      </c>
      <c r="G41" s="7">
        <v>49</v>
      </c>
      <c r="H41" s="21" t="s">
        <v>389</v>
      </c>
      <c r="I41" s="13">
        <v>42986.326990740738</v>
      </c>
      <c r="J41" s="7">
        <v>0</v>
      </c>
      <c r="K41" s="89" t="str">
        <f t="shared" si="0"/>
        <v>4061/4062</v>
      </c>
      <c r="L41" s="214" t="str">
        <f>VLOOKUP(A41,'Trips&amp;Operators'!$C$1:$G$99911,5,FALSE)</f>
        <v>MAELZER KURT</v>
      </c>
      <c r="M41" s="6">
        <f t="shared" si="1"/>
        <v>2.4548611108912155E-2</v>
      </c>
      <c r="N41" s="7">
        <f t="shared" si="2"/>
        <v>35.349999996833503</v>
      </c>
      <c r="O41" s="7"/>
      <c r="P41" s="7"/>
      <c r="Q41" s="22"/>
      <c r="R41" s="167"/>
      <c r="S41" s="210">
        <f t="shared" si="3"/>
        <v>1</v>
      </c>
      <c r="T41" s="192" t="str">
        <f t="shared" si="4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-09-08T06:08:29-0600',mode:absolute,to:'2017-09-08T08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1" s="194" t="str">
        <f>IF(AA41&lt;VLOOKUP(AG41,Variables!$AC$3:$AD$8,2,FALSE),"Y","N")</f>
        <v>N</v>
      </c>
      <c r="X41" s="194">
        <f t="shared" si="6"/>
        <v>1</v>
      </c>
      <c r="Y41" s="194">
        <f t="shared" si="7"/>
        <v>4.4400000000000002E-2</v>
      </c>
      <c r="Z41" s="194">
        <f t="shared" si="8"/>
        <v>23.330500000000001</v>
      </c>
      <c r="AA41" s="194">
        <f t="shared" si="9"/>
        <v>23.286100000000001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 t="shared" si="10"/>
        <v>129</v>
      </c>
      <c r="AE41" s="77" t="str">
        <f t="shared" si="11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41" s="74" t="str">
        <f t="shared" si="12"/>
        <v>"C:\Program Files (x86)\AstroGrep\AstroGrep.exe" /e /r /s /spath="%USERPROFILE%\AppData\Local\Temp\OnboardLogs" /stypes="app*4062*20170908*" /stext=" 13:.+((SYSTEM_STATE.+slice.+state.+changed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78" t="str">
        <f t="shared" si="18"/>
        <v>"%USERPROFILE%\Documents\GitHub\eaglep3\Utilities\RefineRTDCRunTimes.py" --tripid 129-08 --locoid 4062 --swversion DE.1.0.9.0 --startMP 204:444 --initTime 2017-09-08T07:08:29 --startdatetime 2017-09-08T07:15:31 --delay 49 --endMP 204:233305 --enddatetime 2017-09-08T07:50:52 --enforcementcount 0 &gt;&gt;C:\Users\stu\Documents\GitHub\eaglep3-reporting\EC\2017-09-08-refined-times.txt</v>
      </c>
      <c r="AI41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{"issue":{"subject":"","project_id":79,"tracker_id":40,"status_id":1,"priority_id":2,"assigned_to_id":338,"start_date":"2017-09-08","description":"","custom_fields":[{"id":1,"name":"Subdivision","value":"EC"},{"id":4,"name":"Milepost","value":"23.3305"},{"id":17,"name":"Train ID","value":"129-08"},{"id":16,"name":"Locomotive ID","value":"4062"},{"id":130,"name":"Impact","value":""},{"id":150,"name":"Time of Event (Mountain Time)","value":"07:50:52"},{"id":151,"name":"Denver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4062 --day 2017-09-08</v>
      </c>
      <c r="AN41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697</v>
      </c>
      <c r="B42" s="7">
        <v>4061</v>
      </c>
      <c r="C42" s="21" t="s">
        <v>197</v>
      </c>
      <c r="D42" s="21" t="s">
        <v>415</v>
      </c>
      <c r="E42" s="13">
        <v>42986.33184027778</v>
      </c>
      <c r="F42" s="13">
        <v>42986.341956018521</v>
      </c>
      <c r="G42" s="7">
        <v>62</v>
      </c>
      <c r="H42" s="21" t="s">
        <v>343</v>
      </c>
      <c r="I42" s="13">
        <v>42986.368900462963</v>
      </c>
      <c r="J42" s="7">
        <v>0</v>
      </c>
      <c r="K42" s="89" t="str">
        <f t="shared" si="0"/>
        <v>4061/4062</v>
      </c>
      <c r="L42" s="214" t="str">
        <f>VLOOKUP(A42,'Trips&amp;Operators'!$C$1:$G$99911,5,FALSE)</f>
        <v>MAELZER KURT</v>
      </c>
      <c r="M42" s="6">
        <f t="shared" si="1"/>
        <v>2.6944444442051463E-2</v>
      </c>
      <c r="N42" s="7">
        <f t="shared" si="2"/>
        <v>38.799999996554106</v>
      </c>
      <c r="O42" s="7"/>
      <c r="P42" s="7"/>
      <c r="Q42" s="22"/>
      <c r="R42" s="167"/>
      <c r="S42" s="210">
        <f t="shared" si="3"/>
        <v>1</v>
      </c>
      <c r="T42" s="192" t="str">
        <f t="shared" si="4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-09-08T06:57:51-0600',mode:absolute,to:'2017-09-08T09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2" s="194" t="str">
        <f>IF(AA42&lt;VLOOKUP(AG42,Variables!$AC$3:$AD$8,2,FALSE),"Y","N")</f>
        <v>N</v>
      </c>
      <c r="X42" s="194">
        <f t="shared" si="6"/>
        <v>1</v>
      </c>
      <c r="Y42" s="194">
        <f t="shared" si="7"/>
        <v>23.2986</v>
      </c>
      <c r="Z42" s="194">
        <f t="shared" si="8"/>
        <v>1.47E-2</v>
      </c>
      <c r="AA42" s="194">
        <f t="shared" si="9"/>
        <v>23.283899999999999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 t="shared" si="10"/>
        <v>130</v>
      </c>
      <c r="AE42" s="77" t="str">
        <f t="shared" si="11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42" s="74" t="str">
        <f t="shared" si="12"/>
        <v>"C:\Program Files (x86)\AstroGrep\AstroGrep.exe" /e /r /s /spath="%USERPROFILE%\AppData\Local\Temp\OnboardLogs" /stypes="app*4061*20170908*" /stext=" 14:.+((SYSTEM_STATE.+slice.+state.+changed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78" t="str">
        <f t="shared" si="18"/>
        <v>"%USERPROFILE%\Documents\GitHub\eaglep3\Utilities\RefineRTDCRunTimes.py" --tripid 130-08 --locoid 4061 --swversion DE.1.0.9.0 --startMP 204:232986 --initTime 2017-09-08T07:57:51 --startdatetime 2017-09-08T08:12:25 --delay 62 --endMP 204:147 --enddatetime 2017-09-08T08:51:13 --enforcementcount 0 &gt;&gt;C:\Users\stu\Documents\GitHub\eaglep3-reporting\EC\2017-09-08-refined-times.txt</v>
      </c>
      <c r="AI42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{"issue":{"subject":"","project_id":79,"tracker_id":40,"status_id":1,"priority_id":2,"assigned_to_id":338,"start_date":"2017-09-08","description":"","custom_fields":[{"id":1,"name":"Subdivision","value":"EC"},{"id":4,"name":"Milepost","value":"0.0147"},{"id":17,"name":"Train ID","value":"130-08"},{"id":16,"name":"Locomotive ID","value":"4061"},{"id":130,"name":"Impact","value":""},{"id":150,"name":"Time of Event (Mountain Time)","value":"08:51:13"},{"id":151,"name":"Denver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4061 --day 2017-09-08</v>
      </c>
      <c r="AN42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690</v>
      </c>
      <c r="B43" s="7">
        <v>4032</v>
      </c>
      <c r="C43" s="21" t="s">
        <v>197</v>
      </c>
      <c r="D43" s="21" t="s">
        <v>360</v>
      </c>
      <c r="E43" s="13">
        <v>42986.308888888889</v>
      </c>
      <c r="F43" s="13">
        <v>42986.312650462962</v>
      </c>
      <c r="G43" s="7">
        <v>73</v>
      </c>
      <c r="H43" s="21" t="s">
        <v>858</v>
      </c>
      <c r="I43" s="13">
        <v>42986.33730324074</v>
      </c>
      <c r="J43" s="7">
        <v>0</v>
      </c>
      <c r="K43" s="89" t="str">
        <f t="shared" si="0"/>
        <v>4031/4032</v>
      </c>
      <c r="L43" s="214" t="str">
        <f>VLOOKUP(A43,'Trips&amp;Operators'!$C$1:$G$99911,5,FALSE)</f>
        <v>BIRENBAUM THOMAS</v>
      </c>
      <c r="M43" s="6">
        <f t="shared" si="1"/>
        <v>2.4652777778101154E-2</v>
      </c>
      <c r="N43" s="7">
        <f t="shared" si="2"/>
        <v>35.500000000465661</v>
      </c>
      <c r="O43" s="7"/>
      <c r="P43" s="7"/>
      <c r="Q43" s="22"/>
      <c r="R43" s="167"/>
      <c r="S43" s="210">
        <f t="shared" si="3"/>
        <v>1</v>
      </c>
      <c r="T43" s="192" t="str">
        <f t="shared" si="4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-09-08T06:24:48-0600',mode:absolute,to:'2017-09-08T09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3" s="194" t="str">
        <f>IF(AA43&lt;VLOOKUP(AG43,Variables!$AC$3:$AD$8,2,FALSE),"Y","N")</f>
        <v>N</v>
      </c>
      <c r="X43" s="194">
        <f t="shared" si="6"/>
        <v>1</v>
      </c>
      <c r="Y43" s="194">
        <f t="shared" si="7"/>
        <v>4.58E-2</v>
      </c>
      <c r="Z43" s="194">
        <f t="shared" si="8"/>
        <v>23.329699999999999</v>
      </c>
      <c r="AA43" s="194">
        <f t="shared" si="9"/>
        <v>23.283899999999999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10"/>
        <v>131</v>
      </c>
      <c r="AE43" s="77" t="str">
        <f t="shared" si="11"/>
        <v>aws s3 cp s3://rtdc.mdm.uploadarchive.raw/RTDC4032/ "%USERPROFILE%\AppData\Local\Temp\OnboardLogs"\RTDC4032\2017-09-08 --exclude "*" --recursive --include "*20170908*" &amp; "%USERPROFILE%\Documents\GitHub\mrs-test-scripts\Headless Mode &amp; Sideloading\WalkAndUnGZ.bat" "%USERPROFILE%\AppData\Local\Temp\OnboardLogs"\RTDC4032\2017-09-08 &amp; aws s3 cp s3://rtdc.mdm.uploadarchive.raw/RTDC4032/ "%USERPROFILE%\AppData\Local\Temp\OnboardLogs"\RTDC4032\2017-09-09 --exclude "*" --recursive --include "*20170909*" &amp; "%USERPROFILE%\Documents\GitHub\mrs-test-scripts\Headless Mode &amp; Sideloading\WalkAndUnGZ.bat" "%USERPROFILE%\AppData\Local\Temp\OnboardLogs"\RTDC4032\2017-09-09</v>
      </c>
      <c r="AF43" s="74" t="str">
        <f t="shared" si="12"/>
        <v>"C:\Program Files (x86)\AstroGrep\AstroGrep.exe" /e /r /s /spath="%USERPROFILE%\AppData\Local\Temp\OnboardLogs" /stypes="app*4032*20170908*" /stext=" 14:.+((SYSTEM_STATE.+slice.+state.+changed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78" t="str">
        <f t="shared" si="18"/>
        <v>"%USERPROFILE%\Documents\GitHub\eaglep3\Utilities\RefineRTDCRunTimes.py" --tripid 131-08 --locoid 4032 --swversion DE.1.0.9.0 --startMP 204:458 --initTime 2017-09-08T07:24:48 --startdatetime 2017-09-08T07:30:13 --delay 73 --endMP 204:233297 --enddatetime 2017-09-08T08:05:43 --enforcementcount 0 &gt;&gt;C:\Users\stu\Documents\GitHub\eaglep3-reporting\EC\2017-09-08-refined-times.txt</v>
      </c>
      <c r="AI43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{"issue":{"subject":"","project_id":79,"tracker_id":40,"status_id":1,"priority_id":2,"assigned_to_id":338,"start_date":"2017-09-08","description":"","custom_fields":[{"id":1,"name":"Subdivision","value":"EC"},{"id":4,"name":"Milepost","value":"23.3297"},{"id":17,"name":"Train ID","value":"131-08"},{"id":16,"name":"Locomotive ID","value":"4032"},{"id":130,"name":"Impact","value":""},{"id":150,"name":"Time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4032 --day 2017-09-08</v>
      </c>
      <c r="AN43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700</v>
      </c>
      <c r="B44" s="7">
        <v>4031</v>
      </c>
      <c r="C44" s="21" t="s">
        <v>197</v>
      </c>
      <c r="D44" s="21" t="s">
        <v>865</v>
      </c>
      <c r="E44" s="13">
        <v>42986.347662037035</v>
      </c>
      <c r="F44" s="13">
        <v>42986.352268518516</v>
      </c>
      <c r="G44" s="7">
        <v>76</v>
      </c>
      <c r="H44" s="21" t="s">
        <v>464</v>
      </c>
      <c r="I44" s="13">
        <v>42986.377453703702</v>
      </c>
      <c r="J44" s="7">
        <v>0</v>
      </c>
      <c r="K44" s="89" t="str">
        <f t="shared" si="0"/>
        <v>4031/4032</v>
      </c>
      <c r="L44" s="214" t="str">
        <f>VLOOKUP(A44,'Trips&amp;Operators'!$C$1:$G$99911,5,FALSE)</f>
        <v>BIRENBAUM THOMAS</v>
      </c>
      <c r="M44" s="6">
        <f t="shared" si="1"/>
        <v>2.5185185186273884E-2</v>
      </c>
      <c r="N44" s="7">
        <f t="shared" si="2"/>
        <v>36.266666668234393</v>
      </c>
      <c r="O44" s="7"/>
      <c r="P44" s="7"/>
      <c r="Q44" s="22"/>
      <c r="R44" s="167"/>
      <c r="S44" s="210">
        <f t="shared" si="3"/>
        <v>1</v>
      </c>
      <c r="T44" s="192" t="str">
        <f t="shared" si="4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-09-08T07:20:38-0600',mode:absolute,to:'2017-09-08T10:03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194" t="str">
        <f>IF(AA44&lt;VLOOKUP(AG44,Variables!$AC$3:$AD$8,2,FALSE),"Y","N")</f>
        <v>N</v>
      </c>
      <c r="X44" s="194">
        <f t="shared" si="6"/>
        <v>1</v>
      </c>
      <c r="Y44" s="194">
        <f t="shared" si="7"/>
        <v>23.298300000000001</v>
      </c>
      <c r="Z44" s="194">
        <f t="shared" si="8"/>
        <v>1.3899999999999999E-2</v>
      </c>
      <c r="AA44" s="194">
        <f t="shared" si="9"/>
        <v>23.284400000000002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 t="shared" si="10"/>
        <v>132</v>
      </c>
      <c r="AE44" s="77" t="str">
        <f t="shared" si="11"/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AF44" s="74" t="str">
        <f t="shared" si="12"/>
        <v>"C:\Program Files (x86)\AstroGrep\AstroGrep.exe" /e /r /s /spath="%USERPROFILE%\AppData\Local\Temp\OnboardLogs" /stypes="app*4031*20170908*" /stext=" 15:.+((SYSTEM_STATE.+slice.+state.+changed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78" t="str">
        <f t="shared" si="18"/>
        <v>"%USERPROFILE%\Documents\GitHub\eaglep3\Utilities\RefineRTDCRunTimes.py" --tripid 132-08 --locoid 4031 --swversion DE.1.0.9.0 --startMP 204:232983 --initTime 2017-09-08T08:20:38 --startdatetime 2017-09-08T08:27:16 --delay 76 --endMP 204:139 --enddatetime 2017-09-08T09:03:32 --enforcementcount 0 &gt;&gt;C:\Users\stu\Documents\GitHub\eaglep3-reporting\EC\2017-09-08-refined-times.txt</v>
      </c>
      <c r="AI44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{"issue":{"subject":"","project_id":79,"tracker_id":40,"status_id":1,"priority_id":2,"assigned_to_id":338,"start_date":"2017-09-08","description":"","custom_fields":[{"id":1,"name":"Subdivision","value":"EC"},{"id":4,"name":"Milepost","value":"0.0139"},{"id":17,"name":"Train ID","value":"132-08"},{"id":16,"name":"Locomotive ID","value":"4031"},{"id":130,"name":"Impact","value":""},{"id":150,"name":"Time of Event (Mountain Time)","value":"09:03:32"},{"id":151,"name":"Denver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4031 --day 2017-09-08</v>
      </c>
      <c r="AN44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15:03:32"},{"id":29,"name":"Sharepoint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693</v>
      </c>
      <c r="B45" s="7">
        <v>4006</v>
      </c>
      <c r="C45" s="21" t="s">
        <v>197</v>
      </c>
      <c r="D45" s="21" t="s">
        <v>351</v>
      </c>
      <c r="E45" s="13">
        <v>42986.319594907407</v>
      </c>
      <c r="F45" s="13">
        <v>42986.323159722226</v>
      </c>
      <c r="G45" s="7">
        <v>105</v>
      </c>
      <c r="H45" s="21" t="s">
        <v>866</v>
      </c>
      <c r="I45" s="13">
        <v>42986.347291666665</v>
      </c>
      <c r="J45" s="7">
        <v>0</v>
      </c>
      <c r="K45" s="89" t="str">
        <f t="shared" si="0"/>
        <v>4005/4006</v>
      </c>
      <c r="L45" s="214" t="str">
        <f>VLOOKUP(A45,'Trips&amp;Operators'!$C$1:$G$99911,5,FALSE)</f>
        <v>PAGE MARCUS</v>
      </c>
      <c r="M45" s="6">
        <f t="shared" si="1"/>
        <v>2.4131944439432118E-2</v>
      </c>
      <c r="N45" s="7">
        <f t="shared" si="2"/>
        <v>34.74999999278225</v>
      </c>
      <c r="O45" s="7"/>
      <c r="P45" s="7"/>
      <c r="Q45" s="22"/>
      <c r="R45" s="167"/>
      <c r="S45" s="210">
        <f t="shared" si="3"/>
        <v>1</v>
      </c>
      <c r="T45" s="192" t="str">
        <f t="shared" si="4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-09-08T06:40:13-0600',mode:absolute,to:'2017-09-08T09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5" s="194" t="str">
        <f>IF(AA45&lt;VLOOKUP(AG45,Variables!$AC$3:$AD$8,2,FALSE),"Y","N")</f>
        <v>N</v>
      </c>
      <c r="X45" s="194">
        <f t="shared" si="6"/>
        <v>1</v>
      </c>
      <c r="Y45" s="194">
        <f t="shared" si="7"/>
        <v>4.5499999999999999E-2</v>
      </c>
      <c r="Z45" s="194">
        <f t="shared" si="8"/>
        <v>23.323399999999999</v>
      </c>
      <c r="AA45" s="194">
        <f t="shared" si="9"/>
        <v>23.277899999999999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si="10"/>
        <v>133</v>
      </c>
      <c r="AE45" s="77" t="str">
        <f t="shared" si="11"/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AF45" s="74" t="str">
        <f t="shared" si="12"/>
        <v>"C:\Program Files (x86)\AstroGrep\AstroGrep.exe" /e /r /s /spath="%USERPROFILE%\AppData\Local\Temp\OnboardLogs" /stypes="app*4006*20170908*" /stext=" 14:.+((SYSTEM_STATE.+slice.+state.+changed )|(ment ac)|(multiple cpu faults)|(system.+state.+changed )|(\[timeout)|(PRM\|1\|D)|(kpr)|(kdp)|(train st.+moving)|(\|lc)|(penalty))"</v>
      </c>
      <c r="AG45" s="206" t="str">
        <f t="shared" si="13"/>
        <v>EC</v>
      </c>
      <c r="AH45" s="78" t="str">
        <f t="shared" si="18"/>
        <v>"%USERPROFILE%\Documents\GitHub\eaglep3\Utilities\RefineRTDCRunTimes.py" --tripid 133-08 --locoid 4006 --swversion DE.1.0.9.0 --startMP 204:455 --initTime 2017-09-08T07:40:13 --startdatetime 2017-09-08T07:45:21 --delay 105 --endMP 204:233234 --enddatetime 2017-09-08T08:20:06 --enforcementcount 0 &gt;&gt;C:\Users\stu\Documents\GitHub\eaglep3-reporting\EC\2017-09-08-refined-times.txt</v>
      </c>
      <c r="AI45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{"issue":{"subject":"","project_id":79,"tracker_id":40,"status_id":1,"priority_id":2,"assigned_to_id":338,"start_date":"2017-09-08","description":"","custom_fields":[{"id":1,"name":"Subdivision","value":"EC"},{"id":4,"name":"Milepost","value":"23.3234"},{"id":17,"name":"Train ID","value":"133-08"},{"id":16,"name":"Locomotive ID","value":"4006"},{"id":130,"name":"Impact","value":""},{"id":150,"name":"Time of Event (Mountain Time)","value":"08:20:06"},{"id":151,"name":"Denver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4006 --day 2017-09-08</v>
      </c>
      <c r="AN45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703</v>
      </c>
      <c r="B46" s="7">
        <v>4005</v>
      </c>
      <c r="C46" s="21" t="s">
        <v>197</v>
      </c>
      <c r="D46" s="21" t="s">
        <v>867</v>
      </c>
      <c r="E46" s="13">
        <v>42986.359918981485</v>
      </c>
      <c r="F46" s="13">
        <v>42986.362696759257</v>
      </c>
      <c r="G46" s="7">
        <v>64</v>
      </c>
      <c r="H46" s="21" t="s">
        <v>340</v>
      </c>
      <c r="I46" s="13">
        <v>42986.388518518521</v>
      </c>
      <c r="J46" s="7">
        <v>0</v>
      </c>
      <c r="K46" s="89" t="str">
        <f t="shared" si="0"/>
        <v>4005/4006</v>
      </c>
      <c r="L46" s="214" t="str">
        <f>VLOOKUP(A46,'Trips&amp;Operators'!$C$1:$G$99911,5,FALSE)</f>
        <v>PAGE MARCUS</v>
      </c>
      <c r="M46" s="6">
        <f t="shared" si="1"/>
        <v>2.5821759263635613E-2</v>
      </c>
      <c r="N46" s="7">
        <f t="shared" si="2"/>
        <v>37.183333339635283</v>
      </c>
      <c r="O46" s="7"/>
      <c r="P46" s="7"/>
      <c r="Q46" s="22"/>
      <c r="R46" s="167"/>
      <c r="S46" s="210">
        <f t="shared" si="3"/>
        <v>1</v>
      </c>
      <c r="T46" s="192" t="str">
        <f t="shared" si="4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-09-08T07:38:17-0600',mode:absolute,to:'2017-09-08T10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6" s="194" t="str">
        <f>IF(AA46&lt;VLOOKUP(AG46,Variables!$AC$3:$AD$8,2,FALSE),"Y","N")</f>
        <v>N</v>
      </c>
      <c r="X46" s="194">
        <f t="shared" si="6"/>
        <v>1</v>
      </c>
      <c r="Y46" s="194">
        <f t="shared" si="7"/>
        <v>23.2971</v>
      </c>
      <c r="Z46" s="194">
        <f t="shared" si="8"/>
        <v>1.43E-2</v>
      </c>
      <c r="AA46" s="194">
        <f t="shared" si="9"/>
        <v>23.282800000000002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 t="shared" si="10"/>
        <v>134</v>
      </c>
      <c r="AE46" s="77" t="str">
        <f t="shared" si="11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46" s="74" t="str">
        <f t="shared" si="12"/>
        <v>"C:\Program Files (x86)\AstroGrep\AstroGrep.exe" /e /r /s /spath="%USERPROFILE%\AppData\Local\Temp\OnboardLogs" /stypes="app*4005*20170908*" /stext=" 15:.+((SYSTEM_STATE.+slice.+state.+changed )|(ment ac)|(multiple cpu faults)|(system.+state.+changed )|(\[timeout)|(PRM\|1\|D)|(kpr)|(kdp)|(train st.+moving)|(\|lc)|(penalty))"</v>
      </c>
      <c r="AG46" s="206" t="str">
        <f t="shared" si="13"/>
        <v>EC</v>
      </c>
      <c r="AH46" s="78" t="str">
        <f t="shared" si="18"/>
        <v>"%USERPROFILE%\Documents\GitHub\eaglep3\Utilities\RefineRTDCRunTimes.py" --tripid 134-08 --locoid 4005 --swversion DE.1.0.9.0 --startMP 204:232971 --initTime 2017-09-08T08:38:17 --startdatetime 2017-09-08T08:42:17 --delay 64 --endMP 204:143 --enddatetime 2017-09-08T09:19:28 --enforcementcount 0 &gt;&gt;C:\Users\stu\Documents\GitHub\eaglep3-reporting\EC\2017-09-08-refined-times.txt</v>
      </c>
      <c r="AI46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{"issue":{"subject":"","project_id":79,"tracker_id":40,"status_id":1,"priority_id":2,"assigned_to_id":338,"start_date":"2017-09-08","description":"","custom_fields":[{"id":1,"name":"Subdivision","value":"EC"},{"id":4,"name":"Milepost","value":"0.0143"},{"id":17,"name":"Train ID","value":"134-08"},{"id":16,"name":"Locomotive ID","value":"4005"},{"id":130,"name":"Impact","value":""},{"id":150,"name":"Time of Event (Mountain Time)","value":"09:19:28"},{"id":151,"name":"Denver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4005 --day 2017-09-08</v>
      </c>
      <c r="AN46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15:19:28"},{"id":29,"name":"Sharepoint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695</v>
      </c>
      <c r="B47" s="7">
        <v>4034</v>
      </c>
      <c r="C47" s="21" t="s">
        <v>197</v>
      </c>
      <c r="D47" s="21" t="s">
        <v>868</v>
      </c>
      <c r="E47" s="13">
        <v>42986.330752314818</v>
      </c>
      <c r="F47" s="13">
        <v>42986.333599537036</v>
      </c>
      <c r="G47" s="7">
        <v>87</v>
      </c>
      <c r="H47" s="21" t="s">
        <v>574</v>
      </c>
      <c r="I47" s="13">
        <v>42986.359270833331</v>
      </c>
      <c r="J47" s="7">
        <v>0</v>
      </c>
      <c r="K47" s="89" t="str">
        <f t="shared" si="0"/>
        <v>4033/4034</v>
      </c>
      <c r="L47" s="214" t="str">
        <f>VLOOKUP(A47,'Trips&amp;Operators'!$C$1:$G$99911,5,FALSE)</f>
        <v>BARRON PERLA</v>
      </c>
      <c r="M47" s="6">
        <f t="shared" si="1"/>
        <v>2.5671296294603962E-2</v>
      </c>
      <c r="N47" s="7">
        <f t="shared" si="2"/>
        <v>36.966666664229706</v>
      </c>
      <c r="O47" s="7"/>
      <c r="P47" s="7"/>
      <c r="Q47" s="22"/>
      <c r="R47" s="167"/>
      <c r="S47" s="210">
        <f t="shared" si="3"/>
        <v>1</v>
      </c>
      <c r="T47" s="192" t="str">
        <f t="shared" si="4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-09-08T06:56:17-0600',mode:absolute,to:'2017-09-08T09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7" s="194" t="str">
        <f>IF(AA47&lt;VLOOKUP(AG47,Variables!$AC$3:$AD$8,2,FALSE),"Y","N")</f>
        <v>N</v>
      </c>
      <c r="X47" s="194">
        <f t="shared" si="6"/>
        <v>1</v>
      </c>
      <c r="Y47" s="194">
        <f t="shared" si="7"/>
        <v>4.7699999999999999E-2</v>
      </c>
      <c r="Z47" s="194">
        <f t="shared" si="8"/>
        <v>23.329499999999999</v>
      </c>
      <c r="AA47" s="194">
        <f t="shared" si="9"/>
        <v>23.2818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 t="shared" si="10"/>
        <v>135</v>
      </c>
      <c r="AE47" s="77" t="str">
        <f t="shared" si="11"/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AF47" s="74" t="str">
        <f t="shared" si="12"/>
        <v>"C:\Program Files (x86)\AstroGrep\AstroGrep.exe" /e /r /s /spath="%USERPROFILE%\AppData\Local\Temp\OnboardLogs" /stypes="app*4034*20170908*" /stext=" 14:.+((SYSTEM_STATE.+slice.+state.+changed )|(ment ac)|(multiple cpu faults)|(system.+state.+changed )|(\[timeout)|(PRM\|1\|D)|(kpr)|(kdp)|(train st.+moving)|(\|lc)|(penalty))"</v>
      </c>
      <c r="AG47" s="206" t="str">
        <f t="shared" si="13"/>
        <v>EC</v>
      </c>
      <c r="AH47" s="78" t="str">
        <f t="shared" si="18"/>
        <v>"%USERPROFILE%\Documents\GitHub\eaglep3\Utilities\RefineRTDCRunTimes.py" --tripid 135-08 --locoid 4034 --swversion DE.1.0.9.0 --startMP 204:477 --initTime 2017-09-08T07:56:17 --startdatetime 2017-09-08T08:00:23 --delay 87 --endMP 204:233295 --enddatetime 2017-09-08T08:37:21 --enforcementcount 0 &gt;&gt;C:\Users\stu\Documents\GitHub\eaglep3-reporting\EC\2017-09-08-refined-times.txt</v>
      </c>
      <c r="AI47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{"issue":{"subject":"","project_id":79,"tracker_id":40,"status_id":1,"priority_id":2,"assigned_to_id":338,"start_date":"2017-09-08","description":"","custom_fields":[{"id":1,"name":"Subdivision","value":"EC"},{"id":4,"name":"Milepost","value":"23.3295"},{"id":17,"name":"Train ID","value":"135-08"},{"id":16,"name":"Locomotive ID","value":"4034"},{"id":130,"name":"Impact","value":""},{"id":150,"name":"Time of Event (Mountain Time)","value":"08:37:21"},{"id":151,"name":"Denver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4034 --day 2017-09-08</v>
      </c>
      <c r="AN47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705</v>
      </c>
      <c r="B48" s="7">
        <v>4033</v>
      </c>
      <c r="C48" s="21" t="s">
        <v>197</v>
      </c>
      <c r="D48" s="21" t="s">
        <v>869</v>
      </c>
      <c r="E48" s="13">
        <v>42986.369166666664</v>
      </c>
      <c r="F48" s="13">
        <v>42986.373090277775</v>
      </c>
      <c r="G48" s="7">
        <v>94</v>
      </c>
      <c r="H48" s="21" t="s">
        <v>368</v>
      </c>
      <c r="I48" s="13">
        <v>42986.399942129632</v>
      </c>
      <c r="J48" s="7">
        <v>0</v>
      </c>
      <c r="K48" s="89" t="str">
        <f t="shared" si="0"/>
        <v>4033/4034</v>
      </c>
      <c r="L48" s="214" t="str">
        <f>VLOOKUP(A48,'Trips&amp;Operators'!$C$1:$G$99911,5,FALSE)</f>
        <v>BARRON PERLA</v>
      </c>
      <c r="M48" s="6">
        <f t="shared" si="1"/>
        <v>2.6851851856918074E-2</v>
      </c>
      <c r="N48" s="7">
        <f t="shared" si="2"/>
        <v>38.666666673962027</v>
      </c>
      <c r="O48" s="7"/>
      <c r="P48" s="7"/>
      <c r="Q48" s="22"/>
      <c r="R48" s="167"/>
      <c r="S48" s="210">
        <f t="shared" si="3"/>
        <v>1</v>
      </c>
      <c r="T48" s="192" t="str">
        <f t="shared" si="4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-09-08T07:51:36-0600',mode:absolute,to:'2017-09-08T10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8" s="194" t="str">
        <f>IF(AA48&lt;VLOOKUP(AG48,Variables!$AC$3:$AD$8,2,FALSE),"Y","N")</f>
        <v>N</v>
      </c>
      <c r="X48" s="194">
        <f t="shared" si="6"/>
        <v>1</v>
      </c>
      <c r="Y48" s="194">
        <f t="shared" si="7"/>
        <v>23.2959</v>
      </c>
      <c r="Z48" s="194">
        <f t="shared" si="8"/>
        <v>1.4500000000000001E-2</v>
      </c>
      <c r="AA48" s="194">
        <f t="shared" si="9"/>
        <v>23.281399999999998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 t="shared" si="10"/>
        <v>136</v>
      </c>
      <c r="AE48" s="77" t="str">
        <f t="shared" si="11"/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48" s="74" t="str">
        <f t="shared" si="12"/>
        <v>"C:\Program Files (x86)\AstroGrep\AstroGrep.exe" /e /r /s /spath="%USERPROFILE%\AppData\Local\Temp\OnboardLogs" /stypes="app*4033*20170908*" /stext=" 15:.+((SYSTEM_STATE.+slice.+state.+changed )|(ment ac)|(multiple cpu faults)|(system.+state.+changed )|(\[timeout)|(PRM\|1\|D)|(kpr)|(kdp)|(train st.+moving)|(\|lc)|(penalty))"</v>
      </c>
      <c r="AG48" s="206" t="str">
        <f t="shared" si="13"/>
        <v>EC</v>
      </c>
      <c r="AH48" s="78" t="str">
        <f t="shared" si="18"/>
        <v>"%USERPROFILE%\Documents\GitHub\eaglep3\Utilities\RefineRTDCRunTimes.py" --tripid 136-08 --locoid 4033 --swversion DE.1.0.9.0 --startMP 204:232959 --initTime 2017-09-08T08:51:36 --startdatetime 2017-09-08T08:57:15 --delay 94 --endMP 204:145 --enddatetime 2017-09-08T09:35:55 --enforcementcount 0 &gt;&gt;C:\Users\stu\Documents\GitHub\eaglep3-reporting\EC\2017-09-08-refined-times.txt</v>
      </c>
      <c r="AI48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{"issue":{"subject":"","project_id":79,"tracker_id":40,"status_id":1,"priority_id":2,"assigned_to_id":338,"start_date":"2017-09-08","description":"","custom_fields":[{"id":1,"name":"Subdivision","value":"EC"},{"id":4,"name":"Milepost","value":"0.0145"},{"id":17,"name":"Train ID","value":"136-08"},{"id":16,"name":"Locomotive ID","value":"4033"},{"id":130,"name":"Impact","value":""},{"id":150,"name":"Time of Event (Mountain Time)","value":"09:35:55"},{"id":151,"name":"Denver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4033 --day 2017-09-08</v>
      </c>
      <c r="AN48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15:35:55"},{"id":29,"name":"Sharepoint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606</v>
      </c>
      <c r="B49" s="7">
        <v>4044</v>
      </c>
      <c r="C49" s="21" t="s">
        <v>197</v>
      </c>
      <c r="D49" s="21" t="s">
        <v>854</v>
      </c>
      <c r="E49" s="13">
        <v>42986.339363425926</v>
      </c>
      <c r="F49" s="13">
        <v>42986.343900462962</v>
      </c>
      <c r="G49" s="7">
        <v>62</v>
      </c>
      <c r="H49" s="21" t="s">
        <v>870</v>
      </c>
      <c r="I49" s="13">
        <v>42986.37</v>
      </c>
      <c r="J49" s="7">
        <v>0</v>
      </c>
      <c r="K49" s="89" t="str">
        <f t="shared" si="0"/>
        <v>4043/4044</v>
      </c>
      <c r="L49" s="214" t="str">
        <f>VLOOKUP(A49,'Trips&amp;Operators'!$C$1:$G$99911,5,FALSE)</f>
        <v>DAVIS WENDY</v>
      </c>
      <c r="M49" s="6">
        <f t="shared" si="1"/>
        <v>2.6099537040863652E-2</v>
      </c>
      <c r="N49" s="7">
        <f t="shared" si="2"/>
        <v>37.583333338843659</v>
      </c>
      <c r="O49" s="7"/>
      <c r="P49" s="7"/>
      <c r="Q49" s="22"/>
      <c r="R49" s="167"/>
      <c r="S49" s="210">
        <f t="shared" si="3"/>
        <v>1</v>
      </c>
      <c r="T49" s="192" t="str">
        <f t="shared" si="4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-09-08T07:08:41-0600',mode:absolute,to:'2017-09-08T09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9" s="194" t="str">
        <f>IF(AA49&lt;VLOOKUP(AG49,Variables!$AC$3:$AD$8,2,FALSE),"Y","N")</f>
        <v>N</v>
      </c>
      <c r="X49" s="194">
        <f t="shared" si="6"/>
        <v>1</v>
      </c>
      <c r="Y49" s="194">
        <f t="shared" si="7"/>
        <v>4.6600000000000003E-2</v>
      </c>
      <c r="Z49" s="194">
        <f t="shared" si="8"/>
        <v>23.3278</v>
      </c>
      <c r="AA49" s="194">
        <f t="shared" si="9"/>
        <v>23.281199999999998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10"/>
        <v>137</v>
      </c>
      <c r="AE49" s="77" t="str">
        <f t="shared" si="11"/>
        <v>aws s3 cp s3://rtdc.mdm.uploadarchive.raw/RTDC4044/ "%USERPROFILE%\AppData\Local\Temp\OnboardLogs"\RTDC4044\2017-09-08 --exclude "*" --recursive --include "*20170908*" &amp; "%USERPROFILE%\Documents\GitHub\mrs-test-scripts\Headless Mode &amp; Sideloading\WalkAndUnGZ.bat" "%USERPROFILE%\AppData\Local\Temp\OnboardLogs"\RTDC4044\2017-09-08 &amp; 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</v>
      </c>
      <c r="AF49" s="74" t="str">
        <f t="shared" si="12"/>
        <v>"C:\Program Files (x86)\AstroGrep\AstroGrep.exe" /e /r /s /spath="%USERPROFILE%\AppData\Local\Temp\OnboardLogs" /stypes="app*4044*20170908*" /stext=" 14:.+((SYSTEM_STATE.+slice.+state.+changed )|(ment ac)|(multiple cpu faults)|(system.+state.+changed )|(\[timeout)|(PRM\|1\|D)|(kpr)|(kdp)|(train st.+moving)|(\|lc)|(penalty))"</v>
      </c>
      <c r="AG49" s="206" t="str">
        <f t="shared" si="13"/>
        <v>EC</v>
      </c>
      <c r="AH49" s="78" t="str">
        <f t="shared" si="18"/>
        <v>"%USERPROFILE%\Documents\GitHub\eaglep3\Utilities\RefineRTDCRunTimes.py" --tripid 137-08 --locoid 4044 --swversion DE.1.0.9.0 --startMP 204:466 --initTime 2017-09-08T08:08:41 --startdatetime 2017-09-08T08:15:13 --delay 62 --endMP 204:233278 --enddatetime 2017-09-08T08:52:48 --enforcementcount 0 &gt;&gt;C:\Users\stu\Documents\GitHub\eaglep3-reporting\EC\2017-09-08-refined-times.txt</v>
      </c>
      <c r="AI49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{"issue":{"subject":"","project_id":79,"tracker_id":40,"status_id":1,"priority_id":2,"assigned_to_id":338,"start_date":"2017-09-08","description":"","custom_fields":[{"id":1,"name":"Subdivision","value":"EC"},{"id":4,"name":"Milepost","value":"23.3278"},{"id":17,"name":"Train ID","value":"137-08"},{"id":16,"name":"Locomotive ID","value":"4044"},{"id":130,"name":"Impact","value":""},{"id":150,"name":"Time of Event (Mountain Time)","value":"08:52:48"},{"id":151,"name":"Denver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4044 --day 2017-09-08</v>
      </c>
      <c r="AN49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708</v>
      </c>
      <c r="B50" s="7">
        <v>4043</v>
      </c>
      <c r="C50" s="21" t="s">
        <v>197</v>
      </c>
      <c r="D50" s="21" t="s">
        <v>860</v>
      </c>
      <c r="E50" s="13">
        <v>42986.376180555555</v>
      </c>
      <c r="F50" s="13">
        <v>42986.38354166667</v>
      </c>
      <c r="G50" s="7">
        <v>51</v>
      </c>
      <c r="H50" s="21" t="s">
        <v>343</v>
      </c>
      <c r="I50" s="13">
        <v>42986.412245370368</v>
      </c>
      <c r="J50" s="7">
        <v>0</v>
      </c>
      <c r="K50" s="89" t="str">
        <f t="shared" si="0"/>
        <v>4043/4044</v>
      </c>
      <c r="L50" s="214" t="str">
        <f>VLOOKUP(A50,'Trips&amp;Operators'!$C$1:$G$99911,5,FALSE)</f>
        <v>DAVIS WENDY</v>
      </c>
      <c r="M50" s="6">
        <f t="shared" si="1"/>
        <v>2.8703703697829042E-2</v>
      </c>
      <c r="N50" s="7">
        <f t="shared" si="2"/>
        <v>41.33333332487382</v>
      </c>
      <c r="O50" s="7"/>
      <c r="P50" s="7"/>
      <c r="Q50" s="22"/>
      <c r="R50" s="167"/>
      <c r="S50" s="210">
        <f t="shared" si="3"/>
        <v>1</v>
      </c>
      <c r="T50" s="192" t="str">
        <f t="shared" si="4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-09-08T08:01:42-0600',mode:absolute,to:'2017-09-08T10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0" s="194" t="str">
        <f>IF(AA50&lt;VLOOKUP(AG50,Variables!$AC$3:$AD$8,2,FALSE),"Y","N")</f>
        <v>N</v>
      </c>
      <c r="X50" s="194">
        <f t="shared" si="6"/>
        <v>1</v>
      </c>
      <c r="Y50" s="194">
        <f t="shared" si="7"/>
        <v>23.295300000000001</v>
      </c>
      <c r="Z50" s="194">
        <f t="shared" si="8"/>
        <v>1.47E-2</v>
      </c>
      <c r="AA50" s="194">
        <f t="shared" si="9"/>
        <v>23.2806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 t="shared" si="10"/>
        <v>138</v>
      </c>
      <c r="AE50" s="77" t="str">
        <f t="shared" si="11"/>
        <v>aws s3 cp s3://rtdc.mdm.uploadarchive.raw/RTDC4043/ "%USERPROFILE%\AppData\Local\Temp\OnboardLogs"\RTDC4043\2017-09-08 --exclude "*" --recursive --include "*20170908*" &amp; "%USERPROFILE%\Documents\GitHub\mrs-test-scripts\Headless Mode &amp; Sideloading\WalkAndUnGZ.bat" "%USERPROFILE%\AppData\Local\Temp\OnboardLogs"\RTDC4043\2017-09-08 &amp; 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</v>
      </c>
      <c r="AF50" s="74" t="str">
        <f t="shared" si="12"/>
        <v>"C:\Program Files (x86)\AstroGrep\AstroGrep.exe" /e /r /s /spath="%USERPROFILE%\AppData\Local\Temp\OnboardLogs" /stypes="app*4043*20170908*" /stext=" 15:.+((SYSTEM_STATE.+slice.+state.+changed )|(ment ac)|(multiple cpu faults)|(system.+state.+changed )|(\[timeout)|(PRM\|1\|D)|(kpr)|(kdp)|(train st.+moving)|(\|lc)|(penalty))"</v>
      </c>
      <c r="AG50" s="206" t="str">
        <f t="shared" si="13"/>
        <v>EC</v>
      </c>
      <c r="AH50" s="78" t="str">
        <f t="shared" si="18"/>
        <v>"%USERPROFILE%\Documents\GitHub\eaglep3\Utilities\RefineRTDCRunTimes.py" --tripid 138-08 --locoid 4043 --swversion DE.1.0.9.0 --startMP 204:232953 --initTime 2017-09-08T09:01:42 --startdatetime 2017-09-08T09:12:18 --delay 51 --endMP 204:147 --enddatetime 2017-09-08T09:53:38 --enforcementcount 0 &gt;&gt;C:\Users\stu\Documents\GitHub\eaglep3-reporting\EC\2017-09-08-refined-times.txt</v>
      </c>
      <c r="AI50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{"issue":{"subject":"","project_id":79,"tracker_id":40,"status_id":1,"priority_id":2,"assigned_to_id":338,"start_date":"2017-09-08","description":"","custom_fields":[{"id":1,"name":"Subdivision","value":"EC"},{"id":4,"name":"Milepost","value":"0.0147"},{"id":17,"name":"Train ID","value":"138-08"},{"id":16,"name":"Locomotive ID","value":"4043"},{"id":130,"name":"Impact","value":""},{"id":150,"name":"Time of Event (Mountain Time)","value":"09:53:38"},{"id":151,"name":"Denver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4043 --day 2017-09-08</v>
      </c>
      <c r="AN50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15:53:38"},{"id":29,"name":"Sharepoint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699</v>
      </c>
      <c r="B51" s="7">
        <v>4002</v>
      </c>
      <c r="C51" s="21" t="s">
        <v>197</v>
      </c>
      <c r="D51" s="21" t="s">
        <v>362</v>
      </c>
      <c r="E51" s="13">
        <v>42986.347662037035</v>
      </c>
      <c r="F51" s="13">
        <v>42986.354351851849</v>
      </c>
      <c r="G51" s="7">
        <v>46</v>
      </c>
      <c r="H51" s="21" t="s">
        <v>871</v>
      </c>
      <c r="I51" s="13">
        <v>42986.378611111111</v>
      </c>
      <c r="J51" s="7">
        <v>0</v>
      </c>
      <c r="K51" s="89" t="str">
        <f t="shared" si="0"/>
        <v>4001/4002</v>
      </c>
      <c r="L51" s="214" t="str">
        <f>VLOOKUP(A51,'Trips&amp;Operators'!$C$1:$G$99911,5,FALSE)</f>
        <v>YORK EDGAR</v>
      </c>
      <c r="M51" s="6">
        <f t="shared" si="1"/>
        <v>2.4259259262180422E-2</v>
      </c>
      <c r="N51" s="7">
        <f t="shared" si="2"/>
        <v>34.933333337539807</v>
      </c>
      <c r="O51" s="7"/>
      <c r="P51" s="7"/>
      <c r="Q51" s="22"/>
      <c r="R51" s="167"/>
      <c r="S51" s="210">
        <f t="shared" si="3"/>
        <v>1</v>
      </c>
      <c r="T51" s="192" t="str">
        <f t="shared" si="4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-09-08T07:20:38-0600',mode:absolute,to:'2017-09-08T10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194" t="str">
        <f>IF(AA51&lt;VLOOKUP(AG51,Variables!$AC$3:$AD$8,2,FALSE),"Y","N")</f>
        <v>N</v>
      </c>
      <c r="X51" s="194">
        <f t="shared" si="6"/>
        <v>1</v>
      </c>
      <c r="Y51" s="194">
        <f t="shared" si="7"/>
        <v>4.4900000000000002E-2</v>
      </c>
      <c r="Z51" s="194">
        <f t="shared" si="8"/>
        <v>23.33</v>
      </c>
      <c r="AA51" s="194">
        <f t="shared" si="9"/>
        <v>23.2851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10"/>
        <v>139</v>
      </c>
      <c r="AE51" s="77" t="str">
        <f t="shared" si="11"/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51" s="74" t="str">
        <f t="shared" si="12"/>
        <v>"C:\Program Files (x86)\AstroGrep\AstroGrep.exe" /e /r /s /spath="%USERPROFILE%\AppData\Local\Temp\OnboardLogs" /stypes="app*4002*20170908*" /stext=" 15:.+((SYSTEM_STATE.+slice.+state.+changed )|(ment ac)|(multiple cpu faults)|(system.+state.+changed )|(\[timeout)|(PRM\|1\|D)|(kpr)|(kdp)|(train st.+moving)|(\|lc)|(penalty))"</v>
      </c>
      <c r="AG51" s="206" t="str">
        <f t="shared" si="13"/>
        <v>EC</v>
      </c>
      <c r="AH51" s="78" t="str">
        <f t="shared" si="18"/>
        <v>"%USERPROFILE%\Documents\GitHub\eaglep3\Utilities\RefineRTDCRunTimes.py" --tripid 139-08 --locoid 4002 --swversion DE.1.0.9.0 --startMP 204:449 --initTime 2017-09-08T08:20:38 --startdatetime 2017-09-08T08:30:16 --delay 46 --endMP 204:233300 --enddatetime 2017-09-08T09:05:12 --enforcementcount 0 &gt;&gt;C:\Users\stu\Documents\GitHub\eaglep3-reporting\EC\2017-09-08-refined-times.txt</v>
      </c>
      <c r="AI51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{"issue":{"subject":"","project_id":79,"tracker_id":40,"status_id":1,"priority_id":2,"assigned_to_id":338,"start_date":"2017-09-08","description":"","custom_fields":[{"id":1,"name":"Subdivision","value":"EC"},{"id":4,"name":"Milepost","value":"23.33"},{"id":17,"name":"Train ID","value":"139-08"},{"id":16,"name":"Locomotive ID","value":"4002"},{"id":130,"name":"Impact","value":""},{"id":150,"name":"Time of Event (Mountain Time)","value":"09:05:12"},{"id":151,"name":"Denver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4002 --day 2017-09-08</v>
      </c>
      <c r="AN51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15:05:12"},{"id":29,"name":"Sharepoint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709</v>
      </c>
      <c r="B52" s="7">
        <v>4001</v>
      </c>
      <c r="C52" s="21" t="s">
        <v>197</v>
      </c>
      <c r="D52" s="21" t="s">
        <v>380</v>
      </c>
      <c r="E52" s="13">
        <v>42986.379537037035</v>
      </c>
      <c r="F52" s="13">
        <v>42986.394016203703</v>
      </c>
      <c r="G52" s="7">
        <v>44</v>
      </c>
      <c r="H52" s="21" t="s">
        <v>464</v>
      </c>
      <c r="I52" s="13">
        <v>42986.419699074075</v>
      </c>
      <c r="J52" s="7">
        <v>0</v>
      </c>
      <c r="K52" s="89" t="str">
        <f t="shared" si="0"/>
        <v>4001/4002</v>
      </c>
      <c r="L52" s="214" t="str">
        <f>VLOOKUP(A52,'Trips&amp;Operators'!$C$1:$G$99911,5,FALSE)</f>
        <v>YORK EDGAR</v>
      </c>
      <c r="M52" s="6">
        <f t="shared" si="1"/>
        <v>2.5682870371383615E-2</v>
      </c>
      <c r="N52" s="7">
        <f t="shared" si="2"/>
        <v>36.983333334792405</v>
      </c>
      <c r="O52" s="7"/>
      <c r="P52" s="7"/>
      <c r="Q52" s="22"/>
      <c r="R52" s="167"/>
      <c r="S52" s="210">
        <f t="shared" si="3"/>
        <v>1</v>
      </c>
      <c r="T52" s="192" t="str">
        <f t="shared" si="4"/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-09-08T08:06:32-0600',mode:absolute,to:'2017-09-08T11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194" t="str">
        <f>IF(AA52&lt;VLOOKUP(AG52,Variables!$AC$3:$AD$8,2,FALSE),"Y","N")</f>
        <v>N</v>
      </c>
      <c r="X52" s="194">
        <f t="shared" si="6"/>
        <v>1</v>
      </c>
      <c r="Y52" s="194">
        <f t="shared" si="7"/>
        <v>23.297699999999999</v>
      </c>
      <c r="Z52" s="194">
        <f t="shared" si="8"/>
        <v>1.3899999999999999E-2</v>
      </c>
      <c r="AA52" s="194">
        <f t="shared" si="9"/>
        <v>23.283799999999999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si="10"/>
        <v>140</v>
      </c>
      <c r="AE52" s="77" t="str">
        <f t="shared" si="11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52" s="74" t="str">
        <f t="shared" si="12"/>
        <v>"C:\Program Files (x86)\AstroGrep\AstroGrep.exe" /e /r /s /spath="%USERPROFILE%\AppData\Local\Temp\OnboardLogs" /stypes="app*4001*20170908*" /stext=" 16:.+((SYSTEM_STATE.+slice.+state.+changed )|(ment ac)|(multiple cpu faults)|(system.+state.+changed )|(\[timeout)|(PRM\|1\|D)|(kpr)|(kdp)|(train st.+moving)|(\|lc)|(penalty))"</v>
      </c>
      <c r="AG52" s="206" t="str">
        <f t="shared" si="13"/>
        <v>EC</v>
      </c>
      <c r="AH52" s="78" t="str">
        <f t="shared" si="18"/>
        <v>"%USERPROFILE%\Documents\GitHub\eaglep3\Utilities\RefineRTDCRunTimes.py" --tripid 140-08 --locoid 4001 --swversion DE.1.0.9.0 --startMP 204:232977 --initTime 2017-09-08T09:06:32 --startdatetime 2017-09-08T09:27:23 --delay 44 --endMP 204:139 --enddatetime 2017-09-08T10:04:22 --enforcementcount 0 &gt;&gt;C:\Users\stu\Documents\GitHub\eaglep3-reporting\EC\2017-09-08-refined-times.txt</v>
      </c>
      <c r="AI52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{"issue":{"subject":"","project_id":79,"tracker_id":40,"status_id":1,"priority_id":2,"assigned_to_id":338,"start_date":"2017-09-08","description":"","custom_fields":[{"id":1,"name":"Subdivision","value":"EC"},{"id":4,"name":"Milepost","value":"0.0139"},{"id":17,"name":"Train ID","value":"140-08"},{"id":16,"name":"Locomotive ID","value":"4001"},{"id":130,"name":"Impact","value":""},{"id":150,"name":"Time of Event (Mountain Time)","value":"10:04:22"},{"id":151,"name":"Denver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4001 --day 2017-09-08</v>
      </c>
      <c r="AN52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16:04:22"},{"id":29,"name":"Sharepoint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704</v>
      </c>
      <c r="B53" s="7">
        <v>4058</v>
      </c>
      <c r="C53" s="21" t="s">
        <v>197</v>
      </c>
      <c r="D53" s="21" t="s">
        <v>351</v>
      </c>
      <c r="E53" s="13">
        <v>42986.363819444443</v>
      </c>
      <c r="F53" s="13">
        <v>42986.365057870367</v>
      </c>
      <c r="G53" s="7">
        <v>52</v>
      </c>
      <c r="H53" s="21" t="s">
        <v>872</v>
      </c>
      <c r="I53" s="13">
        <v>42986.389074074075</v>
      </c>
      <c r="J53" s="7">
        <v>0</v>
      </c>
      <c r="K53" s="89" t="str">
        <f t="shared" si="0"/>
        <v>4057/4058</v>
      </c>
      <c r="L53" s="214" t="str">
        <f>VLOOKUP(A53,'Trips&amp;Operators'!$C$1:$G$99911,5,FALSE)</f>
        <v>MACDONALD THOMAS</v>
      </c>
      <c r="M53" s="6">
        <f t="shared" si="1"/>
        <v>2.4016203708015382E-2</v>
      </c>
      <c r="N53" s="7">
        <f t="shared" si="2"/>
        <v>34.58333333954215</v>
      </c>
      <c r="O53" s="7"/>
      <c r="P53" s="7"/>
      <c r="Q53" s="22"/>
      <c r="R53" s="167"/>
      <c r="S53" s="210">
        <f t="shared" si="3"/>
        <v>1</v>
      </c>
      <c r="T53" s="192" t="str">
        <f t="shared" si="4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-09-08T07:43:54-0600',mode:absolute,to:'2017-09-08T10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3" s="194" t="str">
        <f>IF(AA53&lt;VLOOKUP(AG53,Variables!$AC$3:$AD$8,2,FALSE),"Y","N")</f>
        <v>N</v>
      </c>
      <c r="X53" s="194">
        <f t="shared" si="6"/>
        <v>1</v>
      </c>
      <c r="Y53" s="194">
        <f t="shared" si="7"/>
        <v>4.5499999999999999E-2</v>
      </c>
      <c r="Z53" s="194">
        <f t="shared" si="8"/>
        <v>23.3263</v>
      </c>
      <c r="AA53" s="194">
        <f t="shared" si="9"/>
        <v>23.280799999999999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10"/>
        <v>141</v>
      </c>
      <c r="AE53" s="77" t="str">
        <f t="shared" si="11"/>
        <v>aws s3 cp s3://rtdc.mdm.uploadarchive.raw/RTDC4058/ "%USERPROFILE%\AppData\Local\Temp\OnboardLogs"\RTDC4058\2017-09-08 --exclude "*" --recursive --include "*20170908*" &amp; "%USERPROFILE%\Documents\GitHub\mrs-test-scripts\Headless Mode &amp; Sideloading\WalkAndUnGZ.bat" "%USERPROFILE%\AppData\Local\Temp\OnboardLogs"\RTDC4058\2017-09-08 &amp; 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</v>
      </c>
      <c r="AF53" s="74" t="str">
        <f t="shared" si="12"/>
        <v>"C:\Program Files (x86)\AstroGrep\AstroGrep.exe" /e /r /s /spath="%USERPROFILE%\AppData\Local\Temp\OnboardLogs" /stypes="app*4058*20170908*" /stext=" 15:.+((SYSTEM_STATE.+slice.+state.+changed )|(ment ac)|(multiple cpu faults)|(system.+state.+changed )|(\[timeout)|(PRM\|1\|D)|(kpr)|(kdp)|(train st.+moving)|(\|lc)|(penalty))"</v>
      </c>
      <c r="AG53" s="206" t="str">
        <f t="shared" si="13"/>
        <v>EC</v>
      </c>
      <c r="AH53" s="78" t="str">
        <f t="shared" si="18"/>
        <v>"%USERPROFILE%\Documents\GitHub\eaglep3\Utilities\RefineRTDCRunTimes.py" --tripid 141-08 --locoid 4058 --swversion DE.1.0.9.0 --startMP 204:455 --initTime 2017-09-08T08:43:54 --startdatetime 2017-09-08T08:45:41 --delay 52 --endMP 204:233263 --enddatetime 2017-09-08T09:20:16 --enforcementcount 0 &gt;&gt;C:\Users\stu\Documents\GitHub\eaglep3-reporting\EC\2017-09-08-refined-times.txt</v>
      </c>
      <c r="AI53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{"issue":{"subject":"","project_id":79,"tracker_id":40,"status_id":1,"priority_id":2,"assigned_to_id":338,"start_date":"2017-09-08","description":"","custom_fields":[{"id":1,"name":"Subdivision","value":"EC"},{"id":4,"name":"Milepost","value":"23.3263"},{"id":17,"name":"Train ID","value":"141-08"},{"id":16,"name":"Locomotive ID","value":"4058"},{"id":130,"name":"Impact","value":""},{"id":150,"name":"Time of Event (Mountain Time)","value":"09:20:16"},{"id":151,"name":"Denver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4058 --day 2017-09-08</v>
      </c>
      <c r="AN53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15:20:16"},{"id":29,"name":"Sharepoint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716</v>
      </c>
      <c r="B54" s="7">
        <v>4057</v>
      </c>
      <c r="C54" s="21" t="s">
        <v>197</v>
      </c>
      <c r="D54" s="21" t="s">
        <v>873</v>
      </c>
      <c r="E54" s="13">
        <v>42986.403217592589</v>
      </c>
      <c r="F54" s="13">
        <v>42986.40520833333</v>
      </c>
      <c r="G54" s="7">
        <v>89</v>
      </c>
      <c r="H54" s="21" t="s">
        <v>386</v>
      </c>
      <c r="I54" s="13">
        <v>42986.432766203703</v>
      </c>
      <c r="J54" s="7">
        <v>0</v>
      </c>
      <c r="K54" s="89" t="str">
        <f t="shared" si="0"/>
        <v>4057/4058</v>
      </c>
      <c r="L54" s="214" t="str">
        <f>VLOOKUP(A54,'Trips&amp;Operators'!$C$1:$G$99911,5,FALSE)</f>
        <v>MACDONALD THOMAS</v>
      </c>
      <c r="M54" s="6">
        <f t="shared" si="1"/>
        <v>2.7557870373129845E-2</v>
      </c>
      <c r="N54" s="7">
        <f t="shared" si="2"/>
        <v>39.683333337306976</v>
      </c>
      <c r="O54" s="7"/>
      <c r="P54" s="7"/>
      <c r="Q54" s="22"/>
      <c r="R54" s="167"/>
      <c r="S54" s="210">
        <f t="shared" si="3"/>
        <v>1</v>
      </c>
      <c r="T54" s="192" t="str">
        <f t="shared" si="4"/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-09-08T08:40:38-0600',mode:absolute,to:'2017-09-08T11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4" s="194" t="str">
        <f>IF(AA54&lt;VLOOKUP(AG54,Variables!$AC$3:$AD$8,2,FALSE),"Y","N")</f>
        <v>N</v>
      </c>
      <c r="X54" s="194">
        <f t="shared" si="6"/>
        <v>1</v>
      </c>
      <c r="Y54" s="194">
        <f t="shared" si="7"/>
        <v>23.295200000000001</v>
      </c>
      <c r="Z54" s="194">
        <f t="shared" si="8"/>
        <v>1.61E-2</v>
      </c>
      <c r="AA54" s="194">
        <f t="shared" si="9"/>
        <v>23.2791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10"/>
        <v>142</v>
      </c>
      <c r="AE54" s="77" t="str">
        <f t="shared" si="11"/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AF54" s="74" t="str">
        <f t="shared" si="12"/>
        <v>"C:\Program Files (x86)\AstroGrep\AstroGrep.exe" /e /r /s /spath="%USERPROFILE%\AppData\Local\Temp\OnboardLogs" /stypes="app*4057*20170908*" /stext=" 16:.+((SYSTEM_STATE.+slice.+state.+changed )|(ment ac)|(multiple cpu faults)|(system.+state.+changed )|(\[timeout)|(PRM\|1\|D)|(kpr)|(kdp)|(train st.+moving)|(\|lc)|(penalty))"</v>
      </c>
      <c r="AG54" s="206" t="str">
        <f t="shared" si="13"/>
        <v>EC</v>
      </c>
      <c r="AH54" s="78" t="str">
        <f t="shared" si="18"/>
        <v>"%USERPROFILE%\Documents\GitHub\eaglep3\Utilities\RefineRTDCRunTimes.py" --tripid 142-08 --locoid 4057 --swversion DE.1.0.9.0 --startMP 204:232952 --initTime 2017-09-08T09:40:38 --startdatetime 2017-09-08T09:43:30 --delay 89 --endMP 204:161 --enddatetime 2017-09-08T10:23:11 --enforcementcount 0 &gt;&gt;C:\Users\stu\Documents\GitHub\eaglep3-reporting\EC\2017-09-08-refined-times.txt</v>
      </c>
      <c r="AI54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{"issue":{"subject":"","project_id":79,"tracker_id":40,"status_id":1,"priority_id":2,"assigned_to_id":338,"start_date":"2017-09-08","description":"","custom_fields":[{"id":1,"name":"Subdivision","value":"EC"},{"id":4,"name":"Milepost","value":"0.0161"},{"id":17,"name":"Train ID","value":"142-08"},{"id":16,"name":"Locomotive ID","value":"4057"},{"id":130,"name":"Impact","value":""},{"id":150,"name":"Time of Event (Mountain Time)","value":"10:23:11"},{"id":151,"name":"Denver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4057 --day 2017-09-08</v>
      </c>
      <c r="AN54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16:23:11"},{"id":29,"name":"Sharepoint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706</v>
      </c>
      <c r="B55" s="7">
        <v>4062</v>
      </c>
      <c r="C55" s="21" t="s">
        <v>197</v>
      </c>
      <c r="D55" s="21" t="s">
        <v>580</v>
      </c>
      <c r="E55" s="13">
        <v>42986.371030092596</v>
      </c>
      <c r="F55" s="13">
        <v>42986.375381944446</v>
      </c>
      <c r="G55" s="7">
        <v>57</v>
      </c>
      <c r="H55" s="21" t="s">
        <v>570</v>
      </c>
      <c r="I55" s="13">
        <v>42986.400046296294</v>
      </c>
      <c r="J55" s="7">
        <v>0</v>
      </c>
      <c r="K55" s="89" t="str">
        <f t="shared" si="0"/>
        <v>4061/4062</v>
      </c>
      <c r="L55" s="214" t="str">
        <f>VLOOKUP(A55,'Trips&amp;Operators'!$C$1:$G$99911,5,FALSE)</f>
        <v>MAELZER KURT</v>
      </c>
      <c r="M55" s="6">
        <f t="shared" si="1"/>
        <v>2.4664351847604848E-2</v>
      </c>
      <c r="N55" s="7">
        <f t="shared" si="2"/>
        <v>35.516666660550982</v>
      </c>
      <c r="O55" s="7"/>
      <c r="P55" s="7"/>
      <c r="Q55" s="22"/>
      <c r="R55" s="167"/>
      <c r="S55" s="210">
        <f t="shared" si="3"/>
        <v>1</v>
      </c>
      <c r="T55" s="192" t="str">
        <f t="shared" si="4"/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-09-08T07:54:17-0600',mode:absolute,to:'2017-09-08T10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5" s="194" t="str">
        <f>IF(AA55&lt;VLOOKUP(AG55,Variables!$AC$3:$AD$8,2,FALSE),"Y","N")</f>
        <v>N</v>
      </c>
      <c r="X55" s="194">
        <f t="shared" si="6"/>
        <v>1</v>
      </c>
      <c r="Y55" s="194">
        <f t="shared" si="7"/>
        <v>4.4400000000000002E-2</v>
      </c>
      <c r="Z55" s="194">
        <f t="shared" si="8"/>
        <v>23.3306</v>
      </c>
      <c r="AA55" s="194">
        <f t="shared" si="9"/>
        <v>23.286200000000001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10"/>
        <v>143</v>
      </c>
      <c r="AE55" s="77" t="str">
        <f t="shared" si="11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55" s="74" t="str">
        <f t="shared" si="12"/>
        <v>"C:\Program Files (x86)\AstroGrep\AstroGrep.exe" /e /r /s /spath="%USERPROFILE%\AppData\Local\Temp\OnboardLogs" /stypes="app*4062*20170908*" /stext=" 15:.+((SYSTEM_STATE.+slice.+state.+changed )|(ment ac)|(multiple cpu faults)|(system.+state.+changed )|(\[timeout)|(PRM\|1\|D)|(kpr)|(kdp)|(train st.+moving)|(\|lc)|(penalty))"</v>
      </c>
      <c r="AG55" s="206" t="str">
        <f t="shared" si="13"/>
        <v>EC</v>
      </c>
      <c r="AH55" s="78" t="str">
        <f t="shared" si="18"/>
        <v>"%USERPROFILE%\Documents\GitHub\eaglep3\Utilities\RefineRTDCRunTimes.py" --tripid 143-08 --locoid 4062 --swversion DE.1.0.9.0 --startMP 204:444 --initTime 2017-09-08T08:54:17 --startdatetime 2017-09-08T09:00:33 --delay 57 --endMP 204:233306 --enddatetime 2017-09-08T09:36:04 --enforcementcount 0 &gt;&gt;C:\Users\stu\Documents\GitHub\eaglep3-reporting\EC\2017-09-08-refined-times.txt</v>
      </c>
      <c r="AI55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{"issue":{"subject":"","project_id":79,"tracker_id":40,"status_id":1,"priority_id":2,"assigned_to_id":338,"start_date":"2017-09-08","description":"","custom_fields":[{"id":1,"name":"Subdivision","value":"EC"},{"id":4,"name":"Milepost","value":"23.3306"},{"id":17,"name":"Train ID","value":"143-08"},{"id":16,"name":"Locomotive ID","value":"4062"},{"id":130,"name":"Impact","value":""},{"id":150,"name":"Time of Event (Mountain Time)","value":"09:36:04"},{"id":151,"name":"Denver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4062 --day 2017-09-08</v>
      </c>
      <c r="AN55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15:36:04"},{"id":29,"name":"Sharepoint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717</v>
      </c>
      <c r="B56" s="7">
        <v>4061</v>
      </c>
      <c r="C56" s="21" t="s">
        <v>197</v>
      </c>
      <c r="D56" s="21" t="s">
        <v>865</v>
      </c>
      <c r="E56" s="13">
        <v>42986.40552083333</v>
      </c>
      <c r="F56" s="13">
        <v>42986.414814814816</v>
      </c>
      <c r="G56" s="7">
        <v>74</v>
      </c>
      <c r="H56" s="21" t="s">
        <v>368</v>
      </c>
      <c r="I56" s="13">
        <v>42986.442002314812</v>
      </c>
      <c r="J56" s="7">
        <v>0</v>
      </c>
      <c r="K56" s="89" t="str">
        <f t="shared" si="0"/>
        <v>4061/4062</v>
      </c>
      <c r="L56" s="214" t="str">
        <f>VLOOKUP(A56,'Trips&amp;Operators'!$C$1:$G$99911,5,FALSE)</f>
        <v>MAELZER KURT</v>
      </c>
      <c r="M56" s="6">
        <f t="shared" si="1"/>
        <v>2.7187499996216502E-2</v>
      </c>
      <c r="N56" s="7">
        <f t="shared" si="2"/>
        <v>39.149999994551763</v>
      </c>
      <c r="O56" s="7"/>
      <c r="P56" s="7"/>
      <c r="Q56" s="22"/>
      <c r="R56" s="167"/>
      <c r="S56" s="210">
        <f t="shared" si="3"/>
        <v>1</v>
      </c>
      <c r="T56" s="192" t="str">
        <f t="shared" si="4"/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-09-08T08:43:57-0600',mode:absolute,to:'2017-09-08T11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6" s="194" t="str">
        <f>IF(AA56&lt;VLOOKUP(AG56,Variables!$AC$3:$AD$8,2,FALSE),"Y","N")</f>
        <v>N</v>
      </c>
      <c r="X56" s="194">
        <f t="shared" si="6"/>
        <v>1</v>
      </c>
      <c r="Y56" s="194">
        <f t="shared" si="7"/>
        <v>23.298300000000001</v>
      </c>
      <c r="Z56" s="194">
        <f t="shared" si="8"/>
        <v>1.4500000000000001E-2</v>
      </c>
      <c r="AA56" s="194">
        <f t="shared" si="9"/>
        <v>23.283799999999999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10"/>
        <v>144</v>
      </c>
      <c r="AE56" s="77" t="str">
        <f t="shared" si="11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56" s="74" t="str">
        <f t="shared" si="12"/>
        <v>"C:\Program Files (x86)\AstroGrep\AstroGrep.exe" /e /r /s /spath="%USERPROFILE%\AppData\Local\Temp\OnboardLogs" /stypes="app*4061*20170908*" /stext=" 16:.+((SYSTEM_STATE.+slice.+state.+changed )|(ment ac)|(multiple cpu faults)|(system.+state.+changed )|(\[timeout)|(PRM\|1\|D)|(kpr)|(kdp)|(train st.+moving)|(\|lc)|(penalty))"</v>
      </c>
      <c r="AG56" s="206" t="str">
        <f t="shared" si="13"/>
        <v>EC</v>
      </c>
      <c r="AH56" s="78" t="str">
        <f t="shared" si="18"/>
        <v>"%USERPROFILE%\Documents\GitHub\eaglep3\Utilities\RefineRTDCRunTimes.py" --tripid 144-08 --locoid 4061 --swversion DE.1.0.9.0 --startMP 204:232983 --initTime 2017-09-08T09:43:57 --startdatetime 2017-09-08T09:57:20 --delay 74 --endMP 204:145 --enddatetime 2017-09-08T10:36:29 --enforcementcount 0 &gt;&gt;C:\Users\stu\Documents\GitHub\eaglep3-reporting\EC\2017-09-08-refined-times.txt</v>
      </c>
      <c r="AI56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{"issue":{"subject":"","project_id":79,"tracker_id":40,"status_id":1,"priority_id":2,"assigned_to_id":338,"start_date":"2017-09-08","description":"","custom_fields":[{"id":1,"name":"Subdivision","value":"EC"},{"id":4,"name":"Milepost","value":"0.0145"},{"id":17,"name":"Train ID","value":"144-08"},{"id":16,"name":"Locomotive ID","value":"4061"},{"id":130,"name":"Impact","value":""},{"id":150,"name":"Time of Event (Mountain Time)","value":"10:36:29"},{"id":151,"name":"Denver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4061 --day 2017-09-08</v>
      </c>
      <c r="AN56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16:36:29"},{"id":29,"name":"Sharepoint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710</v>
      </c>
      <c r="B57" s="7">
        <v>4032</v>
      </c>
      <c r="C57" s="21" t="s">
        <v>197</v>
      </c>
      <c r="D57" s="21" t="s">
        <v>366</v>
      </c>
      <c r="E57" s="13">
        <v>42986.380173611113</v>
      </c>
      <c r="F57" s="13">
        <v>42986.385601851849</v>
      </c>
      <c r="G57" s="7">
        <v>65</v>
      </c>
      <c r="H57" s="21" t="s">
        <v>454</v>
      </c>
      <c r="I57" s="13">
        <v>42986.409513888888</v>
      </c>
      <c r="J57" s="7">
        <v>0</v>
      </c>
      <c r="K57" s="89" t="str">
        <f t="shared" si="0"/>
        <v>4031/4032</v>
      </c>
      <c r="L57" s="214" t="str">
        <f>VLOOKUP(A57,'Trips&amp;Operators'!$C$1:$G$99911,5,FALSE)</f>
        <v>YANAI IAN</v>
      </c>
      <c r="M57" s="6">
        <f t="shared" si="1"/>
        <v>2.3912037038826384E-2</v>
      </c>
      <c r="N57" s="7">
        <f t="shared" si="2"/>
        <v>34.433333335909992</v>
      </c>
      <c r="O57" s="7"/>
      <c r="P57" s="7"/>
      <c r="Q57" s="22"/>
      <c r="R57" s="167"/>
      <c r="S57" s="210">
        <f t="shared" si="3"/>
        <v>1</v>
      </c>
      <c r="T57" s="192" t="str">
        <f t="shared" si="4"/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-09-08T08:07:27-0600',mode:absolute,to:'2017-09-08T10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7" s="194" t="str">
        <f>IF(AA57&lt;VLOOKUP(AG57,Variables!$AC$3:$AD$8,2,FALSE),"Y","N")</f>
        <v>N</v>
      </c>
      <c r="X57" s="194">
        <f t="shared" si="6"/>
        <v>1</v>
      </c>
      <c r="Y57" s="194">
        <f t="shared" si="7"/>
        <v>4.6399999999999997E-2</v>
      </c>
      <c r="Z57" s="194">
        <f t="shared" si="8"/>
        <v>23.3293</v>
      </c>
      <c r="AA57" s="194">
        <f t="shared" si="9"/>
        <v>23.282900000000001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10"/>
        <v>145</v>
      </c>
      <c r="AE57" s="77" t="str">
        <f t="shared" si="11"/>
        <v>aws s3 cp s3://rtdc.mdm.uploadarchive.raw/RTDC4032/ "%USERPROFILE%\AppData\Local\Temp\OnboardLogs"\RTDC4032\2017-09-08 --exclude "*" --recursive --include "*20170908*" &amp; "%USERPROFILE%\Documents\GitHub\mrs-test-scripts\Headless Mode &amp; Sideloading\WalkAndUnGZ.bat" "%USERPROFILE%\AppData\Local\Temp\OnboardLogs"\RTDC4032\2017-09-08 &amp; aws s3 cp s3://rtdc.mdm.uploadarchive.raw/RTDC4032/ "%USERPROFILE%\AppData\Local\Temp\OnboardLogs"\RTDC4032\2017-09-09 --exclude "*" --recursive --include "*20170909*" &amp; "%USERPROFILE%\Documents\GitHub\mrs-test-scripts\Headless Mode &amp; Sideloading\WalkAndUnGZ.bat" "%USERPROFILE%\AppData\Local\Temp\OnboardLogs"\RTDC4032\2017-09-09</v>
      </c>
      <c r="AF57" s="74" t="str">
        <f t="shared" si="12"/>
        <v>"C:\Program Files (x86)\AstroGrep\AstroGrep.exe" /e /r /s /spath="%USERPROFILE%\AppData\Local\Temp\OnboardLogs" /stypes="app*4032*20170908*" /stext=" 15:.+((SYSTEM_STATE.+slice.+state.+changed )|(ment ac)|(multiple cpu faults)|(system.+state.+changed )|(\[timeout)|(PRM\|1\|D)|(kpr)|(kdp)|(train st.+moving)|(\|lc)|(penalty))"</v>
      </c>
      <c r="AG57" s="206" t="str">
        <f t="shared" si="13"/>
        <v>EC</v>
      </c>
      <c r="AH57" s="78" t="str">
        <f t="shared" si="18"/>
        <v>"%USERPROFILE%\Documents\GitHub\eaglep3\Utilities\RefineRTDCRunTimes.py" --tripid 145-08 --locoid 4032 --swversion DE.1.0.9.0 --startMP 204:464 --initTime 2017-09-08T09:07:27 --startdatetime 2017-09-08T09:15:16 --delay 65 --endMP 204:233293 --enddatetime 2017-09-08T09:49:42 --enforcementcount 0 &gt;&gt;C:\Users\stu\Documents\GitHub\eaglep3-reporting\EC\2017-09-08-refined-times.txt</v>
      </c>
      <c r="AI57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{"issue":{"subject":"","project_id":79,"tracker_id":40,"status_id":1,"priority_id":2,"assigned_to_id":338,"start_date":"2017-09-08","description":"","custom_fields":[{"id":1,"name":"Subdivision","value":"EC"},{"id":4,"name":"Milepost","value":"23.3293"},{"id":17,"name":"Train ID","value":"145-08"},{"id":16,"name":"Locomotive ID","value":"4032"},{"id":130,"name":"Impact","value":""},{"id":150,"name":"Time of Event (Mountain Time)","value":"09:49:42"},{"id":151,"name":"Denver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4032 --day 2017-09-08</v>
      </c>
      <c r="AN57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15:49:42"},{"id":29,"name":"Sharepoint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718</v>
      </c>
      <c r="B58" s="7">
        <v>4031</v>
      </c>
      <c r="C58" s="21" t="s">
        <v>197</v>
      </c>
      <c r="D58" s="21" t="s">
        <v>874</v>
      </c>
      <c r="E58" s="13">
        <v>42986.411087962966</v>
      </c>
      <c r="F58" s="13">
        <v>42986.425196759257</v>
      </c>
      <c r="G58" s="7">
        <v>72</v>
      </c>
      <c r="H58" s="21" t="s">
        <v>369</v>
      </c>
      <c r="I58" s="13">
        <v>42986.451585648145</v>
      </c>
      <c r="J58" s="7">
        <v>0</v>
      </c>
      <c r="K58" s="89" t="str">
        <f t="shared" si="0"/>
        <v>4031/4032</v>
      </c>
      <c r="L58" s="214" t="str">
        <f>VLOOKUP(A58,'Trips&amp;Operators'!$C$1:$G$99911,5,FALSE)</f>
        <v>YANAI IAN</v>
      </c>
      <c r="M58" s="6">
        <f t="shared" si="1"/>
        <v>2.6388888887595385E-2</v>
      </c>
      <c r="N58" s="7">
        <f t="shared" si="2"/>
        <v>37.999999998137355</v>
      </c>
      <c r="O58" s="7"/>
      <c r="P58" s="7"/>
      <c r="Q58" s="22"/>
      <c r="R58" s="167"/>
      <c r="S58" s="210">
        <f t="shared" si="3"/>
        <v>1</v>
      </c>
      <c r="T58" s="192" t="str">
        <f t="shared" si="4"/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-09-08T08:51:58-0600',mode:absolute,to:'2017-09-08T11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8" s="194" t="str">
        <f>IF(AA58&lt;VLOOKUP(AG58,Variables!$AC$3:$AD$8,2,FALSE),"Y","N")</f>
        <v>N</v>
      </c>
      <c r="X58" s="194">
        <f t="shared" si="6"/>
        <v>1</v>
      </c>
      <c r="Y58" s="194">
        <f t="shared" si="7"/>
        <v>23.296900000000001</v>
      </c>
      <c r="Z58" s="194">
        <f t="shared" si="8"/>
        <v>1.38E-2</v>
      </c>
      <c r="AA58" s="194">
        <f t="shared" si="9"/>
        <v>23.283100000000001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10"/>
        <v>146</v>
      </c>
      <c r="AE58" s="77" t="str">
        <f t="shared" si="11"/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AF58" s="74" t="str">
        <f t="shared" si="12"/>
        <v>"C:\Program Files (x86)\AstroGrep\AstroGrep.exe" /e /r /s /spath="%USERPROFILE%\AppData\Local\Temp\OnboardLogs" /stypes="app*4031*20170908*" /stext=" 16:.+((SYSTEM_STATE.+slice.+state.+changed )|(ment ac)|(multiple cpu faults)|(system.+state.+changed )|(\[timeout)|(PRM\|1\|D)|(kpr)|(kdp)|(train st.+moving)|(\|lc)|(penalty))"</v>
      </c>
      <c r="AG58" s="206" t="str">
        <f t="shared" si="13"/>
        <v>EC</v>
      </c>
      <c r="AH58" s="78" t="str">
        <f t="shared" si="18"/>
        <v>"%USERPROFILE%\Documents\GitHub\eaglep3\Utilities\RefineRTDCRunTimes.py" --tripid 146-08 --locoid 4031 --swversion DE.1.0.9.0 --startMP 204:232969 --initTime 2017-09-08T09:51:58 --startdatetime 2017-09-08T10:12:17 --delay 72 --endMP 204:138 --enddatetime 2017-09-08T10:50:17 --enforcementcount 0 &gt;&gt;C:\Users\stu\Documents\GitHub\eaglep3-reporting\EC\2017-09-08-refined-times.txt</v>
      </c>
      <c r="AI58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{"issue":{"subject":"","project_id":79,"tracker_id":40,"status_id":1,"priority_id":2,"assigned_to_id":338,"start_date":"2017-09-08","description":"","custom_fields":[{"id":1,"name":"Subdivision","value":"EC"},{"id":4,"name":"Milepost","value":"0.0138"},{"id":17,"name":"Train ID","value":"146-08"},{"id":16,"name":"Locomotive ID","value":"4031"},{"id":130,"name":"Impact","value":""},{"id":150,"name":"Time of Event (Mountain Time)","value":"10:50:17"},{"id":151,"name":"Denver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4031 --day 2017-09-08</v>
      </c>
      <c r="AN58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16:50:17"},{"id":29,"name":"Sharepoint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713</v>
      </c>
      <c r="B59" s="7">
        <v>4006</v>
      </c>
      <c r="C59" s="21" t="s">
        <v>197</v>
      </c>
      <c r="D59" s="21" t="s">
        <v>337</v>
      </c>
      <c r="E59" s="13">
        <v>42986.389722222222</v>
      </c>
      <c r="F59" s="13">
        <v>42986.396226851852</v>
      </c>
      <c r="G59" s="7">
        <v>96</v>
      </c>
      <c r="H59" s="21" t="s">
        <v>875</v>
      </c>
      <c r="I59" s="13">
        <v>42986.422002314815</v>
      </c>
      <c r="J59" s="7">
        <v>0</v>
      </c>
      <c r="K59" s="89" t="str">
        <f t="shared" si="0"/>
        <v>4005/4006</v>
      </c>
      <c r="L59" s="214" t="str">
        <f>VLOOKUP(A59,'Trips&amp;Operators'!$C$1:$G$99911,5,FALSE)</f>
        <v>BONDS REYNALDO</v>
      </c>
      <c r="M59" s="6">
        <f t="shared" si="1"/>
        <v>2.5775462963792961E-2</v>
      </c>
      <c r="N59" s="7">
        <f t="shared" si="2"/>
        <v>37.116666667861864</v>
      </c>
      <c r="O59" s="7"/>
      <c r="P59" s="7"/>
      <c r="Q59" s="22"/>
      <c r="R59" s="167"/>
      <c r="S59" s="210">
        <f t="shared" si="3"/>
        <v>1</v>
      </c>
      <c r="T59" s="192" t="str">
        <f t="shared" si="4"/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-09-08T08:21:12-0600',mode:absolute,to:'2017-09-08T11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9" s="194" t="str">
        <f>IF(AA59&lt;VLOOKUP(AG59,Variables!$AC$3:$AD$8,2,FALSE),"Y","N")</f>
        <v>N</v>
      </c>
      <c r="X59" s="194">
        <f t="shared" si="6"/>
        <v>1</v>
      </c>
      <c r="Y59" s="194">
        <f t="shared" si="7"/>
        <v>4.4600000000000001E-2</v>
      </c>
      <c r="Z59" s="194">
        <f t="shared" si="8"/>
        <v>23.336300000000001</v>
      </c>
      <c r="AA59" s="194">
        <f t="shared" si="9"/>
        <v>23.291700000000002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10"/>
        <v>147</v>
      </c>
      <c r="AE59" s="77" t="str">
        <f t="shared" si="11"/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AF59" s="74" t="str">
        <f t="shared" si="12"/>
        <v>"C:\Program Files (x86)\AstroGrep\AstroGrep.exe" /e /r /s /spath="%USERPROFILE%\AppData\Local\Temp\OnboardLogs" /stypes="app*4006*20170908*" /stext=" 16:.+((SYSTEM_STATE.+slice.+state.+changed )|(ment ac)|(multiple cpu faults)|(system.+state.+changed )|(\[timeout)|(PRM\|1\|D)|(kpr)|(kdp)|(train st.+moving)|(\|lc)|(penalty))"</v>
      </c>
      <c r="AG59" s="206" t="str">
        <f t="shared" si="13"/>
        <v>EC</v>
      </c>
      <c r="AH59" s="78" t="str">
        <f t="shared" si="18"/>
        <v>"%USERPROFILE%\Documents\GitHub\eaglep3\Utilities\RefineRTDCRunTimes.py" --tripid 147-08 --locoid 4006 --swversion DE.1.0.9.0 --startMP 204:446 --initTime 2017-09-08T09:21:12 --startdatetime 2017-09-08T09:30:34 --delay 96 --endMP 204:233363 --enddatetime 2017-09-08T10:07:41 --enforcementcount 0 &gt;&gt;C:\Users\stu\Documents\GitHub\eaglep3-reporting\EC\2017-09-08-refined-times.txt</v>
      </c>
      <c r="AI59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{"issue":{"subject":"","project_id":79,"tracker_id":40,"status_id":1,"priority_id":2,"assigned_to_id":338,"start_date":"2017-09-08","description":"","custom_fields":[{"id":1,"name":"Subdivision","value":"EC"},{"id":4,"name":"Milepost","value":"23.3363"},{"id":17,"name":"Train ID","value":"147-08"},{"id":16,"name":"Locomotive ID","value":"4006"},{"id":130,"name":"Impact","value":""},{"id":150,"name":"Time of Event (Mountain Time)","value":"10:07:41"},{"id":151,"name":"Denver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4006 --day 2017-09-08</v>
      </c>
      <c r="AN59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16:07:41"},{"id":29,"name":"Sharepoint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721</v>
      </c>
      <c r="B60" s="7">
        <v>4005</v>
      </c>
      <c r="C60" s="21" t="s">
        <v>197</v>
      </c>
      <c r="D60" s="21" t="s">
        <v>876</v>
      </c>
      <c r="E60" s="13">
        <v>42986.431817129633</v>
      </c>
      <c r="F60" s="13">
        <v>42986.435578703706</v>
      </c>
      <c r="G60" s="7">
        <v>77</v>
      </c>
      <c r="H60" s="21" t="s">
        <v>368</v>
      </c>
      <c r="I60" s="13">
        <v>42986.463391203702</v>
      </c>
      <c r="J60" s="7">
        <v>0</v>
      </c>
      <c r="K60" s="89" t="str">
        <f t="shared" si="0"/>
        <v>4005/4006</v>
      </c>
      <c r="L60" s="214" t="str">
        <f>VLOOKUP(A60,'Trips&amp;Operators'!$C$1:$G$99911,5,FALSE)</f>
        <v>BONDS REYNALDO</v>
      </c>
      <c r="M60" s="6">
        <f t="shared" si="1"/>
        <v>2.7812499996798579E-2</v>
      </c>
      <c r="N60" s="7">
        <f t="shared" si="2"/>
        <v>40.049999995389953</v>
      </c>
      <c r="O60" s="7"/>
      <c r="P60" s="7"/>
      <c r="Q60" s="22"/>
      <c r="R60" s="167"/>
      <c r="S60" s="210">
        <f t="shared" si="3"/>
        <v>1</v>
      </c>
      <c r="T60" s="192" t="str">
        <f t="shared" si="4"/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-09-08T09:21:49-0600',mode:absolute,to:'2017-09-08T12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0" s="194" t="str">
        <f>IF(AA60&lt;VLOOKUP(AG60,Variables!$AC$3:$AD$8,2,FALSE),"Y","N")</f>
        <v>N</v>
      </c>
      <c r="X60" s="194">
        <f t="shared" si="6"/>
        <v>1</v>
      </c>
      <c r="Y60" s="194">
        <f t="shared" si="7"/>
        <v>23.300999999999998</v>
      </c>
      <c r="Z60" s="194">
        <f t="shared" si="8"/>
        <v>1.4500000000000001E-2</v>
      </c>
      <c r="AA60" s="194">
        <f t="shared" si="9"/>
        <v>23.286499999999997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 t="shared" si="10"/>
        <v>148</v>
      </c>
      <c r="AE60" s="77" t="str">
        <f t="shared" si="11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60" s="74" t="str">
        <f t="shared" si="12"/>
        <v>"C:\Program Files (x86)\AstroGrep\AstroGrep.exe" /e /r /s /spath="%USERPROFILE%\AppData\Local\Temp\OnboardLogs" /stypes="app*4005*20170908*" /stext=" 17:.+((SYSTEM_STATE.+slice.+state.+changed )|(ment ac)|(multiple cpu faults)|(system.+state.+changed )|(\[timeout)|(PRM\|1\|D)|(kpr)|(kdp)|(train st.+moving)|(\|lc)|(penalty))"</v>
      </c>
      <c r="AG60" s="206" t="str">
        <f t="shared" si="13"/>
        <v>EC</v>
      </c>
      <c r="AH60" s="78" t="str">
        <f t="shared" si="18"/>
        <v>"%USERPROFILE%\Documents\GitHub\eaglep3\Utilities\RefineRTDCRunTimes.py" --tripid 148-08 --locoid 4005 --swversion DE.1.0.9.0 --startMP 204:233010 --initTime 2017-09-08T10:21:49 --startdatetime 2017-09-08T10:27:14 --delay 77 --endMP 204:145 --enddatetime 2017-09-08T11:07:17 --enforcementcount 0 &gt;&gt;C:\Users\stu\Documents\GitHub\eaglep3-reporting\EC\2017-09-08-refined-times.txt</v>
      </c>
      <c r="AI60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{"issue":{"subject":"","project_id":79,"tracker_id":40,"status_id":1,"priority_id":2,"assigned_to_id":338,"start_date":"2017-09-08","description":"","custom_fields":[{"id":1,"name":"Subdivision","value":"EC"},{"id":4,"name":"Milepost","value":"0.0145"},{"id":17,"name":"Train ID","value":"148-08"},{"id":16,"name":"Locomotive ID","value":"4005"},{"id":130,"name":"Impact","value":""},{"id":150,"name":"Time of Event (Mountain Time)","value":"11:07:17"},{"id":151,"name":"Denver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4005 --day 2017-09-08</v>
      </c>
      <c r="AN60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17:07:17"},{"id":29,"name":"Sharepoint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715</v>
      </c>
      <c r="B61" s="7">
        <v>4034</v>
      </c>
      <c r="C61" s="21" t="s">
        <v>197</v>
      </c>
      <c r="D61" s="21" t="s">
        <v>854</v>
      </c>
      <c r="E61" s="13">
        <v>42986.402025462965</v>
      </c>
      <c r="F61" s="13">
        <v>42986.406550925924</v>
      </c>
      <c r="G61" s="7">
        <v>129</v>
      </c>
      <c r="H61" s="21" t="s">
        <v>858</v>
      </c>
      <c r="I61" s="13">
        <v>42986.431238425925</v>
      </c>
      <c r="J61" s="7">
        <v>0</v>
      </c>
      <c r="K61" s="89" t="str">
        <f t="shared" si="0"/>
        <v>4033/4034</v>
      </c>
      <c r="L61" s="214" t="str">
        <f>VLOOKUP(A61,'Trips&amp;Operators'!$C$1:$G$99911,5,FALSE)</f>
        <v>BARRON PERLA</v>
      </c>
      <c r="M61" s="6">
        <f t="shared" si="1"/>
        <v>2.4687500001164153E-2</v>
      </c>
      <c r="N61" s="7">
        <f t="shared" si="2"/>
        <v>35.550000001676381</v>
      </c>
      <c r="O61" s="7"/>
      <c r="P61" s="7"/>
      <c r="Q61" s="22"/>
      <c r="R61" s="167"/>
      <c r="S61" s="210">
        <f t="shared" si="3"/>
        <v>1</v>
      </c>
      <c r="T61" s="192" t="str">
        <f t="shared" si="4"/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-09-08T08:38:55-0600',mode:absolute,to:'2017-09-08T11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1" s="194" t="str">
        <f>IF(AA61&lt;VLOOKUP(AG61,Variables!$AC$3:$AD$8,2,FALSE),"Y","N")</f>
        <v>N</v>
      </c>
      <c r="X61" s="194">
        <f t="shared" si="6"/>
        <v>1</v>
      </c>
      <c r="Y61" s="194">
        <f t="shared" si="7"/>
        <v>4.6600000000000003E-2</v>
      </c>
      <c r="Z61" s="194">
        <f t="shared" si="8"/>
        <v>23.329699999999999</v>
      </c>
      <c r="AA61" s="194">
        <f t="shared" si="9"/>
        <v>23.283099999999997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 t="shared" si="10"/>
        <v>149</v>
      </c>
      <c r="AE61" s="77" t="str">
        <f t="shared" si="11"/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AF61" s="74" t="str">
        <f t="shared" si="12"/>
        <v>"C:\Program Files (x86)\AstroGrep\AstroGrep.exe" /e /r /s /spath="%USERPROFILE%\AppData\Local\Temp\OnboardLogs" /stypes="app*4034*20170908*" /stext=" 16:.+((SYSTEM_STATE.+slice.+state.+changed )|(ment ac)|(multiple cpu faults)|(system.+state.+changed )|(\[timeout)|(PRM\|1\|D)|(kpr)|(kdp)|(train st.+moving)|(\|lc)|(penalty))"</v>
      </c>
      <c r="AG61" s="206" t="str">
        <f t="shared" si="13"/>
        <v>EC</v>
      </c>
      <c r="AH61" s="78" t="str">
        <f t="shared" si="18"/>
        <v>"%USERPROFILE%\Documents\GitHub\eaglep3\Utilities\RefineRTDCRunTimes.py" --tripid 149-08 --locoid 4034 --swversion DE.1.0.9.0 --startMP 204:466 --initTime 2017-09-08T09:38:55 --startdatetime 2017-09-08T09:45:26 --delay 129 --endMP 204:233297 --enddatetime 2017-09-08T10:20:59 --enforcementcount 0 &gt;&gt;C:\Users\stu\Documents\GitHub\eaglep3-reporting\EC\2017-09-08-refined-times.txt</v>
      </c>
      <c r="AI61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{"issue":{"subject":"","project_id":79,"tracker_id":40,"status_id":1,"priority_id":2,"assigned_to_id":338,"start_date":"2017-09-08","description":"","custom_fields":[{"id":1,"name":"Subdivision","value":"EC"},{"id":4,"name":"Milepost","value":"23.3297"},{"id":17,"name":"Train ID","value":"149-08"},{"id":16,"name":"Locomotive ID","value":"4034"},{"id":130,"name":"Impact","value":""},{"id":150,"name":"Time of Event (Mountain Time)","value":"10:20:59"},{"id":151,"name":"Denver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4034 --day 2017-09-08</v>
      </c>
      <c r="AN61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16:20:59"},{"id":29,"name":"Sharepoint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723</v>
      </c>
      <c r="B62" s="7">
        <v>4033</v>
      </c>
      <c r="C62" s="21" t="s">
        <v>197</v>
      </c>
      <c r="D62" s="21" t="s">
        <v>381</v>
      </c>
      <c r="E62" s="13">
        <v>42986.43986111111</v>
      </c>
      <c r="F62" s="13">
        <v>42986.44604166667</v>
      </c>
      <c r="G62" s="7">
        <v>90</v>
      </c>
      <c r="H62" s="21" t="s">
        <v>386</v>
      </c>
      <c r="I62" s="13">
        <v>42986.472800925927</v>
      </c>
      <c r="J62" s="7">
        <v>0</v>
      </c>
      <c r="K62" s="89" t="str">
        <f t="shared" si="0"/>
        <v>4033/4034</v>
      </c>
      <c r="L62" s="214" t="str">
        <f>VLOOKUP(A62,'Trips&amp;Operators'!$C$1:$G$99911,5,FALSE)</f>
        <v>BARRON PERLA</v>
      </c>
      <c r="M62" s="6">
        <f t="shared" si="1"/>
        <v>2.675925925723277E-2</v>
      </c>
      <c r="N62" s="7">
        <f t="shared" si="2"/>
        <v>38.533333330415189</v>
      </c>
      <c r="O62" s="7"/>
      <c r="P62" s="7"/>
      <c r="Q62" s="22"/>
      <c r="R62" s="167"/>
      <c r="S62" s="210">
        <f t="shared" si="3"/>
        <v>1</v>
      </c>
      <c r="T62" s="192" t="str">
        <f t="shared" si="4"/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-09-08T09:33:24-0600',mode:absolute,to:'2017-09-08T12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2" s="194" t="str">
        <f>IF(AA62&lt;VLOOKUP(AG62,Variables!$AC$3:$AD$8,2,FALSE),"Y","N")</f>
        <v>N</v>
      </c>
      <c r="X62" s="194">
        <f t="shared" si="6"/>
        <v>1</v>
      </c>
      <c r="Y62" s="194">
        <f t="shared" si="7"/>
        <v>23.297999999999998</v>
      </c>
      <c r="Z62" s="194">
        <f t="shared" si="8"/>
        <v>1.61E-2</v>
      </c>
      <c r="AA62" s="194">
        <f t="shared" si="9"/>
        <v>23.281899999999997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 t="shared" si="10"/>
        <v>150</v>
      </c>
      <c r="AE62" s="77" t="str">
        <f t="shared" si="11"/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62" s="74" t="str">
        <f t="shared" si="12"/>
        <v>"C:\Program Files (x86)\AstroGrep\AstroGrep.exe" /e /r /s /spath="%USERPROFILE%\AppData\Local\Temp\OnboardLogs" /stypes="app*4033*20170908*" /stext=" 17:.+((SYSTEM_STATE.+slice.+state.+changed )|(ment ac)|(multiple cpu faults)|(system.+state.+changed )|(\[timeout)|(PRM\|1\|D)|(kpr)|(kdp)|(train st.+moving)|(\|lc)|(penalty))"</v>
      </c>
      <c r="AG62" s="206" t="str">
        <f t="shared" si="13"/>
        <v>EC</v>
      </c>
      <c r="AH62" s="78" t="str">
        <f t="shared" si="18"/>
        <v>"%USERPROFILE%\Documents\GitHub\eaglep3\Utilities\RefineRTDCRunTimes.py" --tripid 150-08 --locoid 4033 --swversion DE.1.0.9.0 --startMP 204:232980 --initTime 2017-09-08T10:33:24 --startdatetime 2017-09-08T10:42:18 --delay 90 --endMP 204:161 --enddatetime 2017-09-08T11:20:50 --enforcementcount 0 &gt;&gt;C:\Users\stu\Documents\GitHub\eaglep3-reporting\EC\2017-09-08-refined-times.txt</v>
      </c>
      <c r="AI62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{"issue":{"subject":"","project_id":79,"tracker_id":40,"status_id":1,"priority_id":2,"assigned_to_id":338,"start_date":"2017-09-08","description":"","custom_fields":[{"id":1,"name":"Subdivision","value":"EC"},{"id":4,"name":"Milepost","value":"0.0161"},{"id":17,"name":"Train ID","value":"150-08"},{"id":16,"name":"Locomotive ID","value":"4033"},{"id":130,"name":"Impact","value":""},{"id":150,"name":"Time of Event (Mountain Time)","value":"11:20:50"},{"id":151,"name":"Denver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4033 --day 2017-09-08</v>
      </c>
      <c r="AN62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17:20:50"},{"id":29,"name":"Sharepoint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719</v>
      </c>
      <c r="B63" s="7">
        <v>4044</v>
      </c>
      <c r="C63" s="21" t="s">
        <v>197</v>
      </c>
      <c r="D63" s="21" t="s">
        <v>877</v>
      </c>
      <c r="E63" s="13">
        <v>42986.414409722223</v>
      </c>
      <c r="F63" s="13">
        <v>42986.416828703703</v>
      </c>
      <c r="G63" s="7">
        <v>63</v>
      </c>
      <c r="H63" s="21" t="s">
        <v>459</v>
      </c>
      <c r="I63" s="13">
        <v>42986.443043981482</v>
      </c>
      <c r="J63" s="7">
        <v>0</v>
      </c>
      <c r="K63" s="89" t="str">
        <f t="shared" si="0"/>
        <v>4043/4044</v>
      </c>
      <c r="L63" s="214" t="str">
        <f>VLOOKUP(A63,'Trips&amp;Operators'!$C$1:$G$99911,5,FALSE)</f>
        <v>DAVIS WENDY</v>
      </c>
      <c r="M63" s="6">
        <f t="shared" si="1"/>
        <v>2.6215277779556345E-2</v>
      </c>
      <c r="N63" s="7">
        <f t="shared" si="2"/>
        <v>37.750000002561137</v>
      </c>
      <c r="O63" s="7"/>
      <c r="P63" s="7"/>
      <c r="Q63" s="22"/>
      <c r="R63" s="167"/>
      <c r="S63" s="210">
        <f t="shared" si="3"/>
        <v>1</v>
      </c>
      <c r="T63" s="192" t="str">
        <f t="shared" si="4"/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-09-08T08:56:45-0600',mode:absolute,to:'2017-09-08T11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3" s="194" t="str">
        <f>IF(AA63&lt;VLOOKUP(AG63,Variables!$AC$3:$AD$8,2,FALSE),"Y","N")</f>
        <v>N</v>
      </c>
      <c r="X63" s="194">
        <f t="shared" si="6"/>
        <v>1</v>
      </c>
      <c r="Y63" s="194">
        <f t="shared" si="7"/>
        <v>4.3099999999999999E-2</v>
      </c>
      <c r="Z63" s="194">
        <f t="shared" si="8"/>
        <v>23.330400000000001</v>
      </c>
      <c r="AA63" s="194">
        <f t="shared" si="9"/>
        <v>23.287300000000002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 t="shared" si="10"/>
        <v>151</v>
      </c>
      <c r="AE63" s="77" t="str">
        <f t="shared" si="11"/>
        <v>aws s3 cp s3://rtdc.mdm.uploadarchive.raw/RTDC4044/ "%USERPROFILE%\AppData\Local\Temp\OnboardLogs"\RTDC4044\2017-09-08 --exclude "*" --recursive --include "*20170908*" &amp; "%USERPROFILE%\Documents\GitHub\mrs-test-scripts\Headless Mode &amp; Sideloading\WalkAndUnGZ.bat" "%USERPROFILE%\AppData\Local\Temp\OnboardLogs"\RTDC4044\2017-09-08 &amp; 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</v>
      </c>
      <c r="AF63" s="74" t="str">
        <f t="shared" si="12"/>
        <v>"C:\Program Files (x86)\AstroGrep\AstroGrep.exe" /e /r /s /spath="%USERPROFILE%\AppData\Local\Temp\OnboardLogs" /stypes="app*4044*20170908*" /stext=" 16:.+((SYSTEM_STATE.+slice.+state.+changed )|(ment ac)|(multiple cpu faults)|(system.+state.+changed )|(\[timeout)|(PRM\|1\|D)|(kpr)|(kdp)|(train st.+moving)|(\|lc)|(penalty))"</v>
      </c>
      <c r="AG63" s="206" t="str">
        <f t="shared" si="13"/>
        <v>EC</v>
      </c>
      <c r="AH63" s="78" t="str">
        <f t="shared" si="18"/>
        <v>"%USERPROFILE%\Documents\GitHub\eaglep3\Utilities\RefineRTDCRunTimes.py" --tripid 151-08 --locoid 4044 --swversion DE.1.0.9.0 --startMP 204:431 --initTime 2017-09-08T09:56:45 --startdatetime 2017-09-08T10:00:14 --delay 63 --endMP 204:233304 --enddatetime 2017-09-08T10:37:59 --enforcementcount 0 &gt;&gt;C:\Users\stu\Documents\GitHub\eaglep3-reporting\EC\2017-09-08-refined-times.txt</v>
      </c>
      <c r="AI63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{"issue":{"subject":"","project_id":79,"tracker_id":40,"status_id":1,"priority_id":2,"assigned_to_id":338,"start_date":"2017-09-08","description":"","custom_fields":[{"id":1,"name":"Subdivision","value":"EC"},{"id":4,"name":"Milepost","value":"23.3304"},{"id":17,"name":"Train ID","value":"151-08"},{"id":16,"name":"Locomotive ID","value":"4044"},{"id":130,"name":"Impact","value":""},{"id":150,"name":"Time of Event (Mountain Time)","value":"10:37:59"},{"id":151,"name":"Denver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4044 --day 2017-09-08</v>
      </c>
      <c r="AN63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16:37:59"},{"id":29,"name":"Sharepoint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725</v>
      </c>
      <c r="B64" s="7">
        <v>4043</v>
      </c>
      <c r="C64" s="21" t="s">
        <v>197</v>
      </c>
      <c r="D64" s="21" t="s">
        <v>416</v>
      </c>
      <c r="E64" s="13">
        <v>42986.450775462959</v>
      </c>
      <c r="F64" s="13">
        <v>42986.456493055557</v>
      </c>
      <c r="G64" s="7">
        <v>97</v>
      </c>
      <c r="H64" s="21" t="s">
        <v>531</v>
      </c>
      <c r="I64" s="13">
        <v>42986.484143518515</v>
      </c>
      <c r="J64" s="7">
        <v>0</v>
      </c>
      <c r="K64" s="89" t="str">
        <f t="shared" si="0"/>
        <v>4043/4044</v>
      </c>
      <c r="L64" s="214" t="str">
        <f>VLOOKUP(A64,'Trips&amp;Operators'!$C$1:$G$99911,5,FALSE)</f>
        <v>DAVIS WENDY</v>
      </c>
      <c r="M64" s="6">
        <f t="shared" si="1"/>
        <v>2.7650462958263233E-2</v>
      </c>
      <c r="N64" s="7">
        <f t="shared" si="2"/>
        <v>39.816666659899056</v>
      </c>
      <c r="O64" s="7"/>
      <c r="P64" s="7"/>
      <c r="Q64" s="22"/>
      <c r="R64" s="167"/>
      <c r="S64" s="210">
        <f t="shared" si="3"/>
        <v>1</v>
      </c>
      <c r="T64" s="192" t="str">
        <f t="shared" si="4"/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-09-08T09:49:07-0600',mode:absolute,to:'2017-09-08T12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4" s="194" t="str">
        <f>IF(AA64&lt;VLOOKUP(AG64,Variables!$AC$3:$AD$8,2,FALSE),"Y","N")</f>
        <v>N</v>
      </c>
      <c r="X64" s="194">
        <f t="shared" si="6"/>
        <v>1</v>
      </c>
      <c r="Y64" s="194">
        <f t="shared" si="7"/>
        <v>23.299399999999999</v>
      </c>
      <c r="Z64" s="194">
        <f t="shared" si="8"/>
        <v>1.6299999999999999E-2</v>
      </c>
      <c r="AA64" s="194">
        <f t="shared" si="9"/>
        <v>23.283099999999997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10"/>
        <v>152</v>
      </c>
      <c r="AE64" s="77" t="str">
        <f t="shared" si="11"/>
        <v>aws s3 cp s3://rtdc.mdm.uploadarchive.raw/RTDC4043/ "%USERPROFILE%\AppData\Local\Temp\OnboardLogs"\RTDC4043\2017-09-08 --exclude "*" --recursive --include "*20170908*" &amp; "%USERPROFILE%\Documents\GitHub\mrs-test-scripts\Headless Mode &amp; Sideloading\WalkAndUnGZ.bat" "%USERPROFILE%\AppData\Local\Temp\OnboardLogs"\RTDC4043\2017-09-08 &amp; 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</v>
      </c>
      <c r="AF64" s="74" t="str">
        <f t="shared" si="12"/>
        <v>"C:\Program Files (x86)\AstroGrep\AstroGrep.exe" /e /r /s /spath="%USERPROFILE%\AppData\Local\Temp\OnboardLogs" /stypes="app*4043*20170908*" /stext=" 17:.+((SYSTEM_STATE.+slice.+state.+changed )|(ment ac)|(multiple cpu faults)|(system.+state.+changed )|(\[timeout)|(PRM\|1\|D)|(kpr)|(kdp)|(train st.+moving)|(\|lc)|(penalty))"</v>
      </c>
      <c r="AG64" s="206" t="str">
        <f t="shared" si="13"/>
        <v>EC</v>
      </c>
      <c r="AH64" s="78" t="str">
        <f t="shared" si="18"/>
        <v>"%USERPROFILE%\Documents\GitHub\eaglep3\Utilities\RefineRTDCRunTimes.py" --tripid 152-08 --locoid 4043 --swversion DE.1.0.9.0 --startMP 204:232994 --initTime 2017-09-08T10:49:07 --startdatetime 2017-09-08T10:57:21 --delay 97 --endMP 204:163 --enddatetime 2017-09-08T11:37:10 --enforcementcount 0 &gt;&gt;C:\Users\stu\Documents\GitHub\eaglep3-reporting\EC\2017-09-08-refined-times.txt</v>
      </c>
      <c r="AI64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{"issue":{"subject":"","project_id":79,"tracker_id":40,"status_id":1,"priority_id":2,"assigned_to_id":338,"start_date":"2017-09-08","description":"","custom_fields":[{"id":1,"name":"Subdivision","value":"EC"},{"id":4,"name":"Milepost","value":"0.0163"},{"id":17,"name":"Train ID","value":"152-08"},{"id":16,"name":"Locomotive ID","value":"4043"},{"id":130,"name":"Impact","value":""},{"id":150,"name":"Time of Event (Mountain Time)","value":"11:37:10"},{"id":151,"name":"Denver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4043 --day 2017-09-08</v>
      </c>
      <c r="AN64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17:37:10"},{"id":29,"name":"Sharepoint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610</v>
      </c>
      <c r="B65" s="7">
        <v>4002</v>
      </c>
      <c r="C65" s="21" t="s">
        <v>197</v>
      </c>
      <c r="D65" s="21" t="s">
        <v>362</v>
      </c>
      <c r="E65" s="13">
        <v>42986.422222222223</v>
      </c>
      <c r="F65" s="13">
        <v>42986.427245370367</v>
      </c>
      <c r="G65" s="7">
        <v>96</v>
      </c>
      <c r="H65" s="21" t="s">
        <v>878</v>
      </c>
      <c r="I65" s="13">
        <v>42986.452326388891</v>
      </c>
      <c r="J65" s="7">
        <v>0</v>
      </c>
      <c r="K65" s="89" t="str">
        <f t="shared" si="0"/>
        <v>4001/4002</v>
      </c>
      <c r="L65" s="214" t="str">
        <f>VLOOKUP(A65,'Trips&amp;Operators'!$C$1:$G$99911,5,FALSE)</f>
        <v>WILLIAMS DONTE</v>
      </c>
      <c r="M65" s="6">
        <f t="shared" si="1"/>
        <v>2.5081018524360843E-2</v>
      </c>
      <c r="N65" s="7">
        <f t="shared" si="2"/>
        <v>36.116666675079614</v>
      </c>
      <c r="O65" s="7"/>
      <c r="P65" s="7"/>
      <c r="Q65" s="22"/>
      <c r="R65" s="167"/>
      <c r="S65" s="210">
        <f t="shared" si="3"/>
        <v>1</v>
      </c>
      <c r="T65" s="192" t="str">
        <f t="shared" si="4"/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-09-08T09:08:00-0600',mode:absolute,to:'2017-09-08T11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194" t="str">
        <f>IF(AA65&lt;VLOOKUP(AG65,Variables!$AC$3:$AD$8,2,FALSE),"Y","N")</f>
        <v>N</v>
      </c>
      <c r="X65" s="194">
        <f t="shared" si="6"/>
        <v>1</v>
      </c>
      <c r="Y65" s="194">
        <f t="shared" si="7"/>
        <v>4.4900000000000002E-2</v>
      </c>
      <c r="Z65" s="194">
        <f t="shared" si="8"/>
        <v>23.328399999999998</v>
      </c>
      <c r="AA65" s="194">
        <f t="shared" si="9"/>
        <v>23.2835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10"/>
        <v>153</v>
      </c>
      <c r="AE65" s="77" t="str">
        <f t="shared" si="11"/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65" s="74" t="str">
        <f t="shared" si="12"/>
        <v>"C:\Program Files (x86)\AstroGrep\AstroGrep.exe" /e /r /s /spath="%USERPROFILE%\AppData\Local\Temp\OnboardLogs" /stypes="app*4002*20170908*" /stext=" 16:.+((SYSTEM_STATE.+slice.+state.+changed )|(ment ac)|(multiple cpu faults)|(system.+state.+changed )|(\[timeout)|(PRM\|1\|D)|(kpr)|(kdp)|(train st.+moving)|(\|lc)|(penalty))"</v>
      </c>
      <c r="AG65" s="206" t="str">
        <f t="shared" si="13"/>
        <v>EC</v>
      </c>
      <c r="AH65" s="78" t="str">
        <f t="shared" si="18"/>
        <v>"%USERPROFILE%\Documents\GitHub\eaglep3\Utilities\RefineRTDCRunTimes.py" --tripid 153-08 --locoid 4002 --swversion DE.1.0.9.0 --startMP 204:449 --initTime 2017-09-08T10:08:00 --startdatetime 2017-09-08T10:15:14 --delay 96 --endMP 204:233284 --enddatetime 2017-09-08T10:51:21 --enforcementcount 0 &gt;&gt;C:\Users\stu\Documents\GitHub\eaglep3-reporting\EC\2017-09-08-refined-times.txt</v>
      </c>
      <c r="AI65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{"issue":{"subject":"","project_id":79,"tracker_id":40,"status_id":1,"priority_id":2,"assigned_to_id":338,"start_date":"2017-09-08","description":"","custom_fields":[{"id":1,"name":"Subdivision","value":"EC"},{"id":4,"name":"Milepost","value":"23.3284"},{"id":17,"name":"Train ID","value":"153-08"},{"id":16,"name":"Locomotive ID","value":"4002"},{"id":130,"name":"Impact","value":""},{"id":150,"name":"Time of Event (Mountain Time)","value":"10:51:21"},{"id":151,"name":"Denver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4002 --day 2017-09-08</v>
      </c>
      <c r="AN65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16:51:21"},{"id":29,"name":"Sharepoint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727</v>
      </c>
      <c r="B66" s="7">
        <v>4001</v>
      </c>
      <c r="C66" s="21" t="s">
        <v>197</v>
      </c>
      <c r="D66" s="21" t="s">
        <v>879</v>
      </c>
      <c r="E66" s="13">
        <v>42986.461759259262</v>
      </c>
      <c r="F66" s="13">
        <v>42986.467013888891</v>
      </c>
      <c r="G66" s="7">
        <v>113</v>
      </c>
      <c r="H66" s="21" t="s">
        <v>368</v>
      </c>
      <c r="I66" s="13">
        <v>42986.494305555556</v>
      </c>
      <c r="J66" s="7">
        <v>0</v>
      </c>
      <c r="K66" s="89" t="str">
        <f t="shared" si="0"/>
        <v>4001/4002</v>
      </c>
      <c r="L66" s="214" t="str">
        <f>VLOOKUP(A66,'Trips&amp;Operators'!$C$1:$G$99911,5,FALSE)</f>
        <v>WILLIAMS DONTE</v>
      </c>
      <c r="M66" s="6">
        <f t="shared" si="1"/>
        <v>2.7291666665405501E-2</v>
      </c>
      <c r="N66" s="7">
        <f t="shared" si="2"/>
        <v>39.299999998183921</v>
      </c>
      <c r="O66" s="7"/>
      <c r="P66" s="7"/>
      <c r="Q66" s="22"/>
      <c r="R66" s="167"/>
      <c r="S66" s="210">
        <f t="shared" si="3"/>
        <v>1</v>
      </c>
      <c r="T66" s="192" t="str">
        <f t="shared" si="4"/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-09-08T10:04:56-0600',mode:absolute,to:'2017-09-08T12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194" t="str">
        <f>IF(AA66&lt;VLOOKUP(AG66,Variables!$AC$3:$AD$8,2,FALSE),"Y","N")</f>
        <v>N</v>
      </c>
      <c r="X66" s="194">
        <f t="shared" si="6"/>
        <v>1</v>
      </c>
      <c r="Y66" s="194">
        <f t="shared" si="7"/>
        <v>23.296299999999999</v>
      </c>
      <c r="Z66" s="194">
        <f t="shared" si="8"/>
        <v>1.4500000000000001E-2</v>
      </c>
      <c r="AA66" s="194">
        <f t="shared" si="9"/>
        <v>23.281799999999997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10"/>
        <v>154</v>
      </c>
      <c r="AE66" s="77" t="str">
        <f t="shared" si="11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66" s="74" t="str">
        <f t="shared" si="12"/>
        <v>"C:\Program Files (x86)\AstroGrep\AstroGrep.exe" /e /r /s /spath="%USERPROFILE%\AppData\Local\Temp\OnboardLogs" /stypes="app*4001*20170908*" /stext=" 17:.+((SYSTEM_STATE.+slice.+state.+changed )|(ment ac)|(multiple cpu faults)|(system.+state.+changed )|(\[timeout)|(PRM\|1\|D)|(kpr)|(kdp)|(train st.+moving)|(\|lc)|(penalty))"</v>
      </c>
      <c r="AG66" s="206" t="str">
        <f t="shared" si="13"/>
        <v>EC</v>
      </c>
      <c r="AH66" s="78" t="str">
        <f t="shared" si="18"/>
        <v>"%USERPROFILE%\Documents\GitHub\eaglep3\Utilities\RefineRTDCRunTimes.py" --tripid 154-08 --locoid 4001 --swversion DE.1.0.9.0 --startMP 204:232963 --initTime 2017-09-08T11:04:56 --startdatetime 2017-09-08T11:12:30 --delay 113 --endMP 204:145 --enddatetime 2017-09-08T11:51:48 --enforcementcount 0 &gt;&gt;C:\Users\stu\Documents\GitHub\eaglep3-reporting\EC\2017-09-08-refined-times.txt</v>
      </c>
      <c r="AI66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{"issue":{"subject":"","project_id":79,"tracker_id":40,"status_id":1,"priority_id":2,"assigned_to_id":338,"start_date":"2017-09-08","description":"","custom_fields":[{"id":1,"name":"Subdivision","value":"EC"},{"id":4,"name":"Milepost","value":"0.0145"},{"id":17,"name":"Train ID","value":"154-08"},{"id":16,"name":"Locomotive ID","value":"4001"},{"id":130,"name":"Impact","value":""},{"id":150,"name":"Time of Event (Mountain Time)","value":"11:51:48"},{"id":151,"name":"Denver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4001 --day 2017-09-08</v>
      </c>
      <c r="AN66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17:51:48"},{"id":29,"name":"Sharepoint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608</v>
      </c>
      <c r="B67" s="7">
        <v>4058</v>
      </c>
      <c r="C67" s="21" t="s">
        <v>197</v>
      </c>
      <c r="D67" s="21" t="s">
        <v>360</v>
      </c>
      <c r="E67" s="13">
        <v>42986.436678240738</v>
      </c>
      <c r="F67" s="13">
        <v>42986.438321759262</v>
      </c>
      <c r="G67" s="7">
        <v>79</v>
      </c>
      <c r="H67" s="21" t="s">
        <v>880</v>
      </c>
      <c r="I67" s="13">
        <v>42986.463645833333</v>
      </c>
      <c r="J67" s="7">
        <v>0</v>
      </c>
      <c r="K67" s="89" t="str">
        <f t="shared" si="0"/>
        <v>4057/4058</v>
      </c>
      <c r="L67" s="214" t="str">
        <f>VLOOKUP(A67,'Trips&amp;Operators'!$C$1:$G$99911,5,FALSE)</f>
        <v>MACDONALD THOMAS</v>
      </c>
      <c r="M67" s="6">
        <f t="shared" si="1"/>
        <v>2.5324074071249925E-2</v>
      </c>
      <c r="N67" s="7">
        <f t="shared" si="2"/>
        <v>36.466666662599891</v>
      </c>
      <c r="O67" s="7"/>
      <c r="P67" s="7"/>
      <c r="Q67" s="22"/>
      <c r="R67" s="167"/>
      <c r="S67" s="210">
        <f t="shared" si="3"/>
        <v>1</v>
      </c>
      <c r="T67" s="192" t="str">
        <f t="shared" si="4"/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-09-08T09:28:49-0600',mode:absolute,to:'2017-09-08T12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7" s="194" t="str">
        <f>IF(AA67&lt;VLOOKUP(AG67,Variables!$AC$3:$AD$8,2,FALSE),"Y","N")</f>
        <v>N</v>
      </c>
      <c r="X67" s="194">
        <f t="shared" si="6"/>
        <v>1</v>
      </c>
      <c r="Y67" s="194">
        <f t="shared" si="7"/>
        <v>4.58E-2</v>
      </c>
      <c r="Z67" s="194">
        <f t="shared" si="8"/>
        <v>23.3291</v>
      </c>
      <c r="AA67" s="194">
        <f t="shared" si="9"/>
        <v>23.283300000000001</v>
      </c>
      <c r="AB67" s="54" t="str">
        <f>VLOOKUP(A67,Enforcements!$C$7:$K$11,8,0)</f>
        <v>Bulletin (2)</v>
      </c>
      <c r="AC67" s="51" t="str">
        <f>VLOOKUP(A67,Enforcements!$C$7:$E$11,3,0)</f>
        <v>GRADE CROSSING</v>
      </c>
      <c r="AD67" s="203">
        <f t="shared" si="10"/>
        <v>155</v>
      </c>
      <c r="AE67" s="77" t="str">
        <f t="shared" si="11"/>
        <v>aws s3 cp s3://rtdc.mdm.uploadarchive.raw/RTDC4058/ "%USERPROFILE%\AppData\Local\Temp\OnboardLogs"\RTDC4058\2017-09-08 --exclude "*" --recursive --include "*20170908*" &amp; "%USERPROFILE%\Documents\GitHub\mrs-test-scripts\Headless Mode &amp; Sideloading\WalkAndUnGZ.bat" "%USERPROFILE%\AppData\Local\Temp\OnboardLogs"\RTDC4058\2017-09-08 &amp; 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</v>
      </c>
      <c r="AF67" s="74" t="str">
        <f t="shared" si="12"/>
        <v>"C:\Program Files (x86)\AstroGrep\AstroGrep.exe" /e /r /s /spath="%USERPROFILE%\AppData\Local\Temp\OnboardLogs" /stypes="app*4058*20170908*" /stext=" 17:.+((SYSTEM_STATE.+slice.+state.+changed )|(ment ac)|(multiple cpu faults)|(system.+state.+changed )|(\[timeout)|(PRM\|1\|D)|(kpr)|(kdp)|(train st.+moving)|(\|lc)|(penalty))"</v>
      </c>
      <c r="AG67" s="206" t="str">
        <f t="shared" si="13"/>
        <v>EC</v>
      </c>
      <c r="AH67" s="78" t="str">
        <f t="shared" si="18"/>
        <v>"%USERPROFILE%\Documents\GitHub\eaglep3\Utilities\RefineRTDCRunTimes.py" --tripid 155-08 --locoid 4058 --swversion DE.1.0.9.0 --startMP 204:458 --initTime 2017-09-08T10:28:49 --startdatetime 2017-09-08T10:31:11 --delay 79 --endMP 204:233291 --enddatetime 2017-09-08T11:07:39 --enforcementcount 0 &gt;&gt;C:\Users\stu\Documents\GitHub\eaglep3-reporting\EC\2017-09-08-refined-times.txt</v>
      </c>
      <c r="AI67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{"issue":{"subject":"","project_id":79,"tracker_id":40,"status_id":1,"priority_id":2,"assigned_to_id":338,"start_date":"2017-09-08","description":"","custom_fields":[{"id":1,"name":"Subdivision","value":"EC"},{"id":4,"name":"Milepost","value":"23.3291"},{"id":17,"name":"Train ID","value":"155-08"},{"id":16,"name":"Locomotive ID","value":"4058"},{"id":130,"name":"Impact","value":""},{"id":150,"name":"Time of Event (Mountain Time)","value":"11:07:39"},{"id":151,"name":"Denver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4058 --day 2017-09-08</v>
      </c>
      <c r="AN67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17:07:39"},{"id":29,"name":"Sharepoint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615</v>
      </c>
      <c r="B68" s="7">
        <v>4057</v>
      </c>
      <c r="C68" s="21" t="s">
        <v>197</v>
      </c>
      <c r="D68" s="21" t="s">
        <v>881</v>
      </c>
      <c r="E68" s="13">
        <v>42986.47488425926</v>
      </c>
      <c r="F68" s="13">
        <v>42986.477476851855</v>
      </c>
      <c r="G68" s="7">
        <v>55</v>
      </c>
      <c r="H68" s="21" t="s">
        <v>361</v>
      </c>
      <c r="I68" s="13">
        <v>42986.505393518521</v>
      </c>
      <c r="J68" s="7">
        <v>0</v>
      </c>
      <c r="K68" s="89" t="str">
        <f t="shared" si="0"/>
        <v>4057/4058</v>
      </c>
      <c r="L68" s="214" t="str">
        <f>VLOOKUP(A68,'Trips&amp;Operators'!$C$1:$G$99911,5,FALSE)</f>
        <v>MACDONALD THOMAS</v>
      </c>
      <c r="M68" s="6">
        <f t="shared" si="1"/>
        <v>2.7916666665987577E-2</v>
      </c>
      <c r="N68" s="7">
        <f t="shared" si="2"/>
        <v>40.199999999022111</v>
      </c>
      <c r="O68" s="7"/>
      <c r="P68" s="7"/>
      <c r="Q68" s="22"/>
      <c r="R68" s="167"/>
      <c r="S68" s="210">
        <f t="shared" si="3"/>
        <v>1</v>
      </c>
      <c r="T68" s="192" t="str">
        <f t="shared" si="4"/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-09-08T10:23:50-0600',mode:absolute,to:'2017-09-08T13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8" s="194" t="str">
        <f>IF(AA68&lt;VLOOKUP(AG68,Variables!$AC$3:$AD$8,2,FALSE),"Y","N")</f>
        <v>N</v>
      </c>
      <c r="X68" s="194">
        <f t="shared" si="6"/>
        <v>1</v>
      </c>
      <c r="Y68" s="194">
        <f t="shared" si="7"/>
        <v>23.296399999999998</v>
      </c>
      <c r="Z68" s="194">
        <f t="shared" si="8"/>
        <v>1.52E-2</v>
      </c>
      <c r="AA68" s="194">
        <f t="shared" si="9"/>
        <v>23.281199999999998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10"/>
        <v>156</v>
      </c>
      <c r="AE68" s="77" t="str">
        <f t="shared" si="11"/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AF68" s="74" t="str">
        <f t="shared" si="12"/>
        <v>"C:\Program Files (x86)\AstroGrep\AstroGrep.exe" /e /r /s /spath="%USERPROFILE%\AppData\Local\Temp\OnboardLogs" /stypes="app*4057*20170908*" /stext=" 18:.+((SYSTEM_STATE.+slice.+state.+changed )|(ment ac)|(multiple cpu faults)|(system.+state.+changed )|(\[timeout)|(PRM\|1\|D)|(kpr)|(kdp)|(train st.+moving)|(\|lc)|(penalty))"</v>
      </c>
      <c r="AG68" s="206" t="str">
        <f t="shared" si="13"/>
        <v>EC</v>
      </c>
      <c r="AH68" s="78" t="str">
        <f t="shared" si="18"/>
        <v>"%USERPROFILE%\Documents\GitHub\eaglep3\Utilities\RefineRTDCRunTimes.py" --tripid 156-08 --locoid 4057 --swversion DE.1.0.9.0 --startMP 204:232964 --initTime 2017-09-08T11:23:50 --startdatetime 2017-09-08T11:27:34 --delay 55 --endMP 204:152 --enddatetime 2017-09-08T12:07:46 --enforcementcount 0 &gt;&gt;C:\Users\stu\Documents\GitHub\eaglep3-reporting\EC\2017-09-08-refined-times.txt</v>
      </c>
      <c r="AI68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{"issue":{"subject":"","project_id":79,"tracker_id":40,"status_id":1,"priority_id":2,"assigned_to_id":338,"start_date":"2017-09-08","description":"","custom_fields":[{"id":1,"name":"Subdivision","value":"EC"},{"id":4,"name":"Milepost","value":"0.0152"},{"id":17,"name":"Train ID","value":"156-08"},{"id":16,"name":"Locomotive ID","value":"4057"},{"id":130,"name":"Impact","value":""},{"id":150,"name":"Time of Event (Mountain Time)","value":"12:07:46"},{"id":151,"name":"Denver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4057 --day 2017-09-08</v>
      </c>
      <c r="AN68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18:07:46"},{"id":29,"name":"Sharepoint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724</v>
      </c>
      <c r="B69" s="7">
        <v>4062</v>
      </c>
      <c r="C69" s="21" t="s">
        <v>197</v>
      </c>
      <c r="D69" s="21" t="s">
        <v>360</v>
      </c>
      <c r="E69" s="13">
        <v>42986.445185185185</v>
      </c>
      <c r="F69" s="13">
        <v>42986.448368055557</v>
      </c>
      <c r="G69" s="7">
        <v>76</v>
      </c>
      <c r="H69" s="21" t="s">
        <v>419</v>
      </c>
      <c r="I69" s="13">
        <v>42986.473506944443</v>
      </c>
      <c r="J69" s="7">
        <v>0</v>
      </c>
      <c r="K69" s="89" t="str">
        <f t="shared" si="0"/>
        <v>4061/4062</v>
      </c>
      <c r="L69" s="214" t="str">
        <f>VLOOKUP(A69,'Trips&amp;Operators'!$C$1:$G$99911,5,FALSE)</f>
        <v>BADERTSCHER DIANE</v>
      </c>
      <c r="M69" s="6">
        <f t="shared" si="1"/>
        <v>2.5138888886431232E-2</v>
      </c>
      <c r="N69" s="7">
        <f t="shared" si="2"/>
        <v>36.199999996460974</v>
      </c>
      <c r="O69" s="7"/>
      <c r="P69" s="7"/>
      <c r="Q69" s="22"/>
      <c r="R69" s="167"/>
      <c r="S69" s="210">
        <f t="shared" si="3"/>
        <v>1</v>
      </c>
      <c r="T69" s="192" t="str">
        <f t="shared" si="4"/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-09-08T09:41:04-0600',mode:absolute,to:'2017-09-08T12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9" s="194" t="str">
        <f>IF(AA69&lt;VLOOKUP(AG69,Variables!$AC$3:$AD$8,2,FALSE),"Y","N")</f>
        <v>N</v>
      </c>
      <c r="X69" s="194">
        <f t="shared" si="6"/>
        <v>1</v>
      </c>
      <c r="Y69" s="194">
        <f t="shared" si="7"/>
        <v>4.58E-2</v>
      </c>
      <c r="Z69" s="194">
        <f t="shared" si="8"/>
        <v>23.331399999999999</v>
      </c>
      <c r="AA69" s="194">
        <f t="shared" si="9"/>
        <v>23.285599999999999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10"/>
        <v>157</v>
      </c>
      <c r="AE69" s="77" t="str">
        <f t="shared" si="11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69" s="74" t="str">
        <f t="shared" si="12"/>
        <v>"C:\Program Files (x86)\AstroGrep\AstroGrep.exe" /e /r /s /spath="%USERPROFILE%\AppData\Local\Temp\OnboardLogs" /stypes="app*4062*20170908*" /stext=" 17:.+((SYSTEM_STATE.+slice.+state.+changed )|(ment ac)|(multiple cpu faults)|(system.+state.+changed )|(\[timeout)|(PRM\|1\|D)|(kpr)|(kdp)|(train st.+moving)|(\|lc)|(penalty))"</v>
      </c>
      <c r="AG69" s="206" t="str">
        <f t="shared" si="13"/>
        <v>EC</v>
      </c>
      <c r="AH69" s="78" t="str">
        <f t="shared" si="18"/>
        <v>"%USERPROFILE%\Documents\GitHub\eaglep3\Utilities\RefineRTDCRunTimes.py" --tripid 157-08 --locoid 4062 --swversion DE.1.0.9.0 --startMP 204:458 --initTime 2017-09-08T10:41:04 --startdatetime 2017-09-08T10:45:39 --delay 76 --endMP 204:233314 --enddatetime 2017-09-08T11:21:51 --enforcementcount 0 &gt;&gt;C:\Users\stu\Documents\GitHub\eaglep3-reporting\EC\2017-09-08-refined-times.txt</v>
      </c>
      <c r="AI69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{"issue":{"subject":"","project_id":79,"tracker_id":40,"status_id":1,"priority_id":2,"assigned_to_id":338,"start_date":"2017-09-08","description":"","custom_fields":[{"id":1,"name":"Subdivision","value":"EC"},{"id":4,"name":"Milepost","value":"23.3314"},{"id":17,"name":"Train ID","value":"157-08"},{"id":16,"name":"Locomotive ID","value":"4062"},{"id":130,"name":"Impact","value":""},{"id":150,"name":"Time of Event (Mountain Time)","value":"11:21:51"},{"id":151,"name":"Denver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4062 --day 2017-09-08</v>
      </c>
      <c r="AN69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17:21:51"},{"id":29,"name":"Sharepoint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616</v>
      </c>
      <c r="B70" s="7">
        <v>4061</v>
      </c>
      <c r="C70" s="21" t="s">
        <v>197</v>
      </c>
      <c r="D70" s="21" t="s">
        <v>455</v>
      </c>
      <c r="E70" s="13">
        <v>42986.482916666668</v>
      </c>
      <c r="F70" s="13">
        <v>42986.48777777778</v>
      </c>
      <c r="G70" s="7">
        <v>51</v>
      </c>
      <c r="H70" s="21" t="s">
        <v>431</v>
      </c>
      <c r="I70" s="13">
        <v>42986.514780092592</v>
      </c>
      <c r="J70" s="7">
        <v>0</v>
      </c>
      <c r="K70" s="89" t="str">
        <f t="shared" si="0"/>
        <v>4061/4062</v>
      </c>
      <c r="L70" s="214" t="str">
        <f>VLOOKUP(A70,'Trips&amp;Operators'!$C$1:$G$99911,5,FALSE)</f>
        <v>BADERTSCHER DIANE</v>
      </c>
      <c r="M70" s="6">
        <f t="shared" si="1"/>
        <v>2.700231481139781E-2</v>
      </c>
      <c r="N70" s="7">
        <f t="shared" si="2"/>
        <v>38.883333328412846</v>
      </c>
      <c r="O70" s="7"/>
      <c r="P70" s="7"/>
      <c r="Q70" s="22"/>
      <c r="R70" s="167"/>
      <c r="S70" s="210">
        <f t="shared" si="3"/>
        <v>1</v>
      </c>
      <c r="T70" s="192" t="str">
        <f t="shared" si="4"/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-09-08T10:35:24-0600',mode:absolute,to:'2017-09-08T13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0" s="194" t="str">
        <f>IF(AA70&lt;VLOOKUP(AG70,Variables!$AC$3:$AD$8,2,FALSE),"Y","N")</f>
        <v>N</v>
      </c>
      <c r="X70" s="194">
        <f t="shared" si="6"/>
        <v>1</v>
      </c>
      <c r="Y70" s="194">
        <f t="shared" si="7"/>
        <v>23.2988</v>
      </c>
      <c r="Z70" s="194">
        <f t="shared" si="8"/>
        <v>1.2699999999999999E-2</v>
      </c>
      <c r="AA70" s="194">
        <f t="shared" si="9"/>
        <v>23.286100000000001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10"/>
        <v>158</v>
      </c>
      <c r="AE70" s="77" t="str">
        <f t="shared" si="11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70" s="74" t="str">
        <f t="shared" si="12"/>
        <v>"C:\Program Files (x86)\AstroGrep\AstroGrep.exe" /e /r /s /spath="%USERPROFILE%\AppData\Local\Temp\OnboardLogs" /stypes="app*4061*20170908*" /stext=" 18:.+((SYSTEM_STATE.+slice.+state.+changed )|(ment ac)|(multiple cpu faults)|(system.+state.+changed )|(\[timeout)|(PRM\|1\|D)|(kpr)|(kdp)|(train st.+moving)|(\|lc)|(penalty))"</v>
      </c>
      <c r="AG70" s="206" t="str">
        <f t="shared" si="13"/>
        <v>EC</v>
      </c>
      <c r="AH70" s="78" t="str">
        <f t="shared" si="18"/>
        <v>"%USERPROFILE%\Documents\GitHub\eaglep3\Utilities\RefineRTDCRunTimes.py" --tripid 158-08 --locoid 4061 --swversion DE.1.0.9.0 --startMP 204:232988 --initTime 2017-09-08T11:35:24 --startdatetime 2017-09-08T11:42:24 --delay 51 --endMP 204:127 --enddatetime 2017-09-08T12:21:17 --enforcementcount 0 &gt;&gt;C:\Users\stu\Documents\GitHub\eaglep3-reporting\EC\2017-09-08-refined-times.txt</v>
      </c>
      <c r="AI70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{"issue":{"subject":"","project_id":79,"tracker_id":40,"status_id":1,"priority_id":2,"assigned_to_id":338,"start_date":"2017-09-08","description":"","custom_fields":[{"id":1,"name":"Subdivision","value":"EC"},{"id":4,"name":"Milepost","value":"0.0127"},{"id":17,"name":"Train ID","value":"158-08"},{"id":16,"name":"Locomotive ID","value":"4061"},{"id":130,"name":"Impact","value":""},{"id":150,"name":"Time of Event (Mountain Time)","value":"12:21:17"},{"id":151,"name":"Denver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4061 --day 2017-09-08</v>
      </c>
      <c r="AN70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18:21:17"},{"id":29,"name":"Sharepoint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726</v>
      </c>
      <c r="B71" s="7">
        <v>4032</v>
      </c>
      <c r="C71" s="21" t="s">
        <v>197</v>
      </c>
      <c r="D71" s="21" t="s">
        <v>401</v>
      </c>
      <c r="E71" s="13">
        <v>42986.453425925924</v>
      </c>
      <c r="F71" s="13">
        <v>42986.458587962959</v>
      </c>
      <c r="G71" s="7">
        <v>168</v>
      </c>
      <c r="H71" s="21" t="s">
        <v>871</v>
      </c>
      <c r="I71" s="13">
        <v>42986.485405092593</v>
      </c>
      <c r="J71" s="7">
        <v>0</v>
      </c>
      <c r="K71" s="89" t="str">
        <f t="shared" si="0"/>
        <v>4031/4032</v>
      </c>
      <c r="L71" s="214" t="str">
        <f>VLOOKUP(A71,'Trips&amp;Operators'!$C$1:$G$99911,5,FALSE)</f>
        <v>YANAI IAN</v>
      </c>
      <c r="M71" s="6">
        <f t="shared" si="1"/>
        <v>2.6817129633855075E-2</v>
      </c>
      <c r="N71" s="7">
        <f t="shared" si="2"/>
        <v>38.616666672751307</v>
      </c>
      <c r="O71" s="7"/>
      <c r="P71" s="7"/>
      <c r="Q71" s="22"/>
      <c r="R71" s="167"/>
      <c r="S71" s="210">
        <f t="shared" si="3"/>
        <v>1</v>
      </c>
      <c r="T71" s="192" t="str">
        <f t="shared" si="4"/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-09-08T09:52:56-0600',mode:absolute,to:'2017-09-08T12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1" s="194" t="str">
        <f>IF(AA71&lt;VLOOKUP(AG71,Variables!$AC$3:$AD$8,2,FALSE),"Y","N")</f>
        <v>N</v>
      </c>
      <c r="X71" s="194">
        <f t="shared" si="6"/>
        <v>1</v>
      </c>
      <c r="Y71" s="194">
        <f t="shared" si="7"/>
        <v>4.4200000000000003E-2</v>
      </c>
      <c r="Z71" s="194">
        <f t="shared" si="8"/>
        <v>23.33</v>
      </c>
      <c r="AA71" s="194">
        <f t="shared" si="9"/>
        <v>23.285799999999998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10"/>
        <v>159</v>
      </c>
      <c r="AE71" s="77" t="str">
        <f t="shared" si="11"/>
        <v>aws s3 cp s3://rtdc.mdm.uploadarchive.raw/RTDC4032/ "%USERPROFILE%\AppData\Local\Temp\OnboardLogs"\RTDC4032\2017-09-08 --exclude "*" --recursive --include "*20170908*" &amp; "%USERPROFILE%\Documents\GitHub\mrs-test-scripts\Headless Mode &amp; Sideloading\WalkAndUnGZ.bat" "%USERPROFILE%\AppData\Local\Temp\OnboardLogs"\RTDC4032\2017-09-08 &amp; aws s3 cp s3://rtdc.mdm.uploadarchive.raw/RTDC4032/ "%USERPROFILE%\AppData\Local\Temp\OnboardLogs"\RTDC4032\2017-09-09 --exclude "*" --recursive --include "*20170909*" &amp; "%USERPROFILE%\Documents\GitHub\mrs-test-scripts\Headless Mode &amp; Sideloading\WalkAndUnGZ.bat" "%USERPROFILE%\AppData\Local\Temp\OnboardLogs"\RTDC4032\2017-09-09</v>
      </c>
      <c r="AF71" s="74" t="str">
        <f t="shared" si="12"/>
        <v>"C:\Program Files (x86)\AstroGrep\AstroGrep.exe" /e /r /s /spath="%USERPROFILE%\AppData\Local\Temp\OnboardLogs" /stypes="app*4032*20170908*" /stext=" 17:.+((SYSTEM_STATE.+slice.+state.+changed )|(ment ac)|(multiple cpu faults)|(system.+state.+changed )|(\[timeout)|(PRM\|1\|D)|(kpr)|(kdp)|(train st.+moving)|(\|lc)|(penalty))"</v>
      </c>
      <c r="AG71" s="206" t="str">
        <f t="shared" si="13"/>
        <v>EC</v>
      </c>
      <c r="AH71" s="78" t="str">
        <f t="shared" si="18"/>
        <v>"%USERPROFILE%\Documents\GitHub\eaglep3\Utilities\RefineRTDCRunTimes.py" --tripid 159-08 --locoid 4032 --swversion DE.1.0.9.0 --startMP 204:442 --initTime 2017-09-08T10:52:56 --startdatetime 2017-09-08T11:00:22 --delay 168 --endMP 204:233300 --enddatetime 2017-09-08T11:38:59 --enforcementcount 0 &gt;&gt;C:\Users\stu\Documents\GitHub\eaglep3-reporting\EC\2017-09-08-refined-times.txt</v>
      </c>
      <c r="AI71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{"issue":{"subject":"","project_id":79,"tracker_id":40,"status_id":1,"priority_id":2,"assigned_to_id":338,"start_date":"2017-09-08","description":"","custom_fields":[{"id":1,"name":"Subdivision","value":"EC"},{"id":4,"name":"Milepost","value":"23.33"},{"id":17,"name":"Train ID","value":"159-08"},{"id":16,"name":"Locomotive ID","value":"4032"},{"id":130,"name":"Impact","value":""},{"id":150,"name":"Time of Event (Mountain Time)","value":"11:38:59"},{"id":151,"name":"Denver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4032 --day 2017-09-08</v>
      </c>
      <c r="AN71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17:38:59"},{"id":29,"name":"Sharepoint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732</v>
      </c>
      <c r="B72" s="7">
        <v>4031</v>
      </c>
      <c r="C72" s="21" t="s">
        <v>197</v>
      </c>
      <c r="D72" s="21" t="s">
        <v>529</v>
      </c>
      <c r="E72" s="13">
        <v>42986.48741898148</v>
      </c>
      <c r="F72" s="13">
        <v>42986.498229166667</v>
      </c>
      <c r="G72" s="7">
        <v>49</v>
      </c>
      <c r="H72" s="21" t="s">
        <v>338</v>
      </c>
      <c r="I72" s="13">
        <v>42986.524039351854</v>
      </c>
      <c r="J72" s="7">
        <v>0</v>
      </c>
      <c r="K72" s="89" t="str">
        <f t="shared" si="0"/>
        <v>4031/4032</v>
      </c>
      <c r="L72" s="214" t="str">
        <f>VLOOKUP(A72,'Trips&amp;Operators'!$C$1:$G$99911,5,FALSE)</f>
        <v>YANAI IAN</v>
      </c>
      <c r="M72" s="6">
        <f t="shared" si="1"/>
        <v>2.5810185186855961E-2</v>
      </c>
      <c r="N72" s="7">
        <f t="shared" si="2"/>
        <v>37.166666669072583</v>
      </c>
      <c r="O72" s="7"/>
      <c r="P72" s="7"/>
      <c r="Q72" s="22"/>
      <c r="R72" s="167"/>
      <c r="S72" s="210">
        <f t="shared" si="3"/>
        <v>1</v>
      </c>
      <c r="T72" s="192" t="str">
        <f t="shared" si="4"/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-09-08T10:41:53-0600',mode:absolute,to:'2017-09-08T13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2" s="194" t="str">
        <f>IF(AA72&lt;VLOOKUP(AG72,Variables!$AC$3:$AD$8,2,FALSE),"Y","N")</f>
        <v>N</v>
      </c>
      <c r="X72" s="194">
        <f t="shared" si="6"/>
        <v>1</v>
      </c>
      <c r="Y72" s="194">
        <f t="shared" si="7"/>
        <v>23.2987</v>
      </c>
      <c r="Z72" s="194">
        <f t="shared" si="8"/>
        <v>1.4999999999999999E-2</v>
      </c>
      <c r="AA72" s="194">
        <f t="shared" si="9"/>
        <v>23.2837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10"/>
        <v>160</v>
      </c>
      <c r="AE72" s="77" t="str">
        <f t="shared" si="11"/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AF72" s="74" t="str">
        <f t="shared" si="12"/>
        <v>"C:\Program Files (x86)\AstroGrep\AstroGrep.exe" /e /r /s /spath="%USERPROFILE%\AppData\Local\Temp\OnboardLogs" /stypes="app*4031*20170908*" /stext=" 18:.+((SYSTEM_STATE.+slice.+state.+changed )|(ment ac)|(multiple cpu faults)|(system.+state.+changed )|(\[timeout)|(PRM\|1\|D)|(kpr)|(kdp)|(train st.+moving)|(\|lc)|(penalty))"</v>
      </c>
      <c r="AG72" s="206" t="str">
        <f t="shared" si="13"/>
        <v>EC</v>
      </c>
      <c r="AH72" s="78" t="str">
        <f t="shared" si="18"/>
        <v>"%USERPROFILE%\Documents\GitHub\eaglep3\Utilities\RefineRTDCRunTimes.py" --tripid 160-08 --locoid 4031 --swversion DE.1.0.9.0 --startMP 204:232987 --initTime 2017-09-08T11:41:53 --startdatetime 2017-09-08T11:57:27 --delay 49 --endMP 204:150 --enddatetime 2017-09-08T12:34:37 --enforcementcount 0 &gt;&gt;C:\Users\stu\Documents\GitHub\eaglep3-reporting\EC\2017-09-08-refined-times.txt</v>
      </c>
      <c r="AI72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{"issue":{"subject":"","project_id":79,"tracker_id":40,"status_id":1,"priority_id":2,"assigned_to_id":338,"start_date":"2017-09-08","description":"","custom_fields":[{"id":1,"name":"Subdivision","value":"EC"},{"id":4,"name":"Milepost","value":"0.015"},{"id":17,"name":"Train ID","value":"160-08"},{"id":16,"name":"Locomotive ID","value":"4031"},{"id":130,"name":"Impact","value":""},{"id":150,"name":"Time of Event (Mountain Time)","value":"12:34:37"},{"id":151,"name":"Denver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4031 --day 2017-09-08</v>
      </c>
      <c r="AN72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18:34:37"},{"id":29,"name":"Sharepoint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728</v>
      </c>
      <c r="B73" s="7">
        <v>4006</v>
      </c>
      <c r="C73" s="21" t="s">
        <v>197</v>
      </c>
      <c r="D73" s="21" t="s">
        <v>337</v>
      </c>
      <c r="E73" s="13">
        <v>42986.465289351851</v>
      </c>
      <c r="F73" s="13">
        <v>42986.4690625</v>
      </c>
      <c r="G73" s="7">
        <v>171</v>
      </c>
      <c r="H73" s="21" t="s">
        <v>882</v>
      </c>
      <c r="I73" s="13">
        <v>42986.493923611109</v>
      </c>
      <c r="J73" s="7">
        <v>0</v>
      </c>
      <c r="K73" s="89" t="str">
        <f t="shared" si="0"/>
        <v>4005/4006</v>
      </c>
      <c r="L73" s="214" t="str">
        <f>VLOOKUP(A73,'Trips&amp;Operators'!$C$1:$G$99911,5,FALSE)</f>
        <v>SAFIEF AEIMEN</v>
      </c>
      <c r="M73" s="6">
        <f t="shared" si="1"/>
        <v>2.4861111109203193E-2</v>
      </c>
      <c r="N73" s="7">
        <f t="shared" si="2"/>
        <v>35.799999997252598</v>
      </c>
      <c r="O73" s="7"/>
      <c r="P73" s="7"/>
      <c r="Q73" s="22"/>
      <c r="R73" s="167"/>
      <c r="S73" s="210">
        <f t="shared" si="3"/>
        <v>1</v>
      </c>
      <c r="T73" s="192" t="str">
        <f t="shared" si="4"/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-09-08T10:10:01-0600',mode:absolute,to:'2017-09-08T12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3" s="194" t="str">
        <f>IF(AA73&lt;VLOOKUP(AG73,Variables!$AC$3:$AD$8,2,FALSE),"Y","N")</f>
        <v>N</v>
      </c>
      <c r="X73" s="194">
        <f t="shared" si="6"/>
        <v>1</v>
      </c>
      <c r="Y73" s="194">
        <f t="shared" si="7"/>
        <v>4.4600000000000001E-2</v>
      </c>
      <c r="Z73" s="194">
        <f t="shared" si="8"/>
        <v>23.327200000000001</v>
      </c>
      <c r="AA73" s="194">
        <f t="shared" si="9"/>
        <v>23.282600000000002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10"/>
        <v>161</v>
      </c>
      <c r="AE73" s="77" t="str">
        <f t="shared" si="11"/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AF73" s="74" t="str">
        <f t="shared" si="12"/>
        <v>"C:\Program Files (x86)\AstroGrep\AstroGrep.exe" /e /r /s /spath="%USERPROFILE%\AppData\Local\Temp\OnboardLogs" /stypes="app*4006*20170908*" /stext=" 17:.+((SYSTEM_STATE.+slice.+state.+changed )|(ment ac)|(multiple cpu faults)|(system.+state.+changed )|(\[timeout)|(PRM\|1\|D)|(kpr)|(kdp)|(train st.+moving)|(\|lc)|(penalty))"</v>
      </c>
      <c r="AG73" s="206" t="str">
        <f t="shared" si="13"/>
        <v>EC</v>
      </c>
      <c r="AH73" s="78" t="str">
        <f t="shared" si="18"/>
        <v>"%USERPROFILE%\Documents\GitHub\eaglep3\Utilities\RefineRTDCRunTimes.py" --tripid 161-08 --locoid 4006 --swversion DE.1.0.9.0 --startMP 204:446 --initTime 2017-09-08T11:10:01 --startdatetime 2017-09-08T11:15:27 --delay 171 --endMP 204:233272 --enddatetime 2017-09-08T11:51:15 --enforcementcount 0 &gt;&gt;C:\Users\stu\Documents\GitHub\eaglep3-reporting\EC\2017-09-08-refined-times.txt</v>
      </c>
      <c r="AI73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{"issue":{"subject":"","project_id":79,"tracker_id":40,"status_id":1,"priority_id":2,"assigned_to_id":338,"start_date":"2017-09-08","description":"","custom_fields":[{"id":1,"name":"Subdivision","value":"EC"},{"id":4,"name":"Milepost","value":"23.3272"},{"id":17,"name":"Train ID","value":"161-08"},{"id":16,"name":"Locomotive ID","value":"4006"},{"id":130,"name":"Impact","value":""},{"id":150,"name":"Time of Event (Mountain Time)","value":"11:51:15"},{"id":151,"name":"Denver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4006 --day 2017-09-08</v>
      </c>
      <c r="AN73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17:51:15"},{"id":29,"name":"Sharepoint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735</v>
      </c>
      <c r="B74" s="7">
        <v>4005</v>
      </c>
      <c r="C74" s="21" t="s">
        <v>197</v>
      </c>
      <c r="D74" s="21" t="s">
        <v>411</v>
      </c>
      <c r="E74" s="13">
        <v>42986.49627314815</v>
      </c>
      <c r="F74" s="13">
        <v>42986.508506944447</v>
      </c>
      <c r="G74" s="7">
        <v>129</v>
      </c>
      <c r="H74" s="21" t="s">
        <v>338</v>
      </c>
      <c r="I74" s="13">
        <v>42986.535104166665</v>
      </c>
      <c r="J74" s="7">
        <v>0</v>
      </c>
      <c r="K74" s="89" t="str">
        <f t="shared" si="0"/>
        <v>4005/4006</v>
      </c>
      <c r="L74" s="214" t="str">
        <f>VLOOKUP(A74,'Trips&amp;Operators'!$C$1:$G$99911,5,FALSE)</f>
        <v>SAFIEF AEIMEN</v>
      </c>
      <c r="M74" s="6">
        <f t="shared" si="1"/>
        <v>2.6597222218697425E-2</v>
      </c>
      <c r="N74" s="7">
        <f t="shared" si="2"/>
        <v>38.299999994924292</v>
      </c>
      <c r="O74" s="7"/>
      <c r="P74" s="7"/>
      <c r="Q74" s="22"/>
      <c r="R74" s="167"/>
      <c r="S74" s="210">
        <f t="shared" si="3"/>
        <v>1</v>
      </c>
      <c r="T74" s="192" t="str">
        <f t="shared" si="4"/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-09-08T10:54:38-0600',mode:absolute,to:'2017-09-08T13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4" s="194" t="str">
        <f>IF(AA74&lt;VLOOKUP(AG74,Variables!$AC$3:$AD$8,2,FALSE),"Y","N")</f>
        <v>N</v>
      </c>
      <c r="X74" s="194">
        <f t="shared" si="6"/>
        <v>1</v>
      </c>
      <c r="Y74" s="194">
        <f t="shared" si="7"/>
        <v>23.297799999999999</v>
      </c>
      <c r="Z74" s="194">
        <f t="shared" si="8"/>
        <v>1.4999999999999999E-2</v>
      </c>
      <c r="AA74" s="194">
        <f t="shared" si="9"/>
        <v>23.282799999999998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10"/>
        <v>162</v>
      </c>
      <c r="AE74" s="77" t="str">
        <f t="shared" si="11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74" s="74" t="str">
        <f t="shared" si="12"/>
        <v>"C:\Program Files (x86)\AstroGrep\AstroGrep.exe" /e /r /s /spath="%USERPROFILE%\AppData\Local\Temp\OnboardLogs" /stypes="app*4005*20170908*" /stext=" 18:.+((SYSTEM_STATE.+slice.+state.+changed )|(ment ac)|(multiple cpu faults)|(system.+state.+changed )|(\[timeout)|(PRM\|1\|D)|(kpr)|(kdp)|(train st.+moving)|(\|lc)|(penalty))"</v>
      </c>
      <c r="AG74" s="206" t="str">
        <f t="shared" si="13"/>
        <v>EC</v>
      </c>
      <c r="AH74" s="78" t="str">
        <f t="shared" si="18"/>
        <v>"%USERPROFILE%\Documents\GitHub\eaglep3\Utilities\RefineRTDCRunTimes.py" --tripid 162-08 --locoid 4005 --swversion DE.1.0.9.0 --startMP 204:232978 --initTime 2017-09-08T11:54:38 --startdatetime 2017-09-08T12:12:15 --delay 129 --endMP 204:150 --enddatetime 2017-09-08T12:50:33 --enforcementcount 0 &gt;&gt;C:\Users\stu\Documents\GitHub\eaglep3-reporting\EC\2017-09-08-refined-times.txt</v>
      </c>
      <c r="AI74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{"issue":{"subject":"","project_id":79,"tracker_id":40,"status_id":1,"priority_id":2,"assigned_to_id":338,"start_date":"2017-09-08","description":"","custom_fields":[{"id":1,"name":"Subdivision","value":"EC"},{"id":4,"name":"Milepost","value":"0.015"},{"id":17,"name":"Train ID","value":"162-08"},{"id":16,"name":"Locomotive ID","value":"4005"},{"id":130,"name":"Impact","value":""},{"id":150,"name":"Time of Event (Mountain Time)","value":"12:50:33"},{"id":151,"name":"Denver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4005 --day 2017-09-08</v>
      </c>
      <c r="AN74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18:50:33"},{"id":29,"name":"Sharepoint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731</v>
      </c>
      <c r="B75" s="7">
        <v>4034</v>
      </c>
      <c r="C75" s="21" t="s">
        <v>197</v>
      </c>
      <c r="D75" s="21" t="s">
        <v>385</v>
      </c>
      <c r="E75" s="13">
        <v>42986.475949074076</v>
      </c>
      <c r="F75" s="13">
        <v>42986.479363425926</v>
      </c>
      <c r="G75" s="7">
        <v>152</v>
      </c>
      <c r="H75" s="21" t="s">
        <v>570</v>
      </c>
      <c r="I75" s="13">
        <v>42986.503993055558</v>
      </c>
      <c r="J75" s="7">
        <v>0</v>
      </c>
      <c r="K75" s="89" t="str">
        <f t="shared" si="0"/>
        <v>4033/4034</v>
      </c>
      <c r="L75" s="214" t="str">
        <f>VLOOKUP(A75,'Trips&amp;Operators'!$C$1:$G$99911,5,FALSE)</f>
        <v>BRUDER RICHARD</v>
      </c>
      <c r="M75" s="6">
        <f t="shared" si="1"/>
        <v>2.4629629631817807E-2</v>
      </c>
      <c r="N75" s="7">
        <f t="shared" si="2"/>
        <v>35.466666669817641</v>
      </c>
      <c r="O75" s="7"/>
      <c r="P75" s="7"/>
      <c r="Q75" s="22"/>
      <c r="R75" s="167"/>
      <c r="S75" s="210">
        <f t="shared" si="3"/>
        <v>1</v>
      </c>
      <c r="T75" s="192" t="str">
        <f t="shared" si="4"/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-09-08T10:25:22-0600',mode:absolute,to:'2017-09-08T13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5" s="194" t="str">
        <f>IF(AA75&lt;VLOOKUP(AG75,Variables!$AC$3:$AD$8,2,FALSE),"Y","N")</f>
        <v>N</v>
      </c>
      <c r="X75" s="194">
        <f t="shared" si="6"/>
        <v>1</v>
      </c>
      <c r="Y75" s="194">
        <f t="shared" si="7"/>
        <v>4.6899999999999997E-2</v>
      </c>
      <c r="Z75" s="194">
        <f t="shared" si="8"/>
        <v>23.3306</v>
      </c>
      <c r="AA75" s="194">
        <f t="shared" si="9"/>
        <v>23.2837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10"/>
        <v>163</v>
      </c>
      <c r="AE75" s="77" t="str">
        <f t="shared" si="11"/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AF75" s="74" t="str">
        <f t="shared" si="12"/>
        <v>"C:\Program Files (x86)\AstroGrep\AstroGrep.exe" /e /r /s /spath="%USERPROFILE%\AppData\Local\Temp\OnboardLogs" /stypes="app*4034*20170908*" /stext=" 18:.+((SYSTEM_STATE.+slice.+state.+changed )|(ment ac)|(multiple cpu faults)|(system.+state.+changed )|(\[timeout)|(PRM\|1\|D)|(kpr)|(kdp)|(train st.+moving)|(\|lc)|(penalty))"</v>
      </c>
      <c r="AG75" s="206" t="str">
        <f t="shared" si="13"/>
        <v>EC</v>
      </c>
      <c r="AH75" s="78" t="str">
        <f t="shared" si="18"/>
        <v>"%USERPROFILE%\Documents\GitHub\eaglep3\Utilities\RefineRTDCRunTimes.py" --tripid 163-08 --locoid 4034 --swversion DE.1.0.9.0 --startMP 204:469 --initTime 2017-09-08T11:25:22 --startdatetime 2017-09-08T11:30:17 --delay 152 --endMP 204:233306 --enddatetime 2017-09-08T12:05:45 --enforcementcount 0 &gt;&gt;C:\Users\stu\Documents\GitHub\eaglep3-reporting\EC\2017-09-08-refined-times.txt</v>
      </c>
      <c r="AI75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{"issue":{"subject":"","project_id":79,"tracker_id":40,"status_id":1,"priority_id":2,"assigned_to_id":338,"start_date":"2017-09-08","description":"","custom_fields":[{"id":1,"name":"Subdivision","value":"EC"},{"id":4,"name":"Milepost","value":"23.3306"},{"id":17,"name":"Train ID","value":"163-08"},{"id":16,"name":"Locomotive ID","value":"4034"},{"id":130,"name":"Impact","value":""},{"id":150,"name":"Time of Event (Mountain Time)","value":"12:05:45"},{"id":151,"name":"Denver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4034 --day 2017-09-08</v>
      </c>
      <c r="AN75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18:05:45"},{"id":29,"name":"Sharepoint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738</v>
      </c>
      <c r="B76" s="7">
        <v>4033</v>
      </c>
      <c r="C76" s="21" t="s">
        <v>197</v>
      </c>
      <c r="D76" s="21" t="s">
        <v>529</v>
      </c>
      <c r="E76" s="13">
        <v>42986.515335648146</v>
      </c>
      <c r="F76" s="13">
        <v>42986.519062500003</v>
      </c>
      <c r="G76" s="7">
        <v>70</v>
      </c>
      <c r="H76" s="21" t="s">
        <v>339</v>
      </c>
      <c r="I76" s="13">
        <v>42986.544351851851</v>
      </c>
      <c r="J76" s="7">
        <v>0</v>
      </c>
      <c r="K76" s="89" t="str">
        <f t="shared" ref="K76:K139" si="22">IF(ISEVEN(B76),(B76-1)&amp;"/"&amp;B76,B76&amp;"/"&amp;(B76+1))</f>
        <v>4033/4034</v>
      </c>
      <c r="L76" s="214" t="str">
        <f>VLOOKUP(A76,'Trips&amp;Operators'!$C$1:$G$99911,5,FALSE)</f>
        <v>BRUDER RICHARD</v>
      </c>
      <c r="M76" s="6">
        <f t="shared" ref="M76:M139" si="23">I76-F76</f>
        <v>2.5289351848186925E-2</v>
      </c>
      <c r="N76" s="7">
        <f t="shared" ref="N76:N139" si="24">24*60*SUM($M76:$M76)</f>
        <v>36.416666661389172</v>
      </c>
      <c r="O76" s="7"/>
      <c r="P76" s="7"/>
      <c r="Q76" s="22"/>
      <c r="R76" s="167"/>
      <c r="S76" s="210">
        <f t="shared" ref="S76:S139" si="25">1/IF(AG76="EC",12,1)*SUM(U76:U76)</f>
        <v>1</v>
      </c>
      <c r="T76" s="192" t="str">
        <f t="shared" ref="T76:T139" si="26">IF(ISEVEN(LEFT(AD76,4)),"Southbound","NorthBound")</f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ref="V76:V139" si="27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-09-08T11:22:05-0600',mode:absolute,to:'2017-09-08T14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6" s="194" t="str">
        <f>IF(AA76&lt;VLOOKUP(AG76,Variables!$AC$3:$AD$8,2,FALSE),"Y","N")</f>
        <v>N</v>
      </c>
      <c r="X76" s="194">
        <f t="shared" ref="X76:X139" si="28">VALUE(LEFT(AD76,4))-VALUE(LEFT(AD75,4))</f>
        <v>1</v>
      </c>
      <c r="Y76" s="194">
        <f t="shared" ref="Y76:Y139" si="29">RIGHT(D76,LEN(D76)-4)/10000</f>
        <v>23.2987</v>
      </c>
      <c r="Z76" s="194">
        <f t="shared" ref="Z76:Z139" si="30">RIGHT(H76,LEN(H76)-4)/10000</f>
        <v>1.49E-2</v>
      </c>
      <c r="AA76" s="194">
        <f t="shared" ref="AA76:AA139" si="31">ABS(Z76-Y76)</f>
        <v>23.283799999999999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ref="AD76:AD139" si="32">VALUE(LEFT(A76,LEN(A76)-3))</f>
        <v>164</v>
      </c>
      <c r="AE76" s="77" t="str">
        <f t="shared" ref="AE76:AE139" si="33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76" s="74" t="str">
        <f t="shared" ref="AF76:AF139" si="34"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/stypes="app*4033*20170908*" /stext=" 19:.+((SYSTEM_STATE.+slice.+state.+changed )|(ment ac)|(multiple cpu faults)|(system.+state.+changed )|(\[timeout)|(PRM\|1\|D)|(kpr)|(kdp)|(train st.+moving)|(\|lc)|(penalty))"</v>
      </c>
      <c r="AG76" s="206" t="str">
        <f t="shared" ref="AG76:AG139" si="35">DetSubdiv(A76)</f>
        <v>EC</v>
      </c>
      <c r="AH76" s="78" t="str">
        <f t="shared" si="18"/>
        <v>"%USERPROFILE%\Documents\GitHub\eaglep3\Utilities\RefineRTDCRunTimes.py" --tripid 164-08 --locoid 4033 --swversion DE.1.0.9.0 --startMP 204:232987 --initTime 2017-09-08T12:22:05 --startdatetime 2017-09-08T12:27:27 --delay 70 --endMP 204:149 --enddatetime 2017-09-08T13:03:52 --enforcementcount 0 &gt;&gt;C:\Users\stu\Documents\GitHub\eaglep3-reporting\EC\2017-09-08-refined-times.txt</v>
      </c>
      <c r="AI76" s="96" t="str">
        <f t="shared" si="19"/>
        <v>echo {"issue":{"subject":"","project_id":79,"tracker_id":40,"status_id":1,"priority_id":2,"assigned_to_id":338,"start_date":"2017-09-08","description":"","custom_fields":[{"id":1,"name":"Subdivision","value":"EC"},{"id":4,"name":"Milepost","value":"0.0149"},{"id":17,"name":"Train ID","value":"164-08"},{"id":16,"name":"Locomotive ID","value":"4033"},{"id":130,"name":"Impact","value":""},{"id":150,"name":"Time of Event (Mountain Time)","value":"13:03:52"},{"id":151,"name":"Denver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4033 --day 2017-09-08</v>
      </c>
      <c r="AN76" s="151" t="str">
        <f t="shared" si="21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19:03:52"},{"id":29,"name":"Sharepoint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733</v>
      </c>
      <c r="B77" s="7">
        <v>4044</v>
      </c>
      <c r="C77" s="21" t="s">
        <v>197</v>
      </c>
      <c r="D77" s="21" t="s">
        <v>401</v>
      </c>
      <c r="E77" s="13">
        <v>42986.487881944442</v>
      </c>
      <c r="F77" s="13">
        <v>42986.490358796298</v>
      </c>
      <c r="G77" s="7">
        <v>71</v>
      </c>
      <c r="H77" s="21" t="s">
        <v>883</v>
      </c>
      <c r="I77" s="13">
        <v>42986.514861111114</v>
      </c>
      <c r="J77" s="7">
        <v>0</v>
      </c>
      <c r="K77" s="89" t="str">
        <f t="shared" si="22"/>
        <v>4043/4044</v>
      </c>
      <c r="L77" s="214" t="str">
        <f>VLOOKUP(A77,'Trips&amp;Operators'!$C$1:$G$99911,5,FALSE)</f>
        <v>WEST BRYAN</v>
      </c>
      <c r="M77" s="6">
        <f t="shared" si="23"/>
        <v>2.4502314816345461E-2</v>
      </c>
      <c r="N77" s="7">
        <f t="shared" si="24"/>
        <v>35.283333335537463</v>
      </c>
      <c r="O77" s="7"/>
      <c r="P77" s="7"/>
      <c r="Q77" s="22"/>
      <c r="R77" s="167"/>
      <c r="S77" s="210">
        <f t="shared" si="25"/>
        <v>1</v>
      </c>
      <c r="T77" s="192" t="str">
        <f t="shared" si="26"/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si="27"/>
        <v>https://d0f6bd738d7f1b3e5a7ca70fe4ff75f0.us-east-1.aws.found.io/app/kibana#/discover/Steve-Slow-Train-Analysis-(2080s-and-2083s)?_g=(refreshInterval:(display:Off,pause:!f,section:0,value:0),time:(from:'2017-09-08T10:42:33-0600',mode:absolute,to:'2017-09-08T13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7" s="194" t="str">
        <f>IF(AA77&lt;VLOOKUP(AG77,Variables!$AC$3:$AD$8,2,FALSE),"Y","N")</f>
        <v>N</v>
      </c>
      <c r="X77" s="194">
        <f t="shared" si="28"/>
        <v>1</v>
      </c>
      <c r="Y77" s="194">
        <f t="shared" si="29"/>
        <v>4.4200000000000003E-2</v>
      </c>
      <c r="Z77" s="194">
        <f t="shared" si="30"/>
        <v>23.326799999999999</v>
      </c>
      <c r="AA77" s="194">
        <f t="shared" si="31"/>
        <v>23.282599999999999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si="32"/>
        <v>165</v>
      </c>
      <c r="AE77" s="77" t="str">
        <f t="shared" si="33"/>
        <v>aws s3 cp s3://rtdc.mdm.uploadarchive.raw/RTDC4044/ "%USERPROFILE%\AppData\Local\Temp\OnboardLogs"\RTDC4044\2017-09-08 --exclude "*" --recursive --include "*20170908*" &amp; "%USERPROFILE%\Documents\GitHub\mrs-test-scripts\Headless Mode &amp; Sideloading\WalkAndUnGZ.bat" "%USERPROFILE%\AppData\Local\Temp\OnboardLogs"\RTDC4044\2017-09-08 &amp; 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</v>
      </c>
      <c r="AF77" s="74" t="str">
        <f t="shared" si="34"/>
        <v>"C:\Program Files (x86)\AstroGrep\AstroGrep.exe" /e /r /s /spath="%USERPROFILE%\AppData\Local\Temp\OnboardLogs" /stypes="app*4044*20170908*" /stext=" 18:.+((SYSTEM_STATE.+slice.+state.+changed )|(ment ac)|(multiple cpu faults)|(system.+state.+changed )|(\[timeout)|(PRM\|1\|D)|(kpr)|(kdp)|(train st.+moving)|(\|lc)|(penalty))"</v>
      </c>
      <c r="AG77" s="206" t="str">
        <f t="shared" si="35"/>
        <v>EC</v>
      </c>
      <c r="AH77" s="78" t="str">
        <f t="shared" ref="AH77:AH140" si="3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165-08 --locoid 4044 --swversion DE.1.0.9.0 --startMP 204:442 --initTime 2017-09-08T11:42:33 --startdatetime 2017-09-08T11:46:07 --delay 71 --endMP 204:233268 --enddatetime 2017-09-08T12:21:24 --enforcementcount 0 &gt;&gt;C:\Users\stu\Documents\GitHub\eaglep3-reporting\EC\2017-09-08-refined-times.txt</v>
      </c>
      <c r="AI77" s="96" t="str">
        <f t="shared" ref="AI77:AI140" si="37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{"issue":{"subject":"","project_id":79,"tracker_id":40,"status_id":1,"priority_id":2,"assigned_to_id":338,"start_date":"2017-09-08","description":"","custom_fields":[{"id":1,"name":"Subdivision","value":"EC"},{"id":4,"name":"Milepost","value":"23.3268"},{"id":17,"name":"Train ID","value":"165-08"},{"id":16,"name":"Locomotive ID","value":"4044"},{"id":130,"name":"Impact","value":""},{"id":150,"name":"Time of Event (Mountain Time)","value":"12:21:24"},{"id":151,"name":"Denver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38">"start /low /b "&amp;dls3logs&amp;" --loco "&amp;B77&amp;" --day "&amp;TEXT(F77,"YYYY-MM-DD")</f>
        <v>start /low /b %USERPROFILE%\Documents\GitHub\eaglep3\Utilities\DownloadLogsFromS3.py --loco 4044 --day 2017-09-08</v>
      </c>
      <c r="AN77" s="151" t="str">
        <f t="shared" ref="AN77:AN140" si="39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18:21:24"},{"id":29,"name":"Sharepoint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742</v>
      </c>
      <c r="B78" s="7">
        <v>4043</v>
      </c>
      <c r="C78" s="21" t="s">
        <v>197</v>
      </c>
      <c r="D78" s="21" t="s">
        <v>884</v>
      </c>
      <c r="E78" s="13">
        <v>42986.525833333333</v>
      </c>
      <c r="F78" s="13">
        <v>42986.52957175926</v>
      </c>
      <c r="G78" s="7">
        <v>80</v>
      </c>
      <c r="H78" s="21" t="s">
        <v>390</v>
      </c>
      <c r="I78" s="13">
        <v>42986.556250000001</v>
      </c>
      <c r="J78" s="7">
        <v>0</v>
      </c>
      <c r="K78" s="89" t="str">
        <f t="shared" si="22"/>
        <v>4043/4044</v>
      </c>
      <c r="L78" s="214" t="str">
        <f>VLOOKUP(A78,'Trips&amp;Operators'!$C$1:$G$99911,5,FALSE)</f>
        <v>WEST BRYAN</v>
      </c>
      <c r="M78" s="6">
        <f t="shared" si="23"/>
        <v>2.6678240741603076E-2</v>
      </c>
      <c r="N78" s="7">
        <f t="shared" si="24"/>
        <v>38.41666666790843</v>
      </c>
      <c r="O78" s="7"/>
      <c r="P78" s="7"/>
      <c r="Q78" s="22"/>
      <c r="R78" s="167"/>
      <c r="S78" s="210">
        <f t="shared" si="25"/>
        <v>1</v>
      </c>
      <c r="T78" s="192" t="str">
        <f t="shared" si="26"/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27"/>
        <v>https://d0f6bd738d7f1b3e5a7ca70fe4ff75f0.us-east-1.aws.found.io/app/kibana#/discover/Steve-Slow-Train-Analysis-(2080s-and-2083s)?_g=(refreshInterval:(display:Off,pause:!f,section:0,value:0),time:(from:'2017-09-08T11:37:12-0600',mode:absolute,to:'2017-09-08T14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8" s="194" t="str">
        <f>IF(AA78&lt;VLOOKUP(AG78,Variables!$AC$3:$AD$8,2,FALSE),"Y","N")</f>
        <v>N</v>
      </c>
      <c r="X78" s="194">
        <f t="shared" si="28"/>
        <v>1</v>
      </c>
      <c r="Y78" s="194">
        <f t="shared" si="29"/>
        <v>23.296700000000001</v>
      </c>
      <c r="Z78" s="194">
        <f t="shared" si="30"/>
        <v>1.67E-2</v>
      </c>
      <c r="AA78" s="194">
        <f t="shared" si="31"/>
        <v>23.28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32"/>
        <v>166</v>
      </c>
      <c r="AE78" s="77" t="str">
        <f t="shared" si="33"/>
        <v>aws s3 cp s3://rtdc.mdm.uploadarchive.raw/RTDC4043/ "%USERPROFILE%\AppData\Local\Temp\OnboardLogs"\RTDC4043\2017-09-08 --exclude "*" --recursive --include "*20170908*" &amp; "%USERPROFILE%\Documents\GitHub\mrs-test-scripts\Headless Mode &amp; Sideloading\WalkAndUnGZ.bat" "%USERPROFILE%\AppData\Local\Temp\OnboardLogs"\RTDC4043\2017-09-08 &amp; 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</v>
      </c>
      <c r="AF78" s="74" t="str">
        <f t="shared" si="34"/>
        <v>"C:\Program Files (x86)\AstroGrep\AstroGrep.exe" /e /r /s /spath="%USERPROFILE%\AppData\Local\Temp\OnboardLogs" /stypes="app*4043*20170908*" /stext=" 19:.+((SYSTEM_STATE.+slice.+state.+changed )|(ment ac)|(multiple cpu faults)|(system.+state.+changed )|(\[timeout)|(PRM\|1\|D)|(kpr)|(kdp)|(train st.+moving)|(\|lc)|(penalty))"</v>
      </c>
      <c r="AG78" s="206" t="str">
        <f t="shared" si="35"/>
        <v>EC</v>
      </c>
      <c r="AH78" s="78" t="str">
        <f t="shared" si="36"/>
        <v>"%USERPROFILE%\Documents\GitHub\eaglep3\Utilities\RefineRTDCRunTimes.py" --tripid 166-08 --locoid 4043 --swversion DE.1.0.9.0 --startMP 204:232967 --initTime 2017-09-08T12:37:12 --startdatetime 2017-09-08T12:42:35 --delay 80 --endMP 204:167 --enddatetime 2017-09-08T13:21:00 --enforcementcount 0 &gt;&gt;C:\Users\stu\Documents\GitHub\eaglep3-reporting\EC\2017-09-08-refined-times.txt</v>
      </c>
      <c r="AI78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{"issue":{"subject":"","project_id":79,"tracker_id":40,"status_id":1,"priority_id":2,"assigned_to_id":338,"start_date":"2017-09-08","description":"","custom_fields":[{"id":1,"name":"Subdivision","value":"EC"},{"id":4,"name":"Milepost","value":"0.0167"},{"id":17,"name":"Train ID","value":"166-08"},{"id":16,"name":"Locomotive ID","value":"4043"},{"id":130,"name":"Impact","value":""},{"id":150,"name":"Time of Event (Mountain Time)","value":"13:21:00"},{"id":151,"name":"Denver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8"/>
        <v>start /low /b %USERPROFILE%\Documents\GitHub\eaglep3\Utilities\DownloadLogsFromS3.py --loco 4043 --day 2017-09-08</v>
      </c>
      <c r="AN78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19:21:00"},{"id":29,"name":"Sharepoint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734</v>
      </c>
      <c r="B79" s="7">
        <v>4002</v>
      </c>
      <c r="C79" s="21" t="s">
        <v>197</v>
      </c>
      <c r="D79" s="21" t="s">
        <v>341</v>
      </c>
      <c r="E79" s="13">
        <v>42986.496319444443</v>
      </c>
      <c r="F79" s="13">
        <v>42986.500127314815</v>
      </c>
      <c r="G79" s="7">
        <v>83</v>
      </c>
      <c r="H79" s="21" t="s">
        <v>885</v>
      </c>
      <c r="I79" s="13">
        <v>42986.52542824074</v>
      </c>
      <c r="J79" s="7">
        <v>0</v>
      </c>
      <c r="K79" s="89" t="str">
        <f t="shared" si="22"/>
        <v>4001/4002</v>
      </c>
      <c r="L79" s="214" t="str">
        <f>VLOOKUP(A79,'Trips&amp;Operators'!$C$1:$G$99911,5,FALSE)</f>
        <v>FORTUNATO FRANK</v>
      </c>
      <c r="M79" s="6">
        <f t="shared" si="23"/>
        <v>2.5300925924966577E-2</v>
      </c>
      <c r="N79" s="7">
        <f t="shared" si="24"/>
        <v>36.433333331951872</v>
      </c>
      <c r="O79" s="7"/>
      <c r="P79" s="7"/>
      <c r="Q79" s="22"/>
      <c r="R79" s="167"/>
      <c r="S79" s="210">
        <f t="shared" si="25"/>
        <v>1</v>
      </c>
      <c r="T79" s="192" t="str">
        <f t="shared" si="26"/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27"/>
        <v>https://d0f6bd738d7f1b3e5a7ca70fe4ff75f0.us-east-1.aws.found.io/app/kibana#/discover/Steve-Slow-Train-Analysis-(2080s-and-2083s)?_g=(refreshInterval:(display:Off,pause:!f,section:0,value:0),time:(from:'2017-09-08T10:54:42-0600',mode:absolute,to:'2017-09-08T13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94" t="str">
        <f>IF(AA79&lt;VLOOKUP(AG79,Variables!$AC$3:$AD$8,2,FALSE),"Y","N")</f>
        <v>N</v>
      </c>
      <c r="X79" s="194">
        <f t="shared" si="28"/>
        <v>1</v>
      </c>
      <c r="Y79" s="194">
        <f t="shared" si="29"/>
        <v>4.53E-2</v>
      </c>
      <c r="Z79" s="194">
        <f t="shared" si="30"/>
        <v>23.332699999999999</v>
      </c>
      <c r="AA79" s="194">
        <f t="shared" si="31"/>
        <v>23.287399999999998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32"/>
        <v>167</v>
      </c>
      <c r="AE79" s="77" t="str">
        <f t="shared" si="33"/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79" s="74" t="str">
        <f t="shared" si="34"/>
        <v>"C:\Program Files (x86)\AstroGrep\AstroGrep.exe" /e /r /s /spath="%USERPROFILE%\AppData\Local\Temp\OnboardLogs" /stypes="app*4002*20170908*" /stext=" 18:.+((SYSTEM_STATE.+slice.+state.+changed )|(ment ac)|(multiple cpu faults)|(system.+state.+changed )|(\[timeout)|(PRM\|1\|D)|(kpr)|(kdp)|(train st.+moving)|(\|lc)|(penalty))"</v>
      </c>
      <c r="AG79" s="206" t="str">
        <f t="shared" si="35"/>
        <v>EC</v>
      </c>
      <c r="AH79" s="78" t="str">
        <f t="shared" si="36"/>
        <v>"%USERPROFILE%\Documents\GitHub\eaglep3\Utilities\RefineRTDCRunTimes.py" --tripid 167-08 --locoid 4002 --swversion DE.1.0.9.0 --startMP 204:453 --initTime 2017-09-08T11:54:42 --startdatetime 2017-09-08T12:00:11 --delay 83 --endMP 204:233327 --enddatetime 2017-09-08T12:36:37 --enforcementcount 0 &gt;&gt;C:\Users\stu\Documents\GitHub\eaglep3-reporting\EC\2017-09-08-refined-times.txt</v>
      </c>
      <c r="AI79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{"issue":{"subject":"","project_id":79,"tracker_id":40,"status_id":1,"priority_id":2,"assigned_to_id":338,"start_date":"2017-09-08","description":"","custom_fields":[{"id":1,"name":"Subdivision","value":"EC"},{"id":4,"name":"Milepost","value":"23.3327"},{"id":17,"name":"Train ID","value":"167-08"},{"id":16,"name":"Locomotive ID","value":"4002"},{"id":130,"name":"Impact","value":""},{"id":150,"name":"Time of Event (Mountain Time)","value":"12:36:37"},{"id":151,"name":"Denver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8"/>
        <v>start /low /b %USERPROFILE%\Documents\GitHub\eaglep3\Utilities\DownloadLogsFromS3.py --loco 4002 --day 2017-09-08</v>
      </c>
      <c r="AN79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18:36:37"},{"id":29,"name":"Sharepoint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743</v>
      </c>
      <c r="B80" s="7">
        <v>4001</v>
      </c>
      <c r="C80" s="21" t="s">
        <v>197</v>
      </c>
      <c r="D80" s="21" t="s">
        <v>463</v>
      </c>
      <c r="E80" s="13">
        <v>42986.526932870373</v>
      </c>
      <c r="F80" s="13">
        <v>42986.539722222224</v>
      </c>
      <c r="G80" s="7">
        <v>58</v>
      </c>
      <c r="H80" s="21" t="s">
        <v>434</v>
      </c>
      <c r="I80" s="13">
        <v>42986.565428240741</v>
      </c>
      <c r="J80" s="7">
        <v>0</v>
      </c>
      <c r="K80" s="89" t="str">
        <f t="shared" si="22"/>
        <v>4001/4002</v>
      </c>
      <c r="L80" s="214" t="str">
        <f>VLOOKUP(A80,'Trips&amp;Operators'!$C$1:$G$99911,5,FALSE)</f>
        <v>FORTUNATO FRANK</v>
      </c>
      <c r="M80" s="6">
        <f t="shared" si="23"/>
        <v>2.5706018517666962E-2</v>
      </c>
      <c r="N80" s="7">
        <f t="shared" si="24"/>
        <v>37.016666665440425</v>
      </c>
      <c r="O80" s="7"/>
      <c r="P80" s="7"/>
      <c r="Q80" s="22"/>
      <c r="R80" s="167"/>
      <c r="S80" s="210">
        <f t="shared" si="25"/>
        <v>1</v>
      </c>
      <c r="T80" s="192" t="str">
        <f t="shared" si="26"/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27"/>
        <v>https://d0f6bd738d7f1b3e5a7ca70fe4ff75f0.us-east-1.aws.found.io/app/kibana#/discover/Steve-Slow-Train-Analysis-(2080s-and-2083s)?_g=(refreshInterval:(display:Off,pause:!f,section:0,value:0),time:(from:'2017-09-08T11:38:47-0600',mode:absolute,to:'2017-09-08T14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94" t="str">
        <f>IF(AA80&lt;VLOOKUP(AG80,Variables!$AC$3:$AD$8,2,FALSE),"Y","N")</f>
        <v>N</v>
      </c>
      <c r="X80" s="194">
        <f t="shared" si="28"/>
        <v>1</v>
      </c>
      <c r="Y80" s="194">
        <f t="shared" si="29"/>
        <v>23.3002</v>
      </c>
      <c r="Z80" s="194">
        <f t="shared" si="30"/>
        <v>1.34E-2</v>
      </c>
      <c r="AA80" s="194">
        <f t="shared" si="31"/>
        <v>23.286799999999999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 t="shared" si="32"/>
        <v>168</v>
      </c>
      <c r="AE80" s="77" t="str">
        <f t="shared" si="33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80" s="74" t="str">
        <f t="shared" si="34"/>
        <v>"C:\Program Files (x86)\AstroGrep\AstroGrep.exe" /e /r /s /spath="%USERPROFILE%\AppData\Local\Temp\OnboardLogs" /stypes="app*4001*20170908*" /stext=" 19:.+((SYSTEM_STATE.+slice.+state.+changed )|(ment ac)|(multiple cpu faults)|(system.+state.+changed )|(\[timeout)|(PRM\|1\|D)|(kpr)|(kdp)|(train st.+moving)|(\|lc)|(penalty))"</v>
      </c>
      <c r="AG80" s="206" t="str">
        <f t="shared" si="35"/>
        <v>EC</v>
      </c>
      <c r="AH80" s="78" t="str">
        <f t="shared" si="36"/>
        <v>"%USERPROFILE%\Documents\GitHub\eaglep3\Utilities\RefineRTDCRunTimes.py" --tripid 168-08 --locoid 4001 --swversion DE.1.0.9.0 --startMP 204:233002 --initTime 2017-09-08T12:38:47 --startdatetime 2017-09-08T12:57:12 --delay 58 --endMP 204:134 --enddatetime 2017-09-08T13:34:13 --enforcementcount 0 &gt;&gt;C:\Users\stu\Documents\GitHub\eaglep3-reporting\EC\2017-09-08-refined-times.txt</v>
      </c>
      <c r="AI80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{"issue":{"subject":"","project_id":79,"tracker_id":40,"status_id":1,"priority_id":2,"assigned_to_id":338,"start_date":"2017-09-08","description":"","custom_fields":[{"id":1,"name":"Subdivision","value":"EC"},{"id":4,"name":"Milepost","value":"0.0134"},{"id":17,"name":"Train ID","value":"168-08"},{"id":16,"name":"Locomotive ID","value":"4001"},{"id":130,"name":"Impact","value":""},{"id":150,"name":"Time of Event (Mountain Time)","value":"13:34:13"},{"id":151,"name":"Denver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8"/>
        <v>start /low /b %USERPROFILE%\Documents\GitHub\eaglep3\Utilities\DownloadLogsFromS3.py --loco 4001 --day 2017-09-08</v>
      </c>
      <c r="AN80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19:34:13"},{"id":29,"name":"Sharepoint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737</v>
      </c>
      <c r="B81" s="7">
        <v>4058</v>
      </c>
      <c r="C81" s="21" t="s">
        <v>197</v>
      </c>
      <c r="D81" s="21" t="s">
        <v>401</v>
      </c>
      <c r="E81" s="13">
        <v>42986.506932870368</v>
      </c>
      <c r="F81" s="13">
        <v>42986.510578703703</v>
      </c>
      <c r="G81" s="7">
        <v>212</v>
      </c>
      <c r="H81" s="21" t="s">
        <v>538</v>
      </c>
      <c r="I81" s="13">
        <v>42986.534398148149</v>
      </c>
      <c r="J81" s="7">
        <v>0</v>
      </c>
      <c r="K81" s="89" t="str">
        <f t="shared" si="22"/>
        <v>4057/4058</v>
      </c>
      <c r="L81" s="214" t="str">
        <f>VLOOKUP(A81,'Trips&amp;Operators'!$C$1:$G$99911,5,FALSE)</f>
        <v>LEVIN SCOTT</v>
      </c>
      <c r="M81" s="6">
        <f t="shared" si="23"/>
        <v>2.3819444446417037E-2</v>
      </c>
      <c r="N81" s="7">
        <f t="shared" si="24"/>
        <v>34.300000002840534</v>
      </c>
      <c r="O81" s="7"/>
      <c r="P81" s="7"/>
      <c r="Q81" s="22"/>
      <c r="R81" s="167"/>
      <c r="S81" s="210">
        <f t="shared" si="25"/>
        <v>1</v>
      </c>
      <c r="T81" s="192" t="str">
        <f t="shared" si="26"/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27"/>
        <v>https://d0f6bd738d7f1b3e5a7ca70fe4ff75f0.us-east-1.aws.found.io/app/kibana#/discover/Steve-Slow-Train-Analysis-(2080s-and-2083s)?_g=(refreshInterval:(display:Off,pause:!f,section:0,value:0),time:(from:'2017-09-08T11:09:59-0600',mode:absolute,to:'2017-09-08T13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1" s="194" t="str">
        <f>IF(AA81&lt;VLOOKUP(AG81,Variables!$AC$3:$AD$8,2,FALSE),"Y","N")</f>
        <v>N</v>
      </c>
      <c r="X81" s="194">
        <f t="shared" si="28"/>
        <v>1</v>
      </c>
      <c r="Y81" s="194">
        <f t="shared" si="29"/>
        <v>4.4200000000000003E-2</v>
      </c>
      <c r="Z81" s="194">
        <f t="shared" si="30"/>
        <v>23.333600000000001</v>
      </c>
      <c r="AA81" s="194">
        <f t="shared" si="31"/>
        <v>23.289400000000001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32"/>
        <v>169</v>
      </c>
      <c r="AE81" s="77" t="str">
        <f t="shared" si="33"/>
        <v>aws s3 cp s3://rtdc.mdm.uploadarchive.raw/RTDC4058/ "%USERPROFILE%\AppData\Local\Temp\OnboardLogs"\RTDC4058\2017-09-08 --exclude "*" --recursive --include "*20170908*" &amp; "%USERPROFILE%\Documents\GitHub\mrs-test-scripts\Headless Mode &amp; Sideloading\WalkAndUnGZ.bat" "%USERPROFILE%\AppData\Local\Temp\OnboardLogs"\RTDC4058\2017-09-08 &amp; 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</v>
      </c>
      <c r="AF81" s="74" t="str">
        <f t="shared" si="34"/>
        <v>"C:\Program Files (x86)\AstroGrep\AstroGrep.exe" /e /r /s /spath="%USERPROFILE%\AppData\Local\Temp\OnboardLogs" /stypes="app*4058*20170908*" /stext=" 18:.+((SYSTEM_STATE.+slice.+state.+changed )|(ment ac)|(multiple cpu faults)|(system.+state.+changed )|(\[timeout)|(PRM\|1\|D)|(kpr)|(kdp)|(train st.+moving)|(\|lc)|(penalty))"</v>
      </c>
      <c r="AG81" s="206" t="str">
        <f t="shared" si="35"/>
        <v>EC</v>
      </c>
      <c r="AH81" s="78" t="str">
        <f t="shared" si="36"/>
        <v>"%USERPROFILE%\Documents\GitHub\eaglep3\Utilities\RefineRTDCRunTimes.py" --tripid 169-08 --locoid 4058 --swversion DE.1.0.9.0 --startMP 204:442 --initTime 2017-09-08T12:09:59 --startdatetime 2017-09-08T12:15:14 --delay 212 --endMP 204:233336 --enddatetime 2017-09-08T12:49:32 --enforcementcount 0 &gt;&gt;C:\Users\stu\Documents\GitHub\eaglep3-reporting\EC\2017-09-08-refined-times.txt</v>
      </c>
      <c r="AI81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{"issue":{"subject":"","project_id":79,"tracker_id":40,"status_id":1,"priority_id":2,"assigned_to_id":338,"start_date":"2017-09-08","description":"","custom_fields":[{"id":1,"name":"Subdivision","value":"EC"},{"id":4,"name":"Milepost","value":"23.3336"},{"id":17,"name":"Train ID","value":"169-08"},{"id":16,"name":"Locomotive ID","value":"4058"},{"id":130,"name":"Impact","value":""},{"id":150,"name":"Time of Event (Mountain Time)","value":"12:49:32"},{"id":151,"name":"Denver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8"/>
        <v>start /low /b %USERPROFILE%\Documents\GitHub\eaglep3\Utilities\DownloadLogsFromS3.py --loco 4058 --day 2017-09-08</v>
      </c>
      <c r="AN81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18:49:32"},{"id":29,"name":"Sharepoint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617</v>
      </c>
      <c r="B82" s="7">
        <v>4057</v>
      </c>
      <c r="C82" s="21" t="s">
        <v>197</v>
      </c>
      <c r="D82" s="21" t="s">
        <v>576</v>
      </c>
      <c r="E82" s="13">
        <v>42986.539409722223</v>
      </c>
      <c r="F82" s="13">
        <v>42986.550196759257</v>
      </c>
      <c r="G82" s="7">
        <v>61</v>
      </c>
      <c r="H82" s="21" t="s">
        <v>342</v>
      </c>
      <c r="I82" s="13">
        <v>42986.576307870368</v>
      </c>
      <c r="J82" s="7">
        <v>0</v>
      </c>
      <c r="K82" s="89" t="str">
        <f t="shared" si="22"/>
        <v>4057/4058</v>
      </c>
      <c r="L82" s="214" t="str">
        <f>VLOOKUP(A82,'Trips&amp;Operators'!$C$1:$G$99911,5,FALSE)</f>
        <v>LEVIN SCOTT</v>
      </c>
      <c r="M82" s="6">
        <f t="shared" si="23"/>
        <v>2.6111111110367347E-2</v>
      </c>
      <c r="N82" s="7">
        <f t="shared" si="24"/>
        <v>37.599999998928979</v>
      </c>
      <c r="O82" s="7"/>
      <c r="P82" s="7"/>
      <c r="Q82" s="22"/>
      <c r="R82" s="167"/>
      <c r="S82" s="210">
        <f t="shared" si="25"/>
        <v>1</v>
      </c>
      <c r="T82" s="192" t="str">
        <f t="shared" si="26"/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27"/>
        <v>https://d0f6bd738d7f1b3e5a7ca70fe4ff75f0.us-east-1.aws.found.io/app/kibana#/discover/Steve-Slow-Train-Analysis-(2080s-and-2083s)?_g=(refreshInterval:(display:Off,pause:!f,section:0,value:0),time:(from:'2017-09-08T11:56:45-0600',mode:absolute,to:'2017-09-08T14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2" s="194" t="str">
        <f>IF(AA82&lt;VLOOKUP(AG82,Variables!$AC$3:$AD$8,2,FALSE),"Y","N")</f>
        <v>N</v>
      </c>
      <c r="X82" s="194">
        <f t="shared" si="28"/>
        <v>1</v>
      </c>
      <c r="Y82" s="194">
        <f t="shared" si="29"/>
        <v>23.300899999999999</v>
      </c>
      <c r="Z82" s="194">
        <f t="shared" si="30"/>
        <v>1.41E-2</v>
      </c>
      <c r="AA82" s="194">
        <f t="shared" si="31"/>
        <v>23.286799999999999</v>
      </c>
      <c r="AB82" s="54" t="str">
        <f>VLOOKUP(A82,Enforcements!$C$7:$K$11,8,0)</f>
        <v>Bulletin (2)</v>
      </c>
      <c r="AC82" s="51" t="str">
        <f>VLOOKUP(A82,Enforcements!$C$7:$E$11,3,0)</f>
        <v>GRADE CROSSING</v>
      </c>
      <c r="AD82" s="203">
        <f t="shared" si="32"/>
        <v>170</v>
      </c>
      <c r="AE82" s="77" t="str">
        <f t="shared" si="33"/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AF82" s="74" t="str">
        <f t="shared" si="34"/>
        <v>"C:\Program Files (x86)\AstroGrep\AstroGrep.exe" /e /r /s /spath="%USERPROFILE%\AppData\Local\Temp\OnboardLogs" /stypes="app*4057*20170908*" /stext=" 19:.+((SYSTEM_STATE.+slice.+state.+changed )|(ment ac)|(multiple cpu faults)|(system.+state.+changed )|(\[timeout)|(PRM\|1\|D)|(kpr)|(kdp)|(train st.+moving)|(\|lc)|(penalty))"</v>
      </c>
      <c r="AG82" s="206" t="str">
        <f t="shared" si="35"/>
        <v>EC</v>
      </c>
      <c r="AH82" s="78" t="str">
        <f t="shared" si="36"/>
        <v>"%USERPROFILE%\Documents\GitHub\eaglep3\Utilities\RefineRTDCRunTimes.py" --tripid 170-08 --locoid 4057 --swversion DE.1.0.9.0 --startMP 204:233009 --initTime 2017-09-08T12:56:45 --startdatetime 2017-09-08T13:12:17 --delay 61 --endMP 204:141 --enddatetime 2017-09-08T13:49:53 --enforcementcount 0 &gt;&gt;C:\Users\stu\Documents\GitHub\eaglep3-reporting\EC\2017-09-08-refined-times.txt</v>
      </c>
      <c r="AI82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{"issue":{"subject":"","project_id":79,"tracker_id":40,"status_id":1,"priority_id":2,"assigned_to_id":338,"start_date":"2017-09-08","description":"","custom_fields":[{"id":1,"name":"Subdivision","value":"EC"},{"id":4,"name":"Milepost","value":"0.0141"},{"id":17,"name":"Train ID","value":"170-08"},{"id":16,"name":"Locomotive ID","value":"4057"},{"id":130,"name":"Impact","value":""},{"id":150,"name":"Time of Event (Mountain Time)","value":"13:49:53"},{"id":151,"name":"Denver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8"/>
        <v>start /low /b %USERPROFILE%\Documents\GitHub\eaglep3\Utilities\DownloadLogsFromS3.py --loco 4057 --day 2017-09-08</v>
      </c>
      <c r="AN82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19:49:53"},{"id":29,"name":"Sharepoint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739</v>
      </c>
      <c r="B83" s="7">
        <v>4062</v>
      </c>
      <c r="C83" s="21" t="s">
        <v>197</v>
      </c>
      <c r="D83" s="21" t="s">
        <v>341</v>
      </c>
      <c r="E83" s="13">
        <v>42986.516956018517</v>
      </c>
      <c r="F83" s="13">
        <v>42986.521006944444</v>
      </c>
      <c r="G83" s="7">
        <v>60</v>
      </c>
      <c r="H83" s="21" t="s">
        <v>578</v>
      </c>
      <c r="I83" s="13">
        <v>42986.546585648146</v>
      </c>
      <c r="J83" s="7">
        <v>0</v>
      </c>
      <c r="K83" s="89" t="str">
        <f t="shared" si="22"/>
        <v>4061/4062</v>
      </c>
      <c r="L83" s="214" t="str">
        <f>VLOOKUP(A83,'Trips&amp;Operators'!$C$1:$G$99911,5,FALSE)</f>
        <v>BADERTSCHER DIANE</v>
      </c>
      <c r="M83" s="6">
        <f t="shared" si="23"/>
        <v>2.5578703702194616E-2</v>
      </c>
      <c r="N83" s="7">
        <f t="shared" si="24"/>
        <v>36.833333331160247</v>
      </c>
      <c r="O83" s="7"/>
      <c r="P83" s="7"/>
      <c r="Q83" s="22"/>
      <c r="R83" s="167"/>
      <c r="S83" s="210">
        <f t="shared" si="25"/>
        <v>1</v>
      </c>
      <c r="T83" s="192" t="str">
        <f t="shared" si="26"/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27"/>
        <v>https://d0f6bd738d7f1b3e5a7ca70fe4ff75f0.us-east-1.aws.found.io/app/kibana#/discover/Steve-Slow-Train-Analysis-(2080s-and-2083s)?_g=(refreshInterval:(display:Off,pause:!f,section:0,value:0),time:(from:'2017-09-08T11:24:25-0600',mode:absolute,to:'2017-09-08T14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3" s="194" t="str">
        <f>IF(AA83&lt;VLOOKUP(AG83,Variables!$AC$3:$AD$8,2,FALSE),"Y","N")</f>
        <v>N</v>
      </c>
      <c r="X83" s="194">
        <f t="shared" si="28"/>
        <v>1</v>
      </c>
      <c r="Y83" s="194">
        <f t="shared" si="29"/>
        <v>4.53E-2</v>
      </c>
      <c r="Z83" s="194">
        <f t="shared" si="30"/>
        <v>23.334399999999999</v>
      </c>
      <c r="AA83" s="194">
        <f t="shared" si="31"/>
        <v>23.289099999999998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32"/>
        <v>171</v>
      </c>
      <c r="AE83" s="77" t="str">
        <f t="shared" si="33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83" s="74" t="str">
        <f t="shared" si="34"/>
        <v>"C:\Program Files (x86)\AstroGrep\AstroGrep.exe" /e /r /s /spath="%USERPROFILE%\AppData\Local\Temp\OnboardLogs" /stypes="app*4062*20170908*" /stext=" 19:.+((SYSTEM_STATE.+slice.+state.+changed )|(ment ac)|(multiple cpu faults)|(system.+state.+changed )|(\[timeout)|(PRM\|1\|D)|(kpr)|(kdp)|(train st.+moving)|(\|lc)|(penalty))"</v>
      </c>
      <c r="AG83" s="206" t="str">
        <f t="shared" si="35"/>
        <v>EC</v>
      </c>
      <c r="AH83" s="78" t="str">
        <f t="shared" si="36"/>
        <v>"%USERPROFILE%\Documents\GitHub\eaglep3\Utilities\RefineRTDCRunTimes.py" --tripid 171-08 --locoid 4062 --swversion DE.1.0.9.0 --startMP 204:453 --initTime 2017-09-08T12:24:25 --startdatetime 2017-09-08T12:30:15 --delay 60 --endMP 204:233344 --enddatetime 2017-09-08T13:07:05 --enforcementcount 0 &gt;&gt;C:\Users\stu\Documents\GitHub\eaglep3-reporting\EC\2017-09-08-refined-times.txt</v>
      </c>
      <c r="AI83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{"issue":{"subject":"","project_id":79,"tracker_id":40,"status_id":1,"priority_id":2,"assigned_to_id":338,"start_date":"2017-09-08","description":"","custom_fields":[{"id":1,"name":"Subdivision","value":"EC"},{"id":4,"name":"Milepost","value":"23.3344"},{"id":17,"name":"Train ID","value":"171-08"},{"id":16,"name":"Locomotive ID","value":"4062"},{"id":130,"name":"Impact","value":""},{"id":150,"name":"Time of Event (Mountain Time)","value":"13:07:05"},{"id":151,"name":"Denver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8"/>
        <v>start /low /b %USERPROFILE%\Documents\GitHub\eaglep3\Utilities\DownloadLogsFromS3.py --loco 4062 --day 2017-09-08</v>
      </c>
      <c r="AN83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19:07:05"},{"id":29,"name":"Sharepoint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747</v>
      </c>
      <c r="B84" s="7">
        <v>4061</v>
      </c>
      <c r="C84" s="21" t="s">
        <v>197</v>
      </c>
      <c r="D84" s="21" t="s">
        <v>886</v>
      </c>
      <c r="E84" s="13">
        <v>42986.556712962964</v>
      </c>
      <c r="F84" s="13">
        <v>42986.560590277775</v>
      </c>
      <c r="G84" s="7">
        <v>51</v>
      </c>
      <c r="H84" s="21" t="s">
        <v>361</v>
      </c>
      <c r="I84" s="13">
        <v>42986.587766203702</v>
      </c>
      <c r="J84" s="7">
        <v>0</v>
      </c>
      <c r="K84" s="89" t="str">
        <f t="shared" si="22"/>
        <v>4061/4062</v>
      </c>
      <c r="L84" s="214" t="str">
        <f>VLOOKUP(A84,'Trips&amp;Operators'!$C$1:$G$99911,5,FALSE)</f>
        <v>BADERTSCHER DIANE</v>
      </c>
      <c r="M84" s="6">
        <f t="shared" si="23"/>
        <v>2.7175925926712807E-2</v>
      </c>
      <c r="N84" s="7">
        <f t="shared" si="24"/>
        <v>39.133333334466442</v>
      </c>
      <c r="O84" s="7"/>
      <c r="P84" s="7"/>
      <c r="Q84" s="22"/>
      <c r="R84" s="167"/>
      <c r="S84" s="210">
        <f t="shared" si="25"/>
        <v>1</v>
      </c>
      <c r="T84" s="192" t="str">
        <f t="shared" si="26"/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27"/>
        <v>https://d0f6bd738d7f1b3e5a7ca70fe4ff75f0.us-east-1.aws.found.io/app/kibana#/discover/Steve-Slow-Train-Analysis-(2080s-and-2083s)?_g=(refreshInterval:(display:Off,pause:!f,section:0,value:0),time:(from:'2017-09-08T12:21:40-0600',mode:absolute,to:'2017-09-08T15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4" s="194" t="str">
        <f>IF(AA84&lt;VLOOKUP(AG84,Variables!$AC$3:$AD$8,2,FALSE),"Y","N")</f>
        <v>N</v>
      </c>
      <c r="X84" s="194">
        <f t="shared" si="28"/>
        <v>1</v>
      </c>
      <c r="Y84" s="194">
        <f t="shared" si="29"/>
        <v>23.302800000000001</v>
      </c>
      <c r="Z84" s="194">
        <f t="shared" si="30"/>
        <v>1.52E-2</v>
      </c>
      <c r="AA84" s="194">
        <f t="shared" si="31"/>
        <v>23.287600000000001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si="32"/>
        <v>172</v>
      </c>
      <c r="AE84" s="77" t="str">
        <f t="shared" si="33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84" s="74" t="str">
        <f t="shared" si="34"/>
        <v>"C:\Program Files (x86)\AstroGrep\AstroGrep.exe" /e /r /s /spath="%USERPROFILE%\AppData\Local\Temp\OnboardLogs" /stypes="app*4061*20170908*" /stext=" 20:.+((SYSTEM_STATE.+slice.+state.+changed )|(ment ac)|(multiple cpu faults)|(system.+state.+changed )|(\[timeout)|(PRM\|1\|D)|(kpr)|(kdp)|(train st.+moving)|(\|lc)|(penalty))"</v>
      </c>
      <c r="AG84" s="206" t="str">
        <f t="shared" si="35"/>
        <v>EC</v>
      </c>
      <c r="AH84" s="78" t="str">
        <f t="shared" si="36"/>
        <v>"%USERPROFILE%\Documents\GitHub\eaglep3\Utilities\RefineRTDCRunTimes.py" --tripid 172-08 --locoid 4061 --swversion DE.1.0.9.0 --startMP 204:233028 --initTime 2017-09-08T13:21:40 --startdatetime 2017-09-08T13:27:15 --delay 51 --endMP 204:152 --enddatetime 2017-09-08T14:06:23 --enforcementcount 0 &gt;&gt;C:\Users\stu\Documents\GitHub\eaglep3-reporting\EC\2017-09-08-refined-times.txt</v>
      </c>
      <c r="AI84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{"issue":{"subject":"","project_id":79,"tracker_id":40,"status_id":1,"priority_id":2,"assigned_to_id":338,"start_date":"2017-09-08","description":"","custom_fields":[{"id":1,"name":"Subdivision","value":"EC"},{"id":4,"name":"Milepost","value":"0.0152"},{"id":17,"name":"Train ID","value":"172-08"},{"id":16,"name":"Locomotive ID","value":"4061"},{"id":130,"name":"Impact","value":""},{"id":150,"name":"Time of Event (Mountain Time)","value":"14:06:23"},{"id":151,"name":"Denver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8"/>
        <v>start /low /b %USERPROFILE%\Documents\GitHub\eaglep3\Utilities\DownloadLogsFromS3.py --loco 4061 --day 2017-09-08</v>
      </c>
      <c r="AN84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20:06:23"},{"id":29,"name":"Sharepoint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741</v>
      </c>
      <c r="B85" s="7">
        <v>4032</v>
      </c>
      <c r="C85" s="21" t="s">
        <v>197</v>
      </c>
      <c r="D85" s="21" t="s">
        <v>375</v>
      </c>
      <c r="E85" s="13">
        <v>42986.525740740741</v>
      </c>
      <c r="F85" s="13">
        <v>42986.53197916667</v>
      </c>
      <c r="G85" s="7">
        <v>72</v>
      </c>
      <c r="H85" s="21" t="s">
        <v>858</v>
      </c>
      <c r="I85" s="13">
        <v>42986.555046296293</v>
      </c>
      <c r="J85" s="7">
        <v>0</v>
      </c>
      <c r="K85" s="89" t="str">
        <f t="shared" si="22"/>
        <v>4031/4032</v>
      </c>
      <c r="L85" s="214" t="str">
        <f>VLOOKUP(A85,'Trips&amp;Operators'!$C$1:$G$99911,5,FALSE)</f>
        <v>NEWELL JAMES</v>
      </c>
      <c r="M85" s="6">
        <f t="shared" si="23"/>
        <v>2.3067129623086657E-2</v>
      </c>
      <c r="N85" s="7">
        <f t="shared" si="24"/>
        <v>33.216666657244787</v>
      </c>
      <c r="O85" s="7"/>
      <c r="P85" s="7"/>
      <c r="Q85" s="22"/>
      <c r="R85" s="167"/>
      <c r="S85" s="210">
        <f t="shared" si="25"/>
        <v>1</v>
      </c>
      <c r="T85" s="192" t="str">
        <f t="shared" si="26"/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27"/>
        <v>https://d0f6bd738d7f1b3e5a7ca70fe4ff75f0.us-east-1.aws.found.io/app/kibana#/discover/Steve-Slow-Train-Analysis-(2080s-and-2083s)?_g=(refreshInterval:(display:Off,pause:!f,section:0,value:0),time:(from:'2017-09-08T11:37:04-0600',mode:absolute,to:'2017-09-08T14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5" s="194" t="str">
        <f>IF(AA85&lt;VLOOKUP(AG85,Variables!$AC$3:$AD$8,2,FALSE),"Y","N")</f>
        <v>N</v>
      </c>
      <c r="X85" s="194">
        <f t="shared" si="28"/>
        <v>1</v>
      </c>
      <c r="Y85" s="194">
        <f t="shared" si="29"/>
        <v>4.6699999999999998E-2</v>
      </c>
      <c r="Z85" s="194">
        <f t="shared" si="30"/>
        <v>23.329699999999999</v>
      </c>
      <c r="AA85" s="194">
        <f t="shared" si="31"/>
        <v>23.282999999999998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32"/>
        <v>173</v>
      </c>
      <c r="AE85" s="77" t="str">
        <f t="shared" si="33"/>
        <v>aws s3 cp s3://rtdc.mdm.uploadarchive.raw/RTDC4032/ "%USERPROFILE%\AppData\Local\Temp\OnboardLogs"\RTDC4032\2017-09-08 --exclude "*" --recursive --include "*20170908*" &amp; "%USERPROFILE%\Documents\GitHub\mrs-test-scripts\Headless Mode &amp; Sideloading\WalkAndUnGZ.bat" "%USERPROFILE%\AppData\Local\Temp\OnboardLogs"\RTDC4032\2017-09-08 &amp; aws s3 cp s3://rtdc.mdm.uploadarchive.raw/RTDC4032/ "%USERPROFILE%\AppData\Local\Temp\OnboardLogs"\RTDC4032\2017-09-09 --exclude "*" --recursive --include "*20170909*" &amp; "%USERPROFILE%\Documents\GitHub\mrs-test-scripts\Headless Mode &amp; Sideloading\WalkAndUnGZ.bat" "%USERPROFILE%\AppData\Local\Temp\OnboardLogs"\RTDC4032\2017-09-09</v>
      </c>
      <c r="AF85" s="74" t="str">
        <f t="shared" si="34"/>
        <v>"C:\Program Files (x86)\AstroGrep\AstroGrep.exe" /e /r /s /spath="%USERPROFILE%\AppData\Local\Temp\OnboardLogs" /stypes="app*4032*20170908*" /stext=" 19:.+((SYSTEM_STATE.+slice.+state.+changed )|(ment ac)|(multiple cpu faults)|(system.+state.+changed )|(\[timeout)|(PRM\|1\|D)|(kpr)|(kdp)|(train st.+moving)|(\|lc)|(penalty))"</v>
      </c>
      <c r="AG85" s="206" t="str">
        <f t="shared" si="35"/>
        <v>EC</v>
      </c>
      <c r="AH85" s="78" t="str">
        <f t="shared" si="36"/>
        <v>"%USERPROFILE%\Documents\GitHub\eaglep3\Utilities\RefineRTDCRunTimes.py" --tripid 173-08 --locoid 4032 --swversion DE.1.0.9.0 --startMP 204:467 --initTime 2017-09-08T12:37:04 --startdatetime 2017-09-08T12:46:03 --delay 72 --endMP 204:233297 --enddatetime 2017-09-08T13:19:16 --enforcementcount 0 &gt;&gt;C:\Users\stu\Documents\GitHub\eaglep3-reporting\EC\2017-09-08-refined-times.txt</v>
      </c>
      <c r="AI85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{"issue":{"subject":"","project_id":79,"tracker_id":40,"status_id":1,"priority_id":2,"assigned_to_id":338,"start_date":"2017-09-08","description":"","custom_fields":[{"id":1,"name":"Subdivision","value":"EC"},{"id":4,"name":"Milepost","value":"23.3297"},{"id":17,"name":"Train ID","value":"173-08"},{"id":16,"name":"Locomotive ID","value":"4032"},{"id":130,"name":"Impact","value":""},{"id":150,"name":"Time of Event (Mountain Time)","value":"13:19:16"},{"id":151,"name":"Denver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8"/>
        <v>start /low /b %USERPROFILE%\Documents\GitHub\eaglep3\Utilities\DownloadLogsFromS3.py --loco 4032 --day 2017-09-08</v>
      </c>
      <c r="AN85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19:19:16"},{"id":29,"name":"Sharepoint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748</v>
      </c>
      <c r="B86" s="7">
        <v>4031</v>
      </c>
      <c r="C86" s="21" t="s">
        <v>197</v>
      </c>
      <c r="D86" s="21" t="s">
        <v>867</v>
      </c>
      <c r="E86" s="13">
        <v>42986.557037037041</v>
      </c>
      <c r="F86" s="13">
        <v>42986.571006944447</v>
      </c>
      <c r="G86" s="7">
        <v>79</v>
      </c>
      <c r="H86" s="21" t="s">
        <v>361</v>
      </c>
      <c r="I86" s="13">
        <v>42986.596215277779</v>
      </c>
      <c r="J86" s="7">
        <v>0</v>
      </c>
      <c r="K86" s="89" t="str">
        <f t="shared" si="22"/>
        <v>4031/4032</v>
      </c>
      <c r="L86" s="214" t="str">
        <f>VLOOKUP(A86,'Trips&amp;Operators'!$C$1:$G$99911,5,FALSE)</f>
        <v>NEWELL JAMES</v>
      </c>
      <c r="M86" s="6">
        <f t="shared" si="23"/>
        <v>2.5208333332557231E-2</v>
      </c>
      <c r="N86" s="7">
        <f t="shared" si="24"/>
        <v>36.299999998882413</v>
      </c>
      <c r="O86" s="7"/>
      <c r="P86" s="7"/>
      <c r="Q86" s="22"/>
      <c r="R86" s="167"/>
      <c r="S86" s="210">
        <f t="shared" si="25"/>
        <v>1</v>
      </c>
      <c r="T86" s="192" t="str">
        <f t="shared" si="26"/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27"/>
        <v>https://d0f6bd738d7f1b3e5a7ca70fe4ff75f0.us-east-1.aws.found.io/app/kibana#/discover/Steve-Slow-Train-Analysis-(2080s-and-2083s)?_g=(refreshInterval:(display:Off,pause:!f,section:0,value:0),time:(from:'2017-09-08T12:22:08-0600',mode:absolute,to:'2017-09-08T15:18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6" s="194" t="str">
        <f>IF(AA86&lt;VLOOKUP(AG86,Variables!$AC$3:$AD$8,2,FALSE),"Y","N")</f>
        <v>N</v>
      </c>
      <c r="X86" s="194">
        <f t="shared" si="28"/>
        <v>1</v>
      </c>
      <c r="Y86" s="194">
        <f t="shared" si="29"/>
        <v>23.2971</v>
      </c>
      <c r="Z86" s="194">
        <f t="shared" si="30"/>
        <v>1.52E-2</v>
      </c>
      <c r="AA86" s="194">
        <f t="shared" si="31"/>
        <v>23.2819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 t="shared" si="32"/>
        <v>174</v>
      </c>
      <c r="AE86" s="77" t="str">
        <f t="shared" si="33"/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AF86" s="74" t="str">
        <f t="shared" si="34"/>
        <v>"C:\Program Files (x86)\AstroGrep\AstroGrep.exe" /e /r /s /spath="%USERPROFILE%\AppData\Local\Temp\OnboardLogs" /stypes="app*4031*20170908*" /stext=" 20:.+((SYSTEM_STATE.+slice.+state.+changed )|(ment ac)|(multiple cpu faults)|(system.+state.+changed )|(\[timeout)|(PRM\|1\|D)|(kpr)|(kdp)|(train st.+moving)|(\|lc)|(penalty))"</v>
      </c>
      <c r="AG86" s="206" t="str">
        <f t="shared" si="35"/>
        <v>EC</v>
      </c>
      <c r="AH86" s="78" t="str">
        <f t="shared" si="36"/>
        <v>"%USERPROFILE%\Documents\GitHub\eaglep3\Utilities\RefineRTDCRunTimes.py" --tripid 174-08 --locoid 4031 --swversion DE.1.0.9.0 --startMP 204:232971 --initTime 2017-09-08T13:22:08 --startdatetime 2017-09-08T13:42:15 --delay 79 --endMP 204:152 --enddatetime 2017-09-08T14:18:33 --enforcementcount 0 &gt;&gt;C:\Users\stu\Documents\GitHub\eaglep3-reporting\EC\2017-09-08-refined-times.txt</v>
      </c>
      <c r="AI86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{"issue":{"subject":"","project_id":79,"tracker_id":40,"status_id":1,"priority_id":2,"assigned_to_id":338,"start_date":"2017-09-08","description":"","custom_fields":[{"id":1,"name":"Subdivision","value":"EC"},{"id":4,"name":"Milepost","value":"0.0152"},{"id":17,"name":"Train ID","value":"174-08"},{"id":16,"name":"Locomotive ID","value":"4031"},{"id":130,"name":"Impact","value":""},{"id":150,"name":"Time of Event (Mountain Time)","value":"14:18:33"},{"id":151,"name":"Denver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8"/>
        <v>start /low /b %USERPROFILE%\Documents\GitHub\eaglep3\Utilities\DownloadLogsFromS3.py --loco 4031 --day 2017-09-08</v>
      </c>
      <c r="AN86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20:18:33"},{"id":29,"name":"Sharepoint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744</v>
      </c>
      <c r="B87" s="7">
        <v>4006</v>
      </c>
      <c r="C87" s="21" t="s">
        <v>197</v>
      </c>
      <c r="D87" s="21" t="s">
        <v>877</v>
      </c>
      <c r="E87" s="13">
        <v>42986.536562499998</v>
      </c>
      <c r="F87" s="13">
        <v>42986.541898148149</v>
      </c>
      <c r="G87" s="7">
        <v>70</v>
      </c>
      <c r="H87" s="21" t="s">
        <v>570</v>
      </c>
      <c r="I87" s="13">
        <v>42986.566747685189</v>
      </c>
      <c r="J87" s="7">
        <v>0</v>
      </c>
      <c r="K87" s="89" t="str">
        <f t="shared" si="22"/>
        <v>4005/4006</v>
      </c>
      <c r="L87" s="214" t="str">
        <f>VLOOKUP(A87,'Trips&amp;Operators'!$C$1:$G$99911,5,FALSE)</f>
        <v>SAFIEF AEIMEN</v>
      </c>
      <c r="M87" s="6">
        <f t="shared" si="23"/>
        <v>2.4849537039699499E-2</v>
      </c>
      <c r="N87" s="7">
        <f t="shared" si="24"/>
        <v>35.783333337167278</v>
      </c>
      <c r="O87" s="7"/>
      <c r="P87" s="7"/>
      <c r="Q87" s="22"/>
      <c r="R87" s="167"/>
      <c r="S87" s="210">
        <f t="shared" si="25"/>
        <v>1</v>
      </c>
      <c r="T87" s="192" t="str">
        <f t="shared" si="26"/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27"/>
        <v>https://d0f6bd738d7f1b3e5a7ca70fe4ff75f0.us-east-1.aws.found.io/app/kibana#/discover/Steve-Slow-Train-Analysis-(2080s-and-2083s)?_g=(refreshInterval:(display:Off,pause:!f,section:0,value:0),time:(from:'2017-09-08T11:52:39-0600',mode:absolute,to:'2017-09-08T14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7" s="194" t="str">
        <f>IF(AA87&lt;VLOOKUP(AG87,Variables!$AC$3:$AD$8,2,FALSE),"Y","N")</f>
        <v>N</v>
      </c>
      <c r="X87" s="194">
        <f t="shared" si="28"/>
        <v>1</v>
      </c>
      <c r="Y87" s="194">
        <f t="shared" si="29"/>
        <v>4.3099999999999999E-2</v>
      </c>
      <c r="Z87" s="194">
        <f t="shared" si="30"/>
        <v>23.3306</v>
      </c>
      <c r="AA87" s="194">
        <f t="shared" si="31"/>
        <v>23.287500000000001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32"/>
        <v>175</v>
      </c>
      <c r="AE87" s="77" t="str">
        <f t="shared" si="33"/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AF87" s="74" t="str">
        <f t="shared" si="34"/>
        <v>"C:\Program Files (x86)\AstroGrep\AstroGrep.exe" /e /r /s /spath="%USERPROFILE%\AppData\Local\Temp\OnboardLogs" /stypes="app*4006*20170908*" /stext=" 19:.+((SYSTEM_STATE.+slice.+state.+changed )|(ment ac)|(multiple cpu faults)|(system.+state.+changed )|(\[timeout)|(PRM\|1\|D)|(kpr)|(kdp)|(train st.+moving)|(\|lc)|(penalty))"</v>
      </c>
      <c r="AG87" s="206" t="str">
        <f t="shared" si="35"/>
        <v>EC</v>
      </c>
      <c r="AH87" s="78" t="str">
        <f t="shared" si="36"/>
        <v>"%USERPROFILE%\Documents\GitHub\eaglep3\Utilities\RefineRTDCRunTimes.py" --tripid 175-08 --locoid 4006 --swversion DE.1.0.9.0 --startMP 204:431 --initTime 2017-09-08T12:52:39 --startdatetime 2017-09-08T13:00:20 --delay 70 --endMP 204:233306 --enddatetime 2017-09-08T13:36:07 --enforcementcount 0 &gt;&gt;C:\Users\stu\Documents\GitHub\eaglep3-reporting\EC\2017-09-08-refined-times.txt</v>
      </c>
      <c r="AI87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{"issue":{"subject":"","project_id":79,"tracker_id":40,"status_id":1,"priority_id":2,"assigned_to_id":338,"start_date":"2017-09-08","description":"","custom_fields":[{"id":1,"name":"Subdivision","value":"EC"},{"id":4,"name":"Milepost","value":"23.3306"},{"id":17,"name":"Train ID","value":"175-08"},{"id":16,"name":"Locomotive ID","value":"4006"},{"id":130,"name":"Impact","value":""},{"id":150,"name":"Time of Event (Mountain Time)","value":"13:36:07"},{"id":151,"name":"Denver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8"/>
        <v>start /low /b %USERPROFILE%\Documents\GitHub\eaglep3\Utilities\DownloadLogsFromS3.py --loco 4006 --day 2017-09-08</v>
      </c>
      <c r="AN87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19:36:07"},{"id":29,"name":"Sharepoint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752</v>
      </c>
      <c r="B88" s="7">
        <v>4005</v>
      </c>
      <c r="C88" s="21" t="s">
        <v>197</v>
      </c>
      <c r="D88" s="21" t="s">
        <v>865</v>
      </c>
      <c r="E88" s="13">
        <v>42986.568680555552</v>
      </c>
      <c r="F88" s="13">
        <v>42986.581516203703</v>
      </c>
      <c r="G88" s="7">
        <v>120</v>
      </c>
      <c r="H88" s="21" t="s">
        <v>464</v>
      </c>
      <c r="I88" s="13">
        <v>42986.608101851853</v>
      </c>
      <c r="J88" s="7">
        <v>0</v>
      </c>
      <c r="K88" s="89" t="str">
        <f t="shared" si="22"/>
        <v>4005/4006</v>
      </c>
      <c r="L88" s="214" t="str">
        <f>VLOOKUP(A88,'Trips&amp;Operators'!$C$1:$G$99911,5,FALSE)</f>
        <v>SAFIEF AEIMEN</v>
      </c>
      <c r="M88" s="6">
        <f t="shared" si="23"/>
        <v>2.658564814919373E-2</v>
      </c>
      <c r="N88" s="7">
        <f t="shared" si="24"/>
        <v>38.283333334838971</v>
      </c>
      <c r="O88" s="7"/>
      <c r="P88" s="7"/>
      <c r="Q88" s="22"/>
      <c r="R88" s="167"/>
      <c r="S88" s="210">
        <f t="shared" si="25"/>
        <v>1</v>
      </c>
      <c r="T88" s="192" t="str">
        <f t="shared" si="26"/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27"/>
        <v>https://d0f6bd738d7f1b3e5a7ca70fe4ff75f0.us-east-1.aws.found.io/app/kibana#/discover/Steve-Slow-Train-Analysis-(2080s-and-2083s)?_g=(refreshInterval:(display:Off,pause:!f,section:0,value:0),time:(from:'2017-09-08T12:38:54-0600',mode:absolute,to:'2017-09-08T15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8" s="194" t="str">
        <f>IF(AA88&lt;VLOOKUP(AG88,Variables!$AC$3:$AD$8,2,FALSE),"Y","N")</f>
        <v>N</v>
      </c>
      <c r="X88" s="194">
        <f t="shared" si="28"/>
        <v>1</v>
      </c>
      <c r="Y88" s="194">
        <f t="shared" si="29"/>
        <v>23.298300000000001</v>
      </c>
      <c r="Z88" s="194">
        <f t="shared" si="30"/>
        <v>1.3899999999999999E-2</v>
      </c>
      <c r="AA88" s="194">
        <f t="shared" si="31"/>
        <v>23.284400000000002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32"/>
        <v>176</v>
      </c>
      <c r="AE88" s="77" t="str">
        <f t="shared" si="33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88" s="74" t="str">
        <f t="shared" si="34"/>
        <v>"C:\Program Files (x86)\AstroGrep\AstroGrep.exe" /e /r /s /spath="%USERPROFILE%\AppData\Local\Temp\OnboardLogs" /stypes="app*4005*20170908*" /stext=" 20:.+((SYSTEM_STATE.+slice.+state.+changed )|(ment ac)|(multiple cpu faults)|(system.+state.+changed )|(\[timeout)|(PRM\|1\|D)|(kpr)|(kdp)|(train st.+moving)|(\|lc)|(penalty))"</v>
      </c>
      <c r="AG88" s="206" t="str">
        <f t="shared" si="35"/>
        <v>EC</v>
      </c>
      <c r="AH88" s="78" t="str">
        <f t="shared" si="36"/>
        <v>"%USERPROFILE%\Documents\GitHub\eaglep3\Utilities\RefineRTDCRunTimes.py" --tripid 176-08 --locoid 4005 --swversion DE.1.0.9.0 --startMP 204:232983 --initTime 2017-09-08T13:38:54 --startdatetime 2017-09-08T13:57:23 --delay 120 --endMP 204:139 --enddatetime 2017-09-08T14:35:40 --enforcementcount 0 &gt;&gt;C:\Users\stu\Documents\GitHub\eaglep3-reporting\EC\2017-09-08-refined-times.txt</v>
      </c>
      <c r="AI88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{"issue":{"subject":"","project_id":79,"tracker_id":40,"status_id":1,"priority_id":2,"assigned_to_id":338,"start_date":"2017-09-08","description":"","custom_fields":[{"id":1,"name":"Subdivision","value":"EC"},{"id":4,"name":"Milepost","value":"0.0139"},{"id":17,"name":"Train ID","value":"176-08"},{"id":16,"name":"Locomotive ID","value":"4005"},{"id":130,"name":"Impact","value":""},{"id":150,"name":"Time of Event (Mountain Time)","value":"14:35:40"},{"id":151,"name":"Denver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8"/>
        <v>start /low /b %USERPROFILE%\Documents\GitHub\eaglep3\Utilities\DownloadLogsFromS3.py --loco 4005 --day 2017-09-08</v>
      </c>
      <c r="AN88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20:35:40"},{"id":29,"name":"Sharepoint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746</v>
      </c>
      <c r="B89" s="7">
        <v>4034</v>
      </c>
      <c r="C89" s="21" t="s">
        <v>197</v>
      </c>
      <c r="D89" s="21" t="s">
        <v>854</v>
      </c>
      <c r="E89" s="13">
        <v>42986.545324074075</v>
      </c>
      <c r="F89" s="13">
        <v>42986.552372685182</v>
      </c>
      <c r="G89" s="7">
        <v>75</v>
      </c>
      <c r="H89" s="21" t="s">
        <v>433</v>
      </c>
      <c r="I89" s="13">
        <v>42986.576388888891</v>
      </c>
      <c r="J89" s="7">
        <v>0</v>
      </c>
      <c r="K89" s="89" t="str">
        <f t="shared" si="22"/>
        <v>4033/4034</v>
      </c>
      <c r="L89" s="214" t="str">
        <f>VLOOKUP(A89,'Trips&amp;Operators'!$C$1:$G$99911,5,FALSE)</f>
        <v>DELGADO DIANAH</v>
      </c>
      <c r="M89" s="6">
        <f t="shared" si="23"/>
        <v>2.4016203708015382E-2</v>
      </c>
      <c r="N89" s="7">
        <f t="shared" si="24"/>
        <v>34.58333333954215</v>
      </c>
      <c r="O89" s="7"/>
      <c r="P89" s="7"/>
      <c r="Q89" s="22"/>
      <c r="R89" s="167"/>
      <c r="S89" s="210">
        <f t="shared" si="25"/>
        <v>1</v>
      </c>
      <c r="T89" s="192" t="str">
        <f t="shared" si="26"/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27"/>
        <v>https://d0f6bd738d7f1b3e5a7ca70fe4ff75f0.us-east-1.aws.found.io/app/kibana#/discover/Steve-Slow-Train-Analysis-(2080s-and-2083s)?_g=(refreshInterval:(display:Off,pause:!f,section:0,value:0),time:(from:'2017-09-08T12:05:16-0600',mode:absolute,to:'2017-09-08T14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9" s="194" t="str">
        <f>IF(AA89&lt;VLOOKUP(AG89,Variables!$AC$3:$AD$8,2,FALSE),"Y","N")</f>
        <v>N</v>
      </c>
      <c r="X89" s="194">
        <f t="shared" si="28"/>
        <v>1</v>
      </c>
      <c r="Y89" s="194">
        <f t="shared" si="29"/>
        <v>4.6600000000000003E-2</v>
      </c>
      <c r="Z89" s="194">
        <f t="shared" si="30"/>
        <v>23.3322</v>
      </c>
      <c r="AA89" s="194">
        <f t="shared" si="31"/>
        <v>23.285599999999999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 t="shared" si="32"/>
        <v>177</v>
      </c>
      <c r="AE89" s="77" t="str">
        <f t="shared" si="33"/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AF89" s="74" t="str">
        <f t="shared" si="34"/>
        <v>"C:\Program Files (x86)\AstroGrep\AstroGrep.exe" /e /r /s /spath="%USERPROFILE%\AppData\Local\Temp\OnboardLogs" /stypes="app*4034*20170908*" /stext=" 19:.+((SYSTEM_STATE.+slice.+state.+changed )|(ment ac)|(multiple cpu faults)|(system.+state.+changed )|(\[timeout)|(PRM\|1\|D)|(kpr)|(kdp)|(train st.+moving)|(\|lc)|(penalty))"</v>
      </c>
      <c r="AG89" s="206" t="str">
        <f t="shared" si="35"/>
        <v>EC</v>
      </c>
      <c r="AH89" s="78" t="str">
        <f t="shared" si="36"/>
        <v>"%USERPROFILE%\Documents\GitHub\eaglep3\Utilities\RefineRTDCRunTimes.py" --tripid 177-08 --locoid 4034 --swversion DE.1.0.9.0 --startMP 204:466 --initTime 2017-09-08T13:05:16 --startdatetime 2017-09-08T13:15:25 --delay 75 --endMP 204:233322 --enddatetime 2017-09-08T13:50:00 --enforcementcount 0 &gt;&gt;C:\Users\stu\Documents\GitHub\eaglep3-reporting\EC\2017-09-08-refined-times.txt</v>
      </c>
      <c r="AI89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{"issue":{"subject":"","project_id":79,"tracker_id":40,"status_id":1,"priority_id":2,"assigned_to_id":338,"start_date":"2017-09-08","description":"","custom_fields":[{"id":1,"name":"Subdivision","value":"EC"},{"id":4,"name":"Milepost","value":"23.3322"},{"id":17,"name":"Train ID","value":"177-08"},{"id":16,"name":"Locomotive ID","value":"4034"},{"id":130,"name":"Impact","value":""},{"id":150,"name":"Time of Event (Mountain Time)","value":"13:50:00"},{"id":151,"name":"Denver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8"/>
        <v>start /low /b %USERPROFILE%\Documents\GitHub\eaglep3\Utilities\DownloadLogsFromS3.py --loco 4034 --day 2017-09-08</v>
      </c>
      <c r="AN89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19:50:00"},{"id":29,"name":"Sharepoint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754</v>
      </c>
      <c r="B90" s="7">
        <v>4033</v>
      </c>
      <c r="C90" s="21" t="s">
        <v>197</v>
      </c>
      <c r="D90" s="21" t="s">
        <v>535</v>
      </c>
      <c r="E90" s="13">
        <v>42986.579386574071</v>
      </c>
      <c r="F90" s="13">
        <v>42986.591863425929</v>
      </c>
      <c r="G90" s="7">
        <v>76</v>
      </c>
      <c r="H90" s="21" t="s">
        <v>374</v>
      </c>
      <c r="I90" s="13">
        <v>42986.616967592592</v>
      </c>
      <c r="J90" s="7">
        <v>0</v>
      </c>
      <c r="K90" s="89" t="str">
        <f t="shared" si="22"/>
        <v>4033/4034</v>
      </c>
      <c r="L90" s="214" t="str">
        <f>VLOOKUP(A90,'Trips&amp;Operators'!$C$1:$G$99911,5,FALSE)</f>
        <v>DELGADO DIANAH</v>
      </c>
      <c r="M90" s="6">
        <f t="shared" si="23"/>
        <v>2.5104166663368233E-2</v>
      </c>
      <c r="N90" s="7">
        <f t="shared" si="24"/>
        <v>36.149999995250255</v>
      </c>
      <c r="O90" s="7"/>
      <c r="P90" s="7"/>
      <c r="Q90" s="22"/>
      <c r="R90" s="167"/>
      <c r="S90" s="210">
        <f t="shared" si="25"/>
        <v>1</v>
      </c>
      <c r="T90" s="192" t="str">
        <f t="shared" si="26"/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27"/>
        <v>https://d0f6bd738d7f1b3e5a7ca70fe4ff75f0.us-east-1.aws.found.io/app/kibana#/discover/Steve-Slow-Train-Analysis-(2080s-and-2083s)?_g=(refreshInterval:(display:Off,pause:!f,section:0,value:0),time:(from:'2017-09-08T12:54:19-0600',mode:absolute,to:'2017-09-08T15:48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0" s="194" t="str">
        <f>IF(AA90&lt;VLOOKUP(AG90,Variables!$AC$3:$AD$8,2,FALSE),"Y","N")</f>
        <v>N</v>
      </c>
      <c r="X90" s="194">
        <f t="shared" si="28"/>
        <v>1</v>
      </c>
      <c r="Y90" s="194">
        <f t="shared" si="29"/>
        <v>23.302099999999999</v>
      </c>
      <c r="Z90" s="194">
        <f t="shared" si="30"/>
        <v>1.5599999999999999E-2</v>
      </c>
      <c r="AA90" s="194">
        <f t="shared" si="31"/>
        <v>23.2865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32"/>
        <v>178</v>
      </c>
      <c r="AE90" s="77" t="str">
        <f t="shared" si="33"/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90" s="74" t="str">
        <f t="shared" si="34"/>
        <v>"C:\Program Files (x86)\AstroGrep\AstroGrep.exe" /e /r /s /spath="%USERPROFILE%\AppData\Local\Temp\OnboardLogs" /stypes="app*4033*20170908*" /stext=" 20:.+((SYSTEM_STATE.+slice.+state.+changed )|(ment ac)|(multiple cpu faults)|(system.+state.+changed )|(\[timeout)|(PRM\|1\|D)|(kpr)|(kdp)|(train st.+moving)|(\|lc)|(penalty))"</v>
      </c>
      <c r="AG90" s="206" t="str">
        <f t="shared" si="35"/>
        <v>EC</v>
      </c>
      <c r="AH90" s="78" t="str">
        <f t="shared" si="36"/>
        <v>"%USERPROFILE%\Documents\GitHub\eaglep3\Utilities\RefineRTDCRunTimes.py" --tripid 178-08 --locoid 4033 --swversion DE.1.0.9.0 --startMP 204:233021 --initTime 2017-09-08T13:54:19 --startdatetime 2017-09-08T14:12:17 --delay 76 --endMP 204:156 --enddatetime 2017-09-08T14:48:26 --enforcementcount 0 &gt;&gt;C:\Users\stu\Documents\GitHub\eaglep3-reporting\EC\2017-09-08-refined-times.txt</v>
      </c>
      <c r="AI90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{"issue":{"subject":"","project_id":79,"tracker_id":40,"status_id":1,"priority_id":2,"assigned_to_id":338,"start_date":"2017-09-08","description":"","custom_fields":[{"id":1,"name":"Subdivision","value":"EC"},{"id":4,"name":"Milepost","value":"0.0156"},{"id":17,"name":"Train ID","value":"178-08"},{"id":16,"name":"Locomotive ID","value":"4033"},{"id":130,"name":"Impact","value":""},{"id":150,"name":"Time of Event (Mountain Time)","value":"14:48:26"},{"id":151,"name":"Denver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8"/>
        <v>start /low /b %USERPROFILE%\Documents\GitHub\eaglep3\Utilities\DownloadLogsFromS3.py --loco 4033 --day 2017-09-08</v>
      </c>
      <c r="AN90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20:48:26"},{"id":29,"name":"Sharepoint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749</v>
      </c>
      <c r="B91" s="7">
        <v>4044</v>
      </c>
      <c r="C91" s="21" t="s">
        <v>197</v>
      </c>
      <c r="D91" s="21" t="s">
        <v>527</v>
      </c>
      <c r="E91" s="13">
        <v>42986.557719907411</v>
      </c>
      <c r="F91" s="13">
        <v>42986.562708333331</v>
      </c>
      <c r="G91" s="7">
        <v>64</v>
      </c>
      <c r="H91" s="21" t="s">
        <v>418</v>
      </c>
      <c r="I91" s="13">
        <v>42986.588703703703</v>
      </c>
      <c r="J91" s="7">
        <v>0</v>
      </c>
      <c r="K91" s="89" t="str">
        <f t="shared" si="22"/>
        <v>4043/4044</v>
      </c>
      <c r="L91" s="214" t="str">
        <f>VLOOKUP(A91,'Trips&amp;Operators'!$C$1:$G$99911,5,FALSE)</f>
        <v>WEST BRYAN</v>
      </c>
      <c r="M91" s="6">
        <f t="shared" si="23"/>
        <v>2.5995370371674653E-2</v>
      </c>
      <c r="N91" s="7">
        <f t="shared" si="24"/>
        <v>37.433333335211501</v>
      </c>
      <c r="O91" s="7"/>
      <c r="P91" s="7"/>
      <c r="Q91" s="22"/>
      <c r="R91" s="167"/>
      <c r="S91" s="210">
        <f t="shared" si="25"/>
        <v>1</v>
      </c>
      <c r="T91" s="192" t="str">
        <f t="shared" si="26"/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27"/>
        <v>https://d0f6bd738d7f1b3e5a7ca70fe4ff75f0.us-east-1.aws.found.io/app/kibana#/discover/Steve-Slow-Train-Analysis-(2080s-and-2083s)?_g=(refreshInterval:(display:Off,pause:!f,section:0,value:0),time:(from:'2017-09-08T12:23:07-0600',mode:absolute,to:'2017-09-08T15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1" s="194" t="str">
        <f>IF(AA91&lt;VLOOKUP(AG91,Variables!$AC$3:$AD$8,2,FALSE),"Y","N")</f>
        <v>N</v>
      </c>
      <c r="X91" s="194">
        <f t="shared" si="28"/>
        <v>1</v>
      </c>
      <c r="Y91" s="194">
        <f t="shared" si="29"/>
        <v>4.7500000000000001E-2</v>
      </c>
      <c r="Z91" s="194">
        <f t="shared" si="30"/>
        <v>23.330200000000001</v>
      </c>
      <c r="AA91" s="194">
        <f t="shared" si="31"/>
        <v>23.282700000000002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 t="shared" si="32"/>
        <v>179</v>
      </c>
      <c r="AE91" s="77" t="str">
        <f t="shared" si="33"/>
        <v>aws s3 cp s3://rtdc.mdm.uploadarchive.raw/RTDC4044/ "%USERPROFILE%\AppData\Local\Temp\OnboardLogs"\RTDC4044\2017-09-08 --exclude "*" --recursive --include "*20170908*" &amp; "%USERPROFILE%\Documents\GitHub\mrs-test-scripts\Headless Mode &amp; Sideloading\WalkAndUnGZ.bat" "%USERPROFILE%\AppData\Local\Temp\OnboardLogs"\RTDC4044\2017-09-08 &amp; 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</v>
      </c>
      <c r="AF91" s="74" t="str">
        <f t="shared" si="34"/>
        <v>"C:\Program Files (x86)\AstroGrep\AstroGrep.exe" /e /r /s /spath="%USERPROFILE%\AppData\Local\Temp\OnboardLogs" /stypes="app*4044*20170908*" /stext=" 20:.+((SYSTEM_STATE.+slice.+state.+changed )|(ment ac)|(multiple cpu faults)|(system.+state.+changed )|(\[timeout)|(PRM\|1\|D)|(kpr)|(kdp)|(train st.+moving)|(\|lc)|(penalty))"</v>
      </c>
      <c r="AG91" s="206" t="str">
        <f t="shared" si="35"/>
        <v>EC</v>
      </c>
      <c r="AH91" s="78" t="str">
        <f t="shared" si="36"/>
        <v>"%USERPROFILE%\Documents\GitHub\eaglep3\Utilities\RefineRTDCRunTimes.py" --tripid 179-08 --locoid 4044 --swversion DE.1.0.9.0 --startMP 204:475 --initTime 2017-09-08T13:23:07 --startdatetime 2017-09-08T13:30:18 --delay 64 --endMP 204:233302 --enddatetime 2017-09-08T14:07:44 --enforcementcount 0 &gt;&gt;C:\Users\stu\Documents\GitHub\eaglep3-reporting\EC\2017-09-08-refined-times.txt</v>
      </c>
      <c r="AI91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{"issue":{"subject":"","project_id":79,"tracker_id":40,"status_id":1,"priority_id":2,"assigned_to_id":338,"start_date":"2017-09-08","description":"","custom_fields":[{"id":1,"name":"Subdivision","value":"EC"},{"id":4,"name":"Milepost","value":"23.3302"},{"id":17,"name":"Train ID","value":"179-08"},{"id":16,"name":"Locomotive ID","value":"4044"},{"id":130,"name":"Impact","value":""},{"id":150,"name":"Time of Event (Mountain Time)","value":"14:07:44"},{"id":151,"name":"Denver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8"/>
        <v>start /low /b %USERPROFILE%\Documents\GitHub\eaglep3\Utilities\DownloadLogsFromS3.py --loco 4044 --day 2017-09-08</v>
      </c>
      <c r="AN91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20:07:44"},{"id":29,"name":"Sharepoint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758</v>
      </c>
      <c r="B92" s="7">
        <v>4043</v>
      </c>
      <c r="C92" s="21" t="s">
        <v>197</v>
      </c>
      <c r="D92" s="21" t="s">
        <v>463</v>
      </c>
      <c r="E92" s="13">
        <v>42986.597685185188</v>
      </c>
      <c r="F92" s="13">
        <v>42986.602256944447</v>
      </c>
      <c r="G92" s="7">
        <v>76</v>
      </c>
      <c r="H92" s="21" t="s">
        <v>374</v>
      </c>
      <c r="I92" s="13">
        <v>42986.628506944442</v>
      </c>
      <c r="J92" s="7">
        <v>0</v>
      </c>
      <c r="K92" s="89" t="str">
        <f t="shared" si="22"/>
        <v>4043/4044</v>
      </c>
      <c r="L92" s="214" t="str">
        <f>VLOOKUP(A92,'Trips&amp;Operators'!$C$1:$G$99911,5,FALSE)</f>
        <v>WEST BRYAN</v>
      </c>
      <c r="M92" s="6">
        <f t="shared" si="23"/>
        <v>2.6249999995343387E-2</v>
      </c>
      <c r="N92" s="7">
        <f t="shared" si="24"/>
        <v>37.799999993294477</v>
      </c>
      <c r="O92" s="7"/>
      <c r="P92" s="7"/>
      <c r="Q92" s="22"/>
      <c r="R92" s="167"/>
      <c r="S92" s="210">
        <f t="shared" si="25"/>
        <v>1</v>
      </c>
      <c r="T92" s="192" t="str">
        <f t="shared" si="26"/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27"/>
        <v>https://d0f6bd738d7f1b3e5a7ca70fe4ff75f0.us-east-1.aws.found.io/app/kibana#/discover/Steve-Slow-Train-Analysis-(2080s-and-2083s)?_g=(refreshInterval:(display:Off,pause:!f,section:0,value:0),time:(from:'2017-09-08T13:20:40-0600',mode:absolute,to:'2017-09-08T16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2" s="194" t="str">
        <f>IF(AA92&lt;VLOOKUP(AG92,Variables!$AC$3:$AD$8,2,FALSE),"Y","N")</f>
        <v>N</v>
      </c>
      <c r="X92" s="194">
        <f t="shared" si="28"/>
        <v>1</v>
      </c>
      <c r="Y92" s="194">
        <f t="shared" si="29"/>
        <v>23.3002</v>
      </c>
      <c r="Z92" s="194">
        <f t="shared" si="30"/>
        <v>1.5599999999999999E-2</v>
      </c>
      <c r="AA92" s="194">
        <f t="shared" si="31"/>
        <v>23.284600000000001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32"/>
        <v>180</v>
      </c>
      <c r="AE92" s="77" t="str">
        <f t="shared" si="33"/>
        <v>aws s3 cp s3://rtdc.mdm.uploadarchive.raw/RTDC4043/ "%USERPROFILE%\AppData\Local\Temp\OnboardLogs"\RTDC4043\2017-09-08 --exclude "*" --recursive --include "*20170908*" &amp; "%USERPROFILE%\Documents\GitHub\mrs-test-scripts\Headless Mode &amp; Sideloading\WalkAndUnGZ.bat" "%USERPROFILE%\AppData\Local\Temp\OnboardLogs"\RTDC4043\2017-09-08 &amp; 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</v>
      </c>
      <c r="AF92" s="74" t="str">
        <f t="shared" si="34"/>
        <v>"C:\Program Files (x86)\AstroGrep\AstroGrep.exe" /e /r /s /spath="%USERPROFILE%\AppData\Local\Temp\OnboardLogs" /stypes="app*4043*20170908*" /stext=" 21:.+((SYSTEM_STATE.+slice.+state.+changed )|(ment ac)|(multiple cpu faults)|(system.+state.+changed )|(\[timeout)|(PRM\|1\|D)|(kpr)|(kdp)|(train st.+moving)|(\|lc)|(penalty))"</v>
      </c>
      <c r="AG92" s="206" t="str">
        <f t="shared" si="35"/>
        <v>EC</v>
      </c>
      <c r="AH92" s="78" t="str">
        <f t="shared" si="36"/>
        <v>"%USERPROFILE%\Documents\GitHub\eaglep3\Utilities\RefineRTDCRunTimes.py" --tripid 180-08 --locoid 4043 --swversion DE.1.0.9.0 --startMP 204:233002 --initTime 2017-09-08T14:20:40 --startdatetime 2017-09-08T14:27:15 --delay 76 --endMP 204:156 --enddatetime 2017-09-08T15:05:03 --enforcementcount 0 &gt;&gt;C:\Users\stu\Documents\GitHub\eaglep3-reporting\EC\2017-09-08-refined-times.txt</v>
      </c>
      <c r="AI92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{"issue":{"subject":"","project_id":79,"tracker_id":40,"status_id":1,"priority_id":2,"assigned_to_id":338,"start_date":"2017-09-08","description":"","custom_fields":[{"id":1,"name":"Subdivision","value":"EC"},{"id":4,"name":"Milepost","value":"0.0156"},{"id":17,"name":"Train ID","value":"180-08"},{"id":16,"name":"Locomotive ID","value":"4043"},{"id":130,"name":"Impact","value":""},{"id":150,"name":"Time of Event (Mountain Time)","value":"15:05:03"},{"id":151,"name":"Denver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8"/>
        <v>start /low /b %USERPROFILE%\Documents\GitHub\eaglep3\Utilities\DownloadLogsFromS3.py --loco 4043 --day 2017-09-08</v>
      </c>
      <c r="AN92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751</v>
      </c>
      <c r="B93" s="7">
        <v>4002</v>
      </c>
      <c r="C93" s="21" t="s">
        <v>197</v>
      </c>
      <c r="D93" s="21" t="s">
        <v>526</v>
      </c>
      <c r="E93" s="13">
        <v>42986.567673611113</v>
      </c>
      <c r="F93" s="13">
        <v>42986.573067129626</v>
      </c>
      <c r="G93" s="7">
        <v>98</v>
      </c>
      <c r="H93" s="21" t="s">
        <v>887</v>
      </c>
      <c r="I93" s="13">
        <v>42986.598136574074</v>
      </c>
      <c r="J93" s="7">
        <v>0</v>
      </c>
      <c r="K93" s="89" t="str">
        <f t="shared" si="22"/>
        <v>4001/4002</v>
      </c>
      <c r="L93" s="214" t="str">
        <f>VLOOKUP(A93,'Trips&amp;Operators'!$C$1:$G$99911,5,FALSE)</f>
        <v>GONZALEZ ARMANDO</v>
      </c>
      <c r="M93" s="6">
        <f t="shared" si="23"/>
        <v>2.5069444447581191E-2</v>
      </c>
      <c r="N93" s="7">
        <f t="shared" si="24"/>
        <v>36.100000004516914</v>
      </c>
      <c r="O93" s="7"/>
      <c r="P93" s="7"/>
      <c r="Q93" s="22"/>
      <c r="R93" s="167"/>
      <c r="S93" s="210">
        <f t="shared" si="25"/>
        <v>1</v>
      </c>
      <c r="T93" s="192" t="str">
        <f t="shared" si="26"/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27"/>
        <v>https://d0f6bd738d7f1b3e5a7ca70fe4ff75f0.us-east-1.aws.found.io/app/kibana#/discover/Steve-Slow-Train-Analysis-(2080s-and-2083s)?_g=(refreshInterval:(display:Off,pause:!f,section:0,value:0),time:(from:'2017-09-08T12:37:27-0600',mode:absolute,to:'2017-09-08T15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94" t="str">
        <f>IF(AA93&lt;VLOOKUP(AG93,Variables!$AC$3:$AD$8,2,FALSE),"Y","N")</f>
        <v>N</v>
      </c>
      <c r="X93" s="194">
        <f t="shared" si="28"/>
        <v>1</v>
      </c>
      <c r="Y93" s="194">
        <f t="shared" si="29"/>
        <v>4.3499999999999997E-2</v>
      </c>
      <c r="Z93" s="194">
        <f t="shared" si="30"/>
        <v>23.331600000000002</v>
      </c>
      <c r="AA93" s="194">
        <f t="shared" si="31"/>
        <v>23.2881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32"/>
        <v>181</v>
      </c>
      <c r="AE93" s="77" t="str">
        <f t="shared" si="33"/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93" s="74" t="str">
        <f t="shared" si="34"/>
        <v>"C:\Program Files (x86)\AstroGrep\AstroGrep.exe" /e /r /s /spath="%USERPROFILE%\AppData\Local\Temp\OnboardLogs" /stypes="app*4002*20170908*" /stext=" 20:.+((SYSTEM_STATE.+slice.+state.+changed )|(ment ac)|(multiple cpu faults)|(system.+state.+changed )|(\[timeout)|(PRM\|1\|D)|(kpr)|(kdp)|(train st.+moving)|(\|lc)|(penalty))"</v>
      </c>
      <c r="AG93" s="206" t="str">
        <f t="shared" si="35"/>
        <v>EC</v>
      </c>
      <c r="AH93" s="78" t="str">
        <f t="shared" si="36"/>
        <v>"%USERPROFILE%\Documents\GitHub\eaglep3\Utilities\RefineRTDCRunTimes.py" --tripid 181-08 --locoid 4002 --swversion DE.1.0.9.0 --startMP 204:435 --initTime 2017-09-08T13:37:27 --startdatetime 2017-09-08T13:45:13 --delay 98 --endMP 204:233316 --enddatetime 2017-09-08T14:21:19 --enforcementcount 0 &gt;&gt;C:\Users\stu\Documents\GitHub\eaglep3-reporting\EC\2017-09-08-refined-times.txt</v>
      </c>
      <c r="AI93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{"issue":{"subject":"","project_id":79,"tracker_id":40,"status_id":1,"priority_id":2,"assigned_to_id":338,"start_date":"2017-09-08","description":"","custom_fields":[{"id":1,"name":"Subdivision","value":"EC"},{"id":4,"name":"Milepost","value":"23.3316"},{"id":17,"name":"Train ID","value":"181-08"},{"id":16,"name":"Locomotive ID","value":"4002"},{"id":130,"name":"Impact","value":""},{"id":150,"name":"Time of Event (Mountain Time)","value":"14:21:19"},{"id":151,"name":"Denver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38"/>
        <v>start /low /b %USERPROFILE%\Documents\GitHub\eaglep3\Utilities\DownloadLogsFromS3.py --loco 4002 --day 2017-09-08</v>
      </c>
      <c r="AN93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20:21:19"},{"id":29,"name":"Sharepoint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759</v>
      </c>
      <c r="B94" s="7">
        <v>4001</v>
      </c>
      <c r="C94" s="21" t="s">
        <v>197</v>
      </c>
      <c r="D94" s="21" t="s">
        <v>380</v>
      </c>
      <c r="E94" s="13">
        <v>42986.600300925929</v>
      </c>
      <c r="F94" s="13">
        <v>42986.612673611111</v>
      </c>
      <c r="G94" s="7">
        <v>62</v>
      </c>
      <c r="H94" s="21" t="s">
        <v>368</v>
      </c>
      <c r="I94" s="13">
        <v>42986.638425925928</v>
      </c>
      <c r="J94" s="7">
        <v>0</v>
      </c>
      <c r="K94" s="89" t="str">
        <f t="shared" si="22"/>
        <v>4001/4002</v>
      </c>
      <c r="L94" s="214" t="str">
        <f>VLOOKUP(A94,'Trips&amp;Operators'!$C$1:$G$99911,5,FALSE)</f>
        <v>GONZALEZ ARMANDO</v>
      </c>
      <c r="M94" s="6">
        <f t="shared" si="23"/>
        <v>2.5752314817509614E-2</v>
      </c>
      <c r="N94" s="7">
        <f t="shared" si="24"/>
        <v>37.083333337213844</v>
      </c>
      <c r="O94" s="7"/>
      <c r="P94" s="7"/>
      <c r="Q94" s="22"/>
      <c r="R94" s="167"/>
      <c r="S94" s="210">
        <f t="shared" si="25"/>
        <v>1</v>
      </c>
      <c r="T94" s="192" t="str">
        <f t="shared" si="26"/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27"/>
        <v>https://d0f6bd738d7f1b3e5a7ca70fe4ff75f0.us-east-1.aws.found.io/app/kibana#/discover/Steve-Slow-Train-Analysis-(2080s-and-2083s)?_g=(refreshInterval:(display:Off,pause:!f,section:0,value:0),time:(from:'2017-09-08T13:24:26-0600',mode:absolute,to:'2017-09-08T16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194" t="str">
        <f>IF(AA94&lt;VLOOKUP(AG94,Variables!$AC$3:$AD$8,2,FALSE),"Y","N")</f>
        <v>N</v>
      </c>
      <c r="X94" s="194">
        <f t="shared" si="28"/>
        <v>1</v>
      </c>
      <c r="Y94" s="194">
        <f t="shared" si="29"/>
        <v>23.297699999999999</v>
      </c>
      <c r="Z94" s="194">
        <f t="shared" si="30"/>
        <v>1.4500000000000001E-2</v>
      </c>
      <c r="AA94" s="194">
        <f t="shared" si="31"/>
        <v>23.283199999999997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32"/>
        <v>182</v>
      </c>
      <c r="AE94" s="77" t="str">
        <f t="shared" si="33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94" s="74" t="str">
        <f t="shared" si="34"/>
        <v>"C:\Program Files (x86)\AstroGrep\AstroGrep.exe" /e /r /s /spath="%USERPROFILE%\AppData\Local\Temp\OnboardLogs" /stypes="app*4001*20170908*" /stext=" 21:.+((SYSTEM_STATE.+slice.+state.+changed )|(ment ac)|(multiple cpu faults)|(system.+state.+changed )|(\[timeout)|(PRM\|1\|D)|(kpr)|(kdp)|(train st.+moving)|(\|lc)|(penalty))"</v>
      </c>
      <c r="AG94" s="206" t="str">
        <f t="shared" si="35"/>
        <v>EC</v>
      </c>
      <c r="AH94" s="78" t="str">
        <f t="shared" si="36"/>
        <v>"%USERPROFILE%\Documents\GitHub\eaglep3\Utilities\RefineRTDCRunTimes.py" --tripid 182-08 --locoid 4001 --swversion DE.1.0.9.0 --startMP 204:232977 --initTime 2017-09-08T14:24:26 --startdatetime 2017-09-08T14:42:15 --delay 62 --endMP 204:145 --enddatetime 2017-09-08T15:19:20 --enforcementcount 0 &gt;&gt;C:\Users\stu\Documents\GitHub\eaglep3-reporting\EC\2017-09-08-refined-times.txt</v>
      </c>
      <c r="AI94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{"issue":{"subject":"","project_id":79,"tracker_id":40,"status_id":1,"priority_id":2,"assigned_to_id":338,"start_date":"2017-09-08","description":"","custom_fields":[{"id":1,"name":"Subdivision","value":"EC"},{"id":4,"name":"Milepost","value":"0.0145"},{"id":17,"name":"Train ID","value":"182-08"},{"id":16,"name":"Locomotive ID","value":"4001"},{"id":130,"name":"Impact","value":""},{"id":150,"name":"Time of Event (Mountain Time)","value":"15:19:20"},{"id":151,"name":"Denver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38"/>
        <v>start /low /b %USERPROFILE%\Documents\GitHub\eaglep3\Utilities\DownloadLogsFromS3.py --loco 4001 --day 2017-09-08</v>
      </c>
      <c r="AN94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753</v>
      </c>
      <c r="B95" s="7">
        <v>4058</v>
      </c>
      <c r="C95" s="21" t="s">
        <v>197</v>
      </c>
      <c r="D95" s="21" t="s">
        <v>526</v>
      </c>
      <c r="E95" s="13">
        <v>42986.577511574076</v>
      </c>
      <c r="F95" s="13">
        <v>42986.583495370367</v>
      </c>
      <c r="G95" s="7">
        <v>57</v>
      </c>
      <c r="H95" s="21" t="s">
        <v>888</v>
      </c>
      <c r="I95" s="13">
        <v>42986.608055555553</v>
      </c>
      <c r="J95" s="7">
        <v>0</v>
      </c>
      <c r="K95" s="89" t="str">
        <f t="shared" si="22"/>
        <v>4057/4058</v>
      </c>
      <c r="L95" s="214" t="str">
        <f>VLOOKUP(A95,'Trips&amp;Operators'!$C$1:$G$99911,5,FALSE)</f>
        <v>LEVIN SCOTT</v>
      </c>
      <c r="M95" s="6">
        <f t="shared" si="23"/>
        <v>2.4560185185691807E-2</v>
      </c>
      <c r="N95" s="7">
        <f t="shared" si="24"/>
        <v>35.366666667396203</v>
      </c>
      <c r="O95" s="7"/>
      <c r="P95" s="7"/>
      <c r="Q95" s="22"/>
      <c r="R95" s="167"/>
      <c r="S95" s="210">
        <f t="shared" si="25"/>
        <v>1</v>
      </c>
      <c r="T95" s="192" t="str">
        <f t="shared" si="26"/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27"/>
        <v>https://d0f6bd738d7f1b3e5a7ca70fe4ff75f0.us-east-1.aws.found.io/app/kibana#/discover/Steve-Slow-Train-Analysis-(2080s-and-2083s)?_g=(refreshInterval:(display:Off,pause:!f,section:0,value:0),time:(from:'2017-09-08T12:51:37-0600',mode:absolute,to:'2017-09-08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5" s="194" t="str">
        <f>IF(AA95&lt;VLOOKUP(AG95,Variables!$AC$3:$AD$8,2,FALSE),"Y","N")</f>
        <v>N</v>
      </c>
      <c r="X95" s="194">
        <f t="shared" si="28"/>
        <v>1</v>
      </c>
      <c r="Y95" s="194">
        <f t="shared" si="29"/>
        <v>4.3499999999999997E-2</v>
      </c>
      <c r="Z95" s="194">
        <f t="shared" si="30"/>
        <v>23.3338</v>
      </c>
      <c r="AA95" s="194">
        <f t="shared" si="31"/>
        <v>23.290299999999998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32"/>
        <v>183</v>
      </c>
      <c r="AE95" s="77" t="str">
        <f t="shared" si="33"/>
        <v>aws s3 cp s3://rtdc.mdm.uploadarchive.raw/RTDC4058/ "%USERPROFILE%\AppData\Local\Temp\OnboardLogs"\RTDC4058\2017-09-08 --exclude "*" --recursive --include "*20170908*" &amp; "%USERPROFILE%\Documents\GitHub\mrs-test-scripts\Headless Mode &amp; Sideloading\WalkAndUnGZ.bat" "%USERPROFILE%\AppData\Local\Temp\OnboardLogs"\RTDC4058\2017-09-08 &amp; 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</v>
      </c>
      <c r="AF95" s="74" t="str">
        <f t="shared" si="34"/>
        <v>"C:\Program Files (x86)\AstroGrep\AstroGrep.exe" /e /r /s /spath="%USERPROFILE%\AppData\Local\Temp\OnboardLogs" /stypes="app*4058*20170908*" /stext=" 20:.+((SYSTEM_STATE.+slice.+state.+changed )|(ment ac)|(multiple cpu faults)|(system.+state.+changed )|(\[timeout)|(PRM\|1\|D)|(kpr)|(kdp)|(train st.+moving)|(\|lc)|(penalty))"</v>
      </c>
      <c r="AG95" s="206" t="str">
        <f t="shared" si="35"/>
        <v>EC</v>
      </c>
      <c r="AH95" s="78" t="str">
        <f t="shared" si="36"/>
        <v>"%USERPROFILE%\Documents\GitHub\eaglep3\Utilities\RefineRTDCRunTimes.py" --tripid 183-08 --locoid 4058 --swversion DE.1.0.9.0 --startMP 204:435 --initTime 2017-09-08T13:51:37 --startdatetime 2017-09-08T14:00:14 --delay 57 --endMP 204:233338 --enddatetime 2017-09-08T14:35:36 --enforcementcount 0 &gt;&gt;C:\Users\stu\Documents\GitHub\eaglep3-reporting\EC\2017-09-08-refined-times.txt</v>
      </c>
      <c r="AI95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{"issue":{"subject":"","project_id":79,"tracker_id":40,"status_id":1,"priority_id":2,"assigned_to_id":338,"start_date":"2017-09-08","description":"","custom_fields":[{"id":1,"name":"Subdivision","value":"EC"},{"id":4,"name":"Milepost","value":"23.3338"},{"id":17,"name":"Train ID","value":"183-08"},{"id":16,"name":"Locomotive ID","value":"4058"},{"id":130,"name":"Impact","value":""},{"id":150,"name":"Time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38"/>
        <v>start /low /b %USERPROFILE%\Documents\GitHub\eaglep3\Utilities\DownloadLogsFromS3.py --loco 4058 --day 2017-09-08</v>
      </c>
      <c r="AN95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20:35:36"},{"id":29,"name":"Sharepoint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618</v>
      </c>
      <c r="B96" s="7">
        <v>4057</v>
      </c>
      <c r="C96" s="21" t="s">
        <v>197</v>
      </c>
      <c r="D96" s="21" t="s">
        <v>889</v>
      </c>
      <c r="E96" s="13">
        <v>42986.612060185187</v>
      </c>
      <c r="F96" s="13">
        <v>42986.623171296298</v>
      </c>
      <c r="G96" s="7">
        <v>49</v>
      </c>
      <c r="H96" s="21" t="s">
        <v>340</v>
      </c>
      <c r="I96" s="13">
        <v>42986.649571759262</v>
      </c>
      <c r="J96" s="7">
        <v>0</v>
      </c>
      <c r="K96" s="89" t="str">
        <f t="shared" si="22"/>
        <v>4057/4058</v>
      </c>
      <c r="L96" s="214" t="str">
        <f>VLOOKUP(A96,'Trips&amp;Operators'!$C$1:$G$99911,5,FALSE)</f>
        <v>LEVIN SCOTT</v>
      </c>
      <c r="M96" s="6">
        <f t="shared" si="23"/>
        <v>2.6400462964375038E-2</v>
      </c>
      <c r="N96" s="7">
        <f t="shared" si="24"/>
        <v>38.016666668700054</v>
      </c>
      <c r="O96" s="7"/>
      <c r="P96" s="7"/>
      <c r="Q96" s="22"/>
      <c r="R96" s="167"/>
      <c r="S96" s="210">
        <f t="shared" si="25"/>
        <v>1</v>
      </c>
      <c r="T96" s="192" t="str">
        <f t="shared" si="26"/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27"/>
        <v>https://d0f6bd738d7f1b3e5a7ca70fe4ff75f0.us-east-1.aws.found.io/app/kibana#/discover/Steve-Slow-Train-Analysis-(2080s-and-2083s)?_g=(refreshInterval:(display:Off,pause:!f,section:0,value:0),time:(from:'2017-09-08T13:41:22-0600',mode:absolute,to:'2017-09-08T16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6" s="194" t="str">
        <f>IF(AA96&lt;VLOOKUP(AG96,Variables!$AC$3:$AD$8,2,FALSE),"Y","N")</f>
        <v>N</v>
      </c>
      <c r="X96" s="194">
        <f t="shared" si="28"/>
        <v>1</v>
      </c>
      <c r="Y96" s="194">
        <f t="shared" si="29"/>
        <v>23.305099999999999</v>
      </c>
      <c r="Z96" s="194">
        <f t="shared" si="30"/>
        <v>1.43E-2</v>
      </c>
      <c r="AA96" s="194">
        <f t="shared" si="31"/>
        <v>23.290800000000001</v>
      </c>
      <c r="AB96" s="54" t="str">
        <f>VLOOKUP(A96,Enforcements!$C$7:$K$11,8,0)</f>
        <v>Bulletin (2)</v>
      </c>
      <c r="AC96" s="51" t="str">
        <f>VLOOKUP(A96,Enforcements!$C$7:$E$11,3,0)</f>
        <v>GRADE CROSSING</v>
      </c>
      <c r="AD96" s="203">
        <f t="shared" si="32"/>
        <v>184</v>
      </c>
      <c r="AE96" s="77" t="str">
        <f t="shared" si="33"/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AF96" s="74" t="str">
        <f t="shared" si="34"/>
        <v>"C:\Program Files (x86)\AstroGrep\AstroGrep.exe" /e /r /s /spath="%USERPROFILE%\AppData\Local\Temp\OnboardLogs" /stypes="app*4057*20170908*" /stext=" 21:.+((SYSTEM_STATE.+slice.+state.+changed )|(ment ac)|(multiple cpu faults)|(system.+state.+changed )|(\[timeout)|(PRM\|1\|D)|(kpr)|(kdp)|(train st.+moving)|(\|lc)|(penalty))"</v>
      </c>
      <c r="AG96" s="206" t="str">
        <f t="shared" si="35"/>
        <v>EC</v>
      </c>
      <c r="AH96" s="78" t="str">
        <f t="shared" si="36"/>
        <v>"%USERPROFILE%\Documents\GitHub\eaglep3\Utilities\RefineRTDCRunTimes.py" --tripid 184-08 --locoid 4057 --swversion DE.1.0.9.0 --startMP 204:233051 --initTime 2017-09-08T14:41:22 --startdatetime 2017-09-08T14:57:22 --delay 49 --endMP 204:143 --enddatetime 2017-09-08T15:35:23 --enforcementcount 0 &gt;&gt;C:\Users\stu\Documents\GitHub\eaglep3-reporting\EC\2017-09-08-refined-times.txt</v>
      </c>
      <c r="AI96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{"issue":{"subject":"","project_id":79,"tracker_id":40,"status_id":1,"priority_id":2,"assigned_to_id":338,"start_date":"2017-09-08","description":"","custom_fields":[{"id":1,"name":"Subdivision","value":"EC"},{"id":4,"name":"Milepost","value":"0.0143"},{"id":17,"name":"Train ID","value":"184-08"},{"id":16,"name":"Locomotive ID","value":"4057"},{"id":130,"name":"Impact","value":""},{"id":150,"name":"Time of Event (Mountain Time)","value":"15:35:23"},{"id":151,"name":"Denver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38"/>
        <v>start /low /b %USERPROFILE%\Documents\GitHub\eaglep3\Utilities\DownloadLogsFromS3.py --loco 4057 --day 2017-09-08</v>
      </c>
      <c r="AN96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756</v>
      </c>
      <c r="B97" s="7">
        <v>4062</v>
      </c>
      <c r="C97" s="21" t="s">
        <v>197</v>
      </c>
      <c r="D97" s="21" t="s">
        <v>385</v>
      </c>
      <c r="E97" s="13">
        <v>42986.589687500003</v>
      </c>
      <c r="F97" s="13">
        <v>42986.593912037039</v>
      </c>
      <c r="G97" s="7">
        <v>71</v>
      </c>
      <c r="H97" s="21" t="s">
        <v>890</v>
      </c>
      <c r="I97" s="13">
        <v>42986.619768518518</v>
      </c>
      <c r="J97" s="7">
        <v>0</v>
      </c>
      <c r="K97" s="89" t="str">
        <f t="shared" si="22"/>
        <v>4061/4062</v>
      </c>
      <c r="L97" s="214" t="str">
        <f>VLOOKUP(A97,'Trips&amp;Operators'!$C$1:$G$99911,5,FALSE)</f>
        <v>BADERTSCHER DIANE</v>
      </c>
      <c r="M97" s="6">
        <f t="shared" si="23"/>
        <v>2.5856481479422655E-2</v>
      </c>
      <c r="N97" s="7">
        <f t="shared" si="24"/>
        <v>37.233333330368623</v>
      </c>
      <c r="O97" s="7"/>
      <c r="P97" s="7"/>
      <c r="Q97" s="22"/>
      <c r="R97" s="167"/>
      <c r="S97" s="210">
        <f t="shared" si="25"/>
        <v>1</v>
      </c>
      <c r="T97" s="192" t="str">
        <f t="shared" si="26"/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27"/>
        <v>https://d0f6bd738d7f1b3e5a7ca70fe4ff75f0.us-east-1.aws.found.io/app/kibana#/discover/Steve-Slow-Train-Analysis-(2080s-and-2083s)?_g=(refreshInterval:(display:Off,pause:!f,section:0,value:0),time:(from:'2017-09-08T13:09:09-0600',mode:absolute,to:'2017-09-08T15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7" s="194" t="str">
        <f>IF(AA97&lt;VLOOKUP(AG97,Variables!$AC$3:$AD$8,2,FALSE),"Y","N")</f>
        <v>N</v>
      </c>
      <c r="X97" s="194">
        <f t="shared" si="28"/>
        <v>1</v>
      </c>
      <c r="Y97" s="194">
        <f t="shared" si="29"/>
        <v>4.6899999999999997E-2</v>
      </c>
      <c r="Z97" s="194">
        <f t="shared" si="30"/>
        <v>23.336400000000001</v>
      </c>
      <c r="AA97" s="194">
        <f t="shared" si="31"/>
        <v>23.2895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 t="shared" si="32"/>
        <v>185</v>
      </c>
      <c r="AE97" s="77" t="str">
        <f t="shared" si="33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97" s="74" t="str">
        <f t="shared" si="34"/>
        <v>"C:\Program Files (x86)\AstroGrep\AstroGrep.exe" /e /r /s /spath="%USERPROFILE%\AppData\Local\Temp\OnboardLogs" /stypes="app*4062*20170908*" /stext=" 20:.+((SYSTEM_STATE.+slice.+state.+changed )|(ment ac)|(multiple cpu faults)|(system.+state.+changed )|(\[timeout)|(PRM\|1\|D)|(kpr)|(kdp)|(train st.+moving)|(\|lc)|(penalty))"</v>
      </c>
      <c r="AG97" s="206" t="str">
        <f t="shared" si="35"/>
        <v>EC</v>
      </c>
      <c r="AH97" s="78" t="str">
        <f t="shared" si="36"/>
        <v>"%USERPROFILE%\Documents\GitHub\eaglep3\Utilities\RefineRTDCRunTimes.py" --tripid 185-08 --locoid 4062 --swversion DE.1.0.9.0 --startMP 204:469 --initTime 2017-09-08T14:09:09 --startdatetime 2017-09-08T14:15:14 --delay 71 --endMP 204:233364 --enddatetime 2017-09-08T14:52:28 --enforcementcount 0 &gt;&gt;C:\Users\stu\Documents\GitHub\eaglep3-reporting\EC\2017-09-08-refined-times.txt</v>
      </c>
      <c r="AI97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{"issue":{"subject":"","project_id":79,"tracker_id":40,"status_id":1,"priority_id":2,"assigned_to_id":338,"start_date":"2017-09-08","description":"","custom_fields":[{"id":1,"name":"Subdivision","value":"EC"},{"id":4,"name":"Milepost","value":"23.3364"},{"id":17,"name":"Train ID","value":"185-08"},{"id":16,"name":"Locomotive ID","value":"4062"},{"id":130,"name":"Impact","value":""},{"id":150,"name":"Time of Event (Mountain Time)","value":"14:52:28"},{"id":151,"name":"Denver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38"/>
        <v>start /low /b %USERPROFILE%\Documents\GitHub\eaglep3\Utilities\DownloadLogsFromS3.py --loco 4062 --day 2017-09-08</v>
      </c>
      <c r="AN97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20:52:28"},{"id":29,"name":"Sharepoint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619</v>
      </c>
      <c r="B98" s="7">
        <v>4061</v>
      </c>
      <c r="C98" s="21" t="s">
        <v>197</v>
      </c>
      <c r="D98" s="21" t="s">
        <v>535</v>
      </c>
      <c r="E98" s="13">
        <v>42986.627997685187</v>
      </c>
      <c r="F98" s="13">
        <v>42986.633553240739</v>
      </c>
      <c r="G98" s="7">
        <v>90</v>
      </c>
      <c r="H98" s="21" t="s">
        <v>368</v>
      </c>
      <c r="I98" s="13">
        <v>42986.661006944443</v>
      </c>
      <c r="J98" s="7">
        <v>0</v>
      </c>
      <c r="K98" s="89" t="str">
        <f t="shared" si="22"/>
        <v>4061/4062</v>
      </c>
      <c r="L98" s="214" t="str">
        <f>VLOOKUP(A98,'Trips&amp;Operators'!$C$1:$G$99911,5,FALSE)</f>
        <v>BADERTSCHER DIANE</v>
      </c>
      <c r="M98" s="6">
        <f t="shared" si="23"/>
        <v>2.7453703703940846E-2</v>
      </c>
      <c r="N98" s="7">
        <f t="shared" si="24"/>
        <v>39.533333333674818</v>
      </c>
      <c r="O98" s="7"/>
      <c r="P98" s="7"/>
      <c r="Q98" s="22"/>
      <c r="R98" s="167"/>
      <c r="S98" s="210">
        <f t="shared" si="25"/>
        <v>1</v>
      </c>
      <c r="T98" s="192" t="str">
        <f t="shared" si="26"/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27"/>
        <v>https://d0f6bd738d7f1b3e5a7ca70fe4ff75f0.us-east-1.aws.found.io/app/kibana#/discover/Steve-Slow-Train-Analysis-(2080s-and-2083s)?_g=(refreshInterval:(display:Off,pause:!f,section:0,value:0),time:(from:'2017-09-08T14:04:19-0600',mode:absolute,to:'2017-09-08T16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8" s="194" t="str">
        <f>IF(AA98&lt;VLOOKUP(AG98,Variables!$AC$3:$AD$8,2,FALSE),"Y","N")</f>
        <v>N</v>
      </c>
      <c r="X98" s="194">
        <f t="shared" si="28"/>
        <v>1</v>
      </c>
      <c r="Y98" s="194">
        <f t="shared" si="29"/>
        <v>23.302099999999999</v>
      </c>
      <c r="Z98" s="194">
        <f t="shared" si="30"/>
        <v>1.4500000000000001E-2</v>
      </c>
      <c r="AA98" s="194">
        <f t="shared" si="31"/>
        <v>23.287599999999998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 t="shared" si="32"/>
        <v>186</v>
      </c>
      <c r="AE98" s="77" t="str">
        <f t="shared" si="33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98" s="74" t="str">
        <f t="shared" si="34"/>
        <v>"C:\Program Files (x86)\AstroGrep\AstroGrep.exe" /e /r /s /spath="%USERPROFILE%\AppData\Local\Temp\OnboardLogs" /stypes="app*4061*20170908*" /stext=" 21:.+((SYSTEM_STATE.+slice.+state.+changed )|(ment ac)|(multiple cpu faults)|(system.+state.+changed )|(\[timeout)|(PRM\|1\|D)|(kpr)|(kdp)|(train st.+moving)|(\|lc)|(penalty))"</v>
      </c>
      <c r="AG98" s="206" t="str">
        <f t="shared" si="35"/>
        <v>EC</v>
      </c>
      <c r="AH98" s="78" t="str">
        <f t="shared" si="36"/>
        <v>"%USERPROFILE%\Documents\GitHub\eaglep3\Utilities\RefineRTDCRunTimes.py" --tripid 186-08 --locoid 4061 --swversion DE.1.0.9.0 --startMP 204:233021 --initTime 2017-09-08T15:04:19 --startdatetime 2017-09-08T15:12:19 --delay 90 --endMP 204:145 --enddatetime 2017-09-08T15:51:51 --enforcementcount 0 &gt;&gt;C:\Users\stu\Documents\GitHub\eaglep3-reporting\EC\2017-09-08-refined-times.txt</v>
      </c>
      <c r="AI98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{"issue":{"subject":"","project_id":79,"tracker_id":40,"status_id":1,"priority_id":2,"assigned_to_id":338,"start_date":"2017-09-08","description":"","custom_fields":[{"id":1,"name":"Subdivision","value":"EC"},{"id":4,"name":"Milepost","value":"0.0145"},{"id":17,"name":"Train ID","value":"186-08"},{"id":16,"name":"Locomotive ID","value":"4061"},{"id":130,"name":"Impact","value":""},{"id":150,"name":"Time of Event (Mountain Time)","value":"15:51:51"},{"id":151,"name":"Denver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38"/>
        <v>start /low /b %USERPROFILE%\Documents\GitHub\eaglep3\Utilities\DownloadLogsFromS3.py --loco 4061 --day 2017-09-08</v>
      </c>
      <c r="AN98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757</v>
      </c>
      <c r="B99" s="7">
        <v>4032</v>
      </c>
      <c r="C99" s="21" t="s">
        <v>197</v>
      </c>
      <c r="D99" s="21" t="s">
        <v>457</v>
      </c>
      <c r="E99" s="13">
        <v>42986.597407407404</v>
      </c>
      <c r="F99" s="13">
        <v>42986.604351851849</v>
      </c>
      <c r="G99" s="7">
        <v>69</v>
      </c>
      <c r="H99" s="21" t="s">
        <v>584</v>
      </c>
      <c r="I99" s="13">
        <v>42986.628946759258</v>
      </c>
      <c r="J99" s="7">
        <v>0</v>
      </c>
      <c r="K99" s="89" t="str">
        <f t="shared" si="22"/>
        <v>4031/4032</v>
      </c>
      <c r="L99" s="214" t="str">
        <f>VLOOKUP(A99,'Trips&amp;Operators'!$C$1:$G$99911,5,FALSE)</f>
        <v>HOLCOMB KAMDEN</v>
      </c>
      <c r="M99" s="6">
        <f t="shared" si="23"/>
        <v>2.4594907408754807E-2</v>
      </c>
      <c r="N99" s="7">
        <f t="shared" si="24"/>
        <v>35.416666668606922</v>
      </c>
      <c r="O99" s="7"/>
      <c r="P99" s="7"/>
      <c r="Q99" s="22"/>
      <c r="R99" s="167"/>
      <c r="S99" s="210">
        <f t="shared" si="25"/>
        <v>1</v>
      </c>
      <c r="T99" s="192" t="str">
        <f t="shared" si="26"/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27"/>
        <v>https://d0f6bd738d7f1b3e5a7ca70fe4ff75f0.us-east-1.aws.found.io/app/kibana#/discover/Steve-Slow-Train-Analysis-(2080s-and-2083s)?_g=(refreshInterval:(display:Off,pause:!f,section:0,value:0),time:(from:'2017-09-08T13:20:16-0600',mode:absolute,to:'2017-09-08T16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9" s="194" t="str">
        <f>IF(AA99&lt;VLOOKUP(AG99,Variables!$AC$3:$AD$8,2,FALSE),"Y","N")</f>
        <v>N</v>
      </c>
      <c r="X99" s="194">
        <f t="shared" si="28"/>
        <v>1</v>
      </c>
      <c r="Y99" s="194">
        <f t="shared" si="29"/>
        <v>4.3999999999999997E-2</v>
      </c>
      <c r="Z99" s="194">
        <f t="shared" si="30"/>
        <v>23.332100000000001</v>
      </c>
      <c r="AA99" s="194">
        <f t="shared" si="31"/>
        <v>23.2881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32"/>
        <v>187</v>
      </c>
      <c r="AE99" s="77" t="str">
        <f t="shared" si="33"/>
        <v>aws s3 cp s3://rtdc.mdm.uploadarchive.raw/RTDC4032/ "%USERPROFILE%\AppData\Local\Temp\OnboardLogs"\RTDC4032\2017-09-08 --exclude "*" --recursive --include "*20170908*" &amp; "%USERPROFILE%\Documents\GitHub\mrs-test-scripts\Headless Mode &amp; Sideloading\WalkAndUnGZ.bat" "%USERPROFILE%\AppData\Local\Temp\OnboardLogs"\RTDC4032\2017-09-08 &amp; aws s3 cp s3://rtdc.mdm.uploadarchive.raw/RTDC4032/ "%USERPROFILE%\AppData\Local\Temp\OnboardLogs"\RTDC4032\2017-09-09 --exclude "*" --recursive --include "*20170909*" &amp; "%USERPROFILE%\Documents\GitHub\mrs-test-scripts\Headless Mode &amp; Sideloading\WalkAndUnGZ.bat" "%USERPROFILE%\AppData\Local\Temp\OnboardLogs"\RTDC4032\2017-09-09</v>
      </c>
      <c r="AF99" s="74" t="str">
        <f t="shared" si="34"/>
        <v>"C:\Program Files (x86)\AstroGrep\AstroGrep.exe" /e /r /s /spath="%USERPROFILE%\AppData\Local\Temp\OnboardLogs" /stypes="app*4032*20170908*" /stext=" 21:.+((SYSTEM_STATE.+slice.+state.+changed )|(ment ac)|(multiple cpu faults)|(system.+state.+changed )|(\[timeout)|(PRM\|1\|D)|(kpr)|(kdp)|(train st.+moving)|(\|lc)|(penalty))"</v>
      </c>
      <c r="AG99" s="206" t="str">
        <f t="shared" si="35"/>
        <v>EC</v>
      </c>
      <c r="AH99" s="78" t="str">
        <f t="shared" si="36"/>
        <v>"%USERPROFILE%\Documents\GitHub\eaglep3\Utilities\RefineRTDCRunTimes.py" --tripid 187-08 --locoid 4032 --swversion DE.1.0.9.0 --startMP 204:440 --initTime 2017-09-08T14:20:16 --startdatetime 2017-09-08T14:30:16 --delay 69 --endMP 204:233321 --enddatetime 2017-09-08T15:05:41 --enforcementcount 0 &gt;&gt;C:\Users\stu\Documents\GitHub\eaglep3-reporting\EC\2017-09-08-refined-times.txt</v>
      </c>
      <c r="AI99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{"issue":{"subject":"","project_id":79,"tracker_id":40,"status_id":1,"priority_id":2,"assigned_to_id":338,"start_date":"2017-09-08","description":"","custom_fields":[{"id":1,"name":"Subdivision","value":"EC"},{"id":4,"name":"Milepost","value":"23.3321"},{"id":17,"name":"Train ID","value":"187-08"},{"id":16,"name":"Locomotive ID","value":"4032"},{"id":130,"name":"Impact","value":""},{"id":150,"name":"Time of Event (Mountain Time)","value":"15:05:41"},{"id":151,"name":"Denver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38"/>
        <v>start /low /b %USERPROFILE%\Documents\GitHub\eaglep3\Utilities\DownloadLogsFromS3.py --loco 4032 --day 2017-09-08</v>
      </c>
      <c r="AN99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</row>
    <row r="100" spans="1:91" s="20" customFormat="1" x14ac:dyDescent="0.25">
      <c r="A100" s="32" t="s">
        <v>621</v>
      </c>
      <c r="B100" s="7">
        <v>4031</v>
      </c>
      <c r="C100" s="21" t="s">
        <v>197</v>
      </c>
      <c r="D100" s="21" t="s">
        <v>460</v>
      </c>
      <c r="E100" s="13">
        <v>42986.640219907407</v>
      </c>
      <c r="F100" s="13">
        <v>42986.643935185188</v>
      </c>
      <c r="G100" s="7">
        <v>62</v>
      </c>
      <c r="H100" s="21" t="s">
        <v>530</v>
      </c>
      <c r="I100" s="13">
        <v>42986.671006944445</v>
      </c>
      <c r="J100" s="7">
        <v>0</v>
      </c>
      <c r="K100" s="89" t="str">
        <f t="shared" si="22"/>
        <v>4031/4032</v>
      </c>
      <c r="L100" s="214" t="str">
        <f>VLOOKUP(A100,'Trips&amp;Operators'!$C$1:$G$99911,5,FALSE)</f>
        <v>HOLCOMB KAMDEN</v>
      </c>
      <c r="M100" s="6">
        <f t="shared" si="23"/>
        <v>2.7071759257523809E-2</v>
      </c>
      <c r="N100" s="7">
        <f t="shared" si="24"/>
        <v>38.983333330834284</v>
      </c>
      <c r="O100" s="7"/>
      <c r="P100" s="7"/>
      <c r="Q100" s="22"/>
      <c r="R100" s="167"/>
      <c r="S100" s="210">
        <f t="shared" si="25"/>
        <v>1</v>
      </c>
      <c r="T100" s="192" t="str">
        <f t="shared" si="26"/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27"/>
        <v>https://d0f6bd738d7f1b3e5a7ca70fe4ff75f0.us-east-1.aws.found.io/app/kibana#/discover/Steve-Slow-Train-Analysis-(2080s-and-2083s)?_g=(refreshInterval:(display:Off,pause:!f,section:0,value:0),time:(from:'2017-09-08T14:21:55-0600',mode:absolute,to:'2017-09-08T17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0" s="194" t="str">
        <f>IF(AA100&lt;VLOOKUP(AG100,Variables!$AC$3:$AD$8,2,FALSE),"Y","N")</f>
        <v>N</v>
      </c>
      <c r="X100" s="194">
        <f t="shared" si="28"/>
        <v>1</v>
      </c>
      <c r="Y100" s="194">
        <f t="shared" si="29"/>
        <v>23.3004</v>
      </c>
      <c r="Z100" s="194">
        <f t="shared" si="30"/>
        <v>1.3599999999999999E-2</v>
      </c>
      <c r="AA100" s="194">
        <f t="shared" si="31"/>
        <v>23.286799999999999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32"/>
        <v>188</v>
      </c>
      <c r="AE100" s="77" t="str">
        <f t="shared" si="33"/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AF100" s="74" t="str">
        <f t="shared" si="34"/>
        <v>"C:\Program Files (x86)\AstroGrep\AstroGrep.exe" /e /r /s /spath="%USERPROFILE%\AppData\Local\Temp\OnboardLogs" /stypes="app*4031*20170908*" /stext=" 22:.+((SYSTEM_STATE.+slice.+state.+changed )|(ment ac)|(multiple cpu faults)|(system.+state.+changed )|(\[timeout)|(PRM\|1\|D)|(kpr)|(kdp)|(train st.+moving)|(\|lc)|(penalty))"</v>
      </c>
      <c r="AG100" s="206" t="str">
        <f t="shared" si="35"/>
        <v>EC</v>
      </c>
      <c r="AH100" s="78" t="str">
        <f t="shared" si="36"/>
        <v>"%USERPROFILE%\Documents\GitHub\eaglep3\Utilities\RefineRTDCRunTimes.py" --tripid 188-08 --locoid 4031 --swversion DE.1.0.9.0 --startMP 204:233004 --initTime 2017-09-08T15:21:55 --startdatetime 2017-09-08T15:27:16 --delay 62 --endMP 204:136 --enddatetime 2017-09-08T16:06:15 --enforcementcount 0 &gt;&gt;C:\Users\stu\Documents\GitHub\eaglep3-reporting\EC\2017-09-08-refined-times.txt</v>
      </c>
      <c r="AI100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{"issue":{"subject":"","project_id":79,"tracker_id":40,"status_id":1,"priority_id":2,"assigned_to_id":338,"start_date":"2017-09-08","description":"","custom_fields":[{"id":1,"name":"Subdivision","value":"EC"},{"id":4,"name":"Milepost","value":"0.0136"},{"id":17,"name":"Train ID","value":"188-08"},{"id":16,"name":"Locomotive ID","value":"4031"},{"id":130,"name":"Impact","value":""},{"id":150,"name":"Time of Event (Mountain Time)","value":"16:06:15"},{"id":151,"name":"Denver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8"/>
        <v>start /low /b %USERPROFILE%\Documents\GitHub\eaglep3\Utilities\DownloadLogsFromS3.py --loco 4031 --day 2017-09-08</v>
      </c>
      <c r="AN100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761</v>
      </c>
      <c r="B101" s="7">
        <v>4006</v>
      </c>
      <c r="C101" s="21" t="s">
        <v>197</v>
      </c>
      <c r="D101" s="21" t="s">
        <v>526</v>
      </c>
      <c r="E101" s="13">
        <v>42986.611446759256</v>
      </c>
      <c r="F101" s="13">
        <v>42986.614872685182</v>
      </c>
      <c r="G101" s="7">
        <v>78</v>
      </c>
      <c r="H101" s="21" t="s">
        <v>419</v>
      </c>
      <c r="I101" s="13">
        <v>42986.639837962961</v>
      </c>
      <c r="J101" s="7">
        <v>0</v>
      </c>
      <c r="K101" s="89" t="str">
        <f t="shared" si="22"/>
        <v>4005/4006</v>
      </c>
      <c r="L101" s="214" t="str">
        <f>VLOOKUP(A101,'Trips&amp;Operators'!$C$1:$G$99911,5,FALSE)</f>
        <v>SAFIEF AEIMEN</v>
      </c>
      <c r="M101" s="6">
        <f t="shared" si="23"/>
        <v>2.4965277778392192E-2</v>
      </c>
      <c r="N101" s="7">
        <f t="shared" si="24"/>
        <v>35.950000000884756</v>
      </c>
      <c r="O101" s="7"/>
      <c r="P101" s="7"/>
      <c r="Q101" s="22"/>
      <c r="R101" s="167"/>
      <c r="S101" s="210">
        <f t="shared" si="25"/>
        <v>1</v>
      </c>
      <c r="T101" s="192" t="str">
        <f t="shared" si="26"/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27"/>
        <v>https://d0f6bd738d7f1b3e5a7ca70fe4ff75f0.us-east-1.aws.found.io/app/kibana#/discover/Steve-Slow-Train-Analysis-(2080s-and-2083s)?_g=(refreshInterval:(display:Off,pause:!f,section:0,value:0),time:(from:'2017-09-08T13:40:29-0600',mode:absolute,to:'2017-09-08T16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1" s="194" t="str">
        <f>IF(AA101&lt;VLOOKUP(AG101,Variables!$AC$3:$AD$8,2,FALSE),"Y","N")</f>
        <v>N</v>
      </c>
      <c r="X101" s="194">
        <f t="shared" si="28"/>
        <v>1</v>
      </c>
      <c r="Y101" s="194">
        <f t="shared" si="29"/>
        <v>4.3499999999999997E-2</v>
      </c>
      <c r="Z101" s="194">
        <f t="shared" si="30"/>
        <v>23.331399999999999</v>
      </c>
      <c r="AA101" s="194">
        <f t="shared" si="31"/>
        <v>23.287899999999997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32"/>
        <v>189</v>
      </c>
      <c r="AE101" s="77" t="str">
        <f t="shared" si="33"/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AF101" s="74" t="str">
        <f t="shared" si="34"/>
        <v>"C:\Program Files (x86)\AstroGrep\AstroGrep.exe" /e /r /s /spath="%USERPROFILE%\AppData\Local\Temp\OnboardLogs" /stypes="app*4006*20170908*" /stext=" 21:.+((SYSTEM_STATE.+slice.+state.+changed )|(ment ac)|(multiple cpu faults)|(system.+state.+changed )|(\[timeout)|(PRM\|1\|D)|(kpr)|(kdp)|(train st.+moving)|(\|lc)|(penalty))"</v>
      </c>
      <c r="AG101" s="206" t="str">
        <f t="shared" si="35"/>
        <v>EC</v>
      </c>
      <c r="AH101" s="78" t="str">
        <f t="shared" si="36"/>
        <v>"%USERPROFILE%\Documents\GitHub\eaglep3\Utilities\RefineRTDCRunTimes.py" --tripid 189-08 --locoid 4006 --swversion DE.1.0.9.0 --startMP 204:435 --initTime 2017-09-08T14:40:29 --startdatetime 2017-09-08T14:45:25 --delay 78 --endMP 204:233314 --enddatetime 2017-09-08T15:21:22 --enforcementcount 0 &gt;&gt;C:\Users\stu\Documents\GitHub\eaglep3-reporting\EC\2017-09-08-refined-times.txt</v>
      </c>
      <c r="AI101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{"issue":{"subject":"","project_id":79,"tracker_id":40,"status_id":1,"priority_id":2,"assigned_to_id":338,"start_date":"2017-09-08","description":"","custom_fields":[{"id":1,"name":"Subdivision","value":"EC"},{"id":4,"name":"Milepost","value":"23.3314"},{"id":17,"name":"Train ID","value":"189-08"},{"id":16,"name":"Locomotive ID","value":"4006"},{"id":130,"name":"Impact","value":""},{"id":150,"name":"Time of Event (Mountain Time)","value":"15:21:22"},{"id":151,"name":"Denver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8"/>
        <v>start /low /b %USERPROFILE%\Documents\GitHub\eaglep3\Utilities\DownloadLogsFromS3.py --loco 4006 --day 2017-09-08</v>
      </c>
      <c r="AN101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768</v>
      </c>
      <c r="B102" s="7">
        <v>4005</v>
      </c>
      <c r="C102" s="21" t="s">
        <v>197</v>
      </c>
      <c r="D102" s="21" t="s">
        <v>576</v>
      </c>
      <c r="E102" s="13">
        <v>42986.642743055556</v>
      </c>
      <c r="F102" s="13">
        <v>42986.654398148145</v>
      </c>
      <c r="G102" s="7">
        <v>75</v>
      </c>
      <c r="H102" s="21" t="s">
        <v>464</v>
      </c>
      <c r="I102" s="13">
        <v>42986.680300925924</v>
      </c>
      <c r="J102" s="7">
        <v>0</v>
      </c>
      <c r="K102" s="89" t="str">
        <f t="shared" si="22"/>
        <v>4005/4006</v>
      </c>
      <c r="L102" s="214" t="str">
        <f>VLOOKUP(A102,'Trips&amp;Operators'!$C$1:$G$99911,5,FALSE)</f>
        <v>SAFIEF AEIMEN</v>
      </c>
      <c r="M102" s="6">
        <f t="shared" si="23"/>
        <v>2.5902777779265307E-2</v>
      </c>
      <c r="N102" s="7">
        <f t="shared" si="24"/>
        <v>37.300000002142042</v>
      </c>
      <c r="O102" s="7"/>
      <c r="P102" s="7"/>
      <c r="Q102" s="22"/>
      <c r="R102" s="167"/>
      <c r="S102" s="210">
        <f t="shared" si="25"/>
        <v>1</v>
      </c>
      <c r="T102" s="192" t="str">
        <f t="shared" si="26"/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27"/>
        <v>https://d0f6bd738d7f1b3e5a7ca70fe4ff75f0.us-east-1.aws.found.io/app/kibana#/discover/Steve-Slow-Train-Analysis-(2080s-and-2083s)?_g=(refreshInterval:(display:Off,pause:!f,section:0,value:0),time:(from:'2017-09-08T14:25:33-0600',mode:absolute,to:'2017-09-08T17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2" s="194" t="str">
        <f>IF(AA102&lt;VLOOKUP(AG102,Variables!$AC$3:$AD$8,2,FALSE),"Y","N")</f>
        <v>N</v>
      </c>
      <c r="X102" s="194">
        <f t="shared" si="28"/>
        <v>1</v>
      </c>
      <c r="Y102" s="194">
        <f t="shared" si="29"/>
        <v>23.300899999999999</v>
      </c>
      <c r="Z102" s="194">
        <f t="shared" si="30"/>
        <v>1.3899999999999999E-2</v>
      </c>
      <c r="AA102" s="194">
        <f t="shared" si="31"/>
        <v>23.286999999999999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si="32"/>
        <v>190</v>
      </c>
      <c r="AE102" s="77" t="str">
        <f t="shared" si="33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102" s="74" t="str">
        <f t="shared" si="34"/>
        <v>"C:\Program Files (x86)\AstroGrep\AstroGrep.exe" /e /r /s /spath="%USERPROFILE%\AppData\Local\Temp\OnboardLogs" /stypes="app*4005*20170908*" /stext=" 22:.+((SYSTEM_STATE.+slice.+state.+changed )|(ment ac)|(multiple cpu faults)|(system.+state.+changed )|(\[timeout)|(PRM\|1\|D)|(kpr)|(kdp)|(train st.+moving)|(\|lc)|(penalty))"</v>
      </c>
      <c r="AG102" s="206" t="str">
        <f t="shared" si="35"/>
        <v>EC</v>
      </c>
      <c r="AH102" s="78" t="str">
        <f t="shared" si="36"/>
        <v>"%USERPROFILE%\Documents\GitHub\eaglep3\Utilities\RefineRTDCRunTimes.py" --tripid 190-08 --locoid 4005 --swversion DE.1.0.9.0 --startMP 204:233009 --initTime 2017-09-08T15:25:33 --startdatetime 2017-09-08T15:42:20 --delay 75 --endMP 204:139 --enddatetime 2017-09-08T16:19:38 --enforcementcount 0 &gt;&gt;C:\Users\stu\Documents\GitHub\eaglep3-reporting\EC\2017-09-08-refined-times.txt</v>
      </c>
      <c r="AI102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{"issue":{"subject":"","project_id":79,"tracker_id":40,"status_id":1,"priority_id":2,"assigned_to_id":338,"start_date":"2017-09-08","description":"","custom_fields":[{"id":1,"name":"Subdivision","value":"EC"},{"id":4,"name":"Milepost","value":"0.0139"},{"id":17,"name":"Train ID","value":"190-08"},{"id":16,"name":"Locomotive ID","value":"4005"},{"id":130,"name":"Impact","value":""},{"id":150,"name":"Time of Event (Mountain Time)","value":"16:19:38"},{"id":151,"name":"Denver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8"/>
        <v>start /low /b %USERPROFILE%\Documents\GitHub\eaglep3\Utilities\DownloadLogsFromS3.py --loco 4005 --day 2017-09-08</v>
      </c>
      <c r="AN102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762</v>
      </c>
      <c r="B103" s="7">
        <v>4034</v>
      </c>
      <c r="C103" s="21" t="s">
        <v>197</v>
      </c>
      <c r="D103" s="21" t="s">
        <v>375</v>
      </c>
      <c r="E103" s="13">
        <v>42986.619247685187</v>
      </c>
      <c r="F103" s="13">
        <v>42986.625173611108</v>
      </c>
      <c r="G103" s="7">
        <v>106</v>
      </c>
      <c r="H103" s="21" t="s">
        <v>419</v>
      </c>
      <c r="I103" s="13">
        <v>42986.649189814816</v>
      </c>
      <c r="J103" s="7">
        <v>0</v>
      </c>
      <c r="K103" s="89" t="str">
        <f t="shared" si="22"/>
        <v>4033/4034</v>
      </c>
      <c r="L103" s="214" t="str">
        <f>VLOOKUP(A103,'Trips&amp;Operators'!$C$1:$G$99911,5,FALSE)</f>
        <v>BRUDER RICHARD</v>
      </c>
      <c r="M103" s="6">
        <f t="shared" si="23"/>
        <v>2.4016203708015382E-2</v>
      </c>
      <c r="N103" s="7">
        <f t="shared" si="24"/>
        <v>34.58333333954215</v>
      </c>
      <c r="O103" s="7"/>
      <c r="P103" s="7"/>
      <c r="Q103" s="22"/>
      <c r="R103" s="167"/>
      <c r="S103" s="210">
        <f t="shared" si="25"/>
        <v>1</v>
      </c>
      <c r="T103" s="192" t="str">
        <f t="shared" si="26"/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27"/>
        <v>https://d0f6bd738d7f1b3e5a7ca70fe4ff75f0.us-east-1.aws.found.io/app/kibana#/discover/Steve-Slow-Train-Analysis-(2080s-and-2083s)?_g=(refreshInterval:(display:Off,pause:!f,section:0,value:0),time:(from:'2017-09-08T13:51:43-0600',mode:absolute,to:'2017-09-08T16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3" s="194" t="str">
        <f>IF(AA103&lt;VLOOKUP(AG103,Variables!$AC$3:$AD$8,2,FALSE),"Y","N")</f>
        <v>N</v>
      </c>
      <c r="X103" s="194">
        <f t="shared" si="28"/>
        <v>1</v>
      </c>
      <c r="Y103" s="194">
        <f t="shared" si="29"/>
        <v>4.6699999999999998E-2</v>
      </c>
      <c r="Z103" s="194">
        <f t="shared" si="30"/>
        <v>23.331399999999999</v>
      </c>
      <c r="AA103" s="194">
        <f t="shared" si="31"/>
        <v>23.284699999999997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 t="shared" si="32"/>
        <v>191</v>
      </c>
      <c r="AE103" s="77" t="str">
        <f t="shared" si="33"/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AF103" s="74" t="str">
        <f t="shared" si="34"/>
        <v>"C:\Program Files (x86)\AstroGrep\AstroGrep.exe" /e /r /s /spath="%USERPROFILE%\AppData\Local\Temp\OnboardLogs" /stypes="app*4034*20170908*" /stext=" 21:.+((SYSTEM_STATE.+slice.+state.+changed )|(ment ac)|(multiple cpu faults)|(system.+state.+changed )|(\[timeout)|(PRM\|1\|D)|(kpr)|(kdp)|(train st.+moving)|(\|lc)|(penalty))"</v>
      </c>
      <c r="AG103" s="206" t="str">
        <f t="shared" si="35"/>
        <v>EC</v>
      </c>
      <c r="AH103" s="78" t="str">
        <f t="shared" si="36"/>
        <v>"%USERPROFILE%\Documents\GitHub\eaglep3\Utilities\RefineRTDCRunTimes.py" --tripid 191-08 --locoid 4034 --swversion DE.1.0.9.0 --startMP 204:467 --initTime 2017-09-08T14:51:43 --startdatetime 2017-09-08T15:00:15 --delay 106 --endMP 204:233314 --enddatetime 2017-09-08T15:34:50 --enforcementcount 0 &gt;&gt;C:\Users\stu\Documents\GitHub\eaglep3-reporting\EC\2017-09-08-refined-times.txt</v>
      </c>
      <c r="AI103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{"issue":{"subject":"","project_id":79,"tracker_id":40,"status_id":1,"priority_id":2,"assigned_to_id":338,"start_date":"2017-09-08","description":"","custom_fields":[{"id":1,"name":"Subdivision","value":"EC"},{"id":4,"name":"Milepost","value":"23.3314"},{"id":17,"name":"Train ID","value":"191-08"},{"id":16,"name":"Locomotive ID","value":"4034"},{"id":130,"name":"Impact","value":""},{"id":150,"name":"Time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8"/>
        <v>start /low /b %USERPROFILE%\Documents\GitHub\eaglep3\Utilities\DownloadLogsFromS3.py --loco 4034 --day 2017-09-08</v>
      </c>
      <c r="AN103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771</v>
      </c>
      <c r="B104" s="7">
        <v>4033</v>
      </c>
      <c r="C104" s="21" t="s">
        <v>197</v>
      </c>
      <c r="D104" s="21" t="s">
        <v>529</v>
      </c>
      <c r="E104" s="13">
        <v>42986.661782407406</v>
      </c>
      <c r="F104" s="13">
        <v>42986.664756944447</v>
      </c>
      <c r="G104" s="7">
        <v>67</v>
      </c>
      <c r="H104" s="21" t="s">
        <v>339</v>
      </c>
      <c r="I104" s="13">
        <v>42986.689675925925</v>
      </c>
      <c r="J104" s="7">
        <v>0</v>
      </c>
      <c r="K104" s="89" t="str">
        <f t="shared" si="22"/>
        <v>4033/4034</v>
      </c>
      <c r="L104" s="214" t="str">
        <f>VLOOKUP(A104,'Trips&amp;Operators'!$C$1:$G$99911,5,FALSE)</f>
        <v>BRUDER RICHARD</v>
      </c>
      <c r="M104" s="6">
        <f t="shared" si="23"/>
        <v>2.491898147854954E-2</v>
      </c>
      <c r="N104" s="7">
        <f t="shared" si="24"/>
        <v>35.883333329111338</v>
      </c>
      <c r="O104" s="7"/>
      <c r="P104" s="7"/>
      <c r="Q104" s="22"/>
      <c r="R104" s="167"/>
      <c r="S104" s="210">
        <f t="shared" si="25"/>
        <v>1</v>
      </c>
      <c r="T104" s="192" t="str">
        <f t="shared" si="26"/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27"/>
        <v>https://d0f6bd738d7f1b3e5a7ca70fe4ff75f0.us-east-1.aws.found.io/app/kibana#/discover/Steve-Slow-Train-Analysis-(2080s-and-2083s)?_g=(refreshInterval:(display:Off,pause:!f,section:0,value:0),time:(from:'2017-09-08T14:52:58-0600',mode:absolute,to:'2017-09-08T17:33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4" s="194" t="str">
        <f>IF(AA104&lt;VLOOKUP(AG104,Variables!$AC$3:$AD$8,2,FALSE),"Y","N")</f>
        <v>N</v>
      </c>
      <c r="X104" s="194">
        <f t="shared" si="28"/>
        <v>1</v>
      </c>
      <c r="Y104" s="194">
        <f t="shared" si="29"/>
        <v>23.2987</v>
      </c>
      <c r="Z104" s="194">
        <f t="shared" si="30"/>
        <v>1.49E-2</v>
      </c>
      <c r="AA104" s="194">
        <f t="shared" si="31"/>
        <v>23.283799999999999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si="32"/>
        <v>192</v>
      </c>
      <c r="AE104" s="77" t="str">
        <f t="shared" si="33"/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104" s="74" t="str">
        <f t="shared" si="34"/>
        <v>"C:\Program Files (x86)\AstroGrep\AstroGrep.exe" /e /r /s /spath="%USERPROFILE%\AppData\Local\Temp\OnboardLogs" /stypes="app*4033*20170908*" /stext=" 22:.+((SYSTEM_STATE.+slice.+state.+changed )|(ment ac)|(multiple cpu faults)|(system.+state.+changed )|(\[timeout)|(PRM\|1\|D)|(kpr)|(kdp)|(train st.+moving)|(\|lc)|(penalty))"</v>
      </c>
      <c r="AG104" s="206" t="str">
        <f t="shared" si="35"/>
        <v>EC</v>
      </c>
      <c r="AH104" s="78" t="str">
        <f t="shared" si="36"/>
        <v>"%USERPROFILE%\Documents\GitHub\eaglep3\Utilities\RefineRTDCRunTimes.py" --tripid 192-08 --locoid 4033 --swversion DE.1.0.9.0 --startMP 204:232987 --initTime 2017-09-08T15:52:58 --startdatetime 2017-09-08T15:57:15 --delay 67 --endMP 204:149 --enddatetime 2017-09-08T16:33:08 --enforcementcount 0 &gt;&gt;C:\Users\stu\Documents\GitHub\eaglep3-reporting\EC\2017-09-08-refined-times.txt</v>
      </c>
      <c r="AI104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{"issue":{"subject":"","project_id":79,"tracker_id":40,"status_id":1,"priority_id":2,"assigned_to_id":338,"start_date":"2017-09-08","description":"","custom_fields":[{"id":1,"name":"Subdivision","value":"EC"},{"id":4,"name":"Milepost","value":"0.0149"},{"id":17,"name":"Train ID","value":"192-08"},{"id":16,"name":"Locomotive ID","value":"4033"},{"id":130,"name":"Impact","value":""},{"id":150,"name":"Time of Event (Mountain Time)","value":"16:33:08"},{"id":151,"name":"Denver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8"/>
        <v>start /low /b %USERPROFILE%\Documents\GitHub\eaglep3\Utilities\DownloadLogsFromS3.py --loco 4033 --day 2017-09-08</v>
      </c>
      <c r="AN104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22:33:08"},{"id":29,"name":"Sharepoint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764</v>
      </c>
      <c r="B105" s="7">
        <v>4044</v>
      </c>
      <c r="C105" s="21" t="s">
        <v>197</v>
      </c>
      <c r="D105" s="21" t="s">
        <v>360</v>
      </c>
      <c r="E105" s="13">
        <v>42986.630543981482</v>
      </c>
      <c r="F105" s="13">
        <v>42986.635648148149</v>
      </c>
      <c r="G105" s="7">
        <v>59</v>
      </c>
      <c r="H105" s="21" t="s">
        <v>533</v>
      </c>
      <c r="I105" s="13">
        <v>42986.660833333335</v>
      </c>
      <c r="J105" s="7">
        <v>0</v>
      </c>
      <c r="K105" s="89" t="str">
        <f t="shared" si="22"/>
        <v>4043/4044</v>
      </c>
      <c r="L105" s="214" t="str">
        <f>VLOOKUP(A105,'Trips&amp;Operators'!$C$1:$G$99911,5,FALSE)</f>
        <v>WEST BRYAN</v>
      </c>
      <c r="M105" s="6">
        <f t="shared" si="23"/>
        <v>2.5185185186273884E-2</v>
      </c>
      <c r="N105" s="7">
        <f t="shared" si="24"/>
        <v>36.266666668234393</v>
      </c>
      <c r="O105" s="7"/>
      <c r="P105" s="7"/>
      <c r="Q105" s="22"/>
      <c r="R105" s="167"/>
      <c r="S105" s="210">
        <f t="shared" si="25"/>
        <v>1</v>
      </c>
      <c r="T105" s="192" t="str">
        <f t="shared" si="26"/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27"/>
        <v>https://d0f6bd738d7f1b3e5a7ca70fe4ff75f0.us-east-1.aws.found.io/app/kibana#/discover/Steve-Slow-Train-Analysis-(2080s-and-2083s)?_g=(refreshInterval:(display:Off,pause:!f,section:0,value:0),time:(from:'2017-09-08T14:07:59-0600',mode:absolute,to:'2017-09-08T16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5" s="194" t="str">
        <f>IF(AA105&lt;VLOOKUP(AG105,Variables!$AC$3:$AD$8,2,FALSE),"Y","N")</f>
        <v>N</v>
      </c>
      <c r="X105" s="194">
        <f t="shared" si="28"/>
        <v>1</v>
      </c>
      <c r="Y105" s="194">
        <f t="shared" si="29"/>
        <v>4.58E-2</v>
      </c>
      <c r="Z105" s="194">
        <f t="shared" si="30"/>
        <v>23.329899999999999</v>
      </c>
      <c r="AA105" s="194">
        <f t="shared" si="31"/>
        <v>23.284099999999999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32"/>
        <v>193</v>
      </c>
      <c r="AE105" s="77" t="str">
        <f t="shared" si="33"/>
        <v>aws s3 cp s3://rtdc.mdm.uploadarchive.raw/RTDC4044/ "%USERPROFILE%\AppData\Local\Temp\OnboardLogs"\RTDC4044\2017-09-08 --exclude "*" --recursive --include "*20170908*" &amp; "%USERPROFILE%\Documents\GitHub\mrs-test-scripts\Headless Mode &amp; Sideloading\WalkAndUnGZ.bat" "%USERPROFILE%\AppData\Local\Temp\OnboardLogs"\RTDC4044\2017-09-08 &amp; 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</v>
      </c>
      <c r="AF105" s="74" t="str">
        <f t="shared" si="34"/>
        <v>"C:\Program Files (x86)\AstroGrep\AstroGrep.exe" /e /r /s /spath="%USERPROFILE%\AppData\Local\Temp\OnboardLogs" /stypes="app*4044*20170908*" /stext=" 21:.+((SYSTEM_STATE.+slice.+state.+changed )|(ment ac)|(multiple cpu faults)|(system.+state.+changed )|(\[timeout)|(PRM\|1\|D)|(kpr)|(kdp)|(train st.+moving)|(\|lc)|(penalty))"</v>
      </c>
      <c r="AG105" s="206" t="str">
        <f t="shared" si="35"/>
        <v>EC</v>
      </c>
      <c r="AH105" s="78" t="str">
        <f t="shared" si="36"/>
        <v>"%USERPROFILE%\Documents\GitHub\eaglep3\Utilities\RefineRTDCRunTimes.py" --tripid 193-08 --locoid 4044 --swversion DE.1.0.9.0 --startMP 204:458 --initTime 2017-09-08T15:07:59 --startdatetime 2017-09-08T15:15:20 --delay 59 --endMP 204:233299 --enddatetime 2017-09-08T15:51:36 --enforcementcount 0 &gt;&gt;C:\Users\stu\Documents\GitHub\eaglep3-reporting\EC\2017-09-08-refined-times.txt</v>
      </c>
      <c r="AI105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{"issue":{"subject":"","project_id":79,"tracker_id":40,"status_id":1,"priority_id":2,"assigned_to_id":338,"start_date":"2017-09-08","description":"","custom_fields":[{"id":1,"name":"Subdivision","value":"EC"},{"id":4,"name":"Milepost","value":"23.3299"},{"id":17,"name":"Train ID","value":"193-08"},{"id":16,"name":"Locomotive ID","value":"4044"},{"id":130,"name":"Impact","value":""},{"id":150,"name":"Time of Event (Mountain Time)","value":"15:51:36"},{"id":151,"name":"Denver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8"/>
        <v>start /low /b %USERPROFILE%\Documents\GitHub\eaglep3\Utilities\DownloadLogsFromS3.py --loco 4044 --day 2017-09-08</v>
      </c>
      <c r="AN105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773</v>
      </c>
      <c r="B106" s="7">
        <v>4043</v>
      </c>
      <c r="C106" s="21" t="s">
        <v>197</v>
      </c>
      <c r="D106" s="21" t="s">
        <v>417</v>
      </c>
      <c r="E106" s="13">
        <v>42986.669768518521</v>
      </c>
      <c r="F106" s="13">
        <v>42986.675196759257</v>
      </c>
      <c r="G106" s="7">
        <v>67</v>
      </c>
      <c r="H106" s="21" t="s">
        <v>374</v>
      </c>
      <c r="I106" s="13">
        <v>42986.701458333337</v>
      </c>
      <c r="J106" s="7">
        <v>0</v>
      </c>
      <c r="K106" s="89" t="str">
        <f t="shared" si="22"/>
        <v>4043/4044</v>
      </c>
      <c r="L106" s="214" t="str">
        <f>VLOOKUP(A106,'Trips&amp;Operators'!$C$1:$G$99911,5,FALSE)</f>
        <v>WEST BRYAN</v>
      </c>
      <c r="M106" s="6">
        <f t="shared" si="23"/>
        <v>2.6261574079398997E-2</v>
      </c>
      <c r="N106" s="7">
        <f t="shared" si="24"/>
        <v>37.816666674334556</v>
      </c>
      <c r="O106" s="7"/>
      <c r="P106" s="7"/>
      <c r="Q106" s="22"/>
      <c r="R106" s="167"/>
      <c r="S106" s="210">
        <f t="shared" si="25"/>
        <v>1</v>
      </c>
      <c r="T106" s="192" t="str">
        <f t="shared" si="26"/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27"/>
        <v>https://d0f6bd738d7f1b3e5a7ca70fe4ff75f0.us-east-1.aws.found.io/app/kibana#/discover/Steve-Slow-Train-Analysis-(2080s-and-2083s)?_g=(refreshInterval:(display:Off,pause:!f,section:0,value:0),time:(from:'2017-09-08T15:04:28-0600',mode:absolute,to:'2017-09-08T17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6" s="194" t="str">
        <f>IF(AA106&lt;VLOOKUP(AG106,Variables!$AC$3:$AD$8,2,FALSE),"Y","N")</f>
        <v>N</v>
      </c>
      <c r="X106" s="194">
        <f t="shared" si="28"/>
        <v>1</v>
      </c>
      <c r="Y106" s="194">
        <f t="shared" si="29"/>
        <v>23.297499999999999</v>
      </c>
      <c r="Z106" s="194">
        <f t="shared" si="30"/>
        <v>1.5599999999999999E-2</v>
      </c>
      <c r="AA106" s="194">
        <f t="shared" si="31"/>
        <v>23.2819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32"/>
        <v>194</v>
      </c>
      <c r="AE106" s="77" t="str">
        <f t="shared" si="33"/>
        <v>aws s3 cp s3://rtdc.mdm.uploadarchive.raw/RTDC4043/ "%USERPROFILE%\AppData\Local\Temp\OnboardLogs"\RTDC4043\2017-09-08 --exclude "*" --recursive --include "*20170908*" &amp; "%USERPROFILE%\Documents\GitHub\mrs-test-scripts\Headless Mode &amp; Sideloading\WalkAndUnGZ.bat" "%USERPROFILE%\AppData\Local\Temp\OnboardLogs"\RTDC4043\2017-09-08 &amp; 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</v>
      </c>
      <c r="AF106" s="74" t="str">
        <f t="shared" si="34"/>
        <v>"C:\Program Files (x86)\AstroGrep\AstroGrep.exe" /e /r /s /spath="%USERPROFILE%\AppData\Local\Temp\OnboardLogs" /stypes="app*4043*20170908*" /stext=" 22:.+((SYSTEM_STATE.+slice.+state.+changed )|(ment ac)|(multiple cpu faults)|(system.+state.+changed )|(\[timeout)|(PRM\|1\|D)|(kpr)|(kdp)|(train st.+moving)|(\|lc)|(penalty))"</v>
      </c>
      <c r="AG106" s="206" t="str">
        <f t="shared" si="35"/>
        <v>EC</v>
      </c>
      <c r="AH106" s="78" t="str">
        <f t="shared" si="36"/>
        <v>"%USERPROFILE%\Documents\GitHub\eaglep3\Utilities\RefineRTDCRunTimes.py" --tripid 194-08 --locoid 4043 --swversion DE.1.0.9.0 --startMP 204:232975 --initTime 2017-09-08T16:04:28 --startdatetime 2017-09-08T16:12:17 --delay 67 --endMP 204:156 --enddatetime 2017-09-08T16:50:06 --enforcementcount 0 &gt;&gt;C:\Users\stu\Documents\GitHub\eaglep3-reporting\EC\2017-09-08-refined-times.txt</v>
      </c>
      <c r="AI106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{"issue":{"subject":"","project_id":79,"tracker_id":40,"status_id":1,"priority_id":2,"assigned_to_id":338,"start_date":"2017-09-08","description":"","custom_fields":[{"id":1,"name":"Subdivision","value":"EC"},{"id":4,"name":"Milepost","value":"0.0156"},{"id":17,"name":"Train ID","value":"194-08"},{"id":16,"name":"Locomotive ID","value":"4043"},{"id":130,"name":"Impact","value":""},{"id":150,"name":"Time of Event (Mountain Time)","value":"16:50:06"},{"id":151,"name":"Denver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8"/>
        <v>start /low /b %USERPROFILE%\Documents\GitHub\eaglep3\Utilities\DownloadLogsFromS3.py --loco 4043 --day 2017-09-08</v>
      </c>
      <c r="AN106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767</v>
      </c>
      <c r="B107" s="7">
        <v>4002</v>
      </c>
      <c r="C107" s="21" t="s">
        <v>197</v>
      </c>
      <c r="D107" s="21" t="s">
        <v>575</v>
      </c>
      <c r="E107" s="13">
        <v>42986.639872685184</v>
      </c>
      <c r="F107" s="13">
        <v>42986.645983796298</v>
      </c>
      <c r="G107" s="7">
        <v>72</v>
      </c>
      <c r="H107" s="21" t="s">
        <v>465</v>
      </c>
      <c r="I107" s="13">
        <v>42986.670983796299</v>
      </c>
      <c r="J107" s="7">
        <v>0</v>
      </c>
      <c r="K107" s="89" t="str">
        <f t="shared" si="22"/>
        <v>4001/4002</v>
      </c>
      <c r="L107" s="214" t="str">
        <f>VLOOKUP(A107,'Trips&amp;Operators'!$C$1:$G$99911,5,FALSE)</f>
        <v>FORTUNATO FRANK</v>
      </c>
      <c r="M107" s="6">
        <f t="shared" si="23"/>
        <v>2.5000000001455192E-2</v>
      </c>
      <c r="N107" s="7">
        <f t="shared" si="24"/>
        <v>36.000000002095476</v>
      </c>
      <c r="O107" s="7"/>
      <c r="P107" s="7"/>
      <c r="Q107" s="22"/>
      <c r="R107" s="167"/>
      <c r="S107" s="210">
        <f t="shared" si="25"/>
        <v>1</v>
      </c>
      <c r="T107" s="192" t="str">
        <f t="shared" si="26"/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27"/>
        <v>https://d0f6bd738d7f1b3e5a7ca70fe4ff75f0.us-east-1.aws.found.io/app/kibana#/discover/Steve-Slow-Train-Analysis-(2080s-and-2083s)?_g=(refreshInterval:(display:Off,pause:!f,section:0,value:0),time:(from:'2017-09-08T14:21:25-0600',mode:absolute,to:'2017-09-08T17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194" t="str">
        <f>IF(AA107&lt;VLOOKUP(AG107,Variables!$AC$3:$AD$8,2,FALSE),"Y","N")</f>
        <v>N</v>
      </c>
      <c r="X107" s="194">
        <f t="shared" si="28"/>
        <v>1</v>
      </c>
      <c r="Y107" s="194">
        <f t="shared" si="29"/>
        <v>4.5100000000000001E-2</v>
      </c>
      <c r="Z107" s="194">
        <f t="shared" si="30"/>
        <v>23.331</v>
      </c>
      <c r="AA107" s="194">
        <f t="shared" si="31"/>
        <v>23.285899999999998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32"/>
        <v>195</v>
      </c>
      <c r="AE107" s="77" t="str">
        <f t="shared" si="33"/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107" s="74" t="str">
        <f t="shared" si="34"/>
        <v>"C:\Program Files (x86)\AstroGrep\AstroGrep.exe" /e /r /s /spath="%USERPROFILE%\AppData\Local\Temp\OnboardLogs" /stypes="app*4002*20170908*" /stext=" 22:.+((SYSTEM_STATE.+slice.+state.+changed )|(ment ac)|(multiple cpu faults)|(system.+state.+changed )|(\[timeout)|(PRM\|1\|D)|(kpr)|(kdp)|(train st.+moving)|(\|lc)|(penalty))"</v>
      </c>
      <c r="AG107" s="206" t="str">
        <f t="shared" si="35"/>
        <v>EC</v>
      </c>
      <c r="AH107" s="78" t="str">
        <f t="shared" si="36"/>
        <v>"%USERPROFILE%\Documents\GitHub\eaglep3\Utilities\RefineRTDCRunTimes.py" --tripid 195-08 --locoid 4002 --swversion DE.1.0.9.0 --startMP 204:451 --initTime 2017-09-08T15:21:25 --startdatetime 2017-09-08T15:30:13 --delay 72 --endMP 204:233310 --enddatetime 2017-09-08T16:06:13 --enforcementcount 0 &gt;&gt;C:\Users\stu\Documents\GitHub\eaglep3-reporting\EC\2017-09-08-refined-times.txt</v>
      </c>
      <c r="AI107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{"issue":{"subject":"","project_id":79,"tracker_id":40,"status_id":1,"priority_id":2,"assigned_to_id":338,"start_date":"2017-09-08","description":"","custom_fields":[{"id":1,"name":"Subdivision","value":"EC"},{"id":4,"name":"Milepost","value":"23.331"},{"id":17,"name":"Train ID","value":"195-08"},{"id":16,"name":"Locomotive ID","value":"4002"},{"id":130,"name":"Impact","value":""},{"id":150,"name":"Time of Event (Mountain Time)","value":"16:06:13"},{"id":151,"name":"Denver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8"/>
        <v>start /low /b %USERPROFILE%\Documents\GitHub\eaglep3\Utilities\DownloadLogsFromS3.py --loco 4002 --day 2017-09-08</v>
      </c>
      <c r="AN107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775</v>
      </c>
      <c r="B108" s="7">
        <v>4001</v>
      </c>
      <c r="C108" s="21" t="s">
        <v>197</v>
      </c>
      <c r="D108" s="21" t="s">
        <v>461</v>
      </c>
      <c r="E108" s="13">
        <v>42986.677175925928</v>
      </c>
      <c r="F108" s="13">
        <v>42986.685682870368</v>
      </c>
      <c r="G108" s="7">
        <v>64</v>
      </c>
      <c r="H108" s="21" t="s">
        <v>434</v>
      </c>
      <c r="I108" s="13">
        <v>42986.712511574071</v>
      </c>
      <c r="J108" s="7">
        <v>0</v>
      </c>
      <c r="K108" s="89" t="str">
        <f t="shared" si="22"/>
        <v>4001/4002</v>
      </c>
      <c r="L108" s="214" t="str">
        <f>VLOOKUP(A108,'Trips&amp;Operators'!$C$1:$G$99911,5,FALSE)</f>
        <v>FORTUNATO FRANK</v>
      </c>
      <c r="M108" s="6">
        <f t="shared" si="23"/>
        <v>2.6828703703358769E-2</v>
      </c>
      <c r="N108" s="7">
        <f t="shared" si="24"/>
        <v>38.633333332836628</v>
      </c>
      <c r="O108" s="7"/>
      <c r="P108" s="7"/>
      <c r="Q108" s="22"/>
      <c r="R108" s="167"/>
      <c r="S108" s="210">
        <f t="shared" si="25"/>
        <v>1</v>
      </c>
      <c r="T108" s="192" t="str">
        <f t="shared" si="26"/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27"/>
        <v>https://d0f6bd738d7f1b3e5a7ca70fe4ff75f0.us-east-1.aws.found.io/app/kibana#/discover/Steve-Slow-Train-Analysis-(2080s-and-2083s)?_g=(refreshInterval:(display:Off,pause:!f,section:0,value:0),time:(from:'2017-09-08T15:15:08-0600',mode:absolute,to:'2017-09-08T18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194" t="str">
        <f>IF(AA108&lt;VLOOKUP(AG108,Variables!$AC$3:$AD$8,2,FALSE),"Y","N")</f>
        <v>N</v>
      </c>
      <c r="X108" s="194">
        <f t="shared" si="28"/>
        <v>1</v>
      </c>
      <c r="Y108" s="194">
        <f t="shared" si="29"/>
        <v>23.3</v>
      </c>
      <c r="Z108" s="194">
        <f t="shared" si="30"/>
        <v>1.34E-2</v>
      </c>
      <c r="AA108" s="194">
        <f t="shared" si="31"/>
        <v>23.2866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32"/>
        <v>196</v>
      </c>
      <c r="AE108" s="77" t="str">
        <f t="shared" si="33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108" s="74" t="str">
        <f t="shared" si="34"/>
        <v>"C:\Program Files (x86)\AstroGrep\AstroGrep.exe" /e /r /s /spath="%USERPROFILE%\AppData\Local\Temp\OnboardLogs" /stypes="app*4001*20170908*" /stext=" 23:.+((SYSTEM_STATE.+slice.+state.+changed )|(ment ac)|(multiple cpu faults)|(system.+state.+changed )|(\[timeout)|(PRM\|1\|D)|(kpr)|(kdp)|(train st.+moving)|(\|lc)|(penalty))"</v>
      </c>
      <c r="AG108" s="206" t="str">
        <f t="shared" si="35"/>
        <v>EC</v>
      </c>
      <c r="AH108" s="78" t="str">
        <f t="shared" si="36"/>
        <v>"%USERPROFILE%\Documents\GitHub\eaglep3\Utilities\RefineRTDCRunTimes.py" --tripid 196-08 --locoid 4001 --swversion DE.1.0.9.0 --startMP 204:233000 --initTime 2017-09-08T16:15:08 --startdatetime 2017-09-08T16:27:23 --delay 64 --endMP 204:134 --enddatetime 2017-09-08T17:06:01 --enforcementcount 0 &gt;&gt;C:\Users\stu\Documents\GitHub\eaglep3-reporting\EC\2017-09-08-refined-times.txt</v>
      </c>
      <c r="AI108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{"issue":{"subject":"","project_id":79,"tracker_id":40,"status_id":1,"priority_id":2,"assigned_to_id":338,"start_date":"2017-09-08","description":"","custom_fields":[{"id":1,"name":"Subdivision","value":"EC"},{"id":4,"name":"Milepost","value":"0.0134"},{"id":17,"name":"Train ID","value":"196-08"},{"id":16,"name":"Locomotive ID","value":"4001"},{"id":130,"name":"Impact","value":""},{"id":150,"name":"Time of Event (Mountain Time)","value":"17:06:01"},{"id":151,"name":"Denver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8"/>
        <v>start /low /b %USERPROFILE%\Documents\GitHub\eaglep3\Utilities\DownloadLogsFromS3.py --loco 4001 --day 2017-09-08</v>
      </c>
      <c r="AN108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770</v>
      </c>
      <c r="B109" s="7">
        <v>4058</v>
      </c>
      <c r="C109" s="21" t="s">
        <v>197</v>
      </c>
      <c r="D109" s="21" t="s">
        <v>362</v>
      </c>
      <c r="E109" s="13">
        <v>42986.653229166666</v>
      </c>
      <c r="F109" s="13">
        <v>42986.656446759262</v>
      </c>
      <c r="G109" s="7">
        <v>52</v>
      </c>
      <c r="H109" s="21" t="s">
        <v>573</v>
      </c>
      <c r="I109" s="13">
        <v>42986.681689814817</v>
      </c>
      <c r="J109" s="7">
        <v>0</v>
      </c>
      <c r="K109" s="89" t="str">
        <f t="shared" si="22"/>
        <v>4057/4058</v>
      </c>
      <c r="L109" s="214" t="str">
        <f>VLOOKUP(A109,'Trips&amp;Operators'!$C$1:$G$99911,5,FALSE)</f>
        <v>LEVIN SCOTT</v>
      </c>
      <c r="M109" s="6">
        <f t="shared" si="23"/>
        <v>2.5243055555620231E-2</v>
      </c>
      <c r="N109" s="7">
        <f t="shared" si="24"/>
        <v>36.350000000093132</v>
      </c>
      <c r="O109" s="7"/>
      <c r="P109" s="7"/>
      <c r="Q109" s="22"/>
      <c r="R109" s="167"/>
      <c r="S109" s="210">
        <f t="shared" si="25"/>
        <v>1</v>
      </c>
      <c r="T109" s="192" t="str">
        <f t="shared" si="26"/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27"/>
        <v>https://d0f6bd738d7f1b3e5a7ca70fe4ff75f0.us-east-1.aws.found.io/app/kibana#/discover/Steve-Slow-Train-Analysis-(2080s-and-2083s)?_g=(refreshInterval:(display:Off,pause:!f,section:0,value:0),time:(from:'2017-09-08T14:40:39-0600',mode:absolute,to:'2017-09-08T17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9" s="194" t="str">
        <f>IF(AA109&lt;VLOOKUP(AG109,Variables!$AC$3:$AD$8,2,FALSE),"Y","N")</f>
        <v>N</v>
      </c>
      <c r="X109" s="194">
        <f t="shared" si="28"/>
        <v>1</v>
      </c>
      <c r="Y109" s="194">
        <f t="shared" si="29"/>
        <v>4.4900000000000002E-2</v>
      </c>
      <c r="Z109" s="194">
        <f t="shared" si="30"/>
        <v>23.3324</v>
      </c>
      <c r="AA109" s="194">
        <f t="shared" si="31"/>
        <v>23.287500000000001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32"/>
        <v>197</v>
      </c>
      <c r="AE109" s="77" t="str">
        <f t="shared" si="33"/>
        <v>aws s3 cp s3://rtdc.mdm.uploadarchive.raw/RTDC4058/ "%USERPROFILE%\AppData\Local\Temp\OnboardLogs"\RTDC4058\2017-09-08 --exclude "*" --recursive --include "*20170908*" &amp; "%USERPROFILE%\Documents\GitHub\mrs-test-scripts\Headless Mode &amp; Sideloading\WalkAndUnGZ.bat" "%USERPROFILE%\AppData\Local\Temp\OnboardLogs"\RTDC4058\2017-09-08 &amp; 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</v>
      </c>
      <c r="AF109" s="74" t="str">
        <f t="shared" si="34"/>
        <v>"C:\Program Files (x86)\AstroGrep\AstroGrep.exe" /e /r /s /spath="%USERPROFILE%\AppData\Local\Temp\OnboardLogs" /stypes="app*4058*20170908*" /stext=" 22:.+((SYSTEM_STATE.+slice.+state.+changed )|(ment ac)|(multiple cpu faults)|(system.+state.+changed )|(\[timeout)|(PRM\|1\|D)|(kpr)|(kdp)|(train st.+moving)|(\|lc)|(penalty))"</v>
      </c>
      <c r="AG109" s="206" t="str">
        <f t="shared" si="35"/>
        <v>EC</v>
      </c>
      <c r="AH109" s="78" t="str">
        <f t="shared" si="36"/>
        <v>"%USERPROFILE%\Documents\GitHub\eaglep3\Utilities\RefineRTDCRunTimes.py" --tripid 197-08 --locoid 4058 --swversion DE.1.0.9.0 --startMP 204:449 --initTime 2017-09-08T15:40:39 --startdatetime 2017-09-08T15:45:17 --delay 52 --endMP 204:233324 --enddatetime 2017-09-08T16:21:38 --enforcementcount 0 &gt;&gt;C:\Users\stu\Documents\GitHub\eaglep3-reporting\EC\2017-09-08-refined-times.txt</v>
      </c>
      <c r="AI109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{"issue":{"subject":"","project_id":79,"tracker_id":40,"status_id":1,"priority_id":2,"assigned_to_id":338,"start_date":"2017-09-08","description":"","custom_fields":[{"id":1,"name":"Subdivision","value":"EC"},{"id":4,"name":"Milepost","value":"23.3324"},{"id":17,"name":"Train ID","value":"197-08"},{"id":16,"name":"Locomotive ID","value":"4058"},{"id":130,"name":"Impact","value":""},{"id":150,"name":"Time of Event (Mountain Time)","value":"16:21:38"},{"id":151,"name":"Denver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8"/>
        <v>start /low /b %USERPROFILE%\Documents\GitHub\eaglep3\Utilities\DownloadLogsFromS3.py --loco 4058 --day 2017-09-08</v>
      </c>
      <c r="AN109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624</v>
      </c>
      <c r="B110" s="7">
        <v>4057</v>
      </c>
      <c r="C110" s="21" t="s">
        <v>197</v>
      </c>
      <c r="D110" s="21" t="s">
        <v>891</v>
      </c>
      <c r="E110" s="13">
        <v>42986.68787037037</v>
      </c>
      <c r="F110" s="13">
        <v>42986.696053240739</v>
      </c>
      <c r="G110" s="7">
        <v>52</v>
      </c>
      <c r="H110" s="21" t="s">
        <v>464</v>
      </c>
      <c r="I110" s="13">
        <v>42986.721666666665</v>
      </c>
      <c r="J110" s="7">
        <v>0</v>
      </c>
      <c r="K110" s="89" t="str">
        <f t="shared" si="22"/>
        <v>4057/4058</v>
      </c>
      <c r="L110" s="214" t="str">
        <f>VLOOKUP(A110,'Trips&amp;Operators'!$C$1:$G$99911,5,FALSE)</f>
        <v>LEVIN SCOTT</v>
      </c>
      <c r="M110" s="6">
        <f t="shared" si="23"/>
        <v>2.5613425925257616E-2</v>
      </c>
      <c r="N110" s="7">
        <f t="shared" si="24"/>
        <v>36.883333332370967</v>
      </c>
      <c r="O110" s="7"/>
      <c r="P110" s="7"/>
      <c r="Q110" s="22"/>
      <c r="R110" s="167"/>
      <c r="S110" s="210">
        <f t="shared" si="25"/>
        <v>1</v>
      </c>
      <c r="T110" s="192" t="str">
        <f t="shared" si="26"/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27"/>
        <v>https://d0f6bd738d7f1b3e5a7ca70fe4ff75f0.us-east-1.aws.found.io/app/kibana#/discover/Steve-Slow-Train-Analysis-(2080s-and-2083s)?_g=(refreshInterval:(display:Off,pause:!f,section:0,value:0),time:(from:'2017-09-08T15:30:32-0600',mode:absolute,to:'2017-09-08T18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0" s="194" t="str">
        <f>IF(AA110&lt;VLOOKUP(AG110,Variables!$AC$3:$AD$8,2,FALSE),"Y","N")</f>
        <v>N</v>
      </c>
      <c r="X110" s="194">
        <f t="shared" si="28"/>
        <v>1</v>
      </c>
      <c r="Y110" s="194">
        <f t="shared" si="29"/>
        <v>23.301500000000001</v>
      </c>
      <c r="Z110" s="194">
        <f t="shared" si="30"/>
        <v>1.3899999999999999E-2</v>
      </c>
      <c r="AA110" s="194">
        <f t="shared" si="31"/>
        <v>23.287600000000001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 t="shared" si="32"/>
        <v>198</v>
      </c>
      <c r="AE110" s="77" t="str">
        <f t="shared" si="33"/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AF110" s="74" t="str">
        <f t="shared" si="34"/>
        <v>"C:\Program Files (x86)\AstroGrep\AstroGrep.exe" /e /r /s /spath="%USERPROFILE%\AppData\Local\Temp\OnboardLogs" /stypes="app*4057*20170908*" /stext=" 23:.+((SYSTEM_STATE.+slice.+state.+changed )|(ment ac)|(multiple cpu faults)|(system.+state.+changed )|(\[timeout)|(PRM\|1\|D)|(kpr)|(kdp)|(train st.+moving)|(\|lc)|(penalty))"</v>
      </c>
      <c r="AG110" s="206" t="str">
        <f t="shared" si="35"/>
        <v>EC</v>
      </c>
      <c r="AH110" s="78" t="str">
        <f t="shared" si="36"/>
        <v>"%USERPROFILE%\Documents\GitHub\eaglep3\Utilities\RefineRTDCRunTimes.py" --tripid 198-08 --locoid 4057 --swversion DE.1.0.9.0 --startMP 204:233015 --initTime 2017-09-08T16:30:32 --startdatetime 2017-09-08T16:42:19 --delay 52 --endMP 204:139 --enddatetime 2017-09-08T17:19:12 --enforcementcount 0 &gt;&gt;C:\Users\stu\Documents\GitHub\eaglep3-reporting\EC\2017-09-08-refined-times.txt</v>
      </c>
      <c r="AI110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{"issue":{"subject":"","project_id":79,"tracker_id":40,"status_id":1,"priority_id":2,"assigned_to_id":338,"start_date":"2017-09-08","description":"","custom_fields":[{"id":1,"name":"Subdivision","value":"EC"},{"id":4,"name":"Milepost","value":"0.0139"},{"id":17,"name":"Train ID","value":"198-08"},{"id":16,"name":"Locomotive ID","value":"4057"},{"id":130,"name":"Impact","value":""},{"id":150,"name":"Time of Event (Mountain Time)","value":"17:19:12"},{"id":151,"name":"Denver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8"/>
        <v>start /low /b %USERPROFILE%\Documents\GitHub\eaglep3\Utilities\DownloadLogsFromS3.py --loco 4057 --day 2017-09-08</v>
      </c>
      <c r="AN110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622</v>
      </c>
      <c r="B111" s="7">
        <v>4062</v>
      </c>
      <c r="C111" s="21" t="s">
        <v>197</v>
      </c>
      <c r="D111" s="21" t="s">
        <v>341</v>
      </c>
      <c r="E111" s="13">
        <v>42986.66302083333</v>
      </c>
      <c r="F111" s="13">
        <v>42986.667013888888</v>
      </c>
      <c r="G111" s="7">
        <v>59</v>
      </c>
      <c r="H111" s="21" t="s">
        <v>574</v>
      </c>
      <c r="I111" s="13">
        <v>42986.693506944444</v>
      </c>
      <c r="J111" s="7">
        <v>0</v>
      </c>
      <c r="K111" s="89" t="str">
        <f t="shared" si="22"/>
        <v>4061/4062</v>
      </c>
      <c r="L111" s="214" t="str">
        <f>VLOOKUP(A111,'Trips&amp;Operators'!$C$1:$G$99911,5,FALSE)</f>
        <v>BADERTSCHER DIANE</v>
      </c>
      <c r="M111" s="6">
        <f t="shared" si="23"/>
        <v>2.6493055556784384E-2</v>
      </c>
      <c r="N111" s="7">
        <f t="shared" si="24"/>
        <v>38.150000001769513</v>
      </c>
      <c r="O111" s="7"/>
      <c r="P111" s="7"/>
      <c r="Q111" s="22"/>
      <c r="R111" s="167"/>
      <c r="S111" s="210">
        <f t="shared" si="25"/>
        <v>1</v>
      </c>
      <c r="T111" s="192" t="str">
        <f t="shared" si="26"/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27"/>
        <v>https://d0f6bd738d7f1b3e5a7ca70fe4ff75f0.us-east-1.aws.found.io/app/kibana#/discover/Steve-Slow-Train-Analysis-(2080s-and-2083s)?_g=(refreshInterval:(display:Off,pause:!f,section:0,value:0),time:(from:'2017-09-08T14:54:45-0600',mode:absolute,to:'2017-09-08T17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1" s="194" t="str">
        <f>IF(AA111&lt;VLOOKUP(AG111,Variables!$AC$3:$AD$8,2,FALSE),"Y","N")</f>
        <v>N</v>
      </c>
      <c r="X111" s="194">
        <f t="shared" si="28"/>
        <v>1</v>
      </c>
      <c r="Y111" s="194">
        <f t="shared" si="29"/>
        <v>4.53E-2</v>
      </c>
      <c r="Z111" s="194">
        <f t="shared" si="30"/>
        <v>23.329499999999999</v>
      </c>
      <c r="AA111" s="194">
        <f t="shared" si="31"/>
        <v>23.284199999999998</v>
      </c>
      <c r="AB111" s="54" t="str">
        <f>VLOOKUP(A111,Enforcements!$C$7:$K$11,8,0)</f>
        <v>Bulletin (2)</v>
      </c>
      <c r="AC111" s="51" t="str">
        <f>VLOOKUP(A111,Enforcements!$C$7:$E$11,3,0)</f>
        <v>GRADE CROSSING</v>
      </c>
      <c r="AD111" s="203">
        <f t="shared" si="32"/>
        <v>199</v>
      </c>
      <c r="AE111" s="77" t="str">
        <f t="shared" si="33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111" s="74" t="str">
        <f t="shared" si="34"/>
        <v>"C:\Program Files (x86)\AstroGrep\AstroGrep.exe" /e /r /s /spath="%USERPROFILE%\AppData\Local\Temp\OnboardLogs" /stypes="app*4062*20170908*" /stext=" 22:.+((SYSTEM_STATE.+slice.+state.+changed )|(ment ac)|(multiple cpu faults)|(system.+state.+changed )|(\[timeout)|(PRM\|1\|D)|(kpr)|(kdp)|(train st.+moving)|(\|lc)|(penalty))"</v>
      </c>
      <c r="AG111" s="206" t="str">
        <f t="shared" si="35"/>
        <v>EC</v>
      </c>
      <c r="AH111" s="78" t="str">
        <f t="shared" si="36"/>
        <v>"%USERPROFILE%\Documents\GitHub\eaglep3\Utilities\RefineRTDCRunTimes.py" --tripid 199-08 --locoid 4062 --swversion DE.1.0.9.0 --startMP 204:453 --initTime 2017-09-08T15:54:45 --startdatetime 2017-09-08T16:00:30 --delay 59 --endMP 204:233295 --enddatetime 2017-09-08T16:38:39 --enforcementcount 0 &gt;&gt;C:\Users\stu\Documents\GitHub\eaglep3-reporting\EC\2017-09-08-refined-times.txt</v>
      </c>
      <c r="AI111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{"issue":{"subject":"","project_id":79,"tracker_id":40,"status_id":1,"priority_id":2,"assigned_to_id":338,"start_date":"2017-09-08","description":"","custom_fields":[{"id":1,"name":"Subdivision","value":"EC"},{"id":4,"name":"Milepost","value":"23.3295"},{"id":17,"name":"Train ID","value":"199-08"},{"id":16,"name":"Locomotive ID","value":"4062"},{"id":130,"name":"Impact","value":""},{"id":150,"name":"Time of Event (Mountain Time)","value":"16:38:39"},{"id":151,"name":"Denver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8"/>
        <v>start /low /b %USERPROFILE%\Documents\GitHub\eaglep3\Utilities\DownloadLogsFromS3.py --loco 4062 --day 2017-09-08</v>
      </c>
      <c r="AN111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780</v>
      </c>
      <c r="B112" s="7">
        <v>4061</v>
      </c>
      <c r="C112" s="21" t="s">
        <v>197</v>
      </c>
      <c r="D112" s="21" t="s">
        <v>892</v>
      </c>
      <c r="E112" s="13">
        <v>42986.700138888889</v>
      </c>
      <c r="F112" s="13">
        <v>42986.706562500003</v>
      </c>
      <c r="G112" s="7">
        <v>71</v>
      </c>
      <c r="H112" s="21" t="s">
        <v>340</v>
      </c>
      <c r="I112" s="13">
        <v>42986.733622685184</v>
      </c>
      <c r="J112" s="7">
        <v>0</v>
      </c>
      <c r="K112" s="89" t="str">
        <f t="shared" si="22"/>
        <v>4061/4062</v>
      </c>
      <c r="L112" s="214" t="str">
        <f>VLOOKUP(A112,'Trips&amp;Operators'!$C$1:$G$99911,5,FALSE)</f>
        <v>BADERTSCHER DIANE</v>
      </c>
      <c r="M112" s="6">
        <f t="shared" si="23"/>
        <v>2.7060185180744156E-2</v>
      </c>
      <c r="N112" s="7">
        <f t="shared" si="24"/>
        <v>38.966666660271585</v>
      </c>
      <c r="O112" s="7"/>
      <c r="P112" s="7"/>
      <c r="Q112" s="22"/>
      <c r="R112" s="167"/>
      <c r="S112" s="210">
        <f t="shared" si="25"/>
        <v>1</v>
      </c>
      <c r="T112" s="192" t="str">
        <f t="shared" si="26"/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27"/>
        <v>https://d0f6bd738d7f1b3e5a7ca70fe4ff75f0.us-east-1.aws.found.io/app/kibana#/discover/Steve-Slow-Train-Analysis-(2080s-and-2083s)?_g=(refreshInterval:(display:Off,pause:!f,section:0,value:0),time:(from:'2017-09-08T15:48:12-0600',mode:absolute,to:'2017-09-08T18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2" s="194" t="str">
        <f>IF(AA112&lt;VLOOKUP(AG112,Variables!$AC$3:$AD$8,2,FALSE),"Y","N")</f>
        <v>N</v>
      </c>
      <c r="X112" s="194">
        <f t="shared" si="28"/>
        <v>1</v>
      </c>
      <c r="Y112" s="194">
        <f t="shared" si="29"/>
        <v>23.300799999999999</v>
      </c>
      <c r="Z112" s="194">
        <f t="shared" si="30"/>
        <v>1.43E-2</v>
      </c>
      <c r="AA112" s="194">
        <f t="shared" si="31"/>
        <v>23.2865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 t="shared" si="32"/>
        <v>200</v>
      </c>
      <c r="AE112" s="77" t="str">
        <f t="shared" si="33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112" s="74" t="str">
        <f t="shared" si="34"/>
        <v>"C:\Program Files (x86)\AstroGrep\AstroGrep.exe" /e /r /s /spath="%USERPROFILE%\AppData\Local\Temp\OnboardLogs" /stypes="app*4061*20170908*" /stext=" 23:.+((SYSTEM_STATE.+slice.+state.+changed )|(ment ac)|(multiple cpu faults)|(system.+state.+changed )|(\[timeout)|(PRM\|1\|D)|(kpr)|(kdp)|(train st.+moving)|(\|lc)|(penalty))"</v>
      </c>
      <c r="AG112" s="206" t="str">
        <f t="shared" si="35"/>
        <v>EC</v>
      </c>
      <c r="AH112" s="78" t="str">
        <f t="shared" si="36"/>
        <v>"%USERPROFILE%\Documents\GitHub\eaglep3\Utilities\RefineRTDCRunTimes.py" --tripid 200-08 --locoid 4061 --swversion DE.1.0.9.0 --startMP 204:233008 --initTime 2017-09-08T16:48:12 --startdatetime 2017-09-08T16:57:27 --delay 71 --endMP 204:143 --enddatetime 2017-09-08T17:36:25 --enforcementcount 0 &gt;&gt;C:\Users\stu\Documents\GitHub\eaglep3-reporting\EC\2017-09-08-refined-times.txt</v>
      </c>
      <c r="AI112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{"issue":{"subject":"","project_id":79,"tracker_id":40,"status_id":1,"priority_id":2,"assigned_to_id":338,"start_date":"2017-09-08","description":"","custom_fields":[{"id":1,"name":"Subdivision","value":"EC"},{"id":4,"name":"Milepost","value":"0.0143"},{"id":17,"name":"Train ID","value":"200-08"},{"id":16,"name":"Locomotive ID","value":"4061"},{"id":130,"name":"Impact","value":""},{"id":150,"name":"Time of Event (Mountain Time)","value":"17:36:25"},{"id":151,"name":"Denver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8"/>
        <v>start /low /b %USERPROFILE%\Documents\GitHub\eaglep3\Utilities\DownloadLogsFromS3.py --loco 4061 --day 2017-09-08</v>
      </c>
      <c r="AN112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774</v>
      </c>
      <c r="B113" s="7">
        <v>4032</v>
      </c>
      <c r="C113" s="21" t="s">
        <v>197</v>
      </c>
      <c r="D113" s="21" t="s">
        <v>457</v>
      </c>
      <c r="E113" s="13">
        <v>42986.6721412037</v>
      </c>
      <c r="F113" s="13">
        <v>42986.677303240744</v>
      </c>
      <c r="G113" s="7">
        <v>54</v>
      </c>
      <c r="H113" s="21" t="s">
        <v>525</v>
      </c>
      <c r="I113" s="13">
        <v>42986.702291666668</v>
      </c>
      <c r="J113" s="7">
        <v>0</v>
      </c>
      <c r="K113" s="89" t="str">
        <f t="shared" si="22"/>
        <v>4031/4032</v>
      </c>
      <c r="L113" s="214" t="str">
        <f>VLOOKUP(A113,'Trips&amp;Operators'!$C$1:$G$99911,5,FALSE)</f>
        <v>HOLCOMB KAMDEN</v>
      </c>
      <c r="M113" s="6">
        <f t="shared" si="23"/>
        <v>2.4988425924675539E-2</v>
      </c>
      <c r="N113" s="7">
        <f t="shared" si="24"/>
        <v>35.983333331532776</v>
      </c>
      <c r="O113" s="7"/>
      <c r="P113" s="7"/>
      <c r="Q113" s="22"/>
      <c r="R113" s="167"/>
      <c r="S113" s="210">
        <f t="shared" si="25"/>
        <v>1</v>
      </c>
      <c r="T113" s="192" t="str">
        <f t="shared" si="26"/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27"/>
        <v>https://d0f6bd738d7f1b3e5a7ca70fe4ff75f0.us-east-1.aws.found.io/app/kibana#/discover/Steve-Slow-Train-Analysis-(2080s-and-2083s)?_g=(refreshInterval:(display:Off,pause:!f,section:0,value:0),time:(from:'2017-09-08T15:07:53-0600',mode:absolute,to:'2017-09-08T17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3" s="194" t="str">
        <f>IF(AA113&lt;VLOOKUP(AG113,Variables!$AC$3:$AD$8,2,FALSE),"Y","N")</f>
        <v>N</v>
      </c>
      <c r="X113" s="194">
        <f t="shared" si="28"/>
        <v>1</v>
      </c>
      <c r="Y113" s="194">
        <f t="shared" si="29"/>
        <v>4.3999999999999997E-2</v>
      </c>
      <c r="Z113" s="194">
        <f t="shared" si="30"/>
        <v>23.3309</v>
      </c>
      <c r="AA113" s="194">
        <f t="shared" si="31"/>
        <v>23.286899999999999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32"/>
        <v>201</v>
      </c>
      <c r="AE113" s="77" t="str">
        <f t="shared" si="33"/>
        <v>aws s3 cp s3://rtdc.mdm.uploadarchive.raw/RTDC4032/ "%USERPROFILE%\AppData\Local\Temp\OnboardLogs"\RTDC4032\2017-09-08 --exclude "*" --recursive --include "*20170908*" &amp; "%USERPROFILE%\Documents\GitHub\mrs-test-scripts\Headless Mode &amp; Sideloading\WalkAndUnGZ.bat" "%USERPROFILE%\AppData\Local\Temp\OnboardLogs"\RTDC4032\2017-09-08 &amp; aws s3 cp s3://rtdc.mdm.uploadarchive.raw/RTDC4032/ "%USERPROFILE%\AppData\Local\Temp\OnboardLogs"\RTDC4032\2017-09-09 --exclude "*" --recursive --include "*20170909*" &amp; "%USERPROFILE%\Documents\GitHub\mrs-test-scripts\Headless Mode &amp; Sideloading\WalkAndUnGZ.bat" "%USERPROFILE%\AppData\Local\Temp\OnboardLogs"\RTDC4032\2017-09-09</v>
      </c>
      <c r="AF113" s="74" t="str">
        <f t="shared" si="34"/>
        <v>"C:\Program Files (x86)\AstroGrep\AstroGrep.exe" /e /r /s /spath="%USERPROFILE%\AppData\Local\Temp\OnboardLogs" /stypes="app*4032*20170908*" /stext=" 22:.+((SYSTEM_STATE.+slice.+state.+changed )|(ment ac)|(multiple cpu faults)|(system.+state.+changed )|(\[timeout)|(PRM\|1\|D)|(kpr)|(kdp)|(train st.+moving)|(\|lc)|(penalty))"</v>
      </c>
      <c r="AG113" s="206" t="str">
        <f t="shared" si="35"/>
        <v>EC</v>
      </c>
      <c r="AH113" s="78" t="str">
        <f t="shared" si="36"/>
        <v>"%USERPROFILE%\Documents\GitHub\eaglep3\Utilities\RefineRTDCRunTimes.py" --tripid 201-08 --locoid 4032 --swversion DE.1.0.9.0 --startMP 204:440 --initTime 2017-09-08T16:07:53 --startdatetime 2017-09-08T16:15:19 --delay 54 --endMP 204:233309 --enddatetime 2017-09-08T16:51:18 --enforcementcount 0 &gt;&gt;C:\Users\stu\Documents\GitHub\eaglep3-reporting\EC\2017-09-08-refined-times.txt</v>
      </c>
      <c r="AI113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{"issue":{"subject":"","project_id":79,"tracker_id":40,"status_id":1,"priority_id":2,"assigned_to_id":338,"start_date":"2017-09-08","description":"","custom_fields":[{"id":1,"name":"Subdivision","value":"EC"},{"id":4,"name":"Milepost","value":"23.3309"},{"id":17,"name":"Train ID","value":"201-08"},{"id":16,"name":"Locomotive ID","value":"4032"},{"id":130,"name":"Impact","value":""},{"id":150,"name":"Time of Event (Mountain Time)","value":"16:51:18"},{"id":151,"name":"Denver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8"/>
        <v>start /low /b %USERPROFILE%\Documents\GitHub\eaglep3\Utilities\DownloadLogsFromS3.py --loco 4032 --day 2017-09-08</v>
      </c>
      <c r="AN113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628</v>
      </c>
      <c r="B114" s="7">
        <v>4031</v>
      </c>
      <c r="C114" s="21" t="s">
        <v>197</v>
      </c>
      <c r="D114" s="21" t="s">
        <v>430</v>
      </c>
      <c r="E114" s="13">
        <v>42986.714745370373</v>
      </c>
      <c r="F114" s="13">
        <v>42986.716921296298</v>
      </c>
      <c r="G114" s="7">
        <v>50</v>
      </c>
      <c r="H114" s="21" t="s">
        <v>583</v>
      </c>
      <c r="I114" s="13">
        <v>42986.743194444447</v>
      </c>
      <c r="J114" s="7">
        <v>0</v>
      </c>
      <c r="K114" s="89" t="str">
        <f t="shared" si="22"/>
        <v>4031/4032</v>
      </c>
      <c r="L114" s="214" t="str">
        <f>VLOOKUP(A114,'Trips&amp;Operators'!$C$1:$G$99911,5,FALSE)</f>
        <v>HOLCOMB KAMDEN</v>
      </c>
      <c r="M114" s="6">
        <f t="shared" si="23"/>
        <v>2.6273148148902692E-2</v>
      </c>
      <c r="N114" s="7">
        <f t="shared" si="24"/>
        <v>37.833333334419876</v>
      </c>
      <c r="O114" s="7"/>
      <c r="P114" s="7"/>
      <c r="Q114" s="22"/>
      <c r="R114" s="167"/>
      <c r="S114" s="210">
        <f t="shared" si="25"/>
        <v>1</v>
      </c>
      <c r="T114" s="192" t="str">
        <f t="shared" si="26"/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27"/>
        <v>https://d0f6bd738d7f1b3e5a7ca70fe4ff75f0.us-east-1.aws.found.io/app/kibana#/discover/Steve-Slow-Train-Analysis-(2080s-and-2083s)?_g=(refreshInterval:(display:Off,pause:!f,section:0,value:0),time:(from:'2017-09-08T16:09:14-0600',mode:absolute,to:'2017-09-08T18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4" s="194" t="str">
        <f>IF(AA114&lt;VLOOKUP(AG114,Variables!$AC$3:$AD$8,2,FALSE),"Y","N")</f>
        <v>N</v>
      </c>
      <c r="X114" s="194">
        <f t="shared" si="28"/>
        <v>1</v>
      </c>
      <c r="Y114" s="194">
        <f t="shared" si="29"/>
        <v>23.3001</v>
      </c>
      <c r="Z114" s="194">
        <f t="shared" si="30"/>
        <v>1.32E-2</v>
      </c>
      <c r="AA114" s="194">
        <f t="shared" si="31"/>
        <v>23.286899999999999</v>
      </c>
      <c r="AB114" s="54" t="str">
        <f>VLOOKUP(A114,Enforcements!$C$7:$K$11,8,0)</f>
        <v>Bulletin (2)</v>
      </c>
      <c r="AC114" s="51" t="str">
        <f>VLOOKUP(A114,Enforcements!$C$7:$E$11,3,0)</f>
        <v>GRADE CROSSING</v>
      </c>
      <c r="AD114" s="203">
        <f t="shared" si="32"/>
        <v>202</v>
      </c>
      <c r="AE114" s="77" t="str">
        <f t="shared" si="33"/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AF114" s="74" t="str">
        <f t="shared" si="34"/>
        <v>"C:\Program Files (x86)\AstroGrep\AstroGrep.exe" /e /r /s /spath="%USERPROFILE%\AppData\Local\Temp\OnboardLogs" /stypes="app*4031*20170908*" /stext=" 23:.+((SYSTEM_STATE.+slice.+state.+changed )|(ment ac)|(multiple cpu faults)|(system.+state.+changed )|(\[timeout)|(PRM\|1\|D)|(kpr)|(kdp)|(train st.+moving)|(\|lc)|(penalty))"</v>
      </c>
      <c r="AG114" s="206" t="str">
        <f t="shared" si="35"/>
        <v>EC</v>
      </c>
      <c r="AH114" s="78" t="str">
        <f t="shared" si="36"/>
        <v>"%USERPROFILE%\Documents\GitHub\eaglep3\Utilities\RefineRTDCRunTimes.py" --tripid 202-08 --locoid 4031 --swversion DE.1.0.9.0 --startMP 204:233001 --initTime 2017-09-08T17:09:14 --startdatetime 2017-09-08T17:12:22 --delay 50 --endMP 204:132 --enddatetime 2017-09-08T17:50:12 --enforcementcount 0 &gt;&gt;C:\Users\stu\Documents\GitHub\eaglep3-reporting\EC\2017-09-08-refined-times.txt</v>
      </c>
      <c r="AI114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{"issue":{"subject":"","project_id":79,"tracker_id":40,"status_id":1,"priority_id":2,"assigned_to_id":338,"start_date":"2017-09-08","description":"","custom_fields":[{"id":1,"name":"Subdivision","value":"EC"},{"id":4,"name":"Milepost","value":"0.0132"},{"id":17,"name":"Train ID","value":"202-08"},{"id":16,"name":"Locomotive ID","value":"4031"},{"id":130,"name":"Impact","value":""},{"id":150,"name":"Time of Event (Mountain Time)","value":"17:50:12"},{"id":151,"name":"Denver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8"/>
        <v>start /low /b %USERPROFILE%\Documents\GitHub\eaglep3\Utilities\DownloadLogsFromS3.py --loco 4031 --day 2017-09-08</v>
      </c>
      <c r="AN114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776</v>
      </c>
      <c r="B115" s="7">
        <v>4006</v>
      </c>
      <c r="C115" s="21" t="s">
        <v>197</v>
      </c>
      <c r="D115" s="21" t="s">
        <v>569</v>
      </c>
      <c r="E115" s="13">
        <v>42986.682696759257</v>
      </c>
      <c r="F115" s="13">
        <v>42986.687696759262</v>
      </c>
      <c r="G115" s="7">
        <v>83</v>
      </c>
      <c r="H115" s="21" t="s">
        <v>893</v>
      </c>
      <c r="I115" s="13">
        <v>42986.712546296294</v>
      </c>
      <c r="J115" s="7">
        <v>0</v>
      </c>
      <c r="K115" s="89" t="str">
        <f t="shared" si="22"/>
        <v>4005/4006</v>
      </c>
      <c r="L115" s="214" t="str">
        <f>VLOOKUP(A115,'Trips&amp;Operators'!$C$1:$G$99911,5,FALSE)</f>
        <v>SAFIEF AEIMEN</v>
      </c>
      <c r="M115" s="6">
        <f t="shared" si="23"/>
        <v>2.4849537032423541E-2</v>
      </c>
      <c r="N115" s="7">
        <f t="shared" si="24"/>
        <v>35.783333326689899</v>
      </c>
      <c r="O115" s="7"/>
      <c r="P115" s="7"/>
      <c r="Q115" s="22"/>
      <c r="R115" s="167"/>
      <c r="S115" s="210">
        <f t="shared" si="25"/>
        <v>1</v>
      </c>
      <c r="T115" s="192" t="str">
        <f t="shared" si="26"/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27"/>
        <v>https://d0f6bd738d7f1b3e5a7ca70fe4ff75f0.us-east-1.aws.found.io/app/kibana#/discover/Steve-Slow-Train-Analysis-(2080s-and-2083s)?_g=(refreshInterval:(display:Off,pause:!f,section:0,value:0),time:(from:'2017-09-08T15:23:05-0600',mode:absolute,to:'2017-09-08T18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5" s="194" t="str">
        <f>IF(AA115&lt;VLOOKUP(AG115,Variables!$AC$3:$AD$8,2,FALSE),"Y","N")</f>
        <v>N</v>
      </c>
      <c r="X115" s="194">
        <f t="shared" si="28"/>
        <v>1</v>
      </c>
      <c r="Y115" s="194">
        <f t="shared" si="29"/>
        <v>4.3799999999999999E-2</v>
      </c>
      <c r="Z115" s="194">
        <f t="shared" si="30"/>
        <v>23.333400000000001</v>
      </c>
      <c r="AA115" s="194">
        <f t="shared" si="31"/>
        <v>23.2896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 t="shared" si="32"/>
        <v>203</v>
      </c>
      <c r="AE115" s="77" t="str">
        <f t="shared" si="33"/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AF115" s="74" t="str">
        <f t="shared" si="34"/>
        <v>"C:\Program Files (x86)\AstroGrep\AstroGrep.exe" /e /r /s /spath="%USERPROFILE%\AppData\Local\Temp\OnboardLogs" /stypes="app*4006*20170908*" /stext=" 23:.+((SYSTEM_STATE.+slice.+state.+changed )|(ment ac)|(multiple cpu faults)|(system.+state.+changed )|(\[timeout)|(PRM\|1\|D)|(kpr)|(kdp)|(train st.+moving)|(\|lc)|(penalty))"</v>
      </c>
      <c r="AG115" s="206" t="str">
        <f t="shared" si="35"/>
        <v>EC</v>
      </c>
      <c r="AH115" s="78" t="str">
        <f t="shared" si="36"/>
        <v>"%USERPROFILE%\Documents\GitHub\eaglep3\Utilities\RefineRTDCRunTimes.py" --tripid 203-08 --locoid 4006 --swversion DE.1.0.9.0 --startMP 204:438 --initTime 2017-09-08T16:23:05 --startdatetime 2017-09-08T16:30:17 --delay 83 --endMP 204:233334 --enddatetime 2017-09-08T17:06:04 --enforcementcount 0 &gt;&gt;C:\Users\stu\Documents\GitHub\eaglep3-reporting\EC\2017-09-08-refined-times.txt</v>
      </c>
      <c r="AI115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{"issue":{"subject":"","project_id":79,"tracker_id":40,"status_id":1,"priority_id":2,"assigned_to_id":338,"start_date":"2017-09-08","description":"","custom_fields":[{"id":1,"name":"Subdivision","value":"EC"},{"id":4,"name":"Milepost","value":"23.3334"},{"id":17,"name":"Train ID","value":"203-08"},{"id":16,"name":"Locomotive ID","value":"4006"},{"id":130,"name":"Impact","value":""},{"id":150,"name":"Time of Event (Mountain Time)","value":"17:06:04"},{"id":151,"name":"Denver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8"/>
        <v>start /low /b %USERPROFILE%\Documents\GitHub\eaglep3\Utilities\DownloadLogsFromS3.py --loco 4006 --day 2017-09-08</v>
      </c>
      <c r="AN115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784</v>
      </c>
      <c r="B116" s="7">
        <v>4005</v>
      </c>
      <c r="C116" s="21" t="s">
        <v>197</v>
      </c>
      <c r="D116" s="21" t="s">
        <v>406</v>
      </c>
      <c r="E116" s="13">
        <v>42986.71497685185</v>
      </c>
      <c r="F116" s="13">
        <v>42986.727314814816</v>
      </c>
      <c r="G116" s="7">
        <v>60</v>
      </c>
      <c r="H116" s="21" t="s">
        <v>339</v>
      </c>
      <c r="I116" s="13">
        <v>42986.753750000003</v>
      </c>
      <c r="J116" s="7">
        <v>0</v>
      </c>
      <c r="K116" s="89" t="str">
        <f t="shared" si="22"/>
        <v>4005/4006</v>
      </c>
      <c r="L116" s="214" t="str">
        <f>VLOOKUP(A116,'Trips&amp;Operators'!$C$1:$G$99911,5,FALSE)</f>
        <v>SAFIEF AEIMEN</v>
      </c>
      <c r="M116" s="6">
        <f t="shared" si="23"/>
        <v>2.6435185187438037E-2</v>
      </c>
      <c r="N116" s="7">
        <f t="shared" si="24"/>
        <v>38.066666669910774</v>
      </c>
      <c r="O116" s="7"/>
      <c r="P116" s="7"/>
      <c r="Q116" s="22"/>
      <c r="R116" s="167" t="s">
        <v>1018</v>
      </c>
      <c r="S116" s="210">
        <f t="shared" si="25"/>
        <v>1</v>
      </c>
      <c r="T116" s="192" t="str">
        <f t="shared" si="26"/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27"/>
        <v>https://d0f6bd738d7f1b3e5a7ca70fe4ff75f0.us-east-1.aws.found.io/app/kibana#/discover/Steve-Slow-Train-Analysis-(2080s-and-2083s)?_g=(refreshInterval:(display:Off,pause:!f,section:0,value:0),time:(from:'2017-09-08T16:09:34-0600',mode:absolute,to:'2017-09-08T19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6" s="194" t="str">
        <f>IF(AA116&lt;VLOOKUP(AG116,Variables!$AC$3:$AD$8,2,FALSE),"Y","N")</f>
        <v>N</v>
      </c>
      <c r="X116" s="194">
        <f t="shared" si="28"/>
        <v>1</v>
      </c>
      <c r="Y116" s="194">
        <f t="shared" si="29"/>
        <v>23.301300000000001</v>
      </c>
      <c r="Z116" s="194">
        <f t="shared" si="30"/>
        <v>1.49E-2</v>
      </c>
      <c r="AA116" s="194">
        <f t="shared" si="31"/>
        <v>23.2864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si="32"/>
        <v>204</v>
      </c>
      <c r="AE116" s="77" t="str">
        <f t="shared" si="33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116" s="74" t="str">
        <f t="shared" si="34"/>
        <v>"C:\Program Files (x86)\AstroGrep\AstroGrep.exe" /e /r /s /spath="%USERPROFILE%\AppData\Local\Temp\OnboardLogs" /stypes="app*4005*20170909*" /stext=" 00:.+((SYSTEM_STATE.+slice.+state.+changed )|(ment ac)|(multiple cpu faults)|(system.+state.+changed )|(\[timeout)|(PRM\|1\|D)|(kpr)|(kdp)|(train st.+moving)|(\|lc)|(penalty))"</v>
      </c>
      <c r="AG116" s="206" t="str">
        <f t="shared" si="35"/>
        <v>EC</v>
      </c>
      <c r="AH116" s="78" t="str">
        <f t="shared" si="36"/>
        <v>"%USERPROFILE%\Documents\GitHub\eaglep3\Utilities\RefineRTDCRunTimes.py" --tripid 204-08 --locoid 4005 --swversion DE.1.0.9.0 --startMP 204:233013 --initTime 2017-09-08T17:09:34 --startdatetime 2017-09-08T17:27:20 --delay 60 --endMP 204:149 --enddatetime 2017-09-08T18:05:24 --enforcementcount 0 &gt;&gt;C:\Users\stu\Documents\GitHub\eaglep3-reporting\EC\2017-09-08-refined-times.txt</v>
      </c>
      <c r="AI116" s="96" t="str">
        <f t="shared" si="37"/>
        <v>echo {"issue":{"subject":"Unhealthy @ Chambers due to train stop","project_id":79,"tracker_id":40,"status_id":1,"priority_id":2,"assigned_to_id":338,"start_date":"2017-09-08","description":"","custom_fields":[{"id":1,"name":"Subdivision","value":"EC"},{"id":4,"name":"Milepost","value":"0.0149"},{"id":17,"name":"Train ID","value":"204-08"},{"id":16,"name":"Locomotive ID","value":"4005"},{"id":130,"name":"Impact","value":""},{"id":150,"name":"Time of Event (Mountain Time)","value":"18:05:24"},{"id":151,"name":"Denver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8"/>
        <v>start /low /b %USERPROFILE%\Documents\GitHub\eaglep3\Utilities\DownloadLogsFromS3.py --loco 4005 --day 2017-09-08</v>
      </c>
      <c r="AN116" s="151" t="str">
        <f t="shared" si="39"/>
        <v>echo {"issue":{"subject":"Unhealthy @ Chambers due to train stop","project_id":30,"tracker_id":4,"status_id":1,"priority_id":1,"assigned_to_id":10,"start_date":"2017-09-09","description":"","custom_fields":[{"id":30,"name":"Category","value":"Issue"},{"id":3,"name":"Functional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625</v>
      </c>
      <c r="B117" s="7">
        <v>4034</v>
      </c>
      <c r="C117" s="21" t="s">
        <v>197</v>
      </c>
      <c r="D117" s="21" t="s">
        <v>341</v>
      </c>
      <c r="E117" s="13">
        <v>42986.691886574074</v>
      </c>
      <c r="F117" s="13">
        <v>42986.698136574072</v>
      </c>
      <c r="G117" s="7">
        <v>99</v>
      </c>
      <c r="H117" s="21" t="s">
        <v>894</v>
      </c>
      <c r="I117" s="13">
        <v>42986.724224537036</v>
      </c>
      <c r="J117" s="7">
        <v>0</v>
      </c>
      <c r="K117" s="89" t="str">
        <f t="shared" si="22"/>
        <v>4033/4034</v>
      </c>
      <c r="L117" s="214" t="str">
        <f>VLOOKUP(A117,'Trips&amp;Operators'!$C$1:$G$99911,5,FALSE)</f>
        <v>CASSIDY BRANDON</v>
      </c>
      <c r="M117" s="6">
        <f t="shared" si="23"/>
        <v>2.6087962964083999E-2</v>
      </c>
      <c r="N117" s="7">
        <f t="shared" si="24"/>
        <v>37.566666668280959</v>
      </c>
      <c r="O117" s="7"/>
      <c r="P117" s="7"/>
      <c r="Q117" s="22"/>
      <c r="R117" s="167"/>
      <c r="S117" s="210">
        <f t="shared" si="25"/>
        <v>1</v>
      </c>
      <c r="T117" s="192" t="str">
        <f t="shared" si="26"/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27"/>
        <v>https://d0f6bd738d7f1b3e5a7ca70fe4ff75f0.us-east-1.aws.found.io/app/kibana#/discover/Steve-Slow-Train-Analysis-(2080s-and-2083s)?_g=(refreshInterval:(display:Off,pause:!f,section:0,value:0),time:(from:'2017-09-08T15:36:19-0600',mode:absolute,to:'2017-09-08T18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7" s="194" t="str">
        <f>IF(AA117&lt;VLOOKUP(AG117,Variables!$AC$3:$AD$8,2,FALSE),"Y","N")</f>
        <v>N</v>
      </c>
      <c r="X117" s="194">
        <f t="shared" si="28"/>
        <v>1</v>
      </c>
      <c r="Y117" s="194">
        <f t="shared" si="29"/>
        <v>4.53E-2</v>
      </c>
      <c r="Z117" s="194">
        <f t="shared" si="30"/>
        <v>23.335100000000001</v>
      </c>
      <c r="AA117" s="194">
        <f t="shared" si="31"/>
        <v>23.2898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32"/>
        <v>205</v>
      </c>
      <c r="AE117" s="77" t="str">
        <f t="shared" si="33"/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AF117" s="74" t="str">
        <f t="shared" si="34"/>
        <v>"C:\Program Files (x86)\AstroGrep\AstroGrep.exe" /e /r /s /spath="%USERPROFILE%\AppData\Local\Temp\OnboardLogs" /stypes="app*4034*20170908*" /stext=" 23:.+((SYSTEM_STATE.+slice.+state.+changed )|(ment ac)|(multiple cpu faults)|(system.+state.+changed )|(\[timeout)|(PRM\|1\|D)|(kpr)|(kdp)|(train st.+moving)|(\|lc)|(penalty))"</v>
      </c>
      <c r="AG117" s="206" t="str">
        <f t="shared" si="35"/>
        <v>EC</v>
      </c>
      <c r="AH117" s="78" t="str">
        <f t="shared" si="36"/>
        <v>"%USERPROFILE%\Documents\GitHub\eaglep3\Utilities\RefineRTDCRunTimes.py" --tripid 205-08 --locoid 4034 --swversion DE.1.0.9.0 --startMP 204:453 --initTime 2017-09-08T16:36:19 --startdatetime 2017-09-08T16:45:19 --delay 99 --endMP 204:233351 --enddatetime 2017-09-08T17:22:53 --enforcementcount 0 &gt;&gt;C:\Users\stu\Documents\GitHub\eaglep3-reporting\EC\2017-09-08-refined-times.txt</v>
      </c>
      <c r="AI117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{"issue":{"subject":"","project_id":79,"tracker_id":40,"status_id":1,"priority_id":2,"assigned_to_id":338,"start_date":"2017-09-08","description":"","custom_fields":[{"id":1,"name":"Subdivision","value":"EC"},{"id":4,"name":"Milepost","value":"23.3351"},{"id":17,"name":"Train ID","value":"205-08"},{"id":16,"name":"Locomotive ID","value":"4034"},{"id":130,"name":"Impact","value":""},{"id":150,"name":"Time of Event (Mountain Time)","value":"17:22:53"},{"id":151,"name":"Denver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8"/>
        <v>start /low /b %USERPROFILE%\Documents\GitHub\eaglep3\Utilities\DownloadLogsFromS3.py --loco 4034 --day 2017-09-08</v>
      </c>
      <c r="AN117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790</v>
      </c>
      <c r="B118" s="7">
        <v>4033</v>
      </c>
      <c r="C118" s="21" t="s">
        <v>197</v>
      </c>
      <c r="D118" s="21" t="s">
        <v>581</v>
      </c>
      <c r="E118" s="13">
        <v>42986.730104166665</v>
      </c>
      <c r="F118" s="13">
        <v>42986.737812500003</v>
      </c>
      <c r="G118" s="7">
        <v>75</v>
      </c>
      <c r="H118" s="21" t="s">
        <v>390</v>
      </c>
      <c r="I118" s="13">
        <v>42986.76458333333</v>
      </c>
      <c r="J118" s="7">
        <v>0</v>
      </c>
      <c r="K118" s="89" t="str">
        <f t="shared" si="22"/>
        <v>4033/4034</v>
      </c>
      <c r="L118" s="214" t="str">
        <f>VLOOKUP(A118,'Trips&amp;Operators'!$C$1:$G$99911,5,FALSE)</f>
        <v>CASSIDY BRANDON</v>
      </c>
      <c r="M118" s="6">
        <f t="shared" si="23"/>
        <v>2.6770833326736465E-2</v>
      </c>
      <c r="N118" s="7">
        <f t="shared" si="24"/>
        <v>38.54999999050051</v>
      </c>
      <c r="O118" s="7"/>
      <c r="P118" s="7"/>
      <c r="Q118" s="22"/>
      <c r="R118" s="167"/>
      <c r="S118" s="210">
        <f t="shared" si="25"/>
        <v>1</v>
      </c>
      <c r="T118" s="192" t="str">
        <f t="shared" si="26"/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27"/>
        <v>https://d0f6bd738d7f1b3e5a7ca70fe4ff75f0.us-east-1.aws.found.io/app/kibana#/discover/Steve-Slow-Train-Analysis-(2080s-and-2083s)?_g=(refreshInterval:(display:Off,pause:!f,section:0,value:0),time:(from:'2017-09-08T16:31:21-0600',mode:absolute,to:'2017-09-08T19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8" s="194" t="str">
        <f>IF(AA118&lt;VLOOKUP(AG118,Variables!$AC$3:$AD$8,2,FALSE),"Y","N")</f>
        <v>N</v>
      </c>
      <c r="X118" s="194">
        <f t="shared" si="28"/>
        <v>1</v>
      </c>
      <c r="Y118" s="194">
        <f t="shared" si="29"/>
        <v>23.303599999999999</v>
      </c>
      <c r="Z118" s="194">
        <f t="shared" si="30"/>
        <v>1.67E-2</v>
      </c>
      <c r="AA118" s="194">
        <f t="shared" si="31"/>
        <v>23.286899999999999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32"/>
        <v>206</v>
      </c>
      <c r="AE118" s="77" t="str">
        <f t="shared" si="33"/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118" s="74" t="str">
        <f t="shared" si="34"/>
        <v>"C:\Program Files (x86)\AstroGrep\AstroGrep.exe" /e /r /s /spath="%USERPROFILE%\AppData\Local\Temp\OnboardLogs" /stypes="app*4033*20170909*" /stext=" 00:.+((SYSTEM_STATE.+slice.+state.+changed )|(ment ac)|(multiple cpu faults)|(system.+state.+changed )|(\[timeout)|(PRM\|1\|D)|(kpr)|(kdp)|(train st.+moving)|(\|lc)|(penalty))"</v>
      </c>
      <c r="AG118" s="206" t="str">
        <f t="shared" si="35"/>
        <v>EC</v>
      </c>
      <c r="AH118" s="78" t="str">
        <f t="shared" si="36"/>
        <v>"%USERPROFILE%\Documents\GitHub\eaglep3\Utilities\RefineRTDCRunTimes.py" --tripid 206-08 --locoid 4033 --swversion DE.1.0.9.0 --startMP 204:233036 --initTime 2017-09-08T17:31:21 --startdatetime 2017-09-08T17:42:27 --delay 75 --endMP 204:167 --enddatetime 2017-09-08T18:21:00 --enforcementcount 0 &gt;&gt;C:\Users\stu\Documents\GitHub\eaglep3-reporting\EC\2017-09-08-refined-times.txt</v>
      </c>
      <c r="AI118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{"issue":{"subject":"","project_id":79,"tracker_id":40,"status_id":1,"priority_id":2,"assigned_to_id":338,"start_date":"2017-09-08","description":"","custom_fields":[{"id":1,"name":"Subdivision","value":"EC"},{"id":4,"name":"Milepost","value":"0.0167"},{"id":17,"name":"Train ID","value":"206-08"},{"id":16,"name":"Locomotive ID","value":"4033"},{"id":130,"name":"Impact","value":""},{"id":150,"name":"Time of Event (Mountain Time)","value":"18:21:00"},{"id":151,"name":"Denver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8"/>
        <v>start /low /b %USERPROFILE%\Documents\GitHub\eaglep3\Utilities\DownloadLogsFromS3.py --loco 4033 --day 2017-09-08</v>
      </c>
      <c r="AN118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781</v>
      </c>
      <c r="B119" s="7">
        <v>4044</v>
      </c>
      <c r="C119" s="21" t="s">
        <v>197</v>
      </c>
      <c r="D119" s="21" t="s">
        <v>868</v>
      </c>
      <c r="E119" s="13">
        <v>42986.702870370369</v>
      </c>
      <c r="F119" s="13">
        <v>42986.708506944444</v>
      </c>
      <c r="G119" s="7">
        <v>54</v>
      </c>
      <c r="H119" s="21" t="s">
        <v>528</v>
      </c>
      <c r="I119" s="13">
        <v>42986.73400462963</v>
      </c>
      <c r="J119" s="7">
        <v>0</v>
      </c>
      <c r="K119" s="89" t="str">
        <f t="shared" si="22"/>
        <v>4043/4044</v>
      </c>
      <c r="L119" s="214" t="str">
        <f>VLOOKUP(A119,'Trips&amp;Operators'!$C$1:$G$99911,5,FALSE)</f>
        <v>WEST BRYAN</v>
      </c>
      <c r="M119" s="6">
        <f t="shared" si="23"/>
        <v>2.5497685186564922E-2</v>
      </c>
      <c r="N119" s="7">
        <f t="shared" si="24"/>
        <v>36.716666668653488</v>
      </c>
      <c r="O119" s="7"/>
      <c r="P119" s="7"/>
      <c r="Q119" s="22"/>
      <c r="R119" s="167"/>
      <c r="S119" s="210">
        <f t="shared" si="25"/>
        <v>1</v>
      </c>
      <c r="T119" s="192" t="str">
        <f t="shared" si="26"/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27"/>
        <v>https://d0f6bd738d7f1b3e5a7ca70fe4ff75f0.us-east-1.aws.found.io/app/kibana#/discover/Steve-Slow-Train-Analysis-(2080s-and-2083s)?_g=(refreshInterval:(display:Off,pause:!f,section:0,value:0),time:(from:'2017-09-08T15:52:08-0600',mode:absolute,to:'2017-09-08T18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9" s="194" t="str">
        <f>IF(AA119&lt;VLOOKUP(AG119,Variables!$AC$3:$AD$8,2,FALSE),"Y","N")</f>
        <v>N</v>
      </c>
      <c r="X119" s="194">
        <f t="shared" si="28"/>
        <v>1</v>
      </c>
      <c r="Y119" s="194">
        <f t="shared" si="29"/>
        <v>4.7699999999999999E-2</v>
      </c>
      <c r="Z119" s="194">
        <f t="shared" si="30"/>
        <v>23.331499999999998</v>
      </c>
      <c r="AA119" s="194">
        <f t="shared" si="31"/>
        <v>23.283799999999999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32"/>
        <v>207</v>
      </c>
      <c r="AE119" s="77" t="str">
        <f t="shared" si="33"/>
        <v>aws s3 cp s3://rtdc.mdm.uploadarchive.raw/RTDC4044/ "%USERPROFILE%\AppData\Local\Temp\OnboardLogs"\RTDC4044\2017-09-08 --exclude "*" --recursive --include "*20170908*" &amp; "%USERPROFILE%\Documents\GitHub\mrs-test-scripts\Headless Mode &amp; Sideloading\WalkAndUnGZ.bat" "%USERPROFILE%\AppData\Local\Temp\OnboardLogs"\RTDC4044\2017-09-08 &amp; 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</v>
      </c>
      <c r="AF119" s="74" t="str">
        <f t="shared" si="34"/>
        <v>"C:\Program Files (x86)\AstroGrep\AstroGrep.exe" /e /r /s /spath="%USERPROFILE%\AppData\Local\Temp\OnboardLogs" /stypes="app*4044*20170908*" /stext=" 23:.+((SYSTEM_STATE.+slice.+state.+changed )|(ment ac)|(multiple cpu faults)|(system.+state.+changed )|(\[timeout)|(PRM\|1\|D)|(kpr)|(kdp)|(train st.+moving)|(\|lc)|(penalty))"</v>
      </c>
      <c r="AG119" s="206" t="str">
        <f t="shared" si="35"/>
        <v>EC</v>
      </c>
      <c r="AH119" s="78" t="str">
        <f t="shared" si="36"/>
        <v>"%USERPROFILE%\Documents\GitHub\eaglep3\Utilities\RefineRTDCRunTimes.py" --tripid 207-08 --locoid 4044 --swversion DE.1.0.9.0 --startMP 204:477 --initTime 2017-09-08T16:52:08 --startdatetime 2017-09-08T17:00:15 --delay 54 --endMP 204:233315 --enddatetime 2017-09-08T17:36:58 --enforcementcount 0 &gt;&gt;C:\Users\stu\Documents\GitHub\eaglep3-reporting\EC\2017-09-08-refined-times.txt</v>
      </c>
      <c r="AI119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{"issue":{"subject":"","project_id":79,"tracker_id":40,"status_id":1,"priority_id":2,"assigned_to_id":338,"start_date":"2017-09-08","description":"","custom_fields":[{"id":1,"name":"Subdivision","value":"EC"},{"id":4,"name":"Milepost","value":"23.3315"},{"id":17,"name":"Train ID","value":"207-08"},{"id":16,"name":"Locomotive ID","value":"4044"},{"id":130,"name":"Impact","value":""},{"id":150,"name":"Time of Event (Mountain Time)","value":"17:36:58"},{"id":151,"name":"Denver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8"/>
        <v>start /low /b %USERPROFILE%\Documents\GitHub\eaglep3\Utilities\DownloadLogsFromS3.py --loco 4044 --day 2017-09-08</v>
      </c>
      <c r="AN119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795</v>
      </c>
      <c r="B120" s="7">
        <v>4043</v>
      </c>
      <c r="C120" s="21" t="s">
        <v>197</v>
      </c>
      <c r="D120" s="21" t="s">
        <v>461</v>
      </c>
      <c r="E120" s="13">
        <v>42986.740555555552</v>
      </c>
      <c r="F120" s="13">
        <v>42986.748124999998</v>
      </c>
      <c r="G120" s="7">
        <v>79</v>
      </c>
      <c r="H120" s="21" t="s">
        <v>374</v>
      </c>
      <c r="I120" s="13">
        <v>42986.774756944447</v>
      </c>
      <c r="J120" s="7">
        <v>0</v>
      </c>
      <c r="K120" s="89" t="str">
        <f t="shared" si="22"/>
        <v>4043/4044</v>
      </c>
      <c r="L120" s="214" t="str">
        <f>VLOOKUP(A120,'Trips&amp;Operators'!$C$1:$G$99911,5,FALSE)</f>
        <v>WEST BRYAN</v>
      </c>
      <c r="M120" s="6">
        <f t="shared" si="23"/>
        <v>2.6631944449036382E-2</v>
      </c>
      <c r="N120" s="7">
        <f t="shared" si="24"/>
        <v>38.35000000661239</v>
      </c>
      <c r="O120" s="7"/>
      <c r="P120" s="7"/>
      <c r="Q120" s="22"/>
      <c r="R120" s="167"/>
      <c r="S120" s="210">
        <f t="shared" si="25"/>
        <v>1</v>
      </c>
      <c r="T120" s="192" t="str">
        <f t="shared" si="26"/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27"/>
        <v>https://d0f6bd738d7f1b3e5a7ca70fe4ff75f0.us-east-1.aws.found.io/app/kibana#/discover/Steve-Slow-Train-Analysis-(2080s-and-2083s)?_g=(refreshInterval:(display:Off,pause:!f,section:0,value:0),time:(from:'2017-09-08T16:46:24-0600',mode:absolute,to:'2017-09-08T19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0" s="194" t="str">
        <f>IF(AA120&lt;VLOOKUP(AG120,Variables!$AC$3:$AD$8,2,FALSE),"Y","N")</f>
        <v>N</v>
      </c>
      <c r="X120" s="194">
        <f t="shared" si="28"/>
        <v>1</v>
      </c>
      <c r="Y120" s="194">
        <f t="shared" si="29"/>
        <v>23.3</v>
      </c>
      <c r="Z120" s="194">
        <f t="shared" si="30"/>
        <v>1.5599999999999999E-2</v>
      </c>
      <c r="AA120" s="194">
        <f t="shared" si="31"/>
        <v>23.284400000000002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32"/>
        <v>208</v>
      </c>
      <c r="AE120" s="77" t="str">
        <f t="shared" si="33"/>
        <v>aws s3 cp s3://rtdc.mdm.uploadarchive.raw/RTDC4043/ "%USERPROFILE%\AppData\Local\Temp\OnboardLogs"\RTDC4043\2017-09-08 --exclude "*" --recursive --include "*20170908*" &amp; "%USERPROFILE%\Documents\GitHub\mrs-test-scripts\Headless Mode &amp; Sideloading\WalkAndUnGZ.bat" "%USERPROFILE%\AppData\Local\Temp\OnboardLogs"\RTDC4043\2017-09-08 &amp; 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</v>
      </c>
      <c r="AF120" s="74" t="str">
        <f t="shared" si="34"/>
        <v>"C:\Program Files (x86)\AstroGrep\AstroGrep.exe" /e /r /s /spath="%USERPROFILE%\AppData\Local\Temp\OnboardLogs" /stypes="app*4043*20170909*" /stext=" 00:.+((SYSTEM_STATE.+slice.+state.+changed )|(ment ac)|(multiple cpu faults)|(system.+state.+changed )|(\[timeout)|(PRM\|1\|D)|(kpr)|(kdp)|(train st.+moving)|(\|lc)|(penalty))"</v>
      </c>
      <c r="AG120" s="206" t="str">
        <f t="shared" si="35"/>
        <v>EC</v>
      </c>
      <c r="AH120" s="78" t="str">
        <f t="shared" si="36"/>
        <v>"%USERPROFILE%\Documents\GitHub\eaglep3\Utilities\RefineRTDCRunTimes.py" --tripid 208-08 --locoid 4043 --swversion DE.1.0.9.0 --startMP 204:233000 --initTime 2017-09-08T17:46:24 --startdatetime 2017-09-08T17:57:18 --delay 79 --endMP 204:156 --enddatetime 2017-09-08T18:35:39 --enforcementcount 0 &gt;&gt;C:\Users\stu\Documents\GitHub\eaglep3-reporting\EC\2017-09-08-refined-times.txt</v>
      </c>
      <c r="AI120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{"issue":{"subject":"","project_id":79,"tracker_id":40,"status_id":1,"priority_id":2,"assigned_to_id":338,"start_date":"2017-09-08","description":"","custom_fields":[{"id":1,"name":"Subdivision","value":"EC"},{"id":4,"name":"Milepost","value":"0.0156"},{"id":17,"name":"Train ID","value":"208-08"},{"id":16,"name":"Locomotive ID","value":"4043"},{"id":130,"name":"Impact","value":""},{"id":150,"name":"Time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8"/>
        <v>start /low /b %USERPROFILE%\Documents\GitHub\eaglep3\Utilities\DownloadLogsFromS3.py --loco 4043 --day 2017-09-08</v>
      </c>
      <c r="AN120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783</v>
      </c>
      <c r="B121" s="7">
        <v>4002</v>
      </c>
      <c r="C121" s="21" t="s">
        <v>197</v>
      </c>
      <c r="D121" s="21" t="s">
        <v>462</v>
      </c>
      <c r="E121" s="13">
        <v>42986.71434027778</v>
      </c>
      <c r="F121" s="13">
        <v>42986.719027777777</v>
      </c>
      <c r="G121" s="7">
        <v>53</v>
      </c>
      <c r="H121" s="21" t="s">
        <v>458</v>
      </c>
      <c r="I121" s="13">
        <v>42986.744351851848</v>
      </c>
      <c r="J121" s="7">
        <v>0</v>
      </c>
      <c r="K121" s="89" t="str">
        <f t="shared" si="22"/>
        <v>4001/4002</v>
      </c>
      <c r="L121" s="214" t="str">
        <f>VLOOKUP(A121,'Trips&amp;Operators'!$C$1:$G$99911,5,FALSE)</f>
        <v>FORTUNATO FRANK</v>
      </c>
      <c r="M121" s="6">
        <f t="shared" si="23"/>
        <v>2.5324074071249925E-2</v>
      </c>
      <c r="N121" s="7">
        <f t="shared" si="24"/>
        <v>36.466666662599891</v>
      </c>
      <c r="O121" s="7"/>
      <c r="P121" s="7"/>
      <c r="Q121" s="22"/>
      <c r="R121" s="167"/>
      <c r="S121" s="210">
        <f t="shared" si="25"/>
        <v>1</v>
      </c>
      <c r="T121" s="192" t="str">
        <f t="shared" si="26"/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27"/>
        <v>https://d0f6bd738d7f1b3e5a7ca70fe4ff75f0.us-east-1.aws.found.io/app/kibana#/discover/Steve-Slow-Train-Analysis-(2080s-and-2083s)?_g=(refreshInterval:(display:Off,pause:!f,section:0,value:0),time:(from:'2017-09-08T16:08:39-0600',mode:absolute,to:'2017-09-08T18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194" t="str">
        <f>IF(AA121&lt;VLOOKUP(AG121,Variables!$AC$3:$AD$8,2,FALSE),"Y","N")</f>
        <v>N</v>
      </c>
      <c r="X121" s="194">
        <f t="shared" si="28"/>
        <v>1</v>
      </c>
      <c r="Y121" s="194">
        <f t="shared" si="29"/>
        <v>4.3299999999999998E-2</v>
      </c>
      <c r="Z121" s="194">
        <f t="shared" si="30"/>
        <v>23.330300000000001</v>
      </c>
      <c r="AA121" s="194">
        <f t="shared" si="31"/>
        <v>23.287000000000003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32"/>
        <v>209</v>
      </c>
      <c r="AE121" s="77" t="str">
        <f t="shared" si="33"/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121" s="74" t="str">
        <f t="shared" si="34"/>
        <v>"C:\Program Files (x86)\AstroGrep\AstroGrep.exe" /e /r /s /spath="%USERPROFILE%\AppData\Local\Temp\OnboardLogs" /stypes="app*4002*20170908*" /stext=" 23:.+((SYSTEM_STATE.+slice.+state.+changed )|(ment ac)|(multiple cpu faults)|(system.+state.+changed )|(\[timeout)|(PRM\|1\|D)|(kpr)|(kdp)|(train st.+moving)|(\|lc)|(penalty))"</v>
      </c>
      <c r="AG121" s="206" t="str">
        <f t="shared" si="35"/>
        <v>EC</v>
      </c>
      <c r="AH121" s="78" t="str">
        <f t="shared" si="36"/>
        <v>"%USERPROFILE%\Documents\GitHub\eaglep3\Utilities\RefineRTDCRunTimes.py" --tripid 209-08 --locoid 4002 --swversion DE.1.0.9.0 --startMP 204:433 --initTime 2017-09-08T17:08:39 --startdatetime 2017-09-08T17:15:24 --delay 53 --endMP 204:233303 --enddatetime 2017-09-08T17:51:52 --enforcementcount 0 &gt;&gt;C:\Users\stu\Documents\GitHub\eaglep3-reporting\EC\2017-09-08-refined-times.txt</v>
      </c>
      <c r="AI121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{"issue":{"subject":"","project_id":79,"tracker_id":40,"status_id":1,"priority_id":2,"assigned_to_id":338,"start_date":"2017-09-08","description":"","custom_fields":[{"id":1,"name":"Subdivision","value":"EC"},{"id":4,"name":"Milepost","value":"23.3303"},{"id":17,"name":"Train ID","value":"209-08"},{"id":16,"name":"Locomotive ID","value":"4002"},{"id":130,"name":"Impact","value":""},{"id":150,"name":"Time of Event (Mountain Time)","value":"17:51:52"},{"id":151,"name":"Denver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8"/>
        <v>start /low /b %USERPROFILE%\Documents\GitHub\eaglep3\Utilities\DownloadLogsFromS3.py --loco 4002 --day 2017-09-08</v>
      </c>
      <c r="AN121" s="151" t="str">
        <f t="shared" si="3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799</v>
      </c>
      <c r="B122" s="7">
        <v>4001</v>
      </c>
      <c r="C122" s="21" t="s">
        <v>197</v>
      </c>
      <c r="D122" s="21" t="s">
        <v>577</v>
      </c>
      <c r="E122" s="13">
        <v>42986.754108796296</v>
      </c>
      <c r="F122" s="13">
        <v>42986.758483796293</v>
      </c>
      <c r="G122" s="7">
        <v>91</v>
      </c>
      <c r="H122" s="21" t="s">
        <v>342</v>
      </c>
      <c r="I122" s="13">
        <v>42986.784074074072</v>
      </c>
      <c r="J122" s="7">
        <v>0</v>
      </c>
      <c r="K122" s="89" t="str">
        <f t="shared" si="22"/>
        <v>4001/4002</v>
      </c>
      <c r="L122" s="214" t="str">
        <f>VLOOKUP(A122,'Trips&amp;Operators'!$C$1:$G$99911,5,FALSE)</f>
        <v>FORTUNATO FRANK</v>
      </c>
      <c r="M122" s="6">
        <f t="shared" si="23"/>
        <v>2.5590277778974269E-2</v>
      </c>
      <c r="N122" s="7">
        <f t="shared" si="24"/>
        <v>36.850000001722947</v>
      </c>
      <c r="O122" s="7"/>
      <c r="P122" s="7"/>
      <c r="Q122" s="22"/>
      <c r="R122" s="167"/>
      <c r="S122" s="210">
        <f t="shared" si="25"/>
        <v>1</v>
      </c>
      <c r="T122" s="192" t="str">
        <f t="shared" si="26"/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27"/>
        <v>https://d0f6bd738d7f1b3e5a7ca70fe4ff75f0.us-east-1.aws.found.io/app/kibana#/discover/Steve-Slow-Train-Analysis-(2080s-and-2083s)?_g=(refreshInterval:(display:Off,pause:!f,section:0,value:0),time:(from:'2017-09-08T17:05:55-0600',mode:absolute,to:'2017-09-08T19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194" t="str">
        <f>IF(AA122&lt;VLOOKUP(AG122,Variables!$AC$3:$AD$8,2,FALSE),"Y","N")</f>
        <v>N</v>
      </c>
      <c r="X122" s="194">
        <f t="shared" si="28"/>
        <v>1</v>
      </c>
      <c r="Y122" s="194">
        <f t="shared" si="29"/>
        <v>23.299199999999999</v>
      </c>
      <c r="Z122" s="194">
        <f t="shared" si="30"/>
        <v>1.41E-2</v>
      </c>
      <c r="AA122" s="194">
        <f t="shared" si="31"/>
        <v>23.2851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32"/>
        <v>210</v>
      </c>
      <c r="AE122" s="77" t="str">
        <f t="shared" si="33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122" s="74" t="str">
        <f t="shared" si="34"/>
        <v>"C:\Program Files (x86)\AstroGrep\AstroGrep.exe" /e /r /s /spath="%USERPROFILE%\AppData\Local\Temp\OnboardLogs" /stypes="app*4001*20170909*" /stext=" 00:.+((SYSTEM_STATE.+slice.+state.+changed )|(ment ac)|(multiple cpu faults)|(system.+state.+changed )|(\[timeout)|(PRM\|1\|D)|(kpr)|(kdp)|(train st.+moving)|(\|lc)|(penalty))"</v>
      </c>
      <c r="AG122" s="206" t="str">
        <f t="shared" si="35"/>
        <v>EC</v>
      </c>
      <c r="AH122" s="78" t="str">
        <f t="shared" si="36"/>
        <v>"%USERPROFILE%\Documents\GitHub\eaglep3\Utilities\RefineRTDCRunTimes.py" --tripid 210-08 --locoid 4001 --swversion DE.1.0.9.0 --startMP 204:232992 --initTime 2017-09-08T18:05:55 --startdatetime 2017-09-08T18:12:13 --delay 91 --endMP 204:141 --enddatetime 2017-09-08T18:49:04 --enforcementcount 0 &gt;&gt;C:\Users\stu\Documents\GitHub\eaglep3-reporting\EC\2017-09-08-refined-times.txt</v>
      </c>
      <c r="AI122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{"issue":{"subject":"","project_id":79,"tracker_id":40,"status_id":1,"priority_id":2,"assigned_to_id":338,"start_date":"2017-09-08","description":"","custom_fields":[{"id":1,"name":"Subdivision","value":"EC"},{"id":4,"name":"Milepost","value":"0.0141"},{"id":17,"name":"Train ID","value":"210-08"},{"id":16,"name":"Locomotive ID","value":"4001"},{"id":130,"name":"Impact","value":""},{"id":150,"name":"Time of Event (Mountain Time)","value":"18:49:04"},{"id":151,"name":"Denver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8"/>
        <v>start /low /b %USERPROFILE%\Documents\GitHub\eaglep3\Utilities\DownloadLogsFromS3.py --loco 4001 --day 2017-09-08</v>
      </c>
      <c r="AN122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785</v>
      </c>
      <c r="B123" s="7">
        <v>4058</v>
      </c>
      <c r="C123" s="21" t="s">
        <v>197</v>
      </c>
      <c r="D123" s="21" t="s">
        <v>569</v>
      </c>
      <c r="E123" s="13">
        <v>42986.723483796297</v>
      </c>
      <c r="F123" s="13">
        <v>42986.729409722226</v>
      </c>
      <c r="G123" s="7">
        <v>79</v>
      </c>
      <c r="H123" s="21" t="s">
        <v>895</v>
      </c>
      <c r="I123" s="13">
        <v>42986.754189814812</v>
      </c>
      <c r="J123" s="7">
        <v>0</v>
      </c>
      <c r="K123" s="89" t="str">
        <f t="shared" si="22"/>
        <v>4057/4058</v>
      </c>
      <c r="L123" s="214" t="str">
        <f>VLOOKUP(A123,'Trips&amp;Operators'!$C$1:$G$99911,5,FALSE)</f>
        <v>LEVIN SCOTT</v>
      </c>
      <c r="M123" s="6">
        <f t="shared" si="23"/>
        <v>2.4780092586297542E-2</v>
      </c>
      <c r="N123" s="7">
        <f t="shared" si="24"/>
        <v>35.68333332426846</v>
      </c>
      <c r="O123" s="7"/>
      <c r="P123" s="7"/>
      <c r="Q123" s="22"/>
      <c r="R123" s="167"/>
      <c r="S123" s="210">
        <f t="shared" si="25"/>
        <v>1</v>
      </c>
      <c r="T123" s="192" t="str">
        <f t="shared" si="26"/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27"/>
        <v>https://d0f6bd738d7f1b3e5a7ca70fe4ff75f0.us-east-1.aws.found.io/app/kibana#/discover/Steve-Slow-Train-Analysis-(2080s-and-2083s)?_g=(refreshInterval:(display:Off,pause:!f,section:0,value:0),time:(from:'2017-09-08T16:21:49-0600',mode:absolute,to:'2017-09-08T19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3" s="194" t="str">
        <f>IF(AA123&lt;VLOOKUP(AG123,Variables!$AC$3:$AD$8,2,FALSE),"Y","N")</f>
        <v>N</v>
      </c>
      <c r="X123" s="194">
        <f t="shared" si="28"/>
        <v>1</v>
      </c>
      <c r="Y123" s="194">
        <f t="shared" si="29"/>
        <v>4.3799999999999999E-2</v>
      </c>
      <c r="Z123" s="194">
        <f t="shared" si="30"/>
        <v>23.3353</v>
      </c>
      <c r="AA123" s="194">
        <f t="shared" si="31"/>
        <v>23.291499999999999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32"/>
        <v>211</v>
      </c>
      <c r="AE123" s="77" t="str">
        <f t="shared" si="33"/>
        <v>aws s3 cp s3://rtdc.mdm.uploadarchive.raw/RTDC4058/ "%USERPROFILE%\AppData\Local\Temp\OnboardLogs"\RTDC4058\2017-09-08 --exclude "*" --recursive --include "*20170908*" &amp; "%USERPROFILE%\Documents\GitHub\mrs-test-scripts\Headless Mode &amp; Sideloading\WalkAndUnGZ.bat" "%USERPROFILE%\AppData\Local\Temp\OnboardLogs"\RTDC4058\2017-09-08 &amp; 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</v>
      </c>
      <c r="AF123" s="74" t="str">
        <f t="shared" si="34"/>
        <v>"C:\Program Files (x86)\AstroGrep\AstroGrep.exe" /e /r /s /spath="%USERPROFILE%\AppData\Local\Temp\OnboardLogs" /stypes="app*4058*20170909*" /stext=" 00:.+((SYSTEM_STATE.+slice.+state.+changed )|(ment ac)|(multiple cpu faults)|(system.+state.+changed )|(\[timeout)|(PRM\|1\|D)|(kpr)|(kdp)|(train st.+moving)|(\|lc)|(penalty))"</v>
      </c>
      <c r="AG123" s="206" t="str">
        <f t="shared" si="35"/>
        <v>EC</v>
      </c>
      <c r="AH123" s="78" t="str">
        <f t="shared" si="36"/>
        <v>"%USERPROFILE%\Documents\GitHub\eaglep3\Utilities\RefineRTDCRunTimes.py" --tripid 211-08 --locoid 4058 --swversion DE.1.0.9.0 --startMP 204:438 --initTime 2017-09-08T17:21:49 --startdatetime 2017-09-08T17:30:21 --delay 79 --endMP 204:233353 --enddatetime 2017-09-08T18:06:02 --enforcementcount 0 &gt;&gt;C:\Users\stu\Documents\GitHub\eaglep3-reporting\EC\2017-09-08-refined-times.txt</v>
      </c>
      <c r="AI123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{"issue":{"subject":"","project_id":79,"tracker_id":40,"status_id":1,"priority_id":2,"assigned_to_id":338,"start_date":"2017-09-08","description":"","custom_fields":[{"id":1,"name":"Subdivision","value":"EC"},{"id":4,"name":"Milepost","value":"23.3353"},{"id":17,"name":"Train ID","value":"211-08"},{"id":16,"name":"Locomotive ID","value":"4058"},{"id":130,"name":"Impact","value":""},{"id":150,"name":"Time of Event (Mountain Time)","value":"18:06:02"},{"id":151,"name":"Denver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8"/>
        <v>start /low /b %USERPROFILE%\Documents\GitHub\eaglep3\Utilities\DownloadLogsFromS3.py --loco 4058 --day 2017-09-08</v>
      </c>
      <c r="AN123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629</v>
      </c>
      <c r="B124" s="7">
        <v>4057</v>
      </c>
      <c r="C124" s="21" t="s">
        <v>197</v>
      </c>
      <c r="D124" s="21" t="s">
        <v>582</v>
      </c>
      <c r="E124" s="13">
        <v>42986.759571759256</v>
      </c>
      <c r="F124" s="13">
        <v>42986.768912037034</v>
      </c>
      <c r="G124" s="7">
        <v>53</v>
      </c>
      <c r="H124" s="21" t="s">
        <v>339</v>
      </c>
      <c r="I124" s="13">
        <v>42986.794594907406</v>
      </c>
      <c r="J124" s="7">
        <v>0</v>
      </c>
      <c r="K124" s="89" t="str">
        <f t="shared" si="22"/>
        <v>4057/4058</v>
      </c>
      <c r="L124" s="214" t="str">
        <f>VLOOKUP(A124,'Trips&amp;Operators'!$C$1:$G$99911,5,FALSE)</f>
        <v>LEVIN SCOTT</v>
      </c>
      <c r="M124" s="6">
        <f t="shared" si="23"/>
        <v>2.5682870371383615E-2</v>
      </c>
      <c r="N124" s="7">
        <f t="shared" si="24"/>
        <v>36.983333334792405</v>
      </c>
      <c r="O124" s="7"/>
      <c r="P124" s="7"/>
      <c r="Q124" s="22"/>
      <c r="R124" s="167"/>
      <c r="S124" s="210">
        <f t="shared" si="25"/>
        <v>1</v>
      </c>
      <c r="T124" s="192" t="str">
        <f t="shared" si="26"/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27"/>
        <v>https://d0f6bd738d7f1b3e5a7ca70fe4ff75f0.us-east-1.aws.found.io/app/kibana#/discover/Steve-Slow-Train-Analysis-(2080s-and-2083s)?_g=(refreshInterval:(display:Off,pause:!f,section:0,value:0),time:(from:'2017-09-08T17:13:47-0600',mode:absolute,to:'2017-09-08T20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4" s="194" t="str">
        <f>IF(AA124&lt;VLOOKUP(AG124,Variables!$AC$3:$AD$8,2,FALSE),"Y","N")</f>
        <v>N</v>
      </c>
      <c r="X124" s="194">
        <f t="shared" si="28"/>
        <v>1</v>
      </c>
      <c r="Y124" s="194">
        <f t="shared" si="29"/>
        <v>23.3034</v>
      </c>
      <c r="Z124" s="194">
        <f t="shared" si="30"/>
        <v>1.49E-2</v>
      </c>
      <c r="AA124" s="194">
        <f t="shared" si="31"/>
        <v>23.288499999999999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 t="shared" si="32"/>
        <v>212</v>
      </c>
      <c r="AE124" s="77" t="str">
        <f t="shared" si="33"/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AF124" s="74" t="str">
        <f t="shared" si="34"/>
        <v>"C:\Program Files (x86)\AstroGrep\AstroGrep.exe" /e /r /s /spath="%USERPROFILE%\AppData\Local\Temp\OnboardLogs" /stypes="app*4057*20170909*" /stext=" 01:.+((SYSTEM_STATE.+slice.+state.+changed )|(ment ac)|(multiple cpu faults)|(system.+state.+changed )|(\[timeout)|(PRM\|1\|D)|(kpr)|(kdp)|(train st.+moving)|(\|lc)|(penalty))"</v>
      </c>
      <c r="AG124" s="206" t="str">
        <f t="shared" si="35"/>
        <v>EC</v>
      </c>
      <c r="AH124" s="78" t="str">
        <f t="shared" si="36"/>
        <v>"%USERPROFILE%\Documents\GitHub\eaglep3\Utilities\RefineRTDCRunTimes.py" --tripid 212-08 --locoid 4057 --swversion DE.1.0.9.0 --startMP 204:233034 --initTime 2017-09-08T18:13:47 --startdatetime 2017-09-08T18:27:14 --delay 53 --endMP 204:149 --enddatetime 2017-09-08T19:04:13 --enforcementcount 0 &gt;&gt;C:\Users\stu\Documents\GitHub\eaglep3-reporting\EC\2017-09-08-refined-times.txt</v>
      </c>
      <c r="AI124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{"issue":{"subject":"","project_id":79,"tracker_id":40,"status_id":1,"priority_id":2,"assigned_to_id":338,"start_date":"2017-09-08","description":"","custom_fields":[{"id":1,"name":"Subdivision","value":"EC"},{"id":4,"name":"Milepost","value":"0.0149"},{"id":17,"name":"Train ID","value":"212-08"},{"id":16,"name":"Locomotive ID","value":"4057"},{"id":130,"name":"Impact","value":""},{"id":150,"name":"Time of Event (Mountain Time)","value":"19:04:13"},{"id":151,"name":"Denver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8"/>
        <v>start /low /b %USERPROFILE%\Documents\GitHub\eaglep3\Utilities\DownloadLogsFromS3.py --loco 4057 --day 2017-09-08</v>
      </c>
      <c r="AN124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01:04:13"},{"id":29,"name":"Sharepoint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794</v>
      </c>
      <c r="B125" s="7">
        <v>4062</v>
      </c>
      <c r="C125" s="21" t="s">
        <v>197</v>
      </c>
      <c r="D125" s="21" t="s">
        <v>457</v>
      </c>
      <c r="E125" s="13">
        <v>42986.735798611109</v>
      </c>
      <c r="F125" s="13">
        <v>42986.739745370367</v>
      </c>
      <c r="G125" s="7">
        <v>115</v>
      </c>
      <c r="H125" s="21" t="s">
        <v>896</v>
      </c>
      <c r="I125" s="13">
        <v>42986.76458333333</v>
      </c>
      <c r="J125" s="7">
        <v>0</v>
      </c>
      <c r="K125" s="89" t="str">
        <f t="shared" si="22"/>
        <v>4061/4062</v>
      </c>
      <c r="L125" s="214" t="str">
        <f>VLOOKUP(A125,'Trips&amp;Operators'!$C$1:$G$99911,5,FALSE)</f>
        <v>MCREYNOLDS KYLE</v>
      </c>
      <c r="M125" s="6">
        <f t="shared" si="23"/>
        <v>2.4837962962919846E-2</v>
      </c>
      <c r="N125" s="7">
        <f t="shared" si="24"/>
        <v>35.766666666604578</v>
      </c>
      <c r="O125" s="7"/>
      <c r="P125" s="7"/>
      <c r="Q125" s="22"/>
      <c r="R125" s="167"/>
      <c r="S125" s="210">
        <f t="shared" si="25"/>
        <v>1</v>
      </c>
      <c r="T125" s="192" t="str">
        <f t="shared" si="26"/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27"/>
        <v>https://d0f6bd738d7f1b3e5a7ca70fe4ff75f0.us-east-1.aws.found.io/app/kibana#/discover/Steve-Slow-Train-Analysis-(2080s-and-2083s)?_g=(refreshInterval:(display:Off,pause:!f,section:0,value:0),time:(from:'2017-09-08T16:39:33-0600',mode:absolute,to:'2017-09-08T19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5" s="194" t="str">
        <f>IF(AA125&lt;VLOOKUP(AG125,Variables!$AC$3:$AD$8,2,FALSE),"Y","N")</f>
        <v>N</v>
      </c>
      <c r="X125" s="194">
        <f t="shared" si="28"/>
        <v>1</v>
      </c>
      <c r="Y125" s="194">
        <f t="shared" si="29"/>
        <v>4.3999999999999997E-2</v>
      </c>
      <c r="Z125" s="194">
        <f t="shared" si="30"/>
        <v>23.338200000000001</v>
      </c>
      <c r="AA125" s="194">
        <f t="shared" si="31"/>
        <v>23.2942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 t="shared" si="32"/>
        <v>213</v>
      </c>
      <c r="AE125" s="77" t="str">
        <f t="shared" si="33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125" s="74" t="str">
        <f t="shared" si="34"/>
        <v>"C:\Program Files (x86)\AstroGrep\AstroGrep.exe" /e /r /s /spath="%USERPROFILE%\AppData\Local\Temp\OnboardLogs" /stypes="app*4062*20170909*" /stext=" 00:.+((SYSTEM_STATE.+slice.+state.+changed )|(ment ac)|(multiple cpu faults)|(system.+state.+changed )|(\[timeout)|(PRM\|1\|D)|(kpr)|(kdp)|(train st.+moving)|(\|lc)|(penalty))"</v>
      </c>
      <c r="AG125" s="206" t="str">
        <f t="shared" si="35"/>
        <v>EC</v>
      </c>
      <c r="AH125" s="78" t="str">
        <f t="shared" si="36"/>
        <v>"%USERPROFILE%\Documents\GitHub\eaglep3\Utilities\RefineRTDCRunTimes.py" --tripid 213-08 --locoid 4062 --swversion DE.1.0.9.0 --startMP 204:440 --initTime 2017-09-08T17:39:33 --startdatetime 2017-09-08T17:45:14 --delay 115 --endMP 204:233382 --enddatetime 2017-09-08T18:21:00 --enforcementcount 0 &gt;&gt;C:\Users\stu\Documents\GitHub\eaglep3-reporting\EC\2017-09-08-refined-times.txt</v>
      </c>
      <c r="AI125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{"issue":{"subject":"","project_id":79,"tracker_id":40,"status_id":1,"priority_id":2,"assigned_to_id":338,"start_date":"2017-09-08","description":"","custom_fields":[{"id":1,"name":"Subdivision","value":"EC"},{"id":4,"name":"Milepost","value":"23.3382"},{"id":17,"name":"Train ID","value":"213-08"},{"id":16,"name":"Locomotive ID","value":"4062"},{"id":130,"name":"Impact","value":""},{"id":150,"name":"Time of Event (Mountain Time)","value":"18:21:00"},{"id":151,"name":"Denver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8"/>
        <v>start /low /b %USERPROFILE%\Documents\GitHub\eaglep3\Utilities\DownloadLogsFromS3.py --loco 4062 --day 2017-09-08</v>
      </c>
      <c r="AN125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801</v>
      </c>
      <c r="B126" s="7">
        <v>4061</v>
      </c>
      <c r="C126" s="21" t="s">
        <v>197</v>
      </c>
      <c r="D126" s="21" t="s">
        <v>897</v>
      </c>
      <c r="E126" s="13">
        <v>42986.766296296293</v>
      </c>
      <c r="F126" s="13">
        <v>42986.779340277775</v>
      </c>
      <c r="G126" s="7">
        <v>70</v>
      </c>
      <c r="H126" s="21" t="s">
        <v>404</v>
      </c>
      <c r="I126" s="13">
        <v>42986.804826388892</v>
      </c>
      <c r="J126" s="7">
        <v>0</v>
      </c>
      <c r="K126" s="89" t="str">
        <f t="shared" si="22"/>
        <v>4061/4062</v>
      </c>
      <c r="L126" s="214" t="str">
        <f>VLOOKUP(A126,'Trips&amp;Operators'!$C$1:$G$99911,5,FALSE)</f>
        <v>MCREYNOLDS KYLE</v>
      </c>
      <c r="M126" s="6">
        <f t="shared" si="23"/>
        <v>2.5486111117061228E-2</v>
      </c>
      <c r="N126" s="7">
        <f t="shared" si="24"/>
        <v>36.700000008568168</v>
      </c>
      <c r="O126" s="7"/>
      <c r="P126" s="7"/>
      <c r="Q126" s="22"/>
      <c r="R126" s="167"/>
      <c r="S126" s="210">
        <f t="shared" si="25"/>
        <v>1</v>
      </c>
      <c r="T126" s="192" t="str">
        <f t="shared" si="26"/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27"/>
        <v>https://d0f6bd738d7f1b3e5a7ca70fe4ff75f0.us-east-1.aws.found.io/app/kibana#/discover/Steve-Slow-Train-Analysis-(2080s-and-2083s)?_g=(refreshInterval:(display:Off,pause:!f,section:0,value:0),time:(from:'2017-09-08T17:23:28-0600',mode:absolute,to:'2017-09-08T20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6" s="194" t="str">
        <f>IF(AA126&lt;VLOOKUP(AG126,Variables!$AC$3:$AD$8,2,FALSE),"Y","N")</f>
        <v>N</v>
      </c>
      <c r="X126" s="194">
        <f t="shared" si="28"/>
        <v>1</v>
      </c>
      <c r="Y126" s="194">
        <f t="shared" si="29"/>
        <v>23.305900000000001</v>
      </c>
      <c r="Z126" s="194">
        <f t="shared" si="30"/>
        <v>1.6E-2</v>
      </c>
      <c r="AA126" s="194">
        <f t="shared" si="31"/>
        <v>23.289900000000003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 t="shared" si="32"/>
        <v>214</v>
      </c>
      <c r="AE126" s="77" t="str">
        <f t="shared" si="33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126" s="74" t="str">
        <f t="shared" si="34"/>
        <v>"C:\Program Files (x86)\AstroGrep\AstroGrep.exe" /e /r /s /spath="%USERPROFILE%\AppData\Local\Temp\OnboardLogs" /stypes="app*4061*20170909*" /stext=" 01:.+((SYSTEM_STATE.+slice.+state.+changed )|(ment ac)|(multiple cpu faults)|(system.+state.+changed )|(\[timeout)|(PRM\|1\|D)|(kpr)|(kdp)|(train st.+moving)|(\|lc)|(penalty))"</v>
      </c>
      <c r="AG126" s="206" t="str">
        <f t="shared" si="35"/>
        <v>EC</v>
      </c>
      <c r="AH126" s="78" t="str">
        <f t="shared" si="36"/>
        <v>"%USERPROFILE%\Documents\GitHub\eaglep3\Utilities\RefineRTDCRunTimes.py" --tripid 214-08 --locoid 4061 --swversion DE.1.0.9.0 --startMP 204:233059 --initTime 2017-09-08T18:23:28 --startdatetime 2017-09-08T18:42:15 --delay 70 --endMP 204:160 --enddatetime 2017-09-08T19:18:57 --enforcementcount 0 &gt;&gt;C:\Users\stu\Documents\GitHub\eaglep3-reporting\EC\2017-09-08-refined-times.txt</v>
      </c>
      <c r="AI126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{"issue":{"subject":"","project_id":79,"tracker_id":40,"status_id":1,"priority_id":2,"assigned_to_id":338,"start_date":"2017-09-08","description":"","custom_fields":[{"id":1,"name":"Subdivision","value":"EC"},{"id":4,"name":"Milepost","value":"0.016"},{"id":17,"name":"Train ID","value":"214-08"},{"id":16,"name":"Locomotive ID","value":"4061"},{"id":130,"name":"Impact","value":""},{"id":150,"name":"Time of Event (Mountain Time)","value":"19:18:57"},{"id":151,"name":"Denver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8"/>
        <v>start /low /b %USERPROFILE%\Documents\GitHub\eaglep3\Utilities\DownloadLogsFromS3.py --loco 4061 --day 2017-09-08</v>
      </c>
      <c r="AN126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01:18:57"},{"id":29,"name":"Sharepoint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796</v>
      </c>
      <c r="B127" s="7">
        <v>4032</v>
      </c>
      <c r="C127" s="21" t="s">
        <v>197</v>
      </c>
      <c r="D127" s="21" t="s">
        <v>575</v>
      </c>
      <c r="E127" s="13">
        <v>42986.745428240742</v>
      </c>
      <c r="F127" s="13">
        <v>42986.750416666669</v>
      </c>
      <c r="G127" s="7">
        <v>74</v>
      </c>
      <c r="H127" s="21" t="s">
        <v>895</v>
      </c>
      <c r="I127" s="13">
        <v>42986.775185185186</v>
      </c>
      <c r="J127" s="7">
        <v>0</v>
      </c>
      <c r="K127" s="89" t="str">
        <f t="shared" si="22"/>
        <v>4031/4032</v>
      </c>
      <c r="L127" s="214" t="str">
        <f>VLOOKUP(A127,'Trips&amp;Operators'!$C$1:$G$99911,5,FALSE)</f>
        <v>ZEWDU DEREJE</v>
      </c>
      <c r="M127" s="6">
        <f t="shared" si="23"/>
        <v>2.4768518516793847E-2</v>
      </c>
      <c r="N127" s="7">
        <f t="shared" si="24"/>
        <v>35.66666666418314</v>
      </c>
      <c r="O127" s="7"/>
      <c r="P127" s="7"/>
      <c r="Q127" s="22"/>
      <c r="R127" s="167"/>
      <c r="S127" s="210">
        <f t="shared" si="25"/>
        <v>1</v>
      </c>
      <c r="T127" s="192" t="str">
        <f t="shared" si="26"/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27"/>
        <v>https://d0f6bd738d7f1b3e5a7ca70fe4ff75f0.us-east-1.aws.found.io/app/kibana#/discover/Steve-Slow-Train-Analysis-(2080s-and-2083s)?_g=(refreshInterval:(display:Off,pause:!f,section:0,value:0),time:(from:'2017-09-08T16:53:25-0600',mode:absolute,to:'2017-09-08T19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7" s="194" t="str">
        <f>IF(AA127&lt;VLOOKUP(AG127,Variables!$AC$3:$AD$8,2,FALSE),"Y","N")</f>
        <v>N</v>
      </c>
      <c r="X127" s="194">
        <f t="shared" si="28"/>
        <v>1</v>
      </c>
      <c r="Y127" s="194">
        <f t="shared" si="29"/>
        <v>4.5100000000000001E-2</v>
      </c>
      <c r="Z127" s="194">
        <f t="shared" si="30"/>
        <v>23.3353</v>
      </c>
      <c r="AA127" s="194">
        <f t="shared" si="31"/>
        <v>23.290199999999999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32"/>
        <v>215</v>
      </c>
      <c r="AE127" s="77" t="str">
        <f t="shared" si="33"/>
        <v>aws s3 cp s3://rtdc.mdm.uploadarchive.raw/RTDC4032/ "%USERPROFILE%\AppData\Local\Temp\OnboardLogs"\RTDC4032\2017-09-08 --exclude "*" --recursive --include "*20170908*" &amp; "%USERPROFILE%\Documents\GitHub\mrs-test-scripts\Headless Mode &amp; Sideloading\WalkAndUnGZ.bat" "%USERPROFILE%\AppData\Local\Temp\OnboardLogs"\RTDC4032\2017-09-08 &amp; aws s3 cp s3://rtdc.mdm.uploadarchive.raw/RTDC4032/ "%USERPROFILE%\AppData\Local\Temp\OnboardLogs"\RTDC4032\2017-09-09 --exclude "*" --recursive --include "*20170909*" &amp; "%USERPROFILE%\Documents\GitHub\mrs-test-scripts\Headless Mode &amp; Sideloading\WalkAndUnGZ.bat" "%USERPROFILE%\AppData\Local\Temp\OnboardLogs"\RTDC4032\2017-09-09</v>
      </c>
      <c r="AF127" s="74" t="str">
        <f t="shared" si="34"/>
        <v>"C:\Program Files (x86)\AstroGrep\AstroGrep.exe" /e /r /s /spath="%USERPROFILE%\AppData\Local\Temp\OnboardLogs" /stypes="app*4032*20170909*" /stext=" 00:.+((SYSTEM_STATE.+slice.+state.+changed )|(ment ac)|(multiple cpu faults)|(system.+state.+changed )|(\[timeout)|(PRM\|1\|D)|(kpr)|(kdp)|(train st.+moving)|(\|lc)|(penalty))"</v>
      </c>
      <c r="AG127" s="206" t="str">
        <f t="shared" si="35"/>
        <v>EC</v>
      </c>
      <c r="AH127" s="78" t="str">
        <f t="shared" si="36"/>
        <v>"%USERPROFILE%\Documents\GitHub\eaglep3\Utilities\RefineRTDCRunTimes.py" --tripid 215-08 --locoid 4032 --swversion DE.1.0.9.0 --startMP 204:451 --initTime 2017-09-08T17:53:25 --startdatetime 2017-09-08T18:00:36 --delay 74 --endMP 204:233353 --enddatetime 2017-09-08T18:36:16 --enforcementcount 0 &gt;&gt;C:\Users\stu\Documents\GitHub\eaglep3-reporting\EC\2017-09-08-refined-times.txt</v>
      </c>
      <c r="AI127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{"issue":{"subject":"","project_id":79,"tracker_id":40,"status_id":1,"priority_id":2,"assigned_to_id":338,"start_date":"2017-09-08","description":"","custom_fields":[{"id":1,"name":"Subdivision","value":"EC"},{"id":4,"name":"Milepost","value":"23.3353"},{"id":17,"name":"Train ID","value":"215-08"},{"id":16,"name":"Locomotive ID","value":"4032"},{"id":130,"name":"Impact","value":""},{"id":150,"name":"Time of Event (Mountain Time)","value":"18:36:16"},{"id":151,"name":"Denver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8"/>
        <v>start /low /b %USERPROFILE%\Documents\GitHub\eaglep3\Utilities\DownloadLogsFromS3.py --loco 4032 --day 2017-09-08</v>
      </c>
      <c r="AN127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631</v>
      </c>
      <c r="B128" s="7">
        <v>4031</v>
      </c>
      <c r="C128" s="21" t="s">
        <v>197</v>
      </c>
      <c r="D128" s="21" t="s">
        <v>898</v>
      </c>
      <c r="E128" s="13">
        <v>42986.781944444447</v>
      </c>
      <c r="F128" s="13">
        <v>42986.789872685185</v>
      </c>
      <c r="G128" s="7">
        <v>136</v>
      </c>
      <c r="H128" s="21" t="s">
        <v>404</v>
      </c>
      <c r="I128" s="13">
        <v>42986.816238425927</v>
      </c>
      <c r="J128" s="7">
        <v>0</v>
      </c>
      <c r="K128" s="89" t="str">
        <f t="shared" si="22"/>
        <v>4031/4032</v>
      </c>
      <c r="L128" s="214" t="str">
        <f>VLOOKUP(A128,'Trips&amp;Operators'!$C$1:$G$99911,5,FALSE)</f>
        <v>ZEWDU DEREJE</v>
      </c>
      <c r="M128" s="6">
        <f t="shared" si="23"/>
        <v>2.6365740741312038E-2</v>
      </c>
      <c r="N128" s="7">
        <f t="shared" si="24"/>
        <v>37.966666667489335</v>
      </c>
      <c r="O128" s="7"/>
      <c r="P128" s="7"/>
      <c r="Q128" s="22"/>
      <c r="R128" s="167"/>
      <c r="S128" s="210">
        <f t="shared" si="25"/>
        <v>1</v>
      </c>
      <c r="T128" s="192" t="str">
        <f t="shared" si="26"/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27"/>
        <v>https://d0f6bd738d7f1b3e5a7ca70fe4ff75f0.us-east-1.aws.found.io/app/kibana#/discover/Steve-Slow-Train-Analysis-(2080s-and-2083s)?_g=(refreshInterval:(display:Off,pause:!f,section:0,value:0),time:(from:'2017-09-08T17:46:00-0600',mode:absolute,to:'2017-09-08T20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8" s="194" t="str">
        <f>IF(AA128&lt;VLOOKUP(AG128,Variables!$AC$3:$AD$8,2,FALSE),"Y","N")</f>
        <v>N</v>
      </c>
      <c r="X128" s="194">
        <f t="shared" si="28"/>
        <v>1</v>
      </c>
      <c r="Y128" s="194">
        <f t="shared" si="29"/>
        <v>23.302700000000002</v>
      </c>
      <c r="Z128" s="194">
        <f t="shared" si="30"/>
        <v>1.6E-2</v>
      </c>
      <c r="AA128" s="194">
        <f t="shared" si="31"/>
        <v>23.286700000000003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32"/>
        <v>216</v>
      </c>
      <c r="AE128" s="77" t="str">
        <f t="shared" si="33"/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AF128" s="74" t="str">
        <f t="shared" si="34"/>
        <v>"C:\Program Files (x86)\AstroGrep\AstroGrep.exe" /e /r /s /spath="%USERPROFILE%\AppData\Local\Temp\OnboardLogs" /stypes="app*4031*20170909*" /stext=" 01:.+((SYSTEM_STATE.+slice.+state.+changed )|(ment ac)|(multiple cpu faults)|(system.+state.+changed )|(\[timeout)|(PRM\|1\|D)|(kpr)|(kdp)|(train st.+moving)|(\|lc)|(penalty))"</v>
      </c>
      <c r="AG128" s="206" t="str">
        <f t="shared" si="35"/>
        <v>EC</v>
      </c>
      <c r="AH128" s="78" t="str">
        <f t="shared" si="36"/>
        <v>"%USERPROFILE%\Documents\GitHub\eaglep3\Utilities\RefineRTDCRunTimes.py" --tripid 216-08 --locoid 4031 --swversion DE.1.0.9.0 --startMP 204:233027 --initTime 2017-09-08T18:46:00 --startdatetime 2017-09-08T18:57:25 --delay 136 --endMP 204:160 --enddatetime 2017-09-08T19:35:23 --enforcementcount 0 &gt;&gt;C:\Users\stu\Documents\GitHub\eaglep3-reporting\EC\2017-09-08-refined-times.txt</v>
      </c>
      <c r="AI128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{"issue":{"subject":"","project_id":79,"tracker_id":40,"status_id":1,"priority_id":2,"assigned_to_id":338,"start_date":"2017-09-08","description":"","custom_fields":[{"id":1,"name":"Subdivision","value":"EC"},{"id":4,"name":"Milepost","value":"0.016"},{"id":17,"name":"Train ID","value":"216-08"},{"id":16,"name":"Locomotive ID","value":"4031"},{"id":130,"name":"Impact","value":""},{"id":150,"name":"Time of Event (Mountain Time)","value":"19:35:23"},{"id":151,"name":"Denver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8"/>
        <v>start /low /b %USERPROFILE%\Documents\GitHub\eaglep3\Utilities\DownloadLogsFromS3.py --loco 4031 --day 2017-09-08</v>
      </c>
      <c r="AN128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01:35:23"},{"id":29,"name":"Sharepoint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800</v>
      </c>
      <c r="B129" s="7">
        <v>4006</v>
      </c>
      <c r="C129" s="21" t="s">
        <v>197</v>
      </c>
      <c r="D129" s="21" t="s">
        <v>405</v>
      </c>
      <c r="E129" s="13">
        <v>42986.755439814813</v>
      </c>
      <c r="F129" s="13">
        <v>42986.760636574072</v>
      </c>
      <c r="G129" s="7">
        <v>69</v>
      </c>
      <c r="H129" s="21" t="s">
        <v>894</v>
      </c>
      <c r="I129" s="13">
        <v>42986.785381944443</v>
      </c>
      <c r="J129" s="7">
        <v>0</v>
      </c>
      <c r="K129" s="89" t="str">
        <f t="shared" si="22"/>
        <v>4005/4006</v>
      </c>
      <c r="L129" s="214" t="str">
        <f>VLOOKUP(A129,'Trips&amp;Operators'!$C$1:$G$99911,5,FALSE)</f>
        <v>PERKINS DARREN</v>
      </c>
      <c r="M129" s="6">
        <f t="shared" si="23"/>
        <v>2.47453703705105E-2</v>
      </c>
      <c r="N129" s="7">
        <f t="shared" si="24"/>
        <v>35.63333333353512</v>
      </c>
      <c r="O129" s="7"/>
      <c r="P129" s="7"/>
      <c r="Q129" s="22"/>
      <c r="R129" s="167"/>
      <c r="S129" s="210">
        <f t="shared" si="25"/>
        <v>1</v>
      </c>
      <c r="T129" s="192" t="str">
        <f t="shared" si="26"/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27"/>
        <v>https://d0f6bd738d7f1b3e5a7ca70fe4ff75f0.us-east-1.aws.found.io/app/kibana#/discover/Steve-Slow-Train-Analysis-(2080s-and-2083s)?_g=(refreshInterval:(display:Off,pause:!f,section:0,value:0),time:(from:'2017-09-08T17:07:50-0600',mode:absolute,to:'2017-09-08T19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9" s="194" t="str">
        <f>IF(AA129&lt;VLOOKUP(AG129,Variables!$AC$3:$AD$8,2,FALSE),"Y","N")</f>
        <v>N</v>
      </c>
      <c r="X129" s="194">
        <f t="shared" si="28"/>
        <v>1</v>
      </c>
      <c r="Y129" s="194">
        <f t="shared" si="29"/>
        <v>4.5999999999999999E-2</v>
      </c>
      <c r="Z129" s="194">
        <f t="shared" si="30"/>
        <v>23.335100000000001</v>
      </c>
      <c r="AA129" s="194">
        <f t="shared" si="31"/>
        <v>23.289100000000001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 t="shared" si="32"/>
        <v>217</v>
      </c>
      <c r="AE129" s="77" t="str">
        <f t="shared" si="33"/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AF129" s="74" t="str">
        <f t="shared" si="34"/>
        <v>"C:\Program Files (x86)\AstroGrep\AstroGrep.exe" /e /r /s /spath="%USERPROFILE%\AppData\Local\Temp\OnboardLogs" /stypes="app*4006*20170909*" /stext=" 00:.+((SYSTEM_STATE.+slice.+state.+changed )|(ment ac)|(multiple cpu faults)|(system.+state.+changed )|(\[timeout)|(PRM\|1\|D)|(kpr)|(kdp)|(train st.+moving)|(\|lc)|(penalty))"</v>
      </c>
      <c r="AG129" s="206" t="str">
        <f t="shared" si="35"/>
        <v>EC</v>
      </c>
      <c r="AH129" s="78" t="str">
        <f t="shared" si="36"/>
        <v>"%USERPROFILE%\Documents\GitHub\eaglep3\Utilities\RefineRTDCRunTimes.py" --tripid 217-08 --locoid 4006 --swversion DE.1.0.9.0 --startMP 204:460 --initTime 2017-09-08T18:07:50 --startdatetime 2017-09-08T18:15:19 --delay 69 --endMP 204:233351 --enddatetime 2017-09-08T18:50:57 --enforcementcount 0 &gt;&gt;C:\Users\stu\Documents\GitHub\eaglep3-reporting\EC\2017-09-08-refined-times.txt</v>
      </c>
      <c r="AI129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{"issue":{"subject":"","project_id":79,"tracker_id":40,"status_id":1,"priority_id":2,"assigned_to_id":338,"start_date":"2017-09-08","description":"","custom_fields":[{"id":1,"name":"Subdivision","value":"EC"},{"id":4,"name":"Milepost","value":"23.3351"},{"id":17,"name":"Train ID","value":"217-08"},{"id":16,"name":"Locomotive ID","value":"4006"},{"id":130,"name":"Impact","value":""},{"id":150,"name":"Time of Event (Mountain Time)","value":"18:50:57"},{"id":151,"name":"Denver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8"/>
        <v>start /low /b %USERPROFILE%\Documents\GitHub\eaglep3\Utilities\DownloadLogsFromS3.py --loco 4006 --day 2017-09-08</v>
      </c>
      <c r="AN129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808</v>
      </c>
      <c r="B130" s="7">
        <v>4005</v>
      </c>
      <c r="C130" s="21" t="s">
        <v>197</v>
      </c>
      <c r="D130" s="21" t="s">
        <v>899</v>
      </c>
      <c r="E130" s="13">
        <v>42986.789837962962</v>
      </c>
      <c r="F130" s="13">
        <v>42986.800185185188</v>
      </c>
      <c r="G130" s="7">
        <v>72</v>
      </c>
      <c r="H130" s="21" t="s">
        <v>464</v>
      </c>
      <c r="I130" s="13">
        <v>42986.82539351852</v>
      </c>
      <c r="J130" s="7">
        <v>0</v>
      </c>
      <c r="K130" s="89" t="str">
        <f t="shared" si="22"/>
        <v>4005/4006</v>
      </c>
      <c r="L130" s="214" t="str">
        <f>VLOOKUP(A130,'Trips&amp;Operators'!$C$1:$G$99911,5,FALSE)</f>
        <v>PERKINS DARREN</v>
      </c>
      <c r="M130" s="6">
        <f t="shared" si="23"/>
        <v>2.5208333332557231E-2</v>
      </c>
      <c r="N130" s="7">
        <f t="shared" si="24"/>
        <v>36.299999998882413</v>
      </c>
      <c r="O130" s="7"/>
      <c r="P130" s="7"/>
      <c r="Q130" s="22"/>
      <c r="R130" s="167"/>
      <c r="S130" s="210">
        <f t="shared" si="25"/>
        <v>1</v>
      </c>
      <c r="T130" s="192" t="str">
        <f t="shared" si="26"/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27"/>
        <v>https://d0f6bd738d7f1b3e5a7ca70fe4ff75f0.us-east-1.aws.found.io/app/kibana#/discover/Steve-Slow-Train-Analysis-(2080s-and-2083s)?_g=(refreshInterval:(display:Off,pause:!f,section:0,value:0),time:(from:'2017-09-08T17:57:22-0600',mode:absolute,to:'2017-09-08T20:48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0" s="194" t="str">
        <f>IF(AA130&lt;VLOOKUP(AG130,Variables!$AC$3:$AD$8,2,FALSE),"Y","N")</f>
        <v>N</v>
      </c>
      <c r="X130" s="194">
        <f t="shared" si="28"/>
        <v>1</v>
      </c>
      <c r="Y130" s="194">
        <f t="shared" si="29"/>
        <v>23.3032</v>
      </c>
      <c r="Z130" s="194">
        <f t="shared" si="30"/>
        <v>1.3899999999999999E-2</v>
      </c>
      <c r="AA130" s="194">
        <f t="shared" si="31"/>
        <v>23.289300000000001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si="32"/>
        <v>218</v>
      </c>
      <c r="AE130" s="77" t="str">
        <f t="shared" si="33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130" s="74" t="str">
        <f t="shared" si="34"/>
        <v>"C:\Program Files (x86)\AstroGrep\AstroGrep.exe" /e /r /s /spath="%USERPROFILE%\AppData\Local\Temp\OnboardLogs" /stypes="app*4005*20170909*" /stext=" 01:.+((SYSTEM_STATE.+slice.+state.+changed )|(ment ac)|(multiple cpu faults)|(system.+state.+changed )|(\[timeout)|(PRM\|1\|D)|(kpr)|(kdp)|(train st.+moving)|(\|lc)|(penalty))"</v>
      </c>
      <c r="AG130" s="206" t="str">
        <f t="shared" si="35"/>
        <v>EC</v>
      </c>
      <c r="AH130" s="78" t="str">
        <f t="shared" si="36"/>
        <v>"%USERPROFILE%\Documents\GitHub\eaglep3\Utilities\RefineRTDCRunTimes.py" --tripid 218-08 --locoid 4005 --swversion DE.1.0.9.0 --startMP 204:233032 --initTime 2017-09-08T18:57:22 --startdatetime 2017-09-08T19:12:16 --delay 72 --endMP 204:139 --enddatetime 2017-09-08T19:48:34 --enforcementcount 0 &gt;&gt;C:\Users\stu\Documents\GitHub\eaglep3-reporting\EC\2017-09-08-refined-times.txt</v>
      </c>
      <c r="AI130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{"issue":{"subject":"","project_id":79,"tracker_id":40,"status_id":1,"priority_id":2,"assigned_to_id":338,"start_date":"2017-09-08","description":"","custom_fields":[{"id":1,"name":"Subdivision","value":"EC"},{"id":4,"name":"Milepost","value":"0.0139"},{"id":17,"name":"Train ID","value":"218-08"},{"id":16,"name":"Locomotive ID","value":"4005"},{"id":130,"name":"Impact","value":""},{"id":150,"name":"Time of Event (Mountain Time)","value":"19:48:34"},{"id":151,"name":"Denver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8"/>
        <v>start /low /b %USERPROFILE%\Documents\GitHub\eaglep3\Utilities\DownloadLogsFromS3.py --loco 4005 --day 2017-09-08</v>
      </c>
      <c r="AN130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01:48:34"},{"id":29,"name":"Sharepoint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802</v>
      </c>
      <c r="B131" s="7">
        <v>4034</v>
      </c>
      <c r="C131" s="21" t="s">
        <v>197</v>
      </c>
      <c r="D131" s="21" t="s">
        <v>527</v>
      </c>
      <c r="E131" s="13">
        <v>42986.766342592593</v>
      </c>
      <c r="F131" s="13">
        <v>42986.771053240744</v>
      </c>
      <c r="G131" s="7">
        <v>76</v>
      </c>
      <c r="H131" s="21" t="s">
        <v>880</v>
      </c>
      <c r="I131" s="13">
        <v>42986.796770833331</v>
      </c>
      <c r="J131" s="7">
        <v>0</v>
      </c>
      <c r="K131" s="89" t="str">
        <f t="shared" si="22"/>
        <v>4033/4034</v>
      </c>
      <c r="L131" s="214" t="str">
        <f>VLOOKUP(A131,'Trips&amp;Operators'!$C$1:$G$99911,5,FALSE)</f>
        <v>DAVIDSON DAVID</v>
      </c>
      <c r="M131" s="6">
        <f t="shared" si="23"/>
        <v>2.5717592587170657E-2</v>
      </c>
      <c r="N131" s="7">
        <f t="shared" si="24"/>
        <v>37.033333325525746</v>
      </c>
      <c r="O131" s="7"/>
      <c r="P131" s="7"/>
      <c r="Q131" s="22"/>
      <c r="R131" s="167"/>
      <c r="S131" s="210">
        <f t="shared" si="25"/>
        <v>1</v>
      </c>
      <c r="T131" s="192" t="str">
        <f t="shared" si="26"/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27"/>
        <v>https://d0f6bd738d7f1b3e5a7ca70fe4ff75f0.us-east-1.aws.found.io/app/kibana#/discover/Steve-Slow-Train-Analysis-(2080s-and-2083s)?_g=(refreshInterval:(display:Off,pause:!f,section:0,value:0),time:(from:'2017-09-08T17:23:32-0600',mode:absolute,to:'2017-09-08T20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1" s="194" t="str">
        <f>IF(AA131&lt;VLOOKUP(AG131,Variables!$AC$3:$AD$8,2,FALSE),"Y","N")</f>
        <v>N</v>
      </c>
      <c r="X131" s="194">
        <f t="shared" si="28"/>
        <v>1</v>
      </c>
      <c r="Y131" s="194">
        <f t="shared" si="29"/>
        <v>4.7500000000000001E-2</v>
      </c>
      <c r="Z131" s="194">
        <f t="shared" si="30"/>
        <v>23.3291</v>
      </c>
      <c r="AA131" s="194">
        <f t="shared" si="31"/>
        <v>23.281600000000001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 t="shared" si="32"/>
        <v>219</v>
      </c>
      <c r="AE131" s="77" t="str">
        <f t="shared" si="33"/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AF131" s="74" t="str">
        <f t="shared" si="34"/>
        <v>"C:\Program Files (x86)\AstroGrep\AstroGrep.exe" /e /r /s /spath="%USERPROFILE%\AppData\Local\Temp\OnboardLogs" /stypes="app*4034*20170909*" /stext=" 01:.+((SYSTEM_STATE.+slice.+state.+changed )|(ment ac)|(multiple cpu faults)|(system.+state.+changed )|(\[timeout)|(PRM\|1\|D)|(kpr)|(kdp)|(train st.+moving)|(\|lc)|(penalty))"</v>
      </c>
      <c r="AG131" s="206" t="str">
        <f t="shared" si="35"/>
        <v>EC</v>
      </c>
      <c r="AH131" s="78" t="str">
        <f t="shared" si="36"/>
        <v>"%USERPROFILE%\Documents\GitHub\eaglep3\Utilities\RefineRTDCRunTimes.py" --tripid 219-08 --locoid 4034 --swversion DE.1.0.9.0 --startMP 204:475 --initTime 2017-09-08T18:23:32 --startdatetime 2017-09-08T18:30:19 --delay 76 --endMP 204:233291 --enddatetime 2017-09-08T19:07:21 --enforcementcount 0 &gt;&gt;C:\Users\stu\Documents\GitHub\eaglep3-reporting\EC\2017-09-08-refined-times.txt</v>
      </c>
      <c r="AI131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{"issue":{"subject":"","project_id":79,"tracker_id":40,"status_id":1,"priority_id":2,"assigned_to_id":338,"start_date":"2017-09-08","description":"","custom_fields":[{"id":1,"name":"Subdivision","value":"EC"},{"id":4,"name":"Milepost","value":"23.3291"},{"id":17,"name":"Train ID","value":"219-08"},{"id":16,"name":"Locomotive ID","value":"4034"},{"id":130,"name":"Impact","value":""},{"id":150,"name":"Time of Event (Mountain Time)","value":"19:07:21"},{"id":151,"name":"Denver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8"/>
        <v>start /low /b %USERPROFILE%\Documents\GitHub\eaglep3\Utilities\DownloadLogsFromS3.py --loco 4034 --day 2017-09-08</v>
      </c>
      <c r="AN131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01:07:21"},{"id":29,"name":"Sharepoint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811</v>
      </c>
      <c r="B132" s="7">
        <v>4033</v>
      </c>
      <c r="C132" s="21" t="s">
        <v>197</v>
      </c>
      <c r="D132" s="21" t="s">
        <v>900</v>
      </c>
      <c r="E132" s="13">
        <v>42986.798194444447</v>
      </c>
      <c r="F132" s="13">
        <v>42986.810729166667</v>
      </c>
      <c r="G132" s="7">
        <v>81</v>
      </c>
      <c r="H132" s="21" t="s">
        <v>404</v>
      </c>
      <c r="I132" s="13">
        <v>42986.83803240741</v>
      </c>
      <c r="J132" s="7">
        <v>0</v>
      </c>
      <c r="K132" s="89" t="str">
        <f t="shared" si="22"/>
        <v>4033/4034</v>
      </c>
      <c r="L132" s="214" t="str">
        <f>VLOOKUP(A132,'Trips&amp;Operators'!$C$1:$G$99911,5,FALSE)</f>
        <v>DAVIDSON DAVID</v>
      </c>
      <c r="M132" s="6">
        <f t="shared" si="23"/>
        <v>2.7303240742185153E-2</v>
      </c>
      <c r="N132" s="7">
        <f t="shared" si="24"/>
        <v>39.31666666874662</v>
      </c>
      <c r="O132" s="7"/>
      <c r="P132" s="7"/>
      <c r="Q132" s="22"/>
      <c r="R132" s="167"/>
      <c r="S132" s="210">
        <f t="shared" si="25"/>
        <v>1</v>
      </c>
      <c r="T132" s="192" t="str">
        <f t="shared" si="26"/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27"/>
        <v>https://d0f6bd738d7f1b3e5a7ca70fe4ff75f0.us-east-1.aws.found.io/app/kibana#/discover/Steve-Slow-Train-Analysis-(2080s-and-2083s)?_g=(refreshInterval:(display:Off,pause:!f,section:0,value:0),time:(from:'2017-09-08T18:09:24-0600',mode:absolute,to:'2017-09-08T21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32" s="194" t="str">
        <f>IF(AA132&lt;VLOOKUP(AG132,Variables!$AC$3:$AD$8,2,FALSE),"Y","N")</f>
        <v>N</v>
      </c>
      <c r="X132" s="194">
        <f t="shared" si="28"/>
        <v>1</v>
      </c>
      <c r="Y132" s="194">
        <f t="shared" si="29"/>
        <v>23.297000000000001</v>
      </c>
      <c r="Z132" s="194">
        <f t="shared" si="30"/>
        <v>1.6E-2</v>
      </c>
      <c r="AA132" s="194">
        <f t="shared" si="31"/>
        <v>23.281000000000002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 t="shared" si="32"/>
        <v>220</v>
      </c>
      <c r="AE132" s="77" t="str">
        <f t="shared" si="33"/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132" s="74" t="str">
        <f t="shared" si="34"/>
        <v>"C:\Program Files (x86)\AstroGrep\AstroGrep.exe" /e /r /s /spath="%USERPROFILE%\AppData\Local\Temp\OnboardLogs" /stypes="app*4033*20170909*" /stext=" 02:.+((SYSTEM_STATE.+slice.+state.+changed )|(ment ac)|(multiple cpu faults)|(system.+state.+changed )|(\[timeout)|(PRM\|1\|D)|(kpr)|(kdp)|(train st.+moving)|(\|lc)|(penalty))"</v>
      </c>
      <c r="AG132" s="206" t="str">
        <f t="shared" si="35"/>
        <v>EC</v>
      </c>
      <c r="AH132" s="78" t="str">
        <f t="shared" si="36"/>
        <v>"%USERPROFILE%\Documents\GitHub\eaglep3\Utilities\RefineRTDCRunTimes.py" --tripid 220-08 --locoid 4033 --swversion DE.1.0.9.0 --startMP 204:232970 --initTime 2017-09-08T19:09:24 --startdatetime 2017-09-08T19:27:27 --delay 81 --endMP 204:160 --enddatetime 2017-09-08T20:06:46 --enforcementcount 0 &gt;&gt;C:\Users\stu\Documents\GitHub\eaglep3-reporting\EC\2017-09-08-refined-times.txt</v>
      </c>
      <c r="AI132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{"issue":{"subject":"","project_id":79,"tracker_id":40,"status_id":1,"priority_id":2,"assigned_to_id":338,"start_date":"2017-09-08","description":"","custom_fields":[{"id":1,"name":"Subdivision","value":"EC"},{"id":4,"name":"Milepost","value":"0.016"},{"id":17,"name":"Train ID","value":"220-08"},{"id":16,"name":"Locomotive ID","value":"4033"},{"id":130,"name":"Impact","value":""},{"id":150,"name":"Time of Event (Mountain Time)","value":"20:06:46"},{"id":151,"name":"Denver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8"/>
        <v>start /low /b %USERPROFILE%\Documents\GitHub\eaglep3\Utilities\DownloadLogsFromS3.py --loco 4033 --day 2017-09-08</v>
      </c>
      <c r="AN132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806</v>
      </c>
      <c r="B133" s="7">
        <v>4002</v>
      </c>
      <c r="C133" s="21" t="s">
        <v>197</v>
      </c>
      <c r="D133" s="21" t="s">
        <v>391</v>
      </c>
      <c r="E133" s="13">
        <v>42986.787164351852</v>
      </c>
      <c r="F133" s="13">
        <v>42986.791851851849</v>
      </c>
      <c r="G133" s="7">
        <v>89</v>
      </c>
      <c r="H133" s="21" t="s">
        <v>901</v>
      </c>
      <c r="I133" s="13">
        <v>42986.815844907411</v>
      </c>
      <c r="J133" s="7">
        <v>0</v>
      </c>
      <c r="K133" s="89" t="str">
        <f t="shared" si="22"/>
        <v>4001/4002</v>
      </c>
      <c r="L133" s="214" t="str">
        <f>VLOOKUP(A133,'Trips&amp;Operators'!$C$1:$G$99911,5,FALSE)</f>
        <v>HART KEVIN</v>
      </c>
      <c r="M133" s="6">
        <f t="shared" si="23"/>
        <v>2.3993055561732035E-2</v>
      </c>
      <c r="N133" s="7">
        <f t="shared" si="24"/>
        <v>34.550000008894131</v>
      </c>
      <c r="O133" s="7"/>
      <c r="P133" s="7"/>
      <c r="Q133" s="22"/>
      <c r="R133" s="167"/>
      <c r="S133" s="210">
        <f t="shared" si="25"/>
        <v>1</v>
      </c>
      <c r="T133" s="192" t="str">
        <f t="shared" si="26"/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27"/>
        <v>https://d0f6bd738d7f1b3e5a7ca70fe4ff75f0.us-east-1.aws.found.io/app/kibana#/discover/Steve-Slow-Train-Analysis-(2080s-and-2083s)?_g=(refreshInterval:(display:Off,pause:!f,section:0,value:0),time:(from:'2017-09-08T17:53:31-0600',mode:absolute,to:'2017-09-08T20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3" s="194" t="str">
        <f>IF(AA133&lt;VLOOKUP(AG133,Variables!$AC$3:$AD$8,2,FALSE),"Y","N")</f>
        <v>N</v>
      </c>
      <c r="X133" s="194">
        <f t="shared" si="28"/>
        <v>1</v>
      </c>
      <c r="Y133" s="194">
        <f t="shared" si="29"/>
        <v>4.3700000000000003E-2</v>
      </c>
      <c r="Z133" s="194">
        <f t="shared" si="30"/>
        <v>23.328800000000001</v>
      </c>
      <c r="AA133" s="194">
        <f t="shared" si="31"/>
        <v>23.2851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32"/>
        <v>221</v>
      </c>
      <c r="AE133" s="77" t="str">
        <f t="shared" si="33"/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133" s="74" t="str">
        <f t="shared" si="34"/>
        <v>"C:\Program Files (x86)\AstroGrep\AstroGrep.exe" /e /r /s /spath="%USERPROFILE%\AppData\Local\Temp\OnboardLogs" /stypes="app*4002*20170909*" /stext=" 01:.+((SYSTEM_STATE.+slice.+state.+changed )|(ment ac)|(multiple cpu faults)|(system.+state.+changed )|(\[timeout)|(PRM\|1\|D)|(kpr)|(kdp)|(train st.+moving)|(\|lc)|(penalty))"</v>
      </c>
      <c r="AG133" s="206" t="str">
        <f t="shared" si="35"/>
        <v>EC</v>
      </c>
      <c r="AH133" s="78" t="str">
        <f t="shared" si="36"/>
        <v>"%USERPROFILE%\Documents\GitHub\eaglep3\Utilities\RefineRTDCRunTimes.py" --tripid 221-08 --locoid 4002 --swversion DE.1.0.9.0 --startMP 204:437 --initTime 2017-09-08T18:53:31 --startdatetime 2017-09-08T19:00:16 --delay 89 --endMP 204:233288 --enddatetime 2017-09-08T19:34:49 --enforcementcount 0 &gt;&gt;C:\Users\stu\Documents\GitHub\eaglep3-reporting\EC\2017-09-08-refined-times.txt</v>
      </c>
      <c r="AI133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{"issue":{"subject":"","project_id":79,"tracker_id":40,"status_id":1,"priority_id":2,"assigned_to_id":338,"start_date":"2017-09-08","description":"","custom_fields":[{"id":1,"name":"Subdivision","value":"EC"},{"id":4,"name":"Milepost","value":"23.3288"},{"id":17,"name":"Train ID","value":"221-08"},{"id":16,"name":"Locomotive ID","value":"4002"},{"id":130,"name":"Impact","value":""},{"id":150,"name":"Time of Event (Mountain Time)","value":"19:34:49"},{"id":151,"name":"Denver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8"/>
        <v>start /low /b %USERPROFILE%\Documents\GitHub\eaglep3\Utilities\DownloadLogsFromS3.py --loco 4002 --day 2017-09-08</v>
      </c>
      <c r="AN133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632</v>
      </c>
      <c r="B134" s="7">
        <v>4001</v>
      </c>
      <c r="C134" s="21" t="s">
        <v>197</v>
      </c>
      <c r="D134" s="21" t="s">
        <v>902</v>
      </c>
      <c r="E134" s="13">
        <v>42986.826666666668</v>
      </c>
      <c r="F134" s="13">
        <v>42986.831469907411</v>
      </c>
      <c r="G134" s="7">
        <v>63</v>
      </c>
      <c r="H134" s="21" t="s">
        <v>338</v>
      </c>
      <c r="I134" s="13">
        <v>42986.858078703706</v>
      </c>
      <c r="J134" s="7">
        <v>0</v>
      </c>
      <c r="K134" s="89" t="str">
        <f t="shared" si="22"/>
        <v>4001/4002</v>
      </c>
      <c r="L134" s="214" t="str">
        <f>VLOOKUP(A134,'Trips&amp;Operators'!$C$1:$G$99911,5,FALSE)</f>
        <v>HART KEVIN</v>
      </c>
      <c r="M134" s="6">
        <f t="shared" si="23"/>
        <v>2.6608796295477077E-2</v>
      </c>
      <c r="N134" s="7">
        <f t="shared" si="24"/>
        <v>38.316666665486991</v>
      </c>
      <c r="O134" s="7"/>
      <c r="P134" s="7"/>
      <c r="Q134" s="22"/>
      <c r="R134" s="167"/>
      <c r="S134" s="210">
        <f t="shared" si="25"/>
        <v>1</v>
      </c>
      <c r="T134" s="192" t="str">
        <f t="shared" si="26"/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27"/>
        <v>https://d0f6bd738d7f1b3e5a7ca70fe4ff75f0.us-east-1.aws.found.io/app/kibana#/discover/Steve-Slow-Train-Analysis-(2080s-and-2083s)?_g=(refreshInterval:(display:Off,pause:!f,section:0,value:0),time:(from:'2017-09-08T18:50:24-0600',mode:absolute,to:'2017-09-08T21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4" s="194" t="str">
        <f>IF(AA134&lt;VLOOKUP(AG134,Variables!$AC$3:$AD$8,2,FALSE),"Y","N")</f>
        <v>N</v>
      </c>
      <c r="X134" s="194">
        <f t="shared" si="28"/>
        <v>1</v>
      </c>
      <c r="Y134" s="194">
        <f t="shared" si="29"/>
        <v>23.296500000000002</v>
      </c>
      <c r="Z134" s="194">
        <f t="shared" si="30"/>
        <v>1.4999999999999999E-2</v>
      </c>
      <c r="AA134" s="194">
        <f t="shared" si="31"/>
        <v>23.281500000000001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 t="shared" si="32"/>
        <v>222</v>
      </c>
      <c r="AE134" s="77" t="str">
        <f t="shared" si="33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134" s="74" t="str">
        <f t="shared" si="34"/>
        <v>"C:\Program Files (x86)\AstroGrep\AstroGrep.exe" /e /r /s /spath="%USERPROFILE%\AppData\Local\Temp\OnboardLogs" /stypes="app*4001*20170909*" /stext=" 02:.+((SYSTEM_STATE.+slice.+state.+changed )|(ment ac)|(multiple cpu faults)|(system.+state.+changed )|(\[timeout)|(PRM\|1\|D)|(kpr)|(kdp)|(train st.+moving)|(\|lc)|(penalty))"</v>
      </c>
      <c r="AG134" s="206" t="str">
        <f t="shared" si="35"/>
        <v>EC</v>
      </c>
      <c r="AH134" s="78" t="str">
        <f t="shared" si="36"/>
        <v>"%USERPROFILE%\Documents\GitHub\eaglep3\Utilities\RefineRTDCRunTimes.py" --tripid 222-08 --locoid 4001 --swversion DE.1.0.9.0 --startMP 204:232965 --initTime 2017-09-08T19:50:24 --startdatetime 2017-09-08T19:57:19 --delay 63 --endMP 204:150 --enddatetime 2017-09-08T20:35:38 --enforcementcount 0 &gt;&gt;C:\Users\stu\Documents\GitHub\eaglep3-reporting\EC\2017-09-08-refined-times.txt</v>
      </c>
      <c r="AI134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{"issue":{"subject":"","project_id":79,"tracker_id":40,"status_id":1,"priority_id":2,"assigned_to_id":338,"start_date":"2017-09-08","description":"","custom_fields":[{"id":1,"name":"Subdivision","value":"EC"},{"id":4,"name":"Milepost","value":"0.015"},{"id":17,"name":"Train ID","value":"222-08"},{"id":16,"name":"Locomotive ID","value":"4001"},{"id":130,"name":"Impact","value":""},{"id":150,"name":"Time of Event (Mountain Time)","value":"20:35:38"},{"id":151,"name":"Denver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8"/>
        <v>start /low /b %USERPROFILE%\Documents\GitHub\eaglep3\Utilities\DownloadLogsFromS3.py --loco 4001 --day 2017-09-08</v>
      </c>
      <c r="AN134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02:35:38"},{"id":29,"name":"Sharepoint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812</v>
      </c>
      <c r="B135" s="7">
        <v>4062</v>
      </c>
      <c r="C135" s="21" t="s">
        <v>197</v>
      </c>
      <c r="D135" s="21" t="s">
        <v>405</v>
      </c>
      <c r="E135" s="13">
        <v>42986.806793981479</v>
      </c>
      <c r="F135" s="13">
        <v>42986.812650462962</v>
      </c>
      <c r="G135" s="7">
        <v>67</v>
      </c>
      <c r="H135" s="21" t="s">
        <v>579</v>
      </c>
      <c r="I135" s="13">
        <v>42986.837337962963</v>
      </c>
      <c r="J135" s="7">
        <v>0</v>
      </c>
      <c r="K135" s="89" t="str">
        <f t="shared" si="22"/>
        <v>4061/4062</v>
      </c>
      <c r="L135" s="214" t="str">
        <f>VLOOKUP(A135,'Trips&amp;Operators'!$C$1:$G$99911,5,FALSE)</f>
        <v>MCREYNOLDS KYLE</v>
      </c>
      <c r="M135" s="6">
        <f t="shared" si="23"/>
        <v>2.4687500001164153E-2</v>
      </c>
      <c r="N135" s="7">
        <f t="shared" si="24"/>
        <v>35.550000001676381</v>
      </c>
      <c r="O135" s="7"/>
      <c r="P135" s="7"/>
      <c r="Q135" s="22"/>
      <c r="R135" s="167"/>
      <c r="S135" s="210">
        <f t="shared" si="25"/>
        <v>1</v>
      </c>
      <c r="T135" s="192" t="str">
        <f t="shared" si="26"/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27"/>
        <v>https://d0f6bd738d7f1b3e5a7ca70fe4ff75f0.us-east-1.aws.found.io/app/kibana#/discover/Steve-Slow-Train-Analysis-(2080s-and-2083s)?_g=(refreshInterval:(display:Off,pause:!f,section:0,value:0),time:(from:'2017-09-08T18:21:47-0600',mode:absolute,to:'2017-09-08T21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5" s="194" t="str">
        <f>IF(AA135&lt;VLOOKUP(AG135,Variables!$AC$3:$AD$8,2,FALSE),"Y","N")</f>
        <v>N</v>
      </c>
      <c r="X135" s="194">
        <f t="shared" si="28"/>
        <v>1</v>
      </c>
      <c r="Y135" s="194">
        <f t="shared" si="29"/>
        <v>4.5999999999999999E-2</v>
      </c>
      <c r="Z135" s="194">
        <f t="shared" si="30"/>
        <v>23.334099999999999</v>
      </c>
      <c r="AA135" s="194">
        <f t="shared" si="31"/>
        <v>23.2881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32"/>
        <v>223</v>
      </c>
      <c r="AE135" s="77" t="str">
        <f t="shared" si="33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135" s="74" t="str">
        <f t="shared" si="34"/>
        <v>"C:\Program Files (x86)\AstroGrep\AstroGrep.exe" /e /r /s /spath="%USERPROFILE%\AppData\Local\Temp\OnboardLogs" /stypes="app*4062*20170909*" /stext=" 02:.+((SYSTEM_STATE.+slice.+state.+changed )|(ment ac)|(multiple cpu faults)|(system.+state.+changed )|(\[timeout)|(PRM\|1\|D)|(kpr)|(kdp)|(train st.+moving)|(\|lc)|(penalty))"</v>
      </c>
      <c r="AG135" s="206" t="str">
        <f t="shared" si="35"/>
        <v>EC</v>
      </c>
      <c r="AH135" s="78" t="str">
        <f t="shared" si="36"/>
        <v>"%USERPROFILE%\Documents\GitHub\eaglep3\Utilities\RefineRTDCRunTimes.py" --tripid 223-08 --locoid 4062 --swversion DE.1.0.9.0 --startMP 204:460 --initTime 2017-09-08T19:21:47 --startdatetime 2017-09-08T19:30:13 --delay 67 --endMP 204:233341 --enddatetime 2017-09-08T20:05:46 --enforcementcount 0 &gt;&gt;C:\Users\stu\Documents\GitHub\eaglep3-reporting\EC\2017-09-08-refined-times.txt</v>
      </c>
      <c r="AI135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{"issue":{"subject":"","project_id":79,"tracker_id":40,"status_id":1,"priority_id":2,"assigned_to_id":338,"start_date":"2017-09-08","description":"","custom_fields":[{"id":1,"name":"Subdivision","value":"EC"},{"id":4,"name":"Milepost","value":"23.3341"},{"id":17,"name":"Train ID","value":"223-08"},{"id":16,"name":"Locomotive ID","value":"4062"},{"id":130,"name":"Impact","value":""},{"id":150,"name":"Time of Event (Mountain Time)","value":"20:05:46"},{"id":151,"name":"Denver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8"/>
        <v>start /low /b %USERPROFILE%\Documents\GitHub\eaglep3\Utilities\DownloadLogsFromS3.py --loco 4062 --day 2017-09-08</v>
      </c>
      <c r="AN135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02:05:46"},{"id":29,"name":"Sharepoint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818</v>
      </c>
      <c r="B136" s="7">
        <v>4061</v>
      </c>
      <c r="C136" s="21" t="s">
        <v>197</v>
      </c>
      <c r="D136" s="21" t="s">
        <v>903</v>
      </c>
      <c r="E136" s="13">
        <v>42986.84648148148</v>
      </c>
      <c r="F136" s="13">
        <v>42986.852256944447</v>
      </c>
      <c r="G136" s="7">
        <v>51</v>
      </c>
      <c r="H136" s="21" t="s">
        <v>369</v>
      </c>
      <c r="I136" s="13">
        <v>42986.877881944441</v>
      </c>
      <c r="J136" s="7">
        <v>0</v>
      </c>
      <c r="K136" s="89" t="str">
        <f t="shared" si="22"/>
        <v>4061/4062</v>
      </c>
      <c r="L136" s="214" t="str">
        <f>VLOOKUP(A136,'Trips&amp;Operators'!$C$1:$G$99911,5,FALSE)</f>
        <v>MCREYNOLDS KYLE</v>
      </c>
      <c r="M136" s="6">
        <f t="shared" si="23"/>
        <v>2.5624999994761311E-2</v>
      </c>
      <c r="N136" s="7">
        <f t="shared" si="24"/>
        <v>36.899999992456287</v>
      </c>
      <c r="O136" s="7"/>
      <c r="P136" s="7"/>
      <c r="Q136" s="22"/>
      <c r="R136" s="167"/>
      <c r="S136" s="210">
        <f t="shared" si="25"/>
        <v>1</v>
      </c>
      <c r="T136" s="192" t="str">
        <f t="shared" si="26"/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27"/>
        <v>https://d0f6bd738d7f1b3e5a7ca70fe4ff75f0.us-east-1.aws.found.io/app/kibana#/discover/Steve-Slow-Train-Analysis-(2080s-and-2083s)?_g=(refreshInterval:(display:Off,pause:!f,section:0,value:0),time:(from:'2017-09-08T19:18:56-0600',mode:absolute,to:'2017-09-08T22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6" s="194" t="str">
        <f>IF(AA136&lt;VLOOKUP(AG136,Variables!$AC$3:$AD$8,2,FALSE),"Y","N")</f>
        <v>N</v>
      </c>
      <c r="X136" s="194">
        <f t="shared" si="28"/>
        <v>1</v>
      </c>
      <c r="Y136" s="194">
        <f t="shared" si="29"/>
        <v>23.306100000000001</v>
      </c>
      <c r="Z136" s="194">
        <f t="shared" si="30"/>
        <v>1.38E-2</v>
      </c>
      <c r="AA136" s="194">
        <f t="shared" si="31"/>
        <v>23.292300000000001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 t="shared" si="32"/>
        <v>224</v>
      </c>
      <c r="AE136" s="77" t="str">
        <f t="shared" si="33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136" s="74" t="str">
        <f t="shared" si="34"/>
        <v>"C:\Program Files (x86)\AstroGrep\AstroGrep.exe" /e /r /s /spath="%USERPROFILE%\AppData\Local\Temp\OnboardLogs" /stypes="app*4061*20170909*" /stext=" 03:.+((SYSTEM_STATE.+slice.+state.+changed )|(ment ac)|(multiple cpu faults)|(system.+state.+changed )|(\[timeout)|(PRM\|1\|D)|(kpr)|(kdp)|(train st.+moving)|(\|lc)|(penalty))"</v>
      </c>
      <c r="AG136" s="206" t="str">
        <f t="shared" si="35"/>
        <v>EC</v>
      </c>
      <c r="AH136" s="78" t="str">
        <f t="shared" si="36"/>
        <v>"%USERPROFILE%\Documents\GitHub\eaglep3\Utilities\RefineRTDCRunTimes.py" --tripid 224-08 --locoid 4061 --swversion DE.1.0.9.0 --startMP 204:233061 --initTime 2017-09-08T20:18:56 --startdatetime 2017-09-08T20:27:15 --delay 51 --endMP 204:138 --enddatetime 2017-09-08T21:04:09 --enforcementcount 0 &gt;&gt;C:\Users\stu\Documents\GitHub\eaglep3-reporting\EC\2017-09-08-refined-times.txt</v>
      </c>
      <c r="AI136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{"issue":{"subject":"","project_id":79,"tracker_id":40,"status_id":1,"priority_id":2,"assigned_to_id":338,"start_date":"2017-09-08","description":"","custom_fields":[{"id":1,"name":"Subdivision","value":"EC"},{"id":4,"name":"Milepost","value":"0.0138"},{"id":17,"name":"Train ID","value":"224-08"},{"id":16,"name":"Locomotive ID","value":"4061"},{"id":130,"name":"Impact","value":""},{"id":150,"name":"Time of Event (Mountain Time)","value":"21:04:09"},{"id":151,"name":"Denver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8"/>
        <v>start /low /b %USERPROFILE%\Documents\GitHub\eaglep3\Utilities\DownloadLogsFromS3.py --loco 4061 --day 2017-09-08</v>
      </c>
      <c r="AN136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03:04:09"},{"id":29,"name":"Sharepoint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815</v>
      </c>
      <c r="B137" s="7">
        <v>4006</v>
      </c>
      <c r="C137" s="21" t="s">
        <v>197</v>
      </c>
      <c r="D137" s="21" t="s">
        <v>375</v>
      </c>
      <c r="E137" s="13">
        <v>42986.827569444446</v>
      </c>
      <c r="F137" s="13">
        <v>42986.833506944444</v>
      </c>
      <c r="G137" s="7">
        <v>53</v>
      </c>
      <c r="H137" s="21" t="s">
        <v>572</v>
      </c>
      <c r="I137" s="13">
        <v>42986.85837962963</v>
      </c>
      <c r="J137" s="7">
        <v>0</v>
      </c>
      <c r="K137" s="89" t="str">
        <f t="shared" si="22"/>
        <v>4005/4006</v>
      </c>
      <c r="L137" s="214" t="str">
        <f>VLOOKUP(A137,'Trips&amp;Operators'!$C$1:$G$99911,5,FALSE)</f>
        <v>PERKINS DARREN</v>
      </c>
      <c r="M137" s="6">
        <f t="shared" si="23"/>
        <v>2.4872685185982846E-2</v>
      </c>
      <c r="N137" s="7">
        <f t="shared" si="24"/>
        <v>35.816666667815298</v>
      </c>
      <c r="O137" s="7"/>
      <c r="P137" s="7"/>
      <c r="Q137" s="22"/>
      <c r="R137" s="167"/>
      <c r="S137" s="210">
        <f t="shared" si="25"/>
        <v>1</v>
      </c>
      <c r="T137" s="192" t="str">
        <f t="shared" si="26"/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27"/>
        <v>https://d0f6bd738d7f1b3e5a7ca70fe4ff75f0.us-east-1.aws.found.io/app/kibana#/discover/Steve-Slow-Train-Analysis-(2080s-and-2083s)?_g=(refreshInterval:(display:Off,pause:!f,section:0,value:0),time:(from:'2017-09-08T18:51:42-0600',mode:absolute,to:'2017-09-08T21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7" s="194" t="str">
        <f>IF(AA137&lt;VLOOKUP(AG137,Variables!$AC$3:$AD$8,2,FALSE),"Y","N")</f>
        <v>N</v>
      </c>
      <c r="X137" s="194">
        <f t="shared" si="28"/>
        <v>1</v>
      </c>
      <c r="Y137" s="194">
        <f t="shared" si="29"/>
        <v>4.6699999999999998E-2</v>
      </c>
      <c r="Z137" s="194">
        <f t="shared" si="30"/>
        <v>23.3355</v>
      </c>
      <c r="AA137" s="194">
        <f t="shared" si="31"/>
        <v>23.288799999999998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 t="shared" si="32"/>
        <v>225</v>
      </c>
      <c r="AE137" s="77" t="str">
        <f t="shared" si="33"/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AF137" s="74" t="str">
        <f t="shared" si="34"/>
        <v>"C:\Program Files (x86)\AstroGrep\AstroGrep.exe" /e /r /s /spath="%USERPROFILE%\AppData\Local\Temp\OnboardLogs" /stypes="app*4006*20170909*" /stext=" 02:.+((SYSTEM_STATE.+slice.+state.+changed )|(ment ac)|(multiple cpu faults)|(system.+state.+changed )|(\[timeout)|(PRM\|1\|D)|(kpr)|(kdp)|(train st.+moving)|(\|lc)|(penalty))"</v>
      </c>
      <c r="AG137" s="206" t="str">
        <f t="shared" si="35"/>
        <v>EC</v>
      </c>
      <c r="AH137" s="78" t="str">
        <f t="shared" si="36"/>
        <v>"%USERPROFILE%\Documents\GitHub\eaglep3\Utilities\RefineRTDCRunTimes.py" --tripid 225-08 --locoid 4006 --swversion DE.1.0.9.0 --startMP 204:467 --initTime 2017-09-08T19:51:42 --startdatetime 2017-09-08T20:00:15 --delay 53 --endMP 204:233355 --enddatetime 2017-09-08T20:36:04 --enforcementcount 0 &gt;&gt;C:\Users\stu\Documents\GitHub\eaglep3-reporting\EC\2017-09-08-refined-times.txt</v>
      </c>
      <c r="AI137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{"issue":{"subject":"","project_id":79,"tracker_id":40,"status_id":1,"priority_id":2,"assigned_to_id":338,"start_date":"2017-09-08","description":"","custom_fields":[{"id":1,"name":"Subdivision","value":"EC"},{"id":4,"name":"Milepost","value":"23.3355"},{"id":17,"name":"Train ID","value":"225-08"},{"id":16,"name":"Locomotive ID","value":"4006"},{"id":130,"name":"Impact","value":""},{"id":150,"name":"Time of Event (Mountain Time)","value":"20:36:04"},{"id":151,"name":"Denver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8"/>
        <v>start /low /b %USERPROFILE%\Documents\GitHub\eaglep3\Utilities\DownloadLogsFromS3.py --loco 4006 --day 2017-09-08</v>
      </c>
      <c r="AN137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02:36:04"},{"id":29,"name":"Sharepoint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820</v>
      </c>
      <c r="B138" s="7">
        <v>4005</v>
      </c>
      <c r="C138" s="21" t="s">
        <v>197</v>
      </c>
      <c r="D138" s="21" t="s">
        <v>899</v>
      </c>
      <c r="E138" s="13">
        <v>42986.860543981478</v>
      </c>
      <c r="F138" s="13">
        <v>42986.873078703706</v>
      </c>
      <c r="G138" s="7">
        <v>54</v>
      </c>
      <c r="H138" s="21" t="s">
        <v>531</v>
      </c>
      <c r="I138" s="13">
        <v>42986.900011574071</v>
      </c>
      <c r="J138" s="7">
        <v>0</v>
      </c>
      <c r="K138" s="89" t="str">
        <f t="shared" si="22"/>
        <v>4005/4006</v>
      </c>
      <c r="L138" s="214" t="str">
        <f>VLOOKUP(A138,'Trips&amp;Operators'!$C$1:$G$99911,5,FALSE)</f>
        <v>PERKINS DARREN</v>
      </c>
      <c r="M138" s="6">
        <f t="shared" si="23"/>
        <v>2.693287036527181E-2</v>
      </c>
      <c r="N138" s="7">
        <f t="shared" si="24"/>
        <v>38.783333325991407</v>
      </c>
      <c r="O138" s="7"/>
      <c r="P138" s="7"/>
      <c r="Q138" s="22"/>
      <c r="R138" s="167"/>
      <c r="S138" s="210">
        <f t="shared" si="25"/>
        <v>1</v>
      </c>
      <c r="T138" s="192" t="str">
        <f t="shared" si="26"/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27"/>
        <v>https://d0f6bd738d7f1b3e5a7ca70fe4ff75f0.us-east-1.aws.found.io/app/kibana#/discover/Steve-Slow-Train-Analysis-(2080s-and-2083s)?_g=(refreshInterval:(display:Off,pause:!f,section:0,value:0),time:(from:'2017-09-08T19:39:11-0600',mode:absolute,to:'2017-09-08T22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8" s="194" t="str">
        <f>IF(AA138&lt;VLOOKUP(AG138,Variables!$AC$3:$AD$8,2,FALSE),"Y","N")</f>
        <v>N</v>
      </c>
      <c r="X138" s="194">
        <f t="shared" si="28"/>
        <v>1</v>
      </c>
      <c r="Y138" s="194">
        <f t="shared" si="29"/>
        <v>23.3032</v>
      </c>
      <c r="Z138" s="194">
        <f t="shared" si="30"/>
        <v>1.6299999999999999E-2</v>
      </c>
      <c r="AA138" s="194">
        <f t="shared" si="31"/>
        <v>23.286899999999999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32"/>
        <v>226</v>
      </c>
      <c r="AE138" s="77" t="str">
        <f t="shared" si="33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138" s="74" t="str">
        <f t="shared" si="34"/>
        <v>"C:\Program Files (x86)\AstroGrep\AstroGrep.exe" /e /r /s /spath="%USERPROFILE%\AppData\Local\Temp\OnboardLogs" /stypes="app*4005*20170909*" /stext=" 03:.+((SYSTEM_STATE.+slice.+state.+changed )|(ment ac)|(multiple cpu faults)|(system.+state.+changed )|(\[timeout)|(PRM\|1\|D)|(kpr)|(kdp)|(train st.+moving)|(\|lc)|(penalty))"</v>
      </c>
      <c r="AG138" s="206" t="str">
        <f t="shared" si="35"/>
        <v>EC</v>
      </c>
      <c r="AH138" s="78" t="str">
        <f t="shared" si="36"/>
        <v>"%USERPROFILE%\Documents\GitHub\eaglep3\Utilities\RefineRTDCRunTimes.py" --tripid 226-08 --locoid 4005 --swversion DE.1.0.9.0 --startMP 204:233032 --initTime 2017-09-08T20:39:11 --startdatetime 2017-09-08T20:57:14 --delay 54 --endMP 204:163 --enddatetime 2017-09-08T21:36:01 --enforcementcount 0 &gt;&gt;C:\Users\stu\Documents\GitHub\eaglep3-reporting\EC\2017-09-08-refined-times.txt</v>
      </c>
      <c r="AI138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{"issue":{"subject":"","project_id":79,"tracker_id":40,"status_id":1,"priority_id":2,"assigned_to_id":338,"start_date":"2017-09-08","description":"","custom_fields":[{"id":1,"name":"Subdivision","value":"EC"},{"id":4,"name":"Milepost","value":"0.0163"},{"id":17,"name":"Train ID","value":"226-08"},{"id":16,"name":"Locomotive ID","value":"4005"},{"id":130,"name":"Impact","value":""},{"id":150,"name":"Time of Event (Mountain Time)","value":"21:36:01"},{"id":151,"name":"Denver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8"/>
        <v>start /low /b %USERPROFILE%\Documents\GitHub\eaglep3\Utilities\DownloadLogsFromS3.py --loco 4005 --day 2017-09-08</v>
      </c>
      <c r="AN138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817</v>
      </c>
      <c r="B139" s="7">
        <v>4034</v>
      </c>
      <c r="C139" s="21" t="s">
        <v>197</v>
      </c>
      <c r="D139" s="21" t="s">
        <v>534</v>
      </c>
      <c r="E139" s="13">
        <v>42986.840486111112</v>
      </c>
      <c r="F139" s="13">
        <v>42986.854571759257</v>
      </c>
      <c r="G139" s="7">
        <v>125</v>
      </c>
      <c r="H139" s="21" t="s">
        <v>904</v>
      </c>
      <c r="I139" s="13">
        <v>42986.881157407406</v>
      </c>
      <c r="J139" s="7">
        <v>0</v>
      </c>
      <c r="K139" s="89" t="str">
        <f t="shared" si="22"/>
        <v>4033/4034</v>
      </c>
      <c r="L139" s="214" t="str">
        <f>VLOOKUP(A139,'Trips&amp;Operators'!$C$1:$G$99911,5,FALSE)</f>
        <v>NICHOLSON WESLEY</v>
      </c>
      <c r="M139" s="6">
        <f t="shared" si="23"/>
        <v>2.658564814919373E-2</v>
      </c>
      <c r="N139" s="7">
        <f t="shared" si="24"/>
        <v>38.283333334838971</v>
      </c>
      <c r="O139" s="7"/>
      <c r="P139" s="7"/>
      <c r="Q139" s="22"/>
      <c r="R139" s="167"/>
      <c r="S139" s="210">
        <f t="shared" si="25"/>
        <v>1</v>
      </c>
      <c r="T139" s="192" t="str">
        <f t="shared" si="26"/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27"/>
        <v>https://d0f6bd738d7f1b3e5a7ca70fe4ff75f0.us-east-1.aws.found.io/app/kibana#/discover/Steve-Slow-Train-Analysis-(2080s-and-2083s)?_g=(refreshInterval:(display:Off,pause:!f,section:0,value:0),time:(from:'2017-09-08T19:10:18-0600',mode:absolute,to:'2017-09-08T22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9" s="194" t="str">
        <f>IF(AA139&lt;VLOOKUP(AG139,Variables!$AC$3:$AD$8,2,FALSE),"Y","N")</f>
        <v>N</v>
      </c>
      <c r="X139" s="194">
        <f t="shared" si="28"/>
        <v>1</v>
      </c>
      <c r="Y139" s="194">
        <f t="shared" si="29"/>
        <v>4.6199999999999998E-2</v>
      </c>
      <c r="Z139" s="194">
        <f t="shared" si="30"/>
        <v>23.3276</v>
      </c>
      <c r="AA139" s="194">
        <f t="shared" si="31"/>
        <v>23.281400000000001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 t="shared" si="32"/>
        <v>227</v>
      </c>
      <c r="AE139" s="77" t="str">
        <f t="shared" si="33"/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AF139" s="74" t="str">
        <f t="shared" si="34"/>
        <v>"C:\Program Files (x86)\AstroGrep\AstroGrep.exe" /e /r /s /spath="%USERPROFILE%\AppData\Local\Temp\OnboardLogs" /stypes="app*4034*20170909*" /stext=" 03:.+((SYSTEM_STATE.+slice.+state.+changed )|(ment ac)|(multiple cpu faults)|(system.+state.+changed )|(\[timeout)|(PRM\|1\|D)|(kpr)|(kdp)|(train st.+moving)|(\|lc)|(penalty))"</v>
      </c>
      <c r="AG139" s="206" t="str">
        <f t="shared" si="35"/>
        <v>EC</v>
      </c>
      <c r="AH139" s="78" t="str">
        <f t="shared" si="36"/>
        <v>"%USERPROFILE%\Documents\GitHub\eaglep3\Utilities\RefineRTDCRunTimes.py" --tripid 227-08 --locoid 4034 --swversion DE.1.0.9.0 --startMP 204:462 --initTime 2017-09-08T20:10:18 --startdatetime 2017-09-08T20:30:35 --delay 125 --endMP 204:233276 --enddatetime 2017-09-08T21:08:52 --enforcementcount 0 &gt;&gt;C:\Users\stu\Documents\GitHub\eaglep3-reporting\EC\2017-09-08-refined-times.txt</v>
      </c>
      <c r="AI139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{"issue":{"subject":"","project_id":79,"tracker_id":40,"status_id":1,"priority_id":2,"assigned_to_id":338,"start_date":"2017-09-08","description":"","custom_fields":[{"id":1,"name":"Subdivision","value":"EC"},{"id":4,"name":"Milepost","value":"23.3276"},{"id":17,"name":"Train ID","value":"227-08"},{"id":16,"name":"Locomotive ID","value":"4034"},{"id":130,"name":"Impact","value":""},{"id":150,"name":"Time of Event (Mountain Time)","value":"21:08:52"},{"id":151,"name":"Denver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8"/>
        <v>start /low /b %USERPROFILE%\Documents\GitHub\eaglep3\Utilities\DownloadLogsFromS3.py --loco 4034 --day 2017-09-08</v>
      </c>
      <c r="AN139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03:08:52"},{"id":29,"name":"Sharepoint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824</v>
      </c>
      <c r="B140" s="7">
        <v>4033</v>
      </c>
      <c r="C140" s="21" t="s">
        <v>197</v>
      </c>
      <c r="D140" s="21" t="s">
        <v>411</v>
      </c>
      <c r="E140" s="13">
        <v>42986.884594907409</v>
      </c>
      <c r="F140" s="13">
        <v>42986.894155092596</v>
      </c>
      <c r="G140" s="7">
        <v>104</v>
      </c>
      <c r="H140" s="21" t="s">
        <v>338</v>
      </c>
      <c r="I140" s="13">
        <v>42986.921041666668</v>
      </c>
      <c r="J140" s="7">
        <v>0</v>
      </c>
      <c r="K140" s="89" t="str">
        <f t="shared" ref="K140:K206" si="40">IF(ISEVEN(B140),(B140-1)&amp;"/"&amp;B140,B140&amp;"/"&amp;(B140+1))</f>
        <v>4033/4034</v>
      </c>
      <c r="L140" s="214" t="str">
        <f>VLOOKUP(A140,'Trips&amp;Operators'!$C$1:$G$99911,5,FALSE)</f>
        <v>NICHOLSON WESLEY</v>
      </c>
      <c r="M140" s="6">
        <f t="shared" ref="M140:M206" si="41">I140-F140</f>
        <v>2.6886574072705116E-2</v>
      </c>
      <c r="N140" s="7">
        <f t="shared" ref="N140:P206" si="42">24*60*SUM($M140:$M140)</f>
        <v>38.716666664695367</v>
      </c>
      <c r="O140" s="7"/>
      <c r="P140" s="7"/>
      <c r="Q140" s="22"/>
      <c r="R140" s="167"/>
      <c r="S140" s="210">
        <f t="shared" ref="S140:S206" si="43">1/IF(AG140="EC",12,1)*SUM(U140:U140)</f>
        <v>1</v>
      </c>
      <c r="T140" s="192" t="str">
        <f t="shared" ref="T140:T206" si="44">IF(ISEVEN(LEFT(AD140,4)),"Southbound","NorthBound")</f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ref="V140:V206" si="45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-09-08T20:13:49-0600',mode:absolute,to:'2017-09-08T23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0" s="194" t="str">
        <f>IF(AA140&lt;VLOOKUP(AG140,Variables!$AC$3:$AD$8,2,FALSE),"Y","N")</f>
        <v>N</v>
      </c>
      <c r="X140" s="194">
        <f t="shared" ref="X140:X206" si="46">VALUE(LEFT(AD140,4))-VALUE(LEFT(AD139,4))</f>
        <v>1</v>
      </c>
      <c r="Y140" s="194">
        <f t="shared" ref="Y140:Y206" si="47">RIGHT(D140,LEN(D140)-4)/10000</f>
        <v>23.297799999999999</v>
      </c>
      <c r="Z140" s="194">
        <f t="shared" ref="Z140:Z206" si="48">RIGHT(H140,LEN(H140)-4)/10000</f>
        <v>1.4999999999999999E-2</v>
      </c>
      <c r="AA140" s="194">
        <f t="shared" ref="AA140:AA206" si="49">ABS(Z140-Y140)</f>
        <v>23.282799999999998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ref="AD140:AD206" si="50">VALUE(LEFT(A140,LEN(A140)-3))</f>
        <v>228</v>
      </c>
      <c r="AE140" s="77" t="str">
        <f t="shared" ref="AE140:AE206" si="51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140" s="74" t="str">
        <f t="shared" ref="AF140:AF206" si="52"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/stypes="app*4033*20170909*" /stext=" 04:.+((SYSTEM_STATE.+slice.+state.+changed )|(ment ac)|(multiple cpu faults)|(system.+state.+changed )|(\[timeout)|(PRM\|1\|D)|(kpr)|(kdp)|(train st.+moving)|(\|lc)|(penalty))"</v>
      </c>
      <c r="AG140" s="206" t="str">
        <f t="shared" ref="AG140:AG206" si="53">DetSubdiv(A140)</f>
        <v>EC</v>
      </c>
      <c r="AH140" s="78" t="str">
        <f t="shared" si="36"/>
        <v>"%USERPROFILE%\Documents\GitHub\eaglep3\Utilities\RefineRTDCRunTimes.py" --tripid 228-08 --locoid 4033 --swversion DE.1.0.9.0 --startMP 204:232978 --initTime 2017-09-08T21:13:49 --startdatetime 2017-09-08T21:27:35 --delay 104 --endMP 204:150 --enddatetime 2017-09-08T22:06:18 --enforcementcount 0 &gt;&gt;C:\Users\stu\Documents\GitHub\eaglep3-reporting\EC\2017-09-08-refined-times.txt</v>
      </c>
      <c r="AI140" s="96" t="str">
        <f t="shared" si="37"/>
        <v>echo {"issue":{"subject":"","project_id":79,"tracker_id":40,"status_id":1,"priority_id":2,"assigned_to_id":338,"start_date":"2017-09-08","description":"","custom_fields":[{"id":1,"name":"Subdivision","value":"EC"},{"id":4,"name":"Milepost","value":"0.015"},{"id":17,"name":"Train ID","value":"228-08"},{"id":16,"name":"Locomotive ID","value":"4033"},{"id":130,"name":"Impact","value":""},{"id":150,"name":"Time of Event (Mountain Time)","value":"22:06:18"},{"id":151,"name":"Denver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8"/>
        <v>start /low /b %USERPROFILE%\Documents\GitHub\eaglep3\Utilities\DownloadLogsFromS3.py --loco 4033 --day 2017-09-08</v>
      </c>
      <c r="AN140" s="151" t="str">
        <f t="shared" si="3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04:06:18"},{"id":29,"name":"Sharepoint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821</v>
      </c>
      <c r="B141" s="7">
        <v>4002</v>
      </c>
      <c r="C141" s="21" t="s">
        <v>197</v>
      </c>
      <c r="D141" s="21" t="s">
        <v>432</v>
      </c>
      <c r="E141" s="13">
        <v>42986.870740740742</v>
      </c>
      <c r="F141" s="13">
        <v>42986.875196759262</v>
      </c>
      <c r="G141" s="7">
        <v>59</v>
      </c>
      <c r="H141" s="21" t="s">
        <v>880</v>
      </c>
      <c r="I141" s="13">
        <v>42986.900104166663</v>
      </c>
      <c r="J141" s="7">
        <v>0</v>
      </c>
      <c r="K141" s="89" t="str">
        <f t="shared" si="40"/>
        <v>4001/4002</v>
      </c>
      <c r="L141" s="214" t="str">
        <f>VLOOKUP(A141,'Trips&amp;Operators'!$C$1:$G$99911,5,FALSE)</f>
        <v>HART KEVIN</v>
      </c>
      <c r="M141" s="6">
        <f t="shared" si="41"/>
        <v>2.4907407401769888E-2</v>
      </c>
      <c r="N141" s="7">
        <f t="shared" si="42"/>
        <v>35.866666658548638</v>
      </c>
      <c r="O141" s="7"/>
      <c r="P141" s="7"/>
      <c r="Q141" s="22"/>
      <c r="R141" s="167"/>
      <c r="S141" s="210">
        <f t="shared" si="43"/>
        <v>1</v>
      </c>
      <c r="T141" s="192" t="str">
        <f t="shared" si="44"/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si="45"/>
        <v>https://d0f6bd738d7f1b3e5a7ca70fe4ff75f0.us-east-1.aws.found.io/app/kibana#/discover/Steve-Slow-Train-Analysis-(2080s-and-2083s)?_g=(refreshInterval:(display:Off,pause:!f,section:0,value:0),time:(from:'2017-09-08T19:53:52-0600',mode:absolute,to:'2017-09-08T22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1" s="194" t="str">
        <f>IF(AA141&lt;VLOOKUP(AG141,Variables!$AC$3:$AD$8,2,FALSE),"Y","N")</f>
        <v>N</v>
      </c>
      <c r="X141" s="194">
        <f t="shared" si="46"/>
        <v>1</v>
      </c>
      <c r="Y141" s="194">
        <f t="shared" si="47"/>
        <v>4.2900000000000001E-2</v>
      </c>
      <c r="Z141" s="194">
        <f t="shared" si="48"/>
        <v>23.3291</v>
      </c>
      <c r="AA141" s="194">
        <f t="shared" si="49"/>
        <v>23.286200000000001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si="50"/>
        <v>229</v>
      </c>
      <c r="AE141" s="77" t="str">
        <f t="shared" si="51"/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141" s="74" t="str">
        <f t="shared" si="52"/>
        <v>"C:\Program Files (x86)\AstroGrep\AstroGrep.exe" /e /r /s /spath="%USERPROFILE%\AppData\Local\Temp\OnboardLogs" /stypes="app*4002*20170909*" /stext=" 03:.+((SYSTEM_STATE.+slice.+state.+changed )|(ment ac)|(multiple cpu faults)|(system.+state.+changed )|(\[timeout)|(PRM\|1\|D)|(kpr)|(kdp)|(train st.+moving)|(\|lc)|(penalty))"</v>
      </c>
      <c r="AG141" s="206" t="str">
        <f t="shared" si="53"/>
        <v>EC</v>
      </c>
      <c r="AH141" s="78" t="str">
        <f t="shared" ref="AH141:AH207" si="54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229-08 --locoid 4002 --swversion DE.1.0.9.0 --startMP 204:429 --initTime 2017-09-08T20:53:52 --startdatetime 2017-09-08T21:00:17 --delay 59 --endMP 204:233291 --enddatetime 2017-09-08T21:36:09 --enforcementcount 0 &gt;&gt;C:\Users\stu\Documents\GitHub\eaglep3-reporting\EC\2017-09-08-refined-times.txt</v>
      </c>
      <c r="AI141" s="96" t="str">
        <f t="shared" ref="AI141:AI207" si="55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{"issue":{"subject":"","project_id":79,"tracker_id":40,"status_id":1,"priority_id":2,"assigned_to_id":338,"start_date":"2017-09-08","description":"","custom_fields":[{"id":1,"name":"Subdivision","value":"EC"},{"id":4,"name":"Milepost","value":"23.3291"},{"id":17,"name":"Train ID","value":"229-08"},{"id":16,"name":"Locomotive ID","value":"4002"},{"id":130,"name":"Impact","value":""},{"id":150,"name":"Time of Event (Mountain Time)","value":"21:36:09"},{"id":151,"name":"Denver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7" si="56">"start /low /b "&amp;dls3logs&amp;" --loco "&amp;B141&amp;" --day "&amp;TEXT(F141,"YYYY-MM-DD")</f>
        <v>start /low /b %USERPROFILE%\Documents\GitHub\eaglep3\Utilities\DownloadLogsFromS3.py --loco 4002 --day 2017-09-08</v>
      </c>
      <c r="AN141" s="151" t="str">
        <f t="shared" ref="AN141:AN207" si="57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826</v>
      </c>
      <c r="B142" s="7">
        <v>4001</v>
      </c>
      <c r="C142" s="21" t="s">
        <v>197</v>
      </c>
      <c r="D142" s="21" t="s">
        <v>415</v>
      </c>
      <c r="E142" s="13">
        <v>42986.911585648151</v>
      </c>
      <c r="F142" s="13">
        <v>42986.914884259262</v>
      </c>
      <c r="G142" s="7">
        <v>54</v>
      </c>
      <c r="H142" s="21" t="s">
        <v>905</v>
      </c>
      <c r="I142" s="13">
        <v>42986.940567129626</v>
      </c>
      <c r="J142" s="7">
        <v>0</v>
      </c>
      <c r="K142" s="89" t="str">
        <f t="shared" si="40"/>
        <v>4001/4002</v>
      </c>
      <c r="L142" s="214" t="str">
        <f>VLOOKUP(A142,'Trips&amp;Operators'!$C$1:$G$99911,5,FALSE)</f>
        <v>HART KEVIN</v>
      </c>
      <c r="M142" s="6">
        <f t="shared" si="41"/>
        <v>2.5682870364107657E-2</v>
      </c>
      <c r="N142" s="7">
        <f t="shared" si="42"/>
        <v>36.983333324315026</v>
      </c>
      <c r="O142" s="7"/>
      <c r="P142" s="7"/>
      <c r="Q142" s="22"/>
      <c r="R142" s="167"/>
      <c r="S142" s="210">
        <f t="shared" si="43"/>
        <v>1</v>
      </c>
      <c r="T142" s="192" t="str">
        <f t="shared" si="44"/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45"/>
        <v>https://d0f6bd738d7f1b3e5a7ca70fe4ff75f0.us-east-1.aws.found.io/app/kibana#/discover/Steve-Slow-Train-Analysis-(2080s-and-2083s)?_g=(refreshInterval:(display:Off,pause:!f,section:0,value:0),time:(from:'2017-09-08T20:52:41-0600',mode:absolute,to:'2017-09-08T23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2" s="194" t="str">
        <f>IF(AA142&lt;VLOOKUP(AG142,Variables!$AC$3:$AD$8,2,FALSE),"Y","N")</f>
        <v>N</v>
      </c>
      <c r="X142" s="194">
        <f t="shared" si="46"/>
        <v>1</v>
      </c>
      <c r="Y142" s="194">
        <f t="shared" si="47"/>
        <v>23.2986</v>
      </c>
      <c r="Z142" s="194">
        <f t="shared" si="48"/>
        <v>1.2999999999999999E-2</v>
      </c>
      <c r="AA142" s="194">
        <f t="shared" si="49"/>
        <v>23.285599999999999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 t="shared" si="50"/>
        <v>230</v>
      </c>
      <c r="AE142" s="77" t="str">
        <f t="shared" si="51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142" s="74" t="str">
        <f t="shared" si="52"/>
        <v>"C:\Program Files (x86)\AstroGrep\AstroGrep.exe" /e /r /s /spath="%USERPROFILE%\AppData\Local\Temp\OnboardLogs" /stypes="app*4001*20170909*" /stext=" 04:.+((SYSTEM_STATE.+slice.+state.+changed )|(ment ac)|(multiple cpu faults)|(system.+state.+changed )|(\[timeout)|(PRM\|1\|D)|(kpr)|(kdp)|(train st.+moving)|(\|lc)|(penalty))"</v>
      </c>
      <c r="AG142" s="206" t="str">
        <f t="shared" si="53"/>
        <v>EC</v>
      </c>
      <c r="AH142" s="78" t="str">
        <f t="shared" si="54"/>
        <v>"%USERPROFILE%\Documents\GitHub\eaglep3\Utilities\RefineRTDCRunTimes.py" --tripid 230-08 --locoid 4001 --swversion DE.1.0.9.0 --startMP 204:232986 --initTime 2017-09-08T21:52:41 --startdatetime 2017-09-08T21:57:26 --delay 54 --endMP 204:130 --enddatetime 2017-09-08T22:34:25 --enforcementcount 0 &gt;&gt;C:\Users\stu\Documents\GitHub\eaglep3-reporting\EC\2017-09-08-refined-times.txt</v>
      </c>
      <c r="AI142" s="96" t="str">
        <f t="shared" si="55"/>
        <v>echo {"issue":{"subject":"","project_id":79,"tracker_id":40,"status_id":1,"priority_id":2,"assigned_to_id":338,"start_date":"2017-09-08","description":"","custom_fields":[{"id":1,"name":"Subdivision","value":"EC"},{"id":4,"name":"Milepost","value":"0.013"},{"id":17,"name":"Train ID","value":"230-08"},{"id":16,"name":"Locomotive ID","value":"4001"},{"id":130,"name":"Impact","value":""},{"id":150,"name":"Time of Event (Mountain Time)","value":"22:34:25"},{"id":151,"name":"Denver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6"/>
        <v>start /low /b %USERPROFILE%\Documents\GitHub\eaglep3\Utilities\DownloadLogsFromS3.py --loco 4001 --day 2017-09-08</v>
      </c>
      <c r="AN142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04:34:25"},{"id":29,"name":"Sharepoint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823</v>
      </c>
      <c r="B143" s="7">
        <v>4062</v>
      </c>
      <c r="C143" s="21" t="s">
        <v>197</v>
      </c>
      <c r="D143" s="21" t="s">
        <v>341</v>
      </c>
      <c r="E143" s="13">
        <v>42986.882291666669</v>
      </c>
      <c r="F143" s="13">
        <v>42986.895995370367</v>
      </c>
      <c r="G143" s="7">
        <v>48</v>
      </c>
      <c r="H143" s="21" t="s">
        <v>906</v>
      </c>
      <c r="I143" s="13">
        <v>42986.920914351853</v>
      </c>
      <c r="J143" s="7">
        <v>0</v>
      </c>
      <c r="K143" s="89" t="str">
        <f t="shared" si="40"/>
        <v>4061/4062</v>
      </c>
      <c r="L143" s="214" t="str">
        <f>VLOOKUP(A143,'Trips&amp;Operators'!$C$1:$G$99911,5,FALSE)</f>
        <v>MCREYNOLDS KYLE</v>
      </c>
      <c r="M143" s="6">
        <f t="shared" si="41"/>
        <v>2.4918981485825498E-2</v>
      </c>
      <c r="N143" s="7">
        <f t="shared" si="42"/>
        <v>35.883333339588717</v>
      </c>
      <c r="O143" s="7"/>
      <c r="P143" s="7"/>
      <c r="Q143" s="22"/>
      <c r="R143" s="167"/>
      <c r="S143" s="210">
        <f t="shared" si="43"/>
        <v>1</v>
      </c>
      <c r="T143" s="192" t="str">
        <f t="shared" si="44"/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45"/>
        <v>https://d0f6bd738d7f1b3e5a7ca70fe4ff75f0.us-east-1.aws.found.io/app/kibana#/discover/Steve-Slow-Train-Analysis-(2080s-and-2083s)?_g=(refreshInterval:(display:Off,pause:!f,section:0,value:0),time:(from:'2017-09-08T20:10:30-0600',mode:absolute,to:'2017-09-08T23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3" s="194" t="str">
        <f>IF(AA143&lt;VLOOKUP(AG143,Variables!$AC$3:$AD$8,2,FALSE),"Y","N")</f>
        <v>N</v>
      </c>
      <c r="X143" s="194">
        <f t="shared" si="46"/>
        <v>1</v>
      </c>
      <c r="Y143" s="194">
        <f t="shared" si="47"/>
        <v>4.53E-2</v>
      </c>
      <c r="Z143" s="194">
        <f t="shared" si="48"/>
        <v>23.340699999999998</v>
      </c>
      <c r="AA143" s="194">
        <f t="shared" si="49"/>
        <v>23.295399999999997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si="50"/>
        <v>231</v>
      </c>
      <c r="AE143" s="77" t="str">
        <f t="shared" si="51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143" s="74" t="str">
        <f t="shared" si="52"/>
        <v>"C:\Program Files (x86)\AstroGrep\AstroGrep.exe" /e /r /s /spath="%USERPROFILE%\AppData\Local\Temp\OnboardLogs" /stypes="app*4062*20170909*" /stext=" 04:.+((SYSTEM_STATE.+slice.+state.+changed )|(ment ac)|(multiple cpu faults)|(system.+state.+changed )|(\[timeout)|(PRM\|1\|D)|(kpr)|(kdp)|(train st.+moving)|(\|lc)|(penalty))"</v>
      </c>
      <c r="AG143" s="206" t="str">
        <f t="shared" si="53"/>
        <v>EC</v>
      </c>
      <c r="AH143" s="78" t="str">
        <f t="shared" si="54"/>
        <v>"%USERPROFILE%\Documents\GitHub\eaglep3\Utilities\RefineRTDCRunTimes.py" --tripid 231-08 --locoid 4062 --swversion DE.1.0.9.0 --startMP 204:453 --initTime 2017-09-08T21:10:30 --startdatetime 2017-09-08T21:30:14 --delay 48 --endMP 204:233407 --enddatetime 2017-09-08T22:06:07 --enforcementcount 0 &gt;&gt;C:\Users\stu\Documents\GitHub\eaglep3-reporting\EC\2017-09-08-refined-times.txt</v>
      </c>
      <c r="AI143" s="96" t="str">
        <f t="shared" si="55"/>
        <v>echo {"issue":{"subject":"","project_id":79,"tracker_id":40,"status_id":1,"priority_id":2,"assigned_to_id":338,"start_date":"2017-09-08","description":"","custom_fields":[{"id":1,"name":"Subdivision","value":"EC"},{"id":4,"name":"Milepost","value":"23.3407"},{"id":17,"name":"Train ID","value":"231-08"},{"id":16,"name":"Locomotive ID","value":"4062"},{"id":130,"name":"Impact","value":""},{"id":150,"name":"Time of Event (Mountain Time)","value":"22:06:07"},{"id":151,"name":"Denver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6"/>
        <v>start /low /b %USERPROFILE%\Documents\GitHub\eaglep3\Utilities\DownloadLogsFromS3.py --loco 4062 --day 2017-09-08</v>
      </c>
      <c r="AN143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04:06:07"},{"id":29,"name":"Sharepoint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829</v>
      </c>
      <c r="B144" s="7">
        <v>4061</v>
      </c>
      <c r="C144" s="21" t="s">
        <v>197</v>
      </c>
      <c r="D144" s="21" t="s">
        <v>907</v>
      </c>
      <c r="E144" s="13">
        <v>42986.930555555555</v>
      </c>
      <c r="F144" s="13">
        <v>42986.935567129629</v>
      </c>
      <c r="G144" s="7">
        <v>56</v>
      </c>
      <c r="H144" s="21" t="s">
        <v>339</v>
      </c>
      <c r="I144" s="13">
        <v>42986.96125</v>
      </c>
      <c r="J144" s="7">
        <v>0</v>
      </c>
      <c r="K144" s="89" t="str">
        <f t="shared" si="40"/>
        <v>4061/4062</v>
      </c>
      <c r="L144" s="214" t="str">
        <f>VLOOKUP(A144,'Trips&amp;Operators'!$C$1:$G$99911,5,FALSE)</f>
        <v>MCREYNOLDS KYLE</v>
      </c>
      <c r="M144" s="6">
        <f t="shared" si="41"/>
        <v>2.5682870371383615E-2</v>
      </c>
      <c r="N144" s="7">
        <f t="shared" si="42"/>
        <v>36.983333334792405</v>
      </c>
      <c r="O144" s="7"/>
      <c r="P144" s="7"/>
      <c r="Q144" s="22"/>
      <c r="R144" s="167"/>
      <c r="S144" s="210">
        <f t="shared" si="43"/>
        <v>1</v>
      </c>
      <c r="T144" s="192" t="str">
        <f t="shared" si="44"/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45"/>
        <v>https://d0f6bd738d7f1b3e5a7ca70fe4ff75f0.us-east-1.aws.found.io/app/kibana#/discover/Steve-Slow-Train-Analysis-(2080s-and-2083s)?_g=(refreshInterval:(display:Off,pause:!f,section:0,value:0),time:(from:'2017-09-08T21:20:00-0600',mode:absolute,to:'2017-09-09T00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4" s="194" t="str">
        <f>IF(AA144&lt;VLOOKUP(AG144,Variables!$AC$3:$AD$8,2,FALSE),"Y","N")</f>
        <v>N</v>
      </c>
      <c r="X144" s="194">
        <f t="shared" si="46"/>
        <v>1</v>
      </c>
      <c r="Y144" s="194">
        <f t="shared" si="47"/>
        <v>23.309899999999999</v>
      </c>
      <c r="Z144" s="194">
        <f t="shared" si="48"/>
        <v>1.49E-2</v>
      </c>
      <c r="AA144" s="194">
        <f t="shared" si="49"/>
        <v>23.294999999999998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50"/>
        <v>232</v>
      </c>
      <c r="AE144" s="77" t="str">
        <f t="shared" si="51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144" s="74" t="str">
        <f t="shared" si="52"/>
        <v>"C:\Program Files (x86)\AstroGrep\AstroGrep.exe" /e /r /s /spath="%USERPROFILE%\AppData\Local\Temp\OnboardLogs" /stypes="app*4061*20170909*" /stext=" 05:.+((SYSTEM_STATE.+slice.+state.+changed )|(ment ac)|(multiple cpu faults)|(system.+state.+changed )|(\[timeout)|(PRM\|1\|D)|(kpr)|(kdp)|(train st.+moving)|(\|lc)|(penalty))"</v>
      </c>
      <c r="AG144" s="206" t="str">
        <f t="shared" si="53"/>
        <v>EC</v>
      </c>
      <c r="AH144" s="78" t="str">
        <f t="shared" si="54"/>
        <v>"%USERPROFILE%\Documents\GitHub\eaglep3\Utilities\RefineRTDCRunTimes.py" --tripid 232-08 --locoid 4061 --swversion DE.1.0.9.0 --startMP 204:233099 --initTime 2017-09-08T22:20:00 --startdatetime 2017-09-08T22:27:13 --delay 56 --endMP 204:149 --enddatetime 2017-09-08T23:04:12 --enforcementcount 0 &gt;&gt;C:\Users\stu\Documents\GitHub\eaglep3-reporting\EC\2017-09-08-refined-times.txt</v>
      </c>
      <c r="AI144" s="96" t="str">
        <f t="shared" si="55"/>
        <v>echo {"issue":{"subject":"","project_id":79,"tracker_id":40,"status_id":1,"priority_id":2,"assigned_to_id":338,"start_date":"2017-09-08","description":"","custom_fields":[{"id":1,"name":"Subdivision","value":"EC"},{"id":4,"name":"Milepost","value":"0.0149"},{"id":17,"name":"Train ID","value":"232-08"},{"id":16,"name":"Locomotive ID","value":"4061"},{"id":130,"name":"Impact","value":""},{"id":150,"name":"Time of Event (Mountain Time)","value":"23:04:12"},{"id":151,"name":"Denver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6"/>
        <v>start /low /b %USERPROFILE%\Documents\GitHub\eaglep3\Utilities\DownloadLogsFromS3.py --loco 4061 --day 2017-09-08</v>
      </c>
      <c r="AN144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05:04:12"},{"id":29,"name":"Sharepoint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634</v>
      </c>
      <c r="B145" s="7">
        <v>4006</v>
      </c>
      <c r="C145" s="21" t="s">
        <v>197</v>
      </c>
      <c r="D145" s="21" t="s">
        <v>462</v>
      </c>
      <c r="E145" s="13">
        <v>42986.904085648152</v>
      </c>
      <c r="F145" s="13">
        <v>42986.916875000003</v>
      </c>
      <c r="G145" s="7">
        <v>55</v>
      </c>
      <c r="H145" s="21" t="s">
        <v>418</v>
      </c>
      <c r="I145" s="13">
        <v>42986.94190972222</v>
      </c>
      <c r="J145" s="7">
        <v>0</v>
      </c>
      <c r="K145" s="89" t="str">
        <f t="shared" si="40"/>
        <v>4005/4006</v>
      </c>
      <c r="L145" s="214" t="str">
        <f>VLOOKUP(A145,'Trips&amp;Operators'!$C$1:$G$99911,5,FALSE)</f>
        <v>PERKINS DARREN</v>
      </c>
      <c r="M145" s="6">
        <f t="shared" si="41"/>
        <v>2.5034722217242233E-2</v>
      </c>
      <c r="N145" s="7">
        <f t="shared" si="42"/>
        <v>36.049999992828816</v>
      </c>
      <c r="O145" s="7"/>
      <c r="P145" s="7"/>
      <c r="Q145" s="22"/>
      <c r="R145" s="167"/>
      <c r="S145" s="210">
        <f t="shared" si="43"/>
        <v>1</v>
      </c>
      <c r="T145" s="192" t="str">
        <f t="shared" si="44"/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45"/>
        <v>https://d0f6bd738d7f1b3e5a7ca70fe4ff75f0.us-east-1.aws.found.io/app/kibana#/discover/Steve-Slow-Train-Analysis-(2080s-and-2083s)?_g=(refreshInterval:(display:Off,pause:!f,section:0,value:0),time:(from:'2017-09-08T20:41:53-0600',mode:absolute,to:'2017-09-08T23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5" s="194" t="str">
        <f>IF(AA145&lt;VLOOKUP(AG145,Variables!$AC$3:$AD$8,2,FALSE),"Y","N")</f>
        <v>N</v>
      </c>
      <c r="X145" s="194">
        <f t="shared" si="46"/>
        <v>1</v>
      </c>
      <c r="Y145" s="194">
        <f t="shared" si="47"/>
        <v>4.3299999999999998E-2</v>
      </c>
      <c r="Z145" s="194">
        <f t="shared" si="48"/>
        <v>23.330200000000001</v>
      </c>
      <c r="AA145" s="194">
        <f t="shared" si="49"/>
        <v>23.286900000000003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 t="shared" si="50"/>
        <v>233</v>
      </c>
      <c r="AE145" s="77" t="str">
        <f t="shared" si="51"/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AF145" s="74" t="str">
        <f t="shared" si="52"/>
        <v>"C:\Program Files (x86)\AstroGrep\AstroGrep.exe" /e /r /s /spath="%USERPROFILE%\AppData\Local\Temp\OnboardLogs" /stypes="app*4006*20170909*" /stext=" 04:.+((SYSTEM_STATE.+slice.+state.+changed )|(ment ac)|(multiple cpu faults)|(system.+state.+changed )|(\[timeout)|(PRM\|1\|D)|(kpr)|(kdp)|(train st.+moving)|(\|lc)|(penalty))"</v>
      </c>
      <c r="AG145" s="206" t="str">
        <f t="shared" si="53"/>
        <v>EC</v>
      </c>
      <c r="AH145" s="78" t="str">
        <f t="shared" si="54"/>
        <v>"%USERPROFILE%\Documents\GitHub\eaglep3\Utilities\RefineRTDCRunTimes.py" --tripid 233-08 --locoid 4006 --swversion DE.1.0.9.0 --startMP 204:433 --initTime 2017-09-08T21:41:53 --startdatetime 2017-09-08T22:00:18 --delay 55 --endMP 204:233302 --enddatetime 2017-09-08T22:36:21 --enforcementcount 0 &gt;&gt;C:\Users\stu\Documents\GitHub\eaglep3-reporting\EC\2017-09-08-refined-times.txt</v>
      </c>
      <c r="AI145" s="96" t="str">
        <f t="shared" si="55"/>
        <v>echo {"issue":{"subject":"","project_id":79,"tracker_id":40,"status_id":1,"priority_id":2,"assigned_to_id":338,"start_date":"2017-09-08","description":"","custom_fields":[{"id":1,"name":"Subdivision","value":"EC"},{"id":4,"name":"Milepost","value":"23.3302"},{"id":17,"name":"Train ID","value":"233-08"},{"id":16,"name":"Locomotive ID","value":"4006"},{"id":130,"name":"Impact","value":""},{"id":150,"name":"Time of Event (Mountain Time)","value":"22:36:21"},{"id":151,"name":"Denver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6"/>
        <v>start /low /b %USERPROFILE%\Documents\GitHub\eaglep3\Utilities\DownloadLogsFromS3.py --loco 4006 --day 2017-09-08</v>
      </c>
      <c r="AN145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831</v>
      </c>
      <c r="B146" s="7">
        <v>4005</v>
      </c>
      <c r="C146" s="21" t="s">
        <v>197</v>
      </c>
      <c r="D146" s="21" t="s">
        <v>585</v>
      </c>
      <c r="E146" s="13">
        <v>42986.943680555552</v>
      </c>
      <c r="F146" s="13">
        <v>42986.956817129627</v>
      </c>
      <c r="G146" s="7">
        <v>51</v>
      </c>
      <c r="H146" s="21" t="s">
        <v>581</v>
      </c>
      <c r="I146" s="13">
        <v>42986.982881944445</v>
      </c>
      <c r="J146" s="7">
        <v>0</v>
      </c>
      <c r="K146" s="89" t="str">
        <f t="shared" si="40"/>
        <v>4005/4006</v>
      </c>
      <c r="L146" s="214" t="str">
        <f>VLOOKUP(A146,'Trips&amp;Operators'!$C$1:$G$99911,5,FALSE)</f>
        <v>PERKINS DARREN</v>
      </c>
      <c r="M146" s="6">
        <f t="shared" si="41"/>
        <v>2.6064814817800652E-2</v>
      </c>
      <c r="N146" s="7">
        <f t="shared" si="42"/>
        <v>37.533333337632939</v>
      </c>
      <c r="O146" s="7"/>
      <c r="P146" s="7"/>
      <c r="Q146" s="22"/>
      <c r="R146" s="167"/>
      <c r="S146" s="210">
        <f t="shared" si="43"/>
        <v>1</v>
      </c>
      <c r="T146" s="192" t="str">
        <f t="shared" si="44"/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45"/>
        <v>https://d0f6bd738d7f1b3e5a7ca70fe4ff75f0.us-east-1.aws.found.io/app/kibana#/discover/Steve-Slow-Train-Analysis-(2080s-and-2083s)?_g=(refreshInterval:(display:Off,pause:!f,section:0,value:0),time:(from:'2017-09-08T21:38:54-0600',mode:absolute,to:'2017-09-09T00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6" s="194" t="str">
        <f>IF(AA146&lt;VLOOKUP(AG146,Variables!$AC$3:$AD$8,2,FALSE),"Y","N")</f>
        <v>N</v>
      </c>
      <c r="X146" s="194">
        <f t="shared" si="46"/>
        <v>1</v>
      </c>
      <c r="Y146" s="194">
        <f t="shared" si="47"/>
        <v>23.3049</v>
      </c>
      <c r="Z146" s="194">
        <v>0.01</v>
      </c>
      <c r="AA146" s="194">
        <f t="shared" si="49"/>
        <v>23.294899999999998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si="50"/>
        <v>234</v>
      </c>
      <c r="AE146" s="77" t="str">
        <f t="shared" si="51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146" s="74" t="str">
        <f t="shared" si="52"/>
        <v>"C:\Program Files (x86)\AstroGrep\AstroGrep.exe" /e /r /s /spath="%USERPROFILE%\AppData\Local\Temp\OnboardLogs" /stypes="app*4005*20170909*" /stext=" 05:.+((SYSTEM_STATE.+slice.+state.+changed )|(ment ac)|(multiple cpu faults)|(system.+state.+changed )|(\[timeout)|(PRM\|1\|D)|(kpr)|(kdp)|(train st.+moving)|(\|lc)|(penalty))"</v>
      </c>
      <c r="AG146" s="206" t="str">
        <f t="shared" si="53"/>
        <v>EC</v>
      </c>
      <c r="AH146" s="78" t="str">
        <f t="shared" si="54"/>
        <v>"%USERPROFILE%\Documents\GitHub\eaglep3\Utilities\RefineRTDCRunTimes.py" --tripid 234-08 --locoid 4005 --swversion DE.1.0.9.0 --startMP 204:233049 --initTime 2017-09-08T22:38:54 --startdatetime 2017-09-08T22:57:49 --delay 51 --endMP 204:233036 --enddatetime 2017-09-08T23:35:21 --enforcementcount 0 &gt;&gt;C:\Users\stu\Documents\GitHub\eaglep3-reporting\EC\2017-09-08-refined-times.txt</v>
      </c>
      <c r="AI146" s="96" t="str">
        <f t="shared" si="55"/>
        <v>echo {"issue":{"subject":"","project_id":79,"tracker_id":40,"status_id":1,"priority_id":2,"assigned_to_id":338,"start_date":"2017-09-08","description":"","custom_fields":[{"id":1,"name":"Subdivision","value":"EC"},{"id":4,"name":"Milepost","value":"0.01"},{"id":17,"name":"Train ID","value":"234-08"},{"id":16,"name":"Locomotive ID","value":"4005"},{"id":130,"name":"Impact","value":""},{"id":150,"name":"Time of Event (Mountain Time)","value":"23:35:21"},{"id":151,"name":"Denver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6"/>
        <v>start /low /b %USERPROFILE%\Documents\GitHub\eaglep3\Utilities\DownloadLogsFromS3.py --loco 4005 --day 2017-09-08</v>
      </c>
      <c r="AN146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05:35:21"},{"id":29,"name":"Sharepoint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828</v>
      </c>
      <c r="B147" s="7">
        <v>4034</v>
      </c>
      <c r="C147" s="21" t="s">
        <v>197</v>
      </c>
      <c r="D147" s="21" t="s">
        <v>523</v>
      </c>
      <c r="E147" s="13">
        <v>42986.923310185186</v>
      </c>
      <c r="F147" s="13">
        <v>42986.937800925924</v>
      </c>
      <c r="G147" s="7">
        <v>91</v>
      </c>
      <c r="H147" s="21" t="s">
        <v>454</v>
      </c>
      <c r="I147" s="13">
        <v>42986.962939814817</v>
      </c>
      <c r="J147" s="7">
        <v>0</v>
      </c>
      <c r="K147" s="89" t="str">
        <f t="shared" si="40"/>
        <v>4033/4034</v>
      </c>
      <c r="L147" s="214" t="str">
        <f>VLOOKUP(A147,'Trips&amp;Operators'!$C$1:$G$99911,5,FALSE)</f>
        <v>NICHOLSON WESLEY</v>
      </c>
      <c r="M147" s="6">
        <f t="shared" si="41"/>
        <v>2.513888889370719E-2</v>
      </c>
      <c r="N147" s="7">
        <f t="shared" si="42"/>
        <v>36.200000006938353</v>
      </c>
      <c r="O147" s="7"/>
      <c r="P147" s="7"/>
      <c r="Q147" s="22"/>
      <c r="R147" s="167"/>
      <c r="S147" s="210">
        <f t="shared" si="43"/>
        <v>1</v>
      </c>
      <c r="T147" s="192" t="str">
        <f t="shared" si="44"/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45"/>
        <v>https://d0f6bd738d7f1b3e5a7ca70fe4ff75f0.us-east-1.aws.found.io/app/kibana#/discover/Steve-Slow-Train-Analysis-(2080s-and-2083s)?_g=(refreshInterval:(display:Off,pause:!f,section:0,value:0),time:(from:'2017-09-08T21:09:34-0600',mode:absolute,to:'2017-09-09T00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47" s="194" t="str">
        <f>IF(AA147&lt;VLOOKUP(AG147,Variables!$AC$3:$AD$8,2,FALSE),"Y","N")</f>
        <v>N</v>
      </c>
      <c r="X147" s="194">
        <f t="shared" si="46"/>
        <v>1</v>
      </c>
      <c r="Y147" s="194">
        <f t="shared" si="47"/>
        <v>4.8000000000000001E-2</v>
      </c>
      <c r="Z147" s="194">
        <f t="shared" si="48"/>
        <v>23.3293</v>
      </c>
      <c r="AA147" s="194">
        <f t="shared" si="49"/>
        <v>23.281300000000002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50"/>
        <v>235</v>
      </c>
      <c r="AE147" s="77" t="str">
        <f t="shared" si="51"/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AF147" s="74" t="str">
        <f t="shared" si="52"/>
        <v>"C:\Program Files (x86)\AstroGrep\AstroGrep.exe" /e /r /s /spath="%USERPROFILE%\AppData\Local\Temp\OnboardLogs" /stypes="app*4034*20170909*" /stext=" 05:.+((SYSTEM_STATE.+slice.+state.+changed )|(ment ac)|(multiple cpu faults)|(system.+state.+changed )|(\[timeout)|(PRM\|1\|D)|(kpr)|(kdp)|(train st.+moving)|(\|lc)|(penalty))"</v>
      </c>
      <c r="AG147" s="206" t="str">
        <f t="shared" si="53"/>
        <v>EC</v>
      </c>
      <c r="AH147" s="78" t="str">
        <f t="shared" si="54"/>
        <v>"%USERPROFILE%\Documents\GitHub\eaglep3\Utilities\RefineRTDCRunTimes.py" --tripid 235-08 --locoid 4034 --swversion DE.1.0.9.0 --startMP 204:480 --initTime 2017-09-08T22:09:34 --startdatetime 2017-09-08T22:30:26 --delay 91 --endMP 204:233293 --enddatetime 2017-09-08T23:06:38 --enforcementcount 0 &gt;&gt;C:\Users\stu\Documents\GitHub\eaglep3-reporting\EC\2017-09-08-refined-times.txt</v>
      </c>
      <c r="AI147" s="96" t="str">
        <f t="shared" si="55"/>
        <v>echo {"issue":{"subject":"","project_id":79,"tracker_id":40,"status_id":1,"priority_id":2,"assigned_to_id":338,"start_date":"2017-09-08","description":"","custom_fields":[{"id":1,"name":"Subdivision","value":"EC"},{"id":4,"name":"Milepost","value":"23.3293"},{"id":17,"name":"Train ID","value":"235-08"},{"id":16,"name":"Locomotive ID","value":"4034"},{"id":130,"name":"Impact","value":""},{"id":150,"name":"Time of Event (Mountain Time)","value":"23:06:38"},{"id":151,"name":"Denver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6"/>
        <v>start /low /b %USERPROFILE%\Documents\GitHub\eaglep3\Utilities\DownloadLogsFromS3.py --loco 4034 --day 2017-09-08</v>
      </c>
      <c r="AN147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05:06:38"},{"id":29,"name":"Sharepoint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636</v>
      </c>
      <c r="B148" s="7">
        <v>4033</v>
      </c>
      <c r="C148" s="21" t="s">
        <v>197</v>
      </c>
      <c r="D148" s="21" t="s">
        <v>411</v>
      </c>
      <c r="E148" s="13">
        <v>42986.97146990741</v>
      </c>
      <c r="F148" s="13">
        <v>42986.977488425924</v>
      </c>
      <c r="G148" s="7">
        <v>101</v>
      </c>
      <c r="H148" s="21" t="s">
        <v>345</v>
      </c>
      <c r="I148" s="13">
        <v>42987.005115740743</v>
      </c>
      <c r="J148" s="7">
        <v>0</v>
      </c>
      <c r="K148" s="89" t="str">
        <f t="shared" si="40"/>
        <v>4033/4034</v>
      </c>
      <c r="L148" s="214" t="str">
        <f>VLOOKUP(A148,'Trips&amp;Operators'!$C$1:$G$99911,5,FALSE)</f>
        <v>NICHOLSON WESLEY</v>
      </c>
      <c r="M148" s="6">
        <f t="shared" si="41"/>
        <v>2.7627314819255844E-2</v>
      </c>
      <c r="N148" s="7">
        <f t="shared" si="42"/>
        <v>39.783333339728415</v>
      </c>
      <c r="O148" s="7"/>
      <c r="P148" s="7"/>
      <c r="Q148" s="22"/>
      <c r="R148" s="167"/>
      <c r="S148" s="210">
        <f t="shared" si="43"/>
        <v>1</v>
      </c>
      <c r="T148" s="192" t="str">
        <f t="shared" si="44"/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45"/>
        <v>https://d0f6bd738d7f1b3e5a7ca70fe4ff75f0.us-east-1.aws.found.io/app/kibana#/discover/Steve-Slow-Train-Analysis-(2080s-and-2083s)?_g=(refreshInterval:(display:Off,pause:!f,section:0,value:0),time:(from:'2017-09-08T22:18:55-0600',mode:absolute,to:'2017-09-09T01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8" s="194" t="str">
        <f>IF(AA148&lt;VLOOKUP(AG148,Variables!$AC$3:$AD$8,2,FALSE),"Y","N")</f>
        <v>N</v>
      </c>
      <c r="X148" s="194">
        <f t="shared" si="46"/>
        <v>1</v>
      </c>
      <c r="Y148" s="194">
        <f t="shared" si="47"/>
        <v>23.297799999999999</v>
      </c>
      <c r="Z148" s="194">
        <f t="shared" si="48"/>
        <v>1.54E-2</v>
      </c>
      <c r="AA148" s="194">
        <f t="shared" si="49"/>
        <v>23.282399999999999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si="50"/>
        <v>236</v>
      </c>
      <c r="AE148" s="77" t="str">
        <f t="shared" si="51"/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148" s="74" t="str">
        <f t="shared" si="52"/>
        <v>"C:\Program Files (x86)\AstroGrep\AstroGrep.exe" /e /r /s /spath="%USERPROFILE%\AppData\Local\Temp\OnboardLogs" /stypes="app*4033*20170909*" /stext=" 06:.+((SYSTEM_STATE.+slice.+state.+changed )|(ment ac)|(multiple cpu faults)|(system.+state.+changed )|(\[timeout)|(PRM\|1\|D)|(kpr)|(kdp)|(train st.+moving)|(\|lc)|(penalty))"</v>
      </c>
      <c r="AG148" s="206" t="str">
        <f t="shared" si="53"/>
        <v>EC</v>
      </c>
      <c r="AH148" s="78" t="str">
        <f t="shared" si="54"/>
        <v>"%USERPROFILE%\Documents\GitHub\eaglep3\Utilities\RefineRTDCRunTimes.py" --tripid 236-08 --locoid 4033 --swversion DE.1.0.9.0 --startMP 204:232978 --initTime 2017-09-08T23:18:55 --startdatetime 2017-09-08T23:27:35 --delay 101 --endMP 204:154 --enddatetime 2017-09-09T00:07:22 --enforcementcount 0 &gt;&gt;C:\Users\stu\Documents\GitHub\eaglep3-reporting\EC\2017-09-08-refined-times.txt</v>
      </c>
      <c r="AI148" s="96" t="str">
        <f t="shared" si="55"/>
        <v>echo {"issue":{"subject":"","project_id":79,"tracker_id":40,"status_id":1,"priority_id":2,"assigned_to_id":338,"start_date":"2017-09-09","description":"","custom_fields":[{"id":1,"name":"Subdivision","value":"EC"},{"id":4,"name":"Milepost","value":"0.0154"},{"id":17,"name":"Train ID","value":"236-08"},{"id":16,"name":"Locomotive ID","value":"4033"},{"id":130,"name":"Impact","value":""},{"id":150,"name":"Time of Event (Mountain Time)","value":"00:07:22"},{"id":151,"name":"Denver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6"/>
        <v>start /low /b %USERPROFILE%\Documents\GitHub\eaglep3\Utilities\DownloadLogsFromS3.py --loco 4033 --day 2017-09-08</v>
      </c>
      <c r="AN148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06:07:22"},{"id":29,"name":"Sharepoint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832</v>
      </c>
      <c r="B149" s="7">
        <v>4002</v>
      </c>
      <c r="C149" s="21" t="s">
        <v>197</v>
      </c>
      <c r="D149" s="21" t="s">
        <v>351</v>
      </c>
      <c r="E149" s="13">
        <v>42986.955601851849</v>
      </c>
      <c r="F149" s="13">
        <v>42986.958599537036</v>
      </c>
      <c r="G149" s="7">
        <v>59</v>
      </c>
      <c r="H149" s="21" t="s">
        <v>419</v>
      </c>
      <c r="I149" s="13">
        <v>42986.982743055552</v>
      </c>
      <c r="J149" s="7">
        <v>0</v>
      </c>
      <c r="K149" s="89" t="str">
        <f t="shared" si="40"/>
        <v>4001/4002</v>
      </c>
      <c r="L149" s="214" t="str">
        <f>VLOOKUP(A149,'Trips&amp;Operators'!$C$1:$G$99911,5,FALSE)</f>
        <v>HART KEVIN</v>
      </c>
      <c r="M149" s="6">
        <f t="shared" si="41"/>
        <v>2.414351851621177E-2</v>
      </c>
      <c r="N149" s="7">
        <f t="shared" si="42"/>
        <v>34.766666663344949</v>
      </c>
      <c r="O149" s="7"/>
      <c r="P149" s="7"/>
      <c r="Q149" s="22"/>
      <c r="R149" s="167"/>
      <c r="S149" s="210">
        <f t="shared" si="43"/>
        <v>1</v>
      </c>
      <c r="T149" s="192" t="str">
        <f t="shared" si="44"/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45"/>
        <v>https://d0f6bd738d7f1b3e5a7ca70fe4ff75f0.us-east-1.aws.found.io/app/kibana#/discover/Steve-Slow-Train-Analysis-(2080s-and-2083s)?_g=(refreshInterval:(display:Off,pause:!f,section:0,value:0),time:(from:'2017-09-08T21:56:04-0600',mode:absolute,to:'2017-09-09T00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9" s="194" t="str">
        <f>IF(AA149&lt;VLOOKUP(AG149,Variables!$AC$3:$AD$8,2,FALSE),"Y","N")</f>
        <v>N</v>
      </c>
      <c r="X149" s="194">
        <f t="shared" si="46"/>
        <v>1</v>
      </c>
      <c r="Y149" s="194">
        <f t="shared" si="47"/>
        <v>4.5499999999999999E-2</v>
      </c>
      <c r="Z149" s="194">
        <f t="shared" si="48"/>
        <v>23.331399999999999</v>
      </c>
      <c r="AA149" s="194">
        <f t="shared" si="49"/>
        <v>23.285899999999998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50"/>
        <v>237</v>
      </c>
      <c r="AE149" s="77" t="str">
        <f t="shared" si="51"/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AF149" s="74" t="str">
        <f t="shared" si="52"/>
        <v>"C:\Program Files (x86)\AstroGrep\AstroGrep.exe" /e /r /s /spath="%USERPROFILE%\AppData\Local\Temp\OnboardLogs" /stypes="app*4002*20170909*" /stext=" 05:.+((SYSTEM_STATE.+slice.+state.+changed )|(ment ac)|(multiple cpu faults)|(system.+state.+changed )|(\[timeout)|(PRM\|1\|D)|(kpr)|(kdp)|(train st.+moving)|(\|lc)|(penalty))"</v>
      </c>
      <c r="AG149" s="206" t="str">
        <f t="shared" si="53"/>
        <v>EC</v>
      </c>
      <c r="AH149" s="78" t="str">
        <f t="shared" si="54"/>
        <v>"%USERPROFILE%\Documents\GitHub\eaglep3\Utilities\RefineRTDCRunTimes.py" --tripid 237-08 --locoid 4002 --swversion DE.1.0.9.0 --startMP 204:455 --initTime 2017-09-08T22:56:04 --startdatetime 2017-09-08T23:00:23 --delay 59 --endMP 204:233314 --enddatetime 2017-09-08T23:35:09 --enforcementcount 0 &gt;&gt;C:\Users\stu\Documents\GitHub\eaglep3-reporting\EC\2017-09-08-refined-times.txt</v>
      </c>
      <c r="AI149" s="96" t="str">
        <f t="shared" si="55"/>
        <v>echo {"issue":{"subject":"","project_id":79,"tracker_id":40,"status_id":1,"priority_id":2,"assigned_to_id":338,"start_date":"2017-09-08","description":"","custom_fields":[{"id":1,"name":"Subdivision","value":"EC"},{"id":4,"name":"Milepost","value":"23.3314"},{"id":17,"name":"Train ID","value":"237-08"},{"id":16,"name":"Locomotive ID","value":"4002"},{"id":130,"name":"Impact","value":""},{"id":150,"name":"Time of Event (Mountain Time)","value":"23:35:09"},{"id":151,"name":"Denver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6"/>
        <v>start /low /b %USERPROFILE%\Documents\GitHub\eaglep3\Utilities\DownloadLogsFromS3.py --loco 4002 --day 2017-09-08</v>
      </c>
      <c r="AN149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835</v>
      </c>
      <c r="B150" s="7">
        <v>4001</v>
      </c>
      <c r="C150" s="21" t="s">
        <v>197</v>
      </c>
      <c r="D150" s="21" t="s">
        <v>410</v>
      </c>
      <c r="E150" s="13">
        <v>42986.995150462964</v>
      </c>
      <c r="F150" s="13">
        <v>42986.998159722221</v>
      </c>
      <c r="G150" s="7">
        <v>51</v>
      </c>
      <c r="H150" s="21" t="s">
        <v>339</v>
      </c>
      <c r="I150" s="13">
        <v>42987.023831018516</v>
      </c>
      <c r="J150" s="7">
        <v>0</v>
      </c>
      <c r="K150" s="89" t="str">
        <f t="shared" si="40"/>
        <v>4001/4002</v>
      </c>
      <c r="L150" s="214" t="str">
        <f>VLOOKUP(A150,'Trips&amp;Operators'!$C$1:$G$99911,5,FALSE)</f>
        <v>HART KEVIN</v>
      </c>
      <c r="M150" s="6">
        <f t="shared" si="41"/>
        <v>2.5671296294603962E-2</v>
      </c>
      <c r="N150" s="7">
        <f t="shared" si="42"/>
        <v>36.966666664229706</v>
      </c>
      <c r="O150" s="7"/>
      <c r="P150" s="7"/>
      <c r="Q150" s="22"/>
      <c r="R150" s="167"/>
      <c r="S150" s="210">
        <f t="shared" si="43"/>
        <v>1</v>
      </c>
      <c r="T150" s="192" t="str">
        <f t="shared" si="44"/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45"/>
        <v>https://d0f6bd738d7f1b3e5a7ca70fe4ff75f0.us-east-1.aws.found.io/app/kibana#/discover/Steve-Slow-Train-Analysis-(2080s-and-2083s)?_g=(refreshInterval:(display:Off,pause:!f,section:0,value:0),time:(from:'2017-09-08T22:53:01-0600',mode:absolute,to:'2017-09-09T01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0" s="194" t="str">
        <f>IF(AA150&lt;VLOOKUP(AG150,Variables!$AC$3:$AD$8,2,FALSE),"Y","N")</f>
        <v>N</v>
      </c>
      <c r="X150" s="194">
        <f t="shared" si="46"/>
        <v>1</v>
      </c>
      <c r="Y150" s="194">
        <f t="shared" si="47"/>
        <v>23.298400000000001</v>
      </c>
      <c r="Z150" s="194">
        <f t="shared" si="48"/>
        <v>1.49E-2</v>
      </c>
      <c r="AA150" s="194">
        <f t="shared" si="49"/>
        <v>23.2835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50"/>
        <v>238</v>
      </c>
      <c r="AE150" s="77" t="str">
        <f t="shared" si="51"/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AF150" s="74" t="str">
        <f t="shared" si="52"/>
        <v>"C:\Program Files (x86)\AstroGrep\AstroGrep.exe" /e /r /s /spath="%USERPROFILE%\AppData\Local\Temp\OnboardLogs" /stypes="app*4001*20170909*" /stext=" 06:.+((SYSTEM_STATE.+slice.+state.+changed )|(ment ac)|(multiple cpu faults)|(system.+state.+changed )|(\[timeout)|(PRM\|1\|D)|(kpr)|(kdp)|(train st.+moving)|(\|lc)|(penalty))"</v>
      </c>
      <c r="AG150" s="206" t="str">
        <f t="shared" si="53"/>
        <v>EC</v>
      </c>
      <c r="AH150" s="78" t="str">
        <f t="shared" si="54"/>
        <v>"%USERPROFILE%\Documents\GitHub\eaglep3\Utilities\RefineRTDCRunTimes.py" --tripid 238-08 --locoid 4001 --swversion DE.1.0.9.0 --startMP 204:232984 --initTime 2017-09-08T23:53:01 --startdatetime 2017-09-08T23:57:21 --delay 51 --endMP 204:149 --enddatetime 2017-09-09T00:34:19 --enforcementcount 0 &gt;&gt;C:\Users\stu\Documents\GitHub\eaglep3-reporting\EC\2017-09-08-refined-times.txt</v>
      </c>
      <c r="AI150" s="96" t="str">
        <f t="shared" si="55"/>
        <v>echo {"issue":{"subject":"","project_id":79,"tracker_id":40,"status_id":1,"priority_id":2,"assigned_to_id":338,"start_date":"2017-09-09","description":"","custom_fields":[{"id":1,"name":"Subdivision","value":"EC"},{"id":4,"name":"Milepost","value":"0.0149"},{"id":17,"name":"Train ID","value":"238-08"},{"id":16,"name":"Locomotive ID","value":"4001"},{"id":130,"name":"Impact","value":""},{"id":150,"name":"Time of Event (Mountain Time)","value":"00:34:19"},{"id":151,"name":"Denver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6"/>
        <v>start /low /b %USERPROFILE%\Documents\GitHub\eaglep3\Utilities\DownloadLogsFromS3.py --loco 4001 --day 2017-09-08</v>
      </c>
      <c r="AN150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06:34:19"},{"id":29,"name":"Sharepoint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833</v>
      </c>
      <c r="B151" s="7">
        <v>4062</v>
      </c>
      <c r="C151" s="21" t="s">
        <v>197</v>
      </c>
      <c r="D151" s="21" t="s">
        <v>575</v>
      </c>
      <c r="E151" s="13">
        <v>42986.970381944448</v>
      </c>
      <c r="F151" s="13">
        <v>42986.979363425926</v>
      </c>
      <c r="G151" s="7">
        <v>68</v>
      </c>
      <c r="H151" s="21" t="s">
        <v>908</v>
      </c>
      <c r="I151" s="13">
        <v>42987.003900462965</v>
      </c>
      <c r="J151" s="7">
        <v>0</v>
      </c>
      <c r="K151" s="89" t="str">
        <f t="shared" si="40"/>
        <v>4061/4062</v>
      </c>
      <c r="L151" s="214" t="str">
        <f>VLOOKUP(A151,'Trips&amp;Operators'!$C$1:$G$99911,5,FALSE)</f>
        <v>MCREYNOLDS KYLE</v>
      </c>
      <c r="M151" s="6">
        <f t="shared" si="41"/>
        <v>2.453703703940846E-2</v>
      </c>
      <c r="N151" s="7">
        <f t="shared" si="42"/>
        <v>35.333333336748183</v>
      </c>
      <c r="O151" s="7"/>
      <c r="P151" s="7"/>
      <c r="Q151" s="22"/>
      <c r="R151" s="167"/>
      <c r="S151" s="210">
        <f t="shared" si="43"/>
        <v>1</v>
      </c>
      <c r="T151" s="192" t="str">
        <f t="shared" si="44"/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45"/>
        <v>https://d0f6bd738d7f1b3e5a7ca70fe4ff75f0.us-east-1.aws.found.io/app/kibana#/discover/Steve-Slow-Train-Analysis-(2080s-and-2083s)?_g=(refreshInterval:(display:Off,pause:!f,section:0,value:0),time:(from:'2017-09-08T22:17:21-0600',mode:absolute,to:'2017-09-09T01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1" s="194" t="str">
        <f>IF(AA151&lt;VLOOKUP(AG151,Variables!$AC$3:$AD$8,2,FALSE),"Y","N")</f>
        <v>N</v>
      </c>
      <c r="X151" s="194">
        <f t="shared" si="46"/>
        <v>1</v>
      </c>
      <c r="Y151" s="194">
        <f t="shared" si="47"/>
        <v>4.5100000000000001E-2</v>
      </c>
      <c r="Z151" s="194">
        <f t="shared" si="48"/>
        <v>23.335899999999999</v>
      </c>
      <c r="AA151" s="194">
        <f t="shared" si="49"/>
        <v>23.290799999999997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50"/>
        <v>239</v>
      </c>
      <c r="AE151" s="77" t="str">
        <f t="shared" si="51"/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AF151" s="74" t="str">
        <f t="shared" si="52"/>
        <v>"C:\Program Files (x86)\AstroGrep\AstroGrep.exe" /e /r /s /spath="%USERPROFILE%\AppData\Local\Temp\OnboardLogs" /stypes="app*4062*20170909*" /stext=" 06:.+((SYSTEM_STATE.+slice.+state.+changed )|(ment ac)|(multiple cpu faults)|(system.+state.+changed )|(\[timeout)|(PRM\|1\|D)|(kpr)|(kdp)|(train st.+moving)|(\|lc)|(penalty))"</v>
      </c>
      <c r="AG151" s="206" t="str">
        <f t="shared" si="53"/>
        <v>EC</v>
      </c>
      <c r="AH151" s="78" t="str">
        <f t="shared" si="54"/>
        <v>"%USERPROFILE%\Documents\GitHub\eaglep3\Utilities\RefineRTDCRunTimes.py" --tripid 239-08 --locoid 4062 --swversion DE.1.0.9.0 --startMP 204:451 --initTime 2017-09-08T23:17:21 --startdatetime 2017-09-08T23:30:17 --delay 68 --endMP 204:233359 --enddatetime 2017-09-09T00:05:37 --enforcementcount 0 &gt;&gt;C:\Users\stu\Documents\GitHub\eaglep3-reporting\EC\2017-09-08-refined-times.txt</v>
      </c>
      <c r="AI151" s="96" t="str">
        <f t="shared" si="55"/>
        <v>echo {"issue":{"subject":"","project_id":79,"tracker_id":40,"status_id":1,"priority_id":2,"assigned_to_id":338,"start_date":"2017-09-09","description":"","custom_fields":[{"id":1,"name":"Subdivision","value":"EC"},{"id":4,"name":"Milepost","value":"23.3359"},{"id":17,"name":"Train ID","value":"239-08"},{"id":16,"name":"Locomotive ID","value":"4062"},{"id":130,"name":"Impact","value":""},{"id":150,"name":"Time of Event (Mountain Time)","value":"00:05:37"},{"id":151,"name":"Denver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6"/>
        <v>start /low /b %USERPROFILE%\Documents\GitHub\eaglep3\Utilities\DownloadLogsFromS3.py --loco 4062 --day 2017-09-08</v>
      </c>
      <c r="AN151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06:05:37"},{"id":29,"name":"Sharepoint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836</v>
      </c>
      <c r="B152" s="7">
        <v>4061</v>
      </c>
      <c r="C152" s="21" t="s">
        <v>197</v>
      </c>
      <c r="D152" s="21" t="s">
        <v>585</v>
      </c>
      <c r="E152" s="13">
        <v>42987.012523148151</v>
      </c>
      <c r="F152" s="13">
        <v>42987.018900462965</v>
      </c>
      <c r="G152" s="7">
        <v>79</v>
      </c>
      <c r="H152" s="21" t="s">
        <v>390</v>
      </c>
      <c r="I152" s="13">
        <v>42987.045081018521</v>
      </c>
      <c r="J152" s="7">
        <v>0</v>
      </c>
      <c r="K152" s="89" t="str">
        <f t="shared" si="40"/>
        <v>4061/4062</v>
      </c>
      <c r="L152" s="214" t="str">
        <f>VLOOKUP(A152,'Trips&amp;Operators'!$C$1:$G$99911,5,FALSE)</f>
        <v>MCREYNOLDS KYLE</v>
      </c>
      <c r="M152" s="6">
        <f t="shared" si="41"/>
        <v>2.6180555556493346E-2</v>
      </c>
      <c r="N152" s="7">
        <f t="shared" si="42"/>
        <v>37.700000001350418</v>
      </c>
      <c r="O152" s="7"/>
      <c r="P152" s="7"/>
      <c r="Q152" s="22"/>
      <c r="R152" s="167"/>
      <c r="S152" s="210">
        <f t="shared" si="43"/>
        <v>1</v>
      </c>
      <c r="T152" s="192" t="str">
        <f t="shared" si="44"/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45"/>
        <v>https://d0f6bd738d7f1b3e5a7ca70fe4ff75f0.us-east-1.aws.found.io/app/kibana#/discover/Steve-Slow-Train-Analysis-(2080s-and-2083s)?_g=(refreshInterval:(display:Off,pause:!f,section:0,value:0),time:(from:'2017-09-08T23:18:02-0600',mode:absolute,to:'2017-09-09T02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2" s="194" t="str">
        <f>IF(AA152&lt;VLOOKUP(AG152,Variables!$AC$3:$AD$8,2,FALSE),"Y","N")</f>
        <v>N</v>
      </c>
      <c r="X152" s="194">
        <f t="shared" si="46"/>
        <v>1</v>
      </c>
      <c r="Y152" s="194">
        <f t="shared" si="47"/>
        <v>23.3049</v>
      </c>
      <c r="Z152" s="194">
        <f t="shared" si="48"/>
        <v>1.67E-2</v>
      </c>
      <c r="AA152" s="194">
        <f t="shared" si="49"/>
        <v>23.2882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50"/>
        <v>240</v>
      </c>
      <c r="AE152" s="77" t="str">
        <f t="shared" si="51"/>
        <v>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 &amp; aws s3 cp s3://rtdc.mdm.uploadarchive.raw/RTDC4061/ "%USERPROFILE%\AppData\Local\Temp\OnboardLogs"\RTDC4061\2017-09-10 --exclude "*" --recursive --include "*20170910*" &amp; "%USERPROFILE%\Documents\GitHub\mrs-test-scripts\Headless Mode &amp; Sideloading\WalkAndUnGZ.bat" "%USERPROFILE%\AppData\Local\Temp\OnboardLogs"\RTDC4061\2017-09-10</v>
      </c>
      <c r="AF152" s="74" t="str">
        <f t="shared" si="52"/>
        <v>"C:\Program Files (x86)\AstroGrep\AstroGrep.exe" /e /r /s /spath="%USERPROFILE%\AppData\Local\Temp\OnboardLogs" /stypes="app*4061*20170909*" /stext=" 07:.+((SYSTEM_STATE.+slice.+state.+changed )|(ment ac)|(multiple cpu faults)|(system.+state.+changed )|(\[timeout)|(PRM\|1\|D)|(kpr)|(kdp)|(train st.+moving)|(\|lc)|(penalty))"</v>
      </c>
      <c r="AG152" s="206" t="str">
        <f t="shared" si="53"/>
        <v>EC</v>
      </c>
      <c r="AH152" s="78" t="str">
        <f t="shared" si="54"/>
        <v>"%USERPROFILE%\Documents\GitHub\eaglep3\Utilities\RefineRTDCRunTimes.py" --tripid 240-08 --locoid 4061 --swversion DE.1.0.9.0 --startMP 204:233049 --initTime 2017-09-09T00:18:02 --startdatetime 2017-09-09T00:27:13 --delay 79 --endMP 204:167 --enddatetime 2017-09-09T01:04:55 --enforcementcount 0 &gt;&gt;C:\Users\stu\Documents\GitHub\eaglep3-reporting\EC\2017-09-08-refined-times.txt</v>
      </c>
      <c r="AI152" s="96" t="str">
        <f t="shared" si="55"/>
        <v>echo {"issue":{"subject":"","project_id":79,"tracker_id":40,"status_id":1,"priority_id":2,"assigned_to_id":338,"start_date":"2017-09-09","description":"","custom_fields":[{"id":1,"name":"Subdivision","value":"EC"},{"id":4,"name":"Milepost","value":"0.0167"},{"id":17,"name":"Train ID","value":"240-08"},{"id":16,"name":"Locomotive ID","value":"4061"},{"id":130,"name":"Impact","value":""},{"id":150,"name":"Time of Event (Mountain Time)","value":"01:04:55"},{"id":151,"name":"Denver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6"/>
        <v>start /low /b %USERPROFILE%\Documents\GitHub\eaglep3\Utilities\DownloadLogsFromS3.py --loco 4061 --day 2017-09-09</v>
      </c>
      <c r="AN152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07:04:55"},{"id":29,"name":"Sharepoint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637</v>
      </c>
      <c r="B153" s="7">
        <v>4006</v>
      </c>
      <c r="C153" s="21" t="s">
        <v>197</v>
      </c>
      <c r="D153" s="21" t="s">
        <v>909</v>
      </c>
      <c r="E153" s="13">
        <v>42986.985648148147</v>
      </c>
      <c r="F153" s="13">
        <v>42987.000173611108</v>
      </c>
      <c r="G153" s="7">
        <v>53</v>
      </c>
      <c r="H153" s="21" t="s">
        <v>910</v>
      </c>
      <c r="I153" s="13">
        <v>42987.02449074074</v>
      </c>
      <c r="J153" s="7">
        <v>0</v>
      </c>
      <c r="K153" s="89" t="str">
        <f t="shared" si="40"/>
        <v>4005/4006</v>
      </c>
      <c r="L153" s="214" t="str">
        <f>VLOOKUP(A153,'Trips&amp;Operators'!$C$1:$G$99911,5,FALSE)</f>
        <v>PERKINS DARREN</v>
      </c>
      <c r="M153" s="6">
        <f t="shared" si="41"/>
        <v>2.4317129631526768E-2</v>
      </c>
      <c r="N153" s="7">
        <f t="shared" si="42"/>
        <v>35.016666669398546</v>
      </c>
      <c r="O153" s="7"/>
      <c r="P153" s="7"/>
      <c r="Q153" s="22"/>
      <c r="R153" s="167"/>
      <c r="S153" s="210">
        <f t="shared" si="43"/>
        <v>1</v>
      </c>
      <c r="T153" s="192" t="str">
        <f t="shared" si="44"/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45"/>
        <v>https://d0f6bd738d7f1b3e5a7ca70fe4ff75f0.us-east-1.aws.found.io/app/kibana#/discover/Steve-Slow-Train-Analysis-(2080s-and-2083s)?_g=(refreshInterval:(display:Off,pause:!f,section:0,value:0),time:(from:'2017-09-08T22:39:20-0600',mode:absolute,to:'2017-09-09T01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3" s="194" t="str">
        <f>IF(AA153&lt;VLOOKUP(AG153,Variables!$AC$3:$AD$8,2,FALSE),"Y","N")</f>
        <v>N</v>
      </c>
      <c r="X153" s="194">
        <f t="shared" si="46"/>
        <v>1</v>
      </c>
      <c r="Y153" s="194">
        <f t="shared" si="47"/>
        <v>4.2700000000000002E-2</v>
      </c>
      <c r="Z153" s="194">
        <f t="shared" si="48"/>
        <v>23.332799999999999</v>
      </c>
      <c r="AA153" s="194">
        <f t="shared" si="49"/>
        <v>23.290099999999999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 t="shared" si="50"/>
        <v>241</v>
      </c>
      <c r="AE153" s="77" t="str">
        <f t="shared" si="51"/>
        <v>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 &amp; 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</v>
      </c>
      <c r="AF153" s="74" t="str">
        <f t="shared" si="52"/>
        <v>"C:\Program Files (x86)\AstroGrep\AstroGrep.exe" /e /r /s /spath="%USERPROFILE%\AppData\Local\Temp\OnboardLogs" /stypes="app*4006*20170909*" /stext=" 06:.+((SYSTEM_STATE.+slice.+state.+changed )|(ment ac)|(multiple cpu faults)|(system.+state.+changed )|(\[timeout)|(PRM\|1\|D)|(kpr)|(kdp)|(train st.+moving)|(\|lc)|(penalty))"</v>
      </c>
      <c r="AG153" s="206" t="str">
        <f t="shared" si="53"/>
        <v>EC</v>
      </c>
      <c r="AH153" s="78" t="str">
        <f t="shared" si="54"/>
        <v>"%USERPROFILE%\Documents\GitHub\eaglep3\Utilities\RefineRTDCRunTimes.py" --tripid 241-08 --locoid 4006 --swversion DE.1.0.9.0 --startMP 204:427 --initTime 2017-09-08T23:39:20 --startdatetime 2017-09-09T00:00:15 --delay 53 --endMP 204:233328 --enddatetime 2017-09-09T00:35:16 --enforcementcount 0 &gt;&gt;C:\Users\stu\Documents\GitHub\eaglep3-reporting\EC\2017-09-08-refined-times.txt</v>
      </c>
      <c r="AI153" s="96" t="str">
        <f t="shared" si="55"/>
        <v>echo {"issue":{"subject":"","project_id":79,"tracker_id":40,"status_id":1,"priority_id":2,"assigned_to_id":338,"start_date":"2017-09-09","description":"","custom_fields":[{"id":1,"name":"Subdivision","value":"EC"},{"id":4,"name":"Milepost","value":"23.3328"},{"id":17,"name":"Train ID","value":"241-08"},{"id":16,"name":"Locomotive ID","value":"4006"},{"id":130,"name":"Impact","value":""},{"id":150,"name":"Time of Event (Mountain Time)","value":"00:35:16"},{"id":151,"name":"Denver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6"/>
        <v>start /low /b %USERPROFILE%\Documents\GitHub\eaglep3\Utilities\DownloadLogsFromS3.py --loco 4006 --day 2017-09-09</v>
      </c>
      <c r="AN153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06:35:16"},{"id":29,"name":"Sharepoint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838</v>
      </c>
      <c r="B154" s="7">
        <v>4005</v>
      </c>
      <c r="C154" s="21" t="s">
        <v>197</v>
      </c>
      <c r="D154" s="21" t="s">
        <v>571</v>
      </c>
      <c r="E154" s="13">
        <v>42987.030601851853</v>
      </c>
      <c r="F154" s="13">
        <v>42987.039780092593</v>
      </c>
      <c r="G154" s="7">
        <v>67</v>
      </c>
      <c r="H154" s="21" t="s">
        <v>404</v>
      </c>
      <c r="I154" s="13">
        <v>42987.066099537034</v>
      </c>
      <c r="J154" s="7">
        <v>0</v>
      </c>
      <c r="K154" s="89" t="str">
        <f t="shared" si="40"/>
        <v>4005/4006</v>
      </c>
      <c r="L154" s="214" t="str">
        <f>VLOOKUP(A154,'Trips&amp;Operators'!$C$1:$G$99911,5,FALSE)</f>
        <v>PERKINS DARREN</v>
      </c>
      <c r="M154" s="6">
        <f t="shared" si="41"/>
        <v>2.6319444441469386E-2</v>
      </c>
      <c r="N154" s="7">
        <f t="shared" si="42"/>
        <v>37.899999995715916</v>
      </c>
      <c r="O154" s="7"/>
      <c r="P154" s="7"/>
      <c r="Q154" s="22"/>
      <c r="R154" s="167"/>
      <c r="S154" s="210">
        <f t="shared" si="43"/>
        <v>1</v>
      </c>
      <c r="T154" s="192" t="str">
        <f t="shared" si="44"/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45"/>
        <v>https://d0f6bd738d7f1b3e5a7ca70fe4ff75f0.us-east-1.aws.found.io/app/kibana#/discover/Steve-Slow-Train-Analysis-(2080s-and-2083s)?_g=(refreshInterval:(display:Off,pause:!f,section:0,value:0),time:(from:'2017-09-08T23:44:04-0600',mode:absolute,to:'2017-09-09T02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4" s="194" t="str">
        <f>IF(AA154&lt;VLOOKUP(AG154,Variables!$AC$3:$AD$8,2,FALSE),"Y","N")</f>
        <v>N</v>
      </c>
      <c r="X154" s="194">
        <f t="shared" si="46"/>
        <v>1</v>
      </c>
      <c r="Y154" s="194">
        <f t="shared" si="47"/>
        <v>23.299600000000002</v>
      </c>
      <c r="Z154" s="194">
        <f t="shared" si="48"/>
        <v>1.6E-2</v>
      </c>
      <c r="AA154" s="194">
        <f t="shared" si="49"/>
        <v>23.283600000000003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50"/>
        <v>242</v>
      </c>
      <c r="AE154" s="77" t="str">
        <f t="shared" si="51"/>
        <v>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 &amp; 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</v>
      </c>
      <c r="AF154" s="74" t="str">
        <f t="shared" si="52"/>
        <v>"C:\Program Files (x86)\AstroGrep\AstroGrep.exe" /e /r /s /spath="%USERPROFILE%\AppData\Local\Temp\OnboardLogs" /stypes="app*4005*20170909*" /stext=" 07:.+((SYSTEM_STATE.+slice.+state.+changed )|(ment ac)|(multiple cpu faults)|(system.+state.+changed )|(\[timeout)|(PRM\|1\|D)|(kpr)|(kdp)|(train st.+moving)|(\|lc)|(penalty))"</v>
      </c>
      <c r="AG154" s="206" t="str">
        <f t="shared" si="53"/>
        <v>EC</v>
      </c>
      <c r="AH154" s="78" t="str">
        <f t="shared" si="54"/>
        <v>"%USERPROFILE%\Documents\GitHub\eaglep3\Utilities\RefineRTDCRunTimes.py" --tripid 242-08 --locoid 4005 --swversion DE.1.0.9.0 --startMP 204:232996 --initTime 2017-09-09T00:44:04 --startdatetime 2017-09-09T00:57:17 --delay 67 --endMP 204:160 --enddatetime 2017-09-09T01:35:11 --enforcementcount 0 &gt;&gt;C:\Users\stu\Documents\GitHub\eaglep3-reporting\EC\2017-09-08-refined-times.txt</v>
      </c>
      <c r="AI154" s="96" t="str">
        <f t="shared" si="55"/>
        <v>echo {"issue":{"subject":"","project_id":79,"tracker_id":40,"status_id":1,"priority_id":2,"assigned_to_id":338,"start_date":"2017-09-09","description":"","custom_fields":[{"id":1,"name":"Subdivision","value":"EC"},{"id":4,"name":"Milepost","value":"0.016"},{"id":17,"name":"Train ID","value":"242-08"},{"id":16,"name":"Locomotive ID","value":"4005"},{"id":130,"name":"Impact","value":""},{"id":150,"name":"Time of Event (Mountain Time)","value":"01:35:11"},{"id":151,"name":"Denver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6"/>
        <v>start /low /b %USERPROFILE%\Documents\GitHub\eaglep3\Utilities\DownloadLogsFromS3.py --loco 4005 --day 2017-09-09</v>
      </c>
      <c r="AN154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07:35:11"},{"id":29,"name":"Sharepoint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837</v>
      </c>
      <c r="B155" s="7">
        <v>4034</v>
      </c>
      <c r="C155" s="21" t="s">
        <v>197</v>
      </c>
      <c r="D155" s="21" t="s">
        <v>854</v>
      </c>
      <c r="E155" s="13">
        <v>42987.018067129633</v>
      </c>
      <c r="F155" s="13">
        <v>42987.021122685182</v>
      </c>
      <c r="G155" s="7">
        <v>99</v>
      </c>
      <c r="H155" s="21" t="s">
        <v>456</v>
      </c>
      <c r="I155" s="13">
        <v>42987.047511574077</v>
      </c>
      <c r="J155" s="7">
        <v>0</v>
      </c>
      <c r="K155" s="89" t="str">
        <f t="shared" si="40"/>
        <v>4033/4034</v>
      </c>
      <c r="L155" s="214" t="str">
        <f>VLOOKUP(A155,'Trips&amp;Operators'!$C$1:$G$99911,5,FALSE)</f>
        <v>NICHOLSON WESLEY</v>
      </c>
      <c r="M155" s="6">
        <f t="shared" si="41"/>
        <v>2.6388888894871343E-2</v>
      </c>
      <c r="N155" s="7">
        <f t="shared" si="42"/>
        <v>38.000000008614734</v>
      </c>
      <c r="O155" s="7"/>
      <c r="P155" s="7"/>
      <c r="Q155" s="22"/>
      <c r="R155" s="167"/>
      <c r="S155" s="210">
        <f t="shared" si="43"/>
        <v>1</v>
      </c>
      <c r="T155" s="192" t="str">
        <f t="shared" si="44"/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45"/>
        <v>https://d0f6bd738d7f1b3e5a7ca70fe4ff75f0.us-east-1.aws.found.io/app/kibana#/discover/Steve-Slow-Train-Analysis-(2080s-and-2083s)?_g=(refreshInterval:(display:Off,pause:!f,section:0,value:0),time:(from:'2017-09-08T23:26:01-0600',mode:absolute,to:'2017-09-09T02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5" s="194" t="str">
        <f>IF(AA155&lt;VLOOKUP(AG155,Variables!$AC$3:$AD$8,2,FALSE),"Y","N")</f>
        <v>N</v>
      </c>
      <c r="X155" s="194">
        <f t="shared" si="46"/>
        <v>1</v>
      </c>
      <c r="Y155" s="194">
        <f t="shared" si="47"/>
        <v>4.6600000000000003E-2</v>
      </c>
      <c r="Z155" s="194">
        <f t="shared" si="48"/>
        <v>23.331700000000001</v>
      </c>
      <c r="AA155" s="194">
        <f t="shared" si="49"/>
        <v>23.2851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50"/>
        <v>243</v>
      </c>
      <c r="AE155" s="77" t="str">
        <f t="shared" si="51"/>
        <v>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 &amp; aws s3 cp s3://rtdc.mdm.uploadarchive.raw/RTDC4034/ "%USERPROFILE%\AppData\Local\Temp\OnboardLogs"\RTDC4034\2017-09-10 --exclude "*" --recursive --include "*20170910*" &amp; "%USERPROFILE%\Documents\GitHub\mrs-test-scripts\Headless Mode &amp; Sideloading\WalkAndUnGZ.bat" "%USERPROFILE%\AppData\Local\Temp\OnboardLogs"\RTDC4034\2017-09-10</v>
      </c>
      <c r="AF155" s="74" t="str">
        <f t="shared" si="52"/>
        <v>"C:\Program Files (x86)\AstroGrep\AstroGrep.exe" /e /r /s /spath="%USERPROFILE%\AppData\Local\Temp\OnboardLogs" /stypes="app*4034*20170909*" /stext=" 07:.+((SYSTEM_STATE.+slice.+state.+changed )|(ment ac)|(multiple cpu faults)|(system.+state.+changed )|(\[timeout)|(PRM\|1\|D)|(kpr)|(kdp)|(train st.+moving)|(\|lc)|(penalty))"</v>
      </c>
      <c r="AG155" s="206" t="str">
        <f t="shared" si="53"/>
        <v>EC</v>
      </c>
      <c r="AH155" s="78" t="str">
        <f t="shared" si="54"/>
        <v>"%USERPROFILE%\Documents\GitHub\eaglep3\Utilities\RefineRTDCRunTimes.py" --tripid 243-08 --locoid 4034 --swversion DE.1.0.9.0 --startMP 204:466 --initTime 2017-09-09T00:26:01 --startdatetime 2017-09-09T00:30:25 --delay 99 --endMP 204:233317 --enddatetime 2017-09-09T01:08:25 --enforcementcount 0 &gt;&gt;C:\Users\stu\Documents\GitHub\eaglep3-reporting\EC\2017-09-08-refined-times.txt</v>
      </c>
      <c r="AI155" s="96" t="str">
        <f t="shared" si="55"/>
        <v>echo {"issue":{"subject":"","project_id":79,"tracker_id":40,"status_id":1,"priority_id":2,"assigned_to_id":338,"start_date":"2017-09-09","description":"","custom_fields":[{"id":1,"name":"Subdivision","value":"EC"},{"id":4,"name":"Milepost","value":"23.3317"},{"id":17,"name":"Train ID","value":"243-08"},{"id":16,"name":"Locomotive ID","value":"4034"},{"id":130,"name":"Impact","value":""},{"id":150,"name":"Time of Event (Mountain Time)","value":"01:08:25"},{"id":151,"name":"Denver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6"/>
        <v>start /low /b %USERPROFILE%\Documents\GitHub\eaglep3\Utilities\DownloadLogsFromS3.py --loco 4034 --day 2017-09-09</v>
      </c>
      <c r="AN155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07:08:25"},{"id":29,"name":"Sharepoint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841</v>
      </c>
      <c r="B156" s="7">
        <v>4033</v>
      </c>
      <c r="C156" s="21" t="s">
        <v>197</v>
      </c>
      <c r="D156" s="21" t="s">
        <v>865</v>
      </c>
      <c r="E156" s="13">
        <v>42987.050694444442</v>
      </c>
      <c r="F156" s="13">
        <v>42987.06082175926</v>
      </c>
      <c r="G156" s="7">
        <v>78</v>
      </c>
      <c r="H156" s="21" t="s">
        <v>911</v>
      </c>
      <c r="I156" s="13">
        <v>42987.089155092595</v>
      </c>
      <c r="J156" s="7">
        <v>0</v>
      </c>
      <c r="K156" s="89" t="str">
        <f t="shared" si="40"/>
        <v>4033/4034</v>
      </c>
      <c r="L156" s="214" t="str">
        <f>VLOOKUP(A156,'Trips&amp;Operators'!$C$1:$G$99911,5,FALSE)</f>
        <v>NICHOLSON WESLEY</v>
      </c>
      <c r="M156" s="6">
        <f t="shared" si="41"/>
        <v>2.8333333335467614E-2</v>
      </c>
      <c r="N156" s="7">
        <f t="shared" si="42"/>
        <v>40.800000003073364</v>
      </c>
      <c r="O156" s="7"/>
      <c r="P156" s="7"/>
      <c r="Q156" s="22"/>
      <c r="R156" s="167"/>
      <c r="S156" s="210">
        <f t="shared" si="43"/>
        <v>1</v>
      </c>
      <c r="T156" s="192" t="str">
        <f t="shared" si="44"/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45"/>
        <v>https://d0f6bd738d7f1b3e5a7ca70fe4ff75f0.us-east-1.aws.found.io/app/kibana#/discover/Steve-Slow-Train-Analysis-(2080s-and-2083s)?_g=(refreshInterval:(display:Off,pause:!f,section:0,value:0),time:(from:'2017-09-09T00:13:00-0600',mode:absolute,to:'2017-09-09T03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6" s="194" t="str">
        <f>IF(AA156&lt;VLOOKUP(AG156,Variables!$AC$3:$AD$8,2,FALSE),"Y","N")</f>
        <v>N</v>
      </c>
      <c r="X156" s="194">
        <f t="shared" si="46"/>
        <v>1</v>
      </c>
      <c r="Y156" s="194">
        <f t="shared" si="47"/>
        <v>23.298300000000001</v>
      </c>
      <c r="Z156" s="194">
        <f t="shared" si="48"/>
        <v>1.7600000000000001E-2</v>
      </c>
      <c r="AA156" s="194">
        <f t="shared" si="49"/>
        <v>23.2807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50"/>
        <v>244</v>
      </c>
      <c r="AE156" s="77" t="str">
        <f t="shared" si="51"/>
        <v>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 &amp; aws s3 cp s3://rtdc.mdm.uploadarchive.raw/RTDC4033/ "%USERPROFILE%\AppData\Local\Temp\OnboardLogs"\RTDC4033\2017-09-10 --exclude "*" --recursive --include "*20170910*" &amp; "%USERPROFILE%\Documents\GitHub\mrs-test-scripts\Headless Mode &amp; Sideloading\WalkAndUnGZ.bat" "%USERPROFILE%\AppData\Local\Temp\OnboardLogs"\RTDC4033\2017-09-10</v>
      </c>
      <c r="AF156" s="74" t="str">
        <f t="shared" si="52"/>
        <v>"C:\Program Files (x86)\AstroGrep\AstroGrep.exe" /e /r /s /spath="%USERPROFILE%\AppData\Local\Temp\OnboardLogs" /stypes="app*4033*20170909*" /stext=" 08:.+((SYSTEM_STATE.+slice.+state.+changed )|(ment ac)|(multiple cpu faults)|(system.+state.+changed )|(\[timeout)|(PRM\|1\|D)|(kpr)|(kdp)|(train st.+moving)|(\|lc)|(penalty))"</v>
      </c>
      <c r="AG156" s="206" t="str">
        <f t="shared" si="53"/>
        <v>EC</v>
      </c>
      <c r="AH156" s="78" t="str">
        <f t="shared" si="54"/>
        <v>"%USERPROFILE%\Documents\GitHub\eaglep3\Utilities\RefineRTDCRunTimes.py" --tripid 244-08 --locoid 4033 --swversion DE.1.0.9.0 --startMP 204:232983 --initTime 2017-09-09T01:13:00 --startdatetime 2017-09-09T01:27:35 --delay 78 --endMP 204:176 --enddatetime 2017-09-09T02:08:23 --enforcementcount 0 &gt;&gt;C:\Users\stu\Documents\GitHub\eaglep3-reporting\EC\2017-09-08-refined-times.txt</v>
      </c>
      <c r="AI156" s="96" t="str">
        <f t="shared" si="55"/>
        <v>echo {"issue":{"subject":"","project_id":79,"tracker_id":40,"status_id":1,"priority_id":2,"assigned_to_id":338,"start_date":"2017-09-09","description":"","custom_fields":[{"id":1,"name":"Subdivision","value":"EC"},{"id":4,"name":"Milepost","value":"0.0176"},{"id":17,"name":"Train ID","value":"244-08"},{"id":16,"name":"Locomotive ID","value":"4033"},{"id":130,"name":"Impact","value":""},{"id":150,"name":"Time of Event (Mountain Time)","value":"02:08:23"},{"id":151,"name":"Denver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6"/>
        <v>start /low /b %USERPROFILE%\Documents\GitHub\eaglep3\Utilities\DownloadLogsFromS3.py --loco 4033 --day 2017-09-09</v>
      </c>
      <c r="AN156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08:08:23"},{"id":29,"name":"Sharepoint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839</v>
      </c>
      <c r="B157" s="7">
        <v>4002</v>
      </c>
      <c r="C157" s="21" t="s">
        <v>197</v>
      </c>
      <c r="D157" s="21" t="s">
        <v>580</v>
      </c>
      <c r="E157" s="13">
        <v>42987.037546296298</v>
      </c>
      <c r="F157" s="13">
        <v>42987.041979166665</v>
      </c>
      <c r="G157" s="7">
        <v>62</v>
      </c>
      <c r="H157" s="21" t="s">
        <v>872</v>
      </c>
      <c r="I157" s="13">
        <v>42987.066180555557</v>
      </c>
      <c r="J157" s="7">
        <v>0</v>
      </c>
      <c r="K157" s="89" t="str">
        <f t="shared" si="40"/>
        <v>4001/4002</v>
      </c>
      <c r="L157" s="214" t="str">
        <f>VLOOKUP(A157,'Trips&amp;Operators'!$C$1:$G$99911,5,FALSE)</f>
        <v>HART KEVIN</v>
      </c>
      <c r="M157" s="6">
        <f t="shared" si="41"/>
        <v>2.4201388892834075E-2</v>
      </c>
      <c r="N157" s="7">
        <f t="shared" si="42"/>
        <v>34.850000005681068</v>
      </c>
      <c r="O157" s="7"/>
      <c r="P157" s="7"/>
      <c r="Q157" s="22"/>
      <c r="R157" s="167"/>
      <c r="S157" s="210">
        <f t="shared" si="43"/>
        <v>1</v>
      </c>
      <c r="T157" s="192" t="str">
        <f t="shared" si="44"/>
        <v>NorthBound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3" t="str">
        <f t="shared" si="45"/>
        <v>https://d0f6bd738d7f1b3e5a7ca70fe4ff75f0.us-east-1.aws.found.io/app/kibana#/discover/Steve-Slow-Train-Analysis-(2080s-and-2083s)?_g=(refreshInterval:(display:Off,pause:!f,section:0,value:0),time:(from:'2017-09-08T23:54:04-0600',mode:absolute,to:'2017-09-09T02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7" s="194" t="str">
        <f>IF(AA157&lt;VLOOKUP(AG157,Variables!$AC$3:$AD$8,2,FALSE),"Y","N")</f>
        <v>N</v>
      </c>
      <c r="X157" s="194">
        <f t="shared" si="46"/>
        <v>1</v>
      </c>
      <c r="Y157" s="194">
        <f t="shared" si="47"/>
        <v>4.4400000000000002E-2</v>
      </c>
      <c r="Z157" s="194">
        <f t="shared" si="48"/>
        <v>23.3263</v>
      </c>
      <c r="AA157" s="194">
        <f t="shared" si="49"/>
        <v>23.2819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50"/>
        <v>245</v>
      </c>
      <c r="AE157" s="77" t="str">
        <f t="shared" si="51"/>
        <v>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 &amp; 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</v>
      </c>
      <c r="AF157" s="74" t="str">
        <f t="shared" si="52"/>
        <v>"C:\Program Files (x86)\AstroGrep\AstroGrep.exe" /e /r /s /spath="%USERPROFILE%\AppData\Local\Temp\OnboardLogs" /stypes="app*4002*20170909*" /stext=" 07:.+((SYSTEM_STATE.+slice.+state.+changed )|(ment ac)|(multiple cpu faults)|(system.+state.+changed )|(\[timeout)|(PRM\|1\|D)|(kpr)|(kdp)|(train st.+moving)|(\|lc)|(penalty))"</v>
      </c>
      <c r="AG157" s="206" t="str">
        <f t="shared" si="53"/>
        <v>EC</v>
      </c>
      <c r="AH157" s="78" t="str">
        <f t="shared" si="54"/>
        <v>"%USERPROFILE%\Documents\GitHub\eaglep3\Utilities\RefineRTDCRunTimes.py" --tripid 245-08 --locoid 4002 --swversion DE.1.0.9.0 --startMP 204:444 --initTime 2017-09-09T00:54:04 --startdatetime 2017-09-09T01:00:27 --delay 62 --endMP 204:233263 --enddatetime 2017-09-09T01:35:18 --enforcementcount 0 &gt;&gt;C:\Users\stu\Documents\GitHub\eaglep3-reporting\EC\2017-09-08-refined-times.txt</v>
      </c>
      <c r="AI157" s="96" t="str">
        <f t="shared" si="55"/>
        <v>echo {"issue":{"subject":"","project_id":79,"tracker_id":40,"status_id":1,"priority_id":2,"assigned_to_id":338,"start_date":"2017-09-09","description":"","custom_fields":[{"id":1,"name":"Subdivision","value":"EC"},{"id":4,"name":"Milepost","value":"23.3263"},{"id":17,"name":"Train ID","value":"245-08"},{"id":16,"name":"Locomotive ID","value":"4002"},{"id":130,"name":"Impact","value":""},{"id":150,"name":"Time of Event (Mountain Time)","value":"01:35:18"},{"id":151,"name":"Denver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6"/>
        <v>start /low /b %USERPROFILE%\Documents\GitHub\eaglep3\Utilities\DownloadLogsFromS3.py --loco 4002 --day 2017-09-09</v>
      </c>
      <c r="AN157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07:35:18"},{"id":29,"name":"Sharepoint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843</v>
      </c>
      <c r="B158" s="7">
        <v>4001</v>
      </c>
      <c r="C158" s="21" t="s">
        <v>197</v>
      </c>
      <c r="D158" s="21" t="s">
        <v>912</v>
      </c>
      <c r="E158" s="13">
        <v>42987.079062500001</v>
      </c>
      <c r="F158" s="13">
        <v>42987.081516203703</v>
      </c>
      <c r="G158" s="7">
        <v>102</v>
      </c>
      <c r="H158" s="21" t="s">
        <v>913</v>
      </c>
      <c r="I158" s="13">
        <v>42987.106238425928</v>
      </c>
      <c r="J158" s="7">
        <v>0</v>
      </c>
      <c r="K158" s="89" t="str">
        <f t="shared" si="40"/>
        <v>4001/4002</v>
      </c>
      <c r="L158" s="214" t="str">
        <f>VLOOKUP(A158,'Trips&amp;Operators'!$C$1:$G$99911,5,FALSE)</f>
        <v>HART KEVIN</v>
      </c>
      <c r="M158" s="6">
        <f t="shared" si="41"/>
        <v>2.4722222224227153E-2</v>
      </c>
      <c r="N158" s="7">
        <f t="shared" si="42"/>
        <v>35.6000000028871</v>
      </c>
      <c r="O158" s="7"/>
      <c r="P158" s="7"/>
      <c r="Q158" s="22"/>
      <c r="R158" s="167"/>
      <c r="S158" s="210">
        <f t="shared" si="43"/>
        <v>1</v>
      </c>
      <c r="T158" s="192" t="str">
        <f t="shared" si="44"/>
        <v>Southbound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3" t="str">
        <f t="shared" si="45"/>
        <v>https://d0f6bd738d7f1b3e5a7ca70fe4ff75f0.us-east-1.aws.found.io/app/kibana#/discover/Steve-Slow-Train-Analysis-(2080s-and-2083s)?_g=(refreshInterval:(display:Off,pause:!f,section:0,value:0),time:(from:'2017-09-09T00:53:51-0600',mode:absolute,to:'2017-09-09T03:32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8" s="194" t="str">
        <f>IF(AA158&lt;VLOOKUP(AG158,Variables!$AC$3:$AD$8,2,FALSE),"Y","N")</f>
        <v>N</v>
      </c>
      <c r="X158" s="194">
        <f t="shared" si="46"/>
        <v>1</v>
      </c>
      <c r="Y158" s="194">
        <f t="shared" si="47"/>
        <v>23.2944</v>
      </c>
      <c r="Z158" s="194">
        <f t="shared" si="48"/>
        <v>1.6500000000000001E-2</v>
      </c>
      <c r="AA158" s="194">
        <f t="shared" si="49"/>
        <v>23.277899999999999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50"/>
        <v>246</v>
      </c>
      <c r="AE158" s="77" t="str">
        <f t="shared" si="51"/>
        <v>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 &amp; 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</v>
      </c>
      <c r="AF158" s="74" t="str">
        <f t="shared" si="52"/>
        <v>"C:\Program Files (x86)\AstroGrep\AstroGrep.exe" /e /r /s /spath="%USERPROFILE%\AppData\Local\Temp\OnboardLogs" /stypes="app*4001*20170909*" /stext=" 08:.+((SYSTEM_STATE.+slice.+state.+changed )|(ment ac)|(multiple cpu faults)|(system.+state.+changed )|(\[timeout)|(PRM\|1\|D)|(kpr)|(kdp)|(train st.+moving)|(\|lc)|(penalty))"</v>
      </c>
      <c r="AG158" s="206" t="str">
        <f t="shared" si="53"/>
        <v>EC</v>
      </c>
      <c r="AH158" s="78" t="str">
        <f t="shared" si="54"/>
        <v>"%USERPROFILE%\Documents\GitHub\eaglep3\Utilities\RefineRTDCRunTimes.py" --tripid 246-08 --locoid 4001 --swversion DE.1.0.9.0 --startMP 204:232944 --initTime 2017-09-09T01:53:51 --startdatetime 2017-09-09T01:57:23 --delay 102 --endMP 204:165 --enddatetime 2017-09-09T02:32:59 --enforcementcount 0 &gt;&gt;C:\Users\stu\Documents\GitHub\eaglep3-reporting\EC\2017-09-08-refined-times.txt</v>
      </c>
      <c r="AI158" s="96" t="str">
        <f t="shared" si="55"/>
        <v>echo {"issue":{"subject":"","project_id":79,"tracker_id":40,"status_id":1,"priority_id":2,"assigned_to_id":338,"start_date":"2017-09-09","description":"","custom_fields":[{"id":1,"name":"Subdivision","value":"EC"},{"id":4,"name":"Milepost","value":"0.0165"},{"id":17,"name":"Train ID","value":"246-08"},{"id":16,"name":"Locomotive ID","value":"4001"},{"id":130,"name":"Impact","value":""},{"id":150,"name":"Time of Event (Mountain Time)","value":"02:32:59"},{"id":151,"name":"Denver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6"/>
        <v>start /low /b %USERPROFILE%\Documents\GitHub\eaglep3\Utilities\DownloadLogsFromS3.py --loco 4001 --day 2017-09-09</v>
      </c>
      <c r="AN158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08:32:59"},{"id":29,"name":"Sharepoint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658</v>
      </c>
      <c r="B159" s="7">
        <v>4027</v>
      </c>
      <c r="C159" s="21" t="s">
        <v>197</v>
      </c>
      <c r="D159" s="21" t="s">
        <v>936</v>
      </c>
      <c r="E159" s="13">
        <v>42986.212372685186</v>
      </c>
      <c r="F159" s="13">
        <v>42986.214618055557</v>
      </c>
      <c r="G159" s="7">
        <v>77</v>
      </c>
      <c r="H159" s="21" t="s">
        <v>937</v>
      </c>
      <c r="I159" s="13">
        <v>42986.225694444445</v>
      </c>
      <c r="J159" s="7">
        <v>0</v>
      </c>
      <c r="K159" s="89" t="str">
        <f t="shared" si="40"/>
        <v>4027/4028</v>
      </c>
      <c r="L159" s="214" t="str">
        <f>VLOOKUP(A159,'Trips&amp;Operators'!$C$1:$G$99911,5,FALSE)</f>
        <v>WILLIAMS DONTE</v>
      </c>
      <c r="M159" s="6">
        <f t="shared" si="41"/>
        <v>1.1076388887886424E-2</v>
      </c>
      <c r="N159" s="7">
        <f t="shared" si="42"/>
        <v>15.94999999855645</v>
      </c>
      <c r="O159" s="7"/>
      <c r="P159" s="7"/>
      <c r="Q159" s="22"/>
      <c r="R159" s="167"/>
      <c r="S159" s="210">
        <f t="shared" si="43"/>
        <v>1</v>
      </c>
      <c r="T159" s="192" t="str">
        <f t="shared" si="44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45"/>
        <v>https://d0f6bd738d7f1b3e5a7ca70fe4ff75f0.us-east-1.aws.found.io/app/kibana#/discover/Steve-Slow-Train-Analysis-(2080s-and-2083s)?_g=(refreshInterval:(display:Off,pause:!f,section:0,value:0),time:(from:'2017-09-08T04:05:49-0600',mode:absolute,to:'2017-09-08T06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9" s="194" t="str">
        <f>IF(AA159&lt;VLOOKUP(AG159,Variables!$AC$3:$AD$8,2,FALSE),"Y","N")</f>
        <v>N</v>
      </c>
      <c r="X159" s="194">
        <f t="shared" si="46"/>
        <v>554</v>
      </c>
      <c r="Y159" s="194">
        <f t="shared" si="47"/>
        <v>5.8616999999999999</v>
      </c>
      <c r="Z159" s="194">
        <f t="shared" si="48"/>
        <v>7.0999999999999994E-2</v>
      </c>
      <c r="AA159" s="194">
        <f t="shared" si="49"/>
        <v>5.7907000000000002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50"/>
        <v>800</v>
      </c>
      <c r="AE159" s="77" t="str">
        <f t="shared" si="51"/>
        <v>aws s3 cp s3://rtdc.mdm.uploadarchive.raw/RTDC4027/ "%USERPROFILE%\AppData\Local\Temp\OnboardLogs"\RTDC4027\2017-09-08 --exclude "*" --recursive --include "*20170908*" &amp; "%USERPROFILE%\Documents\GitHub\mrs-test-scripts\Headless Mode &amp; Sideloading\WalkAndUnGZ.bat" "%USERPROFILE%\AppData\Local\Temp\OnboardLogs"\RTDC4027\2017-09-08 &amp; aws s3 cp s3://rtdc.mdm.uploadarchive.raw/RTDC4027/ "%USERPROFILE%\AppData\Local\Temp\OnboardLogs"\RTDC4027\2017-09-09 --exclude "*" --recursive --include "*20170909*" &amp; "%USERPROFILE%\Documents\GitHub\mrs-test-scripts\Headless Mode &amp; Sideloading\WalkAndUnGZ.bat" "%USERPROFILE%\AppData\Local\Temp\OnboardLogs"\RTDC4027\2017-09-09</v>
      </c>
      <c r="AF159" s="74" t="str">
        <f t="shared" si="52"/>
        <v>"C:\Program Files (x86)\AstroGrep\AstroGrep.exe" /e /r /s /spath="%USERPROFILE%\AppData\Local\Temp\OnboardLogs" /stypes="app*4027*20170908*" /stext=" 11:.+((SYSTEM_STATE.+slice.+state.+changed )|(ment ac)|(multiple cpu faults)|(system.+state.+changed )|(\[timeout)|(PRM\|1\|D)|(kpr)|(kdp)|(train st.+moving)|(\|lc)|(penalty))"</v>
      </c>
      <c r="AG159" s="206" t="str">
        <f t="shared" si="53"/>
        <v>NW</v>
      </c>
      <c r="AH159" s="78" t="str">
        <f t="shared" si="54"/>
        <v>"%USERPROFILE%\Documents\GitHub\eaglep3\Utilities\RefineRTDCRunTimes.py" --tripid 800-08 --locoid 4027 --swversion DE.1.0.9.0 --startMP 300:58617 --initTime 2017-09-08T05:05:49 --startdatetime 2017-09-08T05:09:03 --delay 77 --endMP 204:710 --enddatetime 2017-09-08T05:25:00 --enforcementcount 0 &gt;&gt;C:\Users\stu\Documents\GitHub\eaglep3-reporting\EC\2017-09-08-refined-times.txt</v>
      </c>
      <c r="AI159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{"issue":{"subject":"","project_id":79,"tracker_id":40,"status_id":1,"priority_id":2,"assigned_to_id":338,"start_date":"2017-09-08","description":"","custom_fields":[{"id":1,"name":"Subdivision","value":"NW"},{"id":4,"name":"Milepost","value":"0.071"},{"id":17,"name":"Train ID","value":"800-08"},{"id":16,"name":"Locomotive ID","value":"4027"},{"id":130,"name":"Impact","value":""},{"id":150,"name":"Time of Event (Mountain Time)","value":"05:25:00"},{"id":151,"name":"Denver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6"/>
        <v>start /low /b %USERPROFILE%\Documents\GitHub\eaglep3\Utilities\DownloadLogsFromS3.py --loco 4027 --day 2017-09-08</v>
      </c>
      <c r="AN159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11:25:00"},{"id":29,"name":"Sharepoint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664</v>
      </c>
      <c r="B160" s="7">
        <v>4028</v>
      </c>
      <c r="C160" s="21" t="s">
        <v>197</v>
      </c>
      <c r="D160" s="21" t="s">
        <v>938</v>
      </c>
      <c r="E160" s="13">
        <v>42986.232673611114</v>
      </c>
      <c r="F160" s="13">
        <v>42986.235625000001</v>
      </c>
      <c r="G160" s="7">
        <v>86</v>
      </c>
      <c r="H160" s="21" t="s">
        <v>436</v>
      </c>
      <c r="I160" s="13">
        <v>42986.245289351849</v>
      </c>
      <c r="J160" s="7">
        <v>0</v>
      </c>
      <c r="K160" s="89" t="str">
        <f t="shared" si="40"/>
        <v>4027/4028</v>
      </c>
      <c r="L160" s="214" t="str">
        <f>VLOOKUP(A160,'Trips&amp;Operators'!$C$1:$G$99911,5,FALSE)</f>
        <v>WILLIAMS DONTE</v>
      </c>
      <c r="M160" s="6">
        <f t="shared" si="41"/>
        <v>9.6643518481869251E-3</v>
      </c>
      <c r="N160" s="7">
        <f t="shared" si="42"/>
        <v>13.916666661389172</v>
      </c>
      <c r="O160" s="7"/>
      <c r="P160" s="7"/>
      <c r="Q160" s="22"/>
      <c r="R160" s="167"/>
      <c r="S160" s="210">
        <f t="shared" si="43"/>
        <v>1</v>
      </c>
      <c r="T160" s="192" t="str">
        <f t="shared" si="44"/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45"/>
        <v>https://d0f6bd738d7f1b3e5a7ca70fe4ff75f0.us-east-1.aws.found.io/app/kibana#/discover/Steve-Slow-Train-Analysis-(2080s-and-2083s)?_g=(refreshInterval:(display:Off,pause:!f,section:0,value:0),time:(from:'2017-09-08T04:35:03-0600',mode:absolute,to:'2017-09-08T06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194" t="str">
        <f>IF(AA160&lt;VLOOKUP(AG160,Variables!$AC$3:$AD$8,2,FALSE),"Y","N")</f>
        <v>N</v>
      </c>
      <c r="X160" s="194">
        <f t="shared" si="46"/>
        <v>1</v>
      </c>
      <c r="Y160" s="194">
        <f t="shared" si="47"/>
        <v>9.8599999999999993E-2</v>
      </c>
      <c r="Z160" s="194">
        <f t="shared" si="48"/>
        <v>5.8958000000000004</v>
      </c>
      <c r="AA160" s="194">
        <f t="shared" si="49"/>
        <v>5.7972000000000001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50"/>
        <v>801</v>
      </c>
      <c r="AE160" s="77" t="str">
        <f t="shared" si="51"/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AF160" s="74" t="str">
        <f t="shared" si="52"/>
        <v>"C:\Program Files (x86)\AstroGrep\AstroGrep.exe" /e /r /s /spath="%USERPROFILE%\AppData\Local\Temp\OnboardLogs" /stypes="app*4028*20170908*" /stext=" 11:.+((SYSTEM_STATE.+slice.+state.+changed )|(ment ac)|(multiple cpu faults)|(system.+state.+changed )|(\[timeout)|(PRM\|1\|D)|(kpr)|(kdp)|(train st.+moving)|(\|lc)|(penalty))"</v>
      </c>
      <c r="AG160" s="206" t="str">
        <f t="shared" si="53"/>
        <v>NW</v>
      </c>
      <c r="AH160" s="78" t="str">
        <f t="shared" si="54"/>
        <v>"%USERPROFILE%\Documents\GitHub\eaglep3\Utilities\RefineRTDCRunTimes.py" --tripid 801-08 --locoid 4028 --swversion DE.1.0.9.0 --startMP 204:986 --initTime 2017-09-08T05:35:03 --startdatetime 2017-09-08T05:39:18 --delay 86 --endMP 300:58958 --enddatetime 2017-09-08T05:53:13 --enforcementcount 0 &gt;&gt;C:\Users\stu\Documents\GitHub\eaglep3-reporting\EC\2017-09-08-refined-times.txt</v>
      </c>
      <c r="AI160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{"issue":{"subject":"","project_id":79,"tracker_id":40,"status_id":1,"priority_id":2,"assigned_to_id":338,"start_date":"2017-09-08","description":"","custom_fields":[{"id":1,"name":"Subdivision","value":"NW"},{"id":4,"name":"Milepost","value":"5.8958"},{"id":17,"name":"Train ID","value":"801-08"},{"id":16,"name":"Locomotive ID","value":"4028"},{"id":130,"name":"Impact","value":""},{"id":150,"name":"Time of Event (Mountain Time)","value":"05:53:13"},{"id":151,"name":"Denver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56"/>
        <v>start /low /b %USERPROFILE%\Documents\GitHub\eaglep3\Utilities\DownloadLogsFromS3.py --loco 4028 --day 2017-09-08</v>
      </c>
      <c r="AN160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11:53:13"},{"id":29,"name":"Sharepoint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673</v>
      </c>
      <c r="B161" s="7">
        <v>4027</v>
      </c>
      <c r="C161" s="21" t="s">
        <v>197</v>
      </c>
      <c r="D161" s="21" t="s">
        <v>593</v>
      </c>
      <c r="E161" s="13">
        <v>42986.247291666667</v>
      </c>
      <c r="F161" s="13">
        <v>42986.259548611109</v>
      </c>
      <c r="G161" s="7">
        <v>54</v>
      </c>
      <c r="H161" s="21" t="s">
        <v>588</v>
      </c>
      <c r="I161" s="13">
        <v>42986.26771990741</v>
      </c>
      <c r="J161" s="7">
        <v>0</v>
      </c>
      <c r="K161" s="89" t="str">
        <f t="shared" si="40"/>
        <v>4027/4028</v>
      </c>
      <c r="L161" s="214" t="str">
        <f>VLOOKUP(A161,'Trips&amp;Operators'!$C$1:$G$99911,5,FALSE)</f>
        <v>WILLIAMS DONTE</v>
      </c>
      <c r="M161" s="6">
        <f t="shared" si="41"/>
        <v>8.1712963001336902E-3</v>
      </c>
      <c r="N161" s="7">
        <f t="shared" si="42"/>
        <v>11.766666672192514</v>
      </c>
      <c r="O161" s="7"/>
      <c r="P161" s="7"/>
      <c r="Q161" s="22"/>
      <c r="R161" s="167"/>
      <c r="S161" s="210">
        <f t="shared" si="43"/>
        <v>1</v>
      </c>
      <c r="T161" s="192" t="str">
        <f t="shared" si="44"/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45"/>
        <v>https://d0f6bd738d7f1b3e5a7ca70fe4ff75f0.us-east-1.aws.found.io/app/kibana#/discover/Steve-Slow-Train-Analysis-(2080s-and-2083s)?_g=(refreshInterval:(display:Off,pause:!f,section:0,value:0),time:(from:'2017-09-08T04:56:06-0600',mode:absolute,to:'2017-09-08T07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194" t="str">
        <f>IF(AA161&lt;VLOOKUP(AG161,Variables!$AC$3:$AD$8,2,FALSE),"Y","N")</f>
        <v>N</v>
      </c>
      <c r="X161" s="194">
        <f t="shared" si="46"/>
        <v>1</v>
      </c>
      <c r="Y161" s="194">
        <f t="shared" si="47"/>
        <v>5.8639999999999999</v>
      </c>
      <c r="Z161" s="194">
        <f t="shared" si="48"/>
        <v>6.7299999999999999E-2</v>
      </c>
      <c r="AA161" s="194">
        <f t="shared" si="49"/>
        <v>5.7966999999999995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50"/>
        <v>802</v>
      </c>
      <c r="AE161" s="77" t="str">
        <f t="shared" si="51"/>
        <v>aws s3 cp s3://rtdc.mdm.uploadarchive.raw/RTDC4027/ "%USERPROFILE%\AppData\Local\Temp\OnboardLogs"\RTDC4027\2017-09-08 --exclude "*" --recursive --include "*20170908*" &amp; "%USERPROFILE%\Documents\GitHub\mrs-test-scripts\Headless Mode &amp; Sideloading\WalkAndUnGZ.bat" "%USERPROFILE%\AppData\Local\Temp\OnboardLogs"\RTDC4027\2017-09-08 &amp; aws s3 cp s3://rtdc.mdm.uploadarchive.raw/RTDC4027/ "%USERPROFILE%\AppData\Local\Temp\OnboardLogs"\RTDC4027\2017-09-09 --exclude "*" --recursive --include "*20170909*" &amp; "%USERPROFILE%\Documents\GitHub\mrs-test-scripts\Headless Mode &amp; Sideloading\WalkAndUnGZ.bat" "%USERPROFILE%\AppData\Local\Temp\OnboardLogs"\RTDC4027\2017-09-09</v>
      </c>
      <c r="AF161" s="74" t="str">
        <f t="shared" si="52"/>
        <v>"C:\Program Files (x86)\AstroGrep\AstroGrep.exe" /e /r /s /spath="%USERPROFILE%\AppData\Local\Temp\OnboardLogs" /stypes="app*4027*20170908*" /stext=" 12:.+((SYSTEM_STATE.+slice.+state.+changed )|(ment ac)|(multiple cpu faults)|(system.+state.+changed )|(\[timeout)|(PRM\|1\|D)|(kpr)|(kdp)|(train st.+moving)|(\|lc)|(penalty))"</v>
      </c>
      <c r="AG161" s="206" t="str">
        <f t="shared" si="53"/>
        <v>NW</v>
      </c>
      <c r="AH161" s="78" t="str">
        <f t="shared" si="54"/>
        <v>"%USERPROFILE%\Documents\GitHub\eaglep3\Utilities\RefineRTDCRunTimes.py" --tripid 802-08 --locoid 4027 --swversion DE.1.0.9.0 --startMP 300:58640 --initTime 2017-09-08T05:56:06 --startdatetime 2017-09-08T06:13:45 --delay 54 --endMP 204:673 --enddatetime 2017-09-08T06:25:31 --enforcementcount 0 &gt;&gt;C:\Users\stu\Documents\GitHub\eaglep3-reporting\EC\2017-09-08-refined-times.txt</v>
      </c>
      <c r="AI161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{"issue":{"subject":"","project_id":79,"tracker_id":40,"status_id":1,"priority_id":2,"assigned_to_id":338,"start_date":"2017-09-08","description":"","custom_fields":[{"id":1,"name":"Subdivision","value":"NW"},{"id":4,"name":"Milepost","value":"0.0673"},{"id":17,"name":"Train ID","value":"802-08"},{"id":16,"name":"Locomotive ID","value":"4027"},{"id":130,"name":"Impact","value":""},{"id":150,"name":"Time of Event (Mountain Time)","value":"06:25:31"},{"id":151,"name":"Denver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6"/>
        <v>start /low /b %USERPROFILE%\Documents\GitHub\eaglep3\Utilities\DownloadLogsFromS3.py --loco 4027 --day 2017-09-08</v>
      </c>
      <c r="AN161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675</v>
      </c>
      <c r="B162" s="7">
        <v>4030</v>
      </c>
      <c r="C162" s="21" t="s">
        <v>197</v>
      </c>
      <c r="D162" s="21" t="s">
        <v>408</v>
      </c>
      <c r="E162" s="13">
        <v>42986.254363425927</v>
      </c>
      <c r="F162" s="13">
        <v>42986.256435185183</v>
      </c>
      <c r="G162" s="7">
        <v>63</v>
      </c>
      <c r="H162" s="21" t="s">
        <v>939</v>
      </c>
      <c r="I162" s="13">
        <v>42986.266550925924</v>
      </c>
      <c r="J162" s="7">
        <v>0</v>
      </c>
      <c r="K162" s="89" t="str">
        <f t="shared" si="40"/>
        <v>4029/4030</v>
      </c>
      <c r="L162" s="214" t="str">
        <f>VLOOKUP(A162,'Trips&amp;Operators'!$C$1:$G$99911,5,FALSE)</f>
        <v>LALONDE GREGORY</v>
      </c>
      <c r="M162" s="6">
        <f t="shared" si="41"/>
        <v>1.0115740740729962E-2</v>
      </c>
      <c r="N162" s="7">
        <f t="shared" si="42"/>
        <v>14.566666666651145</v>
      </c>
      <c r="O162" s="7"/>
      <c r="P162" s="7"/>
      <c r="Q162" s="22"/>
      <c r="R162" s="167"/>
      <c r="S162" s="210">
        <f t="shared" si="43"/>
        <v>1</v>
      </c>
      <c r="T162" s="192" t="str">
        <f t="shared" si="44"/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45"/>
        <v>https://d0f6bd738d7f1b3e5a7ca70fe4ff75f0.us-east-1.aws.found.io/app/kibana#/discover/Steve-Slow-Train-Analysis-(2080s-and-2083s)?_g=(refreshInterval:(display:Off,pause:!f,section:0,value:0),time:(from:'2017-09-08T05:06:17-0600',mode:absolute,to:'2017-09-08T07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2" s="194" t="str">
        <f>IF(AA162&lt;VLOOKUP(AG162,Variables!$AC$3:$AD$8,2,FALSE),"Y","N")</f>
        <v>N</v>
      </c>
      <c r="X162" s="194">
        <f t="shared" si="46"/>
        <v>1</v>
      </c>
      <c r="Y162" s="194">
        <f t="shared" si="47"/>
        <v>9.7600000000000006E-2</v>
      </c>
      <c r="Z162" s="194">
        <f t="shared" si="48"/>
        <v>5.8964999999999996</v>
      </c>
      <c r="AA162" s="194">
        <f t="shared" si="49"/>
        <v>5.7988999999999997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50"/>
        <v>803</v>
      </c>
      <c r="AE162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62" s="74" t="str">
        <f t="shared" si="52"/>
        <v>"C:\Program Files (x86)\AstroGrep\AstroGrep.exe" /e /r /s /spath="%USERPROFILE%\AppData\Local\Temp\OnboardLogs" /stypes="app*4030*20170908*" /stext=" 12:.+((SYSTEM_STATE.+slice.+state.+changed )|(ment ac)|(multiple cpu faults)|(system.+state.+changed )|(\[timeout)|(PRM\|1\|D)|(kpr)|(kdp)|(train st.+moving)|(\|lc)|(penalty))"</v>
      </c>
      <c r="AG162" s="206" t="str">
        <f t="shared" si="53"/>
        <v>NW</v>
      </c>
      <c r="AH162" s="78" t="str">
        <f t="shared" si="54"/>
        <v>"%USERPROFILE%\Documents\GitHub\eaglep3\Utilities\RefineRTDCRunTimes.py" --tripid 803-08 --locoid 4030 --swversion DE.1.0.9.0 --startMP 204:976 --initTime 2017-09-08T06:06:17 --startdatetime 2017-09-08T06:09:16 --delay 63 --endMP 300:58965 --enddatetime 2017-09-08T06:23:50 --enforcementcount 0 &gt;&gt;C:\Users\stu\Documents\GitHub\eaglep3-reporting\EC\2017-09-08-refined-times.txt</v>
      </c>
      <c r="AI162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{"issue":{"subject":"","project_id":79,"tracker_id":40,"status_id":1,"priority_id":2,"assigned_to_id":338,"start_date":"2017-09-08","description":"","custom_fields":[{"id":1,"name":"Subdivision","value":"NW"},{"id":4,"name":"Milepost","value":"5.8965"},{"id":17,"name":"Train ID","value":"803-08"},{"id":16,"name":"Locomotive ID","value":"4030"},{"id":130,"name":"Impact","value":""},{"id":150,"name":"Time of Event (Mountain Time)","value":"06:23:50"},{"id":151,"name":"Denver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6"/>
        <v>start /low /b %USERPROFILE%\Documents\GitHub\eaglep3\Utilities\DownloadLogsFromS3.py --loco 4030 --day 2017-09-08</v>
      </c>
      <c r="AN162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678</v>
      </c>
      <c r="B163" s="7">
        <v>4029</v>
      </c>
      <c r="C163" s="21" t="s">
        <v>197</v>
      </c>
      <c r="D163" s="21" t="s">
        <v>940</v>
      </c>
      <c r="E163" s="13">
        <v>42986.268657407411</v>
      </c>
      <c r="F163" s="13">
        <v>42986.273252314815</v>
      </c>
      <c r="G163" s="7">
        <v>54</v>
      </c>
      <c r="H163" s="21" t="s">
        <v>941</v>
      </c>
      <c r="I163" s="13">
        <v>42986.287754629629</v>
      </c>
      <c r="J163" s="7">
        <v>0</v>
      </c>
      <c r="K163" s="89" t="str">
        <f t="shared" si="40"/>
        <v>4029/4030</v>
      </c>
      <c r="L163" s="214" t="str">
        <f>VLOOKUP(A163,'Trips&amp;Operators'!$C$1:$G$99911,5,FALSE)</f>
        <v>LALONDE GREGORY</v>
      </c>
      <c r="M163" s="6">
        <f t="shared" si="41"/>
        <v>1.4502314814308193E-2</v>
      </c>
      <c r="N163" s="7">
        <f t="shared" si="42"/>
        <v>20.883333332603797</v>
      </c>
      <c r="O163" s="7"/>
      <c r="P163" s="7"/>
      <c r="Q163" s="22"/>
      <c r="R163" s="167"/>
      <c r="S163" s="210">
        <f t="shared" si="43"/>
        <v>1</v>
      </c>
      <c r="T163" s="192" t="str">
        <f t="shared" si="44"/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45"/>
        <v>https://d0f6bd738d7f1b3e5a7ca70fe4ff75f0.us-east-1.aws.found.io/app/kibana#/discover/Steve-Slow-Train-Analysis-(2080s-and-2083s)?_g=(refreshInterval:(display:Off,pause:!f,section:0,value:0),time:(from:'2017-09-08T05:26:52-0600',mode:absolute,to:'2017-09-08T07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3" s="194" t="str">
        <f>IF(AA163&lt;VLOOKUP(AG163,Variables!$AC$3:$AD$8,2,FALSE),"Y","N")</f>
        <v>N</v>
      </c>
      <c r="X163" s="194">
        <f t="shared" si="46"/>
        <v>1</v>
      </c>
      <c r="Y163" s="194">
        <f t="shared" si="47"/>
        <v>5.8653000000000004</v>
      </c>
      <c r="Z163" s="194">
        <f t="shared" si="48"/>
        <v>6.8500000000000005E-2</v>
      </c>
      <c r="AA163" s="194">
        <f t="shared" si="49"/>
        <v>5.7968000000000002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50"/>
        <v>804</v>
      </c>
      <c r="AE163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63" s="74" t="str">
        <f t="shared" si="52"/>
        <v>"C:\Program Files (x86)\AstroGrep\AstroGrep.exe" /e /r /s /spath="%USERPROFILE%\AppData\Local\Temp\OnboardLogs" /stypes="app*4029*20170908*" /stext=" 12:.+((SYSTEM_STATE.+slice.+state.+changed )|(ment ac)|(multiple cpu faults)|(system.+state.+changed )|(\[timeout)|(PRM\|1\|D)|(kpr)|(kdp)|(train st.+moving)|(\|lc)|(penalty))"</v>
      </c>
      <c r="AG163" s="206" t="str">
        <f t="shared" si="53"/>
        <v>NW</v>
      </c>
      <c r="AH163" s="78" t="str">
        <f t="shared" si="54"/>
        <v>"%USERPROFILE%\Documents\GitHub\eaglep3\Utilities\RefineRTDCRunTimes.py" --tripid 804-08 --locoid 4029 --swversion DE.1.0.9.0 --startMP 300:58653 --initTime 2017-09-08T06:26:52 --startdatetime 2017-09-08T06:33:29 --delay 54 --endMP 204:685 --enddatetime 2017-09-08T06:54:22 --enforcementcount 0 &gt;&gt;C:\Users\stu\Documents\GitHub\eaglep3-reporting\EC\2017-09-08-refined-times.txt</v>
      </c>
      <c r="AI163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{"issue":{"subject":"","project_id":79,"tracker_id":40,"status_id":1,"priority_id":2,"assigned_to_id":338,"start_date":"2017-09-08","description":"","custom_fields":[{"id":1,"name":"Subdivision","value":"NW"},{"id":4,"name":"Milepost","value":"0.0685"},{"id":17,"name":"Train ID","value":"804-08"},{"id":16,"name":"Locomotive ID","value":"4029"},{"id":130,"name":"Impact","value":""},{"id":150,"name":"Time of Event (Mountain Time)","value":"06:54:22"},{"id":151,"name":"Denver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6"/>
        <v>start /low /b %USERPROFILE%\Documents\GitHub\eaglep3\Utilities\DownloadLogsFromS3.py --loco 4029 --day 2017-09-08</v>
      </c>
      <c r="AN163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679</v>
      </c>
      <c r="B164" s="7">
        <v>4028</v>
      </c>
      <c r="C164" s="21" t="s">
        <v>197</v>
      </c>
      <c r="D164" s="21" t="s">
        <v>541</v>
      </c>
      <c r="E164" s="13">
        <v>42986.274629629632</v>
      </c>
      <c r="F164" s="13">
        <v>42986.277268518519</v>
      </c>
      <c r="G164" s="7">
        <v>62</v>
      </c>
      <c r="H164" s="21" t="s">
        <v>407</v>
      </c>
      <c r="I164" s="13">
        <v>42986.286874999998</v>
      </c>
      <c r="J164" s="7">
        <v>0</v>
      </c>
      <c r="K164" s="89" t="str">
        <f t="shared" si="40"/>
        <v>4027/4028</v>
      </c>
      <c r="L164" s="214" t="str">
        <f>VLOOKUP(A164,'Trips&amp;Operators'!$C$1:$G$99911,5,FALSE)</f>
        <v>WILLIAMS DONTE</v>
      </c>
      <c r="M164" s="6">
        <f t="shared" si="41"/>
        <v>9.6064814788405783E-3</v>
      </c>
      <c r="N164" s="7">
        <f t="shared" si="42"/>
        <v>13.833333329530433</v>
      </c>
      <c r="O164" s="7"/>
      <c r="P164" s="7"/>
      <c r="Q164" s="22"/>
      <c r="R164" s="167"/>
      <c r="S164" s="210">
        <f t="shared" si="43"/>
        <v>1</v>
      </c>
      <c r="T164" s="192" t="str">
        <f t="shared" si="44"/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45"/>
        <v>https://d0f6bd738d7f1b3e5a7ca70fe4ff75f0.us-east-1.aws.found.io/app/kibana#/discover/Steve-Slow-Train-Analysis-(2080s-and-2083s)?_g=(refreshInterval:(display:Off,pause:!f,section:0,value:0),time:(from:'2017-09-08T05:35:28-0600',mode:absolute,to:'2017-09-08T07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4" s="194" t="str">
        <f>IF(AA164&lt;VLOOKUP(AG164,Variables!$AC$3:$AD$8,2,FALSE),"Y","N")</f>
        <v>N</v>
      </c>
      <c r="X164" s="194">
        <f t="shared" si="46"/>
        <v>1</v>
      </c>
      <c r="Y164" s="194">
        <f t="shared" si="47"/>
        <v>9.8500000000000004E-2</v>
      </c>
      <c r="Z164" s="194">
        <f t="shared" si="48"/>
        <v>5.8943000000000003</v>
      </c>
      <c r="AA164" s="194">
        <f t="shared" si="49"/>
        <v>5.7958000000000007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50"/>
        <v>805</v>
      </c>
      <c r="AE164" s="77" t="str">
        <f t="shared" si="51"/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AF164" s="74" t="str">
        <f t="shared" si="52"/>
        <v>"C:\Program Files (x86)\AstroGrep\AstroGrep.exe" /e /r /s /spath="%USERPROFILE%\AppData\Local\Temp\OnboardLogs" /stypes="app*4028*20170908*" /stext=" 12:.+((SYSTEM_STATE.+slice.+state.+changed )|(ment ac)|(multiple cpu faults)|(system.+state.+changed )|(\[timeout)|(PRM\|1\|D)|(kpr)|(kdp)|(train st.+moving)|(\|lc)|(penalty))"</v>
      </c>
      <c r="AG164" s="206" t="str">
        <f t="shared" si="53"/>
        <v>NW</v>
      </c>
      <c r="AH164" s="78" t="str">
        <f t="shared" si="54"/>
        <v>"%USERPROFILE%\Documents\GitHub\eaglep3\Utilities\RefineRTDCRunTimes.py" --tripid 805-08 --locoid 4028 --swversion DE.1.0.9.0 --startMP 204:985 --initTime 2017-09-08T06:35:28 --startdatetime 2017-09-08T06:39:16 --delay 62 --endMP 300:58943 --enddatetime 2017-09-08T06:53:06 --enforcementcount 0 &gt;&gt;C:\Users\stu\Documents\GitHub\eaglep3-reporting\EC\2017-09-08-refined-times.txt</v>
      </c>
      <c r="AI164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{"issue":{"subject":"","project_id":79,"tracker_id":40,"status_id":1,"priority_id":2,"assigned_to_id":338,"start_date":"2017-09-08","description":"","custom_fields":[{"id":1,"name":"Subdivision","value":"NW"},{"id":4,"name":"Milepost","value":"5.8943"},{"id":17,"name":"Train ID","value":"805-08"},{"id":16,"name":"Locomotive ID","value":"4028"},{"id":130,"name":"Impact","value":""},{"id":150,"name":"Time of Event (Mountain Time)","value":"06:53:06"},{"id":151,"name":"Denver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6"/>
        <v>start /low /b %USERPROFILE%\Documents\GitHub\eaglep3\Utilities\DownloadLogsFromS3.py --loco 4028 --day 2017-09-08</v>
      </c>
      <c r="AN164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12:53:06"},{"id":29,"name":"Sharepoint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682</v>
      </c>
      <c r="B165" s="7">
        <v>4027</v>
      </c>
      <c r="C165" s="21" t="s">
        <v>197</v>
      </c>
      <c r="D165" s="21" t="s">
        <v>942</v>
      </c>
      <c r="E165" s="13">
        <v>42986.288865740738</v>
      </c>
      <c r="F165" s="13">
        <v>42986.300983796296</v>
      </c>
      <c r="G165" s="7">
        <v>75</v>
      </c>
      <c r="H165" s="21" t="s">
        <v>595</v>
      </c>
      <c r="I165" s="13">
        <v>42986.30914351852</v>
      </c>
      <c r="J165" s="7">
        <v>0</v>
      </c>
      <c r="K165" s="89" t="str">
        <f t="shared" si="40"/>
        <v>4027/4028</v>
      </c>
      <c r="L165" s="214" t="str">
        <f>VLOOKUP(A165,'Trips&amp;Operators'!$C$1:$G$99911,5,FALSE)</f>
        <v>WILLIAMS DONTE</v>
      </c>
      <c r="M165" s="6">
        <f t="shared" si="41"/>
        <v>8.1597222233540379E-3</v>
      </c>
      <c r="N165" s="7">
        <f t="shared" si="42"/>
        <v>11.750000001629815</v>
      </c>
      <c r="O165" s="7"/>
      <c r="P165" s="7"/>
      <c r="Q165" s="22"/>
      <c r="R165" s="167"/>
      <c r="S165" s="210">
        <f t="shared" si="43"/>
        <v>1</v>
      </c>
      <c r="T165" s="192" t="str">
        <f t="shared" si="44"/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45"/>
        <v>https://d0f6bd738d7f1b3e5a7ca70fe4ff75f0.us-east-1.aws.found.io/app/kibana#/discover/Steve-Slow-Train-Analysis-(2080s-and-2083s)?_g=(refreshInterval:(display:Off,pause:!f,section:0,value:0),time:(from:'2017-09-08T05:55:58-0600',mode:absolute,to:'2017-09-08T08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5" s="194" t="str">
        <f>IF(AA165&lt;VLOOKUP(AG165,Variables!$AC$3:$AD$8,2,FALSE),"Y","N")</f>
        <v>N</v>
      </c>
      <c r="X165" s="194">
        <f t="shared" si="46"/>
        <v>1</v>
      </c>
      <c r="Y165" s="194">
        <f t="shared" si="47"/>
        <v>5.8619000000000003</v>
      </c>
      <c r="Z165" s="194">
        <f t="shared" si="48"/>
        <v>6.8900000000000003E-2</v>
      </c>
      <c r="AA165" s="194">
        <f t="shared" si="49"/>
        <v>5.7930000000000001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50"/>
        <v>806</v>
      </c>
      <c r="AE165" s="77" t="str">
        <f t="shared" si="51"/>
        <v>aws s3 cp s3://rtdc.mdm.uploadarchive.raw/RTDC4027/ "%USERPROFILE%\AppData\Local\Temp\OnboardLogs"\RTDC4027\2017-09-08 --exclude "*" --recursive --include "*20170908*" &amp; "%USERPROFILE%\Documents\GitHub\mrs-test-scripts\Headless Mode &amp; Sideloading\WalkAndUnGZ.bat" "%USERPROFILE%\AppData\Local\Temp\OnboardLogs"\RTDC4027\2017-09-08 &amp; aws s3 cp s3://rtdc.mdm.uploadarchive.raw/RTDC4027/ "%USERPROFILE%\AppData\Local\Temp\OnboardLogs"\RTDC4027\2017-09-09 --exclude "*" --recursive --include "*20170909*" &amp; "%USERPROFILE%\Documents\GitHub\mrs-test-scripts\Headless Mode &amp; Sideloading\WalkAndUnGZ.bat" "%USERPROFILE%\AppData\Local\Temp\OnboardLogs"\RTDC4027\2017-09-09</v>
      </c>
      <c r="AF165" s="74" t="str">
        <f t="shared" si="52"/>
        <v>"C:\Program Files (x86)\AstroGrep\AstroGrep.exe" /e /r /s /spath="%USERPROFILE%\AppData\Local\Temp\OnboardLogs" /stypes="app*4027*20170908*" /stext=" 13:.+((SYSTEM_STATE.+slice.+state.+changed )|(ment ac)|(multiple cpu faults)|(system.+state.+changed )|(\[timeout)|(PRM\|1\|D)|(kpr)|(kdp)|(train st.+moving)|(\|lc)|(penalty))"</v>
      </c>
      <c r="AG165" s="206" t="str">
        <f t="shared" si="53"/>
        <v>NW</v>
      </c>
      <c r="AH165" s="78" t="str">
        <f t="shared" si="54"/>
        <v>"%USERPROFILE%\Documents\GitHub\eaglep3\Utilities\RefineRTDCRunTimes.py" --tripid 806-08 --locoid 4027 --swversion DE.1.0.9.0 --startMP 300:58619 --initTime 2017-09-08T06:55:58 --startdatetime 2017-09-08T07:13:25 --delay 75 --endMP 204:689 --enddatetime 2017-09-08T07:25:10 --enforcementcount 0 &gt;&gt;C:\Users\stu\Documents\GitHub\eaglep3-reporting\EC\2017-09-08-refined-times.txt</v>
      </c>
      <c r="AI165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{"issue":{"subject":"","project_id":79,"tracker_id":40,"status_id":1,"priority_id":2,"assigned_to_id":338,"start_date":"2017-09-08","description":"","custom_fields":[{"id":1,"name":"Subdivision","value":"NW"},{"id":4,"name":"Milepost","value":"0.0689"},{"id":17,"name":"Train ID","value":"806-08"},{"id":16,"name":"Locomotive ID","value":"4027"},{"id":130,"name":"Impact","value":""},{"id":150,"name":"Time of Event (Mountain Time)","value":"07:25:10"},{"id":151,"name":"Denver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6"/>
        <v>start /low /b %USERPROFILE%\Documents\GitHub\eaglep3\Utilities\DownloadLogsFromS3.py --loco 4027 --day 2017-09-08</v>
      </c>
      <c r="AN165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684</v>
      </c>
      <c r="B166" s="7">
        <v>4030</v>
      </c>
      <c r="C166" s="21" t="s">
        <v>197</v>
      </c>
      <c r="D166" s="21" t="s">
        <v>943</v>
      </c>
      <c r="E166" s="13">
        <v>42986.293657407405</v>
      </c>
      <c r="F166" s="13">
        <v>42986.298136574071</v>
      </c>
      <c r="G166" s="7">
        <v>76</v>
      </c>
      <c r="H166" s="21" t="s">
        <v>944</v>
      </c>
      <c r="I166" s="13">
        <v>42986.308888888889</v>
      </c>
      <c r="J166" s="7">
        <v>0</v>
      </c>
      <c r="K166" s="89" t="str">
        <f t="shared" si="40"/>
        <v>4029/4030</v>
      </c>
      <c r="L166" s="214" t="str">
        <f>VLOOKUP(A166,'Trips&amp;Operators'!$C$1:$G$99911,5,FALSE)</f>
        <v>HUFFSMITH MONTY</v>
      </c>
      <c r="M166" s="6">
        <f t="shared" si="41"/>
        <v>1.0752314818091691E-2</v>
      </c>
      <c r="N166" s="7">
        <f t="shared" si="42"/>
        <v>15.483333338052034</v>
      </c>
      <c r="O166" s="7"/>
      <c r="P166" s="7"/>
      <c r="Q166" s="22"/>
      <c r="R166" s="167"/>
      <c r="S166" s="210">
        <f t="shared" si="43"/>
        <v>1</v>
      </c>
      <c r="T166" s="192" t="str">
        <f t="shared" si="44"/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45"/>
        <v>https://d0f6bd738d7f1b3e5a7ca70fe4ff75f0.us-east-1.aws.found.io/app/kibana#/discover/Steve-Slow-Train-Analysis-(2080s-and-2083s)?_g=(refreshInterval:(display:Off,pause:!f,section:0,value:0),time:(from:'2017-09-08T06:02:52-0600',mode:absolute,to:'2017-09-08T08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6" s="194" t="str">
        <f>IF(AA166&lt;VLOOKUP(AG166,Variables!$AC$3:$AD$8,2,FALSE),"Y","N")</f>
        <v>N</v>
      </c>
      <c r="X166" s="194">
        <f t="shared" si="46"/>
        <v>1</v>
      </c>
      <c r="Y166" s="194">
        <f t="shared" si="47"/>
        <v>9.7799999999999998E-2</v>
      </c>
      <c r="Z166" s="194">
        <f t="shared" si="48"/>
        <v>5.8982000000000001</v>
      </c>
      <c r="AA166" s="194">
        <f t="shared" si="49"/>
        <v>5.8003999999999998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50"/>
        <v>807</v>
      </c>
      <c r="AE166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66" s="74" t="str">
        <f t="shared" si="52"/>
        <v>"C:\Program Files (x86)\AstroGrep\AstroGrep.exe" /e /r /s /spath="%USERPROFILE%\AppData\Local\Temp\OnboardLogs" /stypes="app*4030*20170908*" /stext=" 13:.+((SYSTEM_STATE.+slice.+state.+changed )|(ment ac)|(multiple cpu faults)|(system.+state.+changed )|(\[timeout)|(PRM\|1\|D)|(kpr)|(kdp)|(train st.+moving)|(\|lc)|(penalty))"</v>
      </c>
      <c r="AG166" s="206" t="str">
        <f t="shared" si="53"/>
        <v>NW</v>
      </c>
      <c r="AH166" s="78" t="str">
        <f t="shared" si="54"/>
        <v>"%USERPROFILE%\Documents\GitHub\eaglep3\Utilities\RefineRTDCRunTimes.py" --tripid 807-08 --locoid 4030 --swversion DE.1.0.9.0 --startMP 204:978 --initTime 2017-09-08T07:02:52 --startdatetime 2017-09-08T07:09:19 --delay 76 --endMP 300:58982 --enddatetime 2017-09-08T07:24:48 --enforcementcount 0 &gt;&gt;C:\Users\stu\Documents\GitHub\eaglep3-reporting\EC\2017-09-08-refined-times.txt</v>
      </c>
      <c r="AI166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{"issue":{"subject":"","project_id":79,"tracker_id":40,"status_id":1,"priority_id":2,"assigned_to_id":338,"start_date":"2017-09-08","description":"","custom_fields":[{"id":1,"name":"Subdivision","value":"NW"},{"id":4,"name":"Milepost","value":"5.8982"},{"id":17,"name":"Train ID","value":"807-08"},{"id":16,"name":"Locomotive ID","value":"4030"},{"id":130,"name":"Impact","value":""},{"id":150,"name":"Time of Event (Mountain Time)","value":"07:24:48"},{"id":151,"name":"Denver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6"/>
        <v>start /low /b %USERPROFILE%\Documents\GitHub\eaglep3\Utilities\DownloadLogsFromS3.py --loco 4030 --day 2017-09-08</v>
      </c>
      <c r="AN166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692</v>
      </c>
      <c r="B167" s="7">
        <v>4029</v>
      </c>
      <c r="C167" s="21" t="s">
        <v>197</v>
      </c>
      <c r="D167" s="21" t="s">
        <v>945</v>
      </c>
      <c r="E167" s="13">
        <v>42986.31045138889</v>
      </c>
      <c r="F167" s="13">
        <v>42986.321932870371</v>
      </c>
      <c r="G167" s="7">
        <v>63</v>
      </c>
      <c r="H167" s="21" t="s">
        <v>543</v>
      </c>
      <c r="I167" s="13">
        <v>42986.330555555556</v>
      </c>
      <c r="J167" s="7">
        <v>0</v>
      </c>
      <c r="K167" s="89" t="str">
        <f t="shared" si="40"/>
        <v>4029/4030</v>
      </c>
      <c r="L167" s="214" t="str">
        <f>VLOOKUP(A167,'Trips&amp;Operators'!$C$1:$G$99911,5,FALSE)</f>
        <v>HUFFSMITH MONTY</v>
      </c>
      <c r="M167" s="6">
        <f t="shared" si="41"/>
        <v>8.6226851854007691E-3</v>
      </c>
      <c r="N167" s="7">
        <f t="shared" si="42"/>
        <v>12.416666666977108</v>
      </c>
      <c r="O167" s="7"/>
      <c r="P167" s="7"/>
      <c r="Q167" s="22"/>
      <c r="R167" s="167"/>
      <c r="S167" s="210">
        <f t="shared" si="43"/>
        <v>1</v>
      </c>
      <c r="T167" s="192" t="str">
        <f t="shared" si="44"/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45"/>
        <v>https://d0f6bd738d7f1b3e5a7ca70fe4ff75f0.us-east-1.aws.found.io/app/kibana#/discover/Steve-Slow-Train-Analysis-(2080s-and-2083s)?_g=(refreshInterval:(display:Off,pause:!f,section:0,value:0),time:(from:'2017-09-08T06:27:03-0600',mode:absolute,to:'2017-09-08T08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7" s="194" t="str">
        <f>IF(AA167&lt;VLOOKUP(AG167,Variables!$AC$3:$AD$8,2,FALSE),"Y","N")</f>
        <v>N</v>
      </c>
      <c r="X167" s="194">
        <f t="shared" si="46"/>
        <v>1</v>
      </c>
      <c r="Y167" s="194">
        <f t="shared" si="47"/>
        <v>5.8673000000000002</v>
      </c>
      <c r="Z167" s="194">
        <f t="shared" si="48"/>
        <v>6.4899999999999999E-2</v>
      </c>
      <c r="AA167" s="194">
        <f t="shared" si="49"/>
        <v>5.8024000000000004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50"/>
        <v>808</v>
      </c>
      <c r="AE167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67" s="74" t="str">
        <f t="shared" si="52"/>
        <v>"C:\Program Files (x86)\AstroGrep\AstroGrep.exe" /e /r /s /spath="%USERPROFILE%\AppData\Local\Temp\OnboardLogs" /stypes="app*4029*20170908*" /stext=" 13:.+((SYSTEM_STATE.+slice.+state.+changed )|(ment ac)|(multiple cpu faults)|(system.+state.+changed )|(\[timeout)|(PRM\|1\|D)|(kpr)|(kdp)|(train st.+moving)|(\|lc)|(penalty))"</v>
      </c>
      <c r="AG167" s="206" t="str">
        <f t="shared" si="53"/>
        <v>NW</v>
      </c>
      <c r="AH167" s="78" t="str">
        <f t="shared" si="54"/>
        <v>"%USERPROFILE%\Documents\GitHub\eaglep3\Utilities\RefineRTDCRunTimes.py" --tripid 808-08 --locoid 4029 --swversion DE.1.0.9.0 --startMP 300:58673 --initTime 2017-09-08T07:27:03 --startdatetime 2017-09-08T07:43:35 --delay 63 --endMP 204:649 --enddatetime 2017-09-08T07:56:00 --enforcementcount 0 &gt;&gt;C:\Users\stu\Documents\GitHub\eaglep3-reporting\EC\2017-09-08-refined-times.txt</v>
      </c>
      <c r="AI167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{"issue":{"subject":"","project_id":79,"tracker_id":40,"status_id":1,"priority_id":2,"assigned_to_id":338,"start_date":"2017-09-08","description":"","custom_fields":[{"id":1,"name":"Subdivision","value":"NW"},{"id":4,"name":"Milepost","value":"0.0649"},{"id":17,"name":"Train ID","value":"808-08"},{"id":16,"name":"Locomotive ID","value":"4029"},{"id":130,"name":"Impact","value":""},{"id":150,"name":"Time of Event (Mountain Time)","value":"07:56:00"},{"id":151,"name":"Denver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6"/>
        <v>start /low /b %USERPROFILE%\Documents\GitHub\eaglep3\Utilities\DownloadLogsFromS3.py --loco 4029 --day 2017-09-08</v>
      </c>
      <c r="AN167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603</v>
      </c>
      <c r="B168" s="7">
        <v>4028</v>
      </c>
      <c r="C168" s="21" t="s">
        <v>197</v>
      </c>
      <c r="D168" s="21" t="s">
        <v>946</v>
      </c>
      <c r="E168" s="13">
        <v>42986.316284722219</v>
      </c>
      <c r="F168" s="13">
        <v>42986.318969907406</v>
      </c>
      <c r="G168" s="7">
        <v>52</v>
      </c>
      <c r="H168" s="21" t="s">
        <v>947</v>
      </c>
      <c r="I168" s="13">
        <v>42986.329826388886</v>
      </c>
      <c r="J168" s="7">
        <v>0</v>
      </c>
      <c r="K168" s="89" t="str">
        <f t="shared" si="40"/>
        <v>4027/4028</v>
      </c>
      <c r="L168" s="214" t="str">
        <f>VLOOKUP(A168,'Trips&amp;Operators'!$C$1:$G$99911,5,FALSE)</f>
        <v>WILLIAMS DONTE</v>
      </c>
      <c r="M168" s="6">
        <f t="shared" si="41"/>
        <v>1.0856481480004732E-2</v>
      </c>
      <c r="N168" s="7">
        <f t="shared" si="42"/>
        <v>15.633333331206813</v>
      </c>
      <c r="O168" s="7"/>
      <c r="P168" s="7"/>
      <c r="Q168" s="22"/>
      <c r="R168" s="167"/>
      <c r="S168" s="210">
        <f t="shared" si="43"/>
        <v>1</v>
      </c>
      <c r="T168" s="192" t="str">
        <f t="shared" si="44"/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45"/>
        <v>https://d0f6bd738d7f1b3e5a7ca70fe4ff75f0.us-east-1.aws.found.io/app/kibana#/discover/Steve-Slow-Train-Analysis-(2080s-and-2083s)?_g=(refreshInterval:(display:Off,pause:!f,section:0,value:0),time:(from:'2017-09-08T06:35:27-0600',mode:absolute,to:'2017-09-08T08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194" t="str">
        <f>IF(AA168&lt;VLOOKUP(AG168,Variables!$AC$3:$AD$8,2,FALSE),"Y","N")</f>
        <v>N</v>
      </c>
      <c r="X168" s="194">
        <f t="shared" si="46"/>
        <v>1</v>
      </c>
      <c r="Y168" s="194">
        <f t="shared" si="47"/>
        <v>9.7100000000000006E-2</v>
      </c>
      <c r="Z168" s="194">
        <f t="shared" si="48"/>
        <v>5.8939000000000004</v>
      </c>
      <c r="AA168" s="194">
        <f t="shared" si="49"/>
        <v>5.7968000000000002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50"/>
        <v>809</v>
      </c>
      <c r="AE168" s="77" t="str">
        <f t="shared" si="51"/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AF168" s="74" t="str">
        <f t="shared" si="52"/>
        <v>"C:\Program Files (x86)\AstroGrep\AstroGrep.exe" /e /r /s /spath="%USERPROFILE%\AppData\Local\Temp\OnboardLogs" /stypes="app*4028*20170908*" /stext=" 13:.+((SYSTEM_STATE.+slice.+state.+changed )|(ment ac)|(multiple cpu faults)|(system.+state.+changed )|(\[timeout)|(PRM\|1\|D)|(kpr)|(kdp)|(train st.+moving)|(\|lc)|(penalty))"</v>
      </c>
      <c r="AG168" s="206" t="str">
        <f t="shared" si="53"/>
        <v>NW</v>
      </c>
      <c r="AH168" s="78" t="str">
        <f t="shared" si="54"/>
        <v>"%USERPROFILE%\Documents\GitHub\eaglep3\Utilities\RefineRTDCRunTimes.py" --tripid 809-08 --locoid 4028 --swversion DE.1.0.9.0 --startMP 204:971 --initTime 2017-09-08T07:35:27 --startdatetime 2017-09-08T07:39:19 --delay 52 --endMP 300:58939 --enddatetime 2017-09-08T07:54:57 --enforcementcount 0 &gt;&gt;C:\Users\stu\Documents\GitHub\eaglep3-reporting\EC\2017-09-08-refined-times.txt</v>
      </c>
      <c r="AI168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{"issue":{"subject":"","project_id":79,"tracker_id":40,"status_id":1,"priority_id":2,"assigned_to_id":338,"start_date":"2017-09-08","description":"","custom_fields":[{"id":1,"name":"Subdivision","value":"NW"},{"id":4,"name":"Milepost","value":"5.8939"},{"id":17,"name":"Train ID","value":"809-08"},{"id":16,"name":"Locomotive ID","value":"4028"},{"id":130,"name":"Impact","value":""},{"id":150,"name":"Time of Event (Mountain Time)","value":"07:54:57"},{"id":151,"name":"Denver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6"/>
        <v>start /low /b %USERPROFILE%\Documents\GitHub\eaglep3\Utilities\DownloadLogsFromS3.py --loco 4028 --day 2017-09-08</v>
      </c>
      <c r="AN168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13:54:57"},{"id":29,"name":"Sharepoint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696</v>
      </c>
      <c r="B169" s="7">
        <v>4027</v>
      </c>
      <c r="C169" s="21" t="s">
        <v>197</v>
      </c>
      <c r="D169" s="21" t="s">
        <v>402</v>
      </c>
      <c r="E169" s="13">
        <v>42986.330914351849</v>
      </c>
      <c r="F169" s="13">
        <v>42986.342245370368</v>
      </c>
      <c r="G169" s="7">
        <v>73</v>
      </c>
      <c r="H169" s="21" t="s">
        <v>390</v>
      </c>
      <c r="I169" s="13">
        <v>42986.350694444445</v>
      </c>
      <c r="J169" s="7">
        <v>0</v>
      </c>
      <c r="K169" s="89" t="str">
        <f t="shared" si="40"/>
        <v>4027/4028</v>
      </c>
      <c r="L169" s="214" t="str">
        <f>VLOOKUP(A169,'Trips&amp;Operators'!$C$1:$G$99911,5,FALSE)</f>
        <v>WILLIAMS DONTE</v>
      </c>
      <c r="M169" s="6">
        <f t="shared" si="41"/>
        <v>8.449074077361729E-3</v>
      </c>
      <c r="N169" s="7">
        <f t="shared" si="42"/>
        <v>12.16666667140089</v>
      </c>
      <c r="O169" s="7"/>
      <c r="P169" s="7"/>
      <c r="Q169" s="22"/>
      <c r="R169" s="167"/>
      <c r="S169" s="210">
        <f t="shared" si="43"/>
        <v>1</v>
      </c>
      <c r="T169" s="192" t="str">
        <f t="shared" si="44"/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45"/>
        <v>https://d0f6bd738d7f1b3e5a7ca70fe4ff75f0.us-east-1.aws.found.io/app/kibana#/discover/Steve-Slow-Train-Analysis-(2080s-and-2083s)?_g=(refreshInterval:(display:Off,pause:!f,section:0,value:0),time:(from:'2017-09-08T06:56:31-0600',mode:absolute,to:'2017-09-08T09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9" s="194" t="str">
        <f>IF(AA169&lt;VLOOKUP(AG169,Variables!$AC$3:$AD$8,2,FALSE),"Y","N")</f>
        <v>N</v>
      </c>
      <c r="X169" s="194">
        <f t="shared" si="46"/>
        <v>1</v>
      </c>
      <c r="Y169" s="194">
        <f t="shared" si="47"/>
        <v>5.8623000000000003</v>
      </c>
      <c r="Z169" s="194">
        <f t="shared" si="48"/>
        <v>1.67E-2</v>
      </c>
      <c r="AA169" s="194">
        <f t="shared" si="49"/>
        <v>5.8456000000000001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50"/>
        <v>810</v>
      </c>
      <c r="AE169" s="77" t="str">
        <f t="shared" si="51"/>
        <v>aws s3 cp s3://rtdc.mdm.uploadarchive.raw/RTDC4027/ "%USERPROFILE%\AppData\Local\Temp\OnboardLogs"\RTDC4027\2017-09-08 --exclude "*" --recursive --include "*20170908*" &amp; "%USERPROFILE%\Documents\GitHub\mrs-test-scripts\Headless Mode &amp; Sideloading\WalkAndUnGZ.bat" "%USERPROFILE%\AppData\Local\Temp\OnboardLogs"\RTDC4027\2017-09-08 &amp; aws s3 cp s3://rtdc.mdm.uploadarchive.raw/RTDC4027/ "%USERPROFILE%\AppData\Local\Temp\OnboardLogs"\RTDC4027\2017-09-09 --exclude "*" --recursive --include "*20170909*" &amp; "%USERPROFILE%\Documents\GitHub\mrs-test-scripts\Headless Mode &amp; Sideloading\WalkAndUnGZ.bat" "%USERPROFILE%\AppData\Local\Temp\OnboardLogs"\RTDC4027\2017-09-09</v>
      </c>
      <c r="AF169" s="74" t="str">
        <f t="shared" si="52"/>
        <v>"C:\Program Files (x86)\AstroGrep\AstroGrep.exe" /e /r /s /spath="%USERPROFILE%\AppData\Local\Temp\OnboardLogs" /stypes="app*4027*20170908*" /stext=" 14:.+((SYSTEM_STATE.+slice.+state.+changed )|(ment ac)|(multiple cpu faults)|(system.+state.+changed )|(\[timeout)|(PRM\|1\|D)|(kpr)|(kdp)|(train st.+moving)|(\|lc)|(penalty))"</v>
      </c>
      <c r="AG169" s="206" t="str">
        <f t="shared" si="53"/>
        <v>NW</v>
      </c>
      <c r="AH169" s="78" t="str">
        <f t="shared" si="54"/>
        <v>"%USERPROFILE%\Documents\GitHub\eaglep3\Utilities\RefineRTDCRunTimes.py" --tripid 810-08 --locoid 4027 --swversion DE.1.0.9.0 --startMP 300:58623 --initTime 2017-09-08T07:56:31 --startdatetime 2017-09-08T08:12:50 --delay 73 --endMP 204:167 --enddatetime 2017-09-08T08:25:00 --enforcementcount 0 &gt;&gt;C:\Users\stu\Documents\GitHub\eaglep3-reporting\EC\2017-09-08-refined-times.txt</v>
      </c>
      <c r="AI169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{"issue":{"subject":"","project_id":79,"tracker_id":40,"status_id":1,"priority_id":2,"assigned_to_id":338,"start_date":"2017-09-08","description":"","custom_fields":[{"id":1,"name":"Subdivision","value":"NW"},{"id":4,"name":"Milepost","value":"0.0167"},{"id":17,"name":"Train ID","value":"810-08"},{"id":16,"name":"Locomotive ID","value":"4027"},{"id":130,"name":"Impact","value":""},{"id":150,"name":"Time of Event (Mountain Time)","value":"08:25:00"},{"id":151,"name":"Denver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6"/>
        <v>start /low /b %USERPROFILE%\Documents\GitHub\eaglep3\Utilities\DownloadLogsFromS3.py --loco 4027 --day 2017-09-08</v>
      </c>
      <c r="AN169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698</v>
      </c>
      <c r="B170" s="7">
        <v>4030</v>
      </c>
      <c r="C170" s="21" t="s">
        <v>197</v>
      </c>
      <c r="D170" s="21" t="s">
        <v>540</v>
      </c>
      <c r="E170" s="13">
        <v>42986.332754629628</v>
      </c>
      <c r="F170" s="13">
        <v>42986.339849537035</v>
      </c>
      <c r="G170" s="7">
        <v>67</v>
      </c>
      <c r="H170" s="21" t="s">
        <v>948</v>
      </c>
      <c r="I170" s="13">
        <v>42986.349710648145</v>
      </c>
      <c r="J170" s="7">
        <v>0</v>
      </c>
      <c r="K170" s="89" t="str">
        <f t="shared" si="40"/>
        <v>4029/4030</v>
      </c>
      <c r="L170" s="214" t="str">
        <f>VLOOKUP(A170,'Trips&amp;Operators'!$C$1:$G$99911,5,FALSE)</f>
        <v>LALONDE GREGORY</v>
      </c>
      <c r="M170" s="6">
        <f t="shared" si="41"/>
        <v>9.8611111097852699E-3</v>
      </c>
      <c r="N170" s="7">
        <f t="shared" si="42"/>
        <v>14.199999998090789</v>
      </c>
      <c r="O170" s="7"/>
      <c r="P170" s="7"/>
      <c r="Q170" s="22"/>
      <c r="R170" s="167" t="s">
        <v>1017</v>
      </c>
      <c r="S170" s="210">
        <f t="shared" si="43"/>
        <v>1</v>
      </c>
      <c r="T170" s="192" t="str">
        <f t="shared" si="44"/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45"/>
        <v>https://d0f6bd738d7f1b3e5a7ca70fe4ff75f0.us-east-1.aws.found.io/app/kibana#/discover/Steve-Slow-Train-Analysis-(2080s-and-2083s)?_g=(refreshInterval:(display:Off,pause:!f,section:0,value:0),time:(from:'2017-09-08T06:59:10-0600',mode:absolute,to:'2017-09-08T09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0" s="194" t="str">
        <f>IF(AA170&lt;VLOOKUP(AG170,Variables!$AC$3:$AD$8,2,FALSE),"Y","N")</f>
        <v>N</v>
      </c>
      <c r="X170" s="194">
        <f t="shared" si="46"/>
        <v>1</v>
      </c>
      <c r="Y170" s="194">
        <f t="shared" si="47"/>
        <v>9.5000000000000001E-2</v>
      </c>
      <c r="Z170" s="194">
        <f t="shared" si="48"/>
        <v>5.8975</v>
      </c>
      <c r="AA170" s="194">
        <f t="shared" si="49"/>
        <v>5.8025000000000002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50"/>
        <v>811</v>
      </c>
      <c r="AE170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70" s="74" t="str">
        <f t="shared" si="52"/>
        <v>"C:\Program Files (x86)\AstroGrep\AstroGrep.exe" /e /r /s /spath="%USERPROFILE%\AppData\Local\Temp\OnboardLogs" /stypes="app*4030*20170908*" /stext=" 14:.+((SYSTEM_STATE.+slice.+state.+changed )|(ment ac)|(multiple cpu faults)|(system.+state.+changed )|(\[timeout)|(PRM\|1\|D)|(kpr)|(kdp)|(train st.+moving)|(\|lc)|(penalty))"</v>
      </c>
      <c r="AG170" s="206" t="str">
        <f t="shared" si="53"/>
        <v>NW</v>
      </c>
      <c r="AH170" s="78" t="str">
        <f t="shared" si="54"/>
        <v>"%USERPROFILE%\Documents\GitHub\eaglep3\Utilities\RefineRTDCRunTimes.py" --tripid 811-08 --locoid 4030 --swversion DE.1.0.9.0 --startMP 204:950 --initTime 2017-09-08T07:59:10 --startdatetime 2017-09-08T08:09:23 --delay 67 --endMP 300:58975 --enddatetime 2017-09-08T08:23:35 --enforcementcount 0 &gt;&gt;C:\Users\stu\Documents\GitHub\eaglep3-reporting\EC\2017-09-08-refined-times.txt</v>
      </c>
      <c r="AI170" s="96" t="str">
        <f t="shared" si="55"/>
        <v>echo {"issue":{"subject":"Red fence observed due to going active past signal","project_id":79,"tracker_id":40,"status_id":1,"priority_id":2,"assigned_to_id":338,"start_date":"2017-09-08","description":"","custom_fields":[{"id":1,"name":"Subdivision","value":"NW"},{"id":4,"name":"Milepost","value":"5.8975"},{"id":17,"name":"Train ID","value":"811-08"},{"id":16,"name":"Locomotive ID","value":"4030"},{"id":130,"name":"Impact","value":""},{"id":150,"name":"Time of Event (Mountain Time)","value":"08:23:35"},{"id":151,"name":"Denver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56"/>
        <v>start /low /b %USERPROFILE%\Documents\GitHub\eaglep3\Utilities\DownloadLogsFromS3.py --loco 4030 --day 2017-09-08</v>
      </c>
      <c r="AN170" s="151" t="str">
        <f t="shared" si="57"/>
        <v>echo {"issue":{"subject":"Red fence observed due to going active past signal","project_id":30,"tracker_id":4,"status_id":1,"priority_id":1,"assigned_to_id":10,"start_date":"2017-09-08","description":"","custom_fields":[{"id":30,"name":"Category","value":"Issue"},{"id":3,"name":"Functional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702</v>
      </c>
      <c r="B171" s="7">
        <v>4029</v>
      </c>
      <c r="C171" s="21" t="s">
        <v>197</v>
      </c>
      <c r="D171" s="21" t="s">
        <v>949</v>
      </c>
      <c r="E171" s="13">
        <v>42986.354872685188</v>
      </c>
      <c r="F171" s="13">
        <v>42986.357106481482</v>
      </c>
      <c r="G171" s="7">
        <v>75</v>
      </c>
      <c r="H171" s="21" t="s">
        <v>546</v>
      </c>
      <c r="I171" s="13">
        <v>42986.371400462966</v>
      </c>
      <c r="J171" s="7">
        <v>0</v>
      </c>
      <c r="K171" s="89" t="str">
        <f t="shared" si="40"/>
        <v>4029/4030</v>
      </c>
      <c r="L171" s="214" t="str">
        <f>VLOOKUP(A171,'Trips&amp;Operators'!$C$1:$G$99911,5,FALSE)</f>
        <v>LALONDE GREGORY</v>
      </c>
      <c r="M171" s="6">
        <f t="shared" si="41"/>
        <v>1.4293981483206153E-2</v>
      </c>
      <c r="N171" s="7">
        <f t="shared" si="42"/>
        <v>20.58333333581686</v>
      </c>
      <c r="O171" s="7"/>
      <c r="P171" s="7"/>
      <c r="Q171" s="22"/>
      <c r="R171" s="167"/>
      <c r="S171" s="210">
        <f t="shared" si="43"/>
        <v>1</v>
      </c>
      <c r="T171" s="192" t="str">
        <f t="shared" si="44"/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45"/>
        <v>https://d0f6bd738d7f1b3e5a7ca70fe4ff75f0.us-east-1.aws.found.io/app/kibana#/discover/Steve-Slow-Train-Analysis-(2080s-and-2083s)?_g=(refreshInterval:(display:Off,pause:!f,section:0,value:0),time:(from:'2017-09-08T07:31:01-0600',mode:absolute,to:'2017-09-08T09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1" s="194" t="str">
        <f>IF(AA171&lt;VLOOKUP(AG171,Variables!$AC$3:$AD$8,2,FALSE),"Y","N")</f>
        <v>N</v>
      </c>
      <c r="X171" s="194">
        <f t="shared" si="46"/>
        <v>1</v>
      </c>
      <c r="Y171" s="194">
        <f t="shared" si="47"/>
        <v>5.8666</v>
      </c>
      <c r="Z171" s="194">
        <f t="shared" si="48"/>
        <v>6.8400000000000002E-2</v>
      </c>
      <c r="AA171" s="194">
        <f t="shared" si="49"/>
        <v>5.7982000000000005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50"/>
        <v>812</v>
      </c>
      <c r="AE171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71" s="74" t="str">
        <f t="shared" si="52"/>
        <v>"C:\Program Files (x86)\AstroGrep\AstroGrep.exe" /e /r /s /spath="%USERPROFILE%\AppData\Local\Temp\OnboardLogs" /stypes="app*4029*20170908*" /stext=" 14:.+((SYSTEM_STATE.+slice.+state.+changed )|(ment ac)|(multiple cpu faults)|(system.+state.+changed )|(\[timeout)|(PRM\|1\|D)|(kpr)|(kdp)|(train st.+moving)|(\|lc)|(penalty))"</v>
      </c>
      <c r="AG171" s="206" t="str">
        <f t="shared" si="53"/>
        <v>NW</v>
      </c>
      <c r="AH171" s="78" t="str">
        <f t="shared" si="54"/>
        <v>"%USERPROFILE%\Documents\GitHub\eaglep3\Utilities\RefineRTDCRunTimes.py" --tripid 812-08 --locoid 4029 --swversion DE.1.0.9.0 --startMP 300:58666 --initTime 2017-09-08T08:31:01 --startdatetime 2017-09-08T08:34:14 --delay 75 --endMP 204:684 --enddatetime 2017-09-08T08:54:49 --enforcementcount 0 &gt;&gt;C:\Users\stu\Documents\GitHub\eaglep3-reporting\EC\2017-09-08-refined-times.txt</v>
      </c>
      <c r="AI171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{"issue":{"subject":"","project_id":79,"tracker_id":40,"status_id":1,"priority_id":2,"assigned_to_id":338,"start_date":"2017-09-08","description":"","custom_fields":[{"id":1,"name":"Subdivision","value":"NW"},{"id":4,"name":"Milepost","value":"0.0684"},{"id":17,"name":"Train ID","value":"812-08"},{"id":16,"name":"Locomotive ID","value":"4029"},{"id":130,"name":"Impact","value":""},{"id":150,"name":"Time of Event (Mountain Time)","value":"08:54:49"},{"id":151,"name":"Denver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56"/>
        <v>start /low /b %USERPROFILE%\Documents\GitHub\eaglep3\Utilities\DownloadLogsFromS3.py --loco 4029 --day 2017-09-08</v>
      </c>
      <c r="AN171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707</v>
      </c>
      <c r="B172" s="7">
        <v>4030</v>
      </c>
      <c r="C172" s="21" t="s">
        <v>197</v>
      </c>
      <c r="D172" s="21" t="s">
        <v>541</v>
      </c>
      <c r="E172" s="13">
        <v>42986.372685185182</v>
      </c>
      <c r="F172" s="13">
        <v>42986.381388888891</v>
      </c>
      <c r="G172" s="7">
        <v>53</v>
      </c>
      <c r="H172" s="21" t="s">
        <v>950</v>
      </c>
      <c r="I172" s="13">
        <v>42986.39025462963</v>
      </c>
      <c r="J172" s="7">
        <v>0</v>
      </c>
      <c r="K172" s="89" t="str">
        <f t="shared" si="40"/>
        <v>4029/4030</v>
      </c>
      <c r="L172" s="214" t="str">
        <f>VLOOKUP(A172,'Trips&amp;Operators'!$C$1:$G$99911,5,FALSE)</f>
        <v>LALONDE GREGORY</v>
      </c>
      <c r="M172" s="6">
        <f t="shared" si="41"/>
        <v>8.8657407395658083E-3</v>
      </c>
      <c r="N172" s="7">
        <f t="shared" si="42"/>
        <v>12.766666664974764</v>
      </c>
      <c r="O172" s="7"/>
      <c r="P172" s="7"/>
      <c r="Q172" s="22"/>
      <c r="R172" s="167"/>
      <c r="S172" s="210">
        <f t="shared" si="43"/>
        <v>1</v>
      </c>
      <c r="T172" s="192" t="str">
        <f t="shared" si="44"/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45"/>
        <v>https://d0f6bd738d7f1b3e5a7ca70fe4ff75f0.us-east-1.aws.found.io/app/kibana#/discover/Steve-Slow-Train-Analysis-(2080s-and-2083s)?_g=(refreshInterval:(display:Off,pause:!f,section:0,value:0),time:(from:'2017-09-08T07:56:40-0600',mode:absolute,to:'2017-09-08T10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2" s="194" t="str">
        <f>IF(AA172&lt;VLOOKUP(AG172,Variables!$AC$3:$AD$8,2,FALSE),"Y","N")</f>
        <v>N</v>
      </c>
      <c r="X172" s="194">
        <f t="shared" si="46"/>
        <v>1</v>
      </c>
      <c r="Y172" s="194">
        <f t="shared" si="47"/>
        <v>9.8500000000000004E-2</v>
      </c>
      <c r="Z172" s="194">
        <f t="shared" si="48"/>
        <v>5.8968999999999996</v>
      </c>
      <c r="AA172" s="194">
        <f t="shared" si="49"/>
        <v>5.7984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50"/>
        <v>813</v>
      </c>
      <c r="AE172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72" s="74" t="str">
        <f t="shared" si="52"/>
        <v>"C:\Program Files (x86)\AstroGrep\AstroGrep.exe" /e /r /s /spath="%USERPROFILE%\AppData\Local\Temp\OnboardLogs" /stypes="app*4030*20170908*" /stext=" 15:.+((SYSTEM_STATE.+slice.+state.+changed )|(ment ac)|(multiple cpu faults)|(system.+state.+changed )|(\[timeout)|(PRM\|1\|D)|(kpr)|(kdp)|(train st.+moving)|(\|lc)|(penalty))"</v>
      </c>
      <c r="AG172" s="206" t="str">
        <f t="shared" si="53"/>
        <v>NW</v>
      </c>
      <c r="AH172" s="78" t="str">
        <f t="shared" si="54"/>
        <v>"%USERPROFILE%\Documents\GitHub\eaglep3\Utilities\RefineRTDCRunTimes.py" --tripid 813-08 --locoid 4030 --swversion DE.1.0.9.0 --startMP 204:985 --initTime 2017-09-08T08:56:40 --startdatetime 2017-09-08T09:09:12 --delay 53 --endMP 300:58969 --enddatetime 2017-09-08T09:21:58 --enforcementcount 0 &gt;&gt;C:\Users\stu\Documents\GitHub\eaglep3-reporting\EC\2017-09-08-refined-times.txt</v>
      </c>
      <c r="AI172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{"issue":{"subject":"","project_id":79,"tracker_id":40,"status_id":1,"priority_id":2,"assigned_to_id":338,"start_date":"2017-09-08","description":"","custom_fields":[{"id":1,"name":"Subdivision","value":"NW"},{"id":4,"name":"Milepost","value":"5.8969"},{"id":17,"name":"Train ID","value":"813-08"},{"id":16,"name":"Locomotive ID","value":"4030"},{"id":130,"name":"Impact","value":""},{"id":150,"name":"Time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56"/>
        <v>start /low /b %USERPROFILE%\Documents\GitHub\eaglep3\Utilities\DownloadLogsFromS3.py --loco 4030 --day 2017-09-08</v>
      </c>
      <c r="AN172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15:21:58"},{"id":29,"name":"Sharepoint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714</v>
      </c>
      <c r="B173" s="7">
        <v>4029</v>
      </c>
      <c r="C173" s="21" t="s">
        <v>197</v>
      </c>
      <c r="D173" s="21" t="s">
        <v>951</v>
      </c>
      <c r="E173" s="13">
        <v>42986.391956018517</v>
      </c>
      <c r="F173" s="13">
        <v>42986.398506944446</v>
      </c>
      <c r="G173" s="7">
        <v>61</v>
      </c>
      <c r="H173" s="21" t="s">
        <v>546</v>
      </c>
      <c r="I173" s="13">
        <v>42986.412638888891</v>
      </c>
      <c r="J173" s="7">
        <v>0</v>
      </c>
      <c r="K173" s="89" t="str">
        <f t="shared" si="40"/>
        <v>4029/4030</v>
      </c>
      <c r="L173" s="214" t="str">
        <f>VLOOKUP(A173,'Trips&amp;Operators'!$C$1:$G$99911,5,FALSE)</f>
        <v>LALONDE GREGORY</v>
      </c>
      <c r="M173" s="6">
        <f t="shared" si="41"/>
        <v>1.4131944444670808E-2</v>
      </c>
      <c r="N173" s="7">
        <f t="shared" si="42"/>
        <v>20.350000000325963</v>
      </c>
      <c r="O173" s="7"/>
      <c r="P173" s="7"/>
      <c r="Q173" s="22"/>
      <c r="R173" s="167"/>
      <c r="S173" s="210">
        <f t="shared" si="43"/>
        <v>1</v>
      </c>
      <c r="T173" s="192" t="str">
        <f t="shared" si="44"/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45"/>
        <v>https://d0f6bd738d7f1b3e5a7ca70fe4ff75f0.us-east-1.aws.found.io/app/kibana#/discover/Steve-Slow-Train-Analysis-(2080s-and-2083s)?_g=(refreshInterval:(display:Off,pause:!f,section:0,value:0),time:(from:'2017-09-08T08:24:25-0600',mode:absolute,to:'2017-09-08T10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3" s="194" t="str">
        <f>IF(AA173&lt;VLOOKUP(AG173,Variables!$AC$3:$AD$8,2,FALSE),"Y","N")</f>
        <v>N</v>
      </c>
      <c r="X173" s="194">
        <f t="shared" si="46"/>
        <v>1</v>
      </c>
      <c r="Y173" s="194">
        <f t="shared" si="47"/>
        <v>5.8648999999999996</v>
      </c>
      <c r="Z173" s="194">
        <f t="shared" si="48"/>
        <v>6.8400000000000002E-2</v>
      </c>
      <c r="AA173" s="194">
        <f t="shared" si="49"/>
        <v>5.7965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50"/>
        <v>814</v>
      </c>
      <c r="AE173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73" s="74" t="str">
        <f t="shared" si="52"/>
        <v>"C:\Program Files (x86)\AstroGrep\AstroGrep.exe" /e /r /s /spath="%USERPROFILE%\AppData\Local\Temp\OnboardLogs" /stypes="app*4029*20170908*" /stext=" 15:.+((SYSTEM_STATE.+slice.+state.+changed )|(ment ac)|(multiple cpu faults)|(system.+state.+changed )|(\[timeout)|(PRM\|1\|D)|(kpr)|(kdp)|(train st.+moving)|(\|lc)|(penalty))"</v>
      </c>
      <c r="AG173" s="206" t="str">
        <f t="shared" si="53"/>
        <v>NW</v>
      </c>
      <c r="AH173" s="78" t="str">
        <f t="shared" si="54"/>
        <v>"%USERPROFILE%\Documents\GitHub\eaglep3\Utilities\RefineRTDCRunTimes.py" --tripid 814-08 --locoid 4029 --swversion DE.1.0.9.0 --startMP 300:58649 --initTime 2017-09-08T09:24:25 --startdatetime 2017-09-08T09:33:51 --delay 61 --endMP 204:684 --enddatetime 2017-09-08T09:54:12 --enforcementcount 0 &gt;&gt;C:\Users\stu\Documents\GitHub\eaglep3-reporting\EC\2017-09-08-refined-times.txt</v>
      </c>
      <c r="AI173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{"issue":{"subject":"","project_id":79,"tracker_id":40,"status_id":1,"priority_id":2,"assigned_to_id":338,"start_date":"2017-09-08","description":"","custom_fields":[{"id":1,"name":"Subdivision","value":"NW"},{"id":4,"name":"Milepost","value":"0.0684"},{"id":17,"name":"Train ID","value":"814-08"},{"id":16,"name":"Locomotive ID","value":"4029"},{"id":130,"name":"Impact","value":""},{"id":150,"name":"Time of Event (Mountain Time)","value":"09:54:12"},{"id":151,"name":"Denver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6"/>
        <v>start /low /b %USERPROFILE%\Documents\GitHub\eaglep3\Utilities\DownloadLogsFromS3.py --loco 4029 --day 2017-09-08</v>
      </c>
      <c r="AN173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15:54:12"},{"id":29,"name":"Sharepoint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720</v>
      </c>
      <c r="B174" s="7">
        <v>4030</v>
      </c>
      <c r="C174" s="21" t="s">
        <v>197</v>
      </c>
      <c r="D174" s="21" t="s">
        <v>952</v>
      </c>
      <c r="E174" s="13">
        <v>42986.414953703701</v>
      </c>
      <c r="F174" s="13">
        <v>42986.423067129632</v>
      </c>
      <c r="G174" s="7">
        <v>55</v>
      </c>
      <c r="H174" s="21" t="s">
        <v>587</v>
      </c>
      <c r="I174" s="13">
        <v>42986.432997685188</v>
      </c>
      <c r="J174" s="7">
        <v>0</v>
      </c>
      <c r="K174" s="89" t="str">
        <f t="shared" si="40"/>
        <v>4029/4030</v>
      </c>
      <c r="L174" s="214" t="str">
        <f>VLOOKUP(A174,'Trips&amp;Operators'!$C$1:$G$99911,5,FALSE)</f>
        <v>LALONDE GREGORY</v>
      </c>
      <c r="M174" s="6">
        <f t="shared" si="41"/>
        <v>9.930555555911269E-3</v>
      </c>
      <c r="N174" s="7">
        <f t="shared" si="42"/>
        <v>14.300000000512227</v>
      </c>
      <c r="O174" s="7"/>
      <c r="P174" s="7"/>
      <c r="Q174" s="22"/>
      <c r="R174" s="167"/>
      <c r="S174" s="210">
        <f t="shared" si="43"/>
        <v>1</v>
      </c>
      <c r="T174" s="192" t="str">
        <f t="shared" si="44"/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45"/>
        <v>https://d0f6bd738d7f1b3e5a7ca70fe4ff75f0.us-east-1.aws.found.io/app/kibana#/discover/Steve-Slow-Train-Analysis-(2080s-and-2083s)?_g=(refreshInterval:(display:Off,pause:!f,section:0,value:0),time:(from:'2017-09-08T08:57:32-0600',mode:absolute,to:'2017-09-08T11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4" s="194" t="str">
        <f>IF(AA174&lt;VLOOKUP(AG174,Variables!$AC$3:$AD$8,2,FALSE),"Y","N")</f>
        <v>N</v>
      </c>
      <c r="X174" s="194">
        <f t="shared" si="46"/>
        <v>1</v>
      </c>
      <c r="Y174" s="194">
        <f t="shared" si="47"/>
        <v>9.5100000000000004E-2</v>
      </c>
      <c r="Z174" s="194">
        <f t="shared" si="48"/>
        <v>5.8973000000000004</v>
      </c>
      <c r="AA174" s="194">
        <f t="shared" si="49"/>
        <v>5.8022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50"/>
        <v>815</v>
      </c>
      <c r="AE174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74" s="74" t="str">
        <f t="shared" si="52"/>
        <v>"C:\Program Files (x86)\AstroGrep\AstroGrep.exe" /e /r /s /spath="%USERPROFILE%\AppData\Local\Temp\OnboardLogs" /stypes="app*4030*20170908*" /stext=" 16:.+((SYSTEM_STATE.+slice.+state.+changed )|(ment ac)|(multiple cpu faults)|(system.+state.+changed )|(\[timeout)|(PRM\|1\|D)|(kpr)|(kdp)|(train st.+moving)|(\|lc)|(penalty))"</v>
      </c>
      <c r="AG174" s="206" t="str">
        <f t="shared" si="53"/>
        <v>NW</v>
      </c>
      <c r="AH174" s="78" t="str">
        <f t="shared" si="54"/>
        <v>"%USERPROFILE%\Documents\GitHub\eaglep3\Utilities\RefineRTDCRunTimes.py" --tripid 815-08 --locoid 4030 --swversion DE.1.0.9.0 --startMP 204:951 --initTime 2017-09-08T09:57:32 --startdatetime 2017-09-08T10:09:13 --delay 55 --endMP 300:58973 --enddatetime 2017-09-08T10:23:31 --enforcementcount 0 &gt;&gt;C:\Users\stu\Documents\GitHub\eaglep3-reporting\EC\2017-09-08-refined-times.txt</v>
      </c>
      <c r="AI174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{"issue":{"subject":"","project_id":79,"tracker_id":40,"status_id":1,"priority_id":2,"assigned_to_id":338,"start_date":"2017-09-08","description":"","custom_fields":[{"id":1,"name":"Subdivision","value":"NW"},{"id":4,"name":"Milepost","value":"5.8973"},{"id":17,"name":"Train ID","value":"815-08"},{"id":16,"name":"Locomotive ID","value":"4030"},{"id":130,"name":"Impact","value":""},{"id":150,"name":"Time of Event (Mountain Time)","value":"10:23:31"},{"id":151,"name":"Denver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56"/>
        <v>start /low /b %USERPROFILE%\Documents\GitHub\eaglep3\Utilities\DownloadLogsFromS3.py --loco 4030 --day 2017-09-08</v>
      </c>
      <c r="AN174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16:23:31"},{"id":29,"name":"Sharepoint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722</v>
      </c>
      <c r="B175" s="7">
        <v>4029</v>
      </c>
      <c r="C175" s="21" t="s">
        <v>197</v>
      </c>
      <c r="D175" s="21" t="s">
        <v>953</v>
      </c>
      <c r="E175" s="13">
        <v>42986.437511574077</v>
      </c>
      <c r="F175" s="13">
        <v>42986.44253472222</v>
      </c>
      <c r="G175" s="7">
        <v>52</v>
      </c>
      <c r="H175" s="21" t="s">
        <v>954</v>
      </c>
      <c r="I175" s="13">
        <v>42986.456122685187</v>
      </c>
      <c r="J175" s="7">
        <v>0</v>
      </c>
      <c r="K175" s="89" t="str">
        <f t="shared" si="40"/>
        <v>4029/4030</v>
      </c>
      <c r="L175" s="214" t="str">
        <f>VLOOKUP(A175,'Trips&amp;Operators'!$C$1:$G$99911,5,FALSE)</f>
        <v>LALONDE GREGORY</v>
      </c>
      <c r="M175" s="6">
        <f t="shared" si="41"/>
        <v>1.3587962966994382E-2</v>
      </c>
      <c r="N175" s="7">
        <f t="shared" si="42"/>
        <v>19.566666672471911</v>
      </c>
      <c r="O175" s="7"/>
      <c r="P175" s="7"/>
      <c r="Q175" s="22"/>
      <c r="R175" s="167"/>
      <c r="S175" s="210">
        <f t="shared" si="43"/>
        <v>1</v>
      </c>
      <c r="T175" s="192" t="str">
        <f t="shared" si="44"/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45"/>
        <v>https://d0f6bd738d7f1b3e5a7ca70fe4ff75f0.us-east-1.aws.found.io/app/kibana#/discover/Steve-Slow-Train-Analysis-(2080s-and-2083s)?_g=(refreshInterval:(display:Off,pause:!f,section:0,value:0),time:(from:'2017-09-08T09:30:01-0600',mode:absolute,to:'2017-09-08T11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5" s="194" t="str">
        <f>IF(AA175&lt;VLOOKUP(AG175,Variables!$AC$3:$AD$8,2,FALSE),"Y","N")</f>
        <v>N</v>
      </c>
      <c r="X175" s="194">
        <f t="shared" si="46"/>
        <v>1</v>
      </c>
      <c r="Y175" s="194">
        <f t="shared" si="47"/>
        <v>5.8657000000000004</v>
      </c>
      <c r="Z175" s="194">
        <f t="shared" si="48"/>
        <v>6.7699999999999996E-2</v>
      </c>
      <c r="AA175" s="194">
        <f t="shared" si="49"/>
        <v>5.798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50"/>
        <v>816</v>
      </c>
      <c r="AE175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75" s="74" t="str">
        <f t="shared" si="52"/>
        <v>"C:\Program Files (x86)\AstroGrep\AstroGrep.exe" /e /r /s /spath="%USERPROFILE%\AppData\Local\Temp\OnboardLogs" /stypes="app*4029*20170908*" /stext=" 16:.+((SYSTEM_STATE.+slice.+state.+changed )|(ment ac)|(multiple cpu faults)|(system.+state.+changed )|(\[timeout)|(PRM\|1\|D)|(kpr)|(kdp)|(train st.+moving)|(\|lc)|(penalty))"</v>
      </c>
      <c r="AG175" s="206" t="str">
        <f t="shared" si="53"/>
        <v>NW</v>
      </c>
      <c r="AH175" s="78" t="str">
        <f t="shared" si="54"/>
        <v>"%USERPROFILE%\Documents\GitHub\eaglep3\Utilities\RefineRTDCRunTimes.py" --tripid 816-08 --locoid 4029 --swversion DE.1.0.9.0 --startMP 300:58657 --initTime 2017-09-08T10:30:01 --startdatetime 2017-09-08T10:37:15 --delay 52 --endMP 204:677 --enddatetime 2017-09-08T10:56:49 --enforcementcount 0 &gt;&gt;C:\Users\stu\Documents\GitHub\eaglep3-reporting\EC\2017-09-08-refined-times.txt</v>
      </c>
      <c r="AI175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{"issue":{"subject":"","project_id":79,"tracker_id":40,"status_id":1,"priority_id":2,"assigned_to_id":338,"start_date":"2017-09-08","description":"","custom_fields":[{"id":1,"name":"Subdivision","value":"NW"},{"id":4,"name":"Milepost","value":"0.0677"},{"id":17,"name":"Train ID","value":"816-08"},{"id":16,"name":"Locomotive ID","value":"4029"},{"id":130,"name":"Impact","value":""},{"id":150,"name":"Time of Event (Mountain Time)","value":"10:56:49"},{"id":151,"name":"Denver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6"/>
        <v>start /low /b %USERPROFILE%\Documents\GitHub\eaglep3\Utilities\DownloadLogsFromS3.py --loco 4029 --day 2017-09-08</v>
      </c>
      <c r="AN175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16:56:49"},{"id":29,"name":"Sharepoint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611</v>
      </c>
      <c r="B176" s="7">
        <v>4030</v>
      </c>
      <c r="C176" s="21" t="s">
        <v>197</v>
      </c>
      <c r="D176" s="21" t="s">
        <v>592</v>
      </c>
      <c r="E176" s="13">
        <v>42986.458252314813</v>
      </c>
      <c r="F176" s="13">
        <v>42986.465057870373</v>
      </c>
      <c r="G176" s="7">
        <v>55</v>
      </c>
      <c r="H176" s="21" t="s">
        <v>955</v>
      </c>
      <c r="I176" s="13">
        <v>42986.465196759258</v>
      </c>
      <c r="J176" s="7">
        <v>0</v>
      </c>
      <c r="K176" s="89" t="str">
        <f t="shared" si="40"/>
        <v>4029/4030</v>
      </c>
      <c r="L176" s="214" t="str">
        <f>VLOOKUP(A176,'Trips&amp;Operators'!$C$1:$G$99911,5,FALSE)</f>
        <v>LALONDE GREGORY</v>
      </c>
      <c r="M176" s="6">
        <f t="shared" si="41"/>
        <v>1.3888888497604057E-4</v>
      </c>
      <c r="N176" s="7"/>
      <c r="O176" s="7"/>
      <c r="P176" s="7">
        <f t="shared" si="42"/>
        <v>0.19999999436549842</v>
      </c>
      <c r="Q176" s="22"/>
      <c r="R176" s="167" t="s">
        <v>1012</v>
      </c>
      <c r="S176" s="210">
        <f t="shared" si="43"/>
        <v>0</v>
      </c>
      <c r="T176" s="192" t="str">
        <f t="shared" si="44"/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93" t="str">
        <f t="shared" si="45"/>
        <v>https://d0f6bd738d7f1b3e5a7ca70fe4ff75f0.us-east-1.aws.found.io/app/kibana#/discover/Steve-Slow-Train-Analysis-(2080s-and-2083s)?_g=(refreshInterval:(display:Off,pause:!f,section:0,value:0),time:(from:'2017-09-08T09:59:53-0600',mode:absolute,to:'2017-09-08T12:09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6" s="194" t="str">
        <f>IF(AA176&lt;VLOOKUP(AG176,Variables!$AC$3:$AD$8,2,FALSE),"Y","N")</f>
        <v>Y</v>
      </c>
      <c r="X176" s="194">
        <f t="shared" si="46"/>
        <v>1</v>
      </c>
      <c r="Y176" s="194">
        <f t="shared" si="47"/>
        <v>9.8100000000000007E-2</v>
      </c>
      <c r="Z176" s="194">
        <f t="shared" si="48"/>
        <v>0.18890000000000001</v>
      </c>
      <c r="AA176" s="194">
        <f t="shared" si="49"/>
        <v>9.0800000000000006E-2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50"/>
        <v>817</v>
      </c>
      <c r="AE176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76" s="74" t="str">
        <f t="shared" si="52"/>
        <v>"C:\Program Files (x86)\AstroGrep\AstroGrep.exe" /e /r /s /spath="%USERPROFILE%\AppData\Local\Temp\OnboardLogs" /stypes="app*4030*20170908*" /stext=" 17:.+((SYSTEM_STATE.+slice.+state.+changed )|(ment ac)|(multiple cpu faults)|(system.+state.+changed )|(\[timeout)|(PRM\|1\|D)|(kpr)|(kdp)|(train st.+moving)|(\|lc)|(penalty))"</v>
      </c>
      <c r="AG176" s="206" t="str">
        <f t="shared" si="53"/>
        <v>NW</v>
      </c>
      <c r="AH176" s="78" t="str">
        <f t="shared" si="54"/>
        <v>"%USERPROFILE%\Documents\GitHub\eaglep3\Utilities\RefineRTDCRunTimes.py" --tripid 817-08 --locoid 4030 --swversion DE.1.0.9.0 --startMP 204:981 --initTime 2017-09-08T10:59:53 --startdatetime 2017-09-08T11:09:41 --delay 55 --endMP 204:1889 --enddatetime 2017-09-08T11:09:53 --enforcementcount 0 &gt;&gt;C:\Users\stu\Documents\GitHub\eaglep3-reporting\EC\2017-09-08-refined-times.txt</v>
      </c>
      <c r="AI176" s="96" t="str">
        <f t="shared" si="55"/>
        <v>echo {"issue":{"subject":"Poor GPS at DUS","project_id":79,"tracker_id":40,"status_id":1,"priority_id":2,"assigned_to_id":338,"start_date":"2017-09-08","description":"","custom_fields":[{"id":1,"name":"Subdivision","value":"NW"},{"id":4,"name":"Milepost","value":"0.1889"},{"id":17,"name":"Train ID","value":"817-08"},{"id":16,"name":"Locomotive ID","value":"4030"},{"id":130,"name":"Impact","value":""},{"id":150,"name":"Time of Event (Mountain Time)","value":"11:09:53"},{"id":151,"name":"Denver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6"/>
        <v>start /low /b %USERPROFILE%\Documents\GitHub\eaglep3\Utilities\DownloadLogsFromS3.py --loco 4030 --day 2017-09-08</v>
      </c>
      <c r="AN176" s="151" t="str">
        <f t="shared" si="57"/>
        <v>echo {"issue":{"subject":"Poor GPS at DUS","project_id":30,"tracker_id":4,"status_id":1,"priority_id":1,"assigned_to_id":10,"start_date":"2017-09-08","description":"","custom_fields":[{"id":30,"name":"Category","value":"Issue"},{"id":3,"name":"Functional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17:09:53"},{"id":29,"name":"Sharepoint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613</v>
      </c>
      <c r="B177" s="7">
        <v>4029</v>
      </c>
      <c r="C177" s="21" t="s">
        <v>197</v>
      </c>
      <c r="D177" s="21" t="s">
        <v>956</v>
      </c>
      <c r="E177" s="13">
        <v>42986.481724537036</v>
      </c>
      <c r="F177" s="13">
        <v>42986.484189814815</v>
      </c>
      <c r="G177" s="7">
        <v>66</v>
      </c>
      <c r="H177" s="21" t="s">
        <v>957</v>
      </c>
      <c r="I177" s="13">
        <v>42986.496527777781</v>
      </c>
      <c r="J177" s="7">
        <v>0</v>
      </c>
      <c r="K177" s="89" t="str">
        <f t="shared" si="40"/>
        <v>4029/4030</v>
      </c>
      <c r="L177" s="214" t="str">
        <f>VLOOKUP(A177,'Trips&amp;Operators'!$C$1:$G$99911,5,FALSE)</f>
        <v>LALONDE GREGORY</v>
      </c>
      <c r="M177" s="6">
        <f t="shared" si="41"/>
        <v>1.2337962965830229E-2</v>
      </c>
      <c r="N177" s="7">
        <f t="shared" si="42"/>
        <v>17.76666667079553</v>
      </c>
      <c r="O177" s="7"/>
      <c r="P177" s="7"/>
      <c r="Q177" s="22"/>
      <c r="R177" s="167"/>
      <c r="S177" s="210">
        <f t="shared" si="43"/>
        <v>1</v>
      </c>
      <c r="T177" s="192" t="str">
        <f t="shared" si="44"/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45"/>
        <v>https://d0f6bd738d7f1b3e5a7ca70fe4ff75f0.us-east-1.aws.found.io/app/kibana#/discover/Steve-Slow-Train-Analysis-(2080s-and-2083s)?_g=(refreshInterval:(display:Off,pause:!f,section:0,value:0),time:(from:'2017-09-08T10:33:41-0600',mode:absolute,to:'2017-09-08T12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7" s="194" t="str">
        <f>IF(AA177&lt;VLOOKUP(AG177,Variables!$AC$3:$AD$8,2,FALSE),"Y","N")</f>
        <v>N</v>
      </c>
      <c r="X177" s="194">
        <f t="shared" si="46"/>
        <v>1</v>
      </c>
      <c r="Y177" s="194">
        <f t="shared" si="47"/>
        <v>5.8661000000000003</v>
      </c>
      <c r="Z177" s="194">
        <f t="shared" si="48"/>
        <v>7.2900000000000006E-2</v>
      </c>
      <c r="AA177" s="194">
        <f t="shared" si="49"/>
        <v>5.7932000000000006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50"/>
        <v>818</v>
      </c>
      <c r="AE177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77" s="74" t="str">
        <f t="shared" si="52"/>
        <v>"C:\Program Files (x86)\AstroGrep\AstroGrep.exe" /e /r /s /spath="%USERPROFILE%\AppData\Local\Temp\OnboardLogs" /stypes="app*4029*20170908*" /stext=" 17:.+((SYSTEM_STATE.+slice.+state.+changed )|(ment ac)|(multiple cpu faults)|(system.+state.+changed )|(\[timeout)|(PRM\|1\|D)|(kpr)|(kdp)|(train st.+moving)|(\|lc)|(penalty))"</v>
      </c>
      <c r="AG177" s="206" t="str">
        <f t="shared" si="53"/>
        <v>NW</v>
      </c>
      <c r="AH177" s="78" t="str">
        <f t="shared" si="54"/>
        <v>"%USERPROFILE%\Documents\GitHub\eaglep3\Utilities\RefineRTDCRunTimes.py" --tripid 818-08 --locoid 4029 --swversion DE.1.0.9.0 --startMP 300:58661 --initTime 2017-09-08T11:33:41 --startdatetime 2017-09-08T11:37:14 --delay 66 --endMP 204:729 --enddatetime 2017-09-08T11:55:00 --enforcementcount 0 &gt;&gt;C:\Users\stu\Documents\GitHub\eaglep3-reporting\EC\2017-09-08-refined-times.txt</v>
      </c>
      <c r="AI177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{"issue":{"subject":"","project_id":79,"tracker_id":40,"status_id":1,"priority_id":2,"assigned_to_id":338,"start_date":"2017-09-08","description":"","custom_fields":[{"id":1,"name":"Subdivision","value":"NW"},{"id":4,"name":"Milepost","value":"0.0729"},{"id":17,"name":"Train ID","value":"818-08"},{"id":16,"name":"Locomotive ID","value":"4029"},{"id":130,"name":"Impact","value":""},{"id":150,"name":"Time of Event (Mountain Time)","value":"11:55:00"},{"id":151,"name":"Denver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56"/>
        <v>start /low /b %USERPROFILE%\Documents\GitHub\eaglep3\Utilities\DownloadLogsFromS3.py --loco 4029 --day 2017-09-08</v>
      </c>
      <c r="AN177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17:55:00"},{"id":29,"name":"Sharepoint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736</v>
      </c>
      <c r="B178" s="7">
        <v>4030</v>
      </c>
      <c r="C178" s="21" t="s">
        <v>197</v>
      </c>
      <c r="D178" s="21" t="s">
        <v>421</v>
      </c>
      <c r="E178" s="13">
        <v>42986.49858796296</v>
      </c>
      <c r="F178" s="13">
        <v>42986.506539351853</v>
      </c>
      <c r="G178" s="7">
        <v>71</v>
      </c>
      <c r="H178" s="21" t="s">
        <v>958</v>
      </c>
      <c r="I178" s="13">
        <v>42986.515763888892</v>
      </c>
      <c r="J178" s="7">
        <v>0</v>
      </c>
      <c r="K178" s="89" t="str">
        <f t="shared" si="40"/>
        <v>4029/4030</v>
      </c>
      <c r="L178" s="214" t="str">
        <f>VLOOKUP(A178,'Trips&amp;Operators'!$C$1:$G$99911,5,FALSE)</f>
        <v>LALONDE GREGORY</v>
      </c>
      <c r="M178" s="6">
        <f t="shared" si="41"/>
        <v>9.2245370396994986E-3</v>
      </c>
      <c r="N178" s="7">
        <f t="shared" si="42"/>
        <v>13.283333337167278</v>
      </c>
      <c r="O178" s="7"/>
      <c r="P178" s="7"/>
      <c r="Q178" s="22"/>
      <c r="R178" s="167"/>
      <c r="S178" s="210">
        <f t="shared" si="43"/>
        <v>1</v>
      </c>
      <c r="T178" s="192" t="str">
        <f t="shared" si="44"/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45"/>
        <v>https://d0f6bd738d7f1b3e5a7ca70fe4ff75f0.us-east-1.aws.found.io/app/kibana#/discover/Steve-Slow-Train-Analysis-(2080s-and-2083s)?_g=(refreshInterval:(display:Off,pause:!f,section:0,value:0),time:(from:'2017-09-08T10:57:58-0600',mode:absolute,to:'2017-09-08T13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8" s="194" t="str">
        <f>IF(AA178&lt;VLOOKUP(AG178,Variables!$AC$3:$AD$8,2,FALSE),"Y","N")</f>
        <v>N</v>
      </c>
      <c r="X178" s="194">
        <f t="shared" si="46"/>
        <v>1</v>
      </c>
      <c r="Y178" s="194">
        <f t="shared" si="47"/>
        <v>9.7900000000000001E-2</v>
      </c>
      <c r="Z178" s="194">
        <f t="shared" si="48"/>
        <v>5.8963000000000001</v>
      </c>
      <c r="AA178" s="194">
        <f t="shared" si="49"/>
        <v>5.7984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50"/>
        <v>819</v>
      </c>
      <c r="AE178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78" s="74" t="str">
        <f t="shared" si="52"/>
        <v>"C:\Program Files (x86)\AstroGrep\AstroGrep.exe" /e /r /s /spath="%USERPROFILE%\AppData\Local\Temp\OnboardLogs" /stypes="app*4030*20170908*" /stext=" 18:.+((SYSTEM_STATE.+slice.+state.+changed )|(ment ac)|(multiple cpu faults)|(system.+state.+changed )|(\[timeout)|(PRM\|1\|D)|(kpr)|(kdp)|(train st.+moving)|(\|lc)|(penalty))"</v>
      </c>
      <c r="AG178" s="206" t="str">
        <f t="shared" si="53"/>
        <v>NW</v>
      </c>
      <c r="AH178" s="78" t="str">
        <f t="shared" si="54"/>
        <v>"%USERPROFILE%\Documents\GitHub\eaglep3\Utilities\RefineRTDCRunTimes.py" --tripid 819-08 --locoid 4030 --swversion DE.1.0.9.0 --startMP 204:979 --initTime 2017-09-08T11:57:58 --startdatetime 2017-09-08T12:09:25 --delay 71 --endMP 300:58963 --enddatetime 2017-09-08T12:22:42 --enforcementcount 0 &gt;&gt;C:\Users\stu\Documents\GitHub\eaglep3-reporting\EC\2017-09-08-refined-times.txt</v>
      </c>
      <c r="AI178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{"issue":{"subject":"","project_id":79,"tracker_id":40,"status_id":1,"priority_id":2,"assigned_to_id":338,"start_date":"2017-09-08","description":"","custom_fields":[{"id":1,"name":"Subdivision","value":"NW"},{"id":4,"name":"Milepost","value":"5.8963"},{"id":17,"name":"Train ID","value":"819-08"},{"id":16,"name":"Locomotive ID","value":"4030"},{"id":130,"name":"Impact","value":""},{"id":150,"name":"Time of Event (Mountain Time)","value":"12:22:42"},{"id":151,"name":"Denver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56"/>
        <v>start /low /b %USERPROFILE%\Documents\GitHub\eaglep3\Utilities\DownloadLogsFromS3.py --loco 4030 --day 2017-09-08</v>
      </c>
      <c r="AN178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18:22:42"},{"id":29,"name":"Sharepoint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740</v>
      </c>
      <c r="B179" s="7">
        <v>4029</v>
      </c>
      <c r="C179" s="21" t="s">
        <v>197</v>
      </c>
      <c r="D179" s="21" t="s">
        <v>959</v>
      </c>
      <c r="E179" s="13">
        <v>42986.525555555556</v>
      </c>
      <c r="F179" s="13">
        <v>42986.527106481481</v>
      </c>
      <c r="G179" s="7">
        <v>51</v>
      </c>
      <c r="H179" s="21" t="s">
        <v>595</v>
      </c>
      <c r="I179" s="13">
        <v>42986.537685185183</v>
      </c>
      <c r="J179" s="7">
        <v>0</v>
      </c>
      <c r="K179" s="89" t="str">
        <f t="shared" si="40"/>
        <v>4029/4030</v>
      </c>
      <c r="L179" s="214" t="str">
        <f>VLOOKUP(A179,'Trips&amp;Operators'!$C$1:$G$99911,5,FALSE)</f>
        <v>LALONDE GREGORY</v>
      </c>
      <c r="M179" s="6">
        <f t="shared" si="41"/>
        <v>1.0578703702776693E-2</v>
      </c>
      <c r="N179" s="7">
        <f t="shared" si="42"/>
        <v>15.233333331998438</v>
      </c>
      <c r="O179" s="7"/>
      <c r="P179" s="7"/>
      <c r="Q179" s="22"/>
      <c r="R179" s="167"/>
      <c r="S179" s="210">
        <f t="shared" si="43"/>
        <v>1</v>
      </c>
      <c r="T179" s="192" t="str">
        <f t="shared" si="44"/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45"/>
        <v>https://d0f6bd738d7f1b3e5a7ca70fe4ff75f0.us-east-1.aws.found.io/app/kibana#/discover/Steve-Slow-Train-Analysis-(2080s-and-2083s)?_g=(refreshInterval:(display:Off,pause:!f,section:0,value:0),time:(from:'2017-09-08T11:36:48-0600',mode:absolute,to:'2017-09-08T13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9" s="194" t="str">
        <f>IF(AA179&lt;VLOOKUP(AG179,Variables!$AC$3:$AD$8,2,FALSE),"Y","N")</f>
        <v>N</v>
      </c>
      <c r="X179" s="194">
        <f t="shared" si="46"/>
        <v>1</v>
      </c>
      <c r="Y179" s="194">
        <f t="shared" si="47"/>
        <v>5.8655999999999997</v>
      </c>
      <c r="Z179" s="194">
        <f t="shared" si="48"/>
        <v>6.8900000000000003E-2</v>
      </c>
      <c r="AA179" s="194">
        <f t="shared" si="49"/>
        <v>5.7966999999999995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50"/>
        <v>820</v>
      </c>
      <c r="AE179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79" s="74" t="str">
        <f t="shared" si="52"/>
        <v>"C:\Program Files (x86)\AstroGrep\AstroGrep.exe" /e /r /s /spath="%USERPROFILE%\AppData\Local\Temp\OnboardLogs" /stypes="app*4029*20170908*" /stext=" 18:.+((SYSTEM_STATE.+slice.+state.+changed )|(ment ac)|(multiple cpu faults)|(system.+state.+changed )|(\[timeout)|(PRM\|1\|D)|(kpr)|(kdp)|(train st.+moving)|(\|lc)|(penalty))"</v>
      </c>
      <c r="AG179" s="206" t="str">
        <f t="shared" si="53"/>
        <v>NW</v>
      </c>
      <c r="AH179" s="78" t="str">
        <f t="shared" si="54"/>
        <v>"%USERPROFILE%\Documents\GitHub\eaglep3\Utilities\RefineRTDCRunTimes.py" --tripid 820-08 --locoid 4029 --swversion DE.1.0.9.0 --startMP 300:58656 --initTime 2017-09-08T12:36:48 --startdatetime 2017-09-08T12:39:02 --delay 51 --endMP 204:689 --enddatetime 2017-09-08T12:54:16 --enforcementcount 0 &gt;&gt;C:\Users\stu\Documents\GitHub\eaglep3-reporting\EC\2017-09-08-refined-times.txt</v>
      </c>
      <c r="AI179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{"issue":{"subject":"","project_id":79,"tracker_id":40,"status_id":1,"priority_id":2,"assigned_to_id":338,"start_date":"2017-09-08","description":"","custom_fields":[{"id":1,"name":"Subdivision","value":"NW"},{"id":4,"name":"Milepost","value":"0.0689"},{"id":17,"name":"Train ID","value":"820-08"},{"id":16,"name":"Locomotive ID","value":"4029"},{"id":130,"name":"Impact","value":""},{"id":150,"name":"Time of Event (Mountain Time)","value":"12:54:16"},{"id":151,"name":"Denver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56"/>
        <v>start /low /b %USERPROFILE%\Documents\GitHub\eaglep3\Utilities\DownloadLogsFromS3.py --loco 4029 --day 2017-09-08</v>
      </c>
      <c r="AN179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18:54:16"},{"id":29,"name":"Sharepoint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745</v>
      </c>
      <c r="B180" s="7">
        <v>4030</v>
      </c>
      <c r="C180" s="21" t="s">
        <v>197</v>
      </c>
      <c r="D180" s="21" t="s">
        <v>435</v>
      </c>
      <c r="E180" s="13">
        <v>42986.541550925926</v>
      </c>
      <c r="F180" s="13">
        <v>42986.548113425924</v>
      </c>
      <c r="G180" s="7">
        <v>76</v>
      </c>
      <c r="H180" s="21" t="s">
        <v>960</v>
      </c>
      <c r="I180" s="13">
        <v>42986.557581018518</v>
      </c>
      <c r="J180" s="7">
        <v>0</v>
      </c>
      <c r="K180" s="89" t="str">
        <f t="shared" si="40"/>
        <v>4029/4030</v>
      </c>
      <c r="L180" s="214" t="str">
        <f>VLOOKUP(A180,'Trips&amp;Operators'!$C$1:$G$99911,5,FALSE)</f>
        <v>BIRKHOLZ NADINE</v>
      </c>
      <c r="M180" s="6">
        <f t="shared" si="41"/>
        <v>9.4675925938645378E-3</v>
      </c>
      <c r="N180" s="7">
        <f t="shared" si="42"/>
        <v>13.633333335164934</v>
      </c>
      <c r="O180" s="7"/>
      <c r="P180" s="7"/>
      <c r="Q180" s="22"/>
      <c r="R180" s="167"/>
      <c r="S180" s="210">
        <f t="shared" si="43"/>
        <v>1</v>
      </c>
      <c r="T180" s="192" t="str">
        <f t="shared" si="44"/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45"/>
        <v>https://d0f6bd738d7f1b3e5a7ca70fe4ff75f0.us-east-1.aws.found.io/app/kibana#/discover/Steve-Slow-Train-Analysis-(2080s-and-2083s)?_g=(refreshInterval:(display:Off,pause:!f,section:0,value:0),time:(from:'2017-09-08T11:59:50-0600',mode:absolute,to:'2017-09-08T14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0" s="194" t="str">
        <f>IF(AA180&lt;VLOOKUP(AG180,Variables!$AC$3:$AD$8,2,FALSE),"Y","N")</f>
        <v>N</v>
      </c>
      <c r="X180" s="194">
        <f t="shared" si="46"/>
        <v>1</v>
      </c>
      <c r="Y180" s="194">
        <f t="shared" si="47"/>
        <v>9.6500000000000002E-2</v>
      </c>
      <c r="Z180" s="194">
        <f t="shared" si="48"/>
        <v>5.8940999999999999</v>
      </c>
      <c r="AA180" s="194">
        <f t="shared" si="49"/>
        <v>5.7976000000000001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si="50"/>
        <v>821</v>
      </c>
      <c r="AE180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80" s="74" t="str">
        <f t="shared" si="52"/>
        <v>"C:\Program Files (x86)\AstroGrep\AstroGrep.exe" /e /r /s /spath="%USERPROFILE%\AppData\Local\Temp\OnboardLogs" /stypes="app*4030*20170908*" /stext=" 19:.+((SYSTEM_STATE.+slice.+state.+changed )|(ment ac)|(multiple cpu faults)|(system.+state.+changed )|(\[timeout)|(PRM\|1\|D)|(kpr)|(kdp)|(train st.+moving)|(\|lc)|(penalty))"</v>
      </c>
      <c r="AG180" s="206" t="str">
        <f t="shared" si="53"/>
        <v>NW</v>
      </c>
      <c r="AH180" s="78" t="str">
        <f t="shared" si="54"/>
        <v>"%USERPROFILE%\Documents\GitHub\eaglep3\Utilities\RefineRTDCRunTimes.py" --tripid 821-08 --locoid 4030 --swversion DE.1.0.9.0 --startMP 204:965 --initTime 2017-09-08T12:59:50 --startdatetime 2017-09-08T13:09:17 --delay 76 --endMP 300:58941 --enddatetime 2017-09-08T13:22:55 --enforcementcount 0 &gt;&gt;C:\Users\stu\Documents\GitHub\eaglep3-reporting\EC\2017-09-08-refined-times.txt</v>
      </c>
      <c r="AI180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{"issue":{"subject":"","project_id":79,"tracker_id":40,"status_id":1,"priority_id":2,"assigned_to_id":338,"start_date":"2017-09-08","description":"","custom_fields":[{"id":1,"name":"Subdivision","value":"NW"},{"id":4,"name":"Milepost","value":"5.8941"},{"id":17,"name":"Train ID","value":"821-08"},{"id":16,"name":"Locomotive ID","value":"4030"},{"id":130,"name":"Impact","value":""},{"id":150,"name":"Time of Event (Mountain Time)","value":"13:22:55"},{"id":151,"name":"Denver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6"/>
        <v>start /low /b %USERPROFILE%\Documents\GitHub\eaglep3\Utilities\DownloadLogsFromS3.py --loco 4030 --day 2017-09-08</v>
      </c>
      <c r="AN180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19:22:55"},{"id":29,"name":"Sharepoint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750</v>
      </c>
      <c r="B181" s="7">
        <v>4029</v>
      </c>
      <c r="C181" s="21" t="s">
        <v>197</v>
      </c>
      <c r="D181" s="21" t="s">
        <v>402</v>
      </c>
      <c r="E181" s="13">
        <v>42986.567777777775</v>
      </c>
      <c r="F181" s="13">
        <v>42986.57</v>
      </c>
      <c r="G181" s="7">
        <v>77</v>
      </c>
      <c r="H181" s="21" t="s">
        <v>588</v>
      </c>
      <c r="I181" s="13">
        <v>42986.579976851855</v>
      </c>
      <c r="J181" s="7">
        <v>0</v>
      </c>
      <c r="K181" s="89" t="str">
        <f t="shared" si="40"/>
        <v>4029/4030</v>
      </c>
      <c r="L181" s="214" t="str">
        <f>VLOOKUP(A181,'Trips&amp;Operators'!$C$1:$G$99911,5,FALSE)</f>
        <v>BIRKHOLZ NADINE</v>
      </c>
      <c r="M181" s="6">
        <f t="shared" si="41"/>
        <v>9.976851855753921E-3</v>
      </c>
      <c r="N181" s="7">
        <f t="shared" si="42"/>
        <v>14.366666672285646</v>
      </c>
      <c r="O181" s="7"/>
      <c r="P181" s="7"/>
      <c r="Q181" s="22"/>
      <c r="R181" s="167"/>
      <c r="S181" s="210">
        <f t="shared" si="43"/>
        <v>1</v>
      </c>
      <c r="T181" s="192" t="str">
        <f t="shared" si="44"/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45"/>
        <v>https://d0f6bd738d7f1b3e5a7ca70fe4ff75f0.us-east-1.aws.found.io/app/kibana#/discover/Steve-Slow-Train-Analysis-(2080s-and-2083s)?_g=(refreshInterval:(display:Off,pause:!f,section:0,value:0),time:(from:'2017-09-08T12:37:36-0600',mode:absolute,to:'2017-09-08T14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1" s="194" t="str">
        <f>IF(AA181&lt;VLOOKUP(AG181,Variables!$AC$3:$AD$8,2,FALSE),"Y","N")</f>
        <v>N</v>
      </c>
      <c r="X181" s="194">
        <f t="shared" si="46"/>
        <v>1</v>
      </c>
      <c r="Y181" s="194">
        <f t="shared" si="47"/>
        <v>5.8623000000000003</v>
      </c>
      <c r="Z181" s="194">
        <f t="shared" si="48"/>
        <v>6.7299999999999999E-2</v>
      </c>
      <c r="AA181" s="194">
        <f t="shared" si="49"/>
        <v>5.7949999999999999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50"/>
        <v>822</v>
      </c>
      <c r="AE181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81" s="74" t="str">
        <f t="shared" si="52"/>
        <v>"C:\Program Files (x86)\AstroGrep\AstroGrep.exe" /e /r /s /spath="%USERPROFILE%\AppData\Local\Temp\OnboardLogs" /stypes="app*4029*20170908*" /stext=" 19:.+((SYSTEM_STATE.+slice.+state.+changed )|(ment ac)|(multiple cpu faults)|(system.+state.+changed )|(\[timeout)|(PRM\|1\|D)|(kpr)|(kdp)|(train st.+moving)|(\|lc)|(penalty))"</v>
      </c>
      <c r="AG181" s="206" t="str">
        <f t="shared" si="53"/>
        <v>NW</v>
      </c>
      <c r="AH181" s="78" t="str">
        <f t="shared" si="54"/>
        <v>"%USERPROFILE%\Documents\GitHub\eaglep3\Utilities\RefineRTDCRunTimes.py" --tripid 822-08 --locoid 4029 --swversion DE.1.0.9.0 --startMP 300:58623 --initTime 2017-09-08T13:37:36 --startdatetime 2017-09-08T13:40:48 --delay 77 --endMP 204:673 --enddatetime 2017-09-08T13:55:10 --enforcementcount 0 &gt;&gt;C:\Users\stu\Documents\GitHub\eaglep3-reporting\EC\2017-09-08-refined-times.txt</v>
      </c>
      <c r="AI181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{"issue":{"subject":"","project_id":79,"tracker_id":40,"status_id":1,"priority_id":2,"assigned_to_id":338,"start_date":"2017-09-08","description":"","custom_fields":[{"id":1,"name":"Subdivision","value":"NW"},{"id":4,"name":"Milepost","value":"0.0673"},{"id":17,"name":"Train ID","value":"822-08"},{"id":16,"name":"Locomotive ID","value":"4029"},{"id":130,"name":"Impact","value":""},{"id":150,"name":"Time of Event (Mountain Time)","value":"13:55:10"},{"id":151,"name":"Denver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6"/>
        <v>start /low /b %USERPROFILE%\Documents\GitHub\eaglep3\Utilities\DownloadLogsFromS3.py --loco 4029 --day 2017-09-08</v>
      </c>
      <c r="AN181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19:55:10"},{"id":29,"name":"Sharepoint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755</v>
      </c>
      <c r="B182" s="7">
        <v>4030</v>
      </c>
      <c r="C182" s="21" t="s">
        <v>197</v>
      </c>
      <c r="D182" s="21" t="s">
        <v>961</v>
      </c>
      <c r="E182" s="13">
        <v>42986.587175925924</v>
      </c>
      <c r="F182" s="13">
        <v>42986.589861111112</v>
      </c>
      <c r="G182" s="7">
        <v>51</v>
      </c>
      <c r="H182" s="21" t="s">
        <v>596</v>
      </c>
      <c r="I182" s="13">
        <v>42986.599363425928</v>
      </c>
      <c r="J182" s="7">
        <v>0</v>
      </c>
      <c r="K182" s="89" t="str">
        <f t="shared" si="40"/>
        <v>4029/4030</v>
      </c>
      <c r="L182" s="214" t="str">
        <f>VLOOKUP(A182,'Trips&amp;Operators'!$C$1:$G$99911,5,FALSE)</f>
        <v>BIRKHOLZ NADINE</v>
      </c>
      <c r="M182" s="6">
        <f t="shared" si="41"/>
        <v>9.5023148169275373E-3</v>
      </c>
      <c r="N182" s="7">
        <f t="shared" si="42"/>
        <v>13.683333336375654</v>
      </c>
      <c r="O182" s="7"/>
      <c r="P182" s="7"/>
      <c r="Q182" s="22"/>
      <c r="R182" s="167"/>
      <c r="S182" s="210">
        <f t="shared" si="43"/>
        <v>1</v>
      </c>
      <c r="T182" s="192" t="str">
        <f t="shared" si="44"/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45"/>
        <v>https://d0f6bd738d7f1b3e5a7ca70fe4ff75f0.us-east-1.aws.found.io/app/kibana#/discover/Steve-Slow-Train-Analysis-(2080s-and-2083s)?_g=(refreshInterval:(display:Off,pause:!f,section:0,value:0),time:(from:'2017-09-08T13:05:32-0600',mode:absolute,to:'2017-09-08T15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2" s="194" t="str">
        <f>IF(AA182&lt;VLOOKUP(AG182,Variables!$AC$3:$AD$8,2,FALSE),"Y","N")</f>
        <v>N</v>
      </c>
      <c r="X182" s="194">
        <f t="shared" si="46"/>
        <v>1</v>
      </c>
      <c r="Y182" s="194">
        <f t="shared" si="47"/>
        <v>9.5699999999999993E-2</v>
      </c>
      <c r="Z182" s="194">
        <f t="shared" si="48"/>
        <v>5.8936999999999999</v>
      </c>
      <c r="AA182" s="194">
        <f t="shared" si="49"/>
        <v>5.798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50"/>
        <v>823</v>
      </c>
      <c r="AE182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82" s="74" t="str">
        <f t="shared" si="52"/>
        <v>"C:\Program Files (x86)\AstroGrep\AstroGrep.exe" /e /r /s /spath="%USERPROFILE%\AppData\Local\Temp\OnboardLogs" /stypes="app*4030*20170908*" /stext=" 20:.+((SYSTEM_STATE.+slice.+state.+changed )|(ment ac)|(multiple cpu faults)|(system.+state.+changed )|(\[timeout)|(PRM\|1\|D)|(kpr)|(kdp)|(train st.+moving)|(\|lc)|(penalty))"</v>
      </c>
      <c r="AG182" s="206" t="str">
        <f t="shared" si="53"/>
        <v>NW</v>
      </c>
      <c r="AH182" s="78" t="str">
        <f t="shared" si="54"/>
        <v>"%USERPROFILE%\Documents\GitHub\eaglep3\Utilities\RefineRTDCRunTimes.py" --tripid 823-08 --locoid 4030 --swversion DE.1.0.9.0 --startMP 204:957 --initTime 2017-09-08T14:05:32 --startdatetime 2017-09-08T14:09:24 --delay 51 --endMP 300:58937 --enddatetime 2017-09-08T14:23:05 --enforcementcount 0 &gt;&gt;C:\Users\stu\Documents\GitHub\eaglep3-reporting\EC\2017-09-08-refined-times.txt</v>
      </c>
      <c r="AI182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{"issue":{"subject":"","project_id":79,"tracker_id":40,"status_id":1,"priority_id":2,"assigned_to_id":338,"start_date":"2017-09-08","description":"","custom_fields":[{"id":1,"name":"Subdivision","value":"NW"},{"id":4,"name":"Milepost","value":"5.8937"},{"id":17,"name":"Train ID","value":"823-08"},{"id":16,"name":"Locomotive ID","value":"4030"},{"id":130,"name":"Impact","value":""},{"id":150,"name":"Time of Event (Mountain Time)","value":"14:23:05"},{"id":151,"name":"Denver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56"/>
        <v>start /low /b %USERPROFILE%\Documents\GitHub\eaglep3\Utilities\DownloadLogsFromS3.py --loco 4030 --day 2017-09-08</v>
      </c>
      <c r="AN182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20:23:05"},{"id":29,"name":"Sharepoint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760</v>
      </c>
      <c r="B183" s="7">
        <v>4029</v>
      </c>
      <c r="C183" s="21" t="s">
        <v>197</v>
      </c>
      <c r="D183" s="21" t="s">
        <v>594</v>
      </c>
      <c r="E183" s="13">
        <v>42986.608402777776</v>
      </c>
      <c r="F183" s="13">
        <v>42986.611018518517</v>
      </c>
      <c r="G183" s="7">
        <v>61</v>
      </c>
      <c r="H183" s="21" t="s">
        <v>941</v>
      </c>
      <c r="I183" s="13">
        <v>42986.621631944443</v>
      </c>
      <c r="J183" s="7">
        <v>0</v>
      </c>
      <c r="K183" s="89" t="str">
        <f t="shared" si="40"/>
        <v>4029/4030</v>
      </c>
      <c r="L183" s="214" t="str">
        <f>VLOOKUP(A183,'Trips&amp;Operators'!$C$1:$G$99911,5,FALSE)</f>
        <v>BIRKHOLZ NADINE</v>
      </c>
      <c r="M183" s="6">
        <f t="shared" si="41"/>
        <v>1.0613425925839692E-2</v>
      </c>
      <c r="N183" s="7">
        <f t="shared" si="42"/>
        <v>15.283333333209157</v>
      </c>
      <c r="O183" s="7"/>
      <c r="P183" s="7"/>
      <c r="Q183" s="22"/>
      <c r="R183" s="167"/>
      <c r="S183" s="210">
        <f t="shared" si="43"/>
        <v>1</v>
      </c>
      <c r="T183" s="192" t="str">
        <f t="shared" si="44"/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45"/>
        <v>https://d0f6bd738d7f1b3e5a7ca70fe4ff75f0.us-east-1.aws.found.io/app/kibana#/discover/Steve-Slow-Train-Analysis-(2080s-and-2083s)?_g=(refreshInterval:(display:Off,pause:!f,section:0,value:0),time:(from:'2017-09-08T13:36:06-0600',mode:absolute,to:'2017-09-08T15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3" s="194" t="str">
        <f>IF(AA183&lt;VLOOKUP(AG183,Variables!$AC$3:$AD$8,2,FALSE),"Y","N")</f>
        <v>N</v>
      </c>
      <c r="X183" s="194">
        <f t="shared" si="46"/>
        <v>1</v>
      </c>
      <c r="Y183" s="194">
        <f t="shared" si="47"/>
        <v>5.8630000000000004</v>
      </c>
      <c r="Z183" s="194">
        <f t="shared" si="48"/>
        <v>6.8500000000000005E-2</v>
      </c>
      <c r="AA183" s="194">
        <f t="shared" si="49"/>
        <v>5.7945000000000002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50"/>
        <v>824</v>
      </c>
      <c r="AE183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83" s="74" t="str">
        <f t="shared" si="52"/>
        <v>"C:\Program Files (x86)\AstroGrep\AstroGrep.exe" /e /r /s /spath="%USERPROFILE%\AppData\Local\Temp\OnboardLogs" /stypes="app*4029*20170908*" /stext=" 20:.+((SYSTEM_STATE.+slice.+state.+changed )|(ment ac)|(multiple cpu faults)|(system.+state.+changed )|(\[timeout)|(PRM\|1\|D)|(kpr)|(kdp)|(train st.+moving)|(\|lc)|(penalty))"</v>
      </c>
      <c r="AG183" s="206" t="str">
        <f t="shared" si="53"/>
        <v>NW</v>
      </c>
      <c r="AH183" s="78" t="str">
        <f t="shared" si="54"/>
        <v>"%USERPROFILE%\Documents\GitHub\eaglep3\Utilities\RefineRTDCRunTimes.py" --tripid 824-08 --locoid 4029 --swversion DE.1.0.9.0 --startMP 300:58630 --initTime 2017-09-08T14:36:06 --startdatetime 2017-09-08T14:39:52 --delay 61 --endMP 204:685 --enddatetime 2017-09-08T14:55:09 --enforcementcount 0 &gt;&gt;C:\Users\stu\Documents\GitHub\eaglep3-reporting\EC\2017-09-08-refined-times.txt</v>
      </c>
      <c r="AI183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{"issue":{"subject":"","project_id":79,"tracker_id":40,"status_id":1,"priority_id":2,"assigned_to_id":338,"start_date":"2017-09-08","description":"","custom_fields":[{"id":1,"name":"Subdivision","value":"NW"},{"id":4,"name":"Milepost","value":"0.0685"},{"id":17,"name":"Train ID","value":"824-08"},{"id":16,"name":"Locomotive ID","value":"4029"},{"id":130,"name":"Impact","value":""},{"id":150,"name":"Time of Event (Mountain Time)","value":"14:55:09"},{"id":151,"name":"Denver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56"/>
        <v>start /low /b %USERPROFILE%\Documents\GitHub\eaglep3\Utilities\DownloadLogsFromS3.py --loco 4029 --day 2017-09-08</v>
      </c>
      <c r="AN183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20:55:09"},{"id":29,"name":"Sharepoint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763</v>
      </c>
      <c r="B184" s="7">
        <v>4030</v>
      </c>
      <c r="C184" s="21" t="s">
        <v>197</v>
      </c>
      <c r="D184" s="21" t="s">
        <v>946</v>
      </c>
      <c r="E184" s="13">
        <v>42986.627766203703</v>
      </c>
      <c r="F184" s="13">
        <v>42986.631516203706</v>
      </c>
      <c r="G184" s="7">
        <v>58</v>
      </c>
      <c r="H184" s="21" t="s">
        <v>544</v>
      </c>
      <c r="I184" s="13">
        <v>42986.641053240739</v>
      </c>
      <c r="J184" s="7">
        <v>0</v>
      </c>
      <c r="K184" s="89" t="str">
        <f t="shared" si="40"/>
        <v>4029/4030</v>
      </c>
      <c r="L184" s="214" t="str">
        <f>VLOOKUP(A184,'Trips&amp;Operators'!$C$1:$G$99911,5,FALSE)</f>
        <v>BIRKHOLZ NADINE</v>
      </c>
      <c r="M184" s="6">
        <f t="shared" si="41"/>
        <v>9.5370370327145793E-3</v>
      </c>
      <c r="N184" s="7">
        <f t="shared" si="42"/>
        <v>13.733333327108994</v>
      </c>
      <c r="O184" s="7"/>
      <c r="P184" s="7"/>
      <c r="Q184" s="22"/>
      <c r="R184" s="167"/>
      <c r="S184" s="210">
        <f t="shared" si="43"/>
        <v>1</v>
      </c>
      <c r="T184" s="192" t="str">
        <f t="shared" si="44"/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45"/>
        <v>https://d0f6bd738d7f1b3e5a7ca70fe4ff75f0.us-east-1.aws.found.io/app/kibana#/discover/Steve-Slow-Train-Analysis-(2080s-and-2083s)?_g=(refreshInterval:(display:Off,pause:!f,section:0,value:0),time:(from:'2017-09-08T14:03:59-0600',mode:absolute,to:'2017-09-08T16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4" s="194" t="str">
        <f>IF(AA184&lt;VLOOKUP(AG184,Variables!$AC$3:$AD$8,2,FALSE),"Y","N")</f>
        <v>N</v>
      </c>
      <c r="X184" s="194">
        <f t="shared" si="46"/>
        <v>1</v>
      </c>
      <c r="Y184" s="194">
        <f t="shared" si="47"/>
        <v>9.7100000000000006E-2</v>
      </c>
      <c r="Z184" s="194">
        <f t="shared" si="48"/>
        <v>5.8948</v>
      </c>
      <c r="AA184" s="194">
        <f t="shared" si="49"/>
        <v>5.7976999999999999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50"/>
        <v>825</v>
      </c>
      <c r="AE184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84" s="74" t="str">
        <f t="shared" si="52"/>
        <v>"C:\Program Files (x86)\AstroGrep\AstroGrep.exe" /e /r /s /spath="%USERPROFILE%\AppData\Local\Temp\OnboardLogs" /stypes="app*4030*20170908*" /stext=" 21:.+((SYSTEM_STATE.+slice.+state.+changed )|(ment ac)|(multiple cpu faults)|(system.+state.+changed )|(\[timeout)|(PRM\|1\|D)|(kpr)|(kdp)|(train st.+moving)|(\|lc)|(penalty))"</v>
      </c>
      <c r="AG184" s="206" t="str">
        <f t="shared" si="53"/>
        <v>NW</v>
      </c>
      <c r="AH184" s="78" t="str">
        <f t="shared" si="54"/>
        <v>"%USERPROFILE%\Documents\GitHub\eaglep3\Utilities\RefineRTDCRunTimes.py" --tripid 825-08 --locoid 4030 --swversion DE.1.0.9.0 --startMP 204:971 --initTime 2017-09-08T15:03:59 --startdatetime 2017-09-08T15:09:23 --delay 58 --endMP 300:58948 --enddatetime 2017-09-08T15:23:07 --enforcementcount 0 &gt;&gt;C:\Users\stu\Documents\GitHub\eaglep3-reporting\EC\2017-09-08-refined-times.txt</v>
      </c>
      <c r="AI184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{"issue":{"subject":"","project_id":79,"tracker_id":40,"status_id":1,"priority_id":2,"assigned_to_id":338,"start_date":"2017-09-08","description":"","custom_fields":[{"id":1,"name":"Subdivision","value":"NW"},{"id":4,"name":"Milepost","value":"5.8948"},{"id":17,"name":"Train ID","value":"825-08"},{"id":16,"name":"Locomotive ID","value":"4030"},{"id":130,"name":"Impact","value":""},{"id":150,"name":"Time of Event (Mountain Time)","value":"15:23:07"},{"id":151,"name":"Denver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56"/>
        <v>start /low /b %USERPROFILE%\Documents\GitHub\eaglep3\Utilities\DownloadLogsFromS3.py --loco 4030 --day 2017-09-08</v>
      </c>
      <c r="AN184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769</v>
      </c>
      <c r="B185" s="7">
        <v>4029</v>
      </c>
      <c r="C185" s="21" t="s">
        <v>197</v>
      </c>
      <c r="D185" s="21" t="s">
        <v>591</v>
      </c>
      <c r="E185" s="13">
        <v>42986.65121527778</v>
      </c>
      <c r="F185" s="13">
        <v>42986.653113425928</v>
      </c>
      <c r="G185" s="7">
        <v>56</v>
      </c>
      <c r="H185" s="21" t="s">
        <v>962</v>
      </c>
      <c r="I185" s="13">
        <v>42986.663229166668</v>
      </c>
      <c r="J185" s="7">
        <v>0</v>
      </c>
      <c r="K185" s="89" t="str">
        <f t="shared" si="40"/>
        <v>4029/4030</v>
      </c>
      <c r="L185" s="214" t="str">
        <f>VLOOKUP(A185,'Trips&amp;Operators'!$C$1:$G$99911,5,FALSE)</f>
        <v>BIRKHOLZ NADINE</v>
      </c>
      <c r="M185" s="6">
        <f t="shared" si="41"/>
        <v>1.0115740740729962E-2</v>
      </c>
      <c r="N185" s="7">
        <f t="shared" si="42"/>
        <v>14.566666666651145</v>
      </c>
      <c r="O185" s="7"/>
      <c r="P185" s="7"/>
      <c r="Q185" s="22"/>
      <c r="R185" s="167"/>
      <c r="S185" s="210">
        <f t="shared" si="43"/>
        <v>1</v>
      </c>
      <c r="T185" s="192" t="str">
        <f t="shared" si="44"/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45"/>
        <v>https://d0f6bd738d7f1b3e5a7ca70fe4ff75f0.us-east-1.aws.found.io/app/kibana#/discover/Steve-Slow-Train-Analysis-(2080s-and-2083s)?_g=(refreshInterval:(display:Off,pause:!f,section:0,value:0),time:(from:'2017-09-08T14:37:45-0600',mode:absolute,to:'2017-09-08T16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5" s="194" t="str">
        <f>IF(AA185&lt;VLOOKUP(AG185,Variables!$AC$3:$AD$8,2,FALSE),"Y","N")</f>
        <v>N</v>
      </c>
      <c r="X185" s="194">
        <f t="shared" si="46"/>
        <v>1</v>
      </c>
      <c r="Y185" s="194">
        <f t="shared" si="47"/>
        <v>5.8613</v>
      </c>
      <c r="Z185" s="194">
        <f t="shared" si="48"/>
        <v>6.9800000000000001E-2</v>
      </c>
      <c r="AA185" s="194">
        <f t="shared" si="49"/>
        <v>5.7915000000000001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50"/>
        <v>826</v>
      </c>
      <c r="AE185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85" s="74" t="str">
        <f t="shared" si="52"/>
        <v>"C:\Program Files (x86)\AstroGrep\AstroGrep.exe" /e /r /s /spath="%USERPROFILE%\AppData\Local\Temp\OnboardLogs" /stypes="app*4029*20170908*" /stext=" 21:.+((SYSTEM_STATE.+slice.+state.+changed )|(ment ac)|(multiple cpu faults)|(system.+state.+changed )|(\[timeout)|(PRM\|1\|D)|(kpr)|(kdp)|(train st.+moving)|(\|lc)|(penalty))"</v>
      </c>
      <c r="AG185" s="206" t="str">
        <f t="shared" si="53"/>
        <v>NW</v>
      </c>
      <c r="AH185" s="78" t="str">
        <f t="shared" si="54"/>
        <v>"%USERPROFILE%\Documents\GitHub\eaglep3\Utilities\RefineRTDCRunTimes.py" --tripid 826-08 --locoid 4029 --swversion DE.1.0.9.0 --startMP 300:58613 --initTime 2017-09-08T15:37:45 --startdatetime 2017-09-08T15:40:29 --delay 56 --endMP 204:698 --enddatetime 2017-09-08T15:55:03 --enforcementcount 0 &gt;&gt;C:\Users\stu\Documents\GitHub\eaglep3-reporting\EC\2017-09-08-refined-times.txt</v>
      </c>
      <c r="AI185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{"issue":{"subject":"","project_id":79,"tracker_id":40,"status_id":1,"priority_id":2,"assigned_to_id":338,"start_date":"2017-09-08","description":"","custom_fields":[{"id":1,"name":"Subdivision","value":"NW"},{"id":4,"name":"Milepost","value":"0.0698"},{"id":17,"name":"Train ID","value":"826-08"},{"id":16,"name":"Locomotive ID","value":"4029"},{"id":130,"name":"Impact","value":""},{"id":150,"name":"Time of Event (Mountain Time)","value":"15:55:03"},{"id":151,"name":"Denver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6"/>
        <v>start /low /b %USERPROFILE%\Documents\GitHub\eaglep3\Utilities\DownloadLogsFromS3.py --loco 4029 --day 2017-09-08</v>
      </c>
      <c r="AN185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620</v>
      </c>
      <c r="B186" s="7">
        <v>4028</v>
      </c>
      <c r="C186" s="21" t="s">
        <v>197</v>
      </c>
      <c r="D186" s="21" t="s">
        <v>963</v>
      </c>
      <c r="E186" s="13">
        <v>42986.642789351848</v>
      </c>
      <c r="F186" s="13">
        <v>42986.652361111112</v>
      </c>
      <c r="G186" s="7">
        <v>78</v>
      </c>
      <c r="H186" s="21" t="s">
        <v>964</v>
      </c>
      <c r="I186" s="13">
        <v>42986.663159722222</v>
      </c>
      <c r="J186" s="7">
        <v>0</v>
      </c>
      <c r="K186" s="89" t="str">
        <f t="shared" si="40"/>
        <v>4027/4028</v>
      </c>
      <c r="L186" s="214" t="str">
        <f>VLOOKUP(A186,'Trips&amp;Operators'!$C$1:$G$99911,5,FALSE)</f>
        <v>SMITH MICHAEL</v>
      </c>
      <c r="M186" s="6">
        <f t="shared" si="41"/>
        <v>1.0798611110658385E-2</v>
      </c>
      <c r="N186" s="7">
        <f t="shared" si="42"/>
        <v>15.549999999348074</v>
      </c>
      <c r="O186" s="7"/>
      <c r="P186" s="7"/>
      <c r="Q186" s="22"/>
      <c r="R186" s="167"/>
      <c r="S186" s="210">
        <f t="shared" si="43"/>
        <v>1</v>
      </c>
      <c r="T186" s="192" t="str">
        <f t="shared" si="44"/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45"/>
        <v>https://d0f6bd738d7f1b3e5a7ca70fe4ff75f0.us-east-1.aws.found.io/app/kibana#/discover/Steve-Slow-Train-Analysis-(2080s-and-2083s)?_g=(refreshInterval:(display:Off,pause:!f,section:0,value:0),time:(from:'2017-09-08T14:25:37-0600',mode:absolute,to:'2017-09-08T16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194" t="str">
        <f>IF(AA186&lt;VLOOKUP(AG186,Variables!$AC$3:$AD$8,2,FALSE),"Y","N")</f>
        <v>N</v>
      </c>
      <c r="X186" s="194">
        <f t="shared" si="46"/>
        <v>1</v>
      </c>
      <c r="Y186" s="194">
        <f t="shared" si="47"/>
        <v>9.6000000000000002E-2</v>
      </c>
      <c r="Z186" s="194">
        <f t="shared" si="48"/>
        <v>5.8978000000000002</v>
      </c>
      <c r="AA186" s="194">
        <f t="shared" si="49"/>
        <v>5.8018000000000001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50"/>
        <v>827</v>
      </c>
      <c r="AE186" s="77" t="str">
        <f t="shared" si="51"/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AF186" s="74" t="str">
        <f t="shared" si="52"/>
        <v>"C:\Program Files (x86)\AstroGrep\AstroGrep.exe" /e /r /s /spath="%USERPROFILE%\AppData\Local\Temp\OnboardLogs" /stypes="app*4028*20170908*" /stext=" 21:.+((SYSTEM_STATE.+slice.+state.+changed )|(ment ac)|(multiple cpu faults)|(system.+state.+changed )|(\[timeout)|(PRM\|1\|D)|(kpr)|(kdp)|(train st.+moving)|(\|lc)|(penalty))"</v>
      </c>
      <c r="AG186" s="206" t="str">
        <f t="shared" si="53"/>
        <v>NW</v>
      </c>
      <c r="AH186" s="78" t="str">
        <f t="shared" si="54"/>
        <v>"%USERPROFILE%\Documents\GitHub\eaglep3\Utilities\RefineRTDCRunTimes.py" --tripid 827-08 --locoid 4028 --swversion DE.1.0.9.0 --startMP 204:960 --initTime 2017-09-08T15:25:37 --startdatetime 2017-09-08T15:39:24 --delay 78 --endMP 300:58978 --enddatetime 2017-09-08T15:54:57 --enforcementcount 0 &gt;&gt;C:\Users\stu\Documents\GitHub\eaglep3-reporting\EC\2017-09-08-refined-times.txt</v>
      </c>
      <c r="AI186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{"issue":{"subject":"","project_id":79,"tracker_id":40,"status_id":1,"priority_id":2,"assigned_to_id":338,"start_date":"2017-09-08","description":"","custom_fields":[{"id":1,"name":"Subdivision","value":"NW"},{"id":4,"name":"Milepost","value":"5.8978"},{"id":17,"name":"Train ID","value":"827-08"},{"id":16,"name":"Locomotive ID","value":"4028"},{"id":130,"name":"Impact","value":""},{"id":150,"name":"Time of Event (Mountain Time)","value":"15:54:57"},{"id":151,"name":"Denver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6"/>
        <v>start /low /b %USERPROFILE%\Documents\GitHub\eaglep3\Utilities\DownloadLogsFromS3.py --loco 4028 --day 2017-09-08</v>
      </c>
      <c r="AN186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772</v>
      </c>
      <c r="B187" s="7">
        <v>4027</v>
      </c>
      <c r="C187" s="21" t="s">
        <v>197</v>
      </c>
      <c r="D187" s="21" t="s">
        <v>965</v>
      </c>
      <c r="E187" s="13">
        <v>42986.666886574072</v>
      </c>
      <c r="F187" s="13">
        <v>42986.673171296294</v>
      </c>
      <c r="G187" s="7">
        <v>68</v>
      </c>
      <c r="H187" s="21" t="s">
        <v>966</v>
      </c>
      <c r="I187" s="13">
        <v>42986.683958333335</v>
      </c>
      <c r="J187" s="7">
        <v>0</v>
      </c>
      <c r="K187" s="89" t="str">
        <f t="shared" si="40"/>
        <v>4027/4028</v>
      </c>
      <c r="L187" s="214" t="str">
        <f>VLOOKUP(A187,'Trips&amp;Operators'!$C$1:$G$99911,5,FALSE)</f>
        <v>SMITH MICHAEL</v>
      </c>
      <c r="M187" s="6">
        <f t="shared" si="41"/>
        <v>1.078703704115469E-2</v>
      </c>
      <c r="N187" s="7">
        <f t="shared" si="42"/>
        <v>15.533333339262754</v>
      </c>
      <c r="O187" s="7"/>
      <c r="P187" s="7"/>
      <c r="Q187" s="22"/>
      <c r="R187" s="167"/>
      <c r="S187" s="210">
        <f t="shared" si="43"/>
        <v>1</v>
      </c>
      <c r="T187" s="192" t="str">
        <f t="shared" si="44"/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45"/>
        <v>https://d0f6bd738d7f1b3e5a7ca70fe4ff75f0.us-east-1.aws.found.io/app/kibana#/discover/Steve-Slow-Train-Analysis-(2080s-and-2083s)?_g=(refreshInterval:(display:Off,pause:!f,section:0,value:0),time:(from:'2017-09-08T15:00:19-0600',mode:absolute,to:'2017-09-08T17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7" s="194" t="str">
        <f>IF(AA187&lt;VLOOKUP(AG187,Variables!$AC$3:$AD$8,2,FALSE),"Y","N")</f>
        <v>N</v>
      </c>
      <c r="X187" s="194">
        <f t="shared" si="46"/>
        <v>1</v>
      </c>
      <c r="Y187" s="194">
        <f t="shared" si="47"/>
        <v>5.8658000000000001</v>
      </c>
      <c r="Z187" s="194">
        <f t="shared" si="48"/>
        <v>7.3999999999999996E-2</v>
      </c>
      <c r="AA187" s="194">
        <f t="shared" si="49"/>
        <v>5.7918000000000003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50"/>
        <v>828</v>
      </c>
      <c r="AE187" s="77" t="str">
        <f t="shared" si="51"/>
        <v>aws s3 cp s3://rtdc.mdm.uploadarchive.raw/RTDC4027/ "%USERPROFILE%\AppData\Local\Temp\OnboardLogs"\RTDC4027\2017-09-08 --exclude "*" --recursive --include "*20170908*" &amp; "%USERPROFILE%\Documents\GitHub\mrs-test-scripts\Headless Mode &amp; Sideloading\WalkAndUnGZ.bat" "%USERPROFILE%\AppData\Local\Temp\OnboardLogs"\RTDC4027\2017-09-08 &amp; aws s3 cp s3://rtdc.mdm.uploadarchive.raw/RTDC4027/ "%USERPROFILE%\AppData\Local\Temp\OnboardLogs"\RTDC4027\2017-09-09 --exclude "*" --recursive --include "*20170909*" &amp; "%USERPROFILE%\Documents\GitHub\mrs-test-scripts\Headless Mode &amp; Sideloading\WalkAndUnGZ.bat" "%USERPROFILE%\AppData\Local\Temp\OnboardLogs"\RTDC4027\2017-09-09</v>
      </c>
      <c r="AF187" s="74" t="str">
        <f t="shared" si="52"/>
        <v>"C:\Program Files (x86)\AstroGrep\AstroGrep.exe" /e /r /s /spath="%USERPROFILE%\AppData\Local\Temp\OnboardLogs" /stypes="app*4027*20170908*" /stext=" 22:.+((SYSTEM_STATE.+slice.+state.+changed )|(ment ac)|(multiple cpu faults)|(system.+state.+changed )|(\[timeout)|(PRM\|1\|D)|(kpr)|(kdp)|(train st.+moving)|(\|lc)|(penalty))"</v>
      </c>
      <c r="AG187" s="206" t="str">
        <f t="shared" si="53"/>
        <v>NW</v>
      </c>
      <c r="AH187" s="78" t="str">
        <f t="shared" si="54"/>
        <v>"%USERPROFILE%\Documents\GitHub\eaglep3\Utilities\RefineRTDCRunTimes.py" --tripid 828-08 --locoid 4027 --swversion DE.1.0.9.0 --startMP 300:58658 --initTime 2017-09-08T16:00:19 --startdatetime 2017-09-08T16:09:22 --delay 68 --endMP 204:740 --enddatetime 2017-09-08T16:24:54 --enforcementcount 0 &gt;&gt;C:\Users\stu\Documents\GitHub\eaglep3-reporting\EC\2017-09-08-refined-times.txt</v>
      </c>
      <c r="AI187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{"issue":{"subject":"","project_id":79,"tracker_id":40,"status_id":1,"priority_id":2,"assigned_to_id":338,"start_date":"2017-09-08","description":"","custom_fields":[{"id":1,"name":"Subdivision","value":"NW"},{"id":4,"name":"Milepost","value":"0.074"},{"id":17,"name":"Train ID","value":"828-08"},{"id":16,"name":"Locomotive ID","value":"4027"},{"id":130,"name":"Impact","value":""},{"id":150,"name":"Time of Event (Mountain Time)","value":"16:24:54"},{"id":151,"name":"Denver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6"/>
        <v>start /low /b %USERPROFILE%\Documents\GitHub\eaglep3\Utilities\DownloadLogsFromS3.py --loco 4027 --day 2017-09-08</v>
      </c>
      <c r="AN187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623</v>
      </c>
      <c r="B188" s="7">
        <v>4030</v>
      </c>
      <c r="C188" s="21" t="s">
        <v>197</v>
      </c>
      <c r="D188" s="21" t="s">
        <v>967</v>
      </c>
      <c r="E188" s="13">
        <v>42986.668807870374</v>
      </c>
      <c r="F188" s="13">
        <v>42986.673692129632</v>
      </c>
      <c r="G188" s="7">
        <v>53</v>
      </c>
      <c r="H188" s="21" t="s">
        <v>596</v>
      </c>
      <c r="I188" s="13">
        <v>42986.683483796296</v>
      </c>
      <c r="J188" s="7">
        <v>0</v>
      </c>
      <c r="K188" s="89" t="str">
        <f t="shared" si="40"/>
        <v>4029/4030</v>
      </c>
      <c r="L188" s="214" t="str">
        <f>VLOOKUP(A188,'Trips&amp;Operators'!$C$1:$G$99911,5,FALSE)</f>
        <v>BIRKHOLZ NADINE</v>
      </c>
      <c r="M188" s="6">
        <f t="shared" si="41"/>
        <v>9.7916666636592709E-3</v>
      </c>
      <c r="N188" s="7">
        <f t="shared" si="42"/>
        <v>14.09999999566935</v>
      </c>
      <c r="O188" s="7"/>
      <c r="P188" s="7"/>
      <c r="Q188" s="22"/>
      <c r="R188" s="167"/>
      <c r="S188" s="210">
        <f t="shared" si="43"/>
        <v>1</v>
      </c>
      <c r="T188" s="192" t="str">
        <f t="shared" si="44"/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45"/>
        <v>https://d0f6bd738d7f1b3e5a7ca70fe4ff75f0.us-east-1.aws.found.io/app/kibana#/discover/Steve-Slow-Train-Analysis-(2080s-and-2083s)?_g=(refreshInterval:(display:Off,pause:!f,section:0,value:0),time:(from:'2017-09-08T15:03:05-0600',mode:absolute,to:'2017-09-08T17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8" s="194" t="str">
        <f>IF(AA188&lt;VLOOKUP(AG188,Variables!$AC$3:$AD$8,2,FALSE),"Y","N")</f>
        <v>N</v>
      </c>
      <c r="X188" s="194">
        <f t="shared" si="46"/>
        <v>1</v>
      </c>
      <c r="Y188" s="194">
        <f t="shared" si="47"/>
        <v>9.64E-2</v>
      </c>
      <c r="Z188" s="194">
        <f t="shared" si="48"/>
        <v>5.8936999999999999</v>
      </c>
      <c r="AA188" s="194">
        <f t="shared" si="49"/>
        <v>5.7972999999999999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50"/>
        <v>829</v>
      </c>
      <c r="AE188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88" s="74" t="str">
        <f t="shared" si="52"/>
        <v>"C:\Program Files (x86)\AstroGrep\AstroGrep.exe" /e /r /s /spath="%USERPROFILE%\AppData\Local\Temp\OnboardLogs" /stypes="app*4030*20170908*" /stext=" 22:.+((SYSTEM_STATE.+slice.+state.+changed )|(ment ac)|(multiple cpu faults)|(system.+state.+changed )|(\[timeout)|(PRM\|1\|D)|(kpr)|(kdp)|(train st.+moving)|(\|lc)|(penalty))"</v>
      </c>
      <c r="AG188" s="206" t="str">
        <f t="shared" si="53"/>
        <v>NW</v>
      </c>
      <c r="AH188" s="78" t="str">
        <f t="shared" si="54"/>
        <v>"%USERPROFILE%\Documents\GitHub\eaglep3\Utilities\RefineRTDCRunTimes.py" --tripid 829-08 --locoid 4030 --swversion DE.1.0.9.0 --startMP 204:964 --initTime 2017-09-08T16:03:05 --startdatetime 2017-09-08T16:10:07 --delay 53 --endMP 300:58937 --enddatetime 2017-09-08T16:24:13 --enforcementcount 0 &gt;&gt;C:\Users\stu\Documents\GitHub\eaglep3-reporting\EC\2017-09-08-refined-times.txt</v>
      </c>
      <c r="AI188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{"issue":{"subject":"","project_id":79,"tracker_id":40,"status_id":1,"priority_id":2,"assigned_to_id":338,"start_date":"2017-09-08","description":"","custom_fields":[{"id":1,"name":"Subdivision","value":"NW"},{"id":4,"name":"Milepost","value":"5.8937"},{"id":17,"name":"Train ID","value":"829-08"},{"id":16,"name":"Locomotive ID","value":"4030"},{"id":130,"name":"Impact","value":""},{"id":150,"name":"Time of Event (Mountain Time)","value":"16:24:13"},{"id":151,"name":"Denver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6"/>
        <v>start /low /b %USERPROFILE%\Documents\GitHub\eaglep3\Utilities\DownloadLogsFromS3.py --loco 4030 --day 2017-09-08</v>
      </c>
      <c r="AN188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778</v>
      </c>
      <c r="B189" s="7">
        <v>4029</v>
      </c>
      <c r="C189" s="21" t="s">
        <v>197</v>
      </c>
      <c r="D189" s="21" t="s">
        <v>467</v>
      </c>
      <c r="E189" s="13">
        <v>42986.693726851852</v>
      </c>
      <c r="F189" s="13">
        <v>42986.695474537039</v>
      </c>
      <c r="G189" s="7">
        <v>58</v>
      </c>
      <c r="H189" s="21" t="s">
        <v>968</v>
      </c>
      <c r="I189" s="13">
        <v>42986.704918981479</v>
      </c>
      <c r="J189" s="7">
        <v>0</v>
      </c>
      <c r="K189" s="89" t="str">
        <f t="shared" si="40"/>
        <v>4029/4030</v>
      </c>
      <c r="L189" s="214" t="str">
        <f>VLOOKUP(A189,'Trips&amp;Operators'!$C$1:$G$99911,5,FALSE)</f>
        <v>BIRKHOLZ NADINE</v>
      </c>
      <c r="M189" s="6">
        <f t="shared" si="41"/>
        <v>9.444444440305233E-3</v>
      </c>
      <c r="N189" s="7">
        <f t="shared" si="42"/>
        <v>13.599999994039536</v>
      </c>
      <c r="O189" s="7"/>
      <c r="P189" s="7"/>
      <c r="Q189" s="22"/>
      <c r="R189" s="167"/>
      <c r="S189" s="210">
        <f t="shared" si="43"/>
        <v>1</v>
      </c>
      <c r="T189" s="192" t="str">
        <f t="shared" si="44"/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45"/>
        <v>https://d0f6bd738d7f1b3e5a7ca70fe4ff75f0.us-east-1.aws.found.io/app/kibana#/discover/Steve-Slow-Train-Analysis-(2080s-and-2083s)?_g=(refreshInterval:(display:Off,pause:!f,section:0,value:0),time:(from:'2017-09-08T15:38:58-0600',mode:absolute,to:'2017-09-08T17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9" s="194" t="str">
        <f>IF(AA189&lt;VLOOKUP(AG189,Variables!$AC$3:$AD$8,2,FALSE),"Y","N")</f>
        <v>N</v>
      </c>
      <c r="X189" s="194">
        <f t="shared" si="46"/>
        <v>1</v>
      </c>
      <c r="Y189" s="194">
        <f t="shared" si="47"/>
        <v>5.8624000000000001</v>
      </c>
      <c r="Z189" s="194">
        <f t="shared" si="48"/>
        <v>7.17E-2</v>
      </c>
      <c r="AA189" s="194">
        <f t="shared" si="49"/>
        <v>5.7907000000000002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50"/>
        <v>830</v>
      </c>
      <c r="AE189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89" s="74" t="str">
        <f t="shared" si="52"/>
        <v>"C:\Program Files (x86)\AstroGrep\AstroGrep.exe" /e /r /s /spath="%USERPROFILE%\AppData\Local\Temp\OnboardLogs" /stypes="app*4029*20170908*" /stext=" 22:.+((SYSTEM_STATE.+slice.+state.+changed )|(ment ac)|(multiple cpu faults)|(system.+state.+changed )|(\[timeout)|(PRM\|1\|D)|(kpr)|(kdp)|(train st.+moving)|(\|lc)|(penalty))"</v>
      </c>
      <c r="AG189" s="206" t="str">
        <f t="shared" si="53"/>
        <v>NW</v>
      </c>
      <c r="AH189" s="78" t="str">
        <f t="shared" si="54"/>
        <v>"%USERPROFILE%\Documents\GitHub\eaglep3\Utilities\RefineRTDCRunTimes.py" --tripid 830-08 --locoid 4029 --swversion DE.1.0.9.0 --startMP 300:58624 --initTime 2017-09-08T16:38:58 --startdatetime 2017-09-08T16:41:29 --delay 58 --endMP 204:717 --enddatetime 2017-09-08T16:55:05 --enforcementcount 0 &gt;&gt;C:\Users\stu\Documents\GitHub\eaglep3-reporting\EC\2017-09-08-refined-times.txt</v>
      </c>
      <c r="AI189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{"issue":{"subject":"","project_id":79,"tracker_id":40,"status_id":1,"priority_id":2,"assigned_to_id":338,"start_date":"2017-09-08","description":"","custom_fields":[{"id":1,"name":"Subdivision","value":"NW"},{"id":4,"name":"Milepost","value":"0.0717"},{"id":17,"name":"Train ID","value":"830-08"},{"id":16,"name":"Locomotive ID","value":"4029"},{"id":130,"name":"Impact","value":""},{"id":150,"name":"Time of Event (Mountain Time)","value":"16:55:05"},{"id":151,"name":"Denver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56"/>
        <v>start /low /b %USERPROFILE%\Documents\GitHub\eaglep3\Utilities\DownloadLogsFromS3.py --loco 4029 --day 2017-09-08</v>
      </c>
      <c r="AN189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777</v>
      </c>
      <c r="B190" s="7">
        <v>4028</v>
      </c>
      <c r="C190" s="21" t="s">
        <v>197</v>
      </c>
      <c r="D190" s="21" t="s">
        <v>969</v>
      </c>
      <c r="E190" s="13">
        <v>42986.686284722222</v>
      </c>
      <c r="F190" s="13">
        <v>42986.694571759261</v>
      </c>
      <c r="G190" s="7">
        <v>72</v>
      </c>
      <c r="H190" s="21" t="s">
        <v>970</v>
      </c>
      <c r="I190" s="13">
        <v>42986.705138888887</v>
      </c>
      <c r="J190" s="7">
        <v>0</v>
      </c>
      <c r="K190" s="89" t="str">
        <f t="shared" si="40"/>
        <v>4027/4028</v>
      </c>
      <c r="L190" s="214" t="str">
        <f>VLOOKUP(A190,'Trips&amp;Operators'!$C$1:$G$99911,5,FALSE)</f>
        <v>SMITH MICHAEL</v>
      </c>
      <c r="M190" s="6">
        <f t="shared" si="41"/>
        <v>1.056712962599704E-2</v>
      </c>
      <c r="N190" s="7">
        <f t="shared" si="42"/>
        <v>15.216666661435738</v>
      </c>
      <c r="O190" s="7"/>
      <c r="P190" s="7"/>
      <c r="Q190" s="22"/>
      <c r="R190" s="167"/>
      <c r="S190" s="210">
        <f t="shared" si="43"/>
        <v>1</v>
      </c>
      <c r="T190" s="192" t="str">
        <f t="shared" si="44"/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45"/>
        <v>https://d0f6bd738d7f1b3e5a7ca70fe4ff75f0.us-east-1.aws.found.io/app/kibana#/discover/Steve-Slow-Train-Analysis-(2080s-and-2083s)?_g=(refreshInterval:(display:Off,pause:!f,section:0,value:0),time:(from:'2017-09-08T15:28:15-0600',mode:absolute,to:'2017-09-08T17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194" t="str">
        <f>IF(AA190&lt;VLOOKUP(AG190,Variables!$AC$3:$AD$8,2,FALSE),"Y","N")</f>
        <v>N</v>
      </c>
      <c r="X190" s="194">
        <f t="shared" si="46"/>
        <v>1</v>
      </c>
      <c r="Y190" s="194">
        <f t="shared" si="47"/>
        <v>9.9900000000000003E-2</v>
      </c>
      <c r="Z190" s="194">
        <f t="shared" si="48"/>
        <v>5.899</v>
      </c>
      <c r="AA190" s="194">
        <f t="shared" si="49"/>
        <v>5.7991000000000001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50"/>
        <v>831</v>
      </c>
      <c r="AE190" s="77" t="str">
        <f t="shared" si="51"/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AF190" s="74" t="str">
        <f t="shared" si="52"/>
        <v>"C:\Program Files (x86)\AstroGrep\AstroGrep.exe" /e /r /s /spath="%USERPROFILE%\AppData\Local\Temp\OnboardLogs" /stypes="app*4028*20170908*" /stext=" 22:.+((SYSTEM_STATE.+slice.+state.+changed )|(ment ac)|(multiple cpu faults)|(system.+state.+changed )|(\[timeout)|(PRM\|1\|D)|(kpr)|(kdp)|(train st.+moving)|(\|lc)|(penalty))"</v>
      </c>
      <c r="AG190" s="206" t="str">
        <f t="shared" si="53"/>
        <v>NW</v>
      </c>
      <c r="AH190" s="78" t="str">
        <f t="shared" si="54"/>
        <v>"%USERPROFILE%\Documents\GitHub\eaglep3\Utilities\RefineRTDCRunTimes.py" --tripid 831-08 --locoid 4028 --swversion DE.1.0.9.0 --startMP 204:999 --initTime 2017-09-08T16:28:15 --startdatetime 2017-09-08T16:40:11 --delay 72 --endMP 300:58990 --enddatetime 2017-09-08T16:55:24 --enforcementcount 0 &gt;&gt;C:\Users\stu\Documents\GitHub\eaglep3-reporting\EC\2017-09-08-refined-times.txt</v>
      </c>
      <c r="AI190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{"issue":{"subject":"","project_id":79,"tracker_id":40,"status_id":1,"priority_id":2,"assigned_to_id":338,"start_date":"2017-09-08","description":"","custom_fields":[{"id":1,"name":"Subdivision","value":"NW"},{"id":4,"name":"Milepost","value":"5.899"},{"id":17,"name":"Train ID","value":"831-08"},{"id":16,"name":"Locomotive ID","value":"4028"},{"id":130,"name":"Impact","value":""},{"id":150,"name":"Time of Event (Mountain Time)","value":"16:55:24"},{"id":151,"name":"Denver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6"/>
        <v>start /low /b %USERPROFILE%\Documents\GitHub\eaglep3\Utilities\DownloadLogsFromS3.py --loco 4028 --day 2017-09-08</v>
      </c>
      <c r="AN190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627</v>
      </c>
      <c r="B191" s="7">
        <v>4027</v>
      </c>
      <c r="C191" s="21" t="s">
        <v>197</v>
      </c>
      <c r="D191" s="21" t="s">
        <v>971</v>
      </c>
      <c r="E191" s="13">
        <v>42986.707141203704</v>
      </c>
      <c r="F191" s="13">
        <v>42986.715486111112</v>
      </c>
      <c r="G191" s="7">
        <v>75</v>
      </c>
      <c r="H191" s="21" t="s">
        <v>972</v>
      </c>
      <c r="I191" s="13">
        <v>42986.725671296299</v>
      </c>
      <c r="J191" s="7">
        <v>0</v>
      </c>
      <c r="K191" s="89" t="str">
        <f t="shared" si="40"/>
        <v>4027/4028</v>
      </c>
      <c r="L191" s="214" t="str">
        <f>VLOOKUP(A191,'Trips&amp;Operators'!$C$1:$G$99911,5,FALSE)</f>
        <v>SMITH MICHAEL</v>
      </c>
      <c r="M191" s="6">
        <f t="shared" si="41"/>
        <v>1.0185185186855961E-2</v>
      </c>
      <c r="N191" s="7">
        <f t="shared" si="42"/>
        <v>14.666666669072583</v>
      </c>
      <c r="O191" s="7"/>
      <c r="P191" s="7"/>
      <c r="Q191" s="22"/>
      <c r="R191" s="167"/>
      <c r="S191" s="210">
        <f t="shared" si="43"/>
        <v>1</v>
      </c>
      <c r="T191" s="192" t="str">
        <f t="shared" si="44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45"/>
        <v>https://d0f6bd738d7f1b3e5a7ca70fe4ff75f0.us-east-1.aws.found.io/app/kibana#/discover/Steve-Slow-Train-Analysis-(2080s-and-2083s)?_g=(refreshInterval:(display:Off,pause:!f,section:0,value:0),time:(from:'2017-09-08T15:58:17-0600',mode:absolute,to:'2017-09-08T18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1" s="194" t="str">
        <f>IF(AA191&lt;VLOOKUP(AG191,Variables!$AC$3:$AD$8,2,FALSE),"Y","N")</f>
        <v>N</v>
      </c>
      <c r="X191" s="194">
        <f t="shared" si="46"/>
        <v>1</v>
      </c>
      <c r="Y191" s="194">
        <f t="shared" si="47"/>
        <v>5.8677000000000001</v>
      </c>
      <c r="Z191" s="194">
        <f t="shared" si="48"/>
        <v>6.2399999999999997E-2</v>
      </c>
      <c r="AA191" s="194">
        <f t="shared" si="49"/>
        <v>5.8052999999999999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50"/>
        <v>832</v>
      </c>
      <c r="AE191" s="77" t="str">
        <f t="shared" si="51"/>
        <v>aws s3 cp s3://rtdc.mdm.uploadarchive.raw/RTDC4027/ "%USERPROFILE%\AppData\Local\Temp\OnboardLogs"\RTDC4027\2017-09-08 --exclude "*" --recursive --include "*20170908*" &amp; "%USERPROFILE%\Documents\GitHub\mrs-test-scripts\Headless Mode &amp; Sideloading\WalkAndUnGZ.bat" "%USERPROFILE%\AppData\Local\Temp\OnboardLogs"\RTDC4027\2017-09-08 &amp; aws s3 cp s3://rtdc.mdm.uploadarchive.raw/RTDC4027/ "%USERPROFILE%\AppData\Local\Temp\OnboardLogs"\RTDC4027\2017-09-09 --exclude "*" --recursive --include "*20170909*" &amp; "%USERPROFILE%\Documents\GitHub\mrs-test-scripts\Headless Mode &amp; Sideloading\WalkAndUnGZ.bat" "%USERPROFILE%\AppData\Local\Temp\OnboardLogs"\RTDC4027\2017-09-09</v>
      </c>
      <c r="AF191" s="74" t="str">
        <f t="shared" si="52"/>
        <v>"C:\Program Files (x86)\AstroGrep\AstroGrep.exe" /e /r /s /spath="%USERPROFILE%\AppData\Local\Temp\OnboardLogs" /stypes="app*4027*20170908*" /stext=" 23:.+((SYSTEM_STATE.+slice.+state.+changed )|(ment ac)|(multiple cpu faults)|(system.+state.+changed )|(\[timeout)|(PRM\|1\|D)|(kpr)|(kdp)|(train st.+moving)|(\|lc)|(penalty))"</v>
      </c>
      <c r="AG191" s="206" t="str">
        <f t="shared" si="53"/>
        <v>NW</v>
      </c>
      <c r="AH191" s="78" t="str">
        <f t="shared" si="54"/>
        <v>"%USERPROFILE%\Documents\GitHub\eaglep3\Utilities\RefineRTDCRunTimes.py" --tripid 832-08 --locoid 4027 --swversion DE.1.0.9.0 --startMP 300:58677 --initTime 2017-09-08T16:58:17 --startdatetime 2017-09-08T17:10:18 --delay 75 --endMP 204:624 --enddatetime 2017-09-08T17:24:58 --enforcementcount 0 &gt;&gt;C:\Users\stu\Documents\GitHub\eaglep3-reporting\EC\2017-09-08-refined-times.txt</v>
      </c>
      <c r="AI191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{"issue":{"subject":"","project_id":79,"tracker_id":40,"status_id":1,"priority_id":2,"assigned_to_id":338,"start_date":"2017-09-08","description":"","custom_fields":[{"id":1,"name":"Subdivision","value":"NW"},{"id":4,"name":"Milepost","value":"0.0624"},{"id":17,"name":"Train ID","value":"832-08"},{"id":16,"name":"Locomotive ID","value":"4027"},{"id":130,"name":"Impact","value":""},{"id":150,"name":"Time of Event (Mountain Time)","value":"17:24:58"},{"id":151,"name":"Denver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6"/>
        <v>start /low /b %USERPROFILE%\Documents\GitHub\eaglep3\Utilities\DownloadLogsFromS3.py --loco 4027 --day 2017-09-08</v>
      </c>
      <c r="AN191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782</v>
      </c>
      <c r="B192" s="7">
        <v>4030</v>
      </c>
      <c r="C192" s="21" t="s">
        <v>197</v>
      </c>
      <c r="D192" s="21" t="s">
        <v>973</v>
      </c>
      <c r="E192" s="13">
        <v>42986.706365740742</v>
      </c>
      <c r="F192" s="13">
        <v>42986.714803240742</v>
      </c>
      <c r="G192" s="7">
        <v>54</v>
      </c>
      <c r="H192" s="21" t="s">
        <v>973</v>
      </c>
      <c r="I192" s="13">
        <v>42986.71597222222</v>
      </c>
      <c r="J192" s="7">
        <v>0</v>
      </c>
      <c r="K192" s="89" t="str">
        <f t="shared" si="40"/>
        <v>4029/4030</v>
      </c>
      <c r="L192" s="214" t="str">
        <f>VLOOKUP(A192,'Trips&amp;Operators'!$C$1:$G$99911,5,FALSE)</f>
        <v>BIRKHOLZ NADINE</v>
      </c>
      <c r="M192" s="6">
        <f t="shared" si="41"/>
        <v>1.1689814782585017E-3</v>
      </c>
      <c r="N192" s="7"/>
      <c r="O192" s="7"/>
      <c r="P192" s="7">
        <f t="shared" si="42"/>
        <v>1.6833333286922425</v>
      </c>
      <c r="Q192" s="22"/>
      <c r="R192" s="167" t="s">
        <v>1013</v>
      </c>
      <c r="S192" s="210">
        <f t="shared" si="43"/>
        <v>0</v>
      </c>
      <c r="T192" s="192" t="str">
        <f t="shared" si="44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193" t="str">
        <f t="shared" si="45"/>
        <v>https://d0f6bd738d7f1b3e5a7ca70fe4ff75f0.us-east-1.aws.found.io/app/kibana#/discover/Steve-Slow-Train-Analysis-(2080s-and-2083s)?_g=(refreshInterval:(display:Off,pause:!f,section:0,value:0),time:(from:'2017-09-08T15:57:10-0600',mode:absolute,to:'2017-09-08T18:11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2" s="194" t="str">
        <f>IF(AA192&lt;VLOOKUP(AG192,Variables!$AC$3:$AD$8,2,FALSE),"Y","N")</f>
        <v>Y</v>
      </c>
      <c r="X192" s="194">
        <f t="shared" si="46"/>
        <v>1</v>
      </c>
      <c r="Y192" s="194">
        <f t="shared" si="47"/>
        <v>9.8799999999999999E-2</v>
      </c>
      <c r="Z192" s="194">
        <f t="shared" si="48"/>
        <v>9.8799999999999999E-2</v>
      </c>
      <c r="AA192" s="194">
        <f t="shared" si="49"/>
        <v>0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50"/>
        <v>833</v>
      </c>
      <c r="AE192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92" s="74" t="str">
        <f t="shared" si="52"/>
        <v>"C:\Program Files (x86)\AstroGrep\AstroGrep.exe" /e /r /s /spath="%USERPROFILE%\AppData\Local\Temp\OnboardLogs" /stypes="app*4030*20170908*" /stext=" 23:.+((SYSTEM_STATE.+slice.+state.+changed )|(ment ac)|(multiple cpu faults)|(system.+state.+changed )|(\[timeout)|(PRM\|1\|D)|(kpr)|(kdp)|(train st.+moving)|(\|lc)|(penalty))"</v>
      </c>
      <c r="AG192" s="206" t="str">
        <f t="shared" si="53"/>
        <v>NW</v>
      </c>
      <c r="AH192" s="78" t="str">
        <f t="shared" si="54"/>
        <v>"%USERPROFILE%\Documents\GitHub\eaglep3\Utilities\RefineRTDCRunTimes.py" --tripid 833-08 --locoid 4030 --swversion DE.1.0.9.0 --startMP 204:988 --initTime 2017-09-08T16:57:10 --startdatetime 2017-09-08T17:09:19 --delay 54 --endMP 204:988 --enddatetime 2017-09-08T17:11:00 --enforcementcount 0 &gt;&gt;C:\Users\stu\Documents\GitHub\eaglep3-reporting\EC\2017-09-08-refined-times.txt</v>
      </c>
      <c r="AI192" s="96" t="str">
        <f t="shared" si="55"/>
        <v>echo {"issue":{"subject":"Onboard in-route failure","project_id":79,"tracker_id":40,"status_id":1,"priority_id":2,"assigned_to_id":338,"start_date":"2017-09-08","description":"","custom_fields":[{"id":1,"name":"Subdivision","value":"NW"},{"id":4,"name":"Milepost","value":"0.0988"},{"id":17,"name":"Train ID","value":"833-08"},{"id":16,"name":"Locomotive ID","value":"4030"},{"id":130,"name":"Impact","value":""},{"id":150,"name":"Time of Event (Mountain Time)","value":"17:11:00"},{"id":151,"name":"Denver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6"/>
        <v>start /low /b %USERPROFILE%\Documents\GitHub\eaglep3\Utilities\DownloadLogsFromS3.py --loco 4030 --day 2017-09-08</v>
      </c>
      <c r="AN192" s="151" t="str">
        <f t="shared" si="57"/>
        <v>echo {"issue":{"subject":"Onboard in-route failure","project_id":30,"tracker_id":4,"status_id":1,"priority_id":1,"assigned_to_id":10,"start_date":"2017-09-08","description":"","custom_fields":[{"id":30,"name":"Category","value":"Issue"},{"id":3,"name":"Functional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23:11:00"},{"id":29,"name":"Sharepoint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791</v>
      </c>
      <c r="B193" s="7">
        <v>4029</v>
      </c>
      <c r="C193" s="21" t="s">
        <v>197</v>
      </c>
      <c r="D193" s="21" t="s">
        <v>591</v>
      </c>
      <c r="E193" s="13">
        <v>42986.732476851852</v>
      </c>
      <c r="F193" s="13">
        <v>42986.736307870371</v>
      </c>
      <c r="G193" s="7">
        <v>65</v>
      </c>
      <c r="H193" s="21" t="s">
        <v>974</v>
      </c>
      <c r="I193" s="13">
        <v>42986.746967592589</v>
      </c>
      <c r="J193" s="7">
        <v>0</v>
      </c>
      <c r="K193" s="89" t="str">
        <f t="shared" si="40"/>
        <v>4029/4030</v>
      </c>
      <c r="L193" s="214" t="str">
        <f>VLOOKUP(A193,'Trips&amp;Operators'!$C$1:$G$99911,5,FALSE)</f>
        <v>BIRKHOLZ NADINE</v>
      </c>
      <c r="M193" s="6">
        <f t="shared" si="41"/>
        <v>1.0659722218406387E-2</v>
      </c>
      <c r="N193" s="7">
        <f t="shared" si="42"/>
        <v>15.349999994505197</v>
      </c>
      <c r="O193" s="7"/>
      <c r="P193" s="7"/>
      <c r="Q193" s="22"/>
      <c r="R193" s="167"/>
      <c r="S193" s="210">
        <f t="shared" si="43"/>
        <v>1</v>
      </c>
      <c r="T193" s="192" t="str">
        <f t="shared" si="44"/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45"/>
        <v>https://d0f6bd738d7f1b3e5a7ca70fe4ff75f0.us-east-1.aws.found.io/app/kibana#/discover/Steve-Slow-Train-Analysis-(2080s-and-2083s)?_g=(refreshInterval:(display:Off,pause:!f,section:0,value:0),time:(from:'2017-09-08T16:34:46-0600',mode:absolute,to:'2017-09-08T18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3" s="194" t="str">
        <f>IF(AA193&lt;VLOOKUP(AG193,Variables!$AC$3:$AD$8,2,FALSE),"Y","N")</f>
        <v>N</v>
      </c>
      <c r="X193" s="194">
        <f t="shared" si="46"/>
        <v>1</v>
      </c>
      <c r="Y193" s="194">
        <f t="shared" si="47"/>
        <v>5.8613</v>
      </c>
      <c r="Z193" s="194">
        <f t="shared" si="48"/>
        <v>6.6100000000000006E-2</v>
      </c>
      <c r="AA193" s="194">
        <f t="shared" si="49"/>
        <v>5.7952000000000004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50"/>
        <v>834</v>
      </c>
      <c r="AE193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93" s="74" t="str">
        <f t="shared" si="52"/>
        <v>"C:\Program Files (x86)\AstroGrep\AstroGrep.exe" /e /r /s /spath="%USERPROFILE%\AppData\Local\Temp\OnboardLogs" /stypes="app*4029*20170908*" /stext=" 23:.+((SYSTEM_STATE.+slice.+state.+changed )|(ment ac)|(multiple cpu faults)|(system.+state.+changed )|(\[timeout)|(PRM\|1\|D)|(kpr)|(kdp)|(train st.+moving)|(\|lc)|(penalty))"</v>
      </c>
      <c r="AG193" s="206" t="str">
        <f t="shared" si="53"/>
        <v>NW</v>
      </c>
      <c r="AH193" s="78" t="str">
        <f t="shared" si="54"/>
        <v>"%USERPROFILE%\Documents\GitHub\eaglep3\Utilities\RefineRTDCRunTimes.py" --tripid 834-08 --locoid 4029 --swversion DE.1.0.9.0 --startMP 300:58613 --initTime 2017-09-08T17:34:46 --startdatetime 2017-09-08T17:40:17 --delay 65 --endMP 204:661 --enddatetime 2017-09-08T17:55:38 --enforcementcount 0 &gt;&gt;C:\Users\stu\Documents\GitHub\eaglep3-reporting\EC\2017-09-08-refined-times.txt</v>
      </c>
      <c r="AI193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{"issue":{"subject":"","project_id":79,"tracker_id":40,"status_id":1,"priority_id":2,"assigned_to_id":338,"start_date":"2017-09-08","description":"","custom_fields":[{"id":1,"name":"Subdivision","value":"NW"},{"id":4,"name":"Milepost","value":"0.0661"},{"id":17,"name":"Train ID","value":"834-08"},{"id":16,"name":"Locomotive ID","value":"4029"},{"id":130,"name":"Impact","value":""},{"id":150,"name":"Time of Event (Mountain Time)","value":"17:55:38"},{"id":151,"name":"Denver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56"/>
        <v>start /low /b %USERPROFILE%\Documents\GitHub\eaglep3\Utilities\DownloadLogsFromS3.py --loco 4029 --day 2017-09-08</v>
      </c>
      <c r="AN193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786</v>
      </c>
      <c r="B194" s="7">
        <v>4028</v>
      </c>
      <c r="C194" s="21" t="s">
        <v>197</v>
      </c>
      <c r="D194" s="21" t="s">
        <v>975</v>
      </c>
      <c r="E194" s="13">
        <v>42986.728564814817</v>
      </c>
      <c r="F194" s="13">
        <v>42986.735671296294</v>
      </c>
      <c r="G194" s="7">
        <v>71</v>
      </c>
      <c r="H194" s="21" t="s">
        <v>976</v>
      </c>
      <c r="I194" s="13">
        <v>42986.746203703704</v>
      </c>
      <c r="J194" s="7">
        <v>0</v>
      </c>
      <c r="K194" s="89" t="str">
        <f t="shared" si="40"/>
        <v>4027/4028</v>
      </c>
      <c r="L194" s="214" t="str">
        <f>VLOOKUP(A194,'Trips&amp;Operators'!$C$1:$G$99911,5,FALSE)</f>
        <v>SMITH MICHAEL</v>
      </c>
      <c r="M194" s="6">
        <f t="shared" si="41"/>
        <v>1.0532407410209998E-2</v>
      </c>
      <c r="N194" s="7">
        <f t="shared" si="42"/>
        <v>15.166666670702398</v>
      </c>
      <c r="O194" s="7"/>
      <c r="P194" s="7"/>
      <c r="Q194" s="22"/>
      <c r="R194" s="167"/>
      <c r="S194" s="210">
        <f t="shared" si="43"/>
        <v>1</v>
      </c>
      <c r="T194" s="192" t="str">
        <f t="shared" si="44"/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45"/>
        <v>https://d0f6bd738d7f1b3e5a7ca70fe4ff75f0.us-east-1.aws.found.io/app/kibana#/discover/Steve-Slow-Train-Analysis-(2080s-and-2083s)?_g=(refreshInterval:(display:Off,pause:!f,section:0,value:0),time:(from:'2017-09-08T16:29:08-0600',mode:absolute,to:'2017-09-08T18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4" s="194" t="str">
        <f>IF(AA194&lt;VLOOKUP(AG194,Variables!$AC$3:$AD$8,2,FALSE),"Y","N")</f>
        <v>N</v>
      </c>
      <c r="X194" s="194">
        <f t="shared" si="46"/>
        <v>1</v>
      </c>
      <c r="Y194" s="194">
        <f t="shared" si="47"/>
        <v>9.2200000000000004E-2</v>
      </c>
      <c r="Z194" s="194">
        <f t="shared" si="48"/>
        <v>5.8983999999999996</v>
      </c>
      <c r="AA194" s="194">
        <f t="shared" si="49"/>
        <v>5.8061999999999996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50"/>
        <v>835</v>
      </c>
      <c r="AE194" s="77" t="str">
        <f t="shared" si="51"/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AF194" s="74" t="str">
        <f t="shared" si="52"/>
        <v>"C:\Program Files (x86)\AstroGrep\AstroGrep.exe" /e /r /s /spath="%USERPROFILE%\AppData\Local\Temp\OnboardLogs" /stypes="app*4028*20170908*" /stext=" 23:.+((SYSTEM_STATE.+slice.+state.+changed )|(ment ac)|(multiple cpu faults)|(system.+state.+changed )|(\[timeout)|(PRM\|1\|D)|(kpr)|(kdp)|(train st.+moving)|(\|lc)|(penalty))"</v>
      </c>
      <c r="AG194" s="206" t="str">
        <f t="shared" si="53"/>
        <v>NW</v>
      </c>
      <c r="AH194" s="78" t="str">
        <f t="shared" si="54"/>
        <v>"%USERPROFILE%\Documents\GitHub\eaglep3\Utilities\RefineRTDCRunTimes.py" --tripid 835-08 --locoid 4028 --swversion DE.1.0.9.0 --startMP 204:922 --initTime 2017-09-08T17:29:08 --startdatetime 2017-09-08T17:39:22 --delay 71 --endMP 300:58984 --enddatetime 2017-09-08T17:54:32 --enforcementcount 0 &gt;&gt;C:\Users\stu\Documents\GitHub\eaglep3-reporting\EC\2017-09-08-refined-times.txt</v>
      </c>
      <c r="AI194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{"issue":{"subject":"","project_id":79,"tracker_id":40,"status_id":1,"priority_id":2,"assigned_to_id":338,"start_date":"2017-09-08","description":"","custom_fields":[{"id":1,"name":"Subdivision","value":"NW"},{"id":4,"name":"Milepost","value":"5.8984"},{"id":17,"name":"Train ID","value":"835-08"},{"id":16,"name":"Locomotive ID","value":"4028"},{"id":130,"name":"Impact","value":""},{"id":150,"name":"Time of Event (Mountain Time)","value":"17:54:32"},{"id":151,"name":"Denver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56"/>
        <v>start /low /b %USERPROFILE%\Documents\GitHub\eaglep3\Utilities\DownloadLogsFromS3.py --loco 4028 --day 2017-09-08</v>
      </c>
      <c r="AN194" s="151" t="str">
        <f t="shared" si="57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797</v>
      </c>
      <c r="B195" s="7">
        <v>4027</v>
      </c>
      <c r="C195" s="21" t="s">
        <v>197</v>
      </c>
      <c r="D195" s="21" t="s">
        <v>959</v>
      </c>
      <c r="E195" s="13">
        <v>42986.747407407405</v>
      </c>
      <c r="F195" s="13">
        <v>42986.757071759261</v>
      </c>
      <c r="G195" s="7">
        <v>69</v>
      </c>
      <c r="H195" s="21" t="s">
        <v>977</v>
      </c>
      <c r="I195" s="13">
        <v>42986.767500000002</v>
      </c>
      <c r="J195" s="7">
        <v>0</v>
      </c>
      <c r="K195" s="89" t="str">
        <f t="shared" si="40"/>
        <v>4027/4028</v>
      </c>
      <c r="L195" s="214" t="str">
        <f>VLOOKUP(A195,'Trips&amp;Operators'!$C$1:$G$99911,5,FALSE)</f>
        <v>SMITH MICHAEL</v>
      </c>
      <c r="M195" s="6">
        <f t="shared" si="41"/>
        <v>1.0428240741021E-2</v>
      </c>
      <c r="N195" s="7">
        <f t="shared" si="42"/>
        <v>15.01666666707024</v>
      </c>
      <c r="O195" s="7"/>
      <c r="P195" s="7"/>
      <c r="Q195" s="22"/>
      <c r="R195" s="167"/>
      <c r="S195" s="210">
        <f t="shared" si="43"/>
        <v>1</v>
      </c>
      <c r="T195" s="192" t="str">
        <f t="shared" si="44"/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45"/>
        <v>https://d0f6bd738d7f1b3e5a7ca70fe4ff75f0.us-east-1.aws.found.io/app/kibana#/discover/Steve-Slow-Train-Analysis-(2080s-and-2083s)?_g=(refreshInterval:(display:Off,pause:!f,section:0,value:0),time:(from:'2017-09-08T16:56:16-0600',mode:absolute,to:'2017-09-08T19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5" s="194" t="str">
        <f>IF(AA195&lt;VLOOKUP(AG195,Variables!$AC$3:$AD$8,2,FALSE),"Y","N")</f>
        <v>N</v>
      </c>
      <c r="X195" s="194">
        <f t="shared" si="46"/>
        <v>1</v>
      </c>
      <c r="Y195" s="194">
        <f t="shared" si="47"/>
        <v>5.8655999999999997</v>
      </c>
      <c r="Z195" s="194">
        <f t="shared" si="48"/>
        <v>6.4699999999999994E-2</v>
      </c>
      <c r="AA195" s="194">
        <f t="shared" si="49"/>
        <v>5.8008999999999995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50"/>
        <v>836</v>
      </c>
      <c r="AE195" s="77" t="str">
        <f t="shared" si="51"/>
        <v>aws s3 cp s3://rtdc.mdm.uploadarchive.raw/RTDC4027/ "%USERPROFILE%\AppData\Local\Temp\OnboardLogs"\RTDC4027\2017-09-08 --exclude "*" --recursive --include "*20170908*" &amp; "%USERPROFILE%\Documents\GitHub\mrs-test-scripts\Headless Mode &amp; Sideloading\WalkAndUnGZ.bat" "%USERPROFILE%\AppData\Local\Temp\OnboardLogs"\RTDC4027\2017-09-08 &amp; aws s3 cp s3://rtdc.mdm.uploadarchive.raw/RTDC4027/ "%USERPROFILE%\AppData\Local\Temp\OnboardLogs"\RTDC4027\2017-09-09 --exclude "*" --recursive --include "*20170909*" &amp; "%USERPROFILE%\Documents\GitHub\mrs-test-scripts\Headless Mode &amp; Sideloading\WalkAndUnGZ.bat" "%USERPROFILE%\AppData\Local\Temp\OnboardLogs"\RTDC4027\2017-09-09</v>
      </c>
      <c r="AF195" s="74" t="str">
        <f t="shared" si="52"/>
        <v>"C:\Program Files (x86)\AstroGrep\AstroGrep.exe" /e /r /s /spath="%USERPROFILE%\AppData\Local\Temp\OnboardLogs" /stypes="app*4027*20170909*" /stext=" 00:.+((SYSTEM_STATE.+slice.+state.+changed )|(ment ac)|(multiple cpu faults)|(system.+state.+changed )|(\[timeout)|(PRM\|1\|D)|(kpr)|(kdp)|(train st.+moving)|(\|lc)|(penalty))"</v>
      </c>
      <c r="AG195" s="206" t="str">
        <f t="shared" si="53"/>
        <v>NW</v>
      </c>
      <c r="AH195" s="78" t="str">
        <f t="shared" si="54"/>
        <v>"%USERPROFILE%\Documents\GitHub\eaglep3\Utilities\RefineRTDCRunTimes.py" --tripid 836-08 --locoid 4027 --swversion DE.1.0.9.0 --startMP 300:58656 --initTime 2017-09-08T17:56:16 --startdatetime 2017-09-08T18:10:11 --delay 69 --endMP 204:647 --enddatetime 2017-09-08T18:25:12 --enforcementcount 0 &gt;&gt;C:\Users\stu\Documents\GitHub\eaglep3-reporting\EC\2017-09-08-refined-times.txt</v>
      </c>
      <c r="AI195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{"issue":{"subject":"","project_id":79,"tracker_id":40,"status_id":1,"priority_id":2,"assigned_to_id":338,"start_date":"2017-09-08","description":"","custom_fields":[{"id":1,"name":"Subdivision","value":"NW"},{"id":4,"name":"Milepost","value":"0.0647"},{"id":17,"name":"Train ID","value":"836-08"},{"id":16,"name":"Locomotive ID","value":"4027"},{"id":130,"name":"Impact","value":""},{"id":150,"name":"Time of Event (Mountain Time)","value":"18:25:12"},{"id":151,"name":"Denver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56"/>
        <v>start /low /b %USERPROFILE%\Documents\GitHub\eaglep3\Utilities\DownloadLogsFromS3.py --loco 4027 --day 2017-09-08</v>
      </c>
      <c r="AN195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798</v>
      </c>
      <c r="B196" s="7">
        <v>4030</v>
      </c>
      <c r="C196" s="21" t="s">
        <v>197</v>
      </c>
      <c r="D196" s="21" t="s">
        <v>586</v>
      </c>
      <c r="E196" s="13">
        <v>42986.757453703707</v>
      </c>
      <c r="F196" s="13">
        <v>42986.759201388886</v>
      </c>
      <c r="G196" s="7">
        <v>52</v>
      </c>
      <c r="H196" s="21" t="s">
        <v>960</v>
      </c>
      <c r="I196" s="13">
        <v>42986.76866898148</v>
      </c>
      <c r="J196" s="7">
        <v>0</v>
      </c>
      <c r="K196" s="89" t="str">
        <f t="shared" si="40"/>
        <v>4029/4030</v>
      </c>
      <c r="L196" s="214" t="str">
        <f>VLOOKUP(A196,'Trips&amp;Operators'!$C$1:$G$99911,5,FALSE)</f>
        <v>BIRKHOLZ NADINE</v>
      </c>
      <c r="M196" s="6">
        <f t="shared" si="41"/>
        <v>9.4675925938645378E-3</v>
      </c>
      <c r="N196" s="7">
        <f t="shared" si="42"/>
        <v>13.633333335164934</v>
      </c>
      <c r="O196" s="7"/>
      <c r="P196" s="7"/>
      <c r="Q196" s="22"/>
      <c r="R196" s="167"/>
      <c r="S196" s="210">
        <f t="shared" si="43"/>
        <v>1</v>
      </c>
      <c r="T196" s="192" t="str">
        <f t="shared" si="44"/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45"/>
        <v>https://d0f6bd738d7f1b3e5a7ca70fe4ff75f0.us-east-1.aws.found.io/app/kibana#/discover/Steve-Slow-Train-Analysis-(2080s-and-2083s)?_g=(refreshInterval:(display:Off,pause:!f,section:0,value:0),time:(from:'2017-09-08T17:10:44-0600',mode:absolute,to:'2017-09-08T19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6" s="194" t="str">
        <f>IF(AA196&lt;VLOOKUP(AG196,Variables!$AC$3:$AD$8,2,FALSE),"Y","N")</f>
        <v>N</v>
      </c>
      <c r="X196" s="194">
        <f t="shared" si="46"/>
        <v>1</v>
      </c>
      <c r="Y196" s="194">
        <f t="shared" si="47"/>
        <v>9.6199999999999994E-2</v>
      </c>
      <c r="Z196" s="194">
        <f t="shared" si="48"/>
        <v>5.8940999999999999</v>
      </c>
      <c r="AA196" s="194">
        <f t="shared" si="49"/>
        <v>5.7979000000000003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50"/>
        <v>837</v>
      </c>
      <c r="AE196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196" s="74" t="str">
        <f t="shared" si="52"/>
        <v>"C:\Program Files (x86)\AstroGrep\AstroGrep.exe" /e /r /s /spath="%USERPROFILE%\AppData\Local\Temp\OnboardLogs" /stypes="app*4030*20170909*" /stext=" 00:.+((SYSTEM_STATE.+slice.+state.+changed )|(ment ac)|(multiple cpu faults)|(system.+state.+changed )|(\[timeout)|(PRM\|1\|D)|(kpr)|(kdp)|(train st.+moving)|(\|lc)|(penalty))"</v>
      </c>
      <c r="AG196" s="206" t="str">
        <f t="shared" si="53"/>
        <v>NW</v>
      </c>
      <c r="AH196" s="78" t="str">
        <f t="shared" si="54"/>
        <v>"%USERPROFILE%\Documents\GitHub\eaglep3\Utilities\RefineRTDCRunTimes.py" --tripid 837-08 --locoid 4030 --swversion DE.1.0.9.0 --startMP 204:962 --initTime 2017-09-08T18:10:44 --startdatetime 2017-09-08T18:13:15 --delay 52 --endMP 300:58941 --enddatetime 2017-09-08T18:26:53 --enforcementcount 0 &gt;&gt;C:\Users\stu\Documents\GitHub\eaglep3-reporting\EC\2017-09-08-refined-times.txt</v>
      </c>
      <c r="AI196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{"issue":{"subject":"","project_id":79,"tracker_id":40,"status_id":1,"priority_id":2,"assigned_to_id":338,"start_date":"2017-09-08","description":"","custom_fields":[{"id":1,"name":"Subdivision","value":"NW"},{"id":4,"name":"Milepost","value":"5.8941"},{"id":17,"name":"Train ID","value":"837-08"},{"id":16,"name":"Locomotive ID","value":"4030"},{"id":130,"name":"Impact","value":""},{"id":150,"name":"Time of Event (Mountain Time)","value":"18:26:53"},{"id":151,"name":"Denver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6"/>
        <v>start /low /b %USERPROFILE%\Documents\GitHub\eaglep3\Utilities\DownloadLogsFromS3.py --loco 4030 --day 2017-09-08</v>
      </c>
      <c r="AN196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804</v>
      </c>
      <c r="B197" s="7">
        <v>4029</v>
      </c>
      <c r="C197" s="21" t="s">
        <v>197</v>
      </c>
      <c r="D197" s="21" t="s">
        <v>591</v>
      </c>
      <c r="E197" s="13">
        <v>42986.775891203702</v>
      </c>
      <c r="F197" s="13">
        <v>42986.777754629627</v>
      </c>
      <c r="G197" s="7">
        <v>55</v>
      </c>
      <c r="H197" s="21" t="s">
        <v>978</v>
      </c>
      <c r="I197" s="13">
        <v>42986.788391203707</v>
      </c>
      <c r="J197" s="7">
        <v>0</v>
      </c>
      <c r="K197" s="89" t="str">
        <f t="shared" si="40"/>
        <v>4029/4030</v>
      </c>
      <c r="L197" s="214" t="str">
        <f>VLOOKUP(A197,'Trips&amp;Operators'!$C$1:$G$99911,5,FALSE)</f>
        <v>BIRKHOLZ NADINE</v>
      </c>
      <c r="M197" s="6">
        <f t="shared" si="41"/>
        <v>1.0636574079398997E-2</v>
      </c>
      <c r="N197" s="7">
        <f t="shared" si="42"/>
        <v>15.316666674334556</v>
      </c>
      <c r="O197" s="7"/>
      <c r="P197" s="7"/>
      <c r="Q197" s="22"/>
      <c r="R197" s="167"/>
      <c r="S197" s="210">
        <f t="shared" si="43"/>
        <v>1</v>
      </c>
      <c r="T197" s="192" t="str">
        <f t="shared" si="44"/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45"/>
        <v>https://d0f6bd738d7f1b3e5a7ca70fe4ff75f0.us-east-1.aws.found.io/app/kibana#/discover/Steve-Slow-Train-Analysis-(2080s-and-2083s)?_g=(refreshInterval:(display:Off,pause:!f,section:0,value:0),time:(from:'2017-09-08T17:37:17-0600',mode:absolute,to:'2017-09-08T19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7" s="194" t="str">
        <f>IF(AA197&lt;VLOOKUP(AG197,Variables!$AC$3:$AD$8,2,FALSE),"Y","N")</f>
        <v>N</v>
      </c>
      <c r="X197" s="194">
        <f t="shared" si="46"/>
        <v>1</v>
      </c>
      <c r="Y197" s="194">
        <f t="shared" si="47"/>
        <v>5.8613</v>
      </c>
      <c r="Z197" s="194">
        <f t="shared" si="48"/>
        <v>6.8000000000000005E-2</v>
      </c>
      <c r="AA197" s="194">
        <f t="shared" si="49"/>
        <v>5.7933000000000003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50"/>
        <v>838</v>
      </c>
      <c r="AE197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97" s="74" t="str">
        <f t="shared" si="52"/>
        <v>"C:\Program Files (x86)\AstroGrep\AstroGrep.exe" /e /r /s /spath="%USERPROFILE%\AppData\Local\Temp\OnboardLogs" /stypes="app*4029*20170909*" /stext=" 00:.+((SYSTEM_STATE.+slice.+state.+changed )|(ment ac)|(multiple cpu faults)|(system.+state.+changed )|(\[timeout)|(PRM\|1\|D)|(kpr)|(kdp)|(train st.+moving)|(\|lc)|(penalty))"</v>
      </c>
      <c r="AG197" s="206" t="str">
        <f t="shared" si="53"/>
        <v>NW</v>
      </c>
      <c r="AH197" s="78" t="str">
        <f t="shared" si="54"/>
        <v>"%USERPROFILE%\Documents\GitHub\eaglep3\Utilities\RefineRTDCRunTimes.py" --tripid 838-08 --locoid 4029 --swversion DE.1.0.9.0 --startMP 300:58613 --initTime 2017-09-08T18:37:17 --startdatetime 2017-09-08T18:39:58 --delay 55 --endMP 204:680 --enddatetime 2017-09-08T18:55:17 --enforcementcount 0 &gt;&gt;C:\Users\stu\Documents\GitHub\eaglep3-reporting\EC\2017-09-08-refined-times.txt</v>
      </c>
      <c r="AI197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{"issue":{"subject":"","project_id":79,"tracker_id":40,"status_id":1,"priority_id":2,"assigned_to_id":338,"start_date":"2017-09-08","description":"","custom_fields":[{"id":1,"name":"Subdivision","value":"NW"},{"id":4,"name":"Milepost","value":"0.068"},{"id":17,"name":"Train ID","value":"838-08"},{"id":16,"name":"Locomotive ID","value":"4029"},{"id":130,"name":"Impact","value":""},{"id":150,"name":"Time of Event (Mountain Time)","value":"18:55:17"},{"id":151,"name":"Denver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6"/>
        <v>start /low /b %USERPROFILE%\Documents\GitHub\eaglep3\Utilities\DownloadLogsFromS3.py --loco 4029 --day 2017-09-08</v>
      </c>
      <c r="AN197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630</v>
      </c>
      <c r="B198" s="7">
        <v>4028</v>
      </c>
      <c r="C198" s="21" t="s">
        <v>197</v>
      </c>
      <c r="D198" s="21" t="s">
        <v>591</v>
      </c>
      <c r="E198" s="13">
        <v>42986.775891203702</v>
      </c>
      <c r="F198" s="13">
        <v>42986.777314814812</v>
      </c>
      <c r="G198" s="7">
        <v>55</v>
      </c>
      <c r="H198" s="21" t="s">
        <v>978</v>
      </c>
      <c r="I198" s="13">
        <v>42986.787800925929</v>
      </c>
      <c r="J198" s="7">
        <v>0</v>
      </c>
      <c r="K198" s="89" t="str">
        <f t="shared" ref="K198" si="58">IF(ISEVEN(B198),(B198-1)&amp;"/"&amp;B198,B198&amp;"/"&amp;(B198+1))</f>
        <v>4027/4028</v>
      </c>
      <c r="L198" s="214" t="str">
        <f>VLOOKUP(A198,'Trips&amp;Operators'!$C$1:$G$99911,5,FALSE)</f>
        <v>SMITH MICHAEL</v>
      </c>
      <c r="M198" s="6">
        <f t="shared" ref="M198" si="59">I198-F198</f>
        <v>1.0486111117643304E-2</v>
      </c>
      <c r="N198" s="7">
        <f t="shared" si="42"/>
        <v>15.100000009406358</v>
      </c>
      <c r="O198" s="7"/>
      <c r="P198" s="7"/>
      <c r="Q198" s="22"/>
      <c r="R198" s="167"/>
      <c r="S198" s="210">
        <f t="shared" ref="S198" si="60">1/IF(AG198="EC",12,1)*SUM(U198:U198)</f>
        <v>1</v>
      </c>
      <c r="T198" s="192" t="str">
        <f t="shared" ref="T198" si="61">IF(ISEVEN(LEFT(AD198,4)),"Southbound","NorthBound")</f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ref="V198" si="62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-09-08T17:37:17-0600',mode:absolute,to:'2017-09-08T19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194" t="str">
        <f>IF(AA198&lt;VLOOKUP(AG198,Variables!$AC$3:$AD$8,2,FALSE),"Y","N")</f>
        <v>N</v>
      </c>
      <c r="X198" s="194">
        <f t="shared" si="46"/>
        <v>1</v>
      </c>
      <c r="Y198" s="194">
        <v>9.6199999999999994E-2</v>
      </c>
      <c r="Z198" s="194">
        <v>5.8940999999999999</v>
      </c>
      <c r="AA198" s="194">
        <f t="shared" ref="AA198" si="63">ABS(Z198-Y198)</f>
        <v>5.7979000000000003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ref="AD198" si="64">VALUE(LEFT(A198,LEN(A198)-3))</f>
        <v>839</v>
      </c>
      <c r="AE198" s="77" t="str">
        <f t="shared" ref="AE198" si="65"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AF198" s="74" t="str">
        <f t="shared" ref="AF198" si="66"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/stypes="app*4028*20170909*" /stext=" 00:.+((SYSTEM_STATE.+slice.+state.+changed )|(ment ac)|(multiple cpu faults)|(system.+state.+changed )|(\[timeout)|(PRM\|1\|D)|(kpr)|(kdp)|(train st.+moving)|(\|lc)|(penalty))"</v>
      </c>
      <c r="AG198" s="206" t="str">
        <f t="shared" ref="AG198" si="67">DetSubdiv(A198)</f>
        <v>NW</v>
      </c>
      <c r="AH198" s="78" t="str">
        <f t="shared" ref="AH198" si="68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839-08 --locoid 4028 --swversion DE.1.0.9.0 --startMP 300:58613 --initTime 2017-09-08T18:37:17 --startdatetime 2017-09-08T18:39:20 --delay 55 --endMP 204:680 --enddatetime 2017-09-08T18:54:26 --enforcementcount 0 &gt;&gt;C:\Users\stu\Documents\GitHub\eaglep3-reporting\EC\2017-09-08-refined-times.txt</v>
      </c>
      <c r="AI198" s="96" t="str">
        <f t="shared" ref="AI198" si="69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{"issue":{"subject":"","project_id":79,"tracker_id":40,"status_id":1,"priority_id":2,"assigned_to_id":338,"start_date":"2017-09-08","description":"","custom_fields":[{"id":1,"name":"Subdivision","value":"NW"},{"id":4,"name":"Milepost","value":"5.8941"},{"id":17,"name":"Train ID","value":"839-08"},{"id":16,"name":"Locomotive ID","value":"4028"},{"id":130,"name":"Impact","value":""},{"id":150,"name":"Time of Event (Mountain Time)","value":"18:54:26"},{"id":151,"name":"Denver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ref="AM198" si="70">"start /low /b "&amp;dls3logs&amp;" --loco "&amp;B198&amp;" --day "&amp;TEXT(F198,"YYYY-MM-DD")</f>
        <v>start /low /b %USERPROFILE%\Documents\GitHub\eaglep3\Utilities\DownloadLogsFromS3.py --loco 4028 --day 2017-09-08</v>
      </c>
      <c r="AN198" s="151" t="str">
        <f t="shared" ref="AN198" si="71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813</v>
      </c>
      <c r="B199" s="7">
        <v>4029</v>
      </c>
      <c r="C199" s="21" t="s">
        <v>197</v>
      </c>
      <c r="D199" s="21" t="s">
        <v>942</v>
      </c>
      <c r="E199" s="13">
        <v>42986.817743055559</v>
      </c>
      <c r="F199" s="13">
        <v>42986.819490740738</v>
      </c>
      <c r="G199" s="7">
        <v>53</v>
      </c>
      <c r="H199" s="21" t="s">
        <v>979</v>
      </c>
      <c r="I199" s="13">
        <v>42986.830543981479</v>
      </c>
      <c r="J199" s="7">
        <v>0</v>
      </c>
      <c r="K199" s="89" t="str">
        <f t="shared" si="40"/>
        <v>4029/4030</v>
      </c>
      <c r="L199" s="214" t="str">
        <f>VLOOKUP(A199,'Trips&amp;Operators'!$C$1:$G$99911,5,FALSE)</f>
        <v>BIRKHOLZ NADINE</v>
      </c>
      <c r="M199" s="6">
        <f t="shared" si="41"/>
        <v>1.1053240741603076E-2</v>
      </c>
      <c r="N199" s="7">
        <f t="shared" si="42"/>
        <v>15.91666666790843</v>
      </c>
      <c r="O199" s="7"/>
      <c r="P199" s="7"/>
      <c r="Q199" s="22"/>
      <c r="R199" s="167"/>
      <c r="S199" s="210">
        <f t="shared" si="43"/>
        <v>1</v>
      </c>
      <c r="T199" s="192" t="str">
        <f t="shared" si="44"/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45"/>
        <v>https://d0f6bd738d7f1b3e5a7ca70fe4ff75f0.us-east-1.aws.found.io/app/kibana#/discover/Steve-Slow-Train-Analysis-(2080s-and-2083s)?_g=(refreshInterval:(display:Off,pause:!f,section:0,value:0),time:(from:'2017-09-08T18:37:33-0600',mode:absolute,to:'2017-09-08T20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9" s="194" t="str">
        <f>IF(AA199&lt;VLOOKUP(AG199,Variables!$AC$3:$AD$8,2,FALSE),"Y","N")</f>
        <v>N</v>
      </c>
      <c r="X199" s="194">
        <f t="shared" si="46"/>
        <v>1</v>
      </c>
      <c r="Y199" s="194">
        <f t="shared" si="47"/>
        <v>5.8619000000000003</v>
      </c>
      <c r="Z199" s="194">
        <f t="shared" si="48"/>
        <v>6.9199999999999998E-2</v>
      </c>
      <c r="AA199" s="194">
        <f t="shared" si="49"/>
        <v>5.7927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50"/>
        <v>840</v>
      </c>
      <c r="AE199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199" s="74" t="str">
        <f t="shared" si="52"/>
        <v>"C:\Program Files (x86)\AstroGrep\AstroGrep.exe" /e /r /s /spath="%USERPROFILE%\AppData\Local\Temp\OnboardLogs" /stypes="app*4029*20170909*" /stext=" 01:.+((SYSTEM_STATE.+slice.+state.+changed )|(ment ac)|(multiple cpu faults)|(system.+state.+changed )|(\[timeout)|(PRM\|1\|D)|(kpr)|(kdp)|(train st.+moving)|(\|lc)|(penalty))"</v>
      </c>
      <c r="AG199" s="206" t="str">
        <f t="shared" si="53"/>
        <v>NW</v>
      </c>
      <c r="AH199" s="78" t="str">
        <f t="shared" si="54"/>
        <v>"%USERPROFILE%\Documents\GitHub\eaglep3\Utilities\RefineRTDCRunTimes.py" --tripid 840-08 --locoid 4029 --swversion DE.1.0.9.0 --startMP 300:58619 --initTime 2017-09-08T19:37:33 --startdatetime 2017-09-08T19:40:04 --delay 53 --endMP 204:692 --enddatetime 2017-09-08T19:55:59 --enforcementcount 0 &gt;&gt;C:\Users\stu\Documents\GitHub\eaglep3-reporting\EC\2017-09-08-refined-times.txt</v>
      </c>
      <c r="AI199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{"issue":{"subject":"","project_id":79,"tracker_id":40,"status_id":1,"priority_id":2,"assigned_to_id":338,"start_date":"2017-09-08","description":"","custom_fields":[{"id":1,"name":"Subdivision","value":"NW"},{"id":4,"name":"Milepost","value":"0.0692"},{"id":17,"name":"Train ID","value":"840-08"},{"id":16,"name":"Locomotive ID","value":"4029"},{"id":130,"name":"Impact","value":""},{"id":150,"name":"Time of Event (Mountain Time)","value":"19:55:59"},{"id":151,"name":"Denver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6"/>
        <v>start /low /b %USERPROFILE%\Documents\GitHub\eaglep3\Utilities\DownloadLogsFromS3.py --loco 4029 --day 2017-09-08</v>
      </c>
      <c r="AN199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01:55:59"},{"id":29,"name":"Sharepoint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809</v>
      </c>
      <c r="B200" s="7">
        <v>4030</v>
      </c>
      <c r="C200" s="21" t="s">
        <v>197</v>
      </c>
      <c r="D200" s="21" t="s">
        <v>942</v>
      </c>
      <c r="E200" s="13">
        <v>42986.817743055559</v>
      </c>
      <c r="F200" s="13">
        <v>42986.79824074074</v>
      </c>
      <c r="G200" s="7">
        <v>53</v>
      </c>
      <c r="H200" s="21" t="s">
        <v>979</v>
      </c>
      <c r="I200" s="13">
        <v>42986.807812500003</v>
      </c>
      <c r="J200" s="7">
        <v>0</v>
      </c>
      <c r="K200" s="89" t="str">
        <f t="shared" ref="K200" si="72">IF(ISEVEN(B200),(B200-1)&amp;"/"&amp;B200,B200&amp;"/"&amp;(B200+1))</f>
        <v>4029/4030</v>
      </c>
      <c r="L200" s="214" t="str">
        <f>VLOOKUP(A200,'Trips&amp;Operators'!$C$1:$G$99911,5,FALSE)</f>
        <v>BIRKHOLZ NADINE</v>
      </c>
      <c r="M200" s="6">
        <f t="shared" ref="M200" si="73">I200-F200</f>
        <v>9.5717592630535364E-3</v>
      </c>
      <c r="N200" s="7">
        <f t="shared" si="42"/>
        <v>13.783333338797092</v>
      </c>
      <c r="O200" s="7"/>
      <c r="P200" s="7"/>
      <c r="Q200" s="22"/>
      <c r="R200" s="167"/>
      <c r="S200" s="210">
        <f t="shared" ref="S200" si="74">1/IF(AG200="EC",12,1)*SUM(U200:U200)</f>
        <v>1</v>
      </c>
      <c r="T200" s="192" t="str">
        <f t="shared" ref="T200" si="75">IF(ISEVEN(LEFT(AD200,4)),"Southbound","NorthBound")</f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ref="V200" si="76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-09-08T18:37:33-0600',mode:absolute,to:'2017-09-08T20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0" s="194" t="str">
        <f>IF(AA200&lt;VLOOKUP(AG200,Variables!$AC$3:$AD$8,2,FALSE),"Y","N")</f>
        <v>N</v>
      </c>
      <c r="X200" s="194">
        <f t="shared" ref="X200" si="77">VALUE(LEFT(AD200,4))-VALUE(LEFT(AD199,4))</f>
        <v>1</v>
      </c>
      <c r="Y200" s="194">
        <v>9.6199999999999994E-2</v>
      </c>
      <c r="Z200" s="194">
        <v>5.8940999999999999</v>
      </c>
      <c r="AA200" s="194">
        <f t="shared" ref="AA200" si="78">ABS(Z200-Y200)</f>
        <v>5.7979000000000003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ref="AD200" si="79">VALUE(LEFT(A200,LEN(A200)-3))</f>
        <v>841</v>
      </c>
      <c r="AE200" s="77" t="str">
        <f t="shared" ref="AE200" si="80"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200" s="74" t="str">
        <f t="shared" ref="AF200" si="81"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/stypes="app*4030*20170909*" /stext=" 01:.+((SYSTEM_STATE.+slice.+state.+changed )|(ment ac)|(multiple cpu faults)|(system.+state.+changed )|(\[timeout)|(PRM\|1\|D)|(kpr)|(kdp)|(train st.+moving)|(\|lc)|(penalty))"</v>
      </c>
      <c r="AG200" s="206" t="str">
        <f t="shared" ref="AG200" si="82">DetSubdiv(A200)</f>
        <v>NW</v>
      </c>
      <c r="AH200" s="78" t="str">
        <f t="shared" ref="AH200" si="83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841-08 --locoid 4030 --swversion DE.1.0.9.0 --startMP 300:58619 --initTime 2017-09-08T19:37:33 --startdatetime 2017-09-08T19:09:28 --delay 53 --endMP 204:692 --enddatetime 2017-09-08T19:23:15 --enforcementcount 0 &gt;&gt;C:\Users\stu\Documents\GitHub\eaglep3-reporting\EC\2017-09-08-refined-times.txt</v>
      </c>
      <c r="AI200" s="96" t="str">
        <f t="shared" ref="AI200" si="84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{"issue":{"subject":"","project_id":79,"tracker_id":40,"status_id":1,"priority_id":2,"assigned_to_id":338,"start_date":"2017-09-08","description":"","custom_fields":[{"id":1,"name":"Subdivision","value":"NW"},{"id":4,"name":"Milepost","value":"5.8941"},{"id":17,"name":"Train ID","value":"841-08"},{"id":16,"name":"Locomotive ID","value":"4030"},{"id":130,"name":"Impact","value":""},{"id":150,"name":"Time of Event (Mountain Time)","value":"19:23:15"},{"id":151,"name":"Denver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ref="AM200" si="85">"start /low /b "&amp;dls3logs&amp;" --loco "&amp;B200&amp;" --day "&amp;TEXT(F200,"YYYY-MM-DD")</f>
        <v>start /low /b %USERPROFILE%\Documents\GitHub\eaglep3\Utilities\DownloadLogsFromS3.py --loco 4030 --day 2017-09-08</v>
      </c>
      <c r="AN200" s="151" t="str">
        <f t="shared" ref="AN200" si="86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s="20" customFormat="1" x14ac:dyDescent="0.25">
      <c r="A201" s="32" t="s">
        <v>819</v>
      </c>
      <c r="B201" s="7">
        <v>4029</v>
      </c>
      <c r="C201" s="21" t="s">
        <v>197</v>
      </c>
      <c r="D201" s="21" t="s">
        <v>542</v>
      </c>
      <c r="E201" s="13">
        <v>42986.858761574076</v>
      </c>
      <c r="F201" s="13">
        <v>42986.860578703701</v>
      </c>
      <c r="G201" s="7">
        <v>57</v>
      </c>
      <c r="H201" s="21" t="s">
        <v>466</v>
      </c>
      <c r="I201" s="13">
        <v>42986.871805555558</v>
      </c>
      <c r="J201" s="7">
        <v>0</v>
      </c>
      <c r="K201" s="89" t="str">
        <f t="shared" si="40"/>
        <v>4029/4030</v>
      </c>
      <c r="L201" s="214" t="str">
        <f>VLOOKUP(A201,'Trips&amp;Operators'!$C$1:$G$99911,5,FALSE)</f>
        <v>BIRKHOLZ NADINE</v>
      </c>
      <c r="M201" s="6">
        <f t="shared" si="41"/>
        <v>1.1226851856918074E-2</v>
      </c>
      <c r="N201" s="7">
        <f t="shared" si="42"/>
        <v>16.166666673962027</v>
      </c>
      <c r="O201" s="7"/>
      <c r="P201" s="7"/>
      <c r="Q201" s="22"/>
      <c r="R201" s="167"/>
      <c r="S201" s="210">
        <f t="shared" si="43"/>
        <v>1</v>
      </c>
      <c r="T201" s="192" t="str">
        <f t="shared" si="44"/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45"/>
        <v>https://d0f6bd738d7f1b3e5a7ca70fe4ff75f0.us-east-1.aws.found.io/app/kibana#/discover/Steve-Slow-Train-Analysis-(2080s-and-2083s)?_g=(refreshInterval:(display:Off,pause:!f,section:0,value:0),time:(from:'2017-09-08T19:36:37-0600',mode:absolute,to:'2017-09-08T21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1" s="194" t="str">
        <f>IF(AA201&lt;VLOOKUP(AG201,Variables!$AC$3:$AD$8,2,FALSE),"Y","N")</f>
        <v>N</v>
      </c>
      <c r="X201" s="194">
        <f t="shared" si="46"/>
        <v>1</v>
      </c>
      <c r="Y201" s="194">
        <f t="shared" si="47"/>
        <v>5.8609</v>
      </c>
      <c r="Z201" s="194">
        <f t="shared" si="48"/>
        <v>6.9400000000000003E-2</v>
      </c>
      <c r="AA201" s="194">
        <f t="shared" si="49"/>
        <v>5.7915000000000001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50"/>
        <v>842</v>
      </c>
      <c r="AE201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201" s="74" t="str">
        <f t="shared" si="52"/>
        <v>"C:\Program Files (x86)\AstroGrep\AstroGrep.exe" /e /r /s /spath="%USERPROFILE%\AppData\Local\Temp\OnboardLogs" /stypes="app*4029*20170909*" /stext=" 02:.+((SYSTEM_STATE.+slice.+state.+changed )|(ment ac)|(multiple cpu faults)|(system.+state.+changed )|(\[timeout)|(PRM\|1\|D)|(kpr)|(kdp)|(train st.+moving)|(\|lc)|(penalty))"</v>
      </c>
      <c r="AG201" s="206" t="str">
        <f t="shared" si="53"/>
        <v>NW</v>
      </c>
      <c r="AH201" s="78" t="str">
        <f t="shared" si="54"/>
        <v>"%USERPROFILE%\Documents\GitHub\eaglep3\Utilities\RefineRTDCRunTimes.py" --tripid 842-08 --locoid 4029 --swversion DE.1.0.9.0 --startMP 300:58609 --initTime 2017-09-08T20:36:37 --startdatetime 2017-09-08T20:39:14 --delay 57 --endMP 204:694 --enddatetime 2017-09-08T20:55:24 --enforcementcount 0 &gt;&gt;C:\Users\stu\Documents\GitHub\eaglep3-reporting\EC\2017-09-08-refined-times.txt</v>
      </c>
      <c r="AI201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{"issue":{"subject":"","project_id":79,"tracker_id":40,"status_id":1,"priority_id":2,"assigned_to_id":338,"start_date":"2017-09-08","description":"","custom_fields":[{"id":1,"name":"Subdivision","value":"NW"},{"id":4,"name":"Milepost","value":"0.0694"},{"id":17,"name":"Train ID","value":"842-08"},{"id":16,"name":"Locomotive ID","value":"4029"},{"id":130,"name":"Impact","value":""},{"id":150,"name":"Time of Event (Mountain Time)","value":"20:55:24"},{"id":151,"name":"Denver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56"/>
        <v>start /low /b %USERPROFILE%\Documents\GitHub\eaglep3\Utilities\DownloadLogsFromS3.py --loco 4029 --day 2017-09-08</v>
      </c>
      <c r="AN201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816</v>
      </c>
      <c r="B202" s="7">
        <v>4030</v>
      </c>
      <c r="C202" s="21" t="s">
        <v>197</v>
      </c>
      <c r="D202" s="21" t="s">
        <v>961</v>
      </c>
      <c r="E202" s="13">
        <v>42986.836909722224</v>
      </c>
      <c r="F202" s="13">
        <v>42986.839837962965</v>
      </c>
      <c r="G202" s="7">
        <v>58</v>
      </c>
      <c r="H202" s="21" t="s">
        <v>980</v>
      </c>
      <c r="I202" s="13">
        <v>42986.849282407406</v>
      </c>
      <c r="J202" s="7">
        <v>0</v>
      </c>
      <c r="K202" s="89" t="str">
        <f t="shared" si="40"/>
        <v>4029/4030</v>
      </c>
      <c r="L202" s="214" t="str">
        <f>VLOOKUP(A202,'Trips&amp;Operators'!$C$1:$G$99911,5,FALSE)</f>
        <v>BIRKHOLZ NADINE</v>
      </c>
      <c r="M202" s="6">
        <f t="shared" si="41"/>
        <v>9.444444440305233E-3</v>
      </c>
      <c r="N202" s="7">
        <f t="shared" si="42"/>
        <v>13.599999994039536</v>
      </c>
      <c r="O202" s="7"/>
      <c r="P202" s="7"/>
      <c r="Q202" s="22"/>
      <c r="R202" s="167"/>
      <c r="S202" s="210">
        <f t="shared" si="43"/>
        <v>1</v>
      </c>
      <c r="T202" s="192" t="str">
        <f t="shared" si="44"/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45"/>
        <v>https://d0f6bd738d7f1b3e5a7ca70fe4ff75f0.us-east-1.aws.found.io/app/kibana#/discover/Steve-Slow-Train-Analysis-(2080s-and-2083s)?_g=(refreshInterval:(display:Off,pause:!f,section:0,value:0),time:(from:'2017-09-08T19:05:09-0600',mode:absolute,to:'2017-09-08T21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2" s="194" t="str">
        <f>IF(AA202&lt;VLOOKUP(AG202,Variables!$AC$3:$AD$8,2,FALSE),"Y","N")</f>
        <v>N</v>
      </c>
      <c r="X202" s="194">
        <f t="shared" si="46"/>
        <v>1</v>
      </c>
      <c r="Y202" s="194">
        <f t="shared" si="47"/>
        <v>9.5699999999999993E-2</v>
      </c>
      <c r="Z202" s="194">
        <f t="shared" si="48"/>
        <v>5.8928000000000003</v>
      </c>
      <c r="AA202" s="194">
        <f t="shared" si="49"/>
        <v>5.7971000000000004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50"/>
        <v>843</v>
      </c>
      <c r="AE202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202" s="74" t="str">
        <f t="shared" si="52"/>
        <v>"C:\Program Files (x86)\AstroGrep\AstroGrep.exe" /e /r /s /spath="%USERPROFILE%\AppData\Local\Temp\OnboardLogs" /stypes="app*4030*20170909*" /stext=" 02:.+((SYSTEM_STATE.+slice.+state.+changed )|(ment ac)|(multiple cpu faults)|(system.+state.+changed )|(\[timeout)|(PRM\|1\|D)|(kpr)|(kdp)|(train st.+moving)|(\|lc)|(penalty))"</v>
      </c>
      <c r="AG202" s="206" t="str">
        <f t="shared" si="53"/>
        <v>NW</v>
      </c>
      <c r="AH202" s="78" t="str">
        <f t="shared" si="54"/>
        <v>"%USERPROFILE%\Documents\GitHub\eaglep3\Utilities\RefineRTDCRunTimes.py" --tripid 843-08 --locoid 4030 --swversion DE.1.0.9.0 --startMP 204:957 --initTime 2017-09-08T20:05:09 --startdatetime 2017-09-08T20:09:22 --delay 58 --endMP 300:58928 --enddatetime 2017-09-08T20:22:58 --enforcementcount 0 &gt;&gt;C:\Users\stu\Documents\GitHub\eaglep3-reporting\EC\2017-09-08-refined-times.txt</v>
      </c>
      <c r="AI202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{"issue":{"subject":"","project_id":79,"tracker_id":40,"status_id":1,"priority_id":2,"assigned_to_id":338,"start_date":"2017-09-08","description":"","custom_fields":[{"id":1,"name":"Subdivision","value":"NW"},{"id":4,"name":"Milepost","value":"5.8928"},{"id":17,"name":"Train ID","value":"843-08"},{"id":16,"name":"Locomotive ID","value":"4030"},{"id":130,"name":"Impact","value":""},{"id":150,"name":"Time of Event (Mountain Time)","value":"20:22:58"},{"id":151,"name":"Denver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6"/>
        <v>start /low /b %USERPROFILE%\Documents\GitHub\eaglep3\Utilities\DownloadLogsFromS3.py --loco 4030 --day 2017-09-08</v>
      </c>
      <c r="AN202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02:22:58"},{"id":29,"name":"Sharepoint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825</v>
      </c>
      <c r="B203" s="7">
        <v>4029</v>
      </c>
      <c r="C203" s="21" t="s">
        <v>197</v>
      </c>
      <c r="D203" s="21" t="s">
        <v>593</v>
      </c>
      <c r="E203" s="13">
        <v>42986.89303240741</v>
      </c>
      <c r="F203" s="13">
        <v>42986.902303240742</v>
      </c>
      <c r="G203" s="7">
        <v>81</v>
      </c>
      <c r="H203" s="21" t="s">
        <v>981</v>
      </c>
      <c r="I203" s="13">
        <v>42986.913310185184</v>
      </c>
      <c r="J203" s="7">
        <v>0</v>
      </c>
      <c r="K203" s="89" t="str">
        <f t="shared" si="40"/>
        <v>4029/4030</v>
      </c>
      <c r="L203" s="214" t="str">
        <f>VLOOKUP(A203,'Trips&amp;Operators'!$C$1:$G$99911,5,FALSE)</f>
        <v>SMITH MICHAEL</v>
      </c>
      <c r="M203" s="6">
        <f t="shared" si="41"/>
        <v>1.1006944441760425E-2</v>
      </c>
      <c r="N203" s="7">
        <f t="shared" si="42"/>
        <v>15.849999996135011</v>
      </c>
      <c r="O203" s="7"/>
      <c r="P203" s="7"/>
      <c r="Q203" s="22"/>
      <c r="R203" s="167"/>
      <c r="S203" s="210">
        <f t="shared" si="43"/>
        <v>1</v>
      </c>
      <c r="T203" s="192" t="str">
        <f t="shared" si="44"/>
        <v>Southbound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45"/>
        <v>https://d0f6bd738d7f1b3e5a7ca70fe4ff75f0.us-east-1.aws.found.io/app/kibana#/discover/Steve-Slow-Train-Analysis-(2080s-and-2083s)?_g=(refreshInterval:(display:Off,pause:!f,section:0,value:0),time:(from:'2017-09-08T20:25:58-0600',mode:absolute,to:'2017-09-08T22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194" t="str">
        <f>IF(AA203&lt;VLOOKUP(AG203,Variables!$AC$3:$AD$8,2,FALSE),"Y","N")</f>
        <v>N</v>
      </c>
      <c r="X203" s="194">
        <f t="shared" si="46"/>
        <v>1</v>
      </c>
      <c r="Y203" s="194">
        <f t="shared" si="47"/>
        <v>5.8639999999999999</v>
      </c>
      <c r="Z203" s="194">
        <f t="shared" si="48"/>
        <v>6.4199999999999993E-2</v>
      </c>
      <c r="AA203" s="194">
        <f t="shared" si="49"/>
        <v>5.7998000000000003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50"/>
        <v>844</v>
      </c>
      <c r="AE203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203" s="74" t="str">
        <f t="shared" si="52"/>
        <v>"C:\Program Files (x86)\AstroGrep\AstroGrep.exe" /e /r /s /spath="%USERPROFILE%\AppData\Local\Temp\OnboardLogs" /stypes="app*4029*20170909*" /stext=" 03:.+((SYSTEM_STATE.+slice.+state.+changed )|(ment ac)|(multiple cpu faults)|(system.+state.+changed )|(\[timeout)|(PRM\|1\|D)|(kpr)|(kdp)|(train st.+moving)|(\|lc)|(penalty))"</v>
      </c>
      <c r="AG203" s="206" t="str">
        <f t="shared" si="53"/>
        <v>NW</v>
      </c>
      <c r="AH203" s="78" t="str">
        <f t="shared" si="54"/>
        <v>"%USERPROFILE%\Documents\GitHub\eaglep3\Utilities\RefineRTDCRunTimes.py" --tripid 844-08 --locoid 4029 --swversion DE.1.0.9.0 --startMP 300:58640 --initTime 2017-09-08T21:25:58 --startdatetime 2017-09-08T21:39:19 --delay 81 --endMP 204:642 --enddatetime 2017-09-08T21:55:10 --enforcementcount 0 &gt;&gt;C:\Users\stu\Documents\GitHub\eaglep3-reporting\EC\2017-09-08-refined-times.txt</v>
      </c>
      <c r="AI203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{"issue":{"subject":"","project_id":79,"tracker_id":40,"status_id":1,"priority_id":2,"assigned_to_id":338,"start_date":"2017-09-08","description":"","custom_fields":[{"id":1,"name":"Subdivision","value":"NW"},{"id":4,"name":"Milepost","value":"0.0642"},{"id":17,"name":"Train ID","value":"844-08"},{"id":16,"name":"Locomotive ID","value":"4029"},{"id":130,"name":"Impact","value":""},{"id":150,"name":"Time of Event (Mountain Time)","value":"21:55:10"},{"id":151,"name":"Denver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6"/>
        <v>start /low /b %USERPROFILE%\Documents\GitHub\eaglep3\Utilities\DownloadLogsFromS3.py --loco 4029 --day 2017-09-08</v>
      </c>
      <c r="AN203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822</v>
      </c>
      <c r="B204" s="7">
        <v>4030</v>
      </c>
      <c r="C204" s="21" t="s">
        <v>197</v>
      </c>
      <c r="D204" s="21" t="s">
        <v>593</v>
      </c>
      <c r="E204" s="13">
        <v>42986.89303240741</v>
      </c>
      <c r="F204" s="13">
        <v>42986.881481481483</v>
      </c>
      <c r="G204" s="7">
        <v>81</v>
      </c>
      <c r="H204" s="21" t="s">
        <v>981</v>
      </c>
      <c r="I204" s="13">
        <v>42986.891504629632</v>
      </c>
      <c r="J204" s="7">
        <v>0</v>
      </c>
      <c r="K204" s="89" t="str">
        <f t="shared" ref="K204" si="87">IF(ISEVEN(B204),(B204-1)&amp;"/"&amp;B204,B204&amp;"/"&amp;(B204+1))</f>
        <v>4029/4030</v>
      </c>
      <c r="L204" s="214" t="str">
        <f>VLOOKUP(A204,'Trips&amp;Operators'!$C$1:$G$99911,5,FALSE)</f>
        <v>SMITH MICHAEL</v>
      </c>
      <c r="M204" s="6">
        <f t="shared" ref="M204" si="88">I204-F204</f>
        <v>1.0023148148320615E-2</v>
      </c>
      <c r="N204" s="7">
        <f t="shared" si="42"/>
        <v>14.433333333581686</v>
      </c>
      <c r="O204" s="7"/>
      <c r="P204" s="7"/>
      <c r="Q204" s="22"/>
      <c r="R204" s="167"/>
      <c r="S204" s="210">
        <f t="shared" ref="S204" si="89">1/IF(AG204="EC",12,1)*SUM(U204:U204)</f>
        <v>1</v>
      </c>
      <c r="T204" s="192" t="str">
        <f t="shared" ref="T204" si="90">IF(ISEVEN(LEFT(AD204,4)),"Southbound","NorthBound")</f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 t="shared" ref="V204" si="91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-09-08T20:25:58-0600',mode:absolute,to:'2017-09-08T22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4" s="194" t="str">
        <f>IF(AA204&lt;VLOOKUP(AG204,Variables!$AC$3:$AD$8,2,FALSE),"Y","N")</f>
        <v>N</v>
      </c>
      <c r="X204" s="194">
        <f t="shared" ref="X204" si="92">VALUE(LEFT(AD204,4))-VALUE(LEFT(AD203,4))</f>
        <v>1</v>
      </c>
      <c r="Y204" s="194">
        <v>9.5699999999999993E-2</v>
      </c>
      <c r="Z204" s="194">
        <v>5.8928000000000003</v>
      </c>
      <c r="AA204" s="194">
        <f t="shared" ref="AA204" si="93">ABS(Z204-Y204)</f>
        <v>5.7971000000000004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ref="AD204" si="94">VALUE(LEFT(A204,LEN(A204)-3))</f>
        <v>845</v>
      </c>
      <c r="AE204" s="77" t="str">
        <f t="shared" ref="AE204" si="95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204" s="74" t="str">
        <f t="shared" ref="AF204" si="96"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/stypes="app*4030*20170909*" /stext=" 03:.+((SYSTEM_STATE.+slice.+state.+changed )|(ment ac)|(multiple cpu faults)|(system.+state.+changed )|(\[timeout)|(PRM\|1\|D)|(kpr)|(kdp)|(train st.+moving)|(\|lc)|(penalty))"</v>
      </c>
      <c r="AG204" s="206" t="str">
        <f t="shared" ref="AG204" si="97">DetSubdiv(A204)</f>
        <v>NW</v>
      </c>
      <c r="AH204" s="78" t="str">
        <f t="shared" ref="AH204" si="9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845-08 --locoid 4030 --swversion DE.1.0.9.0 --startMP 300:58640 --initTime 2017-09-08T21:25:58 --startdatetime 2017-09-08T21:09:20 --delay 81 --endMP 204:642 --enddatetime 2017-09-08T21:23:46 --enforcementcount 0 &gt;&gt;C:\Users\stu\Documents\GitHub\eaglep3-reporting\EC\2017-09-08-refined-times.txt</v>
      </c>
      <c r="AI204" s="96" t="str">
        <f t="shared" ref="AI204" si="9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{"issue":{"subject":"","project_id":79,"tracker_id":40,"status_id":1,"priority_id":2,"assigned_to_id":338,"start_date":"2017-09-08","description":"","custom_fields":[{"id":1,"name":"Subdivision","value":"NW"},{"id":4,"name":"Milepost","value":"5.8928"},{"id":17,"name":"Train ID","value":"845-08"},{"id":16,"name":"Locomotive ID","value":"4030"},{"id":130,"name":"Impact","value":""},{"id":150,"name":"Time of Event (Mountain Time)","value":"21:23:46"},{"id":151,"name":"Denver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ref="AM204" si="100">"start /low /b "&amp;dls3logs&amp;" --loco "&amp;B204&amp;" --day "&amp;TEXT(F204,"YYYY-MM-DD")</f>
        <v>start /low /b %USERPROFILE%\Documents\GitHub\eaglep3\Utilities\DownloadLogsFromS3.py --loco 4030 --day 2017-09-08</v>
      </c>
      <c r="AN204" s="151" t="str">
        <f t="shared" ref="AN204" si="101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830</v>
      </c>
      <c r="B205" s="7">
        <v>4029</v>
      </c>
      <c r="C205" s="21" t="s">
        <v>197</v>
      </c>
      <c r="D205" s="21" t="s">
        <v>982</v>
      </c>
      <c r="E205" s="13">
        <v>42986.934039351851</v>
      </c>
      <c r="F205" s="13">
        <v>42986.944097222222</v>
      </c>
      <c r="G205" s="7">
        <v>82</v>
      </c>
      <c r="H205" s="21" t="s">
        <v>983</v>
      </c>
      <c r="I205" s="13">
        <v>42986.955081018517</v>
      </c>
      <c r="J205" s="7">
        <v>0</v>
      </c>
      <c r="K205" s="89" t="str">
        <f t="shared" si="40"/>
        <v>4029/4030</v>
      </c>
      <c r="L205" s="214" t="str">
        <f>VLOOKUP(A205,'Trips&amp;Operators'!$C$1:$G$99911,5,FALSE)</f>
        <v>SMITH MICHAEL</v>
      </c>
      <c r="M205" s="6">
        <f t="shared" si="41"/>
        <v>1.0983796295477077E-2</v>
      </c>
      <c r="N205" s="7">
        <f t="shared" si="42"/>
        <v>15.816666665486991</v>
      </c>
      <c r="O205" s="7"/>
      <c r="P205" s="7"/>
      <c r="Q205" s="22"/>
      <c r="R205" s="167"/>
      <c r="S205" s="210">
        <f t="shared" si="43"/>
        <v>1</v>
      </c>
      <c r="T205" s="192" t="str">
        <f t="shared" si="44"/>
        <v>Southbound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si="45"/>
        <v>https://d0f6bd738d7f1b3e5a7ca70fe4ff75f0.us-east-1.aws.found.io/app/kibana#/discover/Steve-Slow-Train-Analysis-(2080s-and-2083s)?_g=(refreshInterval:(display:Off,pause:!f,section:0,value:0),time:(from:'2017-09-08T21:25:01-0600',mode:absolute,to:'2017-09-08T23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5" s="194" t="str">
        <f>IF(AA205&lt;VLOOKUP(AG205,Variables!$AC$3:$AD$8,2,FALSE),"Y","N")</f>
        <v>N</v>
      </c>
      <c r="X205" s="194">
        <f t="shared" si="46"/>
        <v>1</v>
      </c>
      <c r="Y205" s="194">
        <f t="shared" si="47"/>
        <v>5.8693</v>
      </c>
      <c r="Z205" s="194">
        <f t="shared" si="48"/>
        <v>6.6400000000000001E-2</v>
      </c>
      <c r="AA205" s="194">
        <f t="shared" si="49"/>
        <v>5.8029000000000002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si="50"/>
        <v>846</v>
      </c>
      <c r="AE205" s="77" t="str">
        <f t="shared" si="51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205" s="74" t="str">
        <f t="shared" si="52"/>
        <v>"C:\Program Files (x86)\AstroGrep\AstroGrep.exe" /e /r /s /spath="%USERPROFILE%\AppData\Local\Temp\OnboardLogs" /stypes="app*4029*20170909*" /stext=" 04:.+((SYSTEM_STATE.+slice.+state.+changed )|(ment ac)|(multiple cpu faults)|(system.+state.+changed )|(\[timeout)|(PRM\|1\|D)|(kpr)|(kdp)|(train st.+moving)|(\|lc)|(penalty))"</v>
      </c>
      <c r="AG205" s="206" t="str">
        <f t="shared" si="53"/>
        <v>NW</v>
      </c>
      <c r="AH205" s="78" t="str">
        <f t="shared" si="54"/>
        <v>"%USERPROFILE%\Documents\GitHub\eaglep3\Utilities\RefineRTDCRunTimes.py" --tripid 846-08 --locoid 4029 --swversion DE.1.0.9.0 --startMP 300:58693 --initTime 2017-09-08T22:25:01 --startdatetime 2017-09-08T22:39:30 --delay 82 --endMP 204:664 --enddatetime 2017-09-08T22:55:19 --enforcementcount 0 &gt;&gt;C:\Users\stu\Documents\GitHub\eaglep3-reporting\EC\2017-09-08-refined-times.txt</v>
      </c>
      <c r="AI205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{"issue":{"subject":"","project_id":79,"tracker_id":40,"status_id":1,"priority_id":2,"assigned_to_id":338,"start_date":"2017-09-08","description":"","custom_fields":[{"id":1,"name":"Subdivision","value":"NW"},{"id":4,"name":"Milepost","value":"0.0664"},{"id":17,"name":"Train ID","value":"846-08"},{"id":16,"name":"Locomotive ID","value":"4029"},{"id":130,"name":"Impact","value":""},{"id":150,"name":"Time of Event (Mountain Time)","value":"22:55:19"},{"id":151,"name":"Denver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56"/>
        <v>start /low /b %USERPROFILE%\Documents\GitHub\eaglep3\Utilities\DownloadLogsFromS3.py --loco 4029 --day 2017-09-08</v>
      </c>
      <c r="AN205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04:55:19"},{"id":29,"name":"Sharepoint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827</v>
      </c>
      <c r="B206" s="7">
        <v>4030</v>
      </c>
      <c r="C206" s="21" t="s">
        <v>197</v>
      </c>
      <c r="D206" s="21" t="s">
        <v>984</v>
      </c>
      <c r="E206" s="13">
        <v>42986.91746527778</v>
      </c>
      <c r="F206" s="13">
        <v>42986.923159722224</v>
      </c>
      <c r="G206" s="7">
        <v>74</v>
      </c>
      <c r="H206" s="21" t="s">
        <v>985</v>
      </c>
      <c r="I206" s="13">
        <v>42986.932847222219</v>
      </c>
      <c r="J206" s="7">
        <v>0</v>
      </c>
      <c r="K206" s="89" t="str">
        <f t="shared" si="40"/>
        <v>4029/4030</v>
      </c>
      <c r="L206" s="214" t="str">
        <f>VLOOKUP(A206,'Trips&amp;Operators'!$C$1:$G$99911,5,FALSE)</f>
        <v>SMITH MICHAEL</v>
      </c>
      <c r="M206" s="6">
        <f t="shared" si="41"/>
        <v>9.6874999944702722E-3</v>
      </c>
      <c r="N206" s="7">
        <f t="shared" si="42"/>
        <v>13.949999992037192</v>
      </c>
      <c r="O206" s="7"/>
      <c r="P206" s="7"/>
      <c r="Q206" s="22"/>
      <c r="R206" s="167"/>
      <c r="S206" s="210">
        <f t="shared" si="43"/>
        <v>1</v>
      </c>
      <c r="T206" s="192" t="str">
        <f t="shared" si="44"/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45"/>
        <v>https://d0f6bd738d7f1b3e5a7ca70fe4ff75f0.us-east-1.aws.found.io/app/kibana#/discover/Steve-Slow-Train-Analysis-(2080s-and-2083s)?_g=(refreshInterval:(display:Off,pause:!f,section:0,value:0),time:(from:'2017-09-08T21:01:09-0600',mode:absolute,to:'2017-09-08T23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194" t="str">
        <f>IF(AA206&lt;VLOOKUP(AG206,Variables!$AC$3:$AD$8,2,FALSE),"Y","N")</f>
        <v>N</v>
      </c>
      <c r="X206" s="194">
        <f t="shared" si="46"/>
        <v>1</v>
      </c>
      <c r="Y206" s="194">
        <f t="shared" si="47"/>
        <v>9.3600000000000003E-2</v>
      </c>
      <c r="Z206" s="194">
        <f t="shared" si="48"/>
        <v>5.9009</v>
      </c>
      <c r="AA206" s="194">
        <f t="shared" si="49"/>
        <v>5.8072999999999997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si="50"/>
        <v>847</v>
      </c>
      <c r="AE206" s="77" t="str">
        <f t="shared" si="51"/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AF206" s="74" t="str">
        <f t="shared" si="52"/>
        <v>"C:\Program Files (x86)\AstroGrep\AstroGrep.exe" /e /r /s /spath="%USERPROFILE%\AppData\Local\Temp\OnboardLogs" /stypes="app*4030*20170909*" /stext=" 04:.+((SYSTEM_STATE.+slice.+state.+changed )|(ment ac)|(multiple cpu faults)|(system.+state.+changed )|(\[timeout)|(PRM\|1\|D)|(kpr)|(kdp)|(train st.+moving)|(\|lc)|(penalty))"</v>
      </c>
      <c r="AG206" s="206" t="str">
        <f t="shared" si="53"/>
        <v>NW</v>
      </c>
      <c r="AH206" s="78" t="str">
        <f t="shared" si="54"/>
        <v>"%USERPROFILE%\Documents\GitHub\eaglep3\Utilities\RefineRTDCRunTimes.py" --tripid 847-08 --locoid 4030 --swversion DE.1.0.9.0 --startMP 204:936 --initTime 2017-09-08T22:01:09 --startdatetime 2017-09-08T22:09:21 --delay 74 --endMP 300:59009 --enddatetime 2017-09-08T22:23:18 --enforcementcount 0 &gt;&gt;C:\Users\stu\Documents\GitHub\eaglep3-reporting\EC\2017-09-08-refined-times.txt</v>
      </c>
      <c r="AI206" s="96" t="str">
        <f t="shared" si="55"/>
        <v>echo {"issue":{"subject":"","project_id":79,"tracker_id":40,"status_id":1,"priority_id":2,"assigned_to_id":338,"start_date":"2017-09-08","description":"","custom_fields":[{"id":1,"name":"Subdivision","value":"NW"},{"id":4,"name":"Milepost","value":"5.9009"},{"id":17,"name":"Train ID","value":"847-08"},{"id":16,"name":"Locomotive ID","value":"4030"},{"id":130,"name":"Impact","value":""},{"id":150,"name":"Time of Event (Mountain Time)","value":"22:23:18"},{"id":151,"name":"Denver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56"/>
        <v>start /low /b %USERPROFILE%\Documents\GitHub\eaglep3\Utilities\DownloadLogsFromS3.py --loco 4030 --day 2017-09-08</v>
      </c>
      <c r="AN206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04:23:18"},{"id":29,"name":"Sharepoint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805</v>
      </c>
      <c r="B207" s="7">
        <v>4044</v>
      </c>
      <c r="C207" s="21" t="s">
        <v>197</v>
      </c>
      <c r="D207" s="21" t="s">
        <v>534</v>
      </c>
      <c r="E207" s="13">
        <v>42986.777349537035</v>
      </c>
      <c r="F207" s="13">
        <v>42986.779085648152</v>
      </c>
      <c r="G207" s="7">
        <v>49</v>
      </c>
      <c r="H207" s="21" t="s">
        <v>539</v>
      </c>
      <c r="I207" s="13">
        <v>42986.78460648148</v>
      </c>
      <c r="J207" s="7">
        <v>0</v>
      </c>
      <c r="K207" s="89" t="str">
        <f t="shared" ref="K207:K231" si="102">IF(ISEVEN(B207),(B207-1)&amp;"/"&amp;B207,B207&amp;"/"&amp;(B207+1))</f>
        <v>4043/4044</v>
      </c>
      <c r="L207" s="214" t="str">
        <f>VLOOKUP(A207,'Trips&amp;Operators'!$C$1:$G$99911,5,FALSE)</f>
        <v>WEST BRYAN</v>
      </c>
      <c r="M207" s="6">
        <f t="shared" ref="M207:M231" si="103">I207-F207</f>
        <v>5.5208333287737332E-3</v>
      </c>
      <c r="N207" s="7">
        <f t="shared" ref="N207:N231" si="104">24*60*SUM($M207:$M207)</f>
        <v>7.9499999934341758</v>
      </c>
      <c r="O207" s="7"/>
      <c r="P207" s="7"/>
      <c r="Q207" s="22"/>
      <c r="R207" s="167"/>
      <c r="S207" s="210">
        <f t="shared" ref="S207:S231" si="105">1/IF(AG207="EC",12,1)*SUM(U207:U207)</f>
        <v>1</v>
      </c>
      <c r="T207" s="192" t="str">
        <f t="shared" ref="T207:T231" si="106">IF(ISEVEN(LEFT(AD207,4)),"Southbound","NorthBound")</f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ref="V207:V231" si="107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-09-08T17:39:23-0600',mode:absolute,to:'2017-09-08T19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7" s="194" t="str">
        <f>IF(AA207&lt;VLOOKUP(AG207,Variables!$AC$3:$AD$8,2,FALSE),"Y","N")</f>
        <v>Y</v>
      </c>
      <c r="X207" s="194">
        <f t="shared" ref="X207:X209" si="108">VALUE(LEFT(AD207,4))-VALUE(LEFT(AD206,4))</f>
        <v>-546</v>
      </c>
      <c r="Y207" s="194">
        <f t="shared" ref="Y207:Y231" si="109">RIGHT(D207,LEN(D207)-4)/10000</f>
        <v>4.6199999999999998E-2</v>
      </c>
      <c r="Z207" s="194">
        <f t="shared" ref="Z207:Z231" si="110">RIGHT(H207,LEN(H207)-4)/10000</f>
        <v>2.3298999999999999</v>
      </c>
      <c r="AA207" s="194">
        <f t="shared" ref="AA207:AA231" si="111">ABS(Z207-Y207)</f>
        <v>2.2837000000000001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ref="AD207:AD231" si="112">VALUE(LEFT(A207,LEN(A207)-3))</f>
        <v>301</v>
      </c>
      <c r="AE207" s="77" t="str">
        <f t="shared" ref="AE207:AE231" si="113"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s3://rtdc.mdm.uploadarchive.raw/RTDC4044/ "%USERPROFILE%\AppData\Local\Temp\OnboardLogs"\RTDC4044\2017-09-08 --exclude "*" --recursive --include "*20170908*" &amp; "%USERPROFILE%\Documents\GitHub\mrs-test-scripts\Headless Mode &amp; Sideloading\WalkAndUnGZ.bat" "%USERPROFILE%\AppData\Local\Temp\OnboardLogs"\RTDC4044\2017-09-08 &amp; 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</v>
      </c>
      <c r="AF207" s="74" t="str">
        <f t="shared" ref="AF207:AF231" si="114"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/stypes="app*4044*20170909*" /stext=" 00:.+((SYSTEM_STATE.+slice.+state.+changed )|(ment ac)|(multiple cpu faults)|(system.+state.+changed )|(\[timeout)|(PRM\|1\|D)|(kpr)|(kdp)|(train st.+moving)|(\|lc)|(penalty))"</v>
      </c>
      <c r="AG207" s="206" t="str">
        <f t="shared" ref="AG207:AG231" si="115">DetSubdiv(A207)</f>
        <v>Other</v>
      </c>
      <c r="AH207" s="78" t="str">
        <f t="shared" si="54"/>
        <v>"%USERPROFILE%\Documents\GitHub\eaglep3\Utilities\RefineRTDCRunTimes.py" --tripid 301-08 --locoid 4044 --swversion DE.1.0.9.0 --startMP 204:462 --initTime 2017-09-08T18:39:23 --startdatetime 2017-09-08T18:41:53 --delay 49 --endMP 300:23299 --enddatetime 2017-09-08T18:49:50 --enforcementcount 0 &gt;&gt;C:\Users\stu\Documents\GitHub\eaglep3-reporting\EC\2017-09-08-refined-times.txt</v>
      </c>
      <c r="AI207" s="96" t="str">
        <f t="shared" si="55"/>
        <v>echo {"issue":{"subject":"","project_id":79,"tracker_id":40,"status_id":1,"priority_id":2,"assigned_to_id":338,"start_date":"2017-09-08","description":"","custom_fields":[{"id":1,"name":"Subdivision","value":"Other"},{"id":4,"name":"Milepost","value":"2.3299"},{"id":17,"name":"Train ID","value":"301-08"},{"id":16,"name":"Locomotive ID","value":"4044"},{"id":130,"name":"Impact","value":""},{"id":150,"name":"Time of Event (Mountain Time)","value":"18:49:50"},{"id":151,"name":"Denver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56"/>
        <v>start /low /b %USERPROFILE%\Documents\GitHub\eaglep3\Utilities\DownloadLogsFromS3.py --loco 4044 --day 2017-09-08</v>
      </c>
      <c r="AN207" s="151" t="str">
        <f t="shared" si="57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00:49:50"},{"id":29,"name":"Sharepoint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s="20" customFormat="1" x14ac:dyDescent="0.25">
      <c r="A208" s="32" t="s">
        <v>641</v>
      </c>
      <c r="B208" s="7">
        <v>4061</v>
      </c>
      <c r="C208" s="21" t="s">
        <v>197</v>
      </c>
      <c r="D208" s="21" t="s">
        <v>914</v>
      </c>
      <c r="E208" s="13">
        <v>42986.139131944445</v>
      </c>
      <c r="F208" s="13">
        <v>42986.143217592595</v>
      </c>
      <c r="G208" s="7">
        <v>85</v>
      </c>
      <c r="H208" s="21" t="s">
        <v>343</v>
      </c>
      <c r="I208" s="13">
        <v>42986.148506944446</v>
      </c>
      <c r="J208" s="7">
        <v>0</v>
      </c>
      <c r="K208" s="89" t="str">
        <f t="shared" si="102"/>
        <v>4061/4062</v>
      </c>
      <c r="L208" s="214" t="str">
        <f>VLOOKUP(A208,'Trips&amp;Operators'!$C$1:$G$99911,5,FALSE)</f>
        <v>MAELZER KURT</v>
      </c>
      <c r="M208" s="6">
        <f t="shared" si="103"/>
        <v>5.2893518513883464E-3</v>
      </c>
      <c r="N208" s="7">
        <f t="shared" si="104"/>
        <v>7.6166666659992188</v>
      </c>
      <c r="O208" s="7"/>
      <c r="P208" s="7"/>
      <c r="Q208" s="22"/>
      <c r="R208" s="167"/>
      <c r="S208" s="210">
        <f t="shared" si="105"/>
        <v>1</v>
      </c>
      <c r="T208" s="192" t="str">
        <f t="shared" si="106"/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 t="shared" si="107"/>
        <v>https://d0f6bd738d7f1b3e5a7ca70fe4ff75f0.us-east-1.aws.found.io/app/kibana#/discover/Steve-Slow-Train-Analysis-(2080s-and-2083s)?_g=(refreshInterval:(display:Off,pause:!f,section:0,value:0),time:(from:'2017-09-08T02:20:21-0600',mode:absolute,to:'2017-09-08T04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8" s="194" t="str">
        <f>IF(AA208&lt;VLOOKUP(AG208,Variables!$AC$3:$AD$8,2,FALSE),"Y","N")</f>
        <v>Y</v>
      </c>
      <c r="X208" s="194">
        <f t="shared" si="108"/>
        <v>1</v>
      </c>
      <c r="Y208" s="194">
        <f t="shared" si="109"/>
        <v>2.2221000000000002</v>
      </c>
      <c r="Z208" s="194">
        <f t="shared" si="110"/>
        <v>1.47E-2</v>
      </c>
      <c r="AA208" s="194">
        <f t="shared" si="111"/>
        <v>2.2074000000000003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112"/>
        <v>302</v>
      </c>
      <c r="AE208" s="77" t="str">
        <f t="shared" si="113"/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AF208" s="74" t="str">
        <f t="shared" si="114"/>
        <v>"C:\Program Files (x86)\AstroGrep\AstroGrep.exe" /e /r /s /spath="%USERPROFILE%\AppData\Local\Temp\OnboardLogs" /stypes="app*4061*20170908*" /stext=" 09:.+((SYSTEM_STATE.+slice.+state.+changed )|(ment ac)|(multiple cpu faults)|(system.+state.+changed )|(\[timeout)|(PRM\|1\|D)|(kpr)|(kdp)|(train st.+moving)|(\|lc)|(penalty))"</v>
      </c>
      <c r="AG208" s="206" t="str">
        <f t="shared" si="115"/>
        <v>Other</v>
      </c>
      <c r="AH208" s="78" t="str">
        <f t="shared" ref="AH208:AH231" si="116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302-08 --locoid 4061 --swversion DE.1.0.9.0 --startMP 300:22221 --initTime 2017-09-08T03:20:21 --startdatetime 2017-09-08T03:26:14 --delay 85 --endMP 204:147 --enddatetime 2017-09-08T03:33:51 --enforcementcount 0 &gt;&gt;C:\Users\stu\Documents\GitHub\eaglep3-reporting\EC\2017-09-08-refined-times.txt</v>
      </c>
      <c r="AI208" s="96" t="str">
        <f t="shared" ref="AI208:AI231" si="117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{"issue":{"subject":"","project_id":79,"tracker_id":40,"status_id":1,"priority_id":2,"assigned_to_id":338,"start_date":"2017-09-08","description":"","custom_fields":[{"id":1,"name":"Subdivision","value":"Other"},{"id":4,"name":"Milepost","value":"0.0147"},{"id":17,"name":"Train ID","value":"302-08"},{"id":16,"name":"Locomotive ID","value":"4061"},{"id":130,"name":"Impact","value":""},{"id":150,"name":"Time of Event (Mountain Time)","value":"03:33:51"},{"id":151,"name":"Denver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ref="AM208:AM231" si="118">"start /low /b "&amp;dls3logs&amp;" --loco "&amp;B208&amp;" --day "&amp;TEXT(F208,"YYYY-MM-DD")</f>
        <v>start /low /b %USERPROFILE%\Documents\GitHub\eaglep3\Utilities\DownloadLogsFromS3.py --loco 4061 --day 2017-09-08</v>
      </c>
      <c r="AN208" s="151" t="str">
        <f t="shared" ref="AN208:AN231" si="119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09:33:51"},{"id":29,"name":"Sharepoint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810</v>
      </c>
      <c r="B209" s="7">
        <v>4058</v>
      </c>
      <c r="C209" s="21" t="s">
        <v>197</v>
      </c>
      <c r="D209" s="21" t="s">
        <v>366</v>
      </c>
      <c r="E209" s="13">
        <v>42986.796631944446</v>
      </c>
      <c r="F209" s="13">
        <v>42986.798067129632</v>
      </c>
      <c r="G209" s="7">
        <v>64</v>
      </c>
      <c r="H209" s="21" t="s">
        <v>420</v>
      </c>
      <c r="I209" s="13">
        <v>42986.804074074076</v>
      </c>
      <c r="J209" s="7">
        <v>0</v>
      </c>
      <c r="K209" s="89" t="str">
        <f t="shared" si="102"/>
        <v>4057/4058</v>
      </c>
      <c r="L209" s="214" t="str">
        <f>VLOOKUP(A209,'Trips&amp;Operators'!$C$1:$G$99911,5,FALSE)</f>
        <v>LEVIN SCOTT</v>
      </c>
      <c r="M209" s="6">
        <f t="shared" si="103"/>
        <v>6.0069444443797693E-3</v>
      </c>
      <c r="N209" s="7">
        <f t="shared" si="104"/>
        <v>8.6499999999068677</v>
      </c>
      <c r="O209" s="7"/>
      <c r="P209" s="7"/>
      <c r="Q209" s="22"/>
      <c r="R209" s="167"/>
      <c r="S209" s="210">
        <f t="shared" si="105"/>
        <v>1</v>
      </c>
      <c r="T209" s="192" t="str">
        <f t="shared" si="106"/>
        <v>NorthBound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107"/>
        <v>https://d0f6bd738d7f1b3e5a7ca70fe4ff75f0.us-east-1.aws.found.io/app/kibana#/discover/Steve-Slow-Train-Analysis-(2080s-and-2083s)?_g=(refreshInterval:(display:Off,pause:!f,section:0,value:0),time:(from:'2017-09-08T18:07:09-0600',mode:absolute,to:'2017-09-08T20:17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9" s="194" t="str">
        <f>IF(AA209&lt;VLOOKUP(AG209,Variables!$AC$3:$AD$8,2,FALSE),"Y","N")</f>
        <v>Y</v>
      </c>
      <c r="X209" s="194">
        <f t="shared" si="108"/>
        <v>1</v>
      </c>
      <c r="Y209" s="194">
        <f t="shared" si="109"/>
        <v>4.6399999999999997E-2</v>
      </c>
      <c r="Z209" s="194">
        <f t="shared" si="110"/>
        <v>2.3346</v>
      </c>
      <c r="AA209" s="194">
        <f t="shared" si="111"/>
        <v>2.2881999999999998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112"/>
        <v>303</v>
      </c>
      <c r="AE209" s="77" t="str">
        <f t="shared" si="113"/>
        <v>aws s3 cp s3://rtdc.mdm.uploadarchive.raw/RTDC4058/ "%USERPROFILE%\AppData\Local\Temp\OnboardLogs"\RTDC4058\2017-09-08 --exclude "*" --recursive --include "*20170908*" &amp; "%USERPROFILE%\Documents\GitHub\mrs-test-scripts\Headless Mode &amp; Sideloading\WalkAndUnGZ.bat" "%USERPROFILE%\AppData\Local\Temp\OnboardLogs"\RTDC4058\2017-09-08 &amp; 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</v>
      </c>
      <c r="AF209" s="74" t="str">
        <f t="shared" si="114"/>
        <v>"C:\Program Files (x86)\AstroGrep\AstroGrep.exe" /e /r /s /spath="%USERPROFILE%\AppData\Local\Temp\OnboardLogs" /stypes="app*4058*20170909*" /stext=" 01:.+((SYSTEM_STATE.+slice.+state.+changed )|(ment ac)|(multiple cpu faults)|(system.+state.+changed )|(\[timeout)|(PRM\|1\|D)|(kpr)|(kdp)|(train st.+moving)|(\|lc)|(penalty))"</v>
      </c>
      <c r="AG209" s="206" t="str">
        <f t="shared" si="115"/>
        <v>Other</v>
      </c>
      <c r="AH209" s="78" t="str">
        <f t="shared" si="116"/>
        <v>"%USERPROFILE%\Documents\GitHub\eaglep3\Utilities\RefineRTDCRunTimes.py" --tripid 303-08 --locoid 4058 --swversion DE.1.0.9.0 --startMP 204:464 --initTime 2017-09-08T19:07:09 --startdatetime 2017-09-08T19:09:13 --delay 64 --endMP 300:23346 --enddatetime 2017-09-08T19:17:52 --enforcementcount 0 &gt;&gt;C:\Users\stu\Documents\GitHub\eaglep3-reporting\EC\2017-09-08-refined-times.txt</v>
      </c>
      <c r="AI209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{"issue":{"subject":"","project_id":79,"tracker_id":40,"status_id":1,"priority_id":2,"assigned_to_id":338,"start_date":"2017-09-08","description":"","custom_fields":[{"id":1,"name":"Subdivision","value":"Other"},{"id":4,"name":"Milepost","value":"2.3346"},{"id":17,"name":"Train ID","value":"303-08"},{"id":16,"name":"Locomotive ID","value":"4058"},{"id":130,"name":"Impact","value":""},{"id":150,"name":"Time of Event (Mountain Time)","value":"19:17:52"},{"id":151,"name":"Denver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18"/>
        <v>start /low /b %USERPROFILE%\Documents\GitHub\eaglep3\Utilities\DownloadLogsFromS3.py --loco 4058 --day 2017-09-08</v>
      </c>
      <c r="AN209" s="151" t="str">
        <f t="shared" si="11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01:17:52"},{"id":29,"name":"Sharepoint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644</v>
      </c>
      <c r="B210" s="7">
        <v>4005</v>
      </c>
      <c r="C210" s="21" t="s">
        <v>197</v>
      </c>
      <c r="D210" s="21" t="s">
        <v>915</v>
      </c>
      <c r="E210" s="13">
        <v>42986.160937499997</v>
      </c>
      <c r="F210" s="13">
        <v>42986.168692129628</v>
      </c>
      <c r="G210" s="7">
        <v>59</v>
      </c>
      <c r="H210" s="21" t="s">
        <v>464</v>
      </c>
      <c r="I210" s="13">
        <v>42986.174629629626</v>
      </c>
      <c r="J210" s="7">
        <v>0</v>
      </c>
      <c r="K210" s="89" t="str">
        <f t="shared" si="102"/>
        <v>4005/4006</v>
      </c>
      <c r="L210" s="214" t="str">
        <f>VLOOKUP(A210,'Trips&amp;Operators'!$C$1:$G$99911,5,FALSE)</f>
        <v>BONDS REYNALDO</v>
      </c>
      <c r="M210" s="6">
        <f t="shared" si="103"/>
        <v>5.9374999982537702E-3</v>
      </c>
      <c r="N210" s="7">
        <f t="shared" si="104"/>
        <v>8.549999997485429</v>
      </c>
      <c r="O210" s="7"/>
      <c r="P210" s="7"/>
      <c r="Q210" s="22"/>
      <c r="R210" s="167"/>
      <c r="S210" s="210">
        <f t="shared" si="105"/>
        <v>1</v>
      </c>
      <c r="T210" s="192" t="str">
        <f t="shared" si="106"/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 t="shared" si="107"/>
        <v>https://d0f6bd738d7f1b3e5a7ca70fe4ff75f0.us-east-1.aws.found.io/app/kibana#/discover/Steve-Slow-Train-Analysis-(2080s-and-2083s)?_g=(refreshInterval:(display:Off,pause:!f,section:0,value:0),time:(from:'2017-09-08T02:51:45-0600',mode:absolute,to:'2017-09-08T05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0" s="194" t="str">
        <f>IF(AA210&lt;VLOOKUP(AG210,Variables!$AC$3:$AD$8,2,FALSE),"Y","N")</f>
        <v>Y</v>
      </c>
      <c r="X210" s="194">
        <f t="shared" ref="X210:X231" si="120">VALUE(LEFT(AD210,4))-VALUE(LEFT(AD209,4))</f>
        <v>1</v>
      </c>
      <c r="Y210" s="194">
        <f t="shared" si="109"/>
        <v>2.3559000000000001</v>
      </c>
      <c r="Z210" s="194">
        <f t="shared" si="110"/>
        <v>1.3899999999999999E-2</v>
      </c>
      <c r="AA210" s="194">
        <f t="shared" si="111"/>
        <v>2.3420000000000001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si="112"/>
        <v>304</v>
      </c>
      <c r="AE210" s="77" t="str">
        <f t="shared" si="113"/>
        <v>aws s3 cp s3://rtdc.mdm.uploadarchive.raw/RTDC4005/ "%USERPROFILE%\AppData\Local\Temp\OnboardLogs"\RTDC4005\2017-09-08 --exclude "*" --recursive --include "*20170908*" &amp; "%USERPROFILE%\Documents\GitHub\mrs-test-scripts\Headless Mode &amp; Sideloading\WalkAndUnGZ.bat" "%USERPROFILE%\AppData\Local\Temp\OnboardLogs"\RTDC4005\2017-09-08 &amp; aws s3 cp s3://rtdc.mdm.uploadarchive.raw/RTDC4005/ "%USERPROFILE%\AppData\Local\Temp\OnboardLogs"\RTDC4005\2017-09-09 --exclude "*" --recursive --include "*20170909*" &amp; "%USERPROFILE%\Documents\GitHub\mrs-test-scripts\Headless Mode &amp; Sideloading\WalkAndUnGZ.bat" "%USERPROFILE%\AppData\Local\Temp\OnboardLogs"\RTDC4005\2017-09-09</v>
      </c>
      <c r="AF210" s="74" t="str">
        <f t="shared" si="114"/>
        <v>"C:\Program Files (x86)\AstroGrep\AstroGrep.exe" /e /r /s /spath="%USERPROFILE%\AppData\Local\Temp\OnboardLogs" /stypes="app*4005*20170908*" /stext=" 10:.+((SYSTEM_STATE.+slice.+state.+changed )|(ment ac)|(multiple cpu faults)|(system.+state.+changed )|(\[timeout)|(PRM\|1\|D)|(kpr)|(kdp)|(train st.+moving)|(\|lc)|(penalty))"</v>
      </c>
      <c r="AG210" s="206" t="str">
        <f t="shared" si="115"/>
        <v>Other</v>
      </c>
      <c r="AH210" s="78" t="str">
        <f t="shared" si="116"/>
        <v>"%USERPROFILE%\Documents\GitHub\eaglep3\Utilities\RefineRTDCRunTimes.py" --tripid 304-08 --locoid 4005 --swversion DE.1.0.9.0 --startMP 300:23559 --initTime 2017-09-08T03:51:45 --startdatetime 2017-09-08T04:02:55 --delay 59 --endMP 204:139 --enddatetime 2017-09-08T04:11:28 --enforcementcount 0 &gt;&gt;C:\Users\stu\Documents\GitHub\eaglep3-reporting\EC\2017-09-08-refined-times.txt</v>
      </c>
      <c r="AI210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{"issue":{"subject":"","project_id":79,"tracker_id":40,"status_id":1,"priority_id":2,"assigned_to_id":338,"start_date":"2017-09-08","description":"","custom_fields":[{"id":1,"name":"Subdivision","value":"Other"},{"id":4,"name":"Milepost","value":"0.0139"},{"id":17,"name":"Train ID","value":"304-08"},{"id":16,"name":"Locomotive ID","value":"4005"},{"id":130,"name":"Impact","value":""},{"id":150,"name":"Time of Event (Mountain Time)","value":"04:11:28"},{"id":151,"name":"Denver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18"/>
        <v>start /low /b %USERPROFILE%\Documents\GitHub\eaglep3\Utilities\DownloadLogsFromS3.py --loco 4005 --day 2017-09-08</v>
      </c>
      <c r="AN210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10:11:28"},{"id":29,"name":"Sharepoint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814</v>
      </c>
      <c r="B211" s="7">
        <v>4032</v>
      </c>
      <c r="C211" s="21" t="s">
        <v>197</v>
      </c>
      <c r="D211" s="21" t="s">
        <v>405</v>
      </c>
      <c r="E211" s="13">
        <v>42986.818506944444</v>
      </c>
      <c r="F211" s="13">
        <v>42986.820185185185</v>
      </c>
      <c r="G211" s="7">
        <v>83</v>
      </c>
      <c r="H211" s="21" t="s">
        <v>916</v>
      </c>
      <c r="I211" s="13">
        <v>42986.826493055552</v>
      </c>
      <c r="J211" s="7">
        <v>0</v>
      </c>
      <c r="K211" s="89" t="str">
        <f t="shared" si="102"/>
        <v>4031/4032</v>
      </c>
      <c r="L211" s="214" t="str">
        <f>VLOOKUP(A211,'Trips&amp;Operators'!$C$1:$G$99911,5,FALSE)</f>
        <v>HOLCOMB KAMDEN</v>
      </c>
      <c r="M211" s="6">
        <f t="shared" si="103"/>
        <v>6.3078703678911552E-3</v>
      </c>
      <c r="N211" s="7">
        <f t="shared" si="104"/>
        <v>9.0833333297632635</v>
      </c>
      <c r="O211" s="7"/>
      <c r="P211" s="7"/>
      <c r="Q211" s="22"/>
      <c r="R211" s="167"/>
      <c r="S211" s="210">
        <f t="shared" si="105"/>
        <v>1</v>
      </c>
      <c r="T211" s="192" t="str">
        <f t="shared" si="106"/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 t="shared" si="107"/>
        <v>https://d0f6bd738d7f1b3e5a7ca70fe4ff75f0.us-east-1.aws.found.io/app/kibana#/discover/Steve-Slow-Train-Analysis-(2080s-and-2083s)?_g=(refreshInterval:(display:Off,pause:!f,section:0,value:0),time:(from:'2017-09-08T18:38:39-0600',mode:absolute,to:'2017-09-08T20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1" s="194" t="str">
        <f>IF(AA211&lt;VLOOKUP(AG211,Variables!$AC$3:$AD$8,2,FALSE),"Y","N")</f>
        <v>Y</v>
      </c>
      <c r="X211" s="194">
        <f t="shared" si="120"/>
        <v>1</v>
      </c>
      <c r="Y211" s="194">
        <f t="shared" si="109"/>
        <v>4.5999999999999999E-2</v>
      </c>
      <c r="Z211" s="194">
        <f t="shared" si="110"/>
        <v>2.3308</v>
      </c>
      <c r="AA211" s="194">
        <f t="shared" si="111"/>
        <v>2.2848000000000002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112"/>
        <v>305</v>
      </c>
      <c r="AE211" s="77" t="str">
        <f t="shared" si="113"/>
        <v>aws s3 cp s3://rtdc.mdm.uploadarchive.raw/RTDC4032/ "%USERPROFILE%\AppData\Local\Temp\OnboardLogs"\RTDC4032\2017-09-08 --exclude "*" --recursive --include "*20170908*" &amp; "%USERPROFILE%\Documents\GitHub\mrs-test-scripts\Headless Mode &amp; Sideloading\WalkAndUnGZ.bat" "%USERPROFILE%\AppData\Local\Temp\OnboardLogs"\RTDC4032\2017-09-08 &amp; aws s3 cp s3://rtdc.mdm.uploadarchive.raw/RTDC4032/ "%USERPROFILE%\AppData\Local\Temp\OnboardLogs"\RTDC4032\2017-09-09 --exclude "*" --recursive --include "*20170909*" &amp; "%USERPROFILE%\Documents\GitHub\mrs-test-scripts\Headless Mode &amp; Sideloading\WalkAndUnGZ.bat" "%USERPROFILE%\AppData\Local\Temp\OnboardLogs"\RTDC4032\2017-09-09</v>
      </c>
      <c r="AF211" s="74" t="str">
        <f t="shared" si="114"/>
        <v>"C:\Program Files (x86)\AstroGrep\AstroGrep.exe" /e /r /s /spath="%USERPROFILE%\AppData\Local\Temp\OnboardLogs" /stypes="app*4032*20170909*" /stext=" 01:.+((SYSTEM_STATE.+slice.+state.+changed )|(ment ac)|(multiple cpu faults)|(system.+state.+changed )|(\[timeout)|(PRM\|1\|D)|(kpr)|(kdp)|(train st.+moving)|(\|lc)|(penalty))"</v>
      </c>
      <c r="AG211" s="206" t="str">
        <f t="shared" si="115"/>
        <v>Other</v>
      </c>
      <c r="AH211" s="78" t="str">
        <f t="shared" si="116"/>
        <v>"%USERPROFILE%\Documents\GitHub\eaglep3\Utilities\RefineRTDCRunTimes.py" --tripid 305-08 --locoid 4032 --swversion DE.1.0.9.0 --startMP 204:460 --initTime 2017-09-08T19:38:39 --startdatetime 2017-09-08T19:41:04 --delay 83 --endMP 300:23308 --enddatetime 2017-09-08T19:50:09 --enforcementcount 0 &gt;&gt;C:\Users\stu\Documents\GitHub\eaglep3-reporting\EC\2017-09-08-refined-times.txt</v>
      </c>
      <c r="AI211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{"issue":{"subject":"","project_id":79,"tracker_id":40,"status_id":1,"priority_id":2,"assigned_to_id":338,"start_date":"2017-09-08","description":"","custom_fields":[{"id":1,"name":"Subdivision","value":"Other"},{"id":4,"name":"Milepost","value":"2.3308"},{"id":17,"name":"Train ID","value":"305-08"},{"id":16,"name":"Locomotive ID","value":"4032"},{"id":130,"name":"Impact","value":""},{"id":150,"name":"Time of Event (Mountain Time)","value":"19:50:09"},{"id":151,"name":"Denver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18"/>
        <v>start /low /b %USERPROFILE%\Documents\GitHub\eaglep3\Utilities\DownloadLogsFromS3.py --loco 4032 --day 2017-09-08</v>
      </c>
      <c r="AN211" s="151" t="str">
        <f t="shared" si="11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01:50:09"},{"id":29,"name":"Sharepoint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645</v>
      </c>
      <c r="B212" s="7">
        <v>4033</v>
      </c>
      <c r="C212" s="21" t="s">
        <v>197</v>
      </c>
      <c r="D212" s="21" t="s">
        <v>917</v>
      </c>
      <c r="E212" s="13">
        <v>42986.171527777777</v>
      </c>
      <c r="F212" s="13">
        <v>42986.175150462965</v>
      </c>
      <c r="G212" s="7">
        <v>133</v>
      </c>
      <c r="H212" s="21" t="s">
        <v>918</v>
      </c>
      <c r="I212" s="13">
        <v>42986.177303240744</v>
      </c>
      <c r="J212" s="7">
        <v>0</v>
      </c>
      <c r="K212" s="89" t="str">
        <f t="shared" si="102"/>
        <v>4033/4034</v>
      </c>
      <c r="L212" s="214" t="str">
        <f>VLOOKUP(A212,'Trips&amp;Operators'!$C$1:$G$99911,5,FALSE)</f>
        <v>BARRON PERLA</v>
      </c>
      <c r="M212" s="6">
        <f t="shared" si="103"/>
        <v>2.1527777789742686E-3</v>
      </c>
      <c r="N212" s="7">
        <f t="shared" si="104"/>
        <v>3.1000000017229468</v>
      </c>
      <c r="O212" s="7"/>
      <c r="P212" s="7"/>
      <c r="Q212" s="22"/>
      <c r="R212" s="167" t="s">
        <v>1016</v>
      </c>
      <c r="S212" s="210">
        <f t="shared" si="105"/>
        <v>0</v>
      </c>
      <c r="T212" s="192" t="str">
        <f t="shared" si="106"/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3" t="str">
        <f t="shared" si="107"/>
        <v>https://d0f6bd738d7f1b3e5a7ca70fe4ff75f0.us-east-1.aws.found.io/app/kibana#/discover/Steve-Slow-Train-Analysis-(2080s-and-2083s)?_g=(refreshInterval:(display:Off,pause:!f,section:0,value:0),time:(from:'2017-09-08T03:07:00-0600',mode:absolute,to:'2017-09-08T05:15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2" s="194" t="str">
        <f>IF(AA212&lt;VLOOKUP(AG212,Variables!$AC$3:$AD$8,2,FALSE),"Y","N")</f>
        <v>Y</v>
      </c>
      <c r="X212" s="194">
        <f t="shared" si="120"/>
        <v>1</v>
      </c>
      <c r="Y212" s="194">
        <f t="shared" si="109"/>
        <v>2.3986999999999998</v>
      </c>
      <c r="Z212" s="194">
        <f t="shared" si="110"/>
        <v>1.9406000000000001</v>
      </c>
      <c r="AA212" s="194">
        <f t="shared" si="111"/>
        <v>0.45809999999999973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si="112"/>
        <v>306</v>
      </c>
      <c r="AE212" s="77" t="str">
        <f t="shared" si="113"/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AF212" s="74" t="str">
        <f t="shared" si="114"/>
        <v>"C:\Program Files (x86)\AstroGrep\AstroGrep.exe" /e /r /s /spath="%USERPROFILE%\AppData\Local\Temp\OnboardLogs" /stypes="app*4033*20170908*" /stext=" 10:.+((SYSTEM_STATE.+slice.+state.+changed )|(ment ac)|(multiple cpu faults)|(system.+state.+changed )|(\[timeout)|(PRM\|1\|D)|(kpr)|(kdp)|(train st.+moving)|(\|lc)|(penalty))"</v>
      </c>
      <c r="AG212" s="206" t="str">
        <f t="shared" si="115"/>
        <v>Other</v>
      </c>
      <c r="AH212" s="78" t="str">
        <f t="shared" si="116"/>
        <v>"%USERPROFILE%\Documents\GitHub\eaglep3\Utilities\RefineRTDCRunTimes.py" --tripid 306-08 --locoid 4033 --swversion DE.1.0.9.0 --startMP 300:23987 --initTime 2017-09-08T04:07:00 --startdatetime 2017-09-08T04:12:13 --delay 133 --endMP 300:19406 --enddatetime 2017-09-08T04:15:19 --enforcementcount 0 &gt;&gt;C:\Users\stu\Documents\GitHub\eaglep3-reporting\EC\2017-09-08-refined-times.txt</v>
      </c>
      <c r="AI212" s="96" t="str">
        <f t="shared" si="117"/>
        <v>echo {"issue":{"subject":"Red fence due to mid-block init","project_id":79,"tracker_id":40,"status_id":1,"priority_id":2,"assigned_to_id":338,"start_date":"2017-09-08","description":"","custom_fields":[{"id":1,"name":"Subdivision","value":"Other"},{"id":4,"name":"Milepost","value":"1.9406"},{"id":17,"name":"Train ID","value":"306-08"},{"id":16,"name":"Locomotive ID","value":"4033"},{"id":130,"name":"Impact","value":""},{"id":150,"name":"Time of Event (Mountain Time)","value":"04:15:19"},{"id":151,"name":"Denver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8"/>
        <v>start /low /b %USERPROFILE%\Documents\GitHub\eaglep3\Utilities\DownloadLogsFromS3.py --loco 4033 --day 2017-09-08</v>
      </c>
      <c r="AN212" s="151" t="str">
        <f t="shared" si="119"/>
        <v>echo {"issue":{"subject":"Red fence due to mid-block init","project_id":30,"tracker_id":4,"status_id":1,"priority_id":1,"assigned_to_id":10,"start_date":"2017-09-08","description":"","custom_fields":[{"id":30,"name":"Category","value":"Issue"},{"id":3,"name":"Functional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10:15:19"},{"id":29,"name":"Sharepoint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840</v>
      </c>
      <c r="B213" s="7">
        <v>4062</v>
      </c>
      <c r="C213" s="21" t="s">
        <v>197</v>
      </c>
      <c r="D213" s="21" t="s">
        <v>523</v>
      </c>
      <c r="E213" s="13">
        <v>42987.047500000001</v>
      </c>
      <c r="F213" s="13">
        <v>42987.04892361111</v>
      </c>
      <c r="G213" s="7">
        <v>52</v>
      </c>
      <c r="H213" s="21" t="s">
        <v>919</v>
      </c>
      <c r="I213" s="13">
        <v>25568.708333333332</v>
      </c>
      <c r="J213" s="7">
        <v>0</v>
      </c>
      <c r="K213" s="89" t="str">
        <f t="shared" si="102"/>
        <v>4061/4062</v>
      </c>
      <c r="L213" s="214" t="str">
        <f>VLOOKUP(A213,'Trips&amp;Operators'!$C$1:$G$99911,5,FALSE)</f>
        <v>MCREYNOLDS KYLE</v>
      </c>
      <c r="M213" s="6">
        <f t="shared" si="103"/>
        <v>-17418.340590277778</v>
      </c>
      <c r="N213" s="7">
        <f t="shared" si="104"/>
        <v>-25082410.449999999</v>
      </c>
      <c r="O213" s="7"/>
      <c r="P213" s="7"/>
      <c r="Q213" s="22"/>
      <c r="R213" s="167"/>
      <c r="S213" s="210">
        <f t="shared" si="105"/>
        <v>1</v>
      </c>
      <c r="T213" s="192" t="str">
        <f t="shared" si="106"/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107"/>
        <v>https://d0f6bd738d7f1b3e5a7ca70fe4ff75f0.us-east-1.aws.found.io/app/kibana#/discover/Steve-Slow-Train-Analysis-(2080s-and-2083s)?_g=(refreshInterval:(display:Off,pause:!f,section:0,value:0),time:(from:'2017-09-09T00:08:24-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3" s="194" t="str">
        <f>IF(AA213&lt;VLOOKUP(AG213,Variables!$AC$3:$AD$8,2,FALSE),"Y","N")</f>
        <v>Y</v>
      </c>
      <c r="X213" s="194">
        <f t="shared" si="120"/>
        <v>1</v>
      </c>
      <c r="Y213" s="194">
        <f t="shared" si="109"/>
        <v>4.8000000000000001E-2</v>
      </c>
      <c r="Z213" s="194">
        <f t="shared" si="110"/>
        <v>2.3104</v>
      </c>
      <c r="AA213" s="194">
        <f t="shared" si="111"/>
        <v>2.2624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112"/>
        <v>307</v>
      </c>
      <c r="AE213" s="77" t="str">
        <f t="shared" si="113"/>
        <v>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 &amp; aws s3 cp s3://rtdc.mdm.uploadarchive.raw/RTDC4062/ "%USERPROFILE%\AppData\Local\Temp\OnboardLogs"\RTDC4062\2017-09-10 --exclude "*" --recursive --include "*20170910*" &amp; "%USERPROFILE%\Documents\GitHub\mrs-test-scripts\Headless Mode &amp; Sideloading\WalkAndUnGZ.bat" "%USERPROFILE%\AppData\Local\Temp\OnboardLogs"\RTDC4062\2017-09-10</v>
      </c>
      <c r="AF213" s="74" t="str">
        <f t="shared" si="114"/>
        <v>"C:\Program Files (x86)\AstroGrep\AstroGrep.exe" /e /r /s /spath="%USERPROFILE%\AppData\Local\Temp\OnboardLogs" /stypes="app*4062*19691231*" /stext=" 23:.+((SYSTEM_STATE.+slice.+state.+changed )|(ment ac)|(multiple cpu faults)|(system.+state.+changed )|(\[timeout)|(PRM\|1\|D)|(kpr)|(kdp)|(train st.+moving)|(\|lc)|(penalty))"</v>
      </c>
      <c r="AG213" s="206" t="str">
        <f t="shared" si="115"/>
        <v>Other</v>
      </c>
      <c r="AH213" s="78" t="str">
        <f t="shared" si="116"/>
        <v>"%USERPROFILE%\Documents\GitHub\eaglep3\Utilities\RefineRTDCRunTimes.py" --tripid 307-08 --locoid 4062 --swversion DE.1.0.9.0 --startMP 204:480 --initTime 2017-09-09T01:08:24 --startdatetime 2017-09-09T01:10:27 --delay 52 --endMP 300:23104 --enddatetime 1969-12-31T17:00:00 --enforcementcount 0 &gt;&gt;C:\Users\stu\Documents\GitHub\eaglep3-reporting\EC\2017-09-08-refined-times.txt</v>
      </c>
      <c r="AI213" s="96" t="str">
        <f t="shared" si="117"/>
        <v>echo {"issue":{"subject":"","project_id":79,"tracker_id":40,"status_id":1,"priority_id":2,"assigned_to_id":338,"start_date":"1969-12-31","description":"","custom_fields":[{"id":1,"name":"Subdivision","value":"Other"},{"id":4,"name":"Milepost","value":"2.3104"},{"id":17,"name":"Train ID","value":"307-08"},{"id":16,"name":"Locomotive ID","value":"4062"},{"id":130,"name":"Impact","value":""},{"id":150,"name":"Time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18"/>
        <v>start /low /b %USERPROFILE%\Documents\GitHub\eaglep3\Utilities\DownloadLogsFromS3.py --loco 4062 --day 2017-09-09</v>
      </c>
      <c r="AN213" s="151" t="str">
        <f t="shared" si="11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648</v>
      </c>
      <c r="B214" s="7">
        <v>4043</v>
      </c>
      <c r="C214" s="21" t="s">
        <v>197</v>
      </c>
      <c r="D214" s="21" t="s">
        <v>920</v>
      </c>
      <c r="E214" s="13">
        <v>42986.178530092591</v>
      </c>
      <c r="F214" s="13">
        <v>42986.184907407405</v>
      </c>
      <c r="G214" s="7">
        <v>170</v>
      </c>
      <c r="H214" s="21" t="s">
        <v>343</v>
      </c>
      <c r="I214" s="13">
        <v>42986.190844907411</v>
      </c>
      <c r="J214" s="7">
        <v>0</v>
      </c>
      <c r="K214" s="89" t="str">
        <f t="shared" si="102"/>
        <v>4043/4044</v>
      </c>
      <c r="L214" s="214" t="str">
        <f>VLOOKUP(A214,'Trips&amp;Operators'!$C$1:$G$99911,5,FALSE)</f>
        <v>DAVIS WENDY</v>
      </c>
      <c r="M214" s="6">
        <f t="shared" si="103"/>
        <v>5.9375000055297278E-3</v>
      </c>
      <c r="N214" s="7">
        <f t="shared" si="104"/>
        <v>8.550000007962808</v>
      </c>
      <c r="O214" s="7"/>
      <c r="P214" s="7"/>
      <c r="Q214" s="22"/>
      <c r="R214" s="167"/>
      <c r="S214" s="210">
        <f t="shared" si="105"/>
        <v>1</v>
      </c>
      <c r="T214" s="192" t="str">
        <f t="shared" si="106"/>
        <v>Southbound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 t="shared" si="107"/>
        <v>https://d0f6bd738d7f1b3e5a7ca70fe4ff75f0.us-east-1.aws.found.io/app/kibana#/discover/Steve-Slow-Train-Analysis-(2080s-and-2083s)?_g=(refreshInterval:(display:Off,pause:!f,section:0,value:0),time:(from:'2017-09-08T03:17:05-0600',mode:absolute,to:'2017-09-08T05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4" s="194" t="str">
        <f>IF(AA214&lt;VLOOKUP(AG214,Variables!$AC$3:$AD$8,2,FALSE),"Y","N")</f>
        <v>Y</v>
      </c>
      <c r="X214" s="194">
        <f t="shared" si="120"/>
        <v>1</v>
      </c>
      <c r="Y214" s="194">
        <f t="shared" si="109"/>
        <v>2.2561</v>
      </c>
      <c r="Z214" s="194">
        <f t="shared" si="110"/>
        <v>1.47E-2</v>
      </c>
      <c r="AA214" s="194">
        <f t="shared" si="111"/>
        <v>2.2414000000000001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112"/>
        <v>308</v>
      </c>
      <c r="AE214" s="77" t="str">
        <f t="shared" si="113"/>
        <v>aws s3 cp s3://rtdc.mdm.uploadarchive.raw/RTDC4043/ "%USERPROFILE%\AppData\Local\Temp\OnboardLogs"\RTDC4043\2017-09-08 --exclude "*" --recursive --include "*20170908*" &amp; "%USERPROFILE%\Documents\GitHub\mrs-test-scripts\Headless Mode &amp; Sideloading\WalkAndUnGZ.bat" "%USERPROFILE%\AppData\Local\Temp\OnboardLogs"\RTDC4043\2017-09-08 &amp; aws s3 cp s3://rtdc.mdm.uploadarchive.raw/RTDC4043/ "%USERPROFILE%\AppData\Local\Temp\OnboardLogs"\RTDC4043\2017-09-09 --exclude "*" --recursive --include "*20170909*" &amp; "%USERPROFILE%\Documents\GitHub\mrs-test-scripts\Headless Mode &amp; Sideloading\WalkAndUnGZ.bat" "%USERPROFILE%\AppData\Local\Temp\OnboardLogs"\RTDC4043\2017-09-09</v>
      </c>
      <c r="AF214" s="74" t="str">
        <f t="shared" si="114"/>
        <v>"C:\Program Files (x86)\AstroGrep\AstroGrep.exe" /e /r /s /spath="%USERPROFILE%\AppData\Local\Temp\OnboardLogs" /stypes="app*4043*20170908*" /stext=" 10:.+((SYSTEM_STATE.+slice.+state.+changed )|(ment ac)|(multiple cpu faults)|(system.+state.+changed )|(\[timeout)|(PRM\|1\|D)|(kpr)|(kdp)|(train st.+moving)|(\|lc)|(penalty))"</v>
      </c>
      <c r="AG214" s="206" t="str">
        <f t="shared" si="115"/>
        <v>Other</v>
      </c>
      <c r="AH214" s="78" t="str">
        <f t="shared" si="116"/>
        <v>"%USERPROFILE%\Documents\GitHub\eaglep3\Utilities\RefineRTDCRunTimes.py" --tripid 308-08 --locoid 4043 --swversion DE.1.0.9.0 --startMP 300:22561 --initTime 2017-09-08T04:17:05 --startdatetime 2017-09-08T04:26:16 --delay 170 --endMP 204:147 --enddatetime 2017-09-08T04:34:49 --enforcementcount 0 &gt;&gt;C:\Users\stu\Documents\GitHub\eaglep3-reporting\EC\2017-09-08-refined-times.txt</v>
      </c>
      <c r="AI214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{"issue":{"subject":"","project_id":79,"tracker_id":40,"status_id":1,"priority_id":2,"assigned_to_id":338,"start_date":"2017-09-08","description":"","custom_fields":[{"id":1,"name":"Subdivision","value":"Other"},{"id":4,"name":"Milepost","value":"0.0147"},{"id":17,"name":"Train ID","value":"308-08"},{"id":16,"name":"Locomotive ID","value":"4043"},{"id":130,"name":"Impact","value":""},{"id":150,"name":"Time of Event (Mountain Time)","value":"04:34:49"},{"id":151,"name":"Denver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18"/>
        <v>start /low /b %USERPROFILE%\Documents\GitHub\eaglep3\Utilities\DownloadLogsFromS3.py --loco 4043 --day 2017-09-08</v>
      </c>
      <c r="AN214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10:34:49"},{"id":29,"name":"Sharepoint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842</v>
      </c>
      <c r="B215" s="7">
        <v>4006</v>
      </c>
      <c r="C215" s="21" t="s">
        <v>197</v>
      </c>
      <c r="D215" s="21" t="s">
        <v>366</v>
      </c>
      <c r="E215" s="13">
        <v>42987.068379629629</v>
      </c>
      <c r="F215" s="13">
        <v>42987.070451388892</v>
      </c>
      <c r="G215" s="7">
        <v>53</v>
      </c>
      <c r="H215" s="21" t="s">
        <v>921</v>
      </c>
      <c r="I215" s="13">
        <v>42987.077337962961</v>
      </c>
      <c r="J215" s="7">
        <v>0</v>
      </c>
      <c r="K215" s="89" t="str">
        <f t="shared" si="102"/>
        <v>4005/4006</v>
      </c>
      <c r="L215" s="214" t="str">
        <f>VLOOKUP(A215,'Trips&amp;Operators'!$C$1:$G$99911,5,FALSE)</f>
        <v>PERKINS DARREN</v>
      </c>
      <c r="M215" s="6">
        <f t="shared" si="103"/>
        <v>6.8865740686305799E-3</v>
      </c>
      <c r="N215" s="7">
        <f t="shared" si="104"/>
        <v>9.916666658828035</v>
      </c>
      <c r="O215" s="7"/>
      <c r="P215" s="7"/>
      <c r="Q215" s="22"/>
      <c r="R215" s="167"/>
      <c r="S215" s="210">
        <f t="shared" si="105"/>
        <v>1</v>
      </c>
      <c r="T215" s="192" t="str">
        <f t="shared" si="106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 t="shared" si="107"/>
        <v>https://d0f6bd738d7f1b3e5a7ca70fe4ff75f0.us-east-1.aws.found.io/app/kibana#/discover/Steve-Slow-Train-Analysis-(2080s-and-2083s)?_g=(refreshInterval:(display:Off,pause:!f,section:0,value:0),time:(from:'2017-09-09T00:38:28-0600',mode:absolute,to:'2017-09-09T02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5" s="194" t="str">
        <f>IF(AA215&lt;VLOOKUP(AG215,Variables!$AC$3:$AD$8,2,FALSE),"Y","N")</f>
        <v>Y</v>
      </c>
      <c r="X215" s="194">
        <f t="shared" si="120"/>
        <v>1</v>
      </c>
      <c r="Y215" s="194">
        <f t="shared" si="109"/>
        <v>4.6399999999999997E-2</v>
      </c>
      <c r="Z215" s="194">
        <f t="shared" si="110"/>
        <v>2.3304</v>
      </c>
      <c r="AA215" s="194">
        <f t="shared" si="111"/>
        <v>2.2839999999999998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112"/>
        <v>309</v>
      </c>
      <c r="AE215" s="77" t="str">
        <f t="shared" si="113"/>
        <v>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 &amp; 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</v>
      </c>
      <c r="AF215" s="74" t="str">
        <f t="shared" si="114"/>
        <v>"C:\Program Files (x86)\AstroGrep\AstroGrep.exe" /e /r /s /spath="%USERPROFILE%\AppData\Local\Temp\OnboardLogs" /stypes="app*4006*20170909*" /stext=" 07:.+((SYSTEM_STATE.+slice.+state.+changed )|(ment ac)|(multiple cpu faults)|(system.+state.+changed )|(\[timeout)|(PRM\|1\|D)|(kpr)|(kdp)|(train st.+moving)|(\|lc)|(penalty))"</v>
      </c>
      <c r="AG215" s="206" t="str">
        <f t="shared" si="115"/>
        <v>Other</v>
      </c>
      <c r="AH215" s="78" t="str">
        <f t="shared" si="116"/>
        <v>"%USERPROFILE%\Documents\GitHub\eaglep3\Utilities\RefineRTDCRunTimes.py" --tripid 309-08 --locoid 4006 --swversion DE.1.0.9.0 --startMP 204:464 --initTime 2017-09-09T01:38:28 --startdatetime 2017-09-09T01:41:27 --delay 53 --endMP 300:23304 --enddatetime 2017-09-09T01:51:22 --enforcementcount 0 &gt;&gt;C:\Users\stu\Documents\GitHub\eaglep3-reporting\EC\2017-09-08-refined-times.txt</v>
      </c>
      <c r="AI215" s="96" t="str">
        <f t="shared" si="117"/>
        <v>echo {"issue":{"subject":"","project_id":79,"tracker_id":40,"status_id":1,"priority_id":2,"assigned_to_id":338,"start_date":"2017-09-09","description":"","custom_fields":[{"id":1,"name":"Subdivision","value":"Other"},{"id":4,"name":"Milepost","value":"2.3304"},{"id":17,"name":"Train ID","value":"309-08"},{"id":16,"name":"Locomotive ID","value":"4006"},{"id":130,"name":"Impact","value":""},{"id":150,"name":"Time of Event (Mountain Time)","value":"01:51:22"},{"id":151,"name":"Denver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18"/>
        <v>start /low /b %USERPROFILE%\Documents\GitHub\eaglep3\Utilities\DownloadLogsFromS3.py --loco 4006 --day 2017-09-09</v>
      </c>
      <c r="AN215" s="151" t="str">
        <f t="shared" si="11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07:51:22"},{"id":29,"name":"Sharepoint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652</v>
      </c>
      <c r="B216" s="7">
        <v>4057</v>
      </c>
      <c r="C216" s="21" t="s">
        <v>197</v>
      </c>
      <c r="D216" s="21" t="s">
        <v>922</v>
      </c>
      <c r="E216" s="13">
        <v>42986.19730324074</v>
      </c>
      <c r="F216" s="13">
        <v>42986.202256944445</v>
      </c>
      <c r="G216" s="7">
        <v>88</v>
      </c>
      <c r="H216" s="21" t="s">
        <v>913</v>
      </c>
      <c r="I216" s="13">
        <v>42986.202453703707</v>
      </c>
      <c r="J216" s="7">
        <v>0</v>
      </c>
      <c r="K216" s="89" t="str">
        <f t="shared" si="102"/>
        <v>4057/4058</v>
      </c>
      <c r="L216" s="214" t="str">
        <f>VLOOKUP(A216,'Trips&amp;Operators'!$C$1:$G$99911,5,FALSE)</f>
        <v>MACDONALD THOMAS</v>
      </c>
      <c r="M216" s="6">
        <f t="shared" si="103"/>
        <v>1.9675926159834489E-4</v>
      </c>
      <c r="N216" s="7">
        <f t="shared" si="104"/>
        <v>0.28333333670161664</v>
      </c>
      <c r="O216" s="7"/>
      <c r="P216" s="7"/>
      <c r="Q216" s="22"/>
      <c r="R216" s="167"/>
      <c r="S216" s="210">
        <f t="shared" si="105"/>
        <v>1</v>
      </c>
      <c r="T216" s="192" t="str">
        <f t="shared" si="106"/>
        <v>Southbound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 t="shared" si="107"/>
        <v>https://d0f6bd738d7f1b3e5a7ca70fe4ff75f0.us-east-1.aws.found.io/app/kibana#/discover/Steve-Slow-Train-Analysis-(2080s-and-2083s)?_g=(refreshInterval:(display:Off,pause:!f,section:0,value:0),time:(from:'2017-09-08T03:44:07-0600',mode:absolute,to:'2017-09-08T05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6" s="194" t="str">
        <f>IF(AA216&lt;VLOOKUP(AG216,Variables!$AC$3:$AD$8,2,FALSE),"Y","N")</f>
        <v>Y</v>
      </c>
      <c r="X216" s="194">
        <f t="shared" si="120"/>
        <v>1</v>
      </c>
      <c r="Y216" s="194">
        <f t="shared" si="109"/>
        <v>2.5463</v>
      </c>
      <c r="Z216" s="194">
        <f t="shared" si="110"/>
        <v>1.6500000000000001E-2</v>
      </c>
      <c r="AA216" s="194">
        <f t="shared" si="111"/>
        <v>2.5297999999999998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112"/>
        <v>310</v>
      </c>
      <c r="AE216" s="77" t="str">
        <f t="shared" si="113"/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AF216" s="74" t="str">
        <f t="shared" si="114"/>
        <v>"C:\Program Files (x86)\AstroGrep\AstroGrep.exe" /e /r /s /spath="%USERPROFILE%\AppData\Local\Temp\OnboardLogs" /stypes="app*4057*20170908*" /stext=" 10:.+((SYSTEM_STATE.+slice.+state.+changed )|(ment ac)|(multiple cpu faults)|(system.+state.+changed )|(\[timeout)|(PRM\|1\|D)|(kpr)|(kdp)|(train st.+moving)|(\|lc)|(penalty))"</v>
      </c>
      <c r="AG216" s="206" t="str">
        <f t="shared" si="115"/>
        <v>Other</v>
      </c>
      <c r="AH216" s="78" t="str">
        <f t="shared" si="116"/>
        <v>"%USERPROFILE%\Documents\GitHub\eaglep3\Utilities\RefineRTDCRunTimes.py" --tripid 310-08 --locoid 4057 --swversion DE.1.0.9.0 --startMP 300:25463 --initTime 2017-09-08T04:44:07 --startdatetime 2017-09-08T04:51:15 --delay 88 --endMP 204:165 --enddatetime 2017-09-08T04:51:32 --enforcementcount 0 &gt;&gt;C:\Users\stu\Documents\GitHub\eaglep3-reporting\EC\2017-09-08-refined-times.txt</v>
      </c>
      <c r="AI216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{"issue":{"subject":"","project_id":79,"tracker_id":40,"status_id":1,"priority_id":2,"assigned_to_id":338,"start_date":"2017-09-08","description":"","custom_fields":[{"id":1,"name":"Subdivision","value":"Other"},{"id":4,"name":"Milepost","value":"0.0165"},{"id":17,"name":"Train ID","value":"310-08"},{"id":16,"name":"Locomotive ID","value":"4057"},{"id":130,"name":"Impact","value":""},{"id":150,"name":"Time of Event (Mountain Time)","value":"04:51:32"},{"id":151,"name":"Denver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18"/>
        <v>start /low /b %USERPROFILE%\Documents\GitHub\eaglep3\Utilities\DownloadLogsFromS3.py --loco 4057 --day 2017-09-08</v>
      </c>
      <c r="AN216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10:51:32"},{"id":29,"name":"Sharepoint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844</v>
      </c>
      <c r="B217" s="7">
        <v>4034</v>
      </c>
      <c r="C217" s="21" t="s">
        <v>197</v>
      </c>
      <c r="D217" s="21" t="s">
        <v>923</v>
      </c>
      <c r="E217" s="13">
        <v>42987.090138888889</v>
      </c>
      <c r="F217" s="13">
        <v>42987.093495370369</v>
      </c>
      <c r="G217" s="7">
        <v>210</v>
      </c>
      <c r="H217" s="21" t="s">
        <v>916</v>
      </c>
      <c r="I217" s="13">
        <v>42987.104212962964</v>
      </c>
      <c r="J217" s="7">
        <v>0</v>
      </c>
      <c r="K217" s="89" t="str">
        <f t="shared" si="102"/>
        <v>4033/4034</v>
      </c>
      <c r="L217" s="214" t="str">
        <f>VLOOKUP(A217,'Trips&amp;Operators'!$C$1:$G$99911,5,FALSE)</f>
        <v>NICHOLSON WESLEY</v>
      </c>
      <c r="M217" s="6">
        <f t="shared" si="103"/>
        <v>1.0717592595028691E-2</v>
      </c>
      <c r="N217" s="7">
        <f t="shared" si="104"/>
        <v>15.433333336841315</v>
      </c>
      <c r="O217" s="7"/>
      <c r="P217" s="7"/>
      <c r="Q217" s="22"/>
      <c r="R217" s="167"/>
      <c r="S217" s="210">
        <f t="shared" si="105"/>
        <v>1</v>
      </c>
      <c r="T217" s="192" t="str">
        <f t="shared" si="106"/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 t="shared" si="107"/>
        <v>https://d0f6bd738d7f1b3e5a7ca70fe4ff75f0.us-east-1.aws.found.io/app/kibana#/discover/Steve-Slow-Train-Analysis-(2080s-and-2083s)?_g=(refreshInterval:(display:Off,pause:!f,section:0,value:0),time:(from:'2017-09-09T01:09:48-0600',mode:absolute,to:'2017-09-09T03:30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7" s="194" t="str">
        <f>IF(AA217&lt;VLOOKUP(AG217,Variables!$AC$3:$AD$8,2,FALSE),"Y","N")</f>
        <v>Y</v>
      </c>
      <c r="X217" s="194">
        <f t="shared" si="120"/>
        <v>1</v>
      </c>
      <c r="Y217" s="194">
        <f t="shared" si="109"/>
        <v>4.8399999999999999E-2</v>
      </c>
      <c r="Z217" s="194">
        <f t="shared" si="110"/>
        <v>2.3308</v>
      </c>
      <c r="AA217" s="194">
        <f t="shared" si="111"/>
        <v>2.2824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112"/>
        <v>311</v>
      </c>
      <c r="AE217" s="77" t="str">
        <f t="shared" si="113"/>
        <v>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 &amp; aws s3 cp s3://rtdc.mdm.uploadarchive.raw/RTDC4034/ "%USERPROFILE%\AppData\Local\Temp\OnboardLogs"\RTDC4034\2017-09-10 --exclude "*" --recursive --include "*20170910*" &amp; "%USERPROFILE%\Documents\GitHub\mrs-test-scripts\Headless Mode &amp; Sideloading\WalkAndUnGZ.bat" "%USERPROFILE%\AppData\Local\Temp\OnboardLogs"\RTDC4034\2017-09-10</v>
      </c>
      <c r="AF217" s="74" t="str">
        <f t="shared" si="114"/>
        <v>"C:\Program Files (x86)\AstroGrep\AstroGrep.exe" /e /r /s /spath="%USERPROFILE%\AppData\Local\Temp\OnboardLogs" /stypes="app*4034*20170909*" /stext=" 08:.+((SYSTEM_STATE.+slice.+state.+changed )|(ment ac)|(multiple cpu faults)|(system.+state.+changed )|(\[timeout)|(PRM\|1\|D)|(kpr)|(kdp)|(train st.+moving)|(\|lc)|(penalty))"</v>
      </c>
      <c r="AG217" s="206" t="str">
        <f t="shared" si="115"/>
        <v>Other</v>
      </c>
      <c r="AH217" s="78" t="str">
        <f t="shared" si="116"/>
        <v>"%USERPROFILE%\Documents\GitHub\eaglep3\Utilities\RefineRTDCRunTimes.py" --tripid 311-08 --locoid 4034 --swversion DE.1.0.9.0 --startMP 204:484 --initTime 2017-09-09T02:09:48 --startdatetime 2017-09-09T02:14:38 --delay 210 --endMP 300:23308 --enddatetime 2017-09-09T02:30:04 --enforcementcount 0 &gt;&gt;C:\Users\stu\Documents\GitHub\eaglep3-reporting\EC\2017-09-08-refined-times.txt</v>
      </c>
      <c r="AI217" s="96" t="str">
        <f t="shared" si="117"/>
        <v>echo {"issue":{"subject":"","project_id":79,"tracker_id":40,"status_id":1,"priority_id":2,"assigned_to_id":338,"start_date":"2017-09-09","description":"","custom_fields":[{"id":1,"name":"Subdivision","value":"Other"},{"id":4,"name":"Milepost","value":"2.3308"},{"id":17,"name":"Train ID","value":"311-08"},{"id":16,"name":"Locomotive ID","value":"4034"},{"id":130,"name":"Impact","value":""},{"id":150,"name":"Time of Event (Mountain Time)","value":"02:30:04"},{"id":151,"name":"Denver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18"/>
        <v>start /low /b %USERPROFILE%\Documents\GitHub\eaglep3\Utilities\DownloadLogsFromS3.py --loco 4034 --day 2017-09-09</v>
      </c>
      <c r="AN217" s="151" t="str">
        <f t="shared" si="11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08:30:04"},{"id":29,"name":"Sharepoint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660</v>
      </c>
      <c r="B218" s="7">
        <v>4031</v>
      </c>
      <c r="C218" s="21" t="s">
        <v>197</v>
      </c>
      <c r="D218" s="21" t="s">
        <v>924</v>
      </c>
      <c r="E218" s="13">
        <v>42986.215740740743</v>
      </c>
      <c r="F218" s="13">
        <v>42986.222962962966</v>
      </c>
      <c r="G218" s="7">
        <v>80</v>
      </c>
      <c r="H218" s="21" t="s">
        <v>531</v>
      </c>
      <c r="I218" s="13">
        <v>42986.232175925928</v>
      </c>
      <c r="J218" s="7">
        <v>0</v>
      </c>
      <c r="K218" s="89" t="str">
        <f t="shared" si="102"/>
        <v>4031/4032</v>
      </c>
      <c r="L218" s="214" t="str">
        <f>VLOOKUP(A218,'Trips&amp;Operators'!$C$1:$G$99911,5,FALSE)</f>
        <v>GUNTHIER ERIC</v>
      </c>
      <c r="M218" s="6">
        <f t="shared" si="103"/>
        <v>9.2129629629198462E-3</v>
      </c>
      <c r="N218" s="7">
        <f t="shared" si="104"/>
        <v>13.266666666604578</v>
      </c>
      <c r="O218" s="7"/>
      <c r="P218" s="7"/>
      <c r="Q218" s="22"/>
      <c r="R218" s="167"/>
      <c r="S218" s="210">
        <f t="shared" si="105"/>
        <v>1</v>
      </c>
      <c r="T218" s="192" t="str">
        <f t="shared" si="106"/>
        <v>Southbound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 t="shared" si="107"/>
        <v>https://d0f6bd738d7f1b3e5a7ca70fe4ff75f0.us-east-1.aws.found.io/app/kibana#/discover/Steve-Slow-Train-Analysis-(2080s-and-2083s)?_g=(refreshInterval:(display:Off,pause:!f,section:0,value:0),time:(from:'2017-09-08T04:10:40-0600',mode:absolute,to:'2017-09-08T06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8" s="194" t="str">
        <f>IF(AA218&lt;VLOOKUP(AG218,Variables!$AC$3:$AD$8,2,FALSE),"Y","N")</f>
        <v>Y</v>
      </c>
      <c r="X218" s="194">
        <f t="shared" si="120"/>
        <v>1</v>
      </c>
      <c r="Y218" s="194">
        <f t="shared" si="109"/>
        <v>2.3431999999999999</v>
      </c>
      <c r="Z218" s="194">
        <f t="shared" si="110"/>
        <v>1.6299999999999999E-2</v>
      </c>
      <c r="AA218" s="194">
        <f t="shared" si="111"/>
        <v>2.3268999999999997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 t="shared" si="112"/>
        <v>312</v>
      </c>
      <c r="AE218" s="77" t="str">
        <f t="shared" si="113"/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AF218" s="74" t="str">
        <f t="shared" si="114"/>
        <v>"C:\Program Files (x86)\AstroGrep\AstroGrep.exe" /e /r /s /spath="%USERPROFILE%\AppData\Local\Temp\OnboardLogs" /stypes="app*4031*20170908*" /stext=" 11:.+((SYSTEM_STATE.+slice.+state.+changed )|(ment ac)|(multiple cpu faults)|(system.+state.+changed )|(\[timeout)|(PRM\|1\|D)|(kpr)|(kdp)|(train st.+moving)|(\|lc)|(penalty))"</v>
      </c>
      <c r="AG218" s="206" t="str">
        <f t="shared" si="115"/>
        <v>Other</v>
      </c>
      <c r="AH218" s="78" t="str">
        <f t="shared" si="116"/>
        <v>"%USERPROFILE%\Documents\GitHub\eaglep3\Utilities\RefineRTDCRunTimes.py" --tripid 312-08 --locoid 4031 --swversion DE.1.0.9.0 --startMP 300:23432 --initTime 2017-09-08T05:10:40 --startdatetime 2017-09-08T05:21:04 --delay 80 --endMP 204:163 --enddatetime 2017-09-08T05:34:20 --enforcementcount 0 &gt;&gt;C:\Users\stu\Documents\GitHub\eaglep3-reporting\EC\2017-09-08-refined-times.txt</v>
      </c>
      <c r="AI218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{"issue":{"subject":"","project_id":79,"tracker_id":40,"status_id":1,"priority_id":2,"assigned_to_id":338,"start_date":"2017-09-08","description":"","custom_fields":[{"id":1,"name":"Subdivision","value":"Other"},{"id":4,"name":"Milepost","value":"0.0163"},{"id":17,"name":"Train ID","value":"312-08"},{"id":16,"name":"Locomotive ID","value":"4031"},{"id":130,"name":"Impact","value":""},{"id":150,"name":"Time of Event (Mountain Time)","value":"05:34:20"},{"id":151,"name":"Denver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18"/>
        <v>start /low /b %USERPROFILE%\Documents\GitHub\eaglep3\Utilities\DownloadLogsFromS3.py --loco 4031 --day 2017-09-08</v>
      </c>
      <c r="AN218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11:34:20"},{"id":29,"name":"Sharepoint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655</v>
      </c>
      <c r="B219" s="7">
        <v>4028</v>
      </c>
      <c r="C219" s="21" t="s">
        <v>197</v>
      </c>
      <c r="D219" s="21" t="s">
        <v>986</v>
      </c>
      <c r="E219" s="13">
        <v>42986.197523148148</v>
      </c>
      <c r="F219" s="13">
        <v>42986.203483796293</v>
      </c>
      <c r="G219" s="7">
        <v>100</v>
      </c>
      <c r="H219" s="21" t="s">
        <v>596</v>
      </c>
      <c r="I219" s="13">
        <v>42986.209282407406</v>
      </c>
      <c r="J219" s="7">
        <v>0</v>
      </c>
      <c r="K219" s="89" t="str">
        <f t="shared" si="102"/>
        <v>4027/4028</v>
      </c>
      <c r="L219" s="214" t="str">
        <f>VLOOKUP(A219,'Trips&amp;Operators'!$C$1:$G$99911,5,FALSE)</f>
        <v>WILLIAMS DONTE</v>
      </c>
      <c r="M219" s="6">
        <f t="shared" si="103"/>
        <v>5.7986111132777296E-3</v>
      </c>
      <c r="N219" s="7">
        <f t="shared" si="104"/>
        <v>8.3500000031199306</v>
      </c>
      <c r="O219" s="7"/>
      <c r="P219" s="7"/>
      <c r="Q219" s="22"/>
      <c r="R219" s="167"/>
      <c r="S219" s="210">
        <f t="shared" si="105"/>
        <v>0</v>
      </c>
      <c r="T219" s="192" t="str">
        <f t="shared" si="106"/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 t="shared" si="107"/>
        <v>https://d0f6bd738d7f1b3e5a7ca70fe4ff75f0.us-east-1.aws.found.io/app/kibana#/discover/Steve-Slow-Train-Analysis-(2080s-and-2083s)?_g=(refreshInterval:(display:Off,pause:!f,section:0,value:0),time:(from:'2017-09-08T03:44:26-0600',mode:absolute,to:'2017-09-08T06:01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9" s="194" t="str">
        <f>IF(AA219&lt;VLOOKUP(AG219,Variables!$AC$3:$AD$8,2,FALSE),"Y","N")</f>
        <v>Y</v>
      </c>
      <c r="X219" s="194">
        <f t="shared" si="120"/>
        <v>589</v>
      </c>
      <c r="Y219" s="194">
        <f t="shared" si="109"/>
        <v>2.9929999999999999</v>
      </c>
      <c r="Z219" s="194">
        <f t="shared" si="110"/>
        <v>5.8936999999999999</v>
      </c>
      <c r="AA219" s="194">
        <f t="shared" si="111"/>
        <v>2.9007000000000001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 t="shared" si="112"/>
        <v>901</v>
      </c>
      <c r="AE219" s="77" t="str">
        <f t="shared" si="113"/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AF219" s="74" t="str">
        <f t="shared" si="114"/>
        <v>"C:\Program Files (x86)\AstroGrep\AstroGrep.exe" /e /r /s /spath="%USERPROFILE%\AppData\Local\Temp\OnboardLogs" /stypes="app*4028*20170908*" /stext=" 11:.+((SYSTEM_STATE.+slice.+state.+changed )|(ment ac)|(multiple cpu faults)|(system.+state.+changed )|(\[timeout)|(PRM\|1\|D)|(kpr)|(kdp)|(train st.+moving)|(\|lc)|(penalty))"</v>
      </c>
      <c r="AG219" s="206" t="str">
        <f t="shared" si="115"/>
        <v>Other</v>
      </c>
      <c r="AH219" s="78" t="str">
        <f t="shared" si="116"/>
        <v>"%USERPROFILE%\Documents\GitHub\eaglep3\Utilities\RefineRTDCRunTimes.py" --tripid 901-08 --locoid 4028 --swversion DE.1.0.9.0 --startMP 300:29930 --initTime 2017-09-08T04:44:26 --startdatetime 2017-09-08T04:53:01 --delay 100 --endMP 300:58937 --enddatetime 2017-09-08T05:01:22 --enforcementcount 0 &gt;&gt;C:\Users\stu\Documents\GitHub\eaglep3-reporting\EC\2017-09-08-refined-times.txt</v>
      </c>
      <c r="AI219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{"issue":{"subject":"","project_id":79,"tracker_id":40,"status_id":1,"priority_id":2,"assigned_to_id":338,"start_date":"2017-09-08","description":"","custom_fields":[{"id":1,"name":"Subdivision","value":"Other"},{"id":4,"name":"Milepost","value":"5.8937"},{"id":17,"name":"Train ID","value":"901-08"},{"id":16,"name":"Locomotive ID","value":"4028"},{"id":130,"name":"Impact","value":""},{"id":150,"name":"Time of Event (Mountain Time)","value":"05:01:22"},{"id":151,"name":"Denver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18"/>
        <v>start /low /b %USERPROFILE%\Documents\GitHub\eaglep3\Utilities\DownloadLogsFromS3.py --loco 4028 --day 2017-09-08</v>
      </c>
      <c r="AN219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11:01:22"},{"id":29,"name":"Sharepoint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667</v>
      </c>
      <c r="B220" s="7">
        <v>4029</v>
      </c>
      <c r="C220" s="21" t="s">
        <v>197</v>
      </c>
      <c r="D220" s="21" t="s">
        <v>987</v>
      </c>
      <c r="E220" s="13">
        <v>42986.239525462966</v>
      </c>
      <c r="F220" s="13">
        <v>42986.242696759262</v>
      </c>
      <c r="G220" s="7">
        <v>69</v>
      </c>
      <c r="H220" s="21" t="s">
        <v>962</v>
      </c>
      <c r="I220" s="13">
        <v>42986.247835648152</v>
      </c>
      <c r="J220" s="7">
        <v>0</v>
      </c>
      <c r="K220" s="89" t="str">
        <f t="shared" si="102"/>
        <v>4029/4030</v>
      </c>
      <c r="L220" s="214" t="str">
        <f>VLOOKUP(A220,'Trips&amp;Operators'!$C$1:$G$99911,5,FALSE)</f>
        <v>LALONDE GREGORY</v>
      </c>
      <c r="M220" s="6">
        <f t="shared" si="103"/>
        <v>5.1388888896326534E-3</v>
      </c>
      <c r="N220" s="7">
        <f t="shared" si="104"/>
        <v>7.400000001071021</v>
      </c>
      <c r="O220" s="7"/>
      <c r="P220" s="7"/>
      <c r="Q220" s="22"/>
      <c r="R220" s="167"/>
      <c r="S220" s="210">
        <f t="shared" si="105"/>
        <v>1</v>
      </c>
      <c r="T220" s="192" t="str">
        <f t="shared" si="106"/>
        <v>Southbound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 t="shared" si="107"/>
        <v>https://d0f6bd738d7f1b3e5a7ca70fe4ff75f0.us-east-1.aws.found.io/app/kibana#/discover/Steve-Slow-Train-Analysis-(2080s-and-2083s)?_g=(refreshInterval:(display:Off,pause:!f,section:0,value:0),time:(from:'2017-09-08T04:44:55-0600',mode:absolute,to:'2017-09-08T06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0" s="194" t="str">
        <f>IF(AA220&lt;VLOOKUP(AG220,Variables!$AC$3:$AD$8,2,FALSE),"Y","N")</f>
        <v>Y</v>
      </c>
      <c r="X220" s="194">
        <f t="shared" si="120"/>
        <v>1</v>
      </c>
      <c r="Y220" s="194">
        <f t="shared" si="109"/>
        <v>2.3273000000000001</v>
      </c>
      <c r="Z220" s="194">
        <f t="shared" si="110"/>
        <v>6.9800000000000001E-2</v>
      </c>
      <c r="AA220" s="194">
        <f t="shared" si="111"/>
        <v>2.2575000000000003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 t="shared" si="112"/>
        <v>902</v>
      </c>
      <c r="AE220" s="77" t="str">
        <f t="shared" si="113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220" s="74" t="str">
        <f t="shared" si="114"/>
        <v>"C:\Program Files (x86)\AstroGrep\AstroGrep.exe" /e /r /s /spath="%USERPROFILE%\AppData\Local\Temp\OnboardLogs" /stypes="app*4029*20170908*" /stext=" 11:.+((SYSTEM_STATE.+slice.+state.+changed )|(ment ac)|(multiple cpu faults)|(system.+state.+changed )|(\[timeout)|(PRM\|1\|D)|(kpr)|(kdp)|(train st.+moving)|(\|lc)|(penalty))"</v>
      </c>
      <c r="AG220" s="206" t="str">
        <f t="shared" si="115"/>
        <v>Other</v>
      </c>
      <c r="AH220" s="78" t="str">
        <f t="shared" si="116"/>
        <v>"%USERPROFILE%\Documents\GitHub\eaglep3\Utilities\RefineRTDCRunTimes.py" --tripid 902-08 --locoid 4029 --swversion DE.1.0.9.0 --startMP 300:23273 --initTime 2017-09-08T05:44:55 --startdatetime 2017-09-08T05:49:29 --delay 69 --endMP 204:698 --enddatetime 2017-09-08T05:56:53 --enforcementcount 0 &gt;&gt;C:\Users\stu\Documents\GitHub\eaglep3-reporting\EC\2017-09-08-refined-times.txt</v>
      </c>
      <c r="AI220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{"issue":{"subject":"","project_id":79,"tracker_id":40,"status_id":1,"priority_id":2,"assigned_to_id":338,"start_date":"2017-09-08","description":"","custom_fields":[{"id":1,"name":"Subdivision","value":"Other"},{"id":4,"name":"Milepost","value":"0.0698"},{"id":17,"name":"Train ID","value":"902-08"},{"id":16,"name":"Locomotive ID","value":"4029"},{"id":130,"name":"Impact","value":""},{"id":150,"name":"Time of Event (Mountain Time)","value":"05:56:53"},{"id":151,"name":"Denver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18"/>
        <v>start /low /b %USERPROFILE%\Documents\GitHub\eaglep3\Utilities\DownloadLogsFromS3.py --loco 4029 --day 2017-09-08</v>
      </c>
      <c r="AN220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11:56:53"},{"id":29,"name":"Sharepoint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701</v>
      </c>
      <c r="B221" s="7">
        <v>4028</v>
      </c>
      <c r="C221" s="21" t="s">
        <v>197</v>
      </c>
      <c r="D221" s="21" t="s">
        <v>526</v>
      </c>
      <c r="E221" s="13">
        <v>42986.35365740741</v>
      </c>
      <c r="F221" s="13">
        <v>42986.35659722222</v>
      </c>
      <c r="G221" s="7">
        <v>71</v>
      </c>
      <c r="H221" s="21" t="s">
        <v>988</v>
      </c>
      <c r="I221" s="13">
        <v>42986.366365740738</v>
      </c>
      <c r="J221" s="7">
        <v>0</v>
      </c>
      <c r="K221" s="89" t="str">
        <f t="shared" si="102"/>
        <v>4027/4028</v>
      </c>
      <c r="L221" s="214" t="str">
        <f>VLOOKUP(A221,'Trips&amp;Operators'!$C$1:$G$99911,5,FALSE)</f>
        <v>WILLIAMS DONTE</v>
      </c>
      <c r="M221" s="6">
        <f t="shared" si="103"/>
        <v>9.7685185173759237E-3</v>
      </c>
      <c r="N221" s="7">
        <f t="shared" si="104"/>
        <v>14.06666666502133</v>
      </c>
      <c r="O221" s="7"/>
      <c r="P221" s="7"/>
      <c r="Q221" s="22"/>
      <c r="R221" s="167"/>
      <c r="S221" s="210">
        <f t="shared" si="105"/>
        <v>1</v>
      </c>
      <c r="T221" s="192" t="str">
        <f t="shared" si="106"/>
        <v>NorthBound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3" t="str">
        <f t="shared" si="107"/>
        <v>https://d0f6bd738d7f1b3e5a7ca70fe4ff75f0.us-east-1.aws.found.io/app/kibana#/discover/Steve-Slow-Train-Analysis-(2080s-and-2083s)?_g=(refreshInterval:(display:Off,pause:!f,section:0,value:0),time:(from:'2017-09-08T07:29:16-0600',mode:absolute,to:'2017-09-08T09:47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1" s="194" t="str">
        <f>IF(AA221&lt;VLOOKUP(AG221,Variables!$AC$3:$AD$8,2,FALSE),"Y","N")</f>
        <v>Y</v>
      </c>
      <c r="X221" s="194">
        <f t="shared" si="120"/>
        <v>1</v>
      </c>
      <c r="Y221" s="194">
        <f t="shared" si="109"/>
        <v>4.3499999999999997E-2</v>
      </c>
      <c r="Z221" s="194">
        <f t="shared" si="110"/>
        <v>2.4211999999999998</v>
      </c>
      <c r="AA221" s="194">
        <f t="shared" si="111"/>
        <v>2.3776999999999999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 t="shared" si="112"/>
        <v>903</v>
      </c>
      <c r="AE221" s="77" t="str">
        <f t="shared" si="113"/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AF221" s="74" t="str">
        <f t="shared" si="114"/>
        <v>"C:\Program Files (x86)\AstroGrep\AstroGrep.exe" /e /r /s /spath="%USERPROFILE%\AppData\Local\Temp\OnboardLogs" /stypes="app*4028*20170908*" /stext=" 14:.+((SYSTEM_STATE.+slice.+state.+changed )|(ment ac)|(multiple cpu faults)|(system.+state.+changed )|(\[timeout)|(PRM\|1\|D)|(kpr)|(kdp)|(train st.+moving)|(\|lc)|(penalty))"</v>
      </c>
      <c r="AG221" s="206" t="str">
        <f t="shared" si="115"/>
        <v>Other</v>
      </c>
      <c r="AH221" s="78" t="str">
        <f t="shared" si="116"/>
        <v>"%USERPROFILE%\Documents\GitHub\eaglep3\Utilities\RefineRTDCRunTimes.py" --tripid 903-08 --locoid 4028 --swversion DE.1.0.9.0 --startMP 204:435 --initTime 2017-09-08T08:29:16 --startdatetime 2017-09-08T08:33:30 --delay 71 --endMP 300:24212 --enddatetime 2017-09-08T08:47:34 --enforcementcount 0 &gt;&gt;C:\Users\stu\Documents\GitHub\eaglep3-reporting\EC\2017-09-08-refined-times.txt</v>
      </c>
      <c r="AI221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{"issue":{"subject":"","project_id":79,"tracker_id":40,"status_id":1,"priority_id":2,"assigned_to_id":338,"start_date":"2017-09-08","description":"","custom_fields":[{"id":1,"name":"Subdivision","value":"Other"},{"id":4,"name":"Milepost","value":"2.4212"},{"id":17,"name":"Train ID","value":"903-08"},{"id":16,"name":"Locomotive ID","value":"4028"},{"id":130,"name":"Impact","value":""},{"id":150,"name":"Time of Event (Mountain Time)","value":"08:47:34"},{"id":151,"name":"Denver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18"/>
        <v>start /low /b %USERPROFILE%\Documents\GitHub\eaglep3\Utilities\DownloadLogsFromS3.py --loco 4028 --day 2017-09-08</v>
      </c>
      <c r="AN221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14:47:34"},{"id":29,"name":"Sharepoint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765</v>
      </c>
      <c r="B222" s="7">
        <v>4027</v>
      </c>
      <c r="C222" s="21" t="s">
        <v>197</v>
      </c>
      <c r="D222" s="21" t="s">
        <v>989</v>
      </c>
      <c r="E222" s="13">
        <v>42986.631469907406</v>
      </c>
      <c r="F222" s="13">
        <v>42986.635393518518</v>
      </c>
      <c r="G222" s="7">
        <v>122</v>
      </c>
      <c r="H222" s="21" t="s">
        <v>590</v>
      </c>
      <c r="I222" s="13">
        <v>42986.640787037039</v>
      </c>
      <c r="J222" s="7">
        <v>0</v>
      </c>
      <c r="K222" s="89" t="str">
        <f t="shared" si="102"/>
        <v>4027/4028</v>
      </c>
      <c r="L222" s="214" t="str">
        <f>VLOOKUP(A222,'Trips&amp;Operators'!$C$1:$G$99911,5,FALSE)</f>
        <v>SMITH MICHAEL</v>
      </c>
      <c r="M222" s="6">
        <f t="shared" si="103"/>
        <v>5.393518520577345E-3</v>
      </c>
      <c r="N222" s="7">
        <f t="shared" si="104"/>
        <v>7.7666666696313769</v>
      </c>
      <c r="O222" s="7"/>
      <c r="P222" s="7"/>
      <c r="Q222" s="22"/>
      <c r="R222" s="167"/>
      <c r="S222" s="210">
        <f t="shared" si="105"/>
        <v>1</v>
      </c>
      <c r="T222" s="192" t="str">
        <f t="shared" si="106"/>
        <v>Southbound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3" t="str">
        <f t="shared" si="107"/>
        <v>https://d0f6bd738d7f1b3e5a7ca70fe4ff75f0.us-east-1.aws.found.io/app/kibana#/discover/Steve-Slow-Train-Analysis-(2080s-and-2083s)?_g=(refreshInterval:(display:Off,pause:!f,section:0,value:0),time:(from:'2017-09-08T14:09:19-0600',mode:absolute,to:'2017-09-08T16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2" s="194" t="str">
        <f>IF(AA222&lt;VLOOKUP(AG222,Variables!$AC$3:$AD$8,2,FALSE),"Y","N")</f>
        <v>Y</v>
      </c>
      <c r="X222" s="194">
        <f t="shared" si="120"/>
        <v>1</v>
      </c>
      <c r="Y222" s="194">
        <f t="shared" si="109"/>
        <v>2.343</v>
      </c>
      <c r="Z222" s="194">
        <f t="shared" si="110"/>
        <v>6.6299999999999998E-2</v>
      </c>
      <c r="AA222" s="194">
        <f t="shared" si="111"/>
        <v>2.2766999999999999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 t="shared" si="112"/>
        <v>904</v>
      </c>
      <c r="AE222" s="77" t="str">
        <f t="shared" si="113"/>
        <v>aws s3 cp s3://rtdc.mdm.uploadarchive.raw/RTDC4027/ "%USERPROFILE%\AppData\Local\Temp\OnboardLogs"\RTDC4027\2017-09-08 --exclude "*" --recursive --include "*20170908*" &amp; "%USERPROFILE%\Documents\GitHub\mrs-test-scripts\Headless Mode &amp; Sideloading\WalkAndUnGZ.bat" "%USERPROFILE%\AppData\Local\Temp\OnboardLogs"\RTDC4027\2017-09-08 &amp; aws s3 cp s3://rtdc.mdm.uploadarchive.raw/RTDC4027/ "%USERPROFILE%\AppData\Local\Temp\OnboardLogs"\RTDC4027\2017-09-09 --exclude "*" --recursive --include "*20170909*" &amp; "%USERPROFILE%\Documents\GitHub\mrs-test-scripts\Headless Mode &amp; Sideloading\WalkAndUnGZ.bat" "%USERPROFILE%\AppData\Local\Temp\OnboardLogs"\RTDC4027\2017-09-09</v>
      </c>
      <c r="AF222" s="74" t="str">
        <f t="shared" si="114"/>
        <v>"C:\Program Files (x86)\AstroGrep\AstroGrep.exe" /e /r /s /spath="%USERPROFILE%\AppData\Local\Temp\OnboardLogs" /stypes="app*4027*20170908*" /stext=" 21:.+((SYSTEM_STATE.+slice.+state.+changed )|(ment ac)|(multiple cpu faults)|(system.+state.+changed )|(\[timeout)|(PRM\|1\|D)|(kpr)|(kdp)|(train st.+moving)|(\|lc)|(penalty))"</v>
      </c>
      <c r="AG222" s="206" t="str">
        <f t="shared" si="115"/>
        <v>Other</v>
      </c>
      <c r="AH222" s="78" t="str">
        <f t="shared" si="116"/>
        <v>"%USERPROFILE%\Documents\GitHub\eaglep3\Utilities\RefineRTDCRunTimes.py" --tripid 904-08 --locoid 4027 --swversion DE.1.0.9.0 --startMP 300:23430 --initTime 2017-09-08T15:09:19 --startdatetime 2017-09-08T15:14:58 --delay 122 --endMP 204:663 --enddatetime 2017-09-08T15:22:44 --enforcementcount 0 &gt;&gt;C:\Users\stu\Documents\GitHub\eaglep3-reporting\EC\2017-09-08-refined-times.txt</v>
      </c>
      <c r="AI222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{"issue":{"subject":"","project_id":79,"tracker_id":40,"status_id":1,"priority_id":2,"assigned_to_id":338,"start_date":"2017-09-08","description":"","custom_fields":[{"id":1,"name":"Subdivision","value":"Other"},{"id":4,"name":"Milepost","value":"0.0663"},{"id":17,"name":"Train ID","value":"904-08"},{"id":16,"name":"Locomotive ID","value":"4027"},{"id":130,"name":"Impact","value":""},{"id":150,"name":"Time of Event (Mountain Time)","value":"15:22:44"},{"id":151,"name":"Denver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18"/>
        <v>start /low /b %USERPROFILE%\Documents\GitHub\eaglep3\Utilities\DownloadLogsFromS3.py --loco 4027 --day 2017-09-08</v>
      </c>
      <c r="AN222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s="20" customFormat="1" x14ac:dyDescent="0.25">
      <c r="A223" s="32" t="s">
        <v>807</v>
      </c>
      <c r="B223" s="7">
        <v>4027</v>
      </c>
      <c r="C223" s="21" t="s">
        <v>197</v>
      </c>
      <c r="D223" s="21" t="s">
        <v>589</v>
      </c>
      <c r="E223" s="13">
        <v>42986.789178240739</v>
      </c>
      <c r="F223" s="13">
        <v>42986.791215277779</v>
      </c>
      <c r="G223" s="7">
        <v>58</v>
      </c>
      <c r="H223" s="21" t="s">
        <v>990</v>
      </c>
      <c r="I223" s="13">
        <v>42986.798946759256</v>
      </c>
      <c r="J223" s="7">
        <v>0</v>
      </c>
      <c r="K223" s="89" t="str">
        <f t="shared" si="102"/>
        <v>4027/4028</v>
      </c>
      <c r="L223" s="214" t="str">
        <f>VLOOKUP(A223,'Trips&amp;Operators'!$C$1:$G$99911,5,FALSE)</f>
        <v>SMITH MICHAEL</v>
      </c>
      <c r="M223" s="6">
        <f t="shared" si="103"/>
        <v>7.7314814770943485E-3</v>
      </c>
      <c r="N223" s="7">
        <f t="shared" si="104"/>
        <v>11.133333327015862</v>
      </c>
      <c r="O223" s="7"/>
      <c r="P223" s="7"/>
      <c r="Q223" s="22"/>
      <c r="R223" s="167"/>
      <c r="S223" s="210">
        <f t="shared" si="105"/>
        <v>0</v>
      </c>
      <c r="T223" s="192" t="str">
        <f t="shared" si="106"/>
        <v>Southbound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3" t="str">
        <f t="shared" si="107"/>
        <v>https://d0f6bd738d7f1b3e5a7ca70fe4ff75f0.us-east-1.aws.found.io/app/kibana#/discover/Steve-Slow-Train-Analysis-(2080s-and-2083s)?_g=(refreshInterval:(display:Off,pause:!f,section:0,value:0),time:(from:'2017-09-08T17:56:25-0600',mode:absolute,to:'2017-09-08T20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194" t="str">
        <f>IF(AA223&lt;VLOOKUP(AG223,Variables!$AC$3:$AD$8,2,FALSE),"Y","N")</f>
        <v>Y</v>
      </c>
      <c r="X223" s="194">
        <f t="shared" si="120"/>
        <v>2</v>
      </c>
      <c r="Y223" s="194">
        <f t="shared" si="109"/>
        <v>5.8708999999999998</v>
      </c>
      <c r="Z223" s="194">
        <f t="shared" si="110"/>
        <v>2.8793000000000002</v>
      </c>
      <c r="AA223" s="194">
        <f t="shared" si="111"/>
        <v>2.9915999999999996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 t="shared" si="112"/>
        <v>906</v>
      </c>
      <c r="AE223" s="77" t="str">
        <f t="shared" si="113"/>
        <v>aws s3 cp s3://rtdc.mdm.uploadarchive.raw/RTDC4027/ "%USERPROFILE%\AppData\Local\Temp\OnboardLogs"\RTDC4027\2017-09-08 --exclude "*" --recursive --include "*20170908*" &amp; "%USERPROFILE%\Documents\GitHub\mrs-test-scripts\Headless Mode &amp; Sideloading\WalkAndUnGZ.bat" "%USERPROFILE%\AppData\Local\Temp\OnboardLogs"\RTDC4027\2017-09-08 &amp; aws s3 cp s3://rtdc.mdm.uploadarchive.raw/RTDC4027/ "%USERPROFILE%\AppData\Local\Temp\OnboardLogs"\RTDC4027\2017-09-09 --exclude "*" --recursive --include "*20170909*" &amp; "%USERPROFILE%\Documents\GitHub\mrs-test-scripts\Headless Mode &amp; Sideloading\WalkAndUnGZ.bat" "%USERPROFILE%\AppData\Local\Temp\OnboardLogs"\RTDC4027\2017-09-09</v>
      </c>
      <c r="AF223" s="74" t="str">
        <f t="shared" si="114"/>
        <v>"C:\Program Files (x86)\AstroGrep\AstroGrep.exe" /e /r /s /spath="%USERPROFILE%\AppData\Local\Temp\OnboardLogs" /stypes="app*4027*20170909*" /stext=" 01:.+((SYSTEM_STATE.+slice.+state.+changed )|(ment ac)|(multiple cpu faults)|(system.+state.+changed )|(\[timeout)|(PRM\|1\|D)|(kpr)|(kdp)|(train st.+moving)|(\|lc)|(penalty))"</v>
      </c>
      <c r="AG223" s="206" t="str">
        <f t="shared" si="115"/>
        <v>Other</v>
      </c>
      <c r="AH223" s="78" t="str">
        <f t="shared" si="116"/>
        <v>"%USERPROFILE%\Documents\GitHub\eaglep3\Utilities\RefineRTDCRunTimes.py" --tripid 906-08 --locoid 4027 --swversion DE.1.0.9.0 --startMP 300:58709 --initTime 2017-09-08T18:56:25 --startdatetime 2017-09-08T18:59:21 --delay 58 --endMP 300:28793 --enddatetime 2017-09-08T19:10:29 --enforcementcount 0 &gt;&gt;C:\Users\stu\Documents\GitHub\eaglep3-reporting\EC\2017-09-08-refined-times.txt</v>
      </c>
      <c r="AI223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{"issue":{"subject":"","project_id":79,"tracker_id":40,"status_id":1,"priority_id":2,"assigned_to_id":338,"start_date":"2017-09-08","description":"","custom_fields":[{"id":1,"name":"Subdivision","value":"Other"},{"id":4,"name":"Milepost","value":"2.8793"},{"id":17,"name":"Train ID","value":"906-08"},{"id":16,"name":"Locomotive ID","value":"4027"},{"id":130,"name":"Impact","value":""},{"id":150,"name":"Time of Event (Mountain Time)","value":"19:10:29"},{"id":151,"name":"Denver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118"/>
        <v>start /low /b %USERPROFILE%\Documents\GitHub\eaglep3\Utilities\DownloadLogsFromS3.py --loco 4027 --day 2017-09-08</v>
      </c>
      <c r="AN223" s="151" t="str">
        <f t="shared" si="11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01:10:29"},{"id":29,"name":"Sharepoint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834</v>
      </c>
      <c r="B224" s="7">
        <v>4029</v>
      </c>
      <c r="C224" s="21" t="s">
        <v>197</v>
      </c>
      <c r="D224" s="21" t="s">
        <v>545</v>
      </c>
      <c r="E224" s="13">
        <v>42986.976620370369</v>
      </c>
      <c r="F224" s="13">
        <v>42986.978275462963</v>
      </c>
      <c r="G224" s="7">
        <v>69</v>
      </c>
      <c r="H224" s="21" t="s">
        <v>990</v>
      </c>
      <c r="I224" s="13">
        <v>42986.989965277775</v>
      </c>
      <c r="J224" s="7">
        <v>0</v>
      </c>
      <c r="K224" s="89" t="str">
        <f t="shared" si="102"/>
        <v>4029/4030</v>
      </c>
      <c r="L224" s="214" t="str">
        <f>VLOOKUP(A224,'Trips&amp;Operators'!$C$1:$G$99911,5,FALSE)</f>
        <v>SMITH MICHAEL</v>
      </c>
      <c r="M224" s="6">
        <f t="shared" si="103"/>
        <v>1.1689814811688848E-2</v>
      </c>
      <c r="N224" s="7">
        <f t="shared" si="104"/>
        <v>16.833333328831941</v>
      </c>
      <c r="O224" s="7"/>
      <c r="P224" s="7"/>
      <c r="Q224" s="22"/>
      <c r="R224" s="167"/>
      <c r="S224" s="210">
        <f t="shared" si="105"/>
        <v>0</v>
      </c>
      <c r="T224" s="192" t="str">
        <f t="shared" si="106"/>
        <v>Southbound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3" t="str">
        <f t="shared" si="107"/>
        <v>https://d0f6bd738d7f1b3e5a7ca70fe4ff75f0.us-east-1.aws.found.io/app/kibana#/discover/Steve-Slow-Train-Analysis-(2080s-and-2083s)?_g=(refreshInterval:(display:Off,pause:!f,section:0,value:0),time:(from:'2017-09-08T22:26:20-0600',mode:absolute,to:'2017-09-09T00:45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4" s="194" t="str">
        <f>IF(AA224&lt;VLOOKUP(AG224,Variables!$AC$3:$AD$8,2,FALSE),"Y","N")</f>
        <v>Y</v>
      </c>
      <c r="X224" s="194">
        <f t="shared" si="120"/>
        <v>2</v>
      </c>
      <c r="Y224" s="194">
        <f t="shared" si="109"/>
        <v>5.8634000000000004</v>
      </c>
      <c r="Z224" s="194">
        <f t="shared" si="110"/>
        <v>2.8793000000000002</v>
      </c>
      <c r="AA224" s="194">
        <f t="shared" si="111"/>
        <v>2.9841000000000002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 t="shared" si="112"/>
        <v>908</v>
      </c>
      <c r="AE224" s="77" t="str">
        <f t="shared" si="113"/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AF224" s="74" t="str">
        <f t="shared" si="114"/>
        <v>"C:\Program Files (x86)\AstroGrep\AstroGrep.exe" /e /r /s /spath="%USERPROFILE%\AppData\Local\Temp\OnboardLogs" /stypes="app*4029*20170909*" /stext=" 05:.+((SYSTEM_STATE.+slice.+state.+changed )|(ment ac)|(multiple cpu faults)|(system.+state.+changed )|(\[timeout)|(PRM\|1\|D)|(kpr)|(kdp)|(train st.+moving)|(\|lc)|(penalty))"</v>
      </c>
      <c r="AG224" s="206" t="str">
        <f t="shared" si="115"/>
        <v>Other</v>
      </c>
      <c r="AH224" s="78" t="str">
        <f t="shared" si="116"/>
        <v>"%USERPROFILE%\Documents\GitHub\eaglep3\Utilities\RefineRTDCRunTimes.py" --tripid 908-08 --locoid 4029 --swversion DE.1.0.9.0 --startMP 300:58634 --initTime 2017-09-08T23:26:20 --startdatetime 2017-09-08T23:28:43 --delay 69 --endMP 300:28793 --enddatetime 2017-09-08T23:45:33 --enforcementcount 0 &gt;&gt;C:\Users\stu\Documents\GitHub\eaglep3-reporting\EC\2017-09-08-refined-times.txt</v>
      </c>
      <c r="AI224" s="96" t="str">
        <f t="shared" si="117"/>
        <v>echo {"issue":{"subject":"","project_id":79,"tracker_id":40,"status_id":1,"priority_id":2,"assigned_to_id":338,"start_date":"2017-09-08","description":"","custom_fields":[{"id":1,"name":"Subdivision","value":"Other"},{"id":4,"name":"Milepost","value":"2.8793"},{"id":17,"name":"Train ID","value":"908-08"},{"id":16,"name":"Locomotive ID","value":"4029"},{"id":130,"name":"Impact","value":""},{"id":150,"name":"Time of Event (Mountain Time)","value":"23:45:33"},{"id":151,"name":"Denver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18"/>
        <v>start /low /b %USERPROFILE%\Documents\GitHub\eaglep3\Utilities\DownloadLogsFromS3.py --loco 4029 --day 2017-09-08</v>
      </c>
      <c r="AN224" s="151" t="str">
        <f t="shared" si="119"/>
        <v>echo {"issue":{"subject":"","project_id":30,"tracker_id":4,"status_id":1,"priority_id":1,"assigned_to_id":10,"start_date":"2017-09-09","description":"","custom_fields":[{"id":30,"name":"Category","value":"Issue"},{"id":3,"name":"Functional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UTC","value":"2017-09-09 05:45:33"},{"id":29,"name":"Sharepoint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639</v>
      </c>
      <c r="B225" s="7">
        <v>4016</v>
      </c>
      <c r="C225" s="21" t="s">
        <v>197</v>
      </c>
      <c r="D225" s="21" t="s">
        <v>569</v>
      </c>
      <c r="E225" s="13">
        <v>42986.127384259256</v>
      </c>
      <c r="F225" s="13">
        <v>42986.13689814815</v>
      </c>
      <c r="G225" s="7">
        <v>66</v>
      </c>
      <c r="H225" s="21" t="s">
        <v>925</v>
      </c>
      <c r="I225" s="13">
        <v>42986.138275462959</v>
      </c>
      <c r="J225" s="7">
        <v>0</v>
      </c>
      <c r="K225" s="89" t="str">
        <f t="shared" si="102"/>
        <v>4015/4016</v>
      </c>
      <c r="L225" s="214" t="str">
        <f>VLOOKUP(A225,'Trips&amp;Operators'!$C$1:$G$99911,5,FALSE)</f>
        <v>SPECTOR MICHAEL</v>
      </c>
      <c r="M225" s="6">
        <f t="shared" si="103"/>
        <v>1.3773148093605414E-3</v>
      </c>
      <c r="N225" s="7">
        <f t="shared" si="104"/>
        <v>1.9833333254791796</v>
      </c>
      <c r="O225" s="7"/>
      <c r="P225" s="7"/>
      <c r="Q225" s="22"/>
      <c r="R225" s="167"/>
      <c r="S225" s="210">
        <f t="shared" si="105"/>
        <v>0</v>
      </c>
      <c r="T225" s="192" t="str">
        <f t="shared" si="106"/>
        <v>NorthBound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3" t="str">
        <f t="shared" si="107"/>
        <v>https://d0f6bd738d7f1b3e5a7ca70fe4ff75f0.us-east-1.aws.found.io/app/kibana#/discover/Steve-Slow-Train-Analysis-(2080s-and-2083s)?_g=(refreshInterval:(display:Off,pause:!f,section:0,value:0),time:(from:'2017-09-08T02:03:26-0600',mode:absolute,to:'2017-09-08T04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5" s="194" t="str">
        <f>IF(AA225&lt;VLOOKUP(AG225,Variables!$AC$3:$AD$8,2,FALSE),"Y","N")</f>
        <v>Y</v>
      </c>
      <c r="X225" s="194">
        <f t="shared" si="120"/>
        <v>-857</v>
      </c>
      <c r="Y225" s="194">
        <f t="shared" si="109"/>
        <v>4.3799999999999999E-2</v>
      </c>
      <c r="Z225" s="194">
        <f t="shared" si="110"/>
        <v>0.35580000000000001</v>
      </c>
      <c r="AA225" s="194">
        <f t="shared" si="111"/>
        <v>0.312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 t="shared" si="112"/>
        <v>51</v>
      </c>
      <c r="AE225" s="77" t="str">
        <f t="shared" si="113"/>
        <v>aws s3 cp s3://rtdc.mdm.uploadarchive.raw/RTDC4016/ "%USERPROFILE%\AppData\Local\Temp\OnboardLogs"\RTDC4016\2017-09-08 --exclude "*" --recursive --include "*20170908*" &amp; "%USERPROFILE%\Documents\GitHub\mrs-test-scripts\Headless Mode &amp; Sideloading\WalkAndUnGZ.bat" "%USERPROFILE%\AppData\Local\Temp\OnboardLogs"\RTDC4016\2017-09-08 &amp; aws s3 cp s3://rtdc.mdm.uploadarchive.raw/RTDC4016/ "%USERPROFILE%\AppData\Local\Temp\OnboardLogs"\RTDC4016\2017-09-09 --exclude "*" --recursive --include "*20170909*" &amp; "%USERPROFILE%\Documents\GitHub\mrs-test-scripts\Headless Mode &amp; Sideloading\WalkAndUnGZ.bat" "%USERPROFILE%\AppData\Local\Temp\OnboardLogs"\RTDC4016\2017-09-09</v>
      </c>
      <c r="AF225" s="74" t="str">
        <f t="shared" si="114"/>
        <v>"C:\Program Files (x86)\AstroGrep\AstroGrep.exe" /e /r /s /spath="%USERPROFILE%\AppData\Local\Temp\OnboardLogs" /stypes="app*4016*20170908*" /stext=" 09:.+((SYSTEM_STATE.+slice.+state.+changed )|(ment ac)|(multiple cpu faults)|(system.+state.+changed )|(\[timeout)|(PRM\|1\|D)|(kpr)|(kdp)|(train st.+moving)|(\|lc)|(penalty))"</v>
      </c>
      <c r="AG225" s="206" t="str">
        <f t="shared" si="115"/>
        <v>Shuttle/Test</v>
      </c>
      <c r="AH225" s="78" t="str">
        <f t="shared" si="116"/>
        <v>"%USERPROFILE%\Documents\GitHub\eaglep3\Utilities\RefineRTDCRunTimes.py" --tripid 51-08 --locoid 4016 --swversion DE.1.0.9.0 --startMP 204:438 --initTime 2017-09-08T03:03:26 --startdatetime 2017-09-08T03:17:08 --delay 66 --endMP 204:3558 --enddatetime 2017-09-08T03:19:07 --enforcementcount 0 &gt;&gt;C:\Users\stu\Documents\GitHub\eaglep3-reporting\EC\2017-09-08-refined-times.txt</v>
      </c>
      <c r="AI225" s="96" t="str">
        <f t="shared" si="117"/>
        <v>echo {"issue":{"subject":"","project_id":79,"tracker_id":40,"status_id":1,"priority_id":2,"assigned_to_id":338,"start_date":"2017-09-08","description":"","custom_fields":[{"id":1,"name":"Subdivision","value":"Shuttle/Test"},{"id":4,"name":"Milepost","value":"0.3558"},{"id":17,"name":"Train ID","value":"51-08"},{"id":16,"name":"Locomotive ID","value":"4016"},{"id":130,"name":"Impact","value":""},{"id":150,"name":"Time of Event (Mountain Time)","value":"03:19:07"},{"id":151,"name":"Denver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18"/>
        <v>start /low /b %USERPROFILE%\Documents\GitHub\eaglep3\Utilities\DownloadLogsFromS3.py --loco 4016 --day 2017-09-08</v>
      </c>
      <c r="AN225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09:19:07"},{"id":29,"name":"Sharepoint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639</v>
      </c>
      <c r="B226" s="7">
        <v>4049</v>
      </c>
      <c r="C226" s="21" t="s">
        <v>197</v>
      </c>
      <c r="D226" s="21" t="s">
        <v>926</v>
      </c>
      <c r="E226" s="13">
        <v>42986.442175925928</v>
      </c>
      <c r="F226" s="13">
        <v>42986.44458333333</v>
      </c>
      <c r="G226" s="7">
        <v>95</v>
      </c>
      <c r="H226" s="21" t="s">
        <v>390</v>
      </c>
      <c r="I226" s="13">
        <v>42986.449756944443</v>
      </c>
      <c r="J226" s="7">
        <v>0</v>
      </c>
      <c r="K226" s="89" t="str">
        <f t="shared" si="102"/>
        <v>4049/4050</v>
      </c>
      <c r="L226" s="214" t="str">
        <f>VLOOKUP(A226,'Trips&amp;Operators'!$C$1:$G$99911,5,FALSE)</f>
        <v>SPECTOR MICHAEL</v>
      </c>
      <c r="M226" s="6">
        <f t="shared" si="103"/>
        <v>5.173611112695653E-3</v>
      </c>
      <c r="N226" s="7">
        <f t="shared" si="104"/>
        <v>7.4500000022817403</v>
      </c>
      <c r="O226" s="7"/>
      <c r="P226" s="7"/>
      <c r="Q226" s="22"/>
      <c r="R226" s="167"/>
      <c r="S226" s="210">
        <f t="shared" si="105"/>
        <v>0</v>
      </c>
      <c r="T226" s="192" t="str">
        <f t="shared" si="106"/>
        <v>NorthBound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3" t="str">
        <f t="shared" si="107"/>
        <v>https://d0f6bd738d7f1b3e5a7ca70fe4ff75f0.us-east-1.aws.found.io/app/kibana#/discover/Steve-Slow-Train-Analysis-(2080s-and-2083s)?_g=(refreshInterval:(display:Off,pause:!f,section:0,value:0),time:(from:'2017-09-08T09:36:44-0600',mode:absolute,to:'2017-09-08T11:47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6" s="194" t="str">
        <f>IF(AA226&lt;VLOOKUP(AG226,Variables!$AC$3:$AD$8,2,FALSE),"Y","N")</f>
        <v>Y</v>
      </c>
      <c r="X226" s="194">
        <f t="shared" si="120"/>
        <v>0</v>
      </c>
      <c r="Y226" s="194">
        <f t="shared" si="109"/>
        <v>2.3650000000000002</v>
      </c>
      <c r="Z226" s="194">
        <f t="shared" si="110"/>
        <v>1.67E-2</v>
      </c>
      <c r="AA226" s="194">
        <f t="shared" si="111"/>
        <v>2.3483000000000001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 t="shared" si="112"/>
        <v>51</v>
      </c>
      <c r="AE226" s="77" t="str">
        <f t="shared" si="113"/>
        <v>aws s3 cp s3://rtdc.mdm.uploadarchive.raw/RTDC4049/ "%USERPROFILE%\AppData\Local\Temp\OnboardLogs"\RTDC4049\2017-09-08 --exclude "*" --recursive --include "*20170908*" &amp; "%USERPROFILE%\Documents\GitHub\mrs-test-scripts\Headless Mode &amp; Sideloading\WalkAndUnGZ.bat" "%USERPROFILE%\AppData\Local\Temp\OnboardLogs"\RTDC4049\2017-09-08 &amp; aws s3 cp s3://rtdc.mdm.uploadarchive.raw/RTDC4049/ "%USERPROFILE%\AppData\Local\Temp\OnboardLogs"\RTDC4049\2017-09-09 --exclude "*" --recursive --include "*20170909*" &amp; "%USERPROFILE%\Documents\GitHub\mrs-test-scripts\Headless Mode &amp; Sideloading\WalkAndUnGZ.bat" "%USERPROFILE%\AppData\Local\Temp\OnboardLogs"\RTDC4049\2017-09-09</v>
      </c>
      <c r="AF226" s="74" t="str">
        <f t="shared" si="114"/>
        <v>"C:\Program Files (x86)\AstroGrep\AstroGrep.exe" /e /r /s /spath="%USERPROFILE%\AppData\Local\Temp\OnboardLogs" /stypes="app*4049*20170908*" /stext=" 16:.+((SYSTEM_STATE.+slice.+state.+changed )|(ment ac)|(multiple cpu faults)|(system.+state.+changed )|(\[timeout)|(PRM\|1\|D)|(kpr)|(kdp)|(train st.+moving)|(\|lc)|(penalty))"</v>
      </c>
      <c r="AG226" s="206" t="str">
        <f t="shared" si="115"/>
        <v>Shuttle/Test</v>
      </c>
      <c r="AH226" s="78" t="str">
        <f t="shared" si="116"/>
        <v>"%USERPROFILE%\Documents\GitHub\eaglep3\Utilities\RefineRTDCRunTimes.py" --tripid 51-08 --locoid 4049 --swversion DE.1.0.9.0 --startMP 300:23650 --initTime 2017-09-08T10:36:44 --startdatetime 2017-09-08T10:40:12 --delay 95 --endMP 204:167 --enddatetime 2017-09-08T10:47:39 --enforcementcount 0 &gt;&gt;C:\Users\stu\Documents\GitHub\eaglep3-reporting\EC\2017-09-08-refined-times.txt</v>
      </c>
      <c r="AI226" s="96" t="str">
        <f t="shared" si="117"/>
        <v>echo {"issue":{"subject":"","project_id":79,"tracker_id":40,"status_id":1,"priority_id":2,"assigned_to_id":338,"start_date":"2017-09-08","description":"","custom_fields":[{"id":1,"name":"Subdivision","value":"Shuttle/Test"},{"id":4,"name":"Milepost","value":"0.0167"},{"id":17,"name":"Train ID","value":"51-08"},{"id":16,"name":"Locomotive ID","value":"4049"},{"id":130,"name":"Impact","value":""},{"id":150,"name":"Time of Event (Mountain Time)","value":"10:47:39"},{"id":151,"name":"Denver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18"/>
        <v>start /low /b %USERPROFILE%\Documents\GitHub\eaglep3\Utilities\DownloadLogsFromS3.py --loco 4049 --day 2017-09-08</v>
      </c>
      <c r="AN226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16:47:39"},{"id":29,"name":"Sharepoint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639</v>
      </c>
      <c r="B227" s="7">
        <v>4050</v>
      </c>
      <c r="C227" s="21" t="s">
        <v>197</v>
      </c>
      <c r="D227" s="21" t="s">
        <v>927</v>
      </c>
      <c r="E227" s="13">
        <v>42986.476620370369</v>
      </c>
      <c r="F227" s="13">
        <v>42986.479548611111</v>
      </c>
      <c r="G227" s="7">
        <v>152</v>
      </c>
      <c r="H227" s="21" t="s">
        <v>928</v>
      </c>
      <c r="I227" s="13">
        <v>42986.484675925924</v>
      </c>
      <c r="J227" s="7">
        <v>0</v>
      </c>
      <c r="K227" s="89" t="str">
        <f t="shared" si="102"/>
        <v>4049/4050</v>
      </c>
      <c r="L227" s="214" t="str">
        <f>VLOOKUP(A227,'Trips&amp;Operators'!$C$1:$G$99911,5,FALSE)</f>
        <v>SPECTOR MICHAEL</v>
      </c>
      <c r="M227" s="6">
        <f t="shared" si="103"/>
        <v>5.1273148128530011E-3</v>
      </c>
      <c r="N227" s="7">
        <f t="shared" si="104"/>
        <v>7.3833333305083215</v>
      </c>
      <c r="O227" s="7"/>
      <c r="P227" s="7"/>
      <c r="Q227" s="22"/>
      <c r="R227" s="167"/>
      <c r="S227" s="210">
        <f t="shared" si="105"/>
        <v>1</v>
      </c>
      <c r="T227" s="192" t="str">
        <f t="shared" si="106"/>
        <v>NorthBound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3" t="str">
        <f t="shared" si="107"/>
        <v>https://d0f6bd738d7f1b3e5a7ca70fe4ff75f0.us-east-1.aws.found.io/app/kibana#/discover/Steve-Slow-Train-Analysis-(2080s-and-2083s)?_g=(refreshInterval:(display:Off,pause:!f,section:0,value:0),time:(from:'2017-09-08T10:26:20-0600',mode:absolute,to:'2017-09-08T12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7" s="194" t="str">
        <f>IF(AA227&lt;VLOOKUP(AG227,Variables!$AC$3:$AD$8,2,FALSE),"Y","N")</f>
        <v>Y</v>
      </c>
      <c r="X227" s="194">
        <f t="shared" si="120"/>
        <v>0</v>
      </c>
      <c r="Y227" s="194">
        <f t="shared" si="109"/>
        <v>4.0800000000000003E-2</v>
      </c>
      <c r="Z227" s="194">
        <f t="shared" si="110"/>
        <v>2.4243000000000001</v>
      </c>
      <c r="AA227" s="194">
        <f t="shared" si="111"/>
        <v>2.3835000000000002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 t="shared" si="112"/>
        <v>51</v>
      </c>
      <c r="AE227" s="77" t="str">
        <f t="shared" si="113"/>
        <v>aws s3 cp s3://rtdc.mdm.uploadarchive.raw/RTDC4050/ "%USERPROFILE%\AppData\Local\Temp\OnboardLogs"\RTDC4050\2017-09-08 --exclude "*" --recursive --include "*20170908*" &amp; "%USERPROFILE%\Documents\GitHub\mrs-test-scripts\Headless Mode &amp; Sideloading\WalkAndUnGZ.bat" "%USERPROFILE%\AppData\Local\Temp\OnboardLogs"\RTDC4050\2017-09-08 &amp; aws s3 cp s3://rtdc.mdm.uploadarchive.raw/RTDC4050/ "%USERPROFILE%\AppData\Local\Temp\OnboardLogs"\RTDC4050\2017-09-09 --exclude "*" --recursive --include "*20170909*" &amp; "%USERPROFILE%\Documents\GitHub\mrs-test-scripts\Headless Mode &amp; Sideloading\WalkAndUnGZ.bat" "%USERPROFILE%\AppData\Local\Temp\OnboardLogs"\RTDC4050\2017-09-09</v>
      </c>
      <c r="AF227" s="74" t="str">
        <f t="shared" si="114"/>
        <v>"C:\Program Files (x86)\AstroGrep\AstroGrep.exe" /e /r /s /spath="%USERPROFILE%\AppData\Local\Temp\OnboardLogs" /stypes="app*4050*20170908*" /stext=" 17:.+((SYSTEM_STATE.+slice.+state.+changed )|(ment ac)|(multiple cpu faults)|(system.+state.+changed )|(\[timeout)|(PRM\|1\|D)|(kpr)|(kdp)|(train st.+moving)|(\|lc)|(penalty))"</v>
      </c>
      <c r="AG227" s="206" t="str">
        <f t="shared" si="115"/>
        <v>Shuttle/Test</v>
      </c>
      <c r="AH227" s="78" t="str">
        <f t="shared" si="116"/>
        <v>"%USERPROFILE%\Documents\GitHub\eaglep3\Utilities\RefineRTDCRunTimes.py" --tripid 51-08 --locoid 4050 --swversion DE.1.0.9.0 --startMP 204:408 --initTime 2017-09-08T11:26:20 --startdatetime 2017-09-08T11:30:33 --delay 152 --endMP 300:24243 --enddatetime 2017-09-08T11:37:56 --enforcementcount 0 &gt;&gt;C:\Users\stu\Documents\GitHub\eaglep3-reporting\EC\2017-09-08-refined-times.txt</v>
      </c>
      <c r="AI227" s="96" t="str">
        <f t="shared" si="117"/>
        <v>echo {"issue":{"subject":"","project_id":79,"tracker_id":40,"status_id":1,"priority_id":2,"assigned_to_id":338,"start_date":"2017-09-08","description":"","custom_fields":[{"id":1,"name":"Subdivision","value":"Shuttle/Test"},{"id":4,"name":"Milepost","value":"2.4243"},{"id":17,"name":"Train ID","value":"51-08"},{"id":16,"name":"Locomotive ID","value":"4050"},{"id":130,"name":"Impact","value":""},{"id":150,"name":"Time of Event (Mountain Time)","value":"11:37:56"},{"id":151,"name":"Denver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18"/>
        <v>start /low /b %USERPROFILE%\Documents\GitHub\eaglep3\Utilities\DownloadLogsFromS3.py --loco 4050 --day 2017-09-08</v>
      </c>
      <c r="AN227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17:37:56"},{"id":29,"name":"Sharepoint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640</v>
      </c>
      <c r="B228" s="7">
        <v>4015</v>
      </c>
      <c r="C228" s="21" t="s">
        <v>197</v>
      </c>
      <c r="D228" s="21" t="s">
        <v>929</v>
      </c>
      <c r="E228" s="13">
        <v>42986.139293981483</v>
      </c>
      <c r="F228" s="13">
        <v>42986.140879629631</v>
      </c>
      <c r="G228" s="7">
        <v>78</v>
      </c>
      <c r="H228" s="21" t="s">
        <v>930</v>
      </c>
      <c r="I228" s="13">
        <v>42986.141979166663</v>
      </c>
      <c r="J228" s="7">
        <v>0</v>
      </c>
      <c r="K228" s="89" t="str">
        <f t="shared" si="102"/>
        <v>4015/4016</v>
      </c>
      <c r="L228" s="214" t="str">
        <f>VLOOKUP(A228,'Trips&amp;Operators'!$C$1:$G$99911,5,FALSE)</f>
        <v>SPECTOR MICHAEL</v>
      </c>
      <c r="M228" s="6">
        <f t="shared" si="103"/>
        <v>1.0995370321325026E-3</v>
      </c>
      <c r="N228" s="7">
        <f t="shared" si="104"/>
        <v>1.5833333262708038</v>
      </c>
      <c r="O228" s="7"/>
      <c r="P228" s="7"/>
      <c r="Q228" s="22"/>
      <c r="R228" s="167"/>
      <c r="S228" s="210">
        <f t="shared" si="105"/>
        <v>0</v>
      </c>
      <c r="T228" s="192" t="str">
        <f t="shared" si="106"/>
        <v>Southbound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3" t="str">
        <f t="shared" si="107"/>
        <v>https://d0f6bd738d7f1b3e5a7ca70fe4ff75f0.us-east-1.aws.found.io/app/kibana#/discover/Steve-Slow-Train-Analysis-(2080s-and-2083s)?_g=(refreshInterval:(display:Off,pause:!f,section:0,value:0),time:(from:'2017-09-08T02:20:35-0600',mode:absolute,to:'2017-09-08T04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8" s="194" t="str">
        <f>IF(AA228&lt;VLOOKUP(AG228,Variables!$AC$3:$AD$8,2,FALSE),"Y","N")</f>
        <v>Y</v>
      </c>
      <c r="X228" s="194">
        <f t="shared" si="120"/>
        <v>1</v>
      </c>
      <c r="Y228" s="194">
        <f t="shared" si="109"/>
        <v>0.3241</v>
      </c>
      <c r="Z228" s="194">
        <f t="shared" si="110"/>
        <v>0.1167</v>
      </c>
      <c r="AA228" s="194">
        <f t="shared" si="111"/>
        <v>0.2074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 t="shared" si="112"/>
        <v>52</v>
      </c>
      <c r="AE228" s="77" t="str">
        <f t="shared" si="113"/>
        <v>aws s3 cp s3://rtdc.mdm.uploadarchive.raw/RTDC4015/ "%USERPROFILE%\AppData\Local\Temp\OnboardLogs"\RTDC4015\2017-09-08 --exclude "*" --recursive --include "*20170908*" &amp; "%USERPROFILE%\Documents\GitHub\mrs-test-scripts\Headless Mode &amp; Sideloading\WalkAndUnGZ.bat" "%USERPROFILE%\AppData\Local\Temp\OnboardLogs"\RTDC4015\2017-09-08 &amp; aws s3 cp s3://rtdc.mdm.uploadarchive.raw/RTDC4015/ "%USERPROFILE%\AppData\Local\Temp\OnboardLogs"\RTDC4015\2017-09-09 --exclude "*" --recursive --include "*20170909*" &amp; "%USERPROFILE%\Documents\GitHub\mrs-test-scripts\Headless Mode &amp; Sideloading\WalkAndUnGZ.bat" "%USERPROFILE%\AppData\Local\Temp\OnboardLogs"\RTDC4015\2017-09-09</v>
      </c>
      <c r="AF228" s="74" t="str">
        <f t="shared" si="114"/>
        <v>"C:\Program Files (x86)\AstroGrep\AstroGrep.exe" /e /r /s /spath="%USERPROFILE%\AppData\Local\Temp\OnboardLogs" /stypes="app*4015*20170908*" /stext=" 09:.+((SYSTEM_STATE.+slice.+state.+changed )|(ment ac)|(multiple cpu faults)|(system.+state.+changed )|(\[timeout)|(PRM\|1\|D)|(kpr)|(kdp)|(train st.+moving)|(\|lc)|(penalty))"</v>
      </c>
      <c r="AG228" s="206" t="str">
        <f t="shared" si="115"/>
        <v>Shuttle/Test</v>
      </c>
      <c r="AH228" s="78" t="str">
        <f t="shared" si="116"/>
        <v>"%USERPROFILE%\Documents\GitHub\eaglep3\Utilities\RefineRTDCRunTimes.py" --tripid 52-08 --locoid 4015 --swversion DE.1.0.9.0 --startMP 204:3241 --initTime 2017-09-08T03:20:35 --startdatetime 2017-09-08T03:22:52 --delay 78 --endMP 204:1167 --enddatetime 2017-09-08T03:24:27 --enforcementcount 0 &gt;&gt;C:\Users\stu\Documents\GitHub\eaglep3-reporting\EC\2017-09-08-refined-times.txt</v>
      </c>
      <c r="AI228" s="96" t="str">
        <f t="shared" si="117"/>
        <v>echo {"issue":{"subject":"","project_id":79,"tracker_id":40,"status_id":1,"priority_id":2,"assigned_to_id":338,"start_date":"2017-09-08","description":"","custom_fields":[{"id":1,"name":"Subdivision","value":"Shuttle/Test"},{"id":4,"name":"Milepost","value":"0.1167"},{"id":17,"name":"Train ID","value":"52-08"},{"id":16,"name":"Locomotive ID","value":"4015"},{"id":130,"name":"Impact","value":""},{"id":150,"name":"Time of Event (Mountain Time)","value":"03:24:27"},{"id":151,"name":"Denver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18"/>
        <v>start /low /b %USERPROFILE%\Documents\GitHub\eaglep3\Utilities\DownloadLogsFromS3.py --loco 4015 --day 2017-09-08</v>
      </c>
      <c r="AN228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09:24:27"},{"id":29,"name":"Sharepoint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s="20" customFormat="1" x14ac:dyDescent="0.25">
      <c r="A229" s="32" t="s">
        <v>779</v>
      </c>
      <c r="B229" s="7">
        <v>4016</v>
      </c>
      <c r="C229" s="21" t="s">
        <v>197</v>
      </c>
      <c r="D229" s="21" t="s">
        <v>931</v>
      </c>
      <c r="E229" s="13">
        <v>42986.695925925924</v>
      </c>
      <c r="F229" s="13">
        <v>42986.70517361111</v>
      </c>
      <c r="G229" s="7">
        <v>90</v>
      </c>
      <c r="H229" s="21" t="s">
        <v>420</v>
      </c>
      <c r="I229" s="13">
        <v>42986.711527777778</v>
      </c>
      <c r="J229" s="7">
        <v>0</v>
      </c>
      <c r="K229" s="89" t="str">
        <f t="shared" si="102"/>
        <v>4015/4016</v>
      </c>
      <c r="L229" s="214" t="str">
        <f>VLOOKUP(A229,'Trips&amp;Operators'!$C$1:$G$99911,5,FALSE)</f>
        <v>MOSES BRADLEY</v>
      </c>
      <c r="M229" s="6">
        <f t="shared" si="103"/>
        <v>6.3541666677338071E-3</v>
      </c>
      <c r="N229" s="7">
        <f t="shared" si="104"/>
        <v>9.1500000015366822</v>
      </c>
      <c r="O229" s="7"/>
      <c r="P229" s="7"/>
      <c r="Q229" s="22"/>
      <c r="R229" s="167"/>
      <c r="S229" s="210">
        <f t="shared" si="105"/>
        <v>1</v>
      </c>
      <c r="T229" s="192" t="str">
        <f t="shared" si="106"/>
        <v>NorthBound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3" t="str">
        <f t="shared" si="107"/>
        <v>https://d0f6bd738d7f1b3e5a7ca70fe4ff75f0.us-east-1.aws.found.io/app/kibana#/discover/Steve-Slow-Train-Analysis-(2080s-and-2083s)?_g=(refreshInterval:(display:Off,pause:!f,section:0,value:0),time:(from:'2017-09-08T15:42:08-0600',mode:absolute,to:'2017-09-08T18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9" s="194" t="str">
        <f>IF(AA229&lt;VLOOKUP(AG229,Variables!$AC$3:$AD$8,2,FALSE),"Y","N")</f>
        <v>Y</v>
      </c>
      <c r="X229" s="194">
        <f t="shared" si="120"/>
        <v>11</v>
      </c>
      <c r="Y229" s="194">
        <f t="shared" si="109"/>
        <v>0.14749999999999999</v>
      </c>
      <c r="Z229" s="194">
        <f t="shared" si="110"/>
        <v>2.3346</v>
      </c>
      <c r="AA229" s="194">
        <f t="shared" si="111"/>
        <v>2.1871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 t="shared" si="112"/>
        <v>63</v>
      </c>
      <c r="AE229" s="77" t="str">
        <f t="shared" si="113"/>
        <v>aws s3 cp s3://rtdc.mdm.uploadarchive.raw/RTDC4016/ "%USERPROFILE%\AppData\Local\Temp\OnboardLogs"\RTDC4016\2017-09-08 --exclude "*" --recursive --include "*20170908*" &amp; "%USERPROFILE%\Documents\GitHub\mrs-test-scripts\Headless Mode &amp; Sideloading\WalkAndUnGZ.bat" "%USERPROFILE%\AppData\Local\Temp\OnboardLogs"\RTDC4016\2017-09-08 &amp; aws s3 cp s3://rtdc.mdm.uploadarchive.raw/RTDC4016/ "%USERPROFILE%\AppData\Local\Temp\OnboardLogs"\RTDC4016\2017-09-09 --exclude "*" --recursive --include "*20170909*" &amp; "%USERPROFILE%\Documents\GitHub\mrs-test-scripts\Headless Mode &amp; Sideloading\WalkAndUnGZ.bat" "%USERPROFILE%\AppData\Local\Temp\OnboardLogs"\RTDC4016\2017-09-09</v>
      </c>
      <c r="AF229" s="74" t="str">
        <f t="shared" si="114"/>
        <v>"C:\Program Files (x86)\AstroGrep\AstroGrep.exe" /e /r /s /spath="%USERPROFILE%\AppData\Local\Temp\OnboardLogs" /stypes="app*4016*20170908*" /stext=" 23:.+((SYSTEM_STATE.+slice.+state.+changed )|(ment ac)|(multiple cpu faults)|(system.+state.+changed )|(\[timeout)|(PRM\|1\|D)|(kpr)|(kdp)|(train st.+moving)|(\|lc)|(penalty))"</v>
      </c>
      <c r="AG229" s="206" t="str">
        <f t="shared" si="115"/>
        <v>Shuttle/Test</v>
      </c>
      <c r="AH229" s="78" t="str">
        <f t="shared" si="116"/>
        <v>"%USERPROFILE%\Documents\GitHub\eaglep3\Utilities\RefineRTDCRunTimes.py" --tripid 63-08 --locoid 4016 --swversion DE.1.0.9.0 --startMP 204:1475 --initTime 2017-09-08T16:42:08 --startdatetime 2017-09-08T16:55:27 --delay 90 --endMP 300:23346 --enddatetime 2017-09-08T17:04:36 --enforcementcount 0 &gt;&gt;C:\Users\stu\Documents\GitHub\eaglep3-reporting\EC\2017-09-08-refined-times.txt</v>
      </c>
      <c r="AI229" s="96" t="str">
        <f t="shared" si="117"/>
        <v>echo {"issue":{"subject":"","project_id":79,"tracker_id":40,"status_id":1,"priority_id":2,"assigned_to_id":338,"start_date":"2017-09-08","description":"","custom_fields":[{"id":1,"name":"Subdivision","value":"Shuttle/Test"},{"id":4,"name":"Milepost","value":"2.3346"},{"id":17,"name":"Train ID","value":"63-08"},{"id":16,"name":"Locomotive ID","value":"4016"},{"id":130,"name":"Impact","value":""},{"id":150,"name":"Time of Event (Mountain Time)","value":"17:04:36"},{"id":151,"name":"Denver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118"/>
        <v>start /low /b %USERPROFILE%\Documents\GitHub\eaglep3\Utilities\DownloadLogsFromS3.py --loco 4016 --day 2017-09-08</v>
      </c>
      <c r="AN229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 s="32" t="s">
        <v>793</v>
      </c>
      <c r="B230" s="7">
        <v>4026</v>
      </c>
      <c r="C230" s="21" t="s">
        <v>197</v>
      </c>
      <c r="D230" s="21" t="s">
        <v>932</v>
      </c>
      <c r="E230" s="13">
        <v>42986.733391203707</v>
      </c>
      <c r="F230" s="13">
        <v>42986.735069444447</v>
      </c>
      <c r="G230" s="7">
        <v>74</v>
      </c>
      <c r="H230" s="21" t="s">
        <v>933</v>
      </c>
      <c r="I230" s="13">
        <v>42986.744004629632</v>
      </c>
      <c r="J230" s="7">
        <v>0</v>
      </c>
      <c r="K230" s="89" t="str">
        <f t="shared" si="102"/>
        <v>4025/4026</v>
      </c>
      <c r="L230" s="214" t="str">
        <f>VLOOKUP(A230,'Trips&amp;Operators'!$C$1:$G$99911,5,FALSE)</f>
        <v>DELGADO DIANAH</v>
      </c>
      <c r="M230" s="6">
        <f t="shared" si="103"/>
        <v>8.9351851856918074E-3</v>
      </c>
      <c r="N230" s="7">
        <f t="shared" si="104"/>
        <v>12.866666667396203</v>
      </c>
      <c r="O230" s="7"/>
      <c r="P230" s="7"/>
      <c r="Q230" s="22"/>
      <c r="R230" s="167"/>
      <c r="S230" s="210">
        <f t="shared" si="105"/>
        <v>1</v>
      </c>
      <c r="T230" s="192" t="str">
        <f t="shared" si="106"/>
        <v>NorthBound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3" t="str">
        <f t="shared" si="107"/>
        <v>https://d0f6bd738d7f1b3e5a7ca70fe4ff75f0.us-east-1.aws.found.io/app/kibana#/discover/Steve-Slow-Train-Analysis-(2080s-and-2083s)?_g=(refreshInterval:(display:Off,pause:!f,section:0,value:0),time:(from:'2017-09-08T16:36:05-0600',mode:absolute,to:'2017-09-08T18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0" s="194" t="str">
        <f>IF(AA230&lt;VLOOKUP(AG230,Variables!$AC$3:$AD$8,2,FALSE),"Y","N")</f>
        <v>Y</v>
      </c>
      <c r="X230" s="194">
        <f t="shared" si="120"/>
        <v>6</v>
      </c>
      <c r="Y230" s="194">
        <f t="shared" si="109"/>
        <v>0.115</v>
      </c>
      <c r="Z230" s="194">
        <f t="shared" si="110"/>
        <v>2.3302</v>
      </c>
      <c r="AA230" s="194">
        <f t="shared" si="111"/>
        <v>2.2151999999999998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3">
        <f t="shared" si="112"/>
        <v>69</v>
      </c>
      <c r="AE230" s="77" t="str">
        <f t="shared" si="113"/>
        <v>aws s3 cp s3://rtdc.mdm.uploadarchive.raw/RTDC4026/ "%USERPROFILE%\AppData\Local\Temp\OnboardLogs"\RTDC4026\2017-09-08 --exclude "*" --recursive --include "*20170908*" &amp; "%USERPROFILE%\Documents\GitHub\mrs-test-scripts\Headless Mode &amp; Sideloading\WalkAndUnGZ.bat" "%USERPROFILE%\AppData\Local\Temp\OnboardLogs"\RTDC4026\2017-09-08 &amp; aws s3 cp s3://rtdc.mdm.uploadarchive.raw/RTDC4026/ "%USERPROFILE%\AppData\Local\Temp\OnboardLogs"\RTDC4026\2017-09-09 --exclude "*" --recursive --include "*20170909*" &amp; "%USERPROFILE%\Documents\GitHub\mrs-test-scripts\Headless Mode &amp; Sideloading\WalkAndUnGZ.bat" "%USERPROFILE%\AppData\Local\Temp\OnboardLogs"\RTDC4026\2017-09-09</v>
      </c>
      <c r="AF230" s="74" t="str">
        <f t="shared" si="114"/>
        <v>"C:\Program Files (x86)\AstroGrep\AstroGrep.exe" /e /r /s /spath="%USERPROFILE%\AppData\Local\Temp\OnboardLogs" /stypes="app*4026*20170908*" /stext=" 23:.+((SYSTEM_STATE.+slice.+state.+changed )|(ment ac)|(multiple cpu faults)|(system.+state.+changed )|(\[timeout)|(PRM\|1\|D)|(kpr)|(kdp)|(train st.+moving)|(\|lc)|(penalty))"</v>
      </c>
      <c r="AG230" s="206" t="str">
        <f t="shared" si="115"/>
        <v>Shuttle/Test</v>
      </c>
      <c r="AH230" s="78" t="str">
        <f t="shared" si="116"/>
        <v>"%USERPROFILE%\Documents\GitHub\eaglep3\Utilities\RefineRTDCRunTimes.py" --tripid 69-08 --locoid 4026 --swversion DE.1.0.9.0 --startMP 204:1150 --initTime 2017-09-08T17:36:05 --startdatetime 2017-09-08T17:38:30 --delay 74 --endMP 300:23302 --enddatetime 2017-09-08T17:51:22 --enforcementcount 0 &gt;&gt;C:\Users\stu\Documents\GitHub\eaglep3-reporting\EC\2017-09-08-refined-times.txt</v>
      </c>
      <c r="AI230" s="96" t="str">
        <f t="shared" si="117"/>
        <v>echo {"issue":{"subject":"","project_id":79,"tracker_id":40,"status_id":1,"priority_id":2,"assigned_to_id":338,"start_date":"2017-09-08","description":"","custom_fields":[{"id":1,"name":"Subdivision","value":"Shuttle/Test"},{"id":4,"name":"Milepost","value":"2.3302"},{"id":17,"name":"Train ID","value":"69-08"},{"id":16,"name":"Locomotive ID","value":"4026"},{"id":130,"name":"Impact","value":""},{"id":150,"name":"Time of Event (Mountain Time)","value":"17:51:22"},{"id":151,"name":"Denver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18"/>
        <v>start /low /b %USERPROFILE%\Documents\GitHub\eaglep3\Utilities\DownloadLogsFromS3.py --loco 4026 --day 2017-09-08</v>
      </c>
      <c r="AN230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787</v>
      </c>
      <c r="B231" s="7">
        <v>4065</v>
      </c>
      <c r="C231" s="21" t="s">
        <v>197</v>
      </c>
      <c r="D231" s="21" t="s">
        <v>934</v>
      </c>
      <c r="E231" s="13">
        <v>42986.729444444441</v>
      </c>
      <c r="F231" s="13">
        <v>42986.742395833331</v>
      </c>
      <c r="G231" s="7">
        <v>82</v>
      </c>
      <c r="H231" s="21" t="s">
        <v>935</v>
      </c>
      <c r="I231" s="13">
        <v>42986.748877314814</v>
      </c>
      <c r="J231" s="7">
        <v>0</v>
      </c>
      <c r="K231" s="89" t="str">
        <f t="shared" si="102"/>
        <v>4065/4066</v>
      </c>
      <c r="L231" s="214" t="str">
        <f>VLOOKUP(A231,'Trips&amp;Operators'!$C$1:$G$99911,5,FALSE)</f>
        <v>ELBAUM MIKE</v>
      </c>
      <c r="M231" s="6">
        <f t="shared" si="103"/>
        <v>6.4814814832061529E-3</v>
      </c>
      <c r="N231" s="7">
        <f t="shared" si="104"/>
        <v>9.3333333358168602</v>
      </c>
      <c r="O231" s="7"/>
      <c r="P231" s="7"/>
      <c r="Q231" s="22"/>
      <c r="R231" s="167"/>
      <c r="S231" s="210">
        <f t="shared" si="105"/>
        <v>1</v>
      </c>
      <c r="T231" s="192" t="str">
        <f t="shared" si="106"/>
        <v>Southbound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3" t="str">
        <f t="shared" si="107"/>
        <v>https://d0f6bd738d7f1b3e5a7ca70fe4ff75f0.us-east-1.aws.found.io/app/kibana#/discover/Steve-Slow-Train-Analysis-(2080s-and-2083s)?_g=(refreshInterval:(display:Off,pause:!f,section:0,value:0),time:(from:'2017-09-08T16:30:24-0600',mode:absolute,to:'2017-09-08T18:58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1" s="194" t="str">
        <f>IF(AA231&lt;VLOOKUP(AG231,Variables!$AC$3:$AD$8,2,FALSE),"Y","N")</f>
        <v>Y</v>
      </c>
      <c r="X231" s="194">
        <f t="shared" si="120"/>
        <v>7</v>
      </c>
      <c r="Y231" s="194">
        <f t="shared" si="109"/>
        <v>2.2265000000000001</v>
      </c>
      <c r="Z231" s="194">
        <f t="shared" si="110"/>
        <v>0.20300000000000001</v>
      </c>
      <c r="AA231" s="194">
        <f t="shared" si="111"/>
        <v>2.0235000000000003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3">
        <f t="shared" si="112"/>
        <v>76</v>
      </c>
      <c r="AE231" s="77" t="str">
        <f t="shared" si="113"/>
        <v>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 &amp; aws s3 cp s3://rtdc.mdm.uploadarchive.raw/RTDC4065/ "%USERPROFILE%\AppData\Local\Temp\OnboardLogs"\RTDC4065\2017-09-09 --exclude "*" --recursive --include "*20170909*" &amp; "%USERPROFILE%\Documents\GitHub\mrs-test-scripts\Headless Mode &amp; Sideloading\WalkAndUnGZ.bat" "%USERPROFILE%\AppData\Local\Temp\OnboardLogs"\RTDC4065\2017-09-09</v>
      </c>
      <c r="AF231" s="74" t="str">
        <f t="shared" si="114"/>
        <v>"C:\Program Files (x86)\AstroGrep\AstroGrep.exe" /e /r /s /spath="%USERPROFILE%\AppData\Local\Temp\OnboardLogs" /stypes="app*4065*20170908*" /stext=" 23:.+((SYSTEM_STATE.+slice.+state.+changed )|(ment ac)|(multiple cpu faults)|(system.+state.+changed )|(\[timeout)|(PRM\|1\|D)|(kpr)|(kdp)|(train st.+moving)|(\|lc)|(penalty))"</v>
      </c>
      <c r="AG231" s="206" t="str">
        <f t="shared" si="115"/>
        <v>Shuttle/Test</v>
      </c>
      <c r="AH231" s="78" t="str">
        <f t="shared" si="116"/>
        <v>"%USERPROFILE%\Documents\GitHub\eaglep3\Utilities\RefineRTDCRunTimes.py" --tripid 76-08 --locoid 4065 --swversion DE.1.0.9.0 --startMP 300:22265 --initTime 2017-09-08T17:30:24 --startdatetime 2017-09-08T17:49:03 --delay 82 --endMP 204:2030 --enddatetime 2017-09-08T17:58:23 --enforcementcount 0 &gt;&gt;C:\Users\stu\Documents\GitHub\eaglep3-reporting\EC\2017-09-08-refined-times.txt</v>
      </c>
      <c r="AI231" s="96" t="str">
        <f t="shared" si="117"/>
        <v>echo {"issue":{"subject":"","project_id":79,"tracker_id":40,"status_id":1,"priority_id":2,"assigned_to_id":338,"start_date":"2017-09-08","description":"","custom_fields":[{"id":1,"name":"Subdivision","value":"Shuttle/Test"},{"id":4,"name":"Milepost","value":"0.203"},{"id":17,"name":"Train ID","value":"76-08"},{"id":16,"name":"Locomotive ID","value":"4065"},{"id":130,"name":"Impact","value":""},{"id":150,"name":"Time of Event (Mountain Time)","value":"17:58:23"},{"id":151,"name":"Denver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18"/>
        <v>start /low /b %USERPROFILE%\Documents\GitHub\eaglep3\Utilities\DownloadLogsFromS3.py --loco 4065 --day 2017-09-08</v>
      </c>
      <c r="AN231" s="151" t="str">
        <f t="shared" si="11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23:58:23"},{"id":29,"name":"Sharepoint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</sheetData>
  <autoFilter ref="A12:AG266"/>
  <sortState ref="A13:AN221">
    <sortCondition ref="AG13:AG221"/>
    <sortCondition ref="AD13:AD221"/>
  </sortState>
  <mergeCells count="1">
    <mergeCell ref="A11:P11"/>
  </mergeCells>
  <conditionalFormatting sqref="W11:W12 W272:X1048576 W13:X231">
    <cfRule type="cellIs" dxfId="10" priority="415" operator="equal">
      <formula>"Y"</formula>
    </cfRule>
  </conditionalFormatting>
  <conditionalFormatting sqref="X272:X1048576 X13:X231">
    <cfRule type="cellIs" dxfId="9" priority="398" operator="greaterThan">
      <formula>1</formula>
    </cfRule>
  </conditionalFormatting>
  <conditionalFormatting sqref="X272:X1048576 X12:X231">
    <cfRule type="cellIs" dxfId="8" priority="395" operator="equal">
      <formula>0</formula>
    </cfRule>
  </conditionalFormatting>
  <conditionalFormatting sqref="A13:S23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COUNTIF($O$7:$O$258,"=Y")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COUNTA($O$7:$O$258)-O2</f>
        <v>30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- 2017-09-08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359</v>
      </c>
      <c r="X6" s="205" t="s">
        <v>352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42986.671851851854</v>
      </c>
      <c r="B7" s="30" t="s">
        <v>479</v>
      </c>
      <c r="C7" s="30" t="s">
        <v>622</v>
      </c>
      <c r="D7" s="30" t="s">
        <v>49</v>
      </c>
      <c r="E7" s="30" t="s">
        <v>187</v>
      </c>
      <c r="F7" s="42">
        <v>0</v>
      </c>
      <c r="G7" s="42">
        <v>221</v>
      </c>
      <c r="H7" s="42">
        <v>27000</v>
      </c>
      <c r="I7" s="42">
        <v>27313</v>
      </c>
      <c r="J7" s="30" t="s">
        <v>188</v>
      </c>
      <c r="K7" s="42">
        <v>27053</v>
      </c>
      <c r="L7" s="131" t="s">
        <v>50</v>
      </c>
      <c r="M7" s="132">
        <f t="shared" ref="M7:M37" si="0">CONVERT((I7-K7)/10000,"mi","ft")*IF(L7="Increasing Mileposts (1)",-1,1)</f>
        <v>-137.28</v>
      </c>
      <c r="N7" s="133" t="str">
        <f>VLOOKUP(C7,'Trips&amp;Operators'!$C$1:$G$99911,5,FALSE)</f>
        <v>BADERTSCHER DIANE</v>
      </c>
      <c r="O7" s="200" t="s">
        <v>180</v>
      </c>
      <c r="P7" s="134" t="s">
        <v>373</v>
      </c>
      <c r="Q7" s="30"/>
      <c r="R7" s="81" t="str">
        <f>VLOOKUP(C7,'Train Runs'!$A$13:$AE$9925,31,0)</f>
        <v>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 &amp; aws s3 cp s3://rtdc.mdm.uploadarchive.raw/RTDC4062/ "%USERPROFILE%\AppData\Local\Temp\OnboardLogs"\RTDC4062\2017-09-09 --exclude "*" --recursive --include "*20170909*" &amp; "%USERPROFILE%\Documents\GitHub\mrs-test-scripts\Headless Mode &amp; Sideloading\WalkAndUnGZ.bat" "%USERPROFILE%\AppData\Local\Temp\OnboardLogs"\RTDC4062\2017-09-09</v>
      </c>
      <c r="S7" s="84" t="str">
        <f>VLOOKUP(C7,'Train Runs'!$A$13:$AE$9925,22,0)</f>
        <v>https://d0f6bd738d7f1b3e5a7ca70fe4ff75f0.us-east-1.aws.found.io/app/kibana#/discover/Steve-Slow-Train-Analysis-(2080s-and-2083s)?_g=(refreshInterval:(display:Off,pause:!f,section:0,value:0),time:(from:'2017-09-08T14:54:45-0600',mode:absolute,to:'2017-09-08T17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7" s="86" t="str">
        <f t="shared" ref="T7:T3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/stypes="*4062*201709082*" /stext=" 22:.+((SYSTEM_STATE.+slice.+state.+changed )|(ment ac)|(multiple cpu faults)|(system.+state.+changed )|(\[timeout)|(PRM\|1\|D)|(kpr)|(kdp)|(train st.+moving)|(\|lc)|(penalty))"</v>
      </c>
      <c r="U7" s="9" t="str">
        <f t="shared" ref="U7:U37" si="2">MID(B7,13,4)</f>
        <v>4062</v>
      </c>
      <c r="V7" s="31">
        <f t="shared" ref="V7:V37" si="3">A7-utc_offset/24</f>
        <v>42986.921851851854</v>
      </c>
      <c r="W7" s="45" t="str">
        <f t="shared" ref="W7:W37" si="4">DetSubdiv(C7)</f>
        <v>EC</v>
      </c>
      <c r="X7" s="22">
        <f t="shared" ref="X7:X37" si="5">VALUE(LEFT(C7,LEN(C7)-3))</f>
        <v>199</v>
      </c>
      <c r="Y7" s="96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Arrival","project_id":79,"tracker_id":40,"status_id":1,"priority_id":2,"assigned_to_id":338,"start_date":"2017-09-08","description":"","custom_fields":[{"id":1,"name":"Subdivision","value":"EC"},{"id":4,"name":"Milepost","value":"2.7053"},{"id":17,"name":"Train ID","value":"199-08"},{"id":16,"name":"Locomotive ID","value":"4062"},{"id":130,"name":"Impact","value":""},{"id":150,"name":"Time of Event (Mountain Time)","value":"16:07:28"},{"id":151,"name":"Denver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/c/Users/stu/AppData/Local/Temp/OnboardLogs/RTDC4062 --include="*4062*201709082*"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"%USERPROFILE%\AppData\Local\Temp\OnboardLogs"\RTDC4062\*4062*201709082* &gt;&gt; 2017-09-08-SliceDisagreementCheck.txt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4062 --day 2017-09-08</v>
      </c>
    </row>
    <row r="8" spans="1:32" s="1" customFormat="1" x14ac:dyDescent="0.25">
      <c r="A8" s="31">
        <v>42986.5703587963</v>
      </c>
      <c r="B8" s="30" t="s">
        <v>614</v>
      </c>
      <c r="C8" s="30" t="s">
        <v>617</v>
      </c>
      <c r="D8" s="30" t="s">
        <v>49</v>
      </c>
      <c r="E8" s="30" t="s">
        <v>187</v>
      </c>
      <c r="F8" s="42">
        <v>0</v>
      </c>
      <c r="G8" s="42">
        <v>194</v>
      </c>
      <c r="H8" s="42">
        <v>31017</v>
      </c>
      <c r="I8" s="42">
        <v>30759</v>
      </c>
      <c r="J8" s="30" t="s">
        <v>188</v>
      </c>
      <c r="K8" s="42">
        <v>30970</v>
      </c>
      <c r="L8" s="131" t="s">
        <v>51</v>
      </c>
      <c r="M8" s="132">
        <f t="shared" si="0"/>
        <v>-111.408</v>
      </c>
      <c r="N8" s="133" t="str">
        <f>VLOOKUP(C8,'Trips&amp;Operators'!$C$1:$G$99911,5,FALSE)</f>
        <v>LEVIN SCOTT</v>
      </c>
      <c r="O8" s="200" t="s">
        <v>180</v>
      </c>
      <c r="P8" s="134" t="s">
        <v>373</v>
      </c>
      <c r="Q8" s="30"/>
      <c r="R8" s="81" t="str">
        <f>VLOOKUP(C8,'Train Runs'!$A$13:$AE$9925,31,0)</f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S8" s="84" t="str">
        <f>VLOOKUP(C8,'Train Runs'!$A$13:$AE$9925,22,0)</f>
        <v>https://d0f6bd738d7f1b3e5a7ca70fe4ff75f0.us-east-1.aws.found.io/app/kibana#/discover/Steve-Slow-Train-Analysis-(2080s-and-2083s)?_g=(refreshInterval:(display:Off,pause:!f,section:0,value:0),time:(from:'2017-09-08T11:56:45-0600',mode:absolute,to:'2017-09-08T14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8" s="86" t="str">
        <f t="shared" si="1"/>
        <v>"C:\Program Files (x86)\AstroGrep\AstroGrep.exe" /e /r /s /spath="%USERPROFILE%\AppData\Local\Temp\OnboardLogs" /stypes="*4057*201709081*" /stext=" 19:.+((SYSTEM_STATE.+slice.+state.+changed )|(ment ac)|(multiple cpu faults)|(system.+state.+changed )|(\[timeout)|(PRM\|1\|D)|(kpr)|(kdp)|(train st.+moving)|(\|lc)|(penalty))"</v>
      </c>
      <c r="U8" s="9" t="str">
        <f t="shared" si="2"/>
        <v>4057</v>
      </c>
      <c r="V8" s="31">
        <f t="shared" si="3"/>
        <v>42986.8203587963</v>
      </c>
      <c r="W8" s="45" t="str">
        <f t="shared" si="4"/>
        <v>EC</v>
      </c>
      <c r="X8" s="22">
        <f t="shared" si="5"/>
        <v>170</v>
      </c>
      <c r="Y8" s="96" t="str">
        <f t="shared" si="6"/>
        <v>echo {"issue":{"subject":"Early Arrival","project_id":79,"tracker_id":40,"status_id":1,"priority_id":2,"assigned_to_id":338,"start_date":"2017-09-08","description":"","custom_fields":[{"id":1,"name":"Subdivision","value":"EC"},{"id":4,"name":"Milepost","value":"3.097"},{"id":17,"name":"Train ID","value":"170-08"},{"id":16,"name":"Locomotive ID","value":"4057"},{"id":130,"name":"Impact","value":""},{"id":150,"name":"Time of Event (Mountain Time)","value":"13:41:19"},{"id":151,"name":"Denver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/c/Users/stu/AppData/Local/Temp/OnboardLogs/RTDC4057 --include="*4057*201709081*"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"%USERPROFILE%\AppData\Local\Temp\OnboardLogs"\RTDC4057\*4057*201709081* &gt;&gt; 2017-09-08-SliceDisagreementCheck.txt</v>
      </c>
      <c r="AE8" s="145" t="str">
        <f t="shared" ref="AE8:AE37" si="9">"start /low /b "&amp;dls3logs&amp;" --loco "&amp;U8&amp;" --day "&amp;TEXT(V8,"YYYY-MM-DD")</f>
        <v>start /low /b %USERPROFILE%\Documents\GitHub\eaglep3\Utilities\DownloadLogsFromS3.py --loco 4057 --day 2017-09-08</v>
      </c>
    </row>
    <row r="9" spans="1:32" s="1" customFormat="1" x14ac:dyDescent="0.25">
      <c r="A9" s="31">
        <v>42986.737141203703</v>
      </c>
      <c r="B9" s="30" t="s">
        <v>468</v>
      </c>
      <c r="C9" s="30" t="s">
        <v>628</v>
      </c>
      <c r="D9" s="30" t="s">
        <v>49</v>
      </c>
      <c r="E9" s="30" t="s">
        <v>187</v>
      </c>
      <c r="F9" s="42">
        <v>170</v>
      </c>
      <c r="G9" s="42">
        <v>257</v>
      </c>
      <c r="H9" s="42">
        <v>31543</v>
      </c>
      <c r="I9" s="42">
        <v>30942</v>
      </c>
      <c r="J9" s="30" t="s">
        <v>188</v>
      </c>
      <c r="K9" s="42">
        <v>30970</v>
      </c>
      <c r="L9" s="131" t="s">
        <v>51</v>
      </c>
      <c r="M9" s="132">
        <f t="shared" si="0"/>
        <v>-14.784000000000001</v>
      </c>
      <c r="N9" s="133" t="str">
        <f>VLOOKUP(C9,'Trips&amp;Operators'!$C$1:$G$99911,5,FALSE)</f>
        <v>HOLCOMB KAMDEN</v>
      </c>
      <c r="O9" s="200" t="s">
        <v>180</v>
      </c>
      <c r="P9" s="134" t="s">
        <v>373</v>
      </c>
      <c r="Q9" s="30"/>
      <c r="R9" s="81" t="str">
        <f>VLOOKUP(C9,'Train Runs'!$A$13:$AE$9925,31,0)</f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S9" s="84" t="str">
        <f>VLOOKUP(C9,'Train Runs'!$A$13:$AE$9925,22,0)</f>
        <v>https://d0f6bd738d7f1b3e5a7ca70fe4ff75f0.us-east-1.aws.found.io/app/kibana#/discover/Steve-Slow-Train-Analysis-(2080s-and-2083s)?_g=(refreshInterval:(display:Off,pause:!f,section:0,value:0),time:(from:'2017-09-08T16:09:14-0600',mode:absolute,to:'2017-09-08T18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6" t="str">
        <f t="shared" si="1"/>
        <v>"C:\Program Files (x86)\AstroGrep\AstroGrep.exe" /e /r /s /spath="%USERPROFILE%\AppData\Local\Temp\OnboardLogs" /stypes="*4031*201709082*" /stext=" 23:.+((SYSTEM_STATE.+slice.+state.+changed )|(ment ac)|(multiple cpu faults)|(system.+state.+changed )|(\[timeout)|(PRM\|1\|D)|(kpr)|(kdp)|(train st.+moving)|(\|lc)|(penalty))"</v>
      </c>
      <c r="U9" s="9" t="str">
        <f t="shared" si="2"/>
        <v>4031</v>
      </c>
      <c r="V9" s="31">
        <f t="shared" si="3"/>
        <v>42986.987141203703</v>
      </c>
      <c r="W9" s="45" t="str">
        <f t="shared" si="4"/>
        <v>EC</v>
      </c>
      <c r="X9" s="22">
        <f t="shared" si="5"/>
        <v>202</v>
      </c>
      <c r="Y9" s="96" t="str">
        <f t="shared" si="6"/>
        <v>echo {"issue":{"subject":"Early Arrival","project_id":79,"tracker_id":40,"status_id":1,"priority_id":2,"assigned_to_id":338,"start_date":"2017-09-08","description":"","custom_fields":[{"id":1,"name":"Subdivision","value":"EC"},{"id":4,"name":"Milepost","value":"3.097"},{"id":17,"name":"Train ID","value":"202-08"},{"id":16,"name":"Locomotive ID","value":"4031"},{"id":130,"name":"Impact","value":""},{"id":150,"name":"Time of Event (Mountain Time)","value":"17:41:29"},{"id":151,"name":"Denver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/c/Users/stu/AppData/Local/Temp/OnboardLogs/RTDC4031 --include="*4031*201709082*"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"%USERPROFILE%\AppData\Local\Temp\OnboardLogs"\RTDC4031\*4031*201709082* &gt;&gt; 2017-09-08-SliceDisagreementCheck.txt</v>
      </c>
      <c r="AE9" s="145" t="str">
        <f t="shared" si="9"/>
        <v>start /low /b %USERPROFILE%\Documents\GitHub\eaglep3\Utilities\DownloadLogsFromS3.py --loco 4031 --day 2017-09-08</v>
      </c>
    </row>
    <row r="10" spans="1:32" s="1" customFormat="1" x14ac:dyDescent="0.25">
      <c r="A10" s="31">
        <v>42986.44425925926</v>
      </c>
      <c r="B10" s="30" t="s">
        <v>607</v>
      </c>
      <c r="C10" s="30" t="s">
        <v>608</v>
      </c>
      <c r="D10" s="30" t="s">
        <v>49</v>
      </c>
      <c r="E10" s="30" t="s">
        <v>187</v>
      </c>
      <c r="F10" s="42">
        <v>360</v>
      </c>
      <c r="G10" s="42">
        <v>411</v>
      </c>
      <c r="H10" s="42">
        <v>32537</v>
      </c>
      <c r="I10" s="42">
        <v>33531</v>
      </c>
      <c r="J10" s="30" t="s">
        <v>188</v>
      </c>
      <c r="K10" s="42">
        <v>33137</v>
      </c>
      <c r="L10" s="131" t="s">
        <v>50</v>
      </c>
      <c r="M10" s="132">
        <f t="shared" si="0"/>
        <v>-208.03200000000001</v>
      </c>
      <c r="N10" s="133" t="str">
        <f>VLOOKUP(C10,'Trips&amp;Operators'!$C$1:$G$99911,5,FALSE)</f>
        <v>MACDONALD THOMAS</v>
      </c>
      <c r="O10" s="200" t="s">
        <v>180</v>
      </c>
      <c r="P10" s="134" t="s">
        <v>373</v>
      </c>
      <c r="Q10" s="30"/>
      <c r="R10" s="81" t="str">
        <f>VLOOKUP(C10,'Train Runs'!$A$13:$AE$9925,31,0)</f>
        <v>aws s3 cp s3://rtdc.mdm.uploadarchive.raw/RTDC4058/ "%USERPROFILE%\AppData\Local\Temp\OnboardLogs"\RTDC4058\2017-09-08 --exclude "*" --recursive --include "*20170908*" &amp; "%USERPROFILE%\Documents\GitHub\mrs-test-scripts\Headless Mode &amp; Sideloading\WalkAndUnGZ.bat" "%USERPROFILE%\AppData\Local\Temp\OnboardLogs"\RTDC4058\2017-09-08 &amp; aws s3 cp s3://rtdc.mdm.uploadarchive.raw/RTDC4058/ "%USERPROFILE%\AppData\Local\Temp\OnboardLogs"\RTDC4058\2017-09-09 --exclude "*" --recursive --include "*20170909*" &amp; "%USERPROFILE%\Documents\GitHub\mrs-test-scripts\Headless Mode &amp; Sideloading\WalkAndUnGZ.bat" "%USERPROFILE%\AppData\Local\Temp\OnboardLogs"\RTDC4058\2017-09-09</v>
      </c>
      <c r="S10" s="84" t="str">
        <f>VLOOKUP(C10,'Train Runs'!$A$13:$AE$9925,22,0)</f>
        <v>https://d0f6bd738d7f1b3e5a7ca70fe4ff75f0.us-east-1.aws.found.io/app/kibana#/discover/Steve-Slow-Train-Analysis-(2080s-and-2083s)?_g=(refreshInterval:(display:Off,pause:!f,section:0,value:0),time:(from:'2017-09-08T09:28:49-0600',mode:absolute,to:'2017-09-08T12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0" s="86" t="str">
        <f t="shared" si="1"/>
        <v>"C:\Program Files (x86)\AstroGrep\AstroGrep.exe" /e /r /s /spath="%USERPROFILE%\AppData\Local\Temp\OnboardLogs" /stypes="*4058*201709081*" /stext=" 16:.+((SYSTEM_STATE.+slice.+state.+changed )|(ment ac)|(multiple cpu faults)|(system.+state.+changed )|(\[timeout)|(PRM\|1\|D)|(kpr)|(kdp)|(train st.+moving)|(\|lc)|(penalty))"</v>
      </c>
      <c r="U10" s="9" t="str">
        <f t="shared" si="2"/>
        <v>4058</v>
      </c>
      <c r="V10" s="31">
        <f t="shared" si="3"/>
        <v>42986.69425925926</v>
      </c>
      <c r="W10" s="45" t="str">
        <f t="shared" si="4"/>
        <v>EC</v>
      </c>
      <c r="X10" s="22">
        <f t="shared" si="5"/>
        <v>155</v>
      </c>
      <c r="Y10" s="96" t="str">
        <f t="shared" si="6"/>
        <v>echo {"issue":{"subject":"Early Arrival","project_id":79,"tracker_id":40,"status_id":1,"priority_id":2,"assigned_to_id":338,"start_date":"2017-09-08","description":"","custom_fields":[{"id":1,"name":"Subdivision","value":"EC"},{"id":4,"name":"Milepost","value":"3.3137"},{"id":17,"name":"Train ID","value":"155-08"},{"id":16,"name":"Locomotive ID","value":"4058"},{"id":130,"name":"Impact","value":""},{"id":150,"name":"Time of Event (Mountain Time)","value":"10:39:44"},{"id":151,"name":"Denver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/c/Users/stu/AppData/Local/Temp/OnboardLogs/RTDC4058 --include="*4058*201709081*"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"%USERPROFILE%\AppData\Local\Temp\OnboardLogs"\RTDC4058\*4058*201709081* &gt;&gt; 2017-09-08-SliceDisagreementCheck.txt</v>
      </c>
      <c r="AE10" s="145" t="str">
        <f t="shared" si="9"/>
        <v>start /low /b %USERPROFILE%\Documents\GitHub\eaglep3\Utilities\DownloadLogsFromS3.py --loco 4058 --day 2017-09-08</v>
      </c>
    </row>
    <row r="11" spans="1:32" s="1" customFormat="1" x14ac:dyDescent="0.25">
      <c r="A11" s="31">
        <v>42986.640960648147</v>
      </c>
      <c r="B11" s="30" t="s">
        <v>614</v>
      </c>
      <c r="C11" s="30" t="s">
        <v>618</v>
      </c>
      <c r="D11" s="30" t="s">
        <v>49</v>
      </c>
      <c r="E11" s="30" t="s">
        <v>187</v>
      </c>
      <c r="F11" s="42">
        <v>0</v>
      </c>
      <c r="G11" s="42">
        <v>508</v>
      </c>
      <c r="H11" s="42">
        <v>48647</v>
      </c>
      <c r="I11" s="42">
        <v>47243</v>
      </c>
      <c r="J11" s="30" t="s">
        <v>188</v>
      </c>
      <c r="K11" s="42">
        <v>48048</v>
      </c>
      <c r="L11" s="131" t="s">
        <v>51</v>
      </c>
      <c r="M11" s="132">
        <f t="shared" si="0"/>
        <v>-425.04</v>
      </c>
      <c r="N11" s="133" t="str">
        <f>VLOOKUP(C11,'Trips&amp;Operators'!$C$1:$G$99911,5,FALSE)</f>
        <v>LEVIN SCOTT</v>
      </c>
      <c r="O11" s="200" t="s">
        <v>180</v>
      </c>
      <c r="P11" s="134" t="s">
        <v>373</v>
      </c>
      <c r="Q11" s="30"/>
      <c r="R11" s="81" t="str">
        <f>VLOOKUP(C11,'Train Runs'!$A$13:$AE$9925,31,0)</f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S11" s="84" t="str">
        <f>VLOOKUP(C11,'Train Runs'!$A$13:$AE$9925,22,0)</f>
        <v>https://d0f6bd738d7f1b3e5a7ca70fe4ff75f0.us-east-1.aws.found.io/app/kibana#/discover/Steve-Slow-Train-Analysis-(2080s-and-2083s)?_g=(refreshInterval:(display:Off,pause:!f,section:0,value:0),time:(from:'2017-09-08T13:41:22-0600',mode:absolute,to:'2017-09-08T16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1" s="86" t="str">
        <f t="shared" si="1"/>
        <v>"C:\Program Files (x86)\AstroGrep\AstroGrep.exe" /e /r /s /spath="%USERPROFILE%\AppData\Local\Temp\OnboardLogs" /stypes="*4057*201709082*"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4057</v>
      </c>
      <c r="V11" s="31">
        <f t="shared" si="3"/>
        <v>42986.890960648147</v>
      </c>
      <c r="W11" s="45" t="str">
        <f t="shared" si="4"/>
        <v>EC</v>
      </c>
      <c r="X11" s="22">
        <f t="shared" si="5"/>
        <v>184</v>
      </c>
      <c r="Y11" s="96" t="str">
        <f t="shared" si="6"/>
        <v>echo {"issue":{"subject":"Early Arrival","project_id":79,"tracker_id":40,"status_id":1,"priority_id":2,"assigned_to_id":338,"start_date":"2017-09-08","description":"","custom_fields":[{"id":1,"name":"Subdivision","value":"EC"},{"id":4,"name":"Milepost","value":"4.8048"},{"id":17,"name":"Train ID","value":"184-08"},{"id":16,"name":"Locomotive ID","value":"4057"},{"id":130,"name":"Impact","value":""},{"id":150,"name":"Time of Event (Mountain Time)","value":"15:22:59"},{"id":151,"name":"Denver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/c/Users/stu/AppData/Local/Temp/OnboardLogs/RTDC4057 --include="*4057*201709082*"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"%USERPROFILE%\AppData\Local\Temp\OnboardLogs"\RTDC4057\*4057*201709082* &gt;&gt; 2017-09-08-SliceDisagreementCheck.txt</v>
      </c>
      <c r="AE11" s="145" t="str">
        <f t="shared" si="9"/>
        <v>start /low /b %USERPROFILE%\Documents\GitHub\eaglep3\Utilities\DownloadLogsFromS3.py --loco 4057 --day 2017-09-08</v>
      </c>
    </row>
    <row r="12" spans="1:32" x14ac:dyDescent="0.25">
      <c r="A12" s="31">
        <v>42986.353043981479</v>
      </c>
      <c r="B12" s="30" t="s">
        <v>599</v>
      </c>
      <c r="C12" s="30" t="s">
        <v>606</v>
      </c>
      <c r="D12" s="30" t="s">
        <v>49</v>
      </c>
      <c r="E12" s="30" t="s">
        <v>187</v>
      </c>
      <c r="F12" s="42">
        <v>0</v>
      </c>
      <c r="G12" s="42">
        <v>477</v>
      </c>
      <c r="H12" s="42">
        <v>61725</v>
      </c>
      <c r="I12" s="42">
        <v>62958</v>
      </c>
      <c r="J12" s="30" t="s">
        <v>188</v>
      </c>
      <c r="K12" s="42">
        <v>63069</v>
      </c>
      <c r="L12" s="131" t="s">
        <v>50</v>
      </c>
      <c r="M12" s="132">
        <f t="shared" si="0"/>
        <v>58.607999999999997</v>
      </c>
      <c r="N12" s="133" t="str">
        <f>VLOOKUP(C12,'Trips&amp;Operators'!$C$1:$G$99911,5,FALSE)</f>
        <v>DAVIS WENDY</v>
      </c>
      <c r="O12" s="200" t="s">
        <v>180</v>
      </c>
      <c r="P12" s="134" t="s">
        <v>373</v>
      </c>
      <c r="Q12" s="30"/>
      <c r="R12" s="81" t="str">
        <f>VLOOKUP(C12,'Train Runs'!$A$13:$AE$9925,31,0)</f>
        <v>aws s3 cp s3://rtdc.mdm.uploadarchive.raw/RTDC4044/ "%USERPROFILE%\AppData\Local\Temp\OnboardLogs"\RTDC4044\2017-09-08 --exclude "*" --recursive --include "*20170908*" &amp; "%USERPROFILE%\Documents\GitHub\mrs-test-scripts\Headless Mode &amp; Sideloading\WalkAndUnGZ.bat" "%USERPROFILE%\AppData\Local\Temp\OnboardLogs"\RTDC4044\2017-09-08 &amp; 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</v>
      </c>
      <c r="S12" s="84" t="str">
        <f>VLOOKUP(C12,'Train Runs'!$A$13:$AE$9925,22,0)</f>
        <v>https://d0f6bd738d7f1b3e5a7ca70fe4ff75f0.us-east-1.aws.found.io/app/kibana#/discover/Steve-Slow-Train-Analysis-(2080s-and-2083s)?_g=(refreshInterval:(display:Off,pause:!f,section:0,value:0),time:(from:'2017-09-08T07:08:41-0600',mode:absolute,to:'2017-09-08T09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2" s="86" t="str">
        <f t="shared" si="1"/>
        <v>"C:\Program Files (x86)\AstroGrep\AstroGrep.exe" /e /r /s /spath="%USERPROFILE%\AppData\Local\Temp\OnboardLogs" /stypes="*4044*201709081*" /stext=" 14:.+((SYSTEM_STATE.+slice.+state.+changed )|(ment ac)|(multiple cpu faults)|(system.+state.+changed )|(\[timeout)|(PRM\|1\|D)|(kpr)|(kdp)|(train st.+moving)|(\|lc)|(penalty))"</v>
      </c>
      <c r="U12" s="9" t="str">
        <f t="shared" si="2"/>
        <v>4044</v>
      </c>
      <c r="V12" s="31">
        <f t="shared" si="3"/>
        <v>42986.603043981479</v>
      </c>
      <c r="W12" s="45" t="str">
        <f t="shared" si="4"/>
        <v>EC</v>
      </c>
      <c r="X12" s="22">
        <f t="shared" si="5"/>
        <v>137</v>
      </c>
      <c r="Y12" s="96" t="str">
        <f t="shared" si="6"/>
        <v>echo {"issue":{"subject":"Early Arrival","project_id":79,"tracker_id":40,"status_id":1,"priority_id":2,"assigned_to_id":338,"start_date":"2017-09-08","description":"","custom_fields":[{"id":1,"name":"Subdivision","value":"EC"},{"id":4,"name":"Milepost","value":"6.3069"},{"id":17,"name":"Train ID","value":"137-08"},{"id":16,"name":"Locomotive ID","value":"4044"},{"id":130,"name":"Impact","value":""},{"id":150,"name":"Time of Event (Mountain Time)","value":"08:28:23"},{"id":151,"name":"Denver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/c/Users/stu/AppData/Local/Temp/OnboardLogs/RTDC4044 --include="*4044*201709081*"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"%USERPROFILE%\AppData\Local\Temp\OnboardLogs"\RTDC4044\*4044*201709081* &gt;&gt; 2017-09-08-SliceDisagreementCheck.txt</v>
      </c>
      <c r="AE12" s="145" t="str">
        <f t="shared" si="9"/>
        <v>start /low /b %USERPROFILE%\Documents\GitHub\eaglep3\Utilities\DownloadLogsFromS3.py --loco 4044 --day 2017-09-08</v>
      </c>
      <c r="AF12" s="1"/>
    </row>
    <row r="13" spans="1:32" x14ac:dyDescent="0.25">
      <c r="A13" s="31">
        <v>42986.280011574076</v>
      </c>
      <c r="B13" s="30" t="s">
        <v>599</v>
      </c>
      <c r="C13" s="30" t="s">
        <v>600</v>
      </c>
      <c r="D13" s="30" t="s">
        <v>49</v>
      </c>
      <c r="E13" s="30" t="s">
        <v>187</v>
      </c>
      <c r="F13" s="42">
        <v>440</v>
      </c>
      <c r="G13" s="42">
        <v>518</v>
      </c>
      <c r="H13" s="42">
        <v>62001</v>
      </c>
      <c r="I13" s="42">
        <v>63520</v>
      </c>
      <c r="J13" s="30" t="s">
        <v>188</v>
      </c>
      <c r="K13" s="42">
        <v>63069</v>
      </c>
      <c r="L13" s="131" t="s">
        <v>50</v>
      </c>
      <c r="M13" s="132">
        <f t="shared" si="0"/>
        <v>-238.12799999999999</v>
      </c>
      <c r="N13" s="133" t="str">
        <f>VLOOKUP(C13,'Trips&amp;Operators'!$C$1:$G$99911,5,FALSE)</f>
        <v>DAVIS WENDY</v>
      </c>
      <c r="O13" s="200" t="s">
        <v>180</v>
      </c>
      <c r="P13" s="134" t="s">
        <v>373</v>
      </c>
      <c r="Q13" s="30"/>
      <c r="R13" s="81" t="str">
        <f>VLOOKUP(C13,'Train Runs'!$A$13:$AE$9925,31,0)</f>
        <v>aws s3 cp s3://rtdc.mdm.uploadarchive.raw/RTDC4044/ "%USERPROFILE%\AppData\Local\Temp\OnboardLogs"\RTDC4044\2017-09-08 --exclude "*" --recursive --include "*20170908*" &amp; "%USERPROFILE%\Documents\GitHub\mrs-test-scripts\Headless Mode &amp; Sideloading\WalkAndUnGZ.bat" "%USERPROFILE%\AppData\Local\Temp\OnboardLogs"\RTDC4044\2017-09-08 &amp; aws s3 cp s3://rtdc.mdm.uploadarchive.raw/RTDC4044/ "%USERPROFILE%\AppData\Local\Temp\OnboardLogs"\RTDC4044\2017-09-09 --exclude "*" --recursive --include "*20170909*" &amp; "%USERPROFILE%\Documents\GitHub\mrs-test-scripts\Headless Mode &amp; Sideloading\WalkAndUnGZ.bat" "%USERPROFILE%\AppData\Local\Temp\OnboardLogs"\RTDC4044\2017-09-09</v>
      </c>
      <c r="S13" s="84" t="str">
        <f>VLOOKUP(C13,'Train Runs'!$A$13:$AE$9925,22,0)</f>
        <v>https://d0f6bd738d7f1b3e5a7ca70fe4ff75f0.us-east-1.aws.found.io/app/kibana#/discover/Steve-Slow-Train-Analysis-(2080s-and-2083s)?_g=(refreshInterval:(display:Off,pause:!f,section:0,value:0),time:(from:'2017-09-08T05:24:59-0600',mode:absolute,to:'2017-09-08T08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3" s="86" t="str">
        <f t="shared" si="1"/>
        <v>"C:\Program Files (x86)\AstroGrep\AstroGrep.exe" /e /r /s /spath="%USERPROFILE%\AppData\Local\Temp\OnboardLogs" /stypes="*4044*201709081*" /stext=" 12:.+((SYSTEM_STATE.+slice.+state.+changed )|(ment ac)|(multiple cpu faults)|(system.+state.+changed )|(\[timeout)|(PRM\|1\|D)|(kpr)|(kdp)|(train st.+moving)|(\|lc)|(penalty))"</v>
      </c>
      <c r="U13" s="9" t="str">
        <f t="shared" si="2"/>
        <v>4044</v>
      </c>
      <c r="V13" s="31">
        <f t="shared" si="3"/>
        <v>42986.530011574076</v>
      </c>
      <c r="W13" s="45" t="str">
        <f t="shared" si="4"/>
        <v>EC</v>
      </c>
      <c r="X13" s="22">
        <f t="shared" si="5"/>
        <v>123</v>
      </c>
      <c r="Y13" s="96" t="str">
        <f t="shared" si="6"/>
        <v>echo {"issue":{"subject":"Early Arrival","project_id":79,"tracker_id":40,"status_id":1,"priority_id":2,"assigned_to_id":338,"start_date":"2017-09-08","description":"","custom_fields":[{"id":1,"name":"Subdivision","value":"EC"},{"id":4,"name":"Milepost","value":"6.3069"},{"id":17,"name":"Train ID","value":"123-08"},{"id":16,"name":"Locomotive ID","value":"4044"},{"id":130,"name":"Impact","value":""},{"id":150,"name":"Time of Event (Mountain Time)","value":"06:43:13"},{"id":151,"name":"Denver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/c/Users/stu/AppData/Local/Temp/OnboardLogs/RTDC4044 --include="*4044*201709081*"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"%USERPROFILE%\AppData\Local\Temp\OnboardLogs"\RTDC4044\*4044*201709081* &gt;&gt; 2017-09-08-SliceDisagreementCheck.txt</v>
      </c>
      <c r="AE13" s="145" t="str">
        <f t="shared" si="9"/>
        <v>start /low /b %USERPROFILE%\Documents\GitHub\eaglep3\Utilities\DownloadLogsFromS3.py --loco 4044 --day 2017-09-08</v>
      </c>
      <c r="AF13" s="1"/>
    </row>
    <row r="14" spans="1:32" x14ac:dyDescent="0.25">
      <c r="A14" s="31">
        <v>42986.495532407411</v>
      </c>
      <c r="B14" s="30" t="s">
        <v>614</v>
      </c>
      <c r="C14" s="30" t="s">
        <v>615</v>
      </c>
      <c r="D14" s="30" t="s">
        <v>96</v>
      </c>
      <c r="E14" s="30" t="s">
        <v>187</v>
      </c>
      <c r="F14" s="42">
        <v>110</v>
      </c>
      <c r="G14" s="42">
        <v>161</v>
      </c>
      <c r="H14" s="42">
        <v>63011</v>
      </c>
      <c r="I14" s="42">
        <v>62586</v>
      </c>
      <c r="J14" s="30" t="s">
        <v>188</v>
      </c>
      <c r="K14" s="42">
        <v>63309</v>
      </c>
      <c r="L14" s="131" t="s">
        <v>51</v>
      </c>
      <c r="M14" s="132">
        <f t="shared" si="0"/>
        <v>-381.74400000000003</v>
      </c>
      <c r="N14" s="133" t="str">
        <f>VLOOKUP(C14,'Trips&amp;Operators'!$C$1:$G$99911,5,FALSE)</f>
        <v>MACDONALD THOMAS</v>
      </c>
      <c r="O14" s="200" t="s">
        <v>180</v>
      </c>
      <c r="P14" s="134" t="s">
        <v>373</v>
      </c>
      <c r="Q14" s="30"/>
      <c r="R14" s="81" t="str">
        <f>VLOOKUP(C14,'Train Runs'!$A$13:$AE$9925,31,0)</f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S14" s="84" t="str">
        <f>VLOOKUP(C14,'Train Runs'!$A$13:$AE$9925,22,0)</f>
        <v>https://d0f6bd738d7f1b3e5a7ca70fe4ff75f0.us-east-1.aws.found.io/app/kibana#/discover/Steve-Slow-Train-Analysis-(2080s-and-2083s)?_g=(refreshInterval:(display:Off,pause:!f,section:0,value:0),time:(from:'2017-09-08T10:23:50-0600',mode:absolute,to:'2017-09-08T13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4" s="86" t="str">
        <f t="shared" si="1"/>
        <v>"C:\Program Files (x86)\AstroGrep\AstroGrep.exe" /e /r /s /spath="%USERPROFILE%\AppData\Local\Temp\OnboardLogs" /stypes="*4057*201709081*"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4057</v>
      </c>
      <c r="V14" s="31">
        <f t="shared" si="3"/>
        <v>42986.745532407411</v>
      </c>
      <c r="W14" s="45" t="str">
        <f t="shared" si="4"/>
        <v>EC</v>
      </c>
      <c r="X14" s="22">
        <f t="shared" si="5"/>
        <v>156</v>
      </c>
      <c r="Y14" s="96" t="str">
        <f t="shared" si="6"/>
        <v>echo {"issue":{"subject":"Early Arrival","project_id":79,"tracker_id":40,"status_id":1,"priority_id":2,"assigned_to_id":338,"start_date":"2017-09-08","description":"","custom_fields":[{"id":1,"name":"Subdivision","value":"EC"},{"id":4,"name":"Milepost","value":"6.3309"},{"id":17,"name":"Train ID","value":"156-08"},{"id":16,"name":"Locomotive ID","value":"4057"},{"id":130,"name":"Impact","value":""},{"id":150,"name":"Time of Event (Mountain Time)","value":"11:53:34"},{"id":151,"name":"Denver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/c/Users/stu/AppData/Local/Temp/OnboardLogs/RTDC4057 --include="*4057*201709081*"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"%USERPROFILE%\AppData\Local\Temp\OnboardLogs"\RTDC4057\*4057*201709081* &gt;&gt; 2017-09-08-SliceDisagreementCheck.txt</v>
      </c>
      <c r="AE14" s="145" t="str">
        <f t="shared" si="9"/>
        <v>start /low /b %USERPROFILE%\Documents\GitHub\eaglep3\Utilities\DownloadLogsFromS3.py --loco 4057 --day 2017-09-08</v>
      </c>
      <c r="AF14" s="1"/>
    </row>
    <row r="15" spans="1:32" x14ac:dyDescent="0.25">
      <c r="A15" s="31">
        <v>42986.784953703704</v>
      </c>
      <c r="B15" s="30" t="s">
        <v>614</v>
      </c>
      <c r="C15" s="30" t="s">
        <v>629</v>
      </c>
      <c r="D15" s="30" t="s">
        <v>49</v>
      </c>
      <c r="E15" s="30" t="s">
        <v>187</v>
      </c>
      <c r="F15" s="42">
        <v>160</v>
      </c>
      <c r="G15" s="42">
        <v>215</v>
      </c>
      <c r="H15" s="42">
        <v>63609</v>
      </c>
      <c r="I15" s="42">
        <v>63287</v>
      </c>
      <c r="J15" s="30" t="s">
        <v>188</v>
      </c>
      <c r="K15" s="42">
        <v>63309</v>
      </c>
      <c r="L15" s="131" t="s">
        <v>51</v>
      </c>
      <c r="M15" s="132">
        <f t="shared" si="0"/>
        <v>-11.616</v>
      </c>
      <c r="N15" s="133" t="str">
        <f>VLOOKUP(C15,'Trips&amp;Operators'!$C$1:$G$99911,5,FALSE)</f>
        <v>LEVIN SCOTT</v>
      </c>
      <c r="O15" s="200" t="s">
        <v>180</v>
      </c>
      <c r="P15" s="134" t="s">
        <v>373</v>
      </c>
      <c r="Q15" s="30"/>
      <c r="R15" s="81" t="str">
        <f>VLOOKUP(C15,'Train Runs'!$A$13:$AE$9925,31,0)</f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S15" s="84" t="str">
        <f>VLOOKUP(C15,'Train Runs'!$A$13:$AE$9925,22,0)</f>
        <v>https://d0f6bd738d7f1b3e5a7ca70fe4ff75f0.us-east-1.aws.found.io/app/kibana#/discover/Steve-Slow-Train-Analysis-(2080s-and-2083s)?_g=(refreshInterval:(display:Off,pause:!f,section:0,value:0),time:(from:'2017-09-08T17:13:47-0600',mode:absolute,to:'2017-09-08T20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5" s="86" t="str">
        <f t="shared" si="1"/>
        <v>"C:\Program Files (x86)\AstroGrep\AstroGrep.exe" /e /r /s /spath="%USERPROFILE%\AppData\Local\Temp\OnboardLogs" /stypes="*4057*201709090*" /stext=" 00:.+((SYSTEM_STATE.+slice.+state.+changed )|(ment ac)|(multiple cpu faults)|(system.+state.+changed )|(\[timeout)|(PRM\|1\|D)|(kpr)|(kdp)|(train st.+moving)|(\|lc)|(penalty))"</v>
      </c>
      <c r="U15" s="9" t="str">
        <f t="shared" si="2"/>
        <v>4057</v>
      </c>
      <c r="V15" s="31">
        <f t="shared" si="3"/>
        <v>42987.034953703704</v>
      </c>
      <c r="W15" s="45" t="str">
        <f t="shared" si="4"/>
        <v>EC</v>
      </c>
      <c r="X15" s="22">
        <f t="shared" si="5"/>
        <v>212</v>
      </c>
      <c r="Y15" s="96" t="str">
        <f t="shared" si="6"/>
        <v>echo {"issue":{"subject":"Early Arrival","project_id":79,"tracker_id":40,"status_id":1,"priority_id":2,"assigned_to_id":338,"start_date":"2017-09-08","description":"","custom_fields":[{"id":1,"name":"Subdivision","value":"EC"},{"id":4,"name":"Milepost","value":"6.3309"},{"id":17,"name":"Train ID","value":"212-08"},{"id":16,"name":"Locomotive ID","value":"4057"},{"id":130,"name":"Impact","value":""},{"id":150,"name":"Time of Event (Mountain Time)","value":"18:50:20"},{"id":151,"name":"Denver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/c/Users/stu/AppData/Local/Temp/OnboardLogs/RTDC4057 --include="*4057*201709090*"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"%USERPROFILE%\AppData\Local\Temp\OnboardLogs"\RTDC4057\*4057*201709090* &gt;&gt; 2017-09-08-SliceDisagreementCheck.txt</v>
      </c>
      <c r="AE15" s="145" t="str">
        <f t="shared" si="9"/>
        <v>start /low /b %USERPROFILE%\Documents\GitHub\eaglep3\Utilities\DownloadLogsFromS3.py --loco 4057 --day 2017-09-09</v>
      </c>
      <c r="AF15" s="1"/>
    </row>
    <row r="16" spans="1:32" x14ac:dyDescent="0.25">
      <c r="A16" s="31">
        <v>42986.291643518518</v>
      </c>
      <c r="B16" s="30" t="s">
        <v>468</v>
      </c>
      <c r="C16" s="30" t="s">
        <v>601</v>
      </c>
      <c r="D16" s="30" t="s">
        <v>49</v>
      </c>
      <c r="E16" s="30" t="s">
        <v>187</v>
      </c>
      <c r="F16" s="42">
        <v>350</v>
      </c>
      <c r="G16" s="42">
        <v>415</v>
      </c>
      <c r="H16" s="42">
        <v>110102</v>
      </c>
      <c r="I16" s="42">
        <v>108823</v>
      </c>
      <c r="J16" s="30" t="s">
        <v>188</v>
      </c>
      <c r="K16" s="42">
        <v>109135</v>
      </c>
      <c r="L16" s="131" t="s">
        <v>51</v>
      </c>
      <c r="M16" s="132">
        <f t="shared" si="0"/>
        <v>-164.73599999999999</v>
      </c>
      <c r="N16" s="133" t="str">
        <f>VLOOKUP(C16,'Trips&amp;Operators'!$C$1:$G$99911,5,FALSE)</f>
        <v>GUNTHIER ERIC</v>
      </c>
      <c r="O16" s="200" t="s">
        <v>180</v>
      </c>
      <c r="P16" s="134" t="s">
        <v>373</v>
      </c>
      <c r="Q16" s="30"/>
      <c r="R16" s="81" t="str">
        <f>VLOOKUP(C16,'Train Runs'!$A$13:$AE$9925,31,0)</f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S16" s="84" t="str">
        <f>VLOOKUP(C16,'Train Runs'!$A$13:$AE$9925,22,0)</f>
        <v>https://d0f6bd738d7f1b3e5a7ca70fe4ff75f0.us-east-1.aws.found.io/app/kibana#/discover/Steve-Slow-Train-Analysis-(2080s-and-2083s)?_g=(refreshInterval:(display:Off,pause:!f,section:0,value:0),time:(from:'2017-09-08T05:27:00-0600',mode:absolute,to:'2017-09-08T08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86" t="str">
        <f t="shared" si="1"/>
        <v>"C:\Program Files (x86)\AstroGrep\AstroGrep.exe" /e /r /s /spath="%USERPROFILE%\AppData\Local\Temp\OnboardLogs" /stypes="*4031*201709081*"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4031</v>
      </c>
      <c r="V16" s="31">
        <f t="shared" si="3"/>
        <v>42986.541643518518</v>
      </c>
      <c r="W16" s="45" t="str">
        <f t="shared" si="4"/>
        <v>EC</v>
      </c>
      <c r="X16" s="22">
        <f t="shared" si="5"/>
        <v>118</v>
      </c>
      <c r="Y16" s="96" t="str">
        <f t="shared" si="6"/>
        <v>echo {"issue":{"subject":"Early Arrival","project_id":79,"tracker_id":40,"status_id":1,"priority_id":2,"assigned_to_id":338,"start_date":"2017-09-08","description":"","custom_fields":[{"id":1,"name":"Subdivision","value":"EC"},{"id":4,"name":"Milepost","value":"10.9135"},{"id":17,"name":"Train ID","value":"118-08"},{"id":16,"name":"Locomotive ID","value":"4031"},{"id":130,"name":"Impact","value":""},{"id":150,"name":"Time of Event (Mountain Time)","value":"06:59:58"},{"id":151,"name":"Denver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/c/Users/stu/AppData/Local/Temp/OnboardLogs/RTDC4031 --include="*4031*201709081*"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"%USERPROFILE%\AppData\Local\Temp\OnboardLogs"\RTDC4031\*4031*201709081* &gt;&gt; 2017-09-08-SliceDisagreementCheck.txt</v>
      </c>
      <c r="AE16" s="145" t="str">
        <f t="shared" si="9"/>
        <v>start /low /b %USERPROFILE%\Documents\GitHub\eaglep3\Utilities\DownloadLogsFromS3.py --loco 4031 --day 2017-09-08</v>
      </c>
      <c r="AF16" s="1"/>
    </row>
    <row r="17" spans="1:32" x14ac:dyDescent="0.25">
      <c r="A17" s="31">
        <v>42986.64508101852</v>
      </c>
      <c r="B17" s="30" t="s">
        <v>428</v>
      </c>
      <c r="C17" s="30" t="s">
        <v>619</v>
      </c>
      <c r="D17" s="30" t="s">
        <v>49</v>
      </c>
      <c r="E17" s="30" t="s">
        <v>187</v>
      </c>
      <c r="F17" s="42">
        <v>370</v>
      </c>
      <c r="G17" s="42">
        <v>421</v>
      </c>
      <c r="H17" s="42">
        <v>110217</v>
      </c>
      <c r="I17" s="42">
        <v>109027</v>
      </c>
      <c r="J17" s="30" t="s">
        <v>188</v>
      </c>
      <c r="K17" s="42">
        <v>109135</v>
      </c>
      <c r="L17" s="131" t="s">
        <v>51</v>
      </c>
      <c r="M17" s="132">
        <f t="shared" si="0"/>
        <v>-57.024000000000001</v>
      </c>
      <c r="N17" s="133" t="str">
        <f>VLOOKUP(C17,'Trips&amp;Operators'!$C$1:$G$99911,5,FALSE)</f>
        <v>BADERTSCHER DIANE</v>
      </c>
      <c r="O17" s="200" t="s">
        <v>180</v>
      </c>
      <c r="P17" s="134" t="s">
        <v>373</v>
      </c>
      <c r="Q17" s="30"/>
      <c r="R17" s="81" t="str">
        <f>VLOOKUP(C17,'Train Runs'!$A$13:$AE$9925,31,0)</f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S17" s="84" t="str">
        <f>VLOOKUP(C17,'Train Runs'!$A$13:$AE$9925,22,0)</f>
        <v>https://d0f6bd738d7f1b3e5a7ca70fe4ff75f0.us-east-1.aws.found.io/app/kibana#/discover/Steve-Slow-Train-Analysis-(2080s-and-2083s)?_g=(refreshInterval:(display:Off,pause:!f,section:0,value:0),time:(from:'2017-09-08T14:04:19-0600',mode:absolute,to:'2017-09-08T16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7" s="86" t="str">
        <f t="shared" si="1"/>
        <v>"C:\Program Files (x86)\AstroGrep\AstroGrep.exe" /e /r /s /spath="%USERPROFILE%\AppData\Local\Temp\OnboardLogs" /stypes="*4061*201709082*" /stext=" 21:.+((SYSTEM_STATE.+slice.+state.+changed )|(ment ac)|(multiple cpu faults)|(system.+state.+changed )|(\[timeout)|(PRM\|1\|D)|(kpr)|(kdp)|(train st.+moving)|(\|lc)|(penalty))"</v>
      </c>
      <c r="U17" s="9" t="str">
        <f t="shared" si="2"/>
        <v>4061</v>
      </c>
      <c r="V17" s="31">
        <f t="shared" si="3"/>
        <v>42986.89508101852</v>
      </c>
      <c r="W17" s="45" t="str">
        <f t="shared" si="4"/>
        <v>EC</v>
      </c>
      <c r="X17" s="22">
        <f t="shared" si="5"/>
        <v>186</v>
      </c>
      <c r="Y17" s="96" t="str">
        <f t="shared" si="6"/>
        <v>echo {"issue":{"subject":"Early Arrival","project_id":79,"tracker_id":40,"status_id":1,"priority_id":2,"assigned_to_id":338,"start_date":"2017-09-08","description":"","custom_fields":[{"id":1,"name":"Subdivision","value":"EC"},{"id":4,"name":"Milepost","value":"10.9135"},{"id":17,"name":"Train ID","value":"186-08"},{"id":16,"name":"Locomotive ID","value":"4061"},{"id":130,"name":"Impact","value":""},{"id":150,"name":"Time of Event (Mountain Time)","value":"15:28:55"},{"id":151,"name":"Denver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/c/Users/stu/AppData/Local/Temp/OnboardLogs/RTDC4061 --include="*4061*201709082*"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"%USERPROFILE%\AppData\Local\Temp\OnboardLogs"\RTDC4061\*4061*201709082* &gt;&gt; 2017-09-08-SliceDisagreementCheck.txt</v>
      </c>
      <c r="AE17" s="145" t="str">
        <f t="shared" si="9"/>
        <v>start /low /b %USERPROFILE%\Documents\GitHub\eaglep3\Utilities\DownloadLogsFromS3.py --loco 4061 --day 2017-09-08</v>
      </c>
      <c r="AF17" s="1"/>
    </row>
    <row r="18" spans="1:32" x14ac:dyDescent="0.25">
      <c r="A18" s="31">
        <v>42986.668773148151</v>
      </c>
      <c r="B18" s="30" t="s">
        <v>468</v>
      </c>
      <c r="C18" s="30" t="s">
        <v>621</v>
      </c>
      <c r="D18" s="30" t="s">
        <v>49</v>
      </c>
      <c r="E18" s="30" t="s">
        <v>195</v>
      </c>
      <c r="F18" s="42">
        <v>200</v>
      </c>
      <c r="G18" s="42">
        <v>313</v>
      </c>
      <c r="H18" s="42">
        <v>6783</v>
      </c>
      <c r="I18" s="42">
        <v>6163</v>
      </c>
      <c r="J18" s="30" t="s">
        <v>196</v>
      </c>
      <c r="K18" s="42">
        <v>5439</v>
      </c>
      <c r="L18" s="131" t="s">
        <v>51</v>
      </c>
      <c r="M18" s="132">
        <f t="shared" si="0"/>
        <v>382.27199999999999</v>
      </c>
      <c r="N18" s="133" t="str">
        <f>VLOOKUP(C18,'Trips&amp;Operators'!$C$1:$G$99911,5,FALSE)</f>
        <v>HOLCOMB KAMDEN</v>
      </c>
      <c r="O18" s="200" t="s">
        <v>180</v>
      </c>
      <c r="P18" s="134"/>
      <c r="Q18" s="30"/>
      <c r="R18" s="81" t="str">
        <f>VLOOKUP(C18,'Train Runs'!$A$13:$AE$9925,31,0)</f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S18" s="84" t="str">
        <f>VLOOKUP(C18,'Train Runs'!$A$13:$AE$9925,22,0)</f>
        <v>https://d0f6bd738d7f1b3e5a7ca70fe4ff75f0.us-east-1.aws.found.io/app/kibana#/discover/Steve-Slow-Train-Analysis-(2080s-and-2083s)?_g=(refreshInterval:(display:Off,pause:!f,section:0,value:0),time:(from:'2017-09-08T14:21:55-0600',mode:absolute,to:'2017-09-08T17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8" s="86" t="str">
        <f t="shared" si="1"/>
        <v>"C:\Program Files (x86)\AstroGrep\AstroGrep.exe" /e /r /s /spath="%USERPROFILE%\AppData\Local\Temp\OnboardLogs" /stypes="*4031*201709082*" /stext=" 22:.+((SYSTEM_STATE.+slice.+state.+changed )|(ment ac)|(multiple cpu faults)|(system.+state.+changed )|(\[timeout)|(PRM\|1\|D)|(kpr)|(kdp)|(train st.+moving)|(\|lc)|(penalty))"</v>
      </c>
      <c r="U18" s="9" t="str">
        <f t="shared" si="2"/>
        <v>4031</v>
      </c>
      <c r="V18" s="31">
        <f t="shared" si="3"/>
        <v>42986.918773148151</v>
      </c>
      <c r="W18" s="45" t="str">
        <f t="shared" si="4"/>
        <v>EC</v>
      </c>
      <c r="X18" s="22">
        <f t="shared" si="5"/>
        <v>188</v>
      </c>
      <c r="Y18" s="96" t="str">
        <f t="shared" si="6"/>
        <v>echo {"issue":{"subject":"","project_id":79,"tracker_id":40,"status_id":1,"priority_id":2,"assigned_to_id":338,"start_date":"2017-09-08","description":"","custom_fields":[{"id":1,"name":"Subdivision","value":"EC"},{"id":4,"name":"Milepost","value":"0.5439"},{"id":17,"name":"Train ID","value":"188-08"},{"id":16,"name":"Locomotive ID","value":"4031"},{"id":130,"name":"Impact","value":""},{"id":150,"name":"Time of Event (Mountain Time)","value":"16:03:02"},{"id":151,"name":"Denver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/c/Users/stu/AppData/Local/Temp/OnboardLogs/RTDC4031 --include="*4031*201709082*"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"%USERPROFILE%\AppData\Local\Temp\OnboardLogs"\RTDC4031\*4031*201709082* &gt;&gt; 2017-09-08-SliceDisagreementCheck.txt</v>
      </c>
      <c r="AE18" s="145" t="str">
        <f t="shared" si="9"/>
        <v>start /low /b %USERPROFILE%\Documents\GitHub\eaglep3\Utilities\DownloadLogsFromS3.py --loco 4031 --day 2017-09-08</v>
      </c>
      <c r="AF18" s="1"/>
    </row>
    <row r="19" spans="1:32" x14ac:dyDescent="0.25">
      <c r="A19" s="31">
        <v>42986.854548611111</v>
      </c>
      <c r="B19" s="30" t="s">
        <v>597</v>
      </c>
      <c r="C19" s="30" t="s">
        <v>632</v>
      </c>
      <c r="D19" s="30" t="s">
        <v>49</v>
      </c>
      <c r="E19" s="30" t="s">
        <v>195</v>
      </c>
      <c r="F19" s="42">
        <v>450</v>
      </c>
      <c r="G19" s="42">
        <v>505</v>
      </c>
      <c r="H19" s="42">
        <v>17371</v>
      </c>
      <c r="I19" s="42">
        <v>14190</v>
      </c>
      <c r="J19" s="30" t="s">
        <v>196</v>
      </c>
      <c r="K19" s="42">
        <v>15167</v>
      </c>
      <c r="L19" s="131" t="s">
        <v>51</v>
      </c>
      <c r="M19" s="132">
        <f t="shared" si="0"/>
        <v>-515.85599999999999</v>
      </c>
      <c r="N19" s="133" t="str">
        <f>VLOOKUP(C19,'Trips&amp;Operators'!$C$1:$G$99911,5,FALSE)</f>
        <v>HART KEVIN</v>
      </c>
      <c r="O19" s="200" t="s">
        <v>180</v>
      </c>
      <c r="P19" s="134"/>
      <c r="Q19" s="30"/>
      <c r="R19" s="81" t="str">
        <f>VLOOKUP(C19,'Train Runs'!$A$13:$AE$9925,31,0)</f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S19" s="84" t="str">
        <f>VLOOKUP(C19,'Train Runs'!$A$13:$AE$9925,22,0)</f>
        <v>https://d0f6bd738d7f1b3e5a7ca70fe4ff75f0.us-east-1.aws.found.io/app/kibana#/discover/Steve-Slow-Train-Analysis-(2080s-and-2083s)?_g=(refreshInterval:(display:Off,pause:!f,section:0,value:0),time:(from:'2017-09-08T18:50:24-0600',mode:absolute,to:'2017-09-08T21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86" t="str">
        <f t="shared" si="1"/>
        <v>"C:\Program Files (x86)\AstroGrep\AstroGrep.exe" /e /r /s /spath="%USERPROFILE%\AppData\Local\Temp\OnboardLogs" /stypes="*4001*201709090*" /stext=" 02:.+((SYSTEM_STATE.+slice.+state.+changed )|(ment ac)|(multiple cpu faults)|(system.+state.+changed )|(\[timeout)|(PRM\|1\|D)|(kpr)|(kdp)|(train st.+moving)|(\|lc)|(penalty))"</v>
      </c>
      <c r="U19" s="9" t="str">
        <f t="shared" si="2"/>
        <v>4001</v>
      </c>
      <c r="V19" s="31">
        <f t="shared" si="3"/>
        <v>42987.104548611111</v>
      </c>
      <c r="W19" s="45" t="str">
        <f t="shared" si="4"/>
        <v>EC</v>
      </c>
      <c r="X19" s="22">
        <f t="shared" si="5"/>
        <v>222</v>
      </c>
      <c r="Y19" s="96" t="str">
        <f t="shared" si="6"/>
        <v>echo {"issue":{"subject":"","project_id":79,"tracker_id":40,"status_id":1,"priority_id":2,"assigned_to_id":338,"start_date":"2017-09-08","description":"","custom_fields":[{"id":1,"name":"Subdivision","value":"EC"},{"id":4,"name":"Milepost","value":"1.5167"},{"id":17,"name":"Train ID","value":"222-08"},{"id":16,"name":"Locomotive ID","value":"4001"},{"id":130,"name":"Impact","value":""},{"id":150,"name":"Time of Event (Mountain Time)","value":"20:30:33"},{"id":151,"name":"Denver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/c/Users/stu/AppData/Local/Temp/OnboardLogs/RTDC4001 --include="*4001*201709090*"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"%USERPROFILE%\AppData\Local\Temp\OnboardLogs"\RTDC4001\*4001*201709090* &gt;&gt; 2017-09-08-SliceDisagreementCheck.txt</v>
      </c>
      <c r="AE19" s="145" t="str">
        <f t="shared" si="9"/>
        <v>start /low /b %USERPROFILE%\Documents\GitHub\eaglep3\Utilities\DownloadLogsFromS3.py --loco 4001 --day 2017-09-09</v>
      </c>
      <c r="AF19" s="1"/>
    </row>
    <row r="20" spans="1:32" x14ac:dyDescent="0.25">
      <c r="A20" s="31">
        <v>42986.71601851852</v>
      </c>
      <c r="B20" s="30" t="s">
        <v>614</v>
      </c>
      <c r="C20" s="30" t="s">
        <v>624</v>
      </c>
      <c r="D20" s="30" t="s">
        <v>96</v>
      </c>
      <c r="E20" s="30" t="s">
        <v>195</v>
      </c>
      <c r="F20" s="42">
        <v>200</v>
      </c>
      <c r="G20" s="42">
        <v>251</v>
      </c>
      <c r="H20" s="42">
        <v>30161</v>
      </c>
      <c r="I20" s="42">
        <v>29609</v>
      </c>
      <c r="J20" s="30" t="s">
        <v>196</v>
      </c>
      <c r="K20" s="42">
        <v>30562</v>
      </c>
      <c r="L20" s="131" t="s">
        <v>51</v>
      </c>
      <c r="M20" s="132">
        <f t="shared" si="0"/>
        <v>-503.18400000000003</v>
      </c>
      <c r="N20" s="133" t="str">
        <f>VLOOKUP(C20,'Trips&amp;Operators'!$C$1:$G$99911,5,FALSE)</f>
        <v>LEVIN SCOTT</v>
      </c>
      <c r="O20" s="200" t="s">
        <v>180</v>
      </c>
      <c r="P20" s="134"/>
      <c r="Q20" s="30"/>
      <c r="R20" s="81" t="str">
        <f>VLOOKUP(C20,'Train Runs'!$A$13:$AE$9925,31,0)</f>
        <v>aws s3 cp s3://rtdc.mdm.uploadarchive.raw/RTDC4057/ "%USERPROFILE%\AppData\Local\Temp\OnboardLogs"\RTDC4057\2017-09-08 --exclude "*" --recursive --include "*20170908*" &amp; "%USERPROFILE%\Documents\GitHub\mrs-test-scripts\Headless Mode &amp; Sideloading\WalkAndUnGZ.bat" "%USERPROFILE%\AppData\Local\Temp\OnboardLogs"\RTDC4057\2017-09-08 &amp; aws s3 cp s3://rtdc.mdm.uploadarchive.raw/RTDC4057/ "%USERPROFILE%\AppData\Local\Temp\OnboardLogs"\RTDC4057\2017-09-09 --exclude "*" --recursive --include "*20170909*" &amp; "%USERPROFILE%\Documents\GitHub\mrs-test-scripts\Headless Mode &amp; Sideloading\WalkAndUnGZ.bat" "%USERPROFILE%\AppData\Local\Temp\OnboardLogs"\RTDC4057\2017-09-09</v>
      </c>
      <c r="S20" s="84" t="str">
        <f>VLOOKUP(C20,'Train Runs'!$A$13:$AE$9925,22,0)</f>
        <v>https://d0f6bd738d7f1b3e5a7ca70fe4ff75f0.us-east-1.aws.found.io/app/kibana#/discover/Steve-Slow-Train-Analysis-(2080s-and-2083s)?_g=(refreshInterval:(display:Off,pause:!f,section:0,value:0),time:(from:'2017-09-08T15:30:32-0600',mode:absolute,to:'2017-09-08T18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0" s="86" t="str">
        <f t="shared" si="1"/>
        <v>"C:\Program Files (x86)\AstroGrep\AstroGrep.exe" /e /r /s /spath="%USERPROFILE%\AppData\Local\Temp\OnboardLogs" /stypes="*4057*201709082*" /stext=" 23:.+((SYSTEM_STATE.+slice.+state.+changed )|(ment ac)|(multiple cpu faults)|(system.+state.+changed )|(\[timeout)|(PRM\|1\|D)|(kpr)|(kdp)|(train st.+moving)|(\|lc)|(penalty))"</v>
      </c>
      <c r="U20" s="9" t="str">
        <f t="shared" si="2"/>
        <v>4057</v>
      </c>
      <c r="V20" s="31">
        <f t="shared" si="3"/>
        <v>42986.96601851852</v>
      </c>
      <c r="W20" s="45" t="str">
        <f t="shared" si="4"/>
        <v>EC</v>
      </c>
      <c r="X20" s="22">
        <f t="shared" si="5"/>
        <v>198</v>
      </c>
      <c r="Y20" s="96" t="str">
        <f t="shared" si="6"/>
        <v>echo {"issue":{"subject":"","project_id":79,"tracker_id":40,"status_id":1,"priority_id":2,"assigned_to_id":338,"start_date":"2017-09-08","description":"","custom_fields":[{"id":1,"name":"Subdivision","value":"EC"},{"id":4,"name":"Milepost","value":"3.0562"},{"id":17,"name":"Train ID","value":"198-08"},{"id":16,"name":"Locomotive ID","value":"4057"},{"id":130,"name":"Impact","value":""},{"id":150,"name":"Time of Event (Mountain Time)","value":"17:11:04"},{"id":151,"name":"Denver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/c/Users/stu/AppData/Local/Temp/OnboardLogs/RTDC4057 --include="*4057*201709082*"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"%USERPROFILE%\AppData\Local\Temp\OnboardLogs"\RTDC4057\*4057*201709082* &gt;&gt; 2017-09-08-SliceDisagreementCheck.txt</v>
      </c>
      <c r="AE20" s="145" t="str">
        <f t="shared" si="9"/>
        <v>start /low /b %USERPROFILE%\Documents\GitHub\eaglep3\Utilities\DownloadLogsFromS3.py --loco 4057 --day 2017-09-08</v>
      </c>
      <c r="AF20" s="1"/>
    </row>
    <row r="21" spans="1:32" x14ac:dyDescent="0.25">
      <c r="A21" s="31">
        <v>42986.936145833337</v>
      </c>
      <c r="B21" s="30" t="s">
        <v>633</v>
      </c>
      <c r="C21" s="30" t="s">
        <v>634</v>
      </c>
      <c r="D21" s="30" t="s">
        <v>96</v>
      </c>
      <c r="E21" s="30" t="s">
        <v>195</v>
      </c>
      <c r="F21" s="42">
        <v>700</v>
      </c>
      <c r="G21" s="42">
        <v>753</v>
      </c>
      <c r="H21" s="42">
        <v>170686</v>
      </c>
      <c r="I21" s="42">
        <v>174493</v>
      </c>
      <c r="J21" s="30" t="s">
        <v>196</v>
      </c>
      <c r="K21" s="42">
        <v>161962</v>
      </c>
      <c r="L21" s="131" t="s">
        <v>50</v>
      </c>
      <c r="M21" s="132">
        <f t="shared" si="0"/>
        <v>-6616.3680000000004</v>
      </c>
      <c r="N21" s="133" t="str">
        <f>VLOOKUP(C21,'Trips&amp;Operators'!$C$1:$G$99911,5,FALSE)</f>
        <v>PERKINS DARREN</v>
      </c>
      <c r="O21" s="200" t="s">
        <v>180</v>
      </c>
      <c r="P21" s="134"/>
      <c r="Q21" s="30"/>
      <c r="R21" s="81" t="str">
        <f>VLOOKUP(C21,'Train Runs'!$A$13:$AE$9925,31,0)</f>
        <v>aws s3 cp s3://rtdc.mdm.uploadarchive.raw/RTDC4006/ "%USERPROFILE%\AppData\Local\Temp\OnboardLogs"\RTDC4006\2017-09-08 --exclude "*" --recursive --include "*20170908*" &amp; "%USERPROFILE%\Documents\GitHub\mrs-test-scripts\Headless Mode &amp; Sideloading\WalkAndUnGZ.bat" "%USERPROFILE%\AppData\Local\Temp\OnboardLogs"\RTDC4006\2017-09-08 &amp; 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</v>
      </c>
      <c r="S21" s="84" t="str">
        <f>VLOOKUP(C21,'Train Runs'!$A$13:$AE$9925,22,0)</f>
        <v>https://d0f6bd738d7f1b3e5a7ca70fe4ff75f0.us-east-1.aws.found.io/app/kibana#/discover/Steve-Slow-Train-Analysis-(2080s-and-2083s)?_g=(refreshInterval:(display:Off,pause:!f,section:0,value:0),time:(from:'2017-09-08T20:41:53-0600',mode:absolute,to:'2017-09-08T23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1" s="86" t="str">
        <f t="shared" si="1"/>
        <v>"C:\Program Files (x86)\AstroGrep\AstroGrep.exe" /e /r /s /spath="%USERPROFILE%\AppData\Local\Temp\OnboardLogs" /stypes="*4006*201709090*" /stext=" 04:.+((SYSTEM_STATE.+slice.+state.+changed )|(ment ac)|(multiple cpu faults)|(system.+state.+changed )|(\[timeout)|(PRM\|1\|D)|(kpr)|(kdp)|(train st.+moving)|(\|lc)|(penalty))"</v>
      </c>
      <c r="U21" s="9" t="str">
        <f t="shared" si="2"/>
        <v>4006</v>
      </c>
      <c r="V21" s="31">
        <f t="shared" si="3"/>
        <v>42987.186145833337</v>
      </c>
      <c r="W21" s="45" t="str">
        <f t="shared" si="4"/>
        <v>EC</v>
      </c>
      <c r="X21" s="22">
        <f t="shared" si="5"/>
        <v>233</v>
      </c>
      <c r="Y21" s="96" t="str">
        <f t="shared" si="6"/>
        <v>echo {"issue":{"subject":"","project_id":79,"tracker_id":40,"status_id":1,"priority_id":2,"assigned_to_id":338,"start_date":"2017-09-08","description":"","custom_fields":[{"id":1,"name":"Subdivision","value":"EC"},{"id":4,"name":"Milepost","value":"16.1962"},{"id":17,"name":"Train ID","value":"233-08"},{"id":16,"name":"Locomotive ID","value":"4006"},{"id":130,"name":"Impact","value":""},{"id":150,"name":"Time of Event (Mountain Time)","value":"22:28:03"},{"id":151,"name":"Denver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/c/Users/stu/AppData/Local/Temp/OnboardLogs/RTDC4006 --include="*4006*201709090*"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"%USERPROFILE%\AppData\Local\Temp\OnboardLogs"\RTDC4006\*4006*201709090* &gt;&gt; 2017-09-08-SliceDisagreementCheck.txt</v>
      </c>
      <c r="AE21" s="145" t="str">
        <f t="shared" si="9"/>
        <v>start /low /b %USERPROFILE%\Documents\GitHub\eaglep3\Utilities\DownloadLogsFromS3.py --loco 4006 --day 2017-09-09</v>
      </c>
      <c r="AF21" s="1"/>
    </row>
    <row r="22" spans="1:32" x14ac:dyDescent="0.25">
      <c r="A22" s="31">
        <v>42986.175891203704</v>
      </c>
      <c r="B22" s="30" t="s">
        <v>597</v>
      </c>
      <c r="C22" s="30" t="s">
        <v>598</v>
      </c>
      <c r="D22" s="30" t="s">
        <v>96</v>
      </c>
      <c r="E22" s="30" t="s">
        <v>195</v>
      </c>
      <c r="F22" s="42">
        <v>150</v>
      </c>
      <c r="G22" s="42">
        <v>208</v>
      </c>
      <c r="H22" s="42">
        <v>231111</v>
      </c>
      <c r="I22" s="42">
        <v>230663</v>
      </c>
      <c r="J22" s="30" t="s">
        <v>196</v>
      </c>
      <c r="K22" s="42">
        <v>231269</v>
      </c>
      <c r="L22" s="131" t="s">
        <v>51</v>
      </c>
      <c r="M22" s="132">
        <f t="shared" si="0"/>
        <v>-319.96800000000002</v>
      </c>
      <c r="N22" s="133" t="str">
        <f>VLOOKUP(C22,'Trips&amp;Operators'!$C$1:$G$99911,5,FALSE)</f>
        <v>YORK EDGAR</v>
      </c>
      <c r="O22" s="200" t="s">
        <v>180</v>
      </c>
      <c r="P22" s="134"/>
      <c r="Q22" s="30"/>
      <c r="R22" s="81" t="str">
        <f>VLOOKUP(C22,'Train Runs'!$A$13:$AE$9925,31,0)</f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S22" s="84" t="str">
        <f>VLOOKUP(C22,'Train Runs'!$A$13:$AE$9925,22,0)</f>
        <v>https://d0f6bd738d7f1b3e5a7ca70fe4ff75f0.us-east-1.aws.found.io/app/kibana#/discover/Steve-Slow-Train-Analysis-(2080s-and-2083s)?_g=(refreshInterval:(display:Off,pause:!f,section:0,value:0),time:(from:'2017-09-08T02:51:33-0600',mode:absolute,to:'2017-09-08T05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86" t="str">
        <f t="shared" si="1"/>
        <v>"C:\Program Files (x86)\AstroGrep\AstroGrep.exe" /e /r /s /spath="%USERPROFILE%\AppData\Local\Temp\OnboardLogs" /stypes="*4001*201709081*" /stext=" 10:.+((SYSTEM_STATE.+slice.+state.+changed )|(ment ac)|(multiple cpu faults)|(system.+state.+changed )|(\[timeout)|(PRM\|1\|D)|(kpr)|(kdp)|(train st.+moving)|(\|lc)|(penalty))"</v>
      </c>
      <c r="U22" s="9" t="str">
        <f t="shared" si="2"/>
        <v>4001</v>
      </c>
      <c r="V22" s="31">
        <f t="shared" si="3"/>
        <v>42986.425891203704</v>
      </c>
      <c r="W22" s="45" t="str">
        <f t="shared" si="4"/>
        <v>EC</v>
      </c>
      <c r="X22" s="22">
        <f t="shared" si="5"/>
        <v>102</v>
      </c>
      <c r="Y22" s="96" t="str">
        <f t="shared" si="6"/>
        <v>echo {"issue":{"subject":"","project_id":79,"tracker_id":40,"status_id":1,"priority_id":2,"assigned_to_id":338,"start_date":"2017-09-08","description":"","custom_fields":[{"id":1,"name":"Subdivision","value":"EC"},{"id":4,"name":"Milepost","value":"23.1269"},{"id":17,"name":"Train ID","value":"102-08"},{"id":16,"name":"Locomotive ID","value":"4001"},{"id":130,"name":"Impact","value":""},{"id":150,"name":"Time of Event (Mountain Time)","value":"04:13:17"},{"id":151,"name":"Denver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/c/Users/stu/AppData/Local/Temp/OnboardLogs/RTDC4001 --include="*4001*201709081*"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"%USERPROFILE%\AppData\Local\Temp\OnboardLogs"\RTDC4001\*4001*201709081* &gt;&gt; 2017-09-08-SliceDisagreementCheck.txt</v>
      </c>
      <c r="AE22" s="145" t="str">
        <f t="shared" si="9"/>
        <v>start /low /b %USERPROFILE%\Documents\GitHub\eaglep3\Utilities\DownloadLogsFromS3.py --loco 4001 --day 2017-09-08</v>
      </c>
      <c r="AF22" s="1"/>
    </row>
    <row r="23" spans="1:32" x14ac:dyDescent="0.25">
      <c r="A23" s="31">
        <v>42986.339432870373</v>
      </c>
      <c r="B23" s="30" t="s">
        <v>597</v>
      </c>
      <c r="C23" s="30" t="s">
        <v>604</v>
      </c>
      <c r="D23" s="30" t="s">
        <v>49</v>
      </c>
      <c r="E23" s="30" t="s">
        <v>605</v>
      </c>
      <c r="F23" s="42">
        <v>600</v>
      </c>
      <c r="G23" s="42">
        <v>658</v>
      </c>
      <c r="H23" s="42">
        <v>40154</v>
      </c>
      <c r="I23" s="42">
        <v>37386</v>
      </c>
      <c r="J23" s="30" t="s">
        <v>188</v>
      </c>
      <c r="K23" s="42">
        <v>37500</v>
      </c>
      <c r="L23" s="131" t="s">
        <v>51</v>
      </c>
      <c r="M23" s="132">
        <f t="shared" si="0"/>
        <v>-60.192</v>
      </c>
      <c r="N23" s="133" t="str">
        <f>VLOOKUP(C23,'Trips&amp;Operators'!$C$1:$G$99911,5,FALSE)</f>
        <v>YORK EDGAR</v>
      </c>
      <c r="O23" s="200" t="s">
        <v>180</v>
      </c>
      <c r="P23" s="134"/>
      <c r="Q23" s="30"/>
      <c r="R23" s="81" t="str">
        <f>VLOOKUP(C23,'Train Runs'!$A$13:$AE$9925,31,0)</f>
        <v>aws s3 cp s3://rtdc.mdm.uploadarchive.raw/RTDC4001/ "%USERPROFILE%\AppData\Local\Temp\OnboardLogs"\RTDC4001\2017-09-08 --exclude "*" --recursive --include "*20170908*" &amp; "%USERPROFILE%\Documents\GitHub\mrs-test-scripts\Headless Mode &amp; Sideloading\WalkAndUnGZ.bat" "%USERPROFILE%\AppData\Local\Temp\OnboardLogs"\RTDC4001\2017-09-08 &amp; aws s3 cp s3://rtdc.mdm.uploadarchive.raw/RTDC4001/ "%USERPROFILE%\AppData\Local\Temp\OnboardLogs"\RTDC4001\2017-09-09 --exclude "*" --recursive --include "*20170909*" &amp; "%USERPROFILE%\Documents\GitHub\mrs-test-scripts\Headless Mode &amp; Sideloading\WalkAndUnGZ.bat" "%USERPROFILE%\AppData\Local\Temp\OnboardLogs"\RTDC4001\2017-09-09</v>
      </c>
      <c r="S23" s="84" t="str">
        <f>VLOOKUP(C23,'Train Runs'!$A$13:$AE$9925,22,0)</f>
        <v>https://d0f6bd738d7f1b3e5a7ca70fe4ff75f0.us-east-1.aws.found.io/app/kibana#/discover/Steve-Slow-Train-Analysis-(2080s-and-2083s)?_g=(refreshInterval:(display:Off,pause:!f,section:0,value:0),time:(from:'2017-09-08T06:20:54-0600',mode:absolute,to:'2017-09-08T09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3" s="86" t="str">
        <f t="shared" si="1"/>
        <v>"C:\Program Files (x86)\AstroGrep\AstroGrep.exe" /e /r /s /spath="%USERPROFILE%\AppData\Local\Temp\OnboardLogs" /stypes="*4001*201709081*" /stext=" 14:.+((SYSTEM_STATE.+slice.+state.+changed )|(ment ac)|(multiple cpu faults)|(system.+state.+changed )|(\[timeout)|(PRM\|1\|D)|(kpr)|(kdp)|(train st.+moving)|(\|lc)|(penalty))"</v>
      </c>
      <c r="U23" s="9" t="str">
        <f t="shared" si="2"/>
        <v>4001</v>
      </c>
      <c r="V23" s="31">
        <f t="shared" si="3"/>
        <v>42986.589432870373</v>
      </c>
      <c r="W23" s="45" t="str">
        <f t="shared" si="4"/>
        <v>EC</v>
      </c>
      <c r="X23" s="22">
        <f t="shared" si="5"/>
        <v>126</v>
      </c>
      <c r="Y23" s="96" t="str">
        <f t="shared" si="6"/>
        <v>echo {"issue":{"subject":"","project_id":79,"tracker_id":40,"status_id":1,"priority_id":2,"assigned_to_id":338,"start_date":"2017-09-08","description":"","custom_fields":[{"id":1,"name":"Subdivision","value":"EC"},{"id":4,"name":"Milepost","value":"3.75"},{"id":17,"name":"Train ID","value":"126-08"},{"id":16,"name":"Locomotive ID","value":"4001"},{"id":130,"name":"Impact","value":""},{"id":150,"name":"Time of Event (Mountain Time)","value":"08:08:47"},{"id":151,"name":"Denver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/c/Users/stu/AppData/Local/Temp/OnboardLogs/RTDC4001 --include="*4001*201709081*"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"%USERPROFILE%\AppData\Local\Temp\OnboardLogs"\RTDC4001\*4001*201709081* &gt;&gt; 2017-09-08-SliceDisagreementCheck.txt</v>
      </c>
      <c r="AE23" s="145" t="str">
        <f t="shared" si="9"/>
        <v>start /low /b %USERPROFILE%\Documents\GitHub\eaglep3\Utilities\DownloadLogsFromS3.py --loco 4001 --day 2017-09-08</v>
      </c>
      <c r="AF23" s="1"/>
    </row>
    <row r="24" spans="1:32" x14ac:dyDescent="0.25">
      <c r="A24" s="31">
        <v>42986.514780092592</v>
      </c>
      <c r="B24" s="30" t="s">
        <v>428</v>
      </c>
      <c r="C24" s="30" t="s">
        <v>616</v>
      </c>
      <c r="D24" s="30" t="s">
        <v>49</v>
      </c>
      <c r="E24" s="30" t="s">
        <v>181</v>
      </c>
      <c r="F24" s="42">
        <v>0</v>
      </c>
      <c r="G24" s="42">
        <v>54</v>
      </c>
      <c r="H24" s="42">
        <v>183</v>
      </c>
      <c r="I24" s="42">
        <v>99</v>
      </c>
      <c r="J24" s="30" t="s">
        <v>182</v>
      </c>
      <c r="K24" s="42">
        <v>1</v>
      </c>
      <c r="L24" s="131" t="s">
        <v>51</v>
      </c>
      <c r="M24" s="132">
        <f t="shared" si="0"/>
        <v>51.744</v>
      </c>
      <c r="N24" s="133" t="str">
        <f>VLOOKUP(C24,'Trips&amp;Operators'!$C$1:$G$99911,5,FALSE)</f>
        <v>BADERTSCHER DIANE</v>
      </c>
      <c r="O24" s="200" t="s">
        <v>180</v>
      </c>
      <c r="P24" s="134"/>
      <c r="Q24" s="30"/>
      <c r="R24" s="81" t="str">
        <f>VLOOKUP(C24,'Train Runs'!$A$13:$AE$9925,31,0)</f>
        <v>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 &amp; aws s3 cp s3://rtdc.mdm.uploadarchive.raw/RTDC4061/ "%USERPROFILE%\AppData\Local\Temp\OnboardLogs"\RTDC4061\2017-09-09 --exclude "*" --recursive --include "*20170909*" &amp; "%USERPROFILE%\Documents\GitHub\mrs-test-scripts\Headless Mode &amp; Sideloading\WalkAndUnGZ.bat" "%USERPROFILE%\AppData\Local\Temp\OnboardLogs"\RTDC4061\2017-09-09</v>
      </c>
      <c r="S24" s="84" t="str">
        <f>VLOOKUP(C24,'Train Runs'!$A$13:$AE$9925,22,0)</f>
        <v>https://d0f6bd738d7f1b3e5a7ca70fe4ff75f0.us-east-1.aws.found.io/app/kibana#/discover/Steve-Slow-Train-Analysis-(2080s-and-2083s)?_g=(refreshInterval:(display:Off,pause:!f,section:0,value:0),time:(from:'2017-09-08T10:35:24-0600',mode:absolute,to:'2017-09-08T13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4" s="86" t="str">
        <f t="shared" si="1"/>
        <v>"C:\Program Files (x86)\AstroGrep\AstroGrep.exe" /e /r /s /spath="%USERPROFILE%\AppData\Local\Temp\OnboardLogs" /stypes="*4061*201709081*" /stext=" 18:.+((SYSTEM_STATE.+slice.+state.+changed )|(ment ac)|(multiple cpu faults)|(system.+state.+changed )|(\[timeout)|(PRM\|1\|D)|(kpr)|(kdp)|(train st.+moving)|(\|lc)|(penalty))"</v>
      </c>
      <c r="U24" s="9" t="str">
        <f t="shared" si="2"/>
        <v>4061</v>
      </c>
      <c r="V24" s="31">
        <f t="shared" si="3"/>
        <v>42986.764780092592</v>
      </c>
      <c r="W24" s="45" t="str">
        <f t="shared" si="4"/>
        <v>EC</v>
      </c>
      <c r="X24" s="22">
        <f t="shared" si="5"/>
        <v>158</v>
      </c>
      <c r="Y24" s="96" t="str">
        <f t="shared" si="6"/>
        <v>echo {"issue":{"subject":"","project_id":79,"tracker_id":40,"status_id":1,"priority_id":2,"assigned_to_id":338,"start_date":"2017-09-08","description":"","custom_fields":[{"id":1,"name":"Subdivision","value":"EC"},{"id":4,"name":"Milepost","value":"0.0001"},{"id":17,"name":"Train ID","value":"158-08"},{"id":16,"name":"Locomotive ID","value":"4061"},{"id":130,"name":"Impact","value":""},{"id":150,"name":"Time of Event (Mountain Time)","value":"12:21:17"},{"id":151,"name":"Denver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/c/Users/stu/AppData/Local/Temp/OnboardLogs/RTDC4061 --include="*4061*201709081*"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"%USERPROFILE%\AppData\Local\Temp\OnboardLogs"\RTDC4061\*4061*201709081* &gt;&gt; 2017-09-08-SliceDisagreementCheck.txt</v>
      </c>
      <c r="AE24" s="145" t="str">
        <f t="shared" si="9"/>
        <v>start /low /b %USERPROFILE%\Documents\GitHub\eaglep3\Utilities\DownloadLogsFromS3.py --loco 4061 --day 2017-09-08</v>
      </c>
      <c r="AF24" s="1"/>
    </row>
    <row r="25" spans="1:32" x14ac:dyDescent="0.25">
      <c r="A25" s="31">
        <v>42986.816238425927</v>
      </c>
      <c r="B25" s="30" t="s">
        <v>468</v>
      </c>
      <c r="C25" s="30" t="s">
        <v>631</v>
      </c>
      <c r="D25" s="30" t="s">
        <v>49</v>
      </c>
      <c r="E25" s="30" t="s">
        <v>181</v>
      </c>
      <c r="F25" s="42">
        <v>0</v>
      </c>
      <c r="G25" s="42">
        <v>53</v>
      </c>
      <c r="H25" s="42">
        <v>191</v>
      </c>
      <c r="I25" s="42">
        <v>138</v>
      </c>
      <c r="J25" s="30" t="s">
        <v>182</v>
      </c>
      <c r="K25" s="42">
        <v>1</v>
      </c>
      <c r="L25" s="131" t="s">
        <v>51</v>
      </c>
      <c r="M25" s="132">
        <f t="shared" si="0"/>
        <v>72.335999999999999</v>
      </c>
      <c r="N25" s="133" t="str">
        <f>VLOOKUP(C25,'Trips&amp;Operators'!$C$1:$G$99911,5,FALSE)</f>
        <v>ZEWDU DEREJE</v>
      </c>
      <c r="O25" s="200" t="s">
        <v>180</v>
      </c>
      <c r="P25" s="134"/>
      <c r="Q25" s="30"/>
      <c r="R25" s="81" t="str">
        <f>VLOOKUP(C25,'Train Runs'!$A$13:$AE$9925,31,0)</f>
        <v>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 &amp; aws s3 cp s3://rtdc.mdm.uploadarchive.raw/RTDC4031/ "%USERPROFILE%\AppData\Local\Temp\OnboardLogs"\RTDC4031\2017-09-09 --exclude "*" --recursive --include "*20170909*" &amp; "%USERPROFILE%\Documents\GitHub\mrs-test-scripts\Headless Mode &amp; Sideloading\WalkAndUnGZ.bat" "%USERPROFILE%\AppData\Local\Temp\OnboardLogs"\RTDC4031\2017-09-09</v>
      </c>
      <c r="S25" s="84" t="str">
        <f>VLOOKUP(C25,'Train Runs'!$A$13:$AE$9925,22,0)</f>
        <v>https://d0f6bd738d7f1b3e5a7ca70fe4ff75f0.us-east-1.aws.found.io/app/kibana#/discover/Steve-Slow-Train-Analysis-(2080s-and-2083s)?_g=(refreshInterval:(display:Off,pause:!f,section:0,value:0),time:(from:'2017-09-08T17:46:00-0600',mode:absolute,to:'2017-09-08T20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86" t="str">
        <f t="shared" si="1"/>
        <v>"C:\Program Files (x86)\AstroGrep\AstroGrep.exe" /e /r /s /spath="%USERPROFILE%\AppData\Local\Temp\OnboardLogs" /stypes="*4031*201709090*"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4031</v>
      </c>
      <c r="V25" s="31">
        <f t="shared" si="3"/>
        <v>42987.066238425927</v>
      </c>
      <c r="W25" s="45" t="str">
        <f t="shared" si="4"/>
        <v>EC</v>
      </c>
      <c r="X25" s="22">
        <f t="shared" si="5"/>
        <v>216</v>
      </c>
      <c r="Y25" s="96" t="str">
        <f t="shared" si="6"/>
        <v>echo {"issue":{"subject":"","project_id":79,"tracker_id":40,"status_id":1,"priority_id":2,"assigned_to_id":338,"start_date":"2017-09-08","description":"","custom_fields":[{"id":1,"name":"Subdivision","value":"EC"},{"id":4,"name":"Milepost","value":"0.0001"},{"id":17,"name":"Train ID","value":"216-08"},{"id":16,"name":"Locomotive ID","value":"4031"},{"id":130,"name":"Impact","value":""},{"id":150,"name":"Time of Event (Mountain Time)","value":"19:35:23"},{"id":151,"name":"Denver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/c/Users/stu/AppData/Local/Temp/OnboardLogs/RTDC4031 --include="*4031*201709090*"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"%USERPROFILE%\AppData\Local\Temp\OnboardLogs"\RTDC4031\*4031*201709090* &gt;&gt; 2017-09-08-SliceDisagreementCheck.txt</v>
      </c>
      <c r="AE25" s="145" t="str">
        <f t="shared" si="9"/>
        <v>start /low /b %USERPROFILE%\Documents\GitHub\eaglep3\Utilities\DownloadLogsFromS3.py --loco 4031 --day 2017-09-09</v>
      </c>
      <c r="AF25" s="1"/>
    </row>
    <row r="26" spans="1:32" x14ac:dyDescent="0.25">
      <c r="A26" s="31">
        <v>42987.005104166667</v>
      </c>
      <c r="B26" s="30" t="s">
        <v>423</v>
      </c>
      <c r="C26" s="30" t="s">
        <v>636</v>
      </c>
      <c r="D26" s="30" t="s">
        <v>49</v>
      </c>
      <c r="E26" s="30" t="s">
        <v>181</v>
      </c>
      <c r="F26" s="42">
        <v>0</v>
      </c>
      <c r="G26" s="42">
        <v>44</v>
      </c>
      <c r="H26" s="42">
        <v>152</v>
      </c>
      <c r="I26" s="42">
        <v>127</v>
      </c>
      <c r="J26" s="30" t="s">
        <v>182</v>
      </c>
      <c r="K26" s="42">
        <v>1</v>
      </c>
      <c r="L26" s="131" t="s">
        <v>51</v>
      </c>
      <c r="M26" s="132">
        <f t="shared" si="0"/>
        <v>66.528000000000006</v>
      </c>
      <c r="N26" s="133" t="str">
        <f>VLOOKUP(C26,'Trips&amp;Operators'!$C$1:$G$99911,5,FALSE)</f>
        <v>NICHOLSON WESLEY</v>
      </c>
      <c r="O26" s="200" t="s">
        <v>180</v>
      </c>
      <c r="P26" s="134"/>
      <c r="Q26" s="30"/>
      <c r="R26" s="81" t="str">
        <f>VLOOKUP(C26,'Train Runs'!$A$13:$AE$9925,31,0)</f>
        <v>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 &amp; aws s3 cp s3://rtdc.mdm.uploadarchive.raw/RTDC4033/ "%USERPROFILE%\AppData\Local\Temp\OnboardLogs"\RTDC4033\2017-09-09 --exclude "*" --recursive --include "*20170909*" &amp; "%USERPROFILE%\Documents\GitHub\mrs-test-scripts\Headless Mode &amp; Sideloading\WalkAndUnGZ.bat" "%USERPROFILE%\AppData\Local\Temp\OnboardLogs"\RTDC4033\2017-09-09</v>
      </c>
      <c r="S26" s="84" t="str">
        <f>VLOOKUP(C26,'Train Runs'!$A$13:$AE$9925,22,0)</f>
        <v>https://d0f6bd738d7f1b3e5a7ca70fe4ff75f0.us-east-1.aws.found.io/app/kibana#/discover/Steve-Slow-Train-Analysis-(2080s-and-2083s)?_g=(refreshInterval:(display:Off,pause:!f,section:0,value:0),time:(from:'2017-09-08T22:18:55-0600',mode:absolute,to:'2017-09-09T01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6" s="86" t="str">
        <f t="shared" si="1"/>
        <v>"C:\Program Files (x86)\AstroGrep\AstroGrep.exe" /e /r /s /spath="%USERPROFILE%\AppData\Local\Temp\OnboardLogs" /stypes="*4033*201709090*" /stext=" 06:.+((SYSTEM_STATE.+slice.+state.+changed )|(ment ac)|(multiple cpu faults)|(system.+state.+changed )|(\[timeout)|(PRM\|1\|D)|(kpr)|(kdp)|(train st.+moving)|(\|lc)|(penalty))"</v>
      </c>
      <c r="U26" s="9" t="str">
        <f t="shared" si="2"/>
        <v>4033</v>
      </c>
      <c r="V26" s="31">
        <f t="shared" si="3"/>
        <v>42987.255104166667</v>
      </c>
      <c r="W26" s="45" t="str">
        <f t="shared" si="4"/>
        <v>EC</v>
      </c>
      <c r="X26" s="22">
        <f t="shared" si="5"/>
        <v>236</v>
      </c>
      <c r="Y26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{"issue":{"subject":"","project_id":79,"tracker_id":40,"status_id":1,"priority_id":2,"assigned_to_id":338,"start_date":"2017-09-09","description":"","custom_fields":[{"id":1,"name":"Subdivision","value":"EC"},{"id":4,"name":"Milepost","value":"0.0001"},{"id":17,"name":"Train ID","value":"236-08"},{"id":16,"name":"Locomotive ID","value":"4033"},{"id":130,"name":"Impact","value":""},{"id":150,"name":"Time of Event (Mountain Time)","value":"00:07:21"},{"id":151,"name":"Denver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/c/Users/stu/AppData/Local/Temp/OnboardLogs/RTDC4033 --include="*4033*201709090*"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"%USERPROFILE%\AppData\Local\Temp\OnboardLogs"\RTDC4033\*4033*201709090* &gt;&gt; 2017-09-08-SliceDisagreementCheck.txt</v>
      </c>
      <c r="AE26" s="145" t="str">
        <f t="shared" si="9"/>
        <v>start /low /b %USERPROFILE%\Documents\GitHub\eaglep3\Utilities\DownloadLogsFromS3.py --loco 4033 --day 2017-09-09</v>
      </c>
      <c r="AF26" s="1"/>
    </row>
    <row r="27" spans="1:32" x14ac:dyDescent="0.25">
      <c r="A27" s="31">
        <v>42986.452337962961</v>
      </c>
      <c r="B27" s="30" t="s">
        <v>609</v>
      </c>
      <c r="C27" s="30" t="s">
        <v>610</v>
      </c>
      <c r="D27" s="30" t="s">
        <v>49</v>
      </c>
      <c r="E27" s="30" t="s">
        <v>181</v>
      </c>
      <c r="F27" s="42">
        <v>0</v>
      </c>
      <c r="G27" s="42">
        <v>148</v>
      </c>
      <c r="H27" s="42">
        <v>232652</v>
      </c>
      <c r="I27" s="42">
        <v>232825</v>
      </c>
      <c r="J27" s="30" t="s">
        <v>182</v>
      </c>
      <c r="K27" s="42">
        <v>233491</v>
      </c>
      <c r="L27" s="131" t="s">
        <v>50</v>
      </c>
      <c r="M27" s="132">
        <f t="shared" si="0"/>
        <v>351.64800000000002</v>
      </c>
      <c r="N27" s="133" t="str">
        <f>VLOOKUP(C27,'Trips&amp;Operators'!$C$1:$G$99911,5,FALSE)</f>
        <v>WILLIAMS DONTE</v>
      </c>
      <c r="O27" s="200" t="s">
        <v>180</v>
      </c>
      <c r="P27" s="134"/>
      <c r="Q27" s="30"/>
      <c r="R27" s="81" t="str">
        <f>VLOOKUP(C27,'Train Runs'!$A$13:$AE$9925,31,0)</f>
        <v>aws s3 cp s3://rtdc.mdm.uploadarchive.raw/RTDC4002/ "%USERPROFILE%\AppData\Local\Temp\OnboardLogs"\RTDC4002\2017-09-08 --exclude "*" --recursive --include "*20170908*" &amp; "%USERPROFILE%\Documents\GitHub\mrs-test-scripts\Headless Mode &amp; Sideloading\WalkAndUnGZ.bat" "%USERPROFILE%\AppData\Local\Temp\OnboardLogs"\RTDC4002\2017-09-08 &amp; aws s3 cp s3://rtdc.mdm.uploadarchive.raw/RTDC4002/ "%USERPROFILE%\AppData\Local\Temp\OnboardLogs"\RTDC4002\2017-09-09 --exclude "*" --recursive --include "*20170909*" &amp; "%USERPROFILE%\Documents\GitHub\mrs-test-scripts\Headless Mode &amp; Sideloading\WalkAndUnGZ.bat" "%USERPROFILE%\AppData\Local\Temp\OnboardLogs"\RTDC4002\2017-09-09</v>
      </c>
      <c r="S27" s="84" t="str">
        <f>VLOOKUP(C27,'Train Runs'!$A$13:$AE$9925,22,0)</f>
        <v>https://d0f6bd738d7f1b3e5a7ca70fe4ff75f0.us-east-1.aws.found.io/app/kibana#/discover/Steve-Slow-Train-Analysis-(2080s-and-2083s)?_g=(refreshInterval:(display:Off,pause:!f,section:0,value:0),time:(from:'2017-09-08T09:08:00-0600',mode:absolute,to:'2017-09-08T11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7" s="86" t="str">
        <f t="shared" si="1"/>
        <v>"C:\Program Files (x86)\AstroGrep\AstroGrep.exe" /e /r /s /spath="%USERPROFILE%\AppData\Local\Temp\OnboardLogs" /stypes="*4002*201709081*" /stext=" 16:.+((SYSTEM_STATE.+slice.+state.+changed )|(ment ac)|(multiple cpu faults)|(system.+state.+changed )|(\[timeout)|(PRM\|1\|D)|(kpr)|(kdp)|(train st.+moving)|(\|lc)|(penalty))"</v>
      </c>
      <c r="U27" s="9" t="str">
        <f t="shared" si="2"/>
        <v>4002</v>
      </c>
      <c r="V27" s="31">
        <f t="shared" si="3"/>
        <v>42986.702337962961</v>
      </c>
      <c r="W27" s="45" t="str">
        <f t="shared" si="4"/>
        <v>EC</v>
      </c>
      <c r="X27" s="22">
        <f t="shared" si="5"/>
        <v>153</v>
      </c>
      <c r="Y27" s="96" t="str">
        <f t="shared" si="6"/>
        <v>echo {"issue":{"subject":"","project_id":79,"tracker_id":40,"status_id":1,"priority_id":2,"assigned_to_id":338,"start_date":"2017-09-08","description":"","custom_fields":[{"id":1,"name":"Subdivision","value":"EC"},{"id":4,"name":"Milepost","value":"23.3491"},{"id":17,"name":"Train ID","value":"153-08"},{"id":16,"name":"Locomotive ID","value":"4002"},{"id":130,"name":"Impact","value":""},{"id":150,"name":"Time of Event (Mountain Time)","value":"10:51:22"},{"id":151,"name":"Denver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/c/Users/stu/AppData/Local/Temp/OnboardLogs/RTDC4002 --include="*4002*201709081*"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"%USERPROFILE%\AppData\Local\Temp\OnboardLogs"\RTDC4002\*4002*201709081* &gt;&gt; 2017-09-08-SliceDisagreementCheck.txt</v>
      </c>
      <c r="AE27" s="145" t="str">
        <f t="shared" si="9"/>
        <v>start /low /b %USERPROFILE%\Documents\GitHub\eaglep3\Utilities\DownloadLogsFromS3.py --loco 4002 --day 2017-09-08</v>
      </c>
      <c r="AF27" s="1"/>
    </row>
    <row r="28" spans="1:32" x14ac:dyDescent="0.25">
      <c r="A28" s="31">
        <v>42986.724224537036</v>
      </c>
      <c r="B28" s="30" t="s">
        <v>424</v>
      </c>
      <c r="C28" s="30" t="s">
        <v>625</v>
      </c>
      <c r="D28" s="30" t="s">
        <v>49</v>
      </c>
      <c r="E28" s="30" t="s">
        <v>181</v>
      </c>
      <c r="F28" s="42">
        <v>0</v>
      </c>
      <c r="G28" s="42">
        <v>39</v>
      </c>
      <c r="H28" s="42">
        <v>233357</v>
      </c>
      <c r="I28" s="42">
        <v>233389</v>
      </c>
      <c r="J28" s="30" t="s">
        <v>182</v>
      </c>
      <c r="K28" s="42">
        <v>233491</v>
      </c>
      <c r="L28" s="131" t="s">
        <v>50</v>
      </c>
      <c r="M28" s="132">
        <f t="shared" si="0"/>
        <v>53.856000000000002</v>
      </c>
      <c r="N28" s="133" t="str">
        <f>VLOOKUP(C28,'Trips&amp;Operators'!$C$1:$G$99911,5,FALSE)</f>
        <v>CASSIDY BRANDON</v>
      </c>
      <c r="O28" s="200" t="s">
        <v>180</v>
      </c>
      <c r="P28" s="134"/>
      <c r="Q28" s="30"/>
      <c r="R28" s="81" t="str">
        <f>VLOOKUP(C28,'Train Runs'!$A$13:$AE$9925,31,0)</f>
        <v>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 &amp; aws s3 cp s3://rtdc.mdm.uploadarchive.raw/RTDC4034/ "%USERPROFILE%\AppData\Local\Temp\OnboardLogs"\RTDC4034\2017-09-09 --exclude "*" --recursive --include "*20170909*" &amp; "%USERPROFILE%\Documents\GitHub\mrs-test-scripts\Headless Mode &amp; Sideloading\WalkAndUnGZ.bat" "%USERPROFILE%\AppData\Local\Temp\OnboardLogs"\RTDC4034\2017-09-09</v>
      </c>
      <c r="S28" s="84" t="str">
        <f>VLOOKUP(C28,'Train Runs'!$A$13:$AE$9925,22,0)</f>
        <v>https://d0f6bd738d7f1b3e5a7ca70fe4ff75f0.us-east-1.aws.found.io/app/kibana#/discover/Steve-Slow-Train-Analysis-(2080s-and-2083s)?_g=(refreshInterval:(display:Off,pause:!f,section:0,value:0),time:(from:'2017-09-08T15:36:19-0600',mode:absolute,to:'2017-09-08T18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28" s="86" t="str">
        <f t="shared" si="1"/>
        <v>"C:\Program Files (x86)\AstroGrep\AstroGrep.exe" /e /r /s /spath="%USERPROFILE%\AppData\Local\Temp\OnboardLogs" /stypes="*4034*201709082*"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4034</v>
      </c>
      <c r="V28" s="31">
        <f t="shared" si="3"/>
        <v>42986.974224537036</v>
      </c>
      <c r="W28" s="45" t="str">
        <f t="shared" si="4"/>
        <v>EC</v>
      </c>
      <c r="X28" s="22">
        <f t="shared" si="5"/>
        <v>205</v>
      </c>
      <c r="Y28" s="96" t="str">
        <f t="shared" si="6"/>
        <v>echo {"issue":{"subject":"","project_id":79,"tracker_id":40,"status_id":1,"priority_id":2,"assigned_to_id":338,"start_date":"2017-09-08","description":"","custom_fields":[{"id":1,"name":"Subdivision","value":"EC"},{"id":4,"name":"Milepost","value":"23.3491"},{"id":17,"name":"Train ID","value":"205-08"},{"id":16,"name":"Locomotive ID","value":"4034"},{"id":130,"name":"Impact","value":""},{"id":150,"name":"Time of Event (Mountain Time)","value":"17:22:53"},{"id":151,"name":"Denver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/c/Users/stu/AppData/Local/Temp/OnboardLogs/RTDC4034 --include="*4034*201709082*"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"%USERPROFILE%\AppData\Local\Temp\OnboardLogs"\RTDC4034\*4034*201709082* &gt;&gt; 2017-09-08-SliceDisagreementCheck.txt</v>
      </c>
      <c r="AE28" s="145" t="str">
        <f t="shared" si="9"/>
        <v>start /low /b %USERPROFILE%\Documents\GitHub\eaglep3\Utilities\DownloadLogsFromS3.py --loco 4034 --day 2017-09-08</v>
      </c>
      <c r="AF28" s="1"/>
    </row>
    <row r="29" spans="1:32" x14ac:dyDescent="0.25">
      <c r="A29" s="31">
        <v>42987.02449074074</v>
      </c>
      <c r="B29" s="30" t="s">
        <v>633</v>
      </c>
      <c r="C29" s="30" t="s">
        <v>637</v>
      </c>
      <c r="D29" s="30" t="s">
        <v>49</v>
      </c>
      <c r="E29" s="30" t="s">
        <v>181</v>
      </c>
      <c r="F29" s="42">
        <v>0</v>
      </c>
      <c r="G29" s="42">
        <v>76</v>
      </c>
      <c r="H29" s="42">
        <v>233268</v>
      </c>
      <c r="I29" s="42">
        <v>233362</v>
      </c>
      <c r="J29" s="30" t="s">
        <v>182</v>
      </c>
      <c r="K29" s="42">
        <v>233491</v>
      </c>
      <c r="L29" s="131" t="s">
        <v>50</v>
      </c>
      <c r="M29" s="132">
        <f t="shared" si="0"/>
        <v>68.111999999999995</v>
      </c>
      <c r="N29" s="133" t="str">
        <f>VLOOKUP(C29,'Trips&amp;Operators'!$C$1:$G$99911,5,FALSE)</f>
        <v>PERKINS DARREN</v>
      </c>
      <c r="O29" s="200" t="s">
        <v>180</v>
      </c>
      <c r="P29" s="134"/>
      <c r="Q29" s="30"/>
      <c r="R29" s="81" t="str">
        <f>VLOOKUP(C29,'Train Runs'!$A$13:$AE$9925,31,0)</f>
        <v>aws s3 cp s3://rtdc.mdm.uploadarchive.raw/RTDC4006/ "%USERPROFILE%\AppData\Local\Temp\OnboardLogs"\RTDC4006\2017-09-09 --exclude "*" --recursive --include "*20170909*" &amp; "%USERPROFILE%\Documents\GitHub\mrs-test-scripts\Headless Mode &amp; Sideloading\WalkAndUnGZ.bat" "%USERPROFILE%\AppData\Local\Temp\OnboardLogs"\RTDC4006\2017-09-09 &amp; 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</v>
      </c>
      <c r="S29" s="84" t="str">
        <f>VLOOKUP(C29,'Train Runs'!$A$13:$AE$9925,22,0)</f>
        <v>https://d0f6bd738d7f1b3e5a7ca70fe4ff75f0.us-east-1.aws.found.io/app/kibana#/discover/Steve-Slow-Train-Analysis-(2080s-and-2083s)?_g=(refreshInterval:(display:Off,pause:!f,section:0,value:0),time:(from:'2017-09-08T22:39:20-0600',mode:absolute,to:'2017-09-09T01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9" s="86" t="str">
        <f t="shared" si="1"/>
        <v>"C:\Program Files (x86)\AstroGrep\AstroGrep.exe" /e /r /s /spath="%USERPROFILE%\AppData\Local\Temp\OnboardLogs" /stypes="*4006*201709090*" /stext=" 06:.+((SYSTEM_STATE.+slice.+state.+changed )|(ment ac)|(multiple cpu faults)|(system.+state.+changed )|(\[timeout)|(PRM\|1\|D)|(kpr)|(kdp)|(train st.+moving)|(\|lc)|(penalty))"</v>
      </c>
      <c r="U29" s="9" t="str">
        <f t="shared" si="2"/>
        <v>4006</v>
      </c>
      <c r="V29" s="31">
        <f t="shared" si="3"/>
        <v>42987.27449074074</v>
      </c>
      <c r="W29" s="45" t="str">
        <f t="shared" si="4"/>
        <v>EC</v>
      </c>
      <c r="X29" s="22">
        <f t="shared" si="5"/>
        <v>241</v>
      </c>
      <c r="Y29" s="96" t="str">
        <f t="shared" si="6"/>
        <v>echo {"issue":{"subject":"","project_id":79,"tracker_id":40,"status_id":1,"priority_id":2,"assigned_to_id":338,"start_date":"2017-09-09","description":"","custom_fields":[{"id":1,"name":"Subdivision","value":"EC"},{"id":4,"name":"Milepost","value":"23.3491"},{"id":17,"name":"Train ID","value":"241-08"},{"id":16,"name":"Locomotive ID","value":"4006"},{"id":130,"name":"Impact","value":""},{"id":150,"name":"Time of Event (Mountain Time)","value":"00:35:16"},{"id":151,"name":"Denver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/c/Users/stu/AppData/Local/Temp/OnboardLogs/RTDC4006 --include="*4006*201709090*"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"%USERPROFILE%\AppData\Local\Temp\OnboardLogs"\RTDC4006\*4006*201709090* &gt;&gt; 2017-09-08-SliceDisagreementCheck.txt</v>
      </c>
      <c r="AE29" s="145" t="str">
        <f t="shared" si="9"/>
        <v>start /low /b %USERPROFILE%\Documents\GitHub\eaglep3\Utilities\DownloadLogsFromS3.py --loco 4006 --day 2017-09-09</v>
      </c>
      <c r="AF29" s="1"/>
    </row>
    <row r="30" spans="1:32" x14ac:dyDescent="0.25">
      <c r="A30" s="31">
        <v>42986.490717592591</v>
      </c>
      <c r="B30" s="30" t="s">
        <v>612</v>
      </c>
      <c r="C30" s="30" t="s">
        <v>613</v>
      </c>
      <c r="D30" s="30" t="s">
        <v>96</v>
      </c>
      <c r="E30" s="30" t="s">
        <v>195</v>
      </c>
      <c r="F30" s="42">
        <v>400</v>
      </c>
      <c r="G30" s="42">
        <v>458</v>
      </c>
      <c r="H30" s="42">
        <v>38955</v>
      </c>
      <c r="I30" s="42">
        <v>37705</v>
      </c>
      <c r="J30" s="30" t="s">
        <v>196</v>
      </c>
      <c r="K30" s="42">
        <v>40977</v>
      </c>
      <c r="L30" s="131" t="s">
        <v>51</v>
      </c>
      <c r="M30" s="132">
        <f t="shared" si="0"/>
        <v>-1727.616</v>
      </c>
      <c r="N30" s="133" t="str">
        <f>VLOOKUP(C30,'Trips&amp;Operators'!$C$1:$G$99911,5,FALSE)</f>
        <v>LALONDE GREGORY</v>
      </c>
      <c r="O30" s="200" t="s">
        <v>180</v>
      </c>
      <c r="P30" s="134"/>
      <c r="Q30" s="30"/>
      <c r="R30" s="81" t="str">
        <f>VLOOKUP(C30,'Train Runs'!$A$13:$AE$9925,31,0)</f>
        <v>aws s3 cp s3://rtdc.mdm.uploadarchive.raw/RTDC4029/ "%USERPROFILE%\AppData\Local\Temp\OnboardLogs"\RTDC4029\2017-09-08 --exclude "*" --recursive --include "*20170908*" &amp; "%USERPROFILE%\Documents\GitHub\mrs-test-scripts\Headless Mode &amp; Sideloading\WalkAndUnGZ.bat" "%USERPROFILE%\AppData\Local\Temp\OnboardLogs"\RTDC4029\2017-09-08 &amp; aws s3 cp s3://rtdc.mdm.uploadarchive.raw/RTDC4029/ "%USERPROFILE%\AppData\Local\Temp\OnboardLogs"\RTDC4029\2017-09-09 --exclude "*" --recursive --include "*20170909*" &amp; "%USERPROFILE%\Documents\GitHub\mrs-test-scripts\Headless Mode &amp; Sideloading\WalkAndUnGZ.bat" "%USERPROFILE%\AppData\Local\Temp\OnboardLogs"\RTDC4029\2017-09-09</v>
      </c>
      <c r="S30" s="84" t="str">
        <f>VLOOKUP(C30,'Train Runs'!$A$13:$AE$9925,22,0)</f>
        <v>https://d0f6bd738d7f1b3e5a7ca70fe4ff75f0.us-east-1.aws.found.io/app/kibana#/discover/Steve-Slow-Train-Analysis-(2080s-and-2083s)?_g=(refreshInterval:(display:Off,pause:!f,section:0,value:0),time:(from:'2017-09-08T10:33:41-0600',mode:absolute,to:'2017-09-08T12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0" s="86" t="str">
        <f t="shared" si="1"/>
        <v>"C:\Program Files (x86)\AstroGrep\AstroGrep.exe" /e /r /s /spath="%USERPROFILE%\AppData\Local\Temp\OnboardLogs" /stypes="*4029*201709081*" /stext=" 17:.+((SYSTEM_STATE.+slice.+state.+changed )|(ment ac)|(multiple cpu faults)|(system.+state.+changed )|(\[timeout)|(PRM\|1\|D)|(kpr)|(kdp)|(train st.+moving)|(\|lc)|(penalty))"</v>
      </c>
      <c r="U30" s="9" t="str">
        <f t="shared" si="2"/>
        <v>4029</v>
      </c>
      <c r="V30" s="31">
        <f t="shared" si="3"/>
        <v>42986.740717592591</v>
      </c>
      <c r="W30" s="45" t="str">
        <f t="shared" si="4"/>
        <v>NW</v>
      </c>
      <c r="X30" s="22">
        <f t="shared" si="5"/>
        <v>818</v>
      </c>
      <c r="Y30" s="96" t="str">
        <f t="shared" si="6"/>
        <v>echo {"issue":{"subject":"","project_id":79,"tracker_id":40,"status_id":1,"priority_id":2,"assigned_to_id":338,"start_date":"2017-09-08","description":"","custom_fields":[{"id":1,"name":"Subdivision","value":"NW"},{"id":4,"name":"Milepost","value":"4.0977"},{"id":17,"name":"Train ID","value":"818-08"},{"id":16,"name":"Locomotive ID","value":"4029"},{"id":130,"name":"Impact","value":""},{"id":150,"name":"Time of Event (Mountain Time)","value":"11:46:38"},{"id":151,"name":"Denver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/c/Users/stu/AppData/Local/Temp/OnboardLogs/RTDC4029 --include="*4029*201709081*"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"%USERPROFILE%\AppData\Local\Temp\OnboardLogs"\RTDC4029\*4029*201709081* &gt;&gt; 2017-09-08-SliceDisagreementCheck.txt</v>
      </c>
      <c r="AE30" s="145" t="str">
        <f t="shared" si="9"/>
        <v>start /low /b %USERPROFILE%\Documents\GitHub\eaglep3\Utilities\DownloadLogsFromS3.py --loco 4029 --day 2017-09-08</v>
      </c>
      <c r="AF30" s="1"/>
    </row>
    <row r="31" spans="1:32" x14ac:dyDescent="0.25">
      <c r="A31" s="31">
        <v>42986.465196759258</v>
      </c>
      <c r="B31" s="30" t="s">
        <v>382</v>
      </c>
      <c r="C31" s="30" t="s">
        <v>611</v>
      </c>
      <c r="D31" s="30" t="s">
        <v>96</v>
      </c>
      <c r="E31" s="30" t="s">
        <v>364</v>
      </c>
      <c r="F31" s="42">
        <v>0</v>
      </c>
      <c r="G31" s="42">
        <v>101</v>
      </c>
      <c r="H31" s="42">
        <v>1864</v>
      </c>
      <c r="I31" s="42">
        <v>1920</v>
      </c>
      <c r="J31" s="30" t="s">
        <v>365</v>
      </c>
      <c r="K31" s="42">
        <v>1725</v>
      </c>
      <c r="L31" s="131" t="s">
        <v>50</v>
      </c>
      <c r="M31" s="132">
        <f t="shared" si="0"/>
        <v>-102.96</v>
      </c>
      <c r="N31" s="133" t="str">
        <f>VLOOKUP(C31,'Trips&amp;Operators'!$C$1:$G$99911,5,FALSE)</f>
        <v>LALONDE GREGORY</v>
      </c>
      <c r="O31" s="200" t="s">
        <v>367</v>
      </c>
      <c r="P31" s="134" t="s">
        <v>1012</v>
      </c>
      <c r="Q31" s="30"/>
      <c r="R31" s="81" t="str">
        <f>VLOOKUP(C31,'Train Runs'!$A$13:$AE$9925,31,0)</f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S31" s="84" t="str">
        <f>VLOOKUP(C31,'Train Runs'!$A$13:$AE$9925,22,0)</f>
        <v>https://d0f6bd738d7f1b3e5a7ca70fe4ff75f0.us-east-1.aws.found.io/app/kibana#/discover/Steve-Slow-Train-Analysis-(2080s-and-2083s)?_g=(refreshInterval:(display:Off,pause:!f,section:0,value:0),time:(from:'2017-09-08T09:59:53-0600',mode:absolute,to:'2017-09-08T12:09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1" s="86" t="str">
        <f t="shared" si="1"/>
        <v>"C:\Program Files (x86)\AstroGrep\AstroGrep.exe" /e /r /s /spath="%USERPROFILE%\AppData\Local\Temp\OnboardLogs" /stypes="*4030*201709081*" /stext=" 17:.+((SYSTEM_STATE.+slice.+state.+changed )|(ment ac)|(multiple cpu faults)|(system.+state.+changed )|(\[timeout)|(PRM\|1\|D)|(kpr)|(kdp)|(train st.+moving)|(\|lc)|(penalty))"</v>
      </c>
      <c r="U31" s="9" t="str">
        <f t="shared" si="2"/>
        <v>4030</v>
      </c>
      <c r="V31" s="31">
        <f t="shared" si="3"/>
        <v>42986.715196759258</v>
      </c>
      <c r="W31" s="45" t="str">
        <f t="shared" si="4"/>
        <v>NW</v>
      </c>
      <c r="X31" s="22">
        <f t="shared" si="5"/>
        <v>817</v>
      </c>
      <c r="Y31" s="96" t="str">
        <f t="shared" si="6"/>
        <v>echo {"issue":{"subject":"Poor GPS at DUS","project_id":79,"tracker_id":40,"status_id":1,"priority_id":2,"assigned_to_id":338,"start_date":"2017-09-08","description":"","custom_fields":[{"id":1,"name":"Subdivision","value":"NW"},{"id":4,"name":"Milepost","value":"0.1725"},{"id":17,"name":"Train ID","value":"817-08"},{"id":16,"name":"Locomotive ID","value":"4030"},{"id":130,"name":"Impact","value":""},{"id":150,"name":"Time of Event (Mountain Time)","value":"11:09:53"},{"id":151,"name":"Denver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/c/Users/stu/AppData/Local/Temp/OnboardLogs/RTDC4030 --include="*4030*201709081*"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"%USERPROFILE%\AppData\Local\Temp\OnboardLogs"\RTDC4030\*4030*201709081* &gt;&gt; 2017-09-08-SliceDisagreementCheck.txt</v>
      </c>
      <c r="AE31" s="145" t="str">
        <f t="shared" si="9"/>
        <v>start /low /b %USERPROFILE%\Documents\GitHub\eaglep3\Utilities\DownloadLogsFromS3.py --loco 4030 --day 2017-09-08</v>
      </c>
      <c r="AF31" s="1"/>
    </row>
    <row r="32" spans="1:32" x14ac:dyDescent="0.25">
      <c r="A32" s="31">
        <v>42986.657569444447</v>
      </c>
      <c r="B32" s="30" t="s">
        <v>602</v>
      </c>
      <c r="C32" s="30" t="s">
        <v>620</v>
      </c>
      <c r="D32" s="30" t="s">
        <v>49</v>
      </c>
      <c r="E32" s="30" t="s">
        <v>364</v>
      </c>
      <c r="F32" s="42">
        <v>0</v>
      </c>
      <c r="G32" s="42">
        <v>288</v>
      </c>
      <c r="H32" s="42">
        <v>32702</v>
      </c>
      <c r="I32" s="42">
        <v>33474</v>
      </c>
      <c r="J32" s="30" t="s">
        <v>365</v>
      </c>
      <c r="K32" s="42">
        <v>34583</v>
      </c>
      <c r="L32" s="131" t="s">
        <v>50</v>
      </c>
      <c r="M32" s="132">
        <f t="shared" si="0"/>
        <v>585.55200000000002</v>
      </c>
      <c r="N32" s="133" t="str">
        <f>VLOOKUP(C32,'Trips&amp;Operators'!$C$1:$G$99911,5,FALSE)</f>
        <v>SMITH MICHAEL</v>
      </c>
      <c r="O32" s="200" t="s">
        <v>180</v>
      </c>
      <c r="P32" s="134" t="s">
        <v>1015</v>
      </c>
      <c r="Q32" s="30"/>
      <c r="R32" s="81" t="str">
        <f>VLOOKUP(C32,'Train Runs'!$A$13:$AE$9925,31,0)</f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S32" s="84" t="str">
        <f>VLOOKUP(C32,'Train Runs'!$A$13:$AE$9925,22,0)</f>
        <v>https://d0f6bd738d7f1b3e5a7ca70fe4ff75f0.us-east-1.aws.found.io/app/kibana#/discover/Steve-Slow-Train-Analysis-(2080s-and-2083s)?_g=(refreshInterval:(display:Off,pause:!f,section:0,value:0),time:(from:'2017-09-08T14:25:37-0600',mode:absolute,to:'2017-09-08T16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2" s="86" t="str">
        <f t="shared" si="1"/>
        <v>"C:\Program Files (x86)\AstroGrep\AstroGrep.exe" /e /r /s /spath="%USERPROFILE%\AppData\Local\Temp\OnboardLogs" /stypes="*4028*201709082*" /stext=" 21:.+((SYSTEM_STATE.+slice.+state.+changed )|(ment ac)|(multiple cpu faults)|(system.+state.+changed )|(\[timeout)|(PRM\|1\|D)|(kpr)|(kdp)|(train st.+moving)|(\|lc)|(penalty))"</v>
      </c>
      <c r="U32" s="9" t="str">
        <f t="shared" si="2"/>
        <v>4028</v>
      </c>
      <c r="V32" s="31">
        <f t="shared" si="3"/>
        <v>42986.907569444447</v>
      </c>
      <c r="W32" s="45" t="str">
        <f t="shared" si="4"/>
        <v>NW</v>
      </c>
      <c r="X32" s="22">
        <f t="shared" si="5"/>
        <v>827</v>
      </c>
      <c r="Y32" s="96" t="str">
        <f t="shared" si="6"/>
        <v>echo {"issue":{"subject":"Restricting aspect","project_id":79,"tracker_id":40,"status_id":1,"priority_id":2,"assigned_to_id":338,"start_date":"2017-09-08","description":"","custom_fields":[{"id":1,"name":"Subdivision","value":"NW"},{"id":4,"name":"Milepost","value":"3.4583"},{"id":17,"name":"Train ID","value":"827-08"},{"id":16,"name":"Locomotive ID","value":"4028"},{"id":130,"name":"Impact","value":""},{"id":150,"name":"Time of Event (Mountain Time)","value":"15:46:54"},{"id":151,"name":"Denver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/c/Users/stu/AppData/Local/Temp/OnboardLogs/RTDC4028 --include="*4028*201709082*"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"%USERPROFILE%\AppData\Local\Temp\OnboardLogs"\RTDC4028\*4028*201709082* &gt;&gt; 2017-09-08-SliceDisagreementCheck.txt</v>
      </c>
      <c r="AE32" s="145" t="str">
        <f t="shared" si="9"/>
        <v>start /low /b %USERPROFILE%\Documents\GitHub\eaglep3\Utilities\DownloadLogsFromS3.py --loco 4028 --day 2017-09-08</v>
      </c>
      <c r="AF32" s="1"/>
    </row>
    <row r="33" spans="1:32" x14ac:dyDescent="0.25">
      <c r="A33" s="31">
        <v>42986.324999999997</v>
      </c>
      <c r="B33" s="30" t="s">
        <v>602</v>
      </c>
      <c r="C33" s="30" t="s">
        <v>603</v>
      </c>
      <c r="D33" s="30" t="s">
        <v>96</v>
      </c>
      <c r="E33" s="30" t="s">
        <v>364</v>
      </c>
      <c r="F33" s="42">
        <v>200</v>
      </c>
      <c r="G33" s="42">
        <v>269</v>
      </c>
      <c r="H33" s="42">
        <v>35869</v>
      </c>
      <c r="I33" s="42">
        <v>36761</v>
      </c>
      <c r="J33" s="30" t="s">
        <v>365</v>
      </c>
      <c r="K33" s="42">
        <v>34583</v>
      </c>
      <c r="L33" s="131" t="s">
        <v>50</v>
      </c>
      <c r="M33" s="132">
        <f t="shared" si="0"/>
        <v>-1149.9839999999999</v>
      </c>
      <c r="N33" s="133" t="str">
        <f>VLOOKUP(C33,'Trips&amp;Operators'!$C$1:$G$99911,5,FALSE)</f>
        <v>WILLIAMS DONTE</v>
      </c>
      <c r="O33" s="200" t="s">
        <v>180</v>
      </c>
      <c r="P33" s="134" t="s">
        <v>1014</v>
      </c>
      <c r="Q33" s="30"/>
      <c r="R33" s="81" t="str">
        <f>VLOOKUP(C33,'Train Runs'!$A$13:$AE$9925,31,0)</f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S33" s="84" t="str">
        <f>VLOOKUP(C33,'Train Runs'!$A$13:$AE$9925,22,0)</f>
        <v>https://d0f6bd738d7f1b3e5a7ca70fe4ff75f0.us-east-1.aws.found.io/app/kibana#/discover/Steve-Slow-Train-Analysis-(2080s-and-2083s)?_g=(refreshInterval:(display:Off,pause:!f,section:0,value:0),time:(from:'2017-09-08T06:35:27-0600',mode:absolute,to:'2017-09-08T08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3" s="86" t="str">
        <f t="shared" si="1"/>
        <v>"C:\Program Files (x86)\AstroGrep\AstroGrep.exe" /e /r /s /spath="%USERPROFILE%\AppData\Local\Temp\OnboardLogs" /stypes="*4028*201709081*" /stext=" 13:.+((SYSTEM_STATE.+slice.+state.+changed )|(ment ac)|(multiple cpu faults)|(system.+state.+changed )|(\[timeout)|(PRM\|1\|D)|(kpr)|(kdp)|(train st.+moving)|(\|lc)|(penalty))"</v>
      </c>
      <c r="U33" s="9" t="str">
        <f t="shared" si="2"/>
        <v>4028</v>
      </c>
      <c r="V33" s="31">
        <f t="shared" si="3"/>
        <v>42986.574999999997</v>
      </c>
      <c r="W33" s="45" t="str">
        <f t="shared" si="4"/>
        <v>NW</v>
      </c>
      <c r="X33" s="22">
        <f t="shared" si="5"/>
        <v>809</v>
      </c>
      <c r="Y33" s="96" t="str">
        <f t="shared" si="6"/>
        <v>echo {"issue":{"subject":"Overspeed","project_id":79,"tracker_id":40,"status_id":1,"priority_id":2,"assigned_to_id":338,"start_date":"2017-09-08","description":"","custom_fields":[{"id":1,"name":"Subdivision","value":"NW"},{"id":4,"name":"Milepost","value":"3.4583"},{"id":17,"name":"Train ID","value":"809-08"},{"id":16,"name":"Locomotive ID","value":"4028"},{"id":130,"name":"Impact","value":""},{"id":150,"name":"Time of Event (Mountain Time)","value":"07:48:00"},{"id":151,"name":"Denver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/c/Users/stu/AppData/Local/Temp/OnboardLogs/RTDC4028 --include="*4028*201709081*"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"%USERPROFILE%\AppData\Local\Temp\OnboardLogs"\RTDC4028\*4028*201709081* &gt;&gt; 2017-09-08-SliceDisagreementCheck.txt</v>
      </c>
      <c r="AE33" s="145" t="str">
        <f t="shared" si="9"/>
        <v>start /low /b %USERPROFILE%\Documents\GitHub\eaglep3\Utilities\DownloadLogsFromS3.py --loco 4028 --day 2017-09-08</v>
      </c>
      <c r="AF33" s="1"/>
    </row>
    <row r="34" spans="1:32" x14ac:dyDescent="0.25">
      <c r="A34" s="31">
        <v>42986.725671296299</v>
      </c>
      <c r="B34" s="30" t="s">
        <v>626</v>
      </c>
      <c r="C34" s="30" t="s">
        <v>627</v>
      </c>
      <c r="D34" s="30" t="s">
        <v>49</v>
      </c>
      <c r="E34" s="30" t="s">
        <v>181</v>
      </c>
      <c r="F34" s="42">
        <v>0</v>
      </c>
      <c r="G34" s="42">
        <v>16</v>
      </c>
      <c r="H34" s="42">
        <v>614</v>
      </c>
      <c r="I34" s="42">
        <v>601</v>
      </c>
      <c r="J34" s="30" t="s">
        <v>182</v>
      </c>
      <c r="K34" s="42">
        <v>575</v>
      </c>
      <c r="L34" s="131" t="s">
        <v>51</v>
      </c>
      <c r="M34" s="132">
        <f t="shared" si="0"/>
        <v>13.728</v>
      </c>
      <c r="N34" s="133" t="str">
        <f>VLOOKUP(C34,'Trips&amp;Operators'!$C$1:$G$99911,5,FALSE)</f>
        <v>SMITH MICHAEL</v>
      </c>
      <c r="O34" s="200" t="s">
        <v>180</v>
      </c>
      <c r="P34" s="134"/>
      <c r="Q34" s="30"/>
      <c r="R34" s="81" t="str">
        <f>VLOOKUP(C34,'Train Runs'!$A$13:$AE$9925,31,0)</f>
        <v>aws s3 cp s3://rtdc.mdm.uploadarchive.raw/RTDC4027/ "%USERPROFILE%\AppData\Local\Temp\OnboardLogs"\RTDC4027\2017-09-08 --exclude "*" --recursive --include "*20170908*" &amp; "%USERPROFILE%\Documents\GitHub\mrs-test-scripts\Headless Mode &amp; Sideloading\WalkAndUnGZ.bat" "%USERPROFILE%\AppData\Local\Temp\OnboardLogs"\RTDC4027\2017-09-08 &amp; aws s3 cp s3://rtdc.mdm.uploadarchive.raw/RTDC4027/ "%USERPROFILE%\AppData\Local\Temp\OnboardLogs"\RTDC4027\2017-09-09 --exclude "*" --recursive --include "*20170909*" &amp; "%USERPROFILE%\Documents\GitHub\mrs-test-scripts\Headless Mode &amp; Sideloading\WalkAndUnGZ.bat" "%USERPROFILE%\AppData\Local\Temp\OnboardLogs"\RTDC4027\2017-09-09</v>
      </c>
      <c r="S34" s="84" t="str">
        <f>VLOOKUP(C34,'Train Runs'!$A$13:$AE$9925,22,0)</f>
        <v>https://d0f6bd738d7f1b3e5a7ca70fe4ff75f0.us-east-1.aws.found.io/app/kibana#/discover/Steve-Slow-Train-Analysis-(2080s-and-2083s)?_g=(refreshInterval:(display:Off,pause:!f,section:0,value:0),time:(from:'2017-09-08T15:58:17-0600',mode:absolute,to:'2017-09-08T18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4" s="86" t="str">
        <f t="shared" si="1"/>
        <v>"C:\Program Files (x86)\AstroGrep\AstroGrep.exe" /e /r /s /spath="%USERPROFILE%\AppData\Local\Temp\OnboardLogs" /stypes="*4027*201709082*" /stext=" 23:.+((SYSTEM_STATE.+slice.+state.+changed )|(ment ac)|(multiple cpu faults)|(system.+state.+changed )|(\[timeout)|(PRM\|1\|D)|(kpr)|(kdp)|(train st.+moving)|(\|lc)|(penalty))"</v>
      </c>
      <c r="U34" s="9" t="str">
        <f t="shared" si="2"/>
        <v>4027</v>
      </c>
      <c r="V34" s="31">
        <f t="shared" si="3"/>
        <v>42986.975671296299</v>
      </c>
      <c r="W34" s="45" t="str">
        <f t="shared" si="4"/>
        <v>NW</v>
      </c>
      <c r="X34" s="22">
        <f t="shared" si="5"/>
        <v>832</v>
      </c>
      <c r="Y34" s="96" t="str">
        <f t="shared" si="6"/>
        <v>echo {"issue":{"subject":"","project_id":79,"tracker_id":40,"status_id":1,"priority_id":2,"assigned_to_id":338,"start_date":"2017-09-08","description":"","custom_fields":[{"id":1,"name":"Subdivision","value":"NW"},{"id":4,"name":"Milepost","value":"0.0575"},{"id":17,"name":"Train ID","value":"832-08"},{"id":16,"name":"Locomotive ID","value":"4027"},{"id":130,"name":"Impact","value":""},{"id":150,"name":"Time of Event (Mountain Time)","value":"17:24:58"},{"id":151,"name":"Denver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/c/Users/stu/AppData/Local/Temp/OnboardLogs/RTDC4027 --include="*4027*201709082*"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"%USERPROFILE%\AppData\Local\Temp\OnboardLogs"\RTDC4027\*4027*201709082* &gt;&gt; 2017-09-08-SliceDisagreementCheck.txt</v>
      </c>
      <c r="AE34" s="145" t="str">
        <f t="shared" si="9"/>
        <v>start /low /b %USERPROFILE%\Documents\GitHub\eaglep3\Utilities\DownloadLogsFromS3.py --loco 4027 --day 2017-09-08</v>
      </c>
      <c r="AF34" s="1"/>
    </row>
    <row r="35" spans="1:32" x14ac:dyDescent="0.25">
      <c r="A35" s="31">
        <v>42986.683483796296</v>
      </c>
      <c r="B35" s="30" t="s">
        <v>382</v>
      </c>
      <c r="C35" s="30" t="s">
        <v>623</v>
      </c>
      <c r="D35" s="30" t="s">
        <v>49</v>
      </c>
      <c r="E35" s="30" t="s">
        <v>181</v>
      </c>
      <c r="F35" s="42">
        <v>0</v>
      </c>
      <c r="G35" s="42">
        <v>49</v>
      </c>
      <c r="H35" s="42">
        <v>58941</v>
      </c>
      <c r="I35" s="42">
        <v>58961</v>
      </c>
      <c r="J35" s="30" t="s">
        <v>182</v>
      </c>
      <c r="K35" s="42">
        <v>59048</v>
      </c>
      <c r="L35" s="131" t="s">
        <v>50</v>
      </c>
      <c r="M35" s="132">
        <f t="shared" si="0"/>
        <v>45.936</v>
      </c>
      <c r="N35" s="133" t="str">
        <f>VLOOKUP(C35,'Trips&amp;Operators'!$C$1:$G$99911,5,FALSE)</f>
        <v>BIRKHOLZ NADINE</v>
      </c>
      <c r="O35" s="200" t="s">
        <v>180</v>
      </c>
      <c r="P35" s="134"/>
      <c r="Q35" s="30"/>
      <c r="R35" s="81" t="str">
        <f>VLOOKUP(C35,'Train Runs'!$A$13:$AE$9925,31,0)</f>
        <v>aws s3 cp s3://rtdc.mdm.uploadarchive.raw/RTDC4030/ "%USERPROFILE%\AppData\Local\Temp\OnboardLogs"\RTDC4030\2017-09-08 --exclude "*" --recursive --include "*20170908*" &amp; "%USERPROFILE%\Documents\GitHub\mrs-test-scripts\Headless Mode &amp; Sideloading\WalkAndUnGZ.bat" "%USERPROFILE%\AppData\Local\Temp\OnboardLogs"\RTDC4030\2017-09-08 &amp; aws s3 cp s3://rtdc.mdm.uploadarchive.raw/RTDC4030/ "%USERPROFILE%\AppData\Local\Temp\OnboardLogs"\RTDC4030\2017-09-09 --exclude "*" --recursive --include "*20170909*" &amp; "%USERPROFILE%\Documents\GitHub\mrs-test-scripts\Headless Mode &amp; Sideloading\WalkAndUnGZ.bat" "%USERPROFILE%\AppData\Local\Temp\OnboardLogs"\RTDC4030\2017-09-09</v>
      </c>
      <c r="S35" s="84" t="str">
        <f>VLOOKUP(C35,'Train Runs'!$A$13:$AE$9925,22,0)</f>
        <v>https://d0f6bd738d7f1b3e5a7ca70fe4ff75f0.us-east-1.aws.found.io/app/kibana#/discover/Steve-Slow-Train-Analysis-(2080s-and-2083s)?_g=(refreshInterval:(display:Off,pause:!f,section:0,value:0),time:(from:'2017-09-08T15:03:05-0600',mode:absolute,to:'2017-09-08T17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5" s="86" t="str">
        <f t="shared" si="1"/>
        <v>"C:\Program Files (x86)\AstroGrep\AstroGrep.exe" /e /r /s /spath="%USERPROFILE%\AppData\Local\Temp\OnboardLogs" /stypes="*4030*201709082*" /stext=" 22:.+((SYSTEM_STATE.+slice.+state.+changed )|(ment ac)|(multiple cpu faults)|(system.+state.+changed )|(\[timeout)|(PRM\|1\|D)|(kpr)|(kdp)|(train st.+moving)|(\|lc)|(penalty))"</v>
      </c>
      <c r="U35" s="9" t="str">
        <f t="shared" si="2"/>
        <v>4030</v>
      </c>
      <c r="V35" s="31">
        <f t="shared" si="3"/>
        <v>42986.933483796296</v>
      </c>
      <c r="W35" s="45" t="str">
        <f t="shared" si="4"/>
        <v>NW</v>
      </c>
      <c r="X35" s="22">
        <f t="shared" si="5"/>
        <v>829</v>
      </c>
      <c r="Y35" s="96" t="str">
        <f t="shared" si="6"/>
        <v>echo {"issue":{"subject":"","project_id":79,"tracker_id":40,"status_id":1,"priority_id":2,"assigned_to_id":338,"start_date":"2017-09-08","description":"","custom_fields":[{"id":1,"name":"Subdivision","value":"NW"},{"id":4,"name":"Milepost","value":"5.9048"},{"id":17,"name":"Train ID","value":"829-08"},{"id":16,"name":"Locomotive ID","value":"4030"},{"id":130,"name":"Impact","value":""},{"id":150,"name":"Time of Event (Mountain Time)","value":"16:24:13"},{"id":151,"name":"Denver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/c/Users/stu/AppData/Local/Temp/OnboardLogs/RTDC4030 --include="*4030*201709082*"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"%USERPROFILE%\AppData\Local\Temp\OnboardLogs"\RTDC4030\*4030*201709082* &gt;&gt; 2017-09-08-SliceDisagreementCheck.txt</v>
      </c>
      <c r="AE35" s="145" t="str">
        <f t="shared" si="9"/>
        <v>start /low /b %USERPROFILE%\Documents\GitHub\eaglep3\Utilities\DownloadLogsFromS3.py --loco 4030 --day 2017-09-08</v>
      </c>
      <c r="AF35" s="1"/>
    </row>
    <row r="36" spans="1:32" x14ac:dyDescent="0.25">
      <c r="A36" s="31">
        <v>42986.787800925929</v>
      </c>
      <c r="B36" s="30" t="s">
        <v>602</v>
      </c>
      <c r="C36" s="30" t="s">
        <v>630</v>
      </c>
      <c r="D36" s="30" t="s">
        <v>96</v>
      </c>
      <c r="E36" s="30" t="s">
        <v>181</v>
      </c>
      <c r="F36" s="42">
        <v>0</v>
      </c>
      <c r="G36" s="42">
        <v>7</v>
      </c>
      <c r="H36" s="42">
        <v>59049</v>
      </c>
      <c r="I36" s="42">
        <v>0</v>
      </c>
      <c r="J36" s="30" t="s">
        <v>182</v>
      </c>
      <c r="K36" s="42">
        <v>59048</v>
      </c>
      <c r="L36" s="131" t="s">
        <v>50</v>
      </c>
      <c r="M36" s="132">
        <f t="shared" si="0"/>
        <v>31177.344000000001</v>
      </c>
      <c r="N36" s="133" t="str">
        <f>VLOOKUP(C36,'Trips&amp;Operators'!$C$1:$G$99911,5,FALSE)</f>
        <v>SMITH MICHAEL</v>
      </c>
      <c r="O36" s="200" t="s">
        <v>180</v>
      </c>
      <c r="P36" s="134"/>
      <c r="Q36" s="30"/>
      <c r="R36" s="81" t="str">
        <f>VLOOKUP(C36,'Train Runs'!$A$13:$AE$9925,31,0)</f>
        <v>aws s3 cp s3://rtdc.mdm.uploadarchive.raw/RTDC4028/ "%USERPROFILE%\AppData\Local\Temp\OnboardLogs"\RTDC4028\2017-09-08 --exclude "*" --recursive --include "*20170908*" &amp; "%USERPROFILE%\Documents\GitHub\mrs-test-scripts\Headless Mode &amp; Sideloading\WalkAndUnGZ.bat" "%USERPROFILE%\AppData\Local\Temp\OnboardLogs"\RTDC4028\2017-09-08 &amp; aws s3 cp s3://rtdc.mdm.uploadarchive.raw/RTDC4028/ "%USERPROFILE%\AppData\Local\Temp\OnboardLogs"\RTDC4028\2017-09-09 --exclude "*" --recursive --include "*20170909*" &amp; "%USERPROFILE%\Documents\GitHub\mrs-test-scripts\Headless Mode &amp; Sideloading\WalkAndUnGZ.bat" "%USERPROFILE%\AppData\Local\Temp\OnboardLogs"\RTDC4028\2017-09-09</v>
      </c>
      <c r="S36" s="84" t="str">
        <f>VLOOKUP(C36,'Train Runs'!$A$13:$AE$9925,22,0)</f>
        <v>https://d0f6bd738d7f1b3e5a7ca70fe4ff75f0.us-east-1.aws.found.io/app/kibana#/discover/Steve-Slow-Train-Analysis-(2080s-and-2083s)?_g=(refreshInterval:(display:Off,pause:!f,section:0,value:0),time:(from:'2017-09-08T17:37:17-0600',mode:absolute,to:'2017-09-08T19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6" s="86" t="str">
        <f t="shared" si="1"/>
        <v>"C:\Program Files (x86)\AstroGrep\AstroGrep.exe" /e /r /s /spath="%USERPROFILE%\AppData\Local\Temp\OnboardLogs" /stypes="*4028*201709090*"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4028</v>
      </c>
      <c r="V36" s="31">
        <f t="shared" si="3"/>
        <v>42987.037800925929</v>
      </c>
      <c r="W36" s="45" t="str">
        <f t="shared" si="4"/>
        <v>NW</v>
      </c>
      <c r="X36" s="22">
        <f t="shared" si="5"/>
        <v>839</v>
      </c>
      <c r="Y36" s="96" t="str">
        <f t="shared" si="6"/>
        <v>echo {"issue":{"subject":"","project_id":79,"tracker_id":40,"status_id":1,"priority_id":2,"assigned_to_id":338,"start_date":"2017-09-08","description":"","custom_fields":[{"id":1,"name":"Subdivision","value":"NW"},{"id":4,"name":"Milepost","value":"5.9048"},{"id":17,"name":"Train ID","value":"839-08"},{"id":16,"name":"Locomotive ID","value":"4028"},{"id":130,"name":"Impact","value":""},{"id":150,"name":"Time of Event (Mountain Time)","value":"18:54:26"},{"id":151,"name":"Denver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/c/Users/stu/AppData/Local/Temp/OnboardLogs/RTDC4028 --include="*4028*201709090*"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"%USERPROFILE%\AppData\Local\Temp\OnboardLogs"\RTDC4028\*4028*201709090* &gt;&gt; 2017-09-08-SliceDisagreementCheck.txt</v>
      </c>
      <c r="AE36" s="145" t="str">
        <f t="shared" si="9"/>
        <v>start /low /b %USERPROFILE%\Documents\GitHub\eaglep3\Utilities\DownloadLogsFromS3.py --loco 4028 --day 2017-09-09</v>
      </c>
      <c r="AF36" s="1"/>
    </row>
    <row r="37" spans="1:32" x14ac:dyDescent="0.25">
      <c r="A37" s="31">
        <v>42986.974699074075</v>
      </c>
      <c r="B37" s="30" t="s">
        <v>382</v>
      </c>
      <c r="C37" s="30" t="s">
        <v>635</v>
      </c>
      <c r="D37" s="30" t="s">
        <v>49</v>
      </c>
      <c r="E37" s="30" t="s">
        <v>181</v>
      </c>
      <c r="F37" s="42">
        <v>0</v>
      </c>
      <c r="G37" s="42">
        <v>68</v>
      </c>
      <c r="H37" s="42">
        <v>58828</v>
      </c>
      <c r="I37" s="42">
        <v>58896</v>
      </c>
      <c r="J37" s="30" t="s">
        <v>182</v>
      </c>
      <c r="K37" s="42">
        <v>59048</v>
      </c>
      <c r="L37" s="131" t="s">
        <v>50</v>
      </c>
      <c r="M37" s="132">
        <f t="shared" si="0"/>
        <v>80.256</v>
      </c>
      <c r="N37" s="133" t="str">
        <f>VLOOKUP(C37,'Trips&amp;Operators'!$C$1:$G$99911,5,FALSE)</f>
        <v>SMITH MICHAEL</v>
      </c>
      <c r="O37" s="200" t="s">
        <v>180</v>
      </c>
      <c r="P37" s="134"/>
      <c r="Q37" s="30"/>
      <c r="R37" s="81" t="e">
        <f>VLOOKUP(C37,'Train Runs'!$A$13:$AE$9925,31,0)</f>
        <v>#N/A</v>
      </c>
      <c r="S37" s="84" t="e">
        <f>VLOOKUP(C37,'Train Runs'!$A$13:$AE$9925,22,0)</f>
        <v>#N/A</v>
      </c>
      <c r="T37" s="86" t="str">
        <f t="shared" si="1"/>
        <v>"C:\Program Files (x86)\AstroGrep\AstroGrep.exe" /e /r /s /spath="%USERPROFILE%\AppData\Local\Temp\OnboardLogs" /stypes="*4030*201709090*" /stext=" 05:.+((SYSTEM_STATE.+slice.+state.+changed )|(ment ac)|(multiple cpu faults)|(system.+state.+changed )|(\[timeout)|(PRM\|1\|D)|(kpr)|(kdp)|(train st.+moving)|(\|lc)|(penalty))"</v>
      </c>
      <c r="U37" s="9" t="str">
        <f t="shared" si="2"/>
        <v>4030</v>
      </c>
      <c r="V37" s="31">
        <f t="shared" si="3"/>
        <v>42987.224699074075</v>
      </c>
      <c r="W37" s="45" t="str">
        <f t="shared" si="4"/>
        <v>NW</v>
      </c>
      <c r="X37" s="22">
        <f t="shared" si="5"/>
        <v>849</v>
      </c>
      <c r="Y37" s="96" t="str">
        <f t="shared" si="6"/>
        <v>echo {"issue":{"subject":"","project_id":79,"tracker_id":40,"status_id":1,"priority_id":2,"assigned_to_id":338,"start_date":"2017-09-08","description":"","custom_fields":[{"id":1,"name":"Subdivision","value":"NW"},{"id":4,"name":"Milepost","value":"5.9048"},{"id":17,"name":"Train ID","value":"849-08"},{"id":16,"name":"Locomotive ID","value":"4030"},{"id":130,"name":"Impact","value":""},{"id":150,"name":"Time of Event (Mountain Time)","value":"23:23:34"},{"id":151,"name":"Denver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/c/Users/stu/AppData/Local/Temp/OnboardLogs/RTDC4030 --include="*4030*201709090*"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"%USERPROFILE%\AppData\Local\Temp\OnboardLogs"\RTDC4030\*4030*201709090* &gt;&gt; 2017-09-08-SliceDisagreementCheck.txt</v>
      </c>
      <c r="AE37" s="145" t="str">
        <f t="shared" si="9"/>
        <v>start /low /b %USERPROFILE%\Documents\GitHub\eaglep3\Utilities\DownloadLogsFromS3.py --loco 4030 --day 2017-09-09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37"/>
      <sortCondition ref="E7:E37"/>
      <sortCondition ref="K7:K37"/>
      <sortCondition ref="F7:F37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8"/>
  <sheetViews>
    <sheetView workbookViewId="0">
      <selection activeCell="A5" sqref="A5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2017-09-08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/>
      <c r="B3" s="42" t="str">
        <f>A3&amp;"-"&amp;IF(DAY(Variables!$A$2)&lt;10,0,"")&amp;DAY(Variables!$A$2)</f>
        <v>-08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" s="30" t="e">
        <f>VLOOKUP(B3,'Train Runs'!$A$13:$A$99922,1,FALSE)</f>
        <v>#N/A</v>
      </c>
    </row>
    <row r="4" spans="1:10" x14ac:dyDescent="0.25">
      <c r="A4" s="192"/>
      <c r="B4" s="42" t="str">
        <f>A4&amp;"-"&amp;IF(DAY(Variables!$A$2)&lt;10,0,"")&amp;DAY(Variables!$A$2)</f>
        <v>-08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ref="I4:I2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Runs'!$A$13:$A$99922,1,FALSE)</f>
        <v>#N/A</v>
      </c>
    </row>
    <row r="5" spans="1:10" x14ac:dyDescent="0.25">
      <c r="A5" s="192"/>
      <c r="B5" s="42" t="str">
        <f>A5&amp;"-"&amp;IF(DAY(Variables!$A$2)&lt;10,0,"")&amp;DAY(Variables!$A$2)</f>
        <v>-08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Runs'!$A$13:$A$99922,1,FALSE)</f>
        <v>#N/A</v>
      </c>
    </row>
    <row r="6" spans="1:10" x14ac:dyDescent="0.25">
      <c r="A6" s="192"/>
      <c r="B6" s="42" t="str">
        <f>A6&amp;"-"&amp;IF(DAY(Variables!$A$2)&lt;10,0,"")&amp;DAY(Variables!$A$2)</f>
        <v>-08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Runs'!$A$13:$A$99922,1,FALSE)</f>
        <v>#N/A</v>
      </c>
    </row>
    <row r="7" spans="1:10" x14ac:dyDescent="0.25">
      <c r="A7" s="192"/>
      <c r="B7" s="42" t="str">
        <f>A7&amp;"-"&amp;IF(DAY(Variables!$A$2)&lt;10,0,"")&amp;DAY(Variables!$A$2)</f>
        <v>-08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Runs'!$A$13:$A$99922,1,FALSE)</f>
        <v>#N/A</v>
      </c>
    </row>
    <row r="8" spans="1:10" x14ac:dyDescent="0.25">
      <c r="A8" s="192"/>
      <c r="B8" s="42" t="str">
        <f>A8&amp;"-"&amp;IF(DAY(Variables!$A$2)&lt;10,0,"")&amp;DAY(Variables!$A$2)</f>
        <v>-08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Runs'!$A$13:$A$99922,1,FALSE)</f>
        <v>#N/A</v>
      </c>
    </row>
    <row r="9" spans="1:10" x14ac:dyDescent="0.25">
      <c r="A9" s="192"/>
      <c r="B9" s="42" t="str">
        <f>A9&amp;"-"&amp;IF(DAY(Variables!$A$2)&lt;10,0,"")&amp;DAY(Variables!$A$2)</f>
        <v>-08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Runs'!$A$13:$A$99922,1,FALSE)</f>
        <v>#N/A</v>
      </c>
    </row>
    <row r="10" spans="1:10" x14ac:dyDescent="0.25">
      <c r="A10" s="192"/>
      <c r="B10" s="42" t="str">
        <f>A10&amp;"-"&amp;IF(DAY(Variables!$A$2)&lt;10,0,"")&amp;DAY(Variables!$A$2)</f>
        <v>-08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Runs'!$A$13:$A$99922,1,FALSE)</f>
        <v>#N/A</v>
      </c>
    </row>
    <row r="11" spans="1:10" x14ac:dyDescent="0.25">
      <c r="A11" s="192"/>
      <c r="B11" s="42" t="str">
        <f>A11&amp;"-"&amp;IF(DAY(Variables!$A$2)&lt;10,0,"")&amp;DAY(Variables!$A$2)</f>
        <v>-08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Runs'!$A$13:$A$99922,1,FALSE)</f>
        <v>#N/A</v>
      </c>
    </row>
    <row r="12" spans="1:10" x14ac:dyDescent="0.25">
      <c r="A12" s="192"/>
      <c r="B12" s="42" t="str">
        <f>A12&amp;"-"&amp;IF(DAY(Variables!$A$2)&lt;10,0,"")&amp;DAY(Variables!$A$2)</f>
        <v>-08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Runs'!$A$13:$A$99922,1,FALSE)</f>
        <v>#N/A</v>
      </c>
    </row>
    <row r="13" spans="1:10" x14ac:dyDescent="0.25">
      <c r="A13" s="192"/>
      <c r="B13" s="42" t="str">
        <f>A13&amp;"-"&amp;IF(DAY(Variables!$A$2)&lt;10,0,"")&amp;DAY(Variables!$A$2)</f>
        <v>-08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Runs'!$A$13:$A$99922,1,FALSE)</f>
        <v>#N/A</v>
      </c>
    </row>
    <row r="14" spans="1:10" x14ac:dyDescent="0.25">
      <c r="A14" s="192"/>
      <c r="B14" s="42" t="str">
        <f>A14&amp;"-"&amp;IF(DAY(Variables!$A$2)&lt;10,0,"")&amp;DAY(Variables!$A$2)</f>
        <v>-08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Runs'!$A$13:$A$99922,1,FALSE)</f>
        <v>#N/A</v>
      </c>
    </row>
    <row r="15" spans="1:10" x14ac:dyDescent="0.25">
      <c r="A15" s="192"/>
      <c r="B15" s="42" t="str">
        <f>A15&amp;"-"&amp;IF(DAY(Variables!$A$2)&lt;10,0,"")&amp;DAY(Variables!$A$2)</f>
        <v>-08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Runs'!$A$13:$A$99922,1,FALSE)</f>
        <v>#N/A</v>
      </c>
    </row>
    <row r="16" spans="1:10" x14ac:dyDescent="0.25">
      <c r="A16" s="192"/>
      <c r="B16" s="42" t="str">
        <f>A16&amp;"-"&amp;IF(DAY(Variables!$A$2)&lt;10,0,"")&amp;DAY(Variables!$A$2)</f>
        <v>-08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Runs'!$A$13:$A$99922,1,FALSE)</f>
        <v>#N/A</v>
      </c>
    </row>
    <row r="17" spans="1:10" x14ac:dyDescent="0.25">
      <c r="A17" s="192"/>
      <c r="B17" s="42" t="str">
        <f>A17&amp;"-"&amp;IF(DAY(Variables!$A$2)&lt;10,0,"")&amp;DAY(Variables!$A$2)</f>
        <v>-08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Runs'!$A$13:$A$99922,1,FALSE)</f>
        <v>#N/A</v>
      </c>
    </row>
    <row r="18" spans="1:10" x14ac:dyDescent="0.25">
      <c r="A18" s="192"/>
      <c r="B18" s="42" t="str">
        <f>A18&amp;"-"&amp;IF(DAY(Variables!$A$2)&lt;10,0,"")&amp;DAY(Variables!$A$2)</f>
        <v>-08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Runs'!$A$13:$A$99922,1,FALSE)</f>
        <v>#N/A</v>
      </c>
    </row>
    <row r="19" spans="1:10" x14ac:dyDescent="0.25">
      <c r="A19" s="192"/>
      <c r="B19" s="42" t="str">
        <f>A19&amp;"-"&amp;IF(DAY(Variables!$A$2)&lt;10,0,"")&amp;DAY(Variables!$A$2)</f>
        <v>-08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9" s="30" t="e">
        <f>VLOOKUP(B19,'Train Runs'!$A$13:$A$99922,1,FALSE)</f>
        <v>#N/A</v>
      </c>
    </row>
    <row r="20" spans="1:10" x14ac:dyDescent="0.25">
      <c r="A20" s="192"/>
      <c r="B20" s="42" t="str">
        <f>A20&amp;"-"&amp;IF(DAY(Variables!$A$2)&lt;10,0,"")&amp;DAY(Variables!$A$2)</f>
        <v>-08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0" s="30" t="e">
        <f>VLOOKUP(B20,'Train Runs'!$A$13:$A$99922,1,FALSE)</f>
        <v>#N/A</v>
      </c>
    </row>
    <row r="21" spans="1:10" x14ac:dyDescent="0.25">
      <c r="A21" s="192"/>
      <c r="B21" s="42" t="str">
        <f>A21&amp;"-"&amp;IF(DAY(Variables!$A$2)&lt;10,0,"")&amp;DAY(Variables!$A$2)</f>
        <v>-08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1" s="30" t="e">
        <f>VLOOKUP(B21,'Train Runs'!$A$13:$A$99922,1,FALSE)</f>
        <v>#N/A</v>
      </c>
    </row>
    <row r="22" spans="1:10" x14ac:dyDescent="0.25">
      <c r="A22" s="192"/>
      <c r="B22" s="42" t="str">
        <f>A22&amp;"-"&amp;IF(DAY(Variables!$A$2)&lt;10,0,"")&amp;DAY(Variables!$A$2)</f>
        <v>-08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2" s="30" t="e">
        <f>VLOOKUP(B22,'Train Runs'!$A$13:$A$99922,1,FALSE)</f>
        <v>#N/A</v>
      </c>
    </row>
    <row r="23" spans="1:10" x14ac:dyDescent="0.25">
      <c r="A23" s="192"/>
      <c r="B23" s="42"/>
      <c r="C23" s="135"/>
      <c r="D23" s="153"/>
      <c r="E23" s="30"/>
      <c r="F23" s="21"/>
      <c r="G23" s="21"/>
      <c r="H23" s="29"/>
      <c r="I23" s="45"/>
      <c r="J23" s="30"/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</sheetData>
  <autoFilter ref="A2:J30"/>
  <sortState ref="A3:J109">
    <sortCondition ref="A3:A10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73"/>
  <sheetViews>
    <sheetView topLeftCell="A233" workbookViewId="0">
      <selection sqref="A1:F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42986.034548611111</v>
      </c>
      <c r="B2" s="20" t="s">
        <v>422</v>
      </c>
      <c r="C2" s="20" t="s">
        <v>563</v>
      </c>
      <c r="D2" s="138">
        <v>2540000</v>
      </c>
      <c r="E2" s="20" t="s">
        <v>561</v>
      </c>
      <c r="F2" s="20" t="s">
        <v>562</v>
      </c>
      <c r="G2" s="8" t="str">
        <f>E2&amp;" "&amp;F2</f>
        <v>MCREYNOLDS KYLE</v>
      </c>
    </row>
    <row r="3" spans="1:7" x14ac:dyDescent="0.25">
      <c r="A3" s="8">
        <v>42986.046412037038</v>
      </c>
      <c r="B3" s="20" t="s">
        <v>552</v>
      </c>
      <c r="C3" s="20" t="s">
        <v>564</v>
      </c>
      <c r="D3" s="138">
        <v>890000</v>
      </c>
      <c r="E3" s="20" t="s">
        <v>376</v>
      </c>
      <c r="F3" s="20" t="s">
        <v>377</v>
      </c>
      <c r="G3" s="8" t="str">
        <f t="shared" ref="G3:G66" si="0">E3&amp;" "&amp;F3</f>
        <v>LOZA FIDEL</v>
      </c>
    </row>
    <row r="4" spans="1:7" x14ac:dyDescent="0.25">
      <c r="A4" s="8">
        <v>42986.047164351854</v>
      </c>
      <c r="B4" s="20" t="s">
        <v>469</v>
      </c>
      <c r="C4" s="20" t="s">
        <v>565</v>
      </c>
      <c r="D4" s="138">
        <v>2620000</v>
      </c>
      <c r="E4" s="20" t="s">
        <v>448</v>
      </c>
      <c r="F4" s="20" t="s">
        <v>449</v>
      </c>
      <c r="G4" s="8" t="str">
        <f t="shared" si="0"/>
        <v>PERKINS DARREN</v>
      </c>
    </row>
    <row r="5" spans="1:7" x14ac:dyDescent="0.25">
      <c r="A5" s="8">
        <v>42986.068425925929</v>
      </c>
      <c r="B5" s="20" t="s">
        <v>425</v>
      </c>
      <c r="C5" s="20" t="s">
        <v>566</v>
      </c>
      <c r="D5" s="138">
        <v>2540000</v>
      </c>
      <c r="E5" s="20" t="s">
        <v>561</v>
      </c>
      <c r="F5" s="20" t="s">
        <v>562</v>
      </c>
      <c r="G5" s="8" t="str">
        <f t="shared" si="0"/>
        <v>MCREYNOLDS KYLE</v>
      </c>
    </row>
    <row r="6" spans="1:7" x14ac:dyDescent="0.25">
      <c r="A6" s="8">
        <v>42986.091238425928</v>
      </c>
      <c r="B6" s="20" t="s">
        <v>476</v>
      </c>
      <c r="C6" s="20" t="s">
        <v>567</v>
      </c>
      <c r="D6" s="138">
        <v>2620000</v>
      </c>
      <c r="E6" s="20" t="s">
        <v>448</v>
      </c>
      <c r="F6" s="20" t="s">
        <v>449</v>
      </c>
      <c r="G6" s="8" t="str">
        <f t="shared" si="0"/>
        <v>PERKINS DARREN</v>
      </c>
    </row>
    <row r="7" spans="1:7" x14ac:dyDescent="0.25">
      <c r="A7" s="8">
        <v>42986.11</v>
      </c>
      <c r="B7" s="20" t="s">
        <v>470</v>
      </c>
      <c r="C7" s="20" t="s">
        <v>568</v>
      </c>
      <c r="D7" s="138">
        <v>1830000</v>
      </c>
      <c r="E7" s="20" t="s">
        <v>395</v>
      </c>
      <c r="F7" s="20" t="s">
        <v>396</v>
      </c>
      <c r="G7" s="8" t="str">
        <f t="shared" si="0"/>
        <v>YORK EDGAR</v>
      </c>
    </row>
    <row r="8" spans="1:7" x14ac:dyDescent="0.25">
      <c r="A8" s="8">
        <v>42986.126689814817</v>
      </c>
      <c r="B8" s="20" t="s">
        <v>609</v>
      </c>
      <c r="C8" s="20" t="s">
        <v>638</v>
      </c>
      <c r="D8" s="138">
        <v>1830000</v>
      </c>
      <c r="E8" s="20" t="s">
        <v>395</v>
      </c>
      <c r="F8" s="20" t="s">
        <v>396</v>
      </c>
      <c r="G8" s="8" t="str">
        <f t="shared" si="0"/>
        <v>YORK EDGAR</v>
      </c>
    </row>
    <row r="9" spans="1:7" ht="15.75" thickBot="1" x14ac:dyDescent="0.3">
      <c r="A9" s="24">
        <v>42986.127916666665</v>
      </c>
      <c r="B9" s="20" t="s">
        <v>471</v>
      </c>
      <c r="C9" s="20" t="s">
        <v>639</v>
      </c>
      <c r="D9" s="138">
        <v>1090000</v>
      </c>
      <c r="E9" s="20" t="s">
        <v>392</v>
      </c>
      <c r="F9" s="20" t="s">
        <v>191</v>
      </c>
      <c r="G9" s="8" t="str">
        <f t="shared" si="0"/>
        <v>SPECTOR MICHAEL</v>
      </c>
    </row>
    <row r="10" spans="1:7" x14ac:dyDescent="0.25">
      <c r="A10" s="8">
        <v>42986.139768518522</v>
      </c>
      <c r="B10" s="20" t="s">
        <v>470</v>
      </c>
      <c r="C10" s="20" t="s">
        <v>640</v>
      </c>
      <c r="D10" s="138">
        <v>1090000</v>
      </c>
      <c r="E10" s="20" t="s">
        <v>392</v>
      </c>
      <c r="F10" s="20" t="s">
        <v>191</v>
      </c>
      <c r="G10" s="8" t="str">
        <f t="shared" si="0"/>
        <v>SPECTOR MICHAEL</v>
      </c>
    </row>
    <row r="11" spans="1:7" x14ac:dyDescent="0.25">
      <c r="A11" s="8">
        <v>42986.139907407407</v>
      </c>
      <c r="B11" s="20" t="s">
        <v>428</v>
      </c>
      <c r="C11" s="20" t="s">
        <v>641</v>
      </c>
      <c r="D11" s="138">
        <v>2010000</v>
      </c>
      <c r="E11" s="20" t="s">
        <v>549</v>
      </c>
      <c r="F11" s="20" t="s">
        <v>550</v>
      </c>
      <c r="G11" s="8" t="str">
        <f t="shared" si="0"/>
        <v>MAELZER KURT</v>
      </c>
    </row>
    <row r="12" spans="1:7" x14ac:dyDescent="0.25">
      <c r="A12" s="8">
        <v>42986.15084490741</v>
      </c>
      <c r="B12" s="20" t="s">
        <v>479</v>
      </c>
      <c r="C12" s="20" t="s">
        <v>642</v>
      </c>
      <c r="D12" s="138">
        <v>2010000</v>
      </c>
      <c r="E12" s="20" t="s">
        <v>549</v>
      </c>
      <c r="F12" s="20" t="s">
        <v>550</v>
      </c>
      <c r="G12" s="8" t="str">
        <f t="shared" si="0"/>
        <v>MAELZER KURT</v>
      </c>
    </row>
    <row r="13" spans="1:7" x14ac:dyDescent="0.25">
      <c r="A13" s="8">
        <v>42986.161180555559</v>
      </c>
      <c r="B13" s="20" t="s">
        <v>597</v>
      </c>
      <c r="C13" s="20" t="s">
        <v>598</v>
      </c>
      <c r="D13" s="138">
        <v>1830000</v>
      </c>
      <c r="E13" s="20" t="s">
        <v>395</v>
      </c>
      <c r="F13" s="20" t="s">
        <v>396</v>
      </c>
      <c r="G13" s="8" t="str">
        <f t="shared" si="0"/>
        <v>YORK EDGAR</v>
      </c>
    </row>
    <row r="14" spans="1:7" x14ac:dyDescent="0.25">
      <c r="A14" s="8">
        <v>42986.161423611113</v>
      </c>
      <c r="B14" s="20" t="s">
        <v>643</v>
      </c>
      <c r="C14" s="20" t="s">
        <v>644</v>
      </c>
      <c r="D14" s="138">
        <v>940000</v>
      </c>
      <c r="E14" s="20" t="s">
        <v>393</v>
      </c>
      <c r="F14" s="20" t="s">
        <v>394</v>
      </c>
      <c r="G14" s="8" t="str">
        <f t="shared" si="0"/>
        <v>BONDS REYNALDO</v>
      </c>
    </row>
    <row r="15" spans="1:7" x14ac:dyDescent="0.25">
      <c r="A15" s="8">
        <v>42986.172824074078</v>
      </c>
      <c r="B15" s="20" t="s">
        <v>423</v>
      </c>
      <c r="C15" s="20" t="s">
        <v>645</v>
      </c>
      <c r="D15" s="138">
        <v>3510000</v>
      </c>
      <c r="E15" s="20" t="s">
        <v>439</v>
      </c>
      <c r="F15" s="20" t="s">
        <v>440</v>
      </c>
      <c r="G15" s="8" t="str">
        <f t="shared" si="0"/>
        <v>BARRON PERLA</v>
      </c>
    </row>
    <row r="16" spans="1:7" x14ac:dyDescent="0.25">
      <c r="A16" s="8">
        <v>42986.176539351851</v>
      </c>
      <c r="B16" s="20" t="s">
        <v>633</v>
      </c>
      <c r="C16" s="20" t="s">
        <v>646</v>
      </c>
      <c r="D16" s="138">
        <v>940000</v>
      </c>
      <c r="E16" s="20" t="s">
        <v>393</v>
      </c>
      <c r="F16" s="20" t="s">
        <v>394</v>
      </c>
      <c r="G16" s="8" t="str">
        <f t="shared" si="0"/>
        <v>BONDS REYNALDO</v>
      </c>
    </row>
    <row r="17" spans="1:7" x14ac:dyDescent="0.25">
      <c r="A17" s="8">
        <v>42986.180277777778</v>
      </c>
      <c r="B17" s="20" t="s">
        <v>647</v>
      </c>
      <c r="C17" s="20" t="s">
        <v>648</v>
      </c>
      <c r="D17" s="138">
        <v>1990000</v>
      </c>
      <c r="E17" s="20" t="s">
        <v>346</v>
      </c>
      <c r="F17" s="20" t="s">
        <v>473</v>
      </c>
      <c r="G17" s="8" t="str">
        <f t="shared" si="0"/>
        <v>DAVIS WENDY</v>
      </c>
    </row>
    <row r="18" spans="1:7" x14ac:dyDescent="0.25">
      <c r="A18" s="8">
        <v>42986.184282407405</v>
      </c>
      <c r="B18" s="20" t="s">
        <v>424</v>
      </c>
      <c r="C18" s="20" t="s">
        <v>649</v>
      </c>
      <c r="D18" s="138">
        <v>3510000</v>
      </c>
      <c r="E18" s="20" t="s">
        <v>439</v>
      </c>
      <c r="F18" s="20" t="s">
        <v>440</v>
      </c>
      <c r="G18" s="8" t="str">
        <f t="shared" si="0"/>
        <v>BARRON PERLA</v>
      </c>
    </row>
    <row r="19" spans="1:7" x14ac:dyDescent="0.25">
      <c r="A19" s="8">
        <v>42986.18650462963</v>
      </c>
      <c r="B19" s="20" t="s">
        <v>428</v>
      </c>
      <c r="C19" s="20" t="s">
        <v>650</v>
      </c>
      <c r="D19" s="138">
        <v>2010000</v>
      </c>
      <c r="E19" s="20" t="s">
        <v>549</v>
      </c>
      <c r="F19" s="20" t="s">
        <v>550</v>
      </c>
      <c r="G19" s="8" t="str">
        <f t="shared" si="0"/>
        <v>MAELZER KURT</v>
      </c>
    </row>
    <row r="20" spans="1:7" x14ac:dyDescent="0.25">
      <c r="A20" s="8">
        <v>42986.193506944444</v>
      </c>
      <c r="B20" s="20" t="s">
        <v>599</v>
      </c>
      <c r="C20" s="20" t="s">
        <v>651</v>
      </c>
      <c r="D20" s="138">
        <v>1990000</v>
      </c>
      <c r="E20" s="20" t="s">
        <v>346</v>
      </c>
      <c r="F20" s="20" t="s">
        <v>473</v>
      </c>
      <c r="G20" s="8" t="str">
        <f t="shared" si="0"/>
        <v>DAVIS WENDY</v>
      </c>
    </row>
    <row r="21" spans="1:7" x14ac:dyDescent="0.25">
      <c r="A21" s="8">
        <v>42986.19809027778</v>
      </c>
      <c r="B21" s="20" t="s">
        <v>614</v>
      </c>
      <c r="C21" s="20" t="s">
        <v>652</v>
      </c>
      <c r="D21" s="138">
        <v>2560000</v>
      </c>
      <c r="E21" s="20" t="s">
        <v>653</v>
      </c>
      <c r="F21" s="20" t="s">
        <v>654</v>
      </c>
      <c r="G21" s="8" t="str">
        <f t="shared" si="0"/>
        <v>MACDONALD THOMAS</v>
      </c>
    </row>
    <row r="22" spans="1:7" x14ac:dyDescent="0.25">
      <c r="A22" s="26">
        <v>42986.198460648149</v>
      </c>
      <c r="B22" s="20" t="s">
        <v>602</v>
      </c>
      <c r="C22" s="20" t="s">
        <v>655</v>
      </c>
      <c r="D22" s="138">
        <v>3040000</v>
      </c>
      <c r="E22" s="20" t="s">
        <v>553</v>
      </c>
      <c r="F22" s="20" t="s">
        <v>554</v>
      </c>
      <c r="G22" s="8" t="str">
        <f t="shared" si="0"/>
        <v>WILLIAMS DONTE</v>
      </c>
    </row>
    <row r="23" spans="1:7" x14ac:dyDescent="0.25">
      <c r="A23" s="8">
        <v>42986.202245370368</v>
      </c>
      <c r="B23" s="20" t="s">
        <v>609</v>
      </c>
      <c r="C23" s="20" t="s">
        <v>656</v>
      </c>
      <c r="D23" s="138">
        <v>1830000</v>
      </c>
      <c r="E23" s="20" t="s">
        <v>395</v>
      </c>
      <c r="F23" s="20" t="s">
        <v>396</v>
      </c>
      <c r="G23" s="8" t="str">
        <f t="shared" si="0"/>
        <v>YORK EDGAR</v>
      </c>
    </row>
    <row r="24" spans="1:7" x14ac:dyDescent="0.25">
      <c r="A24" s="8">
        <v>42986.212939814817</v>
      </c>
      <c r="B24" s="20" t="s">
        <v>643</v>
      </c>
      <c r="C24" s="20" t="s">
        <v>657</v>
      </c>
      <c r="D24" s="138">
        <v>940000</v>
      </c>
      <c r="E24" s="20" t="s">
        <v>393</v>
      </c>
      <c r="F24" s="20" t="s">
        <v>394</v>
      </c>
      <c r="G24" s="8" t="str">
        <f t="shared" si="0"/>
        <v>BONDS REYNALDO</v>
      </c>
    </row>
    <row r="25" spans="1:7" x14ac:dyDescent="0.25">
      <c r="A25" s="8">
        <v>42986.21303240741</v>
      </c>
      <c r="B25" s="20" t="s">
        <v>626</v>
      </c>
      <c r="C25" s="20" t="s">
        <v>658</v>
      </c>
      <c r="D25" s="138">
        <v>3040000</v>
      </c>
      <c r="E25" s="20" t="s">
        <v>553</v>
      </c>
      <c r="F25" s="20" t="s">
        <v>554</v>
      </c>
      <c r="G25" s="8" t="str">
        <f t="shared" si="0"/>
        <v>WILLIAMS DONTE</v>
      </c>
    </row>
    <row r="26" spans="1:7" x14ac:dyDescent="0.25">
      <c r="A26" s="8">
        <v>42986.213379629633</v>
      </c>
      <c r="B26" s="20" t="s">
        <v>607</v>
      </c>
      <c r="C26" s="20" t="s">
        <v>659</v>
      </c>
      <c r="D26" s="138">
        <v>2560000</v>
      </c>
      <c r="E26" s="20" t="s">
        <v>653</v>
      </c>
      <c r="F26" s="20" t="s">
        <v>654</v>
      </c>
      <c r="G26" s="8" t="str">
        <f t="shared" si="0"/>
        <v>MACDONALD THOMAS</v>
      </c>
    </row>
    <row r="27" spans="1:7" x14ac:dyDescent="0.25">
      <c r="A27" s="8">
        <v>42986.216469907406</v>
      </c>
      <c r="B27" s="20" t="s">
        <v>468</v>
      </c>
      <c r="C27" s="20" t="s">
        <v>660</v>
      </c>
      <c r="D27" s="138">
        <v>3500000</v>
      </c>
      <c r="E27" s="20" t="s">
        <v>399</v>
      </c>
      <c r="F27" s="20" t="s">
        <v>400</v>
      </c>
      <c r="G27" s="8" t="str">
        <f t="shared" si="0"/>
        <v>GUNTHIER ERIC</v>
      </c>
    </row>
    <row r="28" spans="1:7" x14ac:dyDescent="0.25">
      <c r="A28" s="8">
        <v>42986.22252314815</v>
      </c>
      <c r="B28" s="20" t="s">
        <v>423</v>
      </c>
      <c r="C28" s="20" t="s">
        <v>661</v>
      </c>
      <c r="D28" s="138">
        <v>3510000</v>
      </c>
      <c r="E28" s="20" t="s">
        <v>439</v>
      </c>
      <c r="F28" s="20" t="s">
        <v>440</v>
      </c>
      <c r="G28" s="8" t="str">
        <f t="shared" si="0"/>
        <v>BARRON PERLA</v>
      </c>
    </row>
    <row r="29" spans="1:7" x14ac:dyDescent="0.25">
      <c r="A29" s="8">
        <v>42986.226655092592</v>
      </c>
      <c r="B29" s="20" t="s">
        <v>479</v>
      </c>
      <c r="C29" s="20" t="s">
        <v>662</v>
      </c>
      <c r="D29" s="138">
        <v>2010000</v>
      </c>
      <c r="E29" s="20" t="s">
        <v>549</v>
      </c>
      <c r="F29" s="20" t="s">
        <v>550</v>
      </c>
      <c r="G29" s="8" t="str">
        <f t="shared" si="0"/>
        <v>MAELZER KURT</v>
      </c>
    </row>
    <row r="30" spans="1:7" x14ac:dyDescent="0.25">
      <c r="A30" s="8">
        <v>42986.22760416667</v>
      </c>
      <c r="B30" s="20" t="s">
        <v>647</v>
      </c>
      <c r="C30" s="20" t="s">
        <v>663</v>
      </c>
      <c r="D30" s="138">
        <v>1990000</v>
      </c>
      <c r="E30" s="20" t="s">
        <v>346</v>
      </c>
      <c r="F30" s="20" t="s">
        <v>473</v>
      </c>
      <c r="G30" s="8" t="str">
        <f t="shared" si="0"/>
        <v>DAVIS WENDY</v>
      </c>
    </row>
    <row r="31" spans="1:7" x14ac:dyDescent="0.25">
      <c r="A31" s="8">
        <v>42986.23332175926</v>
      </c>
      <c r="B31" s="20" t="s">
        <v>602</v>
      </c>
      <c r="C31" s="20" t="s">
        <v>664</v>
      </c>
      <c r="D31" s="138">
        <v>3040000</v>
      </c>
      <c r="E31" s="20" t="s">
        <v>553</v>
      </c>
      <c r="F31" s="20" t="s">
        <v>554</v>
      </c>
      <c r="G31" s="8" t="str">
        <f t="shared" si="0"/>
        <v>WILLIAMS DONTE</v>
      </c>
    </row>
    <row r="32" spans="1:7" x14ac:dyDescent="0.25">
      <c r="A32" s="8">
        <v>42986.234652777777</v>
      </c>
      <c r="B32" s="20" t="s">
        <v>597</v>
      </c>
      <c r="C32" s="20" t="s">
        <v>665</v>
      </c>
      <c r="D32" s="138">
        <v>1830000</v>
      </c>
      <c r="E32" s="20" t="s">
        <v>395</v>
      </c>
      <c r="F32" s="20" t="s">
        <v>396</v>
      </c>
      <c r="G32" s="8" t="str">
        <f t="shared" si="0"/>
        <v>YORK EDGAR</v>
      </c>
    </row>
    <row r="33" spans="1:7" x14ac:dyDescent="0.25">
      <c r="A33" s="8">
        <v>42986.234675925924</v>
      </c>
      <c r="B33" s="20" t="s">
        <v>414</v>
      </c>
      <c r="C33" s="20" t="s">
        <v>666</v>
      </c>
      <c r="D33" s="138">
        <v>3500000</v>
      </c>
      <c r="E33" s="20" t="s">
        <v>399</v>
      </c>
      <c r="F33" s="20" t="s">
        <v>400</v>
      </c>
      <c r="G33" s="8" t="str">
        <f t="shared" si="0"/>
        <v>GUNTHIER ERIC</v>
      </c>
    </row>
    <row r="34" spans="1:7" x14ac:dyDescent="0.25">
      <c r="A34" s="8">
        <v>42986.240057870367</v>
      </c>
      <c r="B34" s="20" t="s">
        <v>612</v>
      </c>
      <c r="C34" s="20" t="s">
        <v>667</v>
      </c>
      <c r="D34" s="138">
        <v>2530000</v>
      </c>
      <c r="E34" s="20" t="s">
        <v>668</v>
      </c>
      <c r="F34" s="20" t="s">
        <v>669</v>
      </c>
      <c r="G34" s="8" t="str">
        <f t="shared" si="0"/>
        <v>LALONDE GREGORY</v>
      </c>
    </row>
    <row r="35" spans="1:7" x14ac:dyDescent="0.25">
      <c r="A35" s="8">
        <v>42986.24726851852</v>
      </c>
      <c r="B35" s="20" t="s">
        <v>633</v>
      </c>
      <c r="C35" s="20" t="s">
        <v>670</v>
      </c>
      <c r="D35" s="138">
        <v>3300000</v>
      </c>
      <c r="E35" s="20" t="s">
        <v>671</v>
      </c>
      <c r="F35" s="20" t="s">
        <v>672</v>
      </c>
      <c r="G35" s="8" t="str">
        <f t="shared" si="0"/>
        <v>LANGERAK WILLIAM</v>
      </c>
    </row>
    <row r="36" spans="1:7" x14ac:dyDescent="0.25">
      <c r="A36" s="8">
        <v>42986.247685185182</v>
      </c>
      <c r="B36" s="20" t="s">
        <v>626</v>
      </c>
      <c r="C36" s="20" t="s">
        <v>673</v>
      </c>
      <c r="D36" s="138">
        <v>3040000</v>
      </c>
      <c r="E36" s="20" t="s">
        <v>553</v>
      </c>
      <c r="F36" s="20" t="s">
        <v>554</v>
      </c>
      <c r="G36" s="8" t="str">
        <f t="shared" si="0"/>
        <v>WILLIAMS DONTE</v>
      </c>
    </row>
    <row r="37" spans="1:7" x14ac:dyDescent="0.25">
      <c r="A37" s="8">
        <v>42986.254733796297</v>
      </c>
      <c r="B37" s="20" t="s">
        <v>614</v>
      </c>
      <c r="C37" s="20" t="s">
        <v>674</v>
      </c>
      <c r="D37" s="138">
        <v>2560000</v>
      </c>
      <c r="E37" s="20" t="s">
        <v>653</v>
      </c>
      <c r="F37" s="20" t="s">
        <v>654</v>
      </c>
      <c r="G37" s="8" t="str">
        <f t="shared" si="0"/>
        <v>MACDONALD THOMAS</v>
      </c>
    </row>
    <row r="38" spans="1:7" x14ac:dyDescent="0.25">
      <c r="A38" s="8">
        <v>42986.254780092589</v>
      </c>
      <c r="B38" s="20" t="s">
        <v>382</v>
      </c>
      <c r="C38" s="20" t="s">
        <v>675</v>
      </c>
      <c r="D38" s="138">
        <v>2530000</v>
      </c>
      <c r="E38" s="20" t="s">
        <v>668</v>
      </c>
      <c r="F38" s="20" t="s">
        <v>669</v>
      </c>
      <c r="G38" s="8" t="str">
        <f t="shared" si="0"/>
        <v>LALONDE GREGORY</v>
      </c>
    </row>
    <row r="39" spans="1:7" x14ac:dyDescent="0.25">
      <c r="A39" s="8">
        <v>42986.25608796296</v>
      </c>
      <c r="B39" s="20" t="s">
        <v>424</v>
      </c>
      <c r="C39" s="20" t="s">
        <v>676</v>
      </c>
      <c r="D39" s="138">
        <v>3510000</v>
      </c>
      <c r="E39" s="20" t="s">
        <v>439</v>
      </c>
      <c r="F39" s="20" t="s">
        <v>440</v>
      </c>
      <c r="G39" s="8" t="str">
        <f t="shared" si="0"/>
        <v>BARRON PERLA</v>
      </c>
    </row>
    <row r="40" spans="1:7" x14ac:dyDescent="0.25">
      <c r="A40" s="8">
        <v>42986.264918981484</v>
      </c>
      <c r="B40" s="25" t="s">
        <v>428</v>
      </c>
      <c r="C40" s="20" t="s">
        <v>677</v>
      </c>
      <c r="D40" s="138">
        <v>2010000</v>
      </c>
      <c r="E40" s="20" t="s">
        <v>549</v>
      </c>
      <c r="F40" s="20" t="s">
        <v>550</v>
      </c>
      <c r="G40" s="8" t="str">
        <f t="shared" si="0"/>
        <v>MAELZER KURT</v>
      </c>
    </row>
    <row r="41" spans="1:7" x14ac:dyDescent="0.25">
      <c r="A41" s="8">
        <v>42986.267789351848</v>
      </c>
      <c r="B41" s="20" t="s">
        <v>599</v>
      </c>
      <c r="C41" s="20" t="s">
        <v>600</v>
      </c>
      <c r="D41" s="138">
        <v>1990000</v>
      </c>
      <c r="E41" s="20" t="s">
        <v>346</v>
      </c>
      <c r="F41" s="20" t="s">
        <v>473</v>
      </c>
      <c r="G41" s="8" t="str">
        <f t="shared" si="0"/>
        <v>DAVIS WENDY</v>
      </c>
    </row>
    <row r="42" spans="1:7" x14ac:dyDescent="0.25">
      <c r="A42" s="8">
        <v>42986.269074074073</v>
      </c>
      <c r="B42" s="20" t="s">
        <v>612</v>
      </c>
      <c r="C42" s="20" t="s">
        <v>678</v>
      </c>
      <c r="D42" s="138">
        <v>2530000</v>
      </c>
      <c r="E42" s="20" t="s">
        <v>668</v>
      </c>
      <c r="F42" s="20" t="s">
        <v>669</v>
      </c>
      <c r="G42" s="8" t="str">
        <f t="shared" si="0"/>
        <v>LALONDE GREGORY</v>
      </c>
    </row>
    <row r="43" spans="1:7" x14ac:dyDescent="0.25">
      <c r="A43" s="8">
        <v>42986.275081018517</v>
      </c>
      <c r="B43" s="20" t="s">
        <v>602</v>
      </c>
      <c r="C43" s="20" t="s">
        <v>679</v>
      </c>
      <c r="D43" s="138">
        <v>3040000</v>
      </c>
      <c r="E43" s="20" t="s">
        <v>553</v>
      </c>
      <c r="F43" s="20" t="s">
        <v>554</v>
      </c>
      <c r="G43" s="8" t="str">
        <f t="shared" si="0"/>
        <v>WILLIAMS DONTE</v>
      </c>
    </row>
    <row r="44" spans="1:7" x14ac:dyDescent="0.25">
      <c r="A44" s="8">
        <v>42986.275312500002</v>
      </c>
      <c r="B44" s="20" t="s">
        <v>609</v>
      </c>
      <c r="C44" s="20" t="s">
        <v>680</v>
      </c>
      <c r="D44" s="138">
        <v>1830000</v>
      </c>
      <c r="E44" s="20" t="s">
        <v>395</v>
      </c>
      <c r="F44" s="20" t="s">
        <v>396</v>
      </c>
      <c r="G44" s="8" t="str">
        <f t="shared" si="0"/>
        <v>YORK EDGAR</v>
      </c>
    </row>
    <row r="45" spans="1:7" x14ac:dyDescent="0.25">
      <c r="A45" s="8">
        <v>42986.276458333334</v>
      </c>
      <c r="B45" s="20" t="s">
        <v>468</v>
      </c>
      <c r="C45" s="20" t="s">
        <v>601</v>
      </c>
      <c r="D45" s="138">
        <v>3500000</v>
      </c>
      <c r="E45" s="20" t="s">
        <v>399</v>
      </c>
      <c r="F45" s="20" t="s">
        <v>400</v>
      </c>
      <c r="G45" s="8" t="str">
        <f t="shared" si="0"/>
        <v>GUNTHIER ERIC</v>
      </c>
    </row>
    <row r="46" spans="1:7" x14ac:dyDescent="0.25">
      <c r="A46" s="8">
        <v>42986.278796296298</v>
      </c>
      <c r="B46" s="20" t="s">
        <v>643</v>
      </c>
      <c r="C46" s="20" t="s">
        <v>681</v>
      </c>
      <c r="D46" s="138">
        <v>3300000</v>
      </c>
      <c r="E46" s="20" t="s">
        <v>671</v>
      </c>
      <c r="F46" s="20" t="s">
        <v>672</v>
      </c>
      <c r="G46" s="8" t="str">
        <f t="shared" si="0"/>
        <v>LANGERAK WILLIAM</v>
      </c>
    </row>
    <row r="47" spans="1:7" x14ac:dyDescent="0.25">
      <c r="A47" s="8">
        <v>42986.289467592593</v>
      </c>
      <c r="B47" s="20" t="s">
        <v>626</v>
      </c>
      <c r="C47" s="20" t="s">
        <v>682</v>
      </c>
      <c r="D47" s="138">
        <v>3040000</v>
      </c>
      <c r="E47" s="20" t="s">
        <v>553</v>
      </c>
      <c r="F47" s="20" t="s">
        <v>554</v>
      </c>
      <c r="G47" s="8" t="str">
        <f t="shared" si="0"/>
        <v>WILLIAMS DONTE</v>
      </c>
    </row>
    <row r="48" spans="1:7" x14ac:dyDescent="0.25">
      <c r="A48" s="8">
        <v>42986.290196759262</v>
      </c>
      <c r="B48" s="20" t="s">
        <v>607</v>
      </c>
      <c r="C48" s="20" t="s">
        <v>683</v>
      </c>
      <c r="D48" s="138">
        <v>2560000</v>
      </c>
      <c r="E48" s="20" t="s">
        <v>653</v>
      </c>
      <c r="F48" s="20" t="s">
        <v>654</v>
      </c>
      <c r="G48" s="8" t="str">
        <f t="shared" si="0"/>
        <v>MACDONALD THOMAS</v>
      </c>
    </row>
    <row r="49" spans="1:7" x14ac:dyDescent="0.25">
      <c r="A49" s="8">
        <v>42986.294282407405</v>
      </c>
      <c r="B49" s="20" t="s">
        <v>382</v>
      </c>
      <c r="C49" s="20" t="s">
        <v>684</v>
      </c>
      <c r="D49" s="138">
        <v>3180000</v>
      </c>
      <c r="E49" s="20" t="s">
        <v>685</v>
      </c>
      <c r="F49" s="20" t="s">
        <v>686</v>
      </c>
      <c r="G49" s="8" t="str">
        <f t="shared" si="0"/>
        <v>HUFFSMITH MONTY</v>
      </c>
    </row>
    <row r="50" spans="1:7" x14ac:dyDescent="0.25">
      <c r="A50" s="8">
        <v>42986.297673611109</v>
      </c>
      <c r="B50" s="20" t="s">
        <v>423</v>
      </c>
      <c r="C50" s="20" t="s">
        <v>687</v>
      </c>
      <c r="D50" s="138">
        <v>3510000</v>
      </c>
      <c r="E50" s="20" t="s">
        <v>439</v>
      </c>
      <c r="F50" s="20" t="s">
        <v>440</v>
      </c>
      <c r="G50" s="8" t="str">
        <f t="shared" si="0"/>
        <v>BARRON PERLA</v>
      </c>
    </row>
    <row r="51" spans="1:7" x14ac:dyDescent="0.25">
      <c r="A51" s="8">
        <v>42986.297893518517</v>
      </c>
      <c r="B51" s="20" t="s">
        <v>479</v>
      </c>
      <c r="C51" s="20" t="s">
        <v>688</v>
      </c>
      <c r="D51" s="138">
        <v>2010000</v>
      </c>
      <c r="E51" s="20" t="s">
        <v>549</v>
      </c>
      <c r="F51" s="20" t="s">
        <v>550</v>
      </c>
      <c r="G51" s="8" t="str">
        <f t="shared" si="0"/>
        <v>MAELZER KURT</v>
      </c>
    </row>
    <row r="52" spans="1:7" x14ac:dyDescent="0.25">
      <c r="A52" s="8">
        <v>42986.302175925928</v>
      </c>
      <c r="B52" s="20" t="s">
        <v>647</v>
      </c>
      <c r="C52" s="20" t="s">
        <v>689</v>
      </c>
      <c r="D52" s="138">
        <v>1990000</v>
      </c>
      <c r="E52" s="20" t="s">
        <v>346</v>
      </c>
      <c r="F52" s="20" t="s">
        <v>473</v>
      </c>
      <c r="G52" s="8" t="str">
        <f t="shared" si="0"/>
        <v>DAVIS WENDY</v>
      </c>
    </row>
    <row r="53" spans="1:7" x14ac:dyDescent="0.25">
      <c r="A53" s="8">
        <v>42986.306504629632</v>
      </c>
      <c r="B53" s="20" t="s">
        <v>597</v>
      </c>
      <c r="C53" s="20" t="s">
        <v>604</v>
      </c>
      <c r="D53" s="138">
        <v>1830000</v>
      </c>
      <c r="E53" s="20" t="s">
        <v>395</v>
      </c>
      <c r="F53" s="20" t="s">
        <v>396</v>
      </c>
      <c r="G53" s="8" t="str">
        <f t="shared" si="0"/>
        <v>YORK EDGAR</v>
      </c>
    </row>
    <row r="54" spans="1:7" x14ac:dyDescent="0.25">
      <c r="A54" s="8">
        <v>42986.309421296297</v>
      </c>
      <c r="B54" s="20" t="s">
        <v>414</v>
      </c>
      <c r="C54" s="20" t="s">
        <v>690</v>
      </c>
      <c r="D54" s="138">
        <v>3030000</v>
      </c>
      <c r="E54" s="20" t="s">
        <v>691</v>
      </c>
      <c r="F54" s="20" t="s">
        <v>654</v>
      </c>
      <c r="G54" s="8" t="str">
        <f t="shared" si="0"/>
        <v>BIRENBAUM THOMAS</v>
      </c>
    </row>
    <row r="55" spans="1:7" x14ac:dyDescent="0.25">
      <c r="A55" s="8">
        <v>42986.310949074075</v>
      </c>
      <c r="B55" s="20" t="s">
        <v>612</v>
      </c>
      <c r="C55" s="20" t="s">
        <v>692</v>
      </c>
      <c r="D55" s="138">
        <v>3180000</v>
      </c>
      <c r="E55" s="20" t="s">
        <v>685</v>
      </c>
      <c r="F55" s="20" t="s">
        <v>686</v>
      </c>
      <c r="G55" s="8" t="str">
        <f t="shared" si="0"/>
        <v>HUFFSMITH MONTY</v>
      </c>
    </row>
    <row r="56" spans="1:7" x14ac:dyDescent="0.25">
      <c r="A56" s="8">
        <v>42986.316678240742</v>
      </c>
      <c r="B56" s="20" t="s">
        <v>602</v>
      </c>
      <c r="C56" s="20" t="s">
        <v>603</v>
      </c>
      <c r="D56" s="138">
        <v>3040000</v>
      </c>
      <c r="E56" s="20" t="s">
        <v>553</v>
      </c>
      <c r="F56" s="20" t="s">
        <v>554</v>
      </c>
      <c r="G56" s="8" t="str">
        <f t="shared" si="0"/>
        <v>WILLIAMS DONTE</v>
      </c>
    </row>
    <row r="57" spans="1:7" x14ac:dyDescent="0.25">
      <c r="A57" s="8">
        <v>42986.320601851854</v>
      </c>
      <c r="B57" s="20" t="s">
        <v>633</v>
      </c>
      <c r="C57" s="20" t="s">
        <v>693</v>
      </c>
      <c r="D57" s="138">
        <v>3260000</v>
      </c>
      <c r="E57" s="20" t="s">
        <v>477</v>
      </c>
      <c r="F57" s="20" t="s">
        <v>478</v>
      </c>
      <c r="G57" s="8" t="str">
        <f t="shared" si="0"/>
        <v>PAGE MARCUS</v>
      </c>
    </row>
    <row r="58" spans="1:7" x14ac:dyDescent="0.25">
      <c r="A58" s="8">
        <v>42986.330601851849</v>
      </c>
      <c r="B58" s="20" t="s">
        <v>614</v>
      </c>
      <c r="C58" s="20" t="s">
        <v>694</v>
      </c>
      <c r="D58" s="138">
        <v>2560000</v>
      </c>
      <c r="E58" s="20" t="s">
        <v>653</v>
      </c>
      <c r="F58" s="20" t="s">
        <v>654</v>
      </c>
      <c r="G58" s="8" t="str">
        <f t="shared" si="0"/>
        <v>MACDONALD THOMAS</v>
      </c>
    </row>
    <row r="59" spans="1:7" x14ac:dyDescent="0.25">
      <c r="A59" s="8">
        <v>42986.33152777778</v>
      </c>
      <c r="B59" s="20" t="s">
        <v>424</v>
      </c>
      <c r="C59" s="20" t="s">
        <v>695</v>
      </c>
      <c r="D59" s="138">
        <v>3510000</v>
      </c>
      <c r="E59" s="20" t="s">
        <v>439</v>
      </c>
      <c r="F59" s="20" t="s">
        <v>440</v>
      </c>
      <c r="G59" s="8" t="str">
        <f t="shared" si="0"/>
        <v>BARRON PERLA</v>
      </c>
    </row>
    <row r="60" spans="1:7" x14ac:dyDescent="0.25">
      <c r="A60" s="8">
        <v>42986.33153935185</v>
      </c>
      <c r="B60" s="20" t="s">
        <v>626</v>
      </c>
      <c r="C60" s="20" t="s">
        <v>696</v>
      </c>
      <c r="D60" s="138">
        <v>3040000</v>
      </c>
      <c r="E60" s="20" t="s">
        <v>553</v>
      </c>
      <c r="F60" s="20" t="s">
        <v>554</v>
      </c>
      <c r="G60" s="8" t="str">
        <f t="shared" si="0"/>
        <v>WILLIAMS DONTE</v>
      </c>
    </row>
    <row r="61" spans="1:7" x14ac:dyDescent="0.25">
      <c r="A61" s="8">
        <v>42986.332361111112</v>
      </c>
      <c r="B61" s="20" t="s">
        <v>428</v>
      </c>
      <c r="C61" s="20" t="s">
        <v>697</v>
      </c>
      <c r="D61" s="138">
        <v>2010000</v>
      </c>
      <c r="E61" s="20" t="s">
        <v>549</v>
      </c>
      <c r="F61" s="20" t="s">
        <v>550</v>
      </c>
      <c r="G61" s="8" t="str">
        <f t="shared" si="0"/>
        <v>MAELZER KURT</v>
      </c>
    </row>
    <row r="62" spans="1:7" x14ac:dyDescent="0.25">
      <c r="A62" s="8">
        <v>42986.333275462966</v>
      </c>
      <c r="B62" s="20" t="s">
        <v>382</v>
      </c>
      <c r="C62" s="20" t="s">
        <v>698</v>
      </c>
      <c r="D62" s="138">
        <v>2530000</v>
      </c>
      <c r="E62" s="20" t="s">
        <v>668</v>
      </c>
      <c r="F62" s="20" t="s">
        <v>669</v>
      </c>
      <c r="G62" s="8" t="str">
        <f t="shared" si="0"/>
        <v>LALONDE GREGORY</v>
      </c>
    </row>
    <row r="63" spans="1:7" x14ac:dyDescent="0.25">
      <c r="A63" s="8">
        <v>42986.339861111112</v>
      </c>
      <c r="B63" s="20" t="s">
        <v>599</v>
      </c>
      <c r="C63" s="20" t="s">
        <v>606</v>
      </c>
      <c r="D63" s="138">
        <v>1990000</v>
      </c>
      <c r="E63" s="20" t="s">
        <v>346</v>
      </c>
      <c r="F63" s="20" t="s">
        <v>473</v>
      </c>
      <c r="G63" s="8" t="str">
        <f t="shared" si="0"/>
        <v>DAVIS WENDY</v>
      </c>
    </row>
    <row r="64" spans="1:7" x14ac:dyDescent="0.25">
      <c r="A64" s="26">
        <v>42986.347986111112</v>
      </c>
      <c r="B64" s="20" t="s">
        <v>609</v>
      </c>
      <c r="C64" s="20" t="s">
        <v>699</v>
      </c>
      <c r="D64" s="138">
        <v>1830000</v>
      </c>
      <c r="E64" s="20" t="s">
        <v>395</v>
      </c>
      <c r="F64" s="20" t="s">
        <v>396</v>
      </c>
      <c r="G64" s="8" t="str">
        <f t="shared" si="0"/>
        <v>YORK EDGAR</v>
      </c>
    </row>
    <row r="65" spans="1:7" x14ac:dyDescent="0.25">
      <c r="A65" s="8">
        <v>42986.348275462966</v>
      </c>
      <c r="B65" s="20" t="s">
        <v>468</v>
      </c>
      <c r="C65" s="20" t="s">
        <v>700</v>
      </c>
      <c r="D65" s="138">
        <v>3030000</v>
      </c>
      <c r="E65" s="20" t="s">
        <v>691</v>
      </c>
      <c r="F65" s="20" t="s">
        <v>654</v>
      </c>
      <c r="G65" s="8" t="str">
        <f t="shared" si="0"/>
        <v>BIRENBAUM THOMAS</v>
      </c>
    </row>
    <row r="66" spans="1:7" x14ac:dyDescent="0.25">
      <c r="A66" s="8">
        <v>42986.354247685187</v>
      </c>
      <c r="B66" s="20" t="s">
        <v>602</v>
      </c>
      <c r="C66" s="20" t="s">
        <v>701</v>
      </c>
      <c r="D66" s="138">
        <v>3040000</v>
      </c>
      <c r="E66" s="20" t="s">
        <v>553</v>
      </c>
      <c r="F66" s="20" t="s">
        <v>554</v>
      </c>
      <c r="G66" s="8" t="str">
        <f t="shared" si="0"/>
        <v>WILLIAMS DONTE</v>
      </c>
    </row>
    <row r="67" spans="1:7" x14ac:dyDescent="0.25">
      <c r="A67" s="8">
        <v>42986.355509259258</v>
      </c>
      <c r="B67" s="20" t="s">
        <v>612</v>
      </c>
      <c r="C67" s="20" t="s">
        <v>702</v>
      </c>
      <c r="D67" s="138">
        <v>2530000</v>
      </c>
      <c r="E67" s="20" t="s">
        <v>668</v>
      </c>
      <c r="F67" s="20" t="s">
        <v>669</v>
      </c>
      <c r="G67" s="8" t="str">
        <f t="shared" ref="G67:G130" si="1">E67&amp;" "&amp;F67</f>
        <v>LALONDE GREGORY</v>
      </c>
    </row>
    <row r="68" spans="1:7" x14ac:dyDescent="0.25">
      <c r="A68" s="8">
        <v>42986.36042824074</v>
      </c>
      <c r="B68" s="20" t="s">
        <v>643</v>
      </c>
      <c r="C68" s="20" t="s">
        <v>703</v>
      </c>
      <c r="D68" s="138">
        <v>3260000</v>
      </c>
      <c r="E68" s="20" t="s">
        <v>477</v>
      </c>
      <c r="F68" s="20" t="s">
        <v>478</v>
      </c>
      <c r="G68" s="8" t="str">
        <f t="shared" si="1"/>
        <v>PAGE MARCUS</v>
      </c>
    </row>
    <row r="69" spans="1:7" x14ac:dyDescent="0.25">
      <c r="A69" s="8">
        <v>42986.364201388889</v>
      </c>
      <c r="B69" s="20" t="s">
        <v>607</v>
      </c>
      <c r="C69" s="20" t="s">
        <v>704</v>
      </c>
      <c r="D69" s="138">
        <v>2560000</v>
      </c>
      <c r="E69" s="20" t="s">
        <v>653</v>
      </c>
      <c r="F69" s="20" t="s">
        <v>654</v>
      </c>
      <c r="G69" s="8" t="str">
        <f t="shared" si="1"/>
        <v>MACDONALD THOMAS</v>
      </c>
    </row>
    <row r="70" spans="1:7" x14ac:dyDescent="0.25">
      <c r="A70" s="8">
        <v>42986.369849537034</v>
      </c>
      <c r="B70" s="20" t="s">
        <v>423</v>
      </c>
      <c r="C70" s="20" t="s">
        <v>705</v>
      </c>
      <c r="D70" s="138">
        <v>3510000</v>
      </c>
      <c r="E70" s="20" t="s">
        <v>439</v>
      </c>
      <c r="F70" s="20" t="s">
        <v>440</v>
      </c>
      <c r="G70" s="8" t="str">
        <f t="shared" si="1"/>
        <v>BARRON PERLA</v>
      </c>
    </row>
    <row r="71" spans="1:7" x14ac:dyDescent="0.25">
      <c r="A71" s="8">
        <v>42986.371377314812</v>
      </c>
      <c r="B71" s="20" t="s">
        <v>479</v>
      </c>
      <c r="C71" s="20" t="s">
        <v>706</v>
      </c>
      <c r="D71" s="138">
        <v>2010000</v>
      </c>
      <c r="E71" s="20" t="s">
        <v>549</v>
      </c>
      <c r="F71" s="20" t="s">
        <v>550</v>
      </c>
      <c r="G71" s="8" t="str">
        <f t="shared" si="1"/>
        <v>MAELZER KURT</v>
      </c>
    </row>
    <row r="72" spans="1:7" x14ac:dyDescent="0.25">
      <c r="A72" s="8">
        <v>42986.373067129629</v>
      </c>
      <c r="B72" s="20" t="s">
        <v>382</v>
      </c>
      <c r="C72" s="20" t="s">
        <v>707</v>
      </c>
      <c r="D72" s="138">
        <v>2530000</v>
      </c>
      <c r="E72" s="20" t="s">
        <v>668</v>
      </c>
      <c r="F72" s="20" t="s">
        <v>669</v>
      </c>
      <c r="G72" s="8" t="str">
        <f t="shared" si="1"/>
        <v>LALONDE GREGORY</v>
      </c>
    </row>
    <row r="73" spans="1:7" x14ac:dyDescent="0.25">
      <c r="A73" s="8">
        <v>42986.376550925925</v>
      </c>
      <c r="B73" s="20" t="s">
        <v>647</v>
      </c>
      <c r="C73" s="20" t="s">
        <v>708</v>
      </c>
      <c r="D73" s="138">
        <v>1990000</v>
      </c>
      <c r="E73" s="20" t="s">
        <v>346</v>
      </c>
      <c r="F73" s="20" t="s">
        <v>473</v>
      </c>
      <c r="G73" s="8" t="str">
        <f t="shared" si="1"/>
        <v>DAVIS WENDY</v>
      </c>
    </row>
    <row r="74" spans="1:7" x14ac:dyDescent="0.25">
      <c r="A74" s="8">
        <v>42986.379849537036</v>
      </c>
      <c r="B74" s="20" t="s">
        <v>597</v>
      </c>
      <c r="C74" s="20" t="s">
        <v>709</v>
      </c>
      <c r="D74" s="138">
        <v>1830000</v>
      </c>
      <c r="E74" s="20" t="s">
        <v>395</v>
      </c>
      <c r="F74" s="20" t="s">
        <v>396</v>
      </c>
      <c r="G74" s="8" t="str">
        <f t="shared" si="1"/>
        <v>YORK EDGAR</v>
      </c>
    </row>
    <row r="75" spans="1:7" x14ac:dyDescent="0.25">
      <c r="A75" s="8">
        <v>42986.38071759259</v>
      </c>
      <c r="B75" s="20" t="s">
        <v>414</v>
      </c>
      <c r="C75" s="20" t="s">
        <v>710</v>
      </c>
      <c r="D75" s="138">
        <v>1230000</v>
      </c>
      <c r="E75" s="20" t="s">
        <v>711</v>
      </c>
      <c r="F75" s="20" t="s">
        <v>712</v>
      </c>
      <c r="G75" s="8" t="str">
        <f t="shared" si="1"/>
        <v>YANAI IAN</v>
      </c>
    </row>
    <row r="76" spans="1:7" x14ac:dyDescent="0.25">
      <c r="A76" s="8">
        <v>42986.390497685185</v>
      </c>
      <c r="B76" s="20" t="s">
        <v>633</v>
      </c>
      <c r="C76" s="20" t="s">
        <v>713</v>
      </c>
      <c r="D76" s="138">
        <v>940000</v>
      </c>
      <c r="E76" s="20" t="s">
        <v>393</v>
      </c>
      <c r="F76" s="20" t="s">
        <v>394</v>
      </c>
      <c r="G76" s="8" t="str">
        <f t="shared" si="1"/>
        <v>BONDS REYNALDO</v>
      </c>
    </row>
    <row r="77" spans="1:7" x14ac:dyDescent="0.25">
      <c r="A77" s="8">
        <v>42986.392430555556</v>
      </c>
      <c r="B77" s="20" t="s">
        <v>612</v>
      </c>
      <c r="C77" s="20" t="s">
        <v>714</v>
      </c>
      <c r="D77" s="138">
        <v>2530000</v>
      </c>
      <c r="E77" s="20" t="s">
        <v>668</v>
      </c>
      <c r="F77" s="20" t="s">
        <v>669</v>
      </c>
      <c r="G77" s="8" t="str">
        <f t="shared" si="1"/>
        <v>LALONDE GREGORY</v>
      </c>
    </row>
    <row r="78" spans="1:7" x14ac:dyDescent="0.25">
      <c r="A78" s="8">
        <v>42986.403171296297</v>
      </c>
      <c r="B78" s="20" t="s">
        <v>424</v>
      </c>
      <c r="C78" s="20" t="s">
        <v>715</v>
      </c>
      <c r="D78" s="138">
        <v>3510000</v>
      </c>
      <c r="E78" s="20" t="s">
        <v>439</v>
      </c>
      <c r="F78" s="20" t="s">
        <v>440</v>
      </c>
      <c r="G78" s="8" t="str">
        <f t="shared" si="1"/>
        <v>BARRON PERLA</v>
      </c>
    </row>
    <row r="79" spans="1:7" x14ac:dyDescent="0.25">
      <c r="A79" s="8">
        <v>42986.404027777775</v>
      </c>
      <c r="B79" s="20" t="s">
        <v>614</v>
      </c>
      <c r="C79" s="20" t="s">
        <v>716</v>
      </c>
      <c r="D79" s="138">
        <v>2560000</v>
      </c>
      <c r="E79" s="20" t="s">
        <v>653</v>
      </c>
      <c r="F79" s="20" t="s">
        <v>654</v>
      </c>
      <c r="G79" s="8" t="str">
        <f t="shared" si="1"/>
        <v>MACDONALD THOMAS</v>
      </c>
    </row>
    <row r="80" spans="1:7" x14ac:dyDescent="0.25">
      <c r="A80" s="8">
        <v>42986.406168981484</v>
      </c>
      <c r="B80" s="20" t="s">
        <v>428</v>
      </c>
      <c r="C80" s="20" t="s">
        <v>717</v>
      </c>
      <c r="D80" s="138">
        <v>2010000</v>
      </c>
      <c r="E80" s="20" t="s">
        <v>549</v>
      </c>
      <c r="F80" s="20" t="s">
        <v>550</v>
      </c>
      <c r="G80" s="8" t="str">
        <f t="shared" si="1"/>
        <v>MAELZER KURT</v>
      </c>
    </row>
    <row r="81" spans="1:7" x14ac:dyDescent="0.25">
      <c r="A81" s="8">
        <v>42986.41170138889</v>
      </c>
      <c r="B81" s="20" t="s">
        <v>468</v>
      </c>
      <c r="C81" s="20" t="s">
        <v>718</v>
      </c>
      <c r="D81" s="138">
        <v>1230000</v>
      </c>
      <c r="E81" s="20" t="s">
        <v>711</v>
      </c>
      <c r="F81" s="20" t="s">
        <v>712</v>
      </c>
      <c r="G81" s="8" t="str">
        <f t="shared" si="1"/>
        <v>YANAI IAN</v>
      </c>
    </row>
    <row r="82" spans="1:7" x14ac:dyDescent="0.25">
      <c r="A82" s="8">
        <v>42986.414907407408</v>
      </c>
      <c r="B82" s="20" t="s">
        <v>599</v>
      </c>
      <c r="C82" s="20" t="s">
        <v>719</v>
      </c>
      <c r="D82" s="138">
        <v>1990000</v>
      </c>
      <c r="E82" s="20" t="s">
        <v>346</v>
      </c>
      <c r="F82" s="20" t="s">
        <v>473</v>
      </c>
      <c r="G82" s="8" t="str">
        <f t="shared" si="1"/>
        <v>DAVIS WENDY</v>
      </c>
    </row>
    <row r="83" spans="1:7" x14ac:dyDescent="0.25">
      <c r="A83" s="8">
        <v>42986.415347222224</v>
      </c>
      <c r="B83" s="20" t="s">
        <v>382</v>
      </c>
      <c r="C83" s="20" t="s">
        <v>720</v>
      </c>
      <c r="D83" s="138">
        <v>2530000</v>
      </c>
      <c r="E83" s="20" t="s">
        <v>668</v>
      </c>
      <c r="F83" s="20" t="s">
        <v>669</v>
      </c>
      <c r="G83" s="8" t="str">
        <f t="shared" si="1"/>
        <v>LALONDE GREGORY</v>
      </c>
    </row>
    <row r="84" spans="1:7" x14ac:dyDescent="0.25">
      <c r="A84" s="8">
        <v>42986.423113425924</v>
      </c>
      <c r="B84" s="20" t="s">
        <v>609</v>
      </c>
      <c r="C84" s="20" t="s">
        <v>610</v>
      </c>
      <c r="D84" s="138">
        <v>3040000</v>
      </c>
      <c r="E84" s="20" t="s">
        <v>553</v>
      </c>
      <c r="F84" s="20" t="s">
        <v>554</v>
      </c>
      <c r="G84" s="8" t="str">
        <f t="shared" si="1"/>
        <v>WILLIAMS DONTE</v>
      </c>
    </row>
    <row r="85" spans="1:7" x14ac:dyDescent="0.25">
      <c r="A85" s="8">
        <v>42986.432442129626</v>
      </c>
      <c r="B85" s="20" t="s">
        <v>643</v>
      </c>
      <c r="C85" s="20" t="s">
        <v>721</v>
      </c>
      <c r="D85" s="138">
        <v>940000</v>
      </c>
      <c r="E85" s="20" t="s">
        <v>393</v>
      </c>
      <c r="F85" s="20" t="s">
        <v>394</v>
      </c>
      <c r="G85" s="8" t="str">
        <f t="shared" si="1"/>
        <v>BONDS REYNALDO</v>
      </c>
    </row>
    <row r="86" spans="1:7" x14ac:dyDescent="0.25">
      <c r="A86" s="8">
        <v>42986.437349537038</v>
      </c>
      <c r="B86" s="20" t="s">
        <v>607</v>
      </c>
      <c r="C86" s="20" t="s">
        <v>608</v>
      </c>
      <c r="D86" s="138">
        <v>2560000</v>
      </c>
      <c r="E86" s="20" t="s">
        <v>653</v>
      </c>
      <c r="F86" s="20" t="s">
        <v>654</v>
      </c>
      <c r="G86" s="8" t="str">
        <f t="shared" si="1"/>
        <v>MACDONALD THOMAS</v>
      </c>
    </row>
    <row r="87" spans="1:7" x14ac:dyDescent="0.25">
      <c r="A87" s="8">
        <v>42986.437847222223</v>
      </c>
      <c r="B87" s="20" t="s">
        <v>612</v>
      </c>
      <c r="C87" s="20" t="s">
        <v>722</v>
      </c>
      <c r="D87" s="138">
        <v>2530000</v>
      </c>
      <c r="E87" s="20" t="s">
        <v>668</v>
      </c>
      <c r="F87" s="20" t="s">
        <v>669</v>
      </c>
      <c r="G87" s="8" t="str">
        <f t="shared" si="1"/>
        <v>LALONDE GREGORY</v>
      </c>
    </row>
    <row r="88" spans="1:7" x14ac:dyDescent="0.25">
      <c r="A88" s="8">
        <v>42986.44059027778</v>
      </c>
      <c r="B88" s="20" t="s">
        <v>423</v>
      </c>
      <c r="C88" s="20" t="s">
        <v>723</v>
      </c>
      <c r="D88" s="138">
        <v>3510000</v>
      </c>
      <c r="E88" s="20" t="s">
        <v>439</v>
      </c>
      <c r="F88" s="20" t="s">
        <v>440</v>
      </c>
      <c r="G88" s="8" t="str">
        <f t="shared" si="1"/>
        <v>BARRON PERLA</v>
      </c>
    </row>
    <row r="89" spans="1:7" x14ac:dyDescent="0.25">
      <c r="A89" s="8">
        <v>42986.44295138889</v>
      </c>
      <c r="B89" s="20" t="s">
        <v>551</v>
      </c>
      <c r="C89" s="20" t="s">
        <v>639</v>
      </c>
      <c r="D89" s="138">
        <v>1810000</v>
      </c>
      <c r="E89" s="20" t="s">
        <v>443</v>
      </c>
      <c r="F89" s="20" t="s">
        <v>403</v>
      </c>
      <c r="G89" s="8" t="str">
        <f t="shared" si="1"/>
        <v>NEWELL JAMES</v>
      </c>
    </row>
    <row r="90" spans="1:7" x14ac:dyDescent="0.25">
      <c r="A90" s="8">
        <v>42986.445821759262</v>
      </c>
      <c r="B90" s="20" t="s">
        <v>479</v>
      </c>
      <c r="C90" s="20" t="s">
        <v>724</v>
      </c>
      <c r="D90" s="138">
        <v>2550000</v>
      </c>
      <c r="E90" s="20" t="s">
        <v>559</v>
      </c>
      <c r="F90" s="20" t="s">
        <v>560</v>
      </c>
      <c r="G90" s="8" t="str">
        <f t="shared" si="1"/>
        <v>BADERTSCHER DIANE</v>
      </c>
    </row>
    <row r="91" spans="1:7" x14ac:dyDescent="0.25">
      <c r="A91" s="8">
        <v>42986.451608796298</v>
      </c>
      <c r="B91" s="20" t="s">
        <v>647</v>
      </c>
      <c r="C91" s="20" t="s">
        <v>725</v>
      </c>
      <c r="D91" s="138">
        <v>1990000</v>
      </c>
      <c r="E91" s="20" t="s">
        <v>346</v>
      </c>
      <c r="F91" s="20" t="s">
        <v>473</v>
      </c>
      <c r="G91" s="8" t="str">
        <f t="shared" si="1"/>
        <v>DAVIS WENDY</v>
      </c>
    </row>
    <row r="92" spans="1:7" x14ac:dyDescent="0.25">
      <c r="A92" s="8">
        <v>42986.454953703702</v>
      </c>
      <c r="B92" s="20" t="s">
        <v>414</v>
      </c>
      <c r="C92" s="20" t="s">
        <v>726</v>
      </c>
      <c r="D92" s="138">
        <v>1230000</v>
      </c>
      <c r="E92" s="20" t="s">
        <v>711</v>
      </c>
      <c r="F92" s="20" t="s">
        <v>712</v>
      </c>
      <c r="G92" s="8" t="str">
        <f t="shared" si="1"/>
        <v>YANAI IAN</v>
      </c>
    </row>
    <row r="93" spans="1:7" x14ac:dyDescent="0.25">
      <c r="A93" s="8">
        <v>42986.458657407406</v>
      </c>
      <c r="B93" s="20" t="s">
        <v>382</v>
      </c>
      <c r="C93" s="20" t="s">
        <v>611</v>
      </c>
      <c r="D93" s="138">
        <v>2530000</v>
      </c>
      <c r="E93" s="20" t="s">
        <v>668</v>
      </c>
      <c r="F93" s="20" t="s">
        <v>669</v>
      </c>
      <c r="G93" s="8" t="str">
        <f t="shared" si="1"/>
        <v>LALONDE GREGORY</v>
      </c>
    </row>
    <row r="94" spans="1:7" x14ac:dyDescent="0.25">
      <c r="A94" s="8">
        <v>42986.462789351855</v>
      </c>
      <c r="B94" s="20" t="s">
        <v>597</v>
      </c>
      <c r="C94" s="20" t="s">
        <v>727</v>
      </c>
      <c r="D94" s="138">
        <v>3040000</v>
      </c>
      <c r="E94" s="20" t="s">
        <v>553</v>
      </c>
      <c r="F94" s="20" t="s">
        <v>554</v>
      </c>
      <c r="G94" s="8" t="str">
        <f t="shared" si="1"/>
        <v>WILLIAMS DONTE</v>
      </c>
    </row>
    <row r="95" spans="1:7" x14ac:dyDescent="0.25">
      <c r="A95" s="8">
        <v>42986.467060185183</v>
      </c>
      <c r="B95" s="20" t="s">
        <v>633</v>
      </c>
      <c r="C95" s="20" t="s">
        <v>728</v>
      </c>
      <c r="D95" s="138">
        <v>2630000</v>
      </c>
      <c r="E95" s="20" t="s">
        <v>729</v>
      </c>
      <c r="F95" s="20" t="s">
        <v>730</v>
      </c>
      <c r="G95" s="8" t="str">
        <f t="shared" si="1"/>
        <v>SAFIEF AEIMEN</v>
      </c>
    </row>
    <row r="96" spans="1:7" x14ac:dyDescent="0.25">
      <c r="A96" s="8">
        <v>42986.475289351853</v>
      </c>
      <c r="B96" s="20" t="s">
        <v>614</v>
      </c>
      <c r="C96" s="20" t="s">
        <v>615</v>
      </c>
      <c r="D96" s="138">
        <v>2560000</v>
      </c>
      <c r="E96" s="20" t="s">
        <v>653</v>
      </c>
      <c r="F96" s="20" t="s">
        <v>654</v>
      </c>
      <c r="G96" s="8" t="str">
        <f t="shared" si="1"/>
        <v>MACDONALD THOMAS</v>
      </c>
    </row>
    <row r="97" spans="1:7" x14ac:dyDescent="0.25">
      <c r="A97" s="8">
        <v>42986.477488425924</v>
      </c>
      <c r="B97" s="20" t="s">
        <v>424</v>
      </c>
      <c r="C97" s="20" t="s">
        <v>731</v>
      </c>
      <c r="D97" s="138">
        <v>1770000</v>
      </c>
      <c r="E97" s="20" t="s">
        <v>441</v>
      </c>
      <c r="F97" s="20" t="s">
        <v>442</v>
      </c>
      <c r="G97" s="8" t="str">
        <f t="shared" si="1"/>
        <v>BRUDER RICHARD</v>
      </c>
    </row>
    <row r="98" spans="1:7" x14ac:dyDescent="0.25">
      <c r="A98" s="8">
        <v>42986.478148148148</v>
      </c>
      <c r="B98" s="20" t="s">
        <v>548</v>
      </c>
      <c r="C98" s="20" t="s">
        <v>639</v>
      </c>
      <c r="D98" s="138">
        <v>1780000</v>
      </c>
      <c r="E98" s="20" t="s">
        <v>474</v>
      </c>
      <c r="F98" s="20" t="s">
        <v>475</v>
      </c>
      <c r="G98" s="8" t="str">
        <f t="shared" si="1"/>
        <v>DE LA ROSA ALEX</v>
      </c>
    </row>
    <row r="99" spans="1:7" x14ac:dyDescent="0.25">
      <c r="A99" s="8">
        <v>42986.481504629628</v>
      </c>
      <c r="B99" s="20" t="s">
        <v>428</v>
      </c>
      <c r="C99" s="20" t="s">
        <v>616</v>
      </c>
      <c r="D99" s="138">
        <v>2550000</v>
      </c>
      <c r="E99" s="20" t="s">
        <v>559</v>
      </c>
      <c r="F99" s="20" t="s">
        <v>560</v>
      </c>
      <c r="G99" s="8" t="str">
        <f t="shared" si="1"/>
        <v>BADERTSCHER DIANE</v>
      </c>
    </row>
    <row r="100" spans="1:7" x14ac:dyDescent="0.25">
      <c r="A100" s="8">
        <v>42986.482233796298</v>
      </c>
      <c r="B100" s="20" t="s">
        <v>612</v>
      </c>
      <c r="C100" s="20" t="s">
        <v>613</v>
      </c>
      <c r="D100" s="138">
        <v>2530000</v>
      </c>
      <c r="E100" s="20" t="s">
        <v>668</v>
      </c>
      <c r="F100" s="20" t="s">
        <v>669</v>
      </c>
      <c r="G100" s="8" t="str">
        <f t="shared" si="1"/>
        <v>LALONDE GREGORY</v>
      </c>
    </row>
    <row r="101" spans="1:7" x14ac:dyDescent="0.25">
      <c r="A101" s="8">
        <v>42986.483298611114</v>
      </c>
      <c r="B101" s="20" t="s">
        <v>428</v>
      </c>
      <c r="C101" s="20" t="s">
        <v>616</v>
      </c>
      <c r="D101" s="138">
        <v>2550000</v>
      </c>
      <c r="E101" s="20" t="s">
        <v>559</v>
      </c>
      <c r="F101" s="20" t="s">
        <v>560</v>
      </c>
      <c r="G101" s="8" t="str">
        <f t="shared" si="1"/>
        <v>BADERTSCHER DIANE</v>
      </c>
    </row>
    <row r="102" spans="1:7" x14ac:dyDescent="0.25">
      <c r="A102" s="8">
        <v>42986.48777777778</v>
      </c>
      <c r="B102" s="20" t="s">
        <v>468</v>
      </c>
      <c r="C102" s="20" t="s">
        <v>732</v>
      </c>
      <c r="D102" s="138">
        <v>1230000</v>
      </c>
      <c r="E102" s="20" t="s">
        <v>711</v>
      </c>
      <c r="F102" s="20" t="s">
        <v>712</v>
      </c>
      <c r="G102" s="8" t="str">
        <f t="shared" si="1"/>
        <v>YANAI IAN</v>
      </c>
    </row>
    <row r="103" spans="1:7" x14ac:dyDescent="0.25">
      <c r="A103" s="8">
        <v>42986.488483796296</v>
      </c>
      <c r="B103" s="20" t="s">
        <v>599</v>
      </c>
      <c r="C103" s="20" t="s">
        <v>733</v>
      </c>
      <c r="D103" s="138">
        <v>3490000</v>
      </c>
      <c r="E103" s="20" t="s">
        <v>378</v>
      </c>
      <c r="F103" s="20" t="s">
        <v>379</v>
      </c>
      <c r="G103" s="8" t="str">
        <f t="shared" si="1"/>
        <v>WEST BRYAN</v>
      </c>
    </row>
    <row r="104" spans="1:7" x14ac:dyDescent="0.25">
      <c r="A104" s="8">
        <v>42986.497013888889</v>
      </c>
      <c r="B104" s="20" t="s">
        <v>609</v>
      </c>
      <c r="C104" s="20" t="s">
        <v>734</v>
      </c>
      <c r="D104" s="138">
        <v>3000000</v>
      </c>
      <c r="E104" s="20" t="s">
        <v>383</v>
      </c>
      <c r="F104" s="20" t="s">
        <v>384</v>
      </c>
      <c r="G104" s="8" t="str">
        <f t="shared" si="1"/>
        <v>FORTUNATO FRANK</v>
      </c>
    </row>
    <row r="105" spans="1:7" x14ac:dyDescent="0.25">
      <c r="A105" s="8">
        <v>42986.497303240743</v>
      </c>
      <c r="B105" s="20" t="s">
        <v>643</v>
      </c>
      <c r="C105" s="20" t="s">
        <v>735</v>
      </c>
      <c r="D105" s="138">
        <v>2630000</v>
      </c>
      <c r="E105" s="20" t="s">
        <v>729</v>
      </c>
      <c r="F105" s="20" t="s">
        <v>730</v>
      </c>
      <c r="G105" s="8" t="str">
        <f t="shared" si="1"/>
        <v>SAFIEF AEIMEN</v>
      </c>
    </row>
    <row r="106" spans="1:7" x14ac:dyDescent="0.25">
      <c r="A106" s="8">
        <v>42986.499189814815</v>
      </c>
      <c r="B106" s="20" t="s">
        <v>382</v>
      </c>
      <c r="C106" s="20" t="s">
        <v>736</v>
      </c>
      <c r="D106" s="138">
        <v>2530000</v>
      </c>
      <c r="E106" s="20" t="s">
        <v>668</v>
      </c>
      <c r="F106" s="20" t="s">
        <v>669</v>
      </c>
      <c r="G106" s="8" t="str">
        <f t="shared" si="1"/>
        <v>LALONDE GREGORY</v>
      </c>
    </row>
    <row r="107" spans="1:7" x14ac:dyDescent="0.25">
      <c r="A107" s="8">
        <v>42986.509155092594</v>
      </c>
      <c r="B107" s="20" t="s">
        <v>607</v>
      </c>
      <c r="C107" s="20" t="s">
        <v>737</v>
      </c>
      <c r="D107" s="138">
        <v>1300000</v>
      </c>
      <c r="E107" s="20" t="s">
        <v>397</v>
      </c>
      <c r="F107" s="20" t="s">
        <v>398</v>
      </c>
      <c r="G107" s="8" t="str">
        <f t="shared" si="1"/>
        <v>LEVIN SCOTT</v>
      </c>
    </row>
    <row r="108" spans="1:7" x14ac:dyDescent="0.25">
      <c r="A108" s="8">
        <v>42986.515856481485</v>
      </c>
      <c r="B108" s="20" t="s">
        <v>423</v>
      </c>
      <c r="C108" s="20" t="s">
        <v>738</v>
      </c>
      <c r="D108" s="138">
        <v>1770000</v>
      </c>
      <c r="E108" s="20" t="s">
        <v>441</v>
      </c>
      <c r="F108" s="20" t="s">
        <v>442</v>
      </c>
      <c r="G108" s="8" t="str">
        <f t="shared" si="1"/>
        <v>BRUDER RICHARD</v>
      </c>
    </row>
    <row r="109" spans="1:7" x14ac:dyDescent="0.25">
      <c r="A109" s="8">
        <v>42986.517442129632</v>
      </c>
      <c r="B109" s="20" t="s">
        <v>479</v>
      </c>
      <c r="C109" s="20" t="s">
        <v>739</v>
      </c>
      <c r="D109" s="138">
        <v>2550000</v>
      </c>
      <c r="E109" s="20" t="s">
        <v>559</v>
      </c>
      <c r="F109" s="20" t="s">
        <v>560</v>
      </c>
      <c r="G109" s="8" t="str">
        <f t="shared" si="1"/>
        <v>BADERTSCHER DIANE</v>
      </c>
    </row>
    <row r="110" spans="1:7" x14ac:dyDescent="0.25">
      <c r="A110" s="8">
        <v>42986.525868055556</v>
      </c>
      <c r="B110" s="20" t="s">
        <v>612</v>
      </c>
      <c r="C110" s="20" t="s">
        <v>740</v>
      </c>
      <c r="D110" s="138">
        <v>2530000</v>
      </c>
      <c r="E110" s="20" t="s">
        <v>668</v>
      </c>
      <c r="F110" s="20" t="s">
        <v>669</v>
      </c>
      <c r="G110" s="8" t="str">
        <f t="shared" si="1"/>
        <v>LALONDE GREGORY</v>
      </c>
    </row>
    <row r="111" spans="1:7" x14ac:dyDescent="0.25">
      <c r="A111" s="8">
        <v>42986.526307870372</v>
      </c>
      <c r="B111" s="20" t="s">
        <v>414</v>
      </c>
      <c r="C111" s="20" t="s">
        <v>741</v>
      </c>
      <c r="D111" s="138">
        <v>1810000</v>
      </c>
      <c r="E111" s="20" t="s">
        <v>443</v>
      </c>
      <c r="F111" s="20" t="s">
        <v>403</v>
      </c>
      <c r="G111" s="8" t="str">
        <f t="shared" si="1"/>
        <v>NEWELL JAMES</v>
      </c>
    </row>
    <row r="112" spans="1:7" x14ac:dyDescent="0.25">
      <c r="A112" s="8">
        <v>42986.526550925926</v>
      </c>
      <c r="B112" s="20" t="s">
        <v>647</v>
      </c>
      <c r="C112" s="20" t="s">
        <v>742</v>
      </c>
      <c r="D112" s="138">
        <v>3490000</v>
      </c>
      <c r="E112" s="20" t="s">
        <v>378</v>
      </c>
      <c r="F112" s="20" t="s">
        <v>379</v>
      </c>
      <c r="G112" s="8" t="str">
        <f t="shared" si="1"/>
        <v>WEST BRYAN</v>
      </c>
    </row>
    <row r="113" spans="1:7" x14ac:dyDescent="0.25">
      <c r="A113" s="8">
        <v>42986.527395833335</v>
      </c>
      <c r="B113" s="20" t="s">
        <v>597</v>
      </c>
      <c r="C113" s="20" t="s">
        <v>743</v>
      </c>
      <c r="D113" s="138">
        <v>3000000</v>
      </c>
      <c r="E113" s="20" t="s">
        <v>383</v>
      </c>
      <c r="F113" s="20" t="s">
        <v>384</v>
      </c>
      <c r="G113" s="8" t="str">
        <f t="shared" si="1"/>
        <v>FORTUNATO FRANK</v>
      </c>
    </row>
    <row r="114" spans="1:7" x14ac:dyDescent="0.25">
      <c r="A114" s="8">
        <v>42986.537106481483</v>
      </c>
      <c r="B114" s="20" t="s">
        <v>633</v>
      </c>
      <c r="C114" s="20" t="s">
        <v>744</v>
      </c>
      <c r="D114" s="138">
        <v>2630000</v>
      </c>
      <c r="E114" s="20" t="s">
        <v>729</v>
      </c>
      <c r="F114" s="20" t="s">
        <v>730</v>
      </c>
      <c r="G114" s="8" t="str">
        <f t="shared" si="1"/>
        <v>SAFIEF AEIMEN</v>
      </c>
    </row>
    <row r="115" spans="1:7" x14ac:dyDescent="0.25">
      <c r="A115" s="8">
        <v>42986.539907407408</v>
      </c>
      <c r="B115" s="20" t="s">
        <v>614</v>
      </c>
      <c r="C115" s="20" t="s">
        <v>617</v>
      </c>
      <c r="D115" s="138">
        <v>1300000</v>
      </c>
      <c r="E115" s="20" t="s">
        <v>397</v>
      </c>
      <c r="F115" s="20" t="s">
        <v>398</v>
      </c>
      <c r="G115" s="8" t="str">
        <f t="shared" si="1"/>
        <v>LEVIN SCOTT</v>
      </c>
    </row>
    <row r="116" spans="1:7" x14ac:dyDescent="0.25">
      <c r="A116" s="8">
        <v>42986.542199074072</v>
      </c>
      <c r="B116" s="20" t="s">
        <v>382</v>
      </c>
      <c r="C116" s="20" t="s">
        <v>745</v>
      </c>
      <c r="D116" s="138">
        <v>3280000</v>
      </c>
      <c r="E116" s="20" t="s">
        <v>452</v>
      </c>
      <c r="F116" s="20" t="s">
        <v>453</v>
      </c>
      <c r="G116" s="8" t="str">
        <f t="shared" si="1"/>
        <v>BIRKHOLZ NADINE</v>
      </c>
    </row>
    <row r="117" spans="1:7" x14ac:dyDescent="0.25">
      <c r="A117" s="8">
        <v>42986.545925925922</v>
      </c>
      <c r="B117" s="20" t="s">
        <v>424</v>
      </c>
      <c r="C117" s="20" t="s">
        <v>746</v>
      </c>
      <c r="D117" s="138">
        <v>2370000</v>
      </c>
      <c r="E117" s="20" t="s">
        <v>480</v>
      </c>
      <c r="F117" s="20" t="s">
        <v>481</v>
      </c>
      <c r="G117" s="8" t="str">
        <f t="shared" si="1"/>
        <v>DELGADO DIANAH</v>
      </c>
    </row>
    <row r="118" spans="1:7" x14ac:dyDescent="0.25">
      <c r="A118" s="8">
        <v>42986.557106481479</v>
      </c>
      <c r="B118" s="20" t="s">
        <v>428</v>
      </c>
      <c r="C118" s="20" t="s">
        <v>747</v>
      </c>
      <c r="D118" s="138">
        <v>2550000</v>
      </c>
      <c r="E118" s="20" t="s">
        <v>559</v>
      </c>
      <c r="F118" s="20" t="s">
        <v>560</v>
      </c>
      <c r="G118" s="8" t="str">
        <f t="shared" si="1"/>
        <v>BADERTSCHER DIANE</v>
      </c>
    </row>
    <row r="119" spans="1:7" x14ac:dyDescent="0.25">
      <c r="A119" s="8">
        <v>42986.557534722226</v>
      </c>
      <c r="B119" s="20" t="s">
        <v>468</v>
      </c>
      <c r="C119" s="20" t="s">
        <v>748</v>
      </c>
      <c r="D119" s="138">
        <v>1810000</v>
      </c>
      <c r="E119" s="20" t="s">
        <v>443</v>
      </c>
      <c r="F119" s="20" t="s">
        <v>403</v>
      </c>
      <c r="G119" s="8" t="str">
        <f t="shared" si="1"/>
        <v>NEWELL JAMES</v>
      </c>
    </row>
    <row r="120" spans="1:7" x14ac:dyDescent="0.25">
      <c r="A120" s="8">
        <v>42986.558229166665</v>
      </c>
      <c r="B120" s="20" t="s">
        <v>599</v>
      </c>
      <c r="C120" s="20" t="s">
        <v>749</v>
      </c>
      <c r="D120" s="138">
        <v>3490000</v>
      </c>
      <c r="E120" s="20" t="s">
        <v>378</v>
      </c>
      <c r="F120" s="20" t="s">
        <v>379</v>
      </c>
      <c r="G120" s="8" t="str">
        <f t="shared" si="1"/>
        <v>WEST BRYAN</v>
      </c>
    </row>
    <row r="121" spans="1:7" x14ac:dyDescent="0.25">
      <c r="A121" s="8">
        <v>42986.568414351852</v>
      </c>
      <c r="B121" s="20" t="s">
        <v>612</v>
      </c>
      <c r="C121" s="20" t="s">
        <v>750</v>
      </c>
      <c r="D121" s="138">
        <v>3280000</v>
      </c>
      <c r="E121" s="20" t="s">
        <v>452</v>
      </c>
      <c r="F121" s="20" t="s">
        <v>453</v>
      </c>
      <c r="G121" s="8" t="str">
        <f t="shared" si="1"/>
        <v>BIRKHOLZ NADINE</v>
      </c>
    </row>
    <row r="122" spans="1:7" x14ac:dyDescent="0.25">
      <c r="A122" s="8">
        <v>42986.568611111114</v>
      </c>
      <c r="B122" s="25" t="s">
        <v>609</v>
      </c>
      <c r="C122" s="20" t="s">
        <v>751</v>
      </c>
      <c r="D122" s="138">
        <v>3330000</v>
      </c>
      <c r="E122" s="20" t="s">
        <v>555</v>
      </c>
      <c r="F122" s="20" t="s">
        <v>556</v>
      </c>
      <c r="G122" s="8" t="str">
        <f t="shared" si="1"/>
        <v>GONZALEZ ARMANDO</v>
      </c>
    </row>
    <row r="123" spans="1:7" x14ac:dyDescent="0.25">
      <c r="A123" s="8">
        <v>42986.569803240738</v>
      </c>
      <c r="B123" s="20" t="s">
        <v>643</v>
      </c>
      <c r="C123" s="20" t="s">
        <v>752</v>
      </c>
      <c r="D123" s="138">
        <v>2630000</v>
      </c>
      <c r="E123" s="20" t="s">
        <v>729</v>
      </c>
      <c r="F123" s="20" t="s">
        <v>730</v>
      </c>
      <c r="G123" s="8" t="str">
        <f t="shared" si="1"/>
        <v>SAFIEF AEIMEN</v>
      </c>
    </row>
    <row r="124" spans="1:7" x14ac:dyDescent="0.25">
      <c r="A124" s="8">
        <v>42986.577962962961</v>
      </c>
      <c r="B124" s="20" t="s">
        <v>607</v>
      </c>
      <c r="C124" s="20" t="s">
        <v>753</v>
      </c>
      <c r="D124" s="138">
        <v>1300000</v>
      </c>
      <c r="E124" s="20" t="s">
        <v>397</v>
      </c>
      <c r="F124" s="20" t="s">
        <v>398</v>
      </c>
      <c r="G124" s="8" t="str">
        <f t="shared" si="1"/>
        <v>LEVIN SCOTT</v>
      </c>
    </row>
    <row r="125" spans="1:7" x14ac:dyDescent="0.25">
      <c r="A125" s="8">
        <v>42986.579918981479</v>
      </c>
      <c r="B125" s="20" t="s">
        <v>423</v>
      </c>
      <c r="C125" s="20" t="s">
        <v>754</v>
      </c>
      <c r="D125" s="138">
        <v>2370000</v>
      </c>
      <c r="E125" s="20" t="s">
        <v>480</v>
      </c>
      <c r="F125" s="20" t="s">
        <v>481</v>
      </c>
      <c r="G125" s="8" t="str">
        <f t="shared" si="1"/>
        <v>DELGADO DIANAH</v>
      </c>
    </row>
    <row r="126" spans="1:7" x14ac:dyDescent="0.25">
      <c r="A126" s="8">
        <v>42986.587546296294</v>
      </c>
      <c r="B126" s="20" t="s">
        <v>382</v>
      </c>
      <c r="C126" s="20" t="s">
        <v>755</v>
      </c>
      <c r="D126" s="138">
        <v>3280000</v>
      </c>
      <c r="E126" s="20" t="s">
        <v>452</v>
      </c>
      <c r="F126" s="20" t="s">
        <v>453</v>
      </c>
      <c r="G126" s="8" t="str">
        <f t="shared" si="1"/>
        <v>BIRKHOLZ NADINE</v>
      </c>
    </row>
    <row r="127" spans="1:7" x14ac:dyDescent="0.25">
      <c r="A127" s="8">
        <v>42986.590219907404</v>
      </c>
      <c r="B127" s="20" t="s">
        <v>479</v>
      </c>
      <c r="C127" s="20" t="s">
        <v>756</v>
      </c>
      <c r="D127" s="138">
        <v>2550000</v>
      </c>
      <c r="E127" s="20" t="s">
        <v>559</v>
      </c>
      <c r="F127" s="20" t="s">
        <v>560</v>
      </c>
      <c r="G127" s="8" t="str">
        <f t="shared" si="1"/>
        <v>BADERTSCHER DIANE</v>
      </c>
    </row>
    <row r="128" spans="1:7" x14ac:dyDescent="0.25">
      <c r="A128" s="8">
        <v>42986.597997685189</v>
      </c>
      <c r="B128" s="20" t="s">
        <v>414</v>
      </c>
      <c r="C128" s="20" t="s">
        <v>757</v>
      </c>
      <c r="D128" s="138">
        <v>2420000</v>
      </c>
      <c r="E128" s="20" t="s">
        <v>482</v>
      </c>
      <c r="F128" s="20" t="s">
        <v>483</v>
      </c>
      <c r="G128" s="8" t="str">
        <f t="shared" si="1"/>
        <v>HOLCOMB KAMDEN</v>
      </c>
    </row>
    <row r="129" spans="1:7" x14ac:dyDescent="0.25">
      <c r="A129" s="8">
        <v>42986.598310185182</v>
      </c>
      <c r="B129" s="20" t="s">
        <v>647</v>
      </c>
      <c r="C129" s="20" t="s">
        <v>758</v>
      </c>
      <c r="D129" s="138">
        <v>3490000</v>
      </c>
      <c r="E129" s="20" t="s">
        <v>378</v>
      </c>
      <c r="F129" s="20" t="s">
        <v>379</v>
      </c>
      <c r="G129" s="8" t="str">
        <f t="shared" si="1"/>
        <v>WEST BRYAN</v>
      </c>
    </row>
    <row r="130" spans="1:7" x14ac:dyDescent="0.25">
      <c r="A130" s="8">
        <v>42986.600798611114</v>
      </c>
      <c r="B130" s="20" t="s">
        <v>597</v>
      </c>
      <c r="C130" s="20" t="s">
        <v>759</v>
      </c>
      <c r="D130" s="138">
        <v>3330000</v>
      </c>
      <c r="E130" s="20" t="s">
        <v>555</v>
      </c>
      <c r="F130" s="20" t="s">
        <v>556</v>
      </c>
      <c r="G130" s="8" t="str">
        <f t="shared" si="1"/>
        <v>GONZALEZ ARMANDO</v>
      </c>
    </row>
    <row r="131" spans="1:7" x14ac:dyDescent="0.25">
      <c r="A131" s="8">
        <v>42986.608854166669</v>
      </c>
      <c r="B131" s="20" t="s">
        <v>612</v>
      </c>
      <c r="C131" s="20" t="s">
        <v>760</v>
      </c>
      <c r="D131" s="138">
        <v>3280000</v>
      </c>
      <c r="E131" s="20" t="s">
        <v>452</v>
      </c>
      <c r="F131" s="20" t="s">
        <v>453</v>
      </c>
      <c r="G131" s="8" t="str">
        <f t="shared" ref="G131:G194" si="2">E131&amp;" "&amp;F131</f>
        <v>BIRKHOLZ NADINE</v>
      </c>
    </row>
    <row r="132" spans="1:7" x14ac:dyDescent="0.25">
      <c r="A132" s="8">
        <v>42986.612118055556</v>
      </c>
      <c r="B132" s="20" t="s">
        <v>633</v>
      </c>
      <c r="C132" s="20" t="s">
        <v>761</v>
      </c>
      <c r="D132" s="138">
        <v>2630000</v>
      </c>
      <c r="E132" s="20" t="s">
        <v>729</v>
      </c>
      <c r="F132" s="20" t="s">
        <v>730</v>
      </c>
      <c r="G132" s="8" t="str">
        <f t="shared" si="2"/>
        <v>SAFIEF AEIMEN</v>
      </c>
    </row>
    <row r="133" spans="1:7" x14ac:dyDescent="0.25">
      <c r="A133" s="8">
        <v>42986.61241898148</v>
      </c>
      <c r="B133" s="20" t="s">
        <v>614</v>
      </c>
      <c r="C133" s="20" t="s">
        <v>618</v>
      </c>
      <c r="D133" s="138">
        <v>1300000</v>
      </c>
      <c r="E133" s="20" t="s">
        <v>397</v>
      </c>
      <c r="F133" s="20" t="s">
        <v>398</v>
      </c>
      <c r="G133" s="8" t="str">
        <f t="shared" si="2"/>
        <v>LEVIN SCOTT</v>
      </c>
    </row>
    <row r="134" spans="1:7" x14ac:dyDescent="0.25">
      <c r="A134" s="8">
        <v>42986.62023148148</v>
      </c>
      <c r="B134" s="20" t="s">
        <v>424</v>
      </c>
      <c r="C134" s="20" t="s">
        <v>762</v>
      </c>
      <c r="D134" s="138">
        <v>1770000</v>
      </c>
      <c r="E134" s="20" t="s">
        <v>441</v>
      </c>
      <c r="F134" s="20" t="s">
        <v>442</v>
      </c>
      <c r="G134" s="8" t="str">
        <f t="shared" si="2"/>
        <v>BRUDER RICHARD</v>
      </c>
    </row>
    <row r="135" spans="1:7" x14ac:dyDescent="0.25">
      <c r="A135" s="8">
        <v>42986.628206018519</v>
      </c>
      <c r="B135" s="20" t="s">
        <v>382</v>
      </c>
      <c r="C135" s="20" t="s">
        <v>763</v>
      </c>
      <c r="D135" s="138">
        <v>3280000</v>
      </c>
      <c r="E135" s="20" t="s">
        <v>452</v>
      </c>
      <c r="F135" s="20" t="s">
        <v>453</v>
      </c>
      <c r="G135" s="8" t="str">
        <f t="shared" si="2"/>
        <v>BIRKHOLZ NADINE</v>
      </c>
    </row>
    <row r="136" spans="1:7" x14ac:dyDescent="0.25">
      <c r="A136" s="8">
        <v>42986.628819444442</v>
      </c>
      <c r="B136" s="20" t="s">
        <v>428</v>
      </c>
      <c r="C136" s="20" t="s">
        <v>619</v>
      </c>
      <c r="D136" s="138">
        <v>2550000</v>
      </c>
      <c r="E136" s="20" t="s">
        <v>559</v>
      </c>
      <c r="F136" s="20" t="s">
        <v>560</v>
      </c>
      <c r="G136" s="8" t="str">
        <f t="shared" si="2"/>
        <v>BADERTSCHER DIANE</v>
      </c>
    </row>
    <row r="137" spans="1:7" x14ac:dyDescent="0.25">
      <c r="A137" s="8">
        <v>42986.630995370368</v>
      </c>
      <c r="B137" s="20" t="s">
        <v>599</v>
      </c>
      <c r="C137" s="20" t="s">
        <v>764</v>
      </c>
      <c r="D137" s="138">
        <v>3490000</v>
      </c>
      <c r="E137" s="20" t="s">
        <v>378</v>
      </c>
      <c r="F137" s="20" t="s">
        <v>379</v>
      </c>
      <c r="G137" s="8" t="str">
        <f t="shared" si="2"/>
        <v>WEST BRYAN</v>
      </c>
    </row>
    <row r="138" spans="1:7" x14ac:dyDescent="0.25">
      <c r="A138" s="8">
        <v>42986.632210648146</v>
      </c>
      <c r="B138" s="20" t="s">
        <v>626</v>
      </c>
      <c r="C138" s="20" t="s">
        <v>765</v>
      </c>
      <c r="D138" s="138">
        <v>2230000</v>
      </c>
      <c r="E138" s="20" t="s">
        <v>766</v>
      </c>
      <c r="F138" s="20" t="s">
        <v>191</v>
      </c>
      <c r="G138" s="8" t="str">
        <f t="shared" si="2"/>
        <v>SMITH MICHAEL</v>
      </c>
    </row>
    <row r="139" spans="1:7" x14ac:dyDescent="0.25">
      <c r="A139" s="8">
        <v>42986.640370370369</v>
      </c>
      <c r="B139" s="20" t="s">
        <v>609</v>
      </c>
      <c r="C139" s="20" t="s">
        <v>767</v>
      </c>
      <c r="D139" s="138">
        <v>3000000</v>
      </c>
      <c r="E139" s="20" t="s">
        <v>383</v>
      </c>
      <c r="F139" s="20" t="s">
        <v>384</v>
      </c>
      <c r="G139" s="8" t="str">
        <f t="shared" si="2"/>
        <v>FORTUNATO FRANK</v>
      </c>
    </row>
    <row r="140" spans="1:7" x14ac:dyDescent="0.25">
      <c r="A140" s="8">
        <v>42986.640717592592</v>
      </c>
      <c r="B140" s="20" t="s">
        <v>468</v>
      </c>
      <c r="C140" s="20" t="s">
        <v>621</v>
      </c>
      <c r="D140" s="138">
        <v>2420000</v>
      </c>
      <c r="E140" s="20" t="s">
        <v>482</v>
      </c>
      <c r="F140" s="20" t="s">
        <v>483</v>
      </c>
      <c r="G140" s="8" t="str">
        <f t="shared" si="2"/>
        <v>HOLCOMB KAMDEN</v>
      </c>
    </row>
    <row r="141" spans="1:7" x14ac:dyDescent="0.25">
      <c r="A141" s="8">
        <v>42986.643321759257</v>
      </c>
      <c r="B141" s="20" t="s">
        <v>643</v>
      </c>
      <c r="C141" s="20" t="s">
        <v>768</v>
      </c>
      <c r="D141" s="138">
        <v>2630000</v>
      </c>
      <c r="E141" s="20" t="s">
        <v>729</v>
      </c>
      <c r="F141" s="20" t="s">
        <v>730</v>
      </c>
      <c r="G141" s="8" t="str">
        <f t="shared" si="2"/>
        <v>SAFIEF AEIMEN</v>
      </c>
    </row>
    <row r="142" spans="1:7" x14ac:dyDescent="0.25">
      <c r="A142" s="8">
        <v>42986.643425925926</v>
      </c>
      <c r="B142" s="20" t="s">
        <v>602</v>
      </c>
      <c r="C142" s="20" t="s">
        <v>620</v>
      </c>
      <c r="D142" s="138">
        <v>2230000</v>
      </c>
      <c r="E142" s="20" t="s">
        <v>766</v>
      </c>
      <c r="F142" s="20" t="s">
        <v>191</v>
      </c>
      <c r="G142" s="8" t="str">
        <f t="shared" si="2"/>
        <v>SMITH MICHAEL</v>
      </c>
    </row>
    <row r="143" spans="1:7" x14ac:dyDescent="0.25">
      <c r="A143" s="8">
        <v>42986.651643518519</v>
      </c>
      <c r="B143" s="20" t="s">
        <v>612</v>
      </c>
      <c r="C143" s="20" t="s">
        <v>769</v>
      </c>
      <c r="D143" s="138">
        <v>3280000</v>
      </c>
      <c r="E143" s="20" t="s">
        <v>452</v>
      </c>
      <c r="F143" s="20" t="s">
        <v>453</v>
      </c>
      <c r="G143" s="8" t="str">
        <f t="shared" si="2"/>
        <v>BIRKHOLZ NADINE</v>
      </c>
    </row>
    <row r="144" spans="1:7" x14ac:dyDescent="0.25">
      <c r="A144" s="8">
        <v>42986.653622685182</v>
      </c>
      <c r="B144" s="20" t="s">
        <v>607</v>
      </c>
      <c r="C144" s="20" t="s">
        <v>770</v>
      </c>
      <c r="D144" s="138">
        <v>1300000</v>
      </c>
      <c r="E144" s="20" t="s">
        <v>397</v>
      </c>
      <c r="F144" s="20" t="s">
        <v>398</v>
      </c>
      <c r="G144" s="8" t="str">
        <f t="shared" si="2"/>
        <v>LEVIN SCOTT</v>
      </c>
    </row>
    <row r="145" spans="1:7" x14ac:dyDescent="0.25">
      <c r="A145" s="8">
        <v>42986.662326388891</v>
      </c>
      <c r="B145" s="20" t="s">
        <v>423</v>
      </c>
      <c r="C145" s="20" t="s">
        <v>771</v>
      </c>
      <c r="D145" s="138">
        <v>1770000</v>
      </c>
      <c r="E145" s="20" t="s">
        <v>441</v>
      </c>
      <c r="F145" s="20" t="s">
        <v>442</v>
      </c>
      <c r="G145" s="8" t="str">
        <f t="shared" si="2"/>
        <v>BRUDER RICHARD</v>
      </c>
    </row>
    <row r="146" spans="1:7" x14ac:dyDescent="0.25">
      <c r="A146" s="8">
        <v>42986.663506944446</v>
      </c>
      <c r="B146" s="20" t="s">
        <v>479</v>
      </c>
      <c r="C146" s="20" t="s">
        <v>622</v>
      </c>
      <c r="D146" s="138">
        <v>2550000</v>
      </c>
      <c r="E146" s="20" t="s">
        <v>559</v>
      </c>
      <c r="F146" s="20" t="s">
        <v>560</v>
      </c>
      <c r="G146" s="8" t="str">
        <f t="shared" si="2"/>
        <v>BADERTSCHER DIANE</v>
      </c>
    </row>
    <row r="147" spans="1:7" x14ac:dyDescent="0.25">
      <c r="A147" s="8">
        <v>42986.667384259257</v>
      </c>
      <c r="B147" s="20" t="s">
        <v>626</v>
      </c>
      <c r="C147" s="20" t="s">
        <v>772</v>
      </c>
      <c r="D147" s="138">
        <v>2230000</v>
      </c>
      <c r="E147" s="20" t="s">
        <v>766</v>
      </c>
      <c r="F147" s="20" t="s">
        <v>191</v>
      </c>
      <c r="G147" s="8" t="str">
        <f t="shared" si="2"/>
        <v>SMITH MICHAEL</v>
      </c>
    </row>
    <row r="148" spans="1:7" x14ac:dyDescent="0.25">
      <c r="A148" s="8">
        <v>42986.669189814813</v>
      </c>
      <c r="B148" s="20" t="s">
        <v>382</v>
      </c>
      <c r="C148" s="20" t="s">
        <v>623</v>
      </c>
      <c r="D148" s="138">
        <v>3280000</v>
      </c>
      <c r="E148" s="20" t="s">
        <v>452</v>
      </c>
      <c r="F148" s="20" t="s">
        <v>453</v>
      </c>
      <c r="G148" s="8" t="str">
        <f t="shared" si="2"/>
        <v>BIRKHOLZ NADINE</v>
      </c>
    </row>
    <row r="149" spans="1:7" x14ac:dyDescent="0.25">
      <c r="A149" s="8">
        <v>42986.670335648145</v>
      </c>
      <c r="B149" s="20" t="s">
        <v>647</v>
      </c>
      <c r="C149" s="20" t="s">
        <v>773</v>
      </c>
      <c r="D149" s="138">
        <v>3490000</v>
      </c>
      <c r="E149" s="20" t="s">
        <v>378</v>
      </c>
      <c r="F149" s="20" t="s">
        <v>379</v>
      </c>
      <c r="G149" s="8" t="str">
        <f t="shared" si="2"/>
        <v>WEST BRYAN</v>
      </c>
    </row>
    <row r="150" spans="1:7" x14ac:dyDescent="0.25">
      <c r="A150" s="8">
        <v>42986.672500000001</v>
      </c>
      <c r="B150" s="20" t="s">
        <v>414</v>
      </c>
      <c r="C150" s="20" t="s">
        <v>774</v>
      </c>
      <c r="D150" s="138">
        <v>2420000</v>
      </c>
      <c r="E150" s="20" t="s">
        <v>482</v>
      </c>
      <c r="F150" s="20" t="s">
        <v>483</v>
      </c>
      <c r="G150" s="8" t="str">
        <f t="shared" si="2"/>
        <v>HOLCOMB KAMDEN</v>
      </c>
    </row>
    <row r="151" spans="1:7" x14ac:dyDescent="0.25">
      <c r="A151" s="8">
        <v>42986.67769675926</v>
      </c>
      <c r="B151" s="20" t="s">
        <v>597</v>
      </c>
      <c r="C151" s="20" t="s">
        <v>775</v>
      </c>
      <c r="D151" s="138">
        <v>3000000</v>
      </c>
      <c r="E151" s="20" t="s">
        <v>383</v>
      </c>
      <c r="F151" s="20" t="s">
        <v>384</v>
      </c>
      <c r="G151" s="8" t="str">
        <f t="shared" si="2"/>
        <v>FORTUNATO FRANK</v>
      </c>
    </row>
    <row r="152" spans="1:7" x14ac:dyDescent="0.25">
      <c r="A152" s="8">
        <v>42986.683437500003</v>
      </c>
      <c r="B152" s="20" t="s">
        <v>633</v>
      </c>
      <c r="C152" s="20" t="s">
        <v>776</v>
      </c>
      <c r="D152" s="138">
        <v>2630000</v>
      </c>
      <c r="E152" s="20" t="s">
        <v>729</v>
      </c>
      <c r="F152" s="20" t="s">
        <v>730</v>
      </c>
      <c r="G152" s="8" t="str">
        <f t="shared" si="2"/>
        <v>SAFIEF AEIMEN</v>
      </c>
    </row>
    <row r="153" spans="1:7" x14ac:dyDescent="0.25">
      <c r="A153" s="8">
        <v>42986.686886574076</v>
      </c>
      <c r="B153" s="20" t="s">
        <v>602</v>
      </c>
      <c r="C153" s="20" t="s">
        <v>777</v>
      </c>
      <c r="D153" s="138">
        <v>2230000</v>
      </c>
      <c r="E153" s="20" t="s">
        <v>766</v>
      </c>
      <c r="F153" s="20" t="s">
        <v>191</v>
      </c>
      <c r="G153" s="8" t="str">
        <f t="shared" si="2"/>
        <v>SMITH MICHAEL</v>
      </c>
    </row>
    <row r="154" spans="1:7" x14ac:dyDescent="0.25">
      <c r="A154" s="8">
        <v>42986.688252314816</v>
      </c>
      <c r="B154" s="20" t="s">
        <v>614</v>
      </c>
      <c r="C154" s="20" t="s">
        <v>624</v>
      </c>
      <c r="D154" s="138">
        <v>1300000</v>
      </c>
      <c r="E154" s="20" t="s">
        <v>397</v>
      </c>
      <c r="F154" s="20" t="s">
        <v>398</v>
      </c>
      <c r="G154" s="8" t="str">
        <f t="shared" si="2"/>
        <v>LEVIN SCOTT</v>
      </c>
    </row>
    <row r="155" spans="1:7" x14ac:dyDescent="0.25">
      <c r="A155" s="8">
        <v>42986.692812499998</v>
      </c>
      <c r="B155" s="20" t="s">
        <v>424</v>
      </c>
      <c r="C155" s="20" t="s">
        <v>625</v>
      </c>
      <c r="D155" s="138">
        <v>3290000</v>
      </c>
      <c r="E155" s="20" t="s">
        <v>557</v>
      </c>
      <c r="F155" s="20" t="s">
        <v>558</v>
      </c>
      <c r="G155" s="8" t="str">
        <f t="shared" si="2"/>
        <v>CASSIDY BRANDON</v>
      </c>
    </row>
    <row r="156" spans="1:7" x14ac:dyDescent="0.25">
      <c r="A156" s="8">
        <v>42986.694143518522</v>
      </c>
      <c r="B156" s="20" t="s">
        <v>612</v>
      </c>
      <c r="C156" s="20" t="s">
        <v>778</v>
      </c>
      <c r="D156" s="138">
        <v>3280000</v>
      </c>
      <c r="E156" s="20" t="s">
        <v>452</v>
      </c>
      <c r="F156" s="20" t="s">
        <v>453</v>
      </c>
      <c r="G156" s="8" t="str">
        <f t="shared" si="2"/>
        <v>BIRKHOLZ NADINE</v>
      </c>
    </row>
    <row r="157" spans="1:7" x14ac:dyDescent="0.25">
      <c r="A157" s="8">
        <v>42986.696597222224</v>
      </c>
      <c r="B157" s="20" t="s">
        <v>471</v>
      </c>
      <c r="C157" s="20" t="s">
        <v>779</v>
      </c>
      <c r="D157" s="138">
        <v>2040000</v>
      </c>
      <c r="E157" s="20" t="s">
        <v>444</v>
      </c>
      <c r="F157" s="20" t="s">
        <v>445</v>
      </c>
      <c r="G157" s="8" t="str">
        <f t="shared" si="2"/>
        <v>MOSES BRADLEY</v>
      </c>
    </row>
    <row r="158" spans="1:7" x14ac:dyDescent="0.25">
      <c r="A158" s="8">
        <v>42986.700474537036</v>
      </c>
      <c r="B158" s="20" t="s">
        <v>428</v>
      </c>
      <c r="C158" s="20" t="s">
        <v>780</v>
      </c>
      <c r="D158" s="138">
        <v>2550000</v>
      </c>
      <c r="E158" s="20" t="s">
        <v>559</v>
      </c>
      <c r="F158" s="20" t="s">
        <v>560</v>
      </c>
      <c r="G158" s="8" t="str">
        <f t="shared" si="2"/>
        <v>BADERTSCHER DIANE</v>
      </c>
    </row>
    <row r="159" spans="1:7" x14ac:dyDescent="0.25">
      <c r="A159" s="8">
        <v>42986.703275462962</v>
      </c>
      <c r="B159" s="20" t="s">
        <v>599</v>
      </c>
      <c r="C159" s="20" t="s">
        <v>781</v>
      </c>
      <c r="D159" s="138">
        <v>3490000</v>
      </c>
      <c r="E159" s="20" t="s">
        <v>378</v>
      </c>
      <c r="F159" s="20" t="s">
        <v>379</v>
      </c>
      <c r="G159" s="8" t="str">
        <f t="shared" si="2"/>
        <v>WEST BRYAN</v>
      </c>
    </row>
    <row r="160" spans="1:7" x14ac:dyDescent="0.25">
      <c r="A160" s="8">
        <v>42986.706770833334</v>
      </c>
      <c r="B160" s="20" t="s">
        <v>382</v>
      </c>
      <c r="C160" s="20" t="s">
        <v>782</v>
      </c>
      <c r="D160" s="138">
        <v>3280000</v>
      </c>
      <c r="E160" s="20" t="s">
        <v>452</v>
      </c>
      <c r="F160" s="20" t="s">
        <v>453</v>
      </c>
      <c r="G160" s="8" t="str">
        <f t="shared" si="2"/>
        <v>BIRKHOLZ NADINE</v>
      </c>
    </row>
    <row r="161" spans="1:7" x14ac:dyDescent="0.25">
      <c r="A161" s="8">
        <v>42986.707766203705</v>
      </c>
      <c r="B161" s="20" t="s">
        <v>626</v>
      </c>
      <c r="C161" s="20" t="s">
        <v>627</v>
      </c>
      <c r="D161" s="138">
        <v>2230000</v>
      </c>
      <c r="E161" s="20" t="s">
        <v>766</v>
      </c>
      <c r="F161" s="20" t="s">
        <v>191</v>
      </c>
      <c r="G161" s="8" t="str">
        <f t="shared" si="2"/>
        <v>SMITH MICHAEL</v>
      </c>
    </row>
    <row r="162" spans="1:7" x14ac:dyDescent="0.25">
      <c r="A162" s="8">
        <v>42986.714722222219</v>
      </c>
      <c r="B162" s="20" t="s">
        <v>609</v>
      </c>
      <c r="C162" s="20" t="s">
        <v>783</v>
      </c>
      <c r="D162" s="138">
        <v>3000000</v>
      </c>
      <c r="E162" s="20" t="s">
        <v>383</v>
      </c>
      <c r="F162" s="20" t="s">
        <v>384</v>
      </c>
      <c r="G162" s="8" t="str">
        <f t="shared" si="2"/>
        <v>FORTUNATO FRANK</v>
      </c>
    </row>
    <row r="163" spans="1:7" x14ac:dyDescent="0.25">
      <c r="A163" s="8">
        <v>42986.715069444443</v>
      </c>
      <c r="B163" s="20" t="s">
        <v>468</v>
      </c>
      <c r="C163" s="20" t="s">
        <v>628</v>
      </c>
      <c r="D163" s="138">
        <v>2420000</v>
      </c>
      <c r="E163" s="20" t="s">
        <v>482</v>
      </c>
      <c r="F163" s="20" t="s">
        <v>483</v>
      </c>
      <c r="G163" s="8" t="str">
        <f t="shared" si="2"/>
        <v>HOLCOMB KAMDEN</v>
      </c>
    </row>
    <row r="164" spans="1:7" x14ac:dyDescent="0.25">
      <c r="A164" s="8">
        <v>42986.715428240743</v>
      </c>
      <c r="B164" s="20" t="s">
        <v>643</v>
      </c>
      <c r="C164" s="20" t="s">
        <v>784</v>
      </c>
      <c r="D164" s="138">
        <v>2630000</v>
      </c>
      <c r="E164" s="20" t="s">
        <v>729</v>
      </c>
      <c r="F164" s="20" t="s">
        <v>730</v>
      </c>
      <c r="G164" s="8" t="str">
        <f t="shared" si="2"/>
        <v>SAFIEF AEIMEN</v>
      </c>
    </row>
    <row r="165" spans="1:7" x14ac:dyDescent="0.25">
      <c r="A165" s="8">
        <v>42986.724178240744</v>
      </c>
      <c r="B165" s="20" t="s">
        <v>607</v>
      </c>
      <c r="C165" s="20" t="s">
        <v>785</v>
      </c>
      <c r="D165" s="138">
        <v>1300000</v>
      </c>
      <c r="E165" s="20" t="s">
        <v>397</v>
      </c>
      <c r="F165" s="20" t="s">
        <v>398</v>
      </c>
      <c r="G165" s="8" t="str">
        <f t="shared" si="2"/>
        <v>LEVIN SCOTT</v>
      </c>
    </row>
    <row r="166" spans="1:7" x14ac:dyDescent="0.25">
      <c r="A166" s="8">
        <v>42986.729155092595</v>
      </c>
      <c r="B166" s="20" t="s">
        <v>602</v>
      </c>
      <c r="C166" s="20" t="s">
        <v>786</v>
      </c>
      <c r="D166" s="138">
        <v>2230000</v>
      </c>
      <c r="E166" s="20" t="s">
        <v>766</v>
      </c>
      <c r="F166" s="20" t="s">
        <v>191</v>
      </c>
      <c r="G166" s="8" t="str">
        <f t="shared" si="2"/>
        <v>SMITH MICHAEL</v>
      </c>
    </row>
    <row r="167" spans="1:7" x14ac:dyDescent="0.25">
      <c r="A167" s="8">
        <v>42986.729953703703</v>
      </c>
      <c r="B167" s="20" t="s">
        <v>547</v>
      </c>
      <c r="C167" s="20" t="s">
        <v>787</v>
      </c>
      <c r="D167" s="138">
        <v>3340000</v>
      </c>
      <c r="E167" s="20" t="s">
        <v>788</v>
      </c>
      <c r="F167" s="20" t="s">
        <v>789</v>
      </c>
      <c r="G167" s="8" t="str">
        <f t="shared" si="2"/>
        <v>ELBAUM MIKE</v>
      </c>
    </row>
    <row r="168" spans="1:7" x14ac:dyDescent="0.25">
      <c r="A168" s="8">
        <v>42986.730740740742</v>
      </c>
      <c r="B168" s="20" t="s">
        <v>423</v>
      </c>
      <c r="C168" s="20" t="s">
        <v>790</v>
      </c>
      <c r="D168" s="138">
        <v>3290000</v>
      </c>
      <c r="E168" s="20" t="s">
        <v>557</v>
      </c>
      <c r="F168" s="20" t="s">
        <v>558</v>
      </c>
      <c r="G168" s="8" t="str">
        <f t="shared" si="2"/>
        <v>CASSIDY BRANDON</v>
      </c>
    </row>
    <row r="169" spans="1:7" x14ac:dyDescent="0.25">
      <c r="A169" s="8">
        <v>42986.73300925926</v>
      </c>
      <c r="B169" s="20" t="s">
        <v>612</v>
      </c>
      <c r="C169" s="20" t="s">
        <v>791</v>
      </c>
      <c r="D169" s="138">
        <v>3280000</v>
      </c>
      <c r="E169" s="20" t="s">
        <v>452</v>
      </c>
      <c r="F169" s="20" t="s">
        <v>453</v>
      </c>
      <c r="G169" s="8" t="str">
        <f t="shared" si="2"/>
        <v>BIRKHOLZ NADINE</v>
      </c>
    </row>
    <row r="170" spans="1:7" x14ac:dyDescent="0.25">
      <c r="A170" s="8">
        <v>42986.733993055554</v>
      </c>
      <c r="B170" s="20" t="s">
        <v>792</v>
      </c>
      <c r="C170" s="20" t="s">
        <v>793</v>
      </c>
      <c r="D170" s="138">
        <v>2370000</v>
      </c>
      <c r="E170" s="20" t="s">
        <v>480</v>
      </c>
      <c r="F170" s="20" t="s">
        <v>481</v>
      </c>
      <c r="G170" s="8" t="str">
        <f t="shared" si="2"/>
        <v>DELGADO DIANAH</v>
      </c>
    </row>
    <row r="171" spans="1:7" x14ac:dyDescent="0.25">
      <c r="A171" s="8">
        <v>42986.736770833333</v>
      </c>
      <c r="B171" s="20" t="s">
        <v>479</v>
      </c>
      <c r="C171" s="20" t="s">
        <v>794</v>
      </c>
      <c r="D171" s="138">
        <v>2540000</v>
      </c>
      <c r="E171" s="20" t="s">
        <v>561</v>
      </c>
      <c r="F171" s="20" t="s">
        <v>562</v>
      </c>
      <c r="G171" s="8" t="str">
        <f t="shared" si="2"/>
        <v>MCREYNOLDS KYLE</v>
      </c>
    </row>
    <row r="172" spans="1:7" x14ac:dyDescent="0.25">
      <c r="A172" s="8">
        <v>42986.741226851853</v>
      </c>
      <c r="B172" s="20" t="s">
        <v>647</v>
      </c>
      <c r="C172" s="20" t="s">
        <v>795</v>
      </c>
      <c r="D172" s="138">
        <v>3490000</v>
      </c>
      <c r="E172" s="20" t="s">
        <v>378</v>
      </c>
      <c r="F172" s="20" t="s">
        <v>379</v>
      </c>
      <c r="G172" s="8" t="str">
        <f t="shared" si="2"/>
        <v>WEST BRYAN</v>
      </c>
    </row>
    <row r="173" spans="1:7" x14ac:dyDescent="0.25">
      <c r="A173" s="8">
        <v>42986.746064814812</v>
      </c>
      <c r="B173" s="20" t="s">
        <v>414</v>
      </c>
      <c r="C173" s="20" t="s">
        <v>796</v>
      </c>
      <c r="D173" s="138">
        <v>3130000</v>
      </c>
      <c r="E173" s="20" t="s">
        <v>446</v>
      </c>
      <c r="F173" s="20" t="s">
        <v>447</v>
      </c>
      <c r="G173" s="8" t="str">
        <f t="shared" si="2"/>
        <v>ZEWDU DEREJE</v>
      </c>
    </row>
    <row r="174" spans="1:7" x14ac:dyDescent="0.25">
      <c r="A174" s="8">
        <v>42986.747986111113</v>
      </c>
      <c r="B174" s="20" t="s">
        <v>626</v>
      </c>
      <c r="C174" s="20" t="s">
        <v>797</v>
      </c>
      <c r="D174" s="138">
        <v>2230000</v>
      </c>
      <c r="E174" s="20" t="s">
        <v>766</v>
      </c>
      <c r="F174" s="20" t="s">
        <v>191</v>
      </c>
      <c r="G174" s="8" t="str">
        <f t="shared" si="2"/>
        <v>SMITH MICHAEL</v>
      </c>
    </row>
    <row r="175" spans="1:7" x14ac:dyDescent="0.25">
      <c r="A175" s="8">
        <v>42986.752766203703</v>
      </c>
      <c r="B175" s="20" t="s">
        <v>382</v>
      </c>
      <c r="C175" s="20" t="s">
        <v>798</v>
      </c>
      <c r="D175" s="138">
        <v>3280000</v>
      </c>
      <c r="E175" s="20" t="s">
        <v>452</v>
      </c>
      <c r="F175" s="20" t="s">
        <v>453</v>
      </c>
      <c r="G175" s="8" t="str">
        <f t="shared" si="2"/>
        <v>BIRKHOLZ NADINE</v>
      </c>
    </row>
    <row r="176" spans="1:7" x14ac:dyDescent="0.25">
      <c r="A176" s="8">
        <v>42986.753599537034</v>
      </c>
      <c r="B176" s="20" t="s">
        <v>382</v>
      </c>
      <c r="C176" s="20" t="s">
        <v>798</v>
      </c>
      <c r="D176" s="138">
        <v>3280000</v>
      </c>
      <c r="E176" s="20" t="s">
        <v>452</v>
      </c>
      <c r="F176" s="20" t="s">
        <v>453</v>
      </c>
      <c r="G176" s="8" t="str">
        <f t="shared" si="2"/>
        <v>BIRKHOLZ NADINE</v>
      </c>
    </row>
    <row r="177" spans="1:7" x14ac:dyDescent="0.25">
      <c r="A177" s="8">
        <v>42986.754942129628</v>
      </c>
      <c r="B177" s="20" t="s">
        <v>597</v>
      </c>
      <c r="C177" s="20" t="s">
        <v>799</v>
      </c>
      <c r="D177" s="138">
        <v>3000000</v>
      </c>
      <c r="E177" s="20" t="s">
        <v>383</v>
      </c>
      <c r="F177" s="20" t="s">
        <v>384</v>
      </c>
      <c r="G177" s="8" t="str">
        <f t="shared" si="2"/>
        <v>FORTUNATO FRANK</v>
      </c>
    </row>
    <row r="178" spans="1:7" x14ac:dyDescent="0.25">
      <c r="A178" s="8">
        <v>42986.755659722221</v>
      </c>
      <c r="B178" s="20" t="s">
        <v>382</v>
      </c>
      <c r="C178" s="20" t="s">
        <v>798</v>
      </c>
      <c r="D178" s="138">
        <v>3280000</v>
      </c>
      <c r="E178" s="20" t="s">
        <v>452</v>
      </c>
      <c r="F178" s="20" t="s">
        <v>453</v>
      </c>
      <c r="G178" s="8" t="str">
        <f t="shared" si="2"/>
        <v>BIRKHOLZ NADINE</v>
      </c>
    </row>
    <row r="179" spans="1:7" x14ac:dyDescent="0.25">
      <c r="A179" s="8">
        <v>42986.756030092591</v>
      </c>
      <c r="B179" s="20" t="s">
        <v>633</v>
      </c>
      <c r="C179" s="20" t="s">
        <v>800</v>
      </c>
      <c r="D179" s="138">
        <v>2620000</v>
      </c>
      <c r="E179" s="20" t="s">
        <v>448</v>
      </c>
      <c r="F179" s="20" t="s">
        <v>449</v>
      </c>
      <c r="G179" s="8" t="str">
        <f t="shared" si="2"/>
        <v>PERKINS DARREN</v>
      </c>
    </row>
    <row r="180" spans="1:7" x14ac:dyDescent="0.25">
      <c r="A180" s="8">
        <v>42986.7578125</v>
      </c>
      <c r="B180" s="20" t="s">
        <v>382</v>
      </c>
      <c r="C180" s="20" t="s">
        <v>798</v>
      </c>
      <c r="D180" s="138">
        <v>3280000</v>
      </c>
      <c r="E180" s="20" t="s">
        <v>452</v>
      </c>
      <c r="F180" s="20" t="s">
        <v>453</v>
      </c>
      <c r="G180" s="8" t="str">
        <f t="shared" si="2"/>
        <v>BIRKHOLZ NADINE</v>
      </c>
    </row>
    <row r="181" spans="1:7" x14ac:dyDescent="0.25">
      <c r="A181" s="8">
        <v>42986.759953703702</v>
      </c>
      <c r="B181" s="20" t="s">
        <v>614</v>
      </c>
      <c r="C181" s="20" t="s">
        <v>629</v>
      </c>
      <c r="D181" s="138">
        <v>1300000</v>
      </c>
      <c r="E181" s="20" t="s">
        <v>397</v>
      </c>
      <c r="F181" s="20" t="s">
        <v>398</v>
      </c>
      <c r="G181" s="8" t="str">
        <f t="shared" si="2"/>
        <v>LEVIN SCOTT</v>
      </c>
    </row>
    <row r="182" spans="1:7" x14ac:dyDescent="0.25">
      <c r="A182" s="8">
        <v>42986.766898148147</v>
      </c>
      <c r="B182" s="20" t="s">
        <v>428</v>
      </c>
      <c r="C182" s="20" t="s">
        <v>801</v>
      </c>
      <c r="D182" s="138">
        <v>2540000</v>
      </c>
      <c r="E182" s="20" t="s">
        <v>561</v>
      </c>
      <c r="F182" s="20" t="s">
        <v>562</v>
      </c>
      <c r="G182" s="8" t="str">
        <f t="shared" si="2"/>
        <v>MCREYNOLDS KYLE</v>
      </c>
    </row>
    <row r="183" spans="1:7" x14ac:dyDescent="0.25">
      <c r="A183" s="8">
        <v>42986.767013888886</v>
      </c>
      <c r="B183" s="20" t="s">
        <v>424</v>
      </c>
      <c r="C183" s="20" t="s">
        <v>802</v>
      </c>
      <c r="D183" s="138">
        <v>2600000</v>
      </c>
      <c r="E183" s="20" t="s">
        <v>803</v>
      </c>
      <c r="F183" s="20" t="s">
        <v>484</v>
      </c>
      <c r="G183" s="8" t="str">
        <f t="shared" si="2"/>
        <v>DAVIDSON DAVID</v>
      </c>
    </row>
    <row r="184" spans="1:7" x14ac:dyDescent="0.25">
      <c r="A184" s="8">
        <v>42986.771562499998</v>
      </c>
      <c r="B184" s="20" t="s">
        <v>602</v>
      </c>
      <c r="C184" s="20" t="s">
        <v>630</v>
      </c>
      <c r="D184" s="138">
        <v>2230000</v>
      </c>
      <c r="E184" s="20" t="s">
        <v>766</v>
      </c>
      <c r="F184" s="20" t="s">
        <v>191</v>
      </c>
      <c r="G184" s="8" t="str">
        <f t="shared" si="2"/>
        <v>SMITH MICHAEL</v>
      </c>
    </row>
    <row r="185" spans="1:7" x14ac:dyDescent="0.25">
      <c r="A185" s="8">
        <v>42986.776307870372</v>
      </c>
      <c r="B185" s="20" t="s">
        <v>612</v>
      </c>
      <c r="C185" s="20" t="s">
        <v>804</v>
      </c>
      <c r="D185" s="138">
        <v>3280000</v>
      </c>
      <c r="E185" s="20" t="s">
        <v>452</v>
      </c>
      <c r="F185" s="20" t="s">
        <v>453</v>
      </c>
      <c r="G185" s="8" t="str">
        <f t="shared" si="2"/>
        <v>BIRKHOLZ NADINE</v>
      </c>
    </row>
    <row r="186" spans="1:7" x14ac:dyDescent="0.25">
      <c r="A186" s="8">
        <v>42986.777708333335</v>
      </c>
      <c r="B186" s="20" t="s">
        <v>599</v>
      </c>
      <c r="C186" s="20" t="s">
        <v>805</v>
      </c>
      <c r="D186" s="138">
        <v>3490000</v>
      </c>
      <c r="E186" s="20" t="s">
        <v>378</v>
      </c>
      <c r="F186" s="20" t="s">
        <v>379</v>
      </c>
      <c r="G186" s="8" t="str">
        <f t="shared" si="2"/>
        <v>WEST BRYAN</v>
      </c>
    </row>
    <row r="187" spans="1:7" x14ac:dyDescent="0.25">
      <c r="A187" s="8">
        <v>42986.783275462964</v>
      </c>
      <c r="B187" s="20" t="s">
        <v>468</v>
      </c>
      <c r="C187" s="20" t="s">
        <v>631</v>
      </c>
      <c r="D187" s="138">
        <v>3130000</v>
      </c>
      <c r="E187" s="20" t="s">
        <v>446</v>
      </c>
      <c r="F187" s="20" t="s">
        <v>447</v>
      </c>
      <c r="G187" s="8" t="str">
        <f t="shared" si="2"/>
        <v>ZEWDU DEREJE</v>
      </c>
    </row>
    <row r="188" spans="1:7" x14ac:dyDescent="0.25">
      <c r="A188" s="8">
        <v>42986.787928240738</v>
      </c>
      <c r="B188" s="20" t="s">
        <v>609</v>
      </c>
      <c r="C188" s="20" t="s">
        <v>806</v>
      </c>
      <c r="D188" s="138">
        <v>3190000</v>
      </c>
      <c r="E188" s="20" t="s">
        <v>450</v>
      </c>
      <c r="F188" s="20" t="s">
        <v>451</v>
      </c>
      <c r="G188" s="8" t="str">
        <f t="shared" si="2"/>
        <v>HART KEVIN</v>
      </c>
    </row>
    <row r="189" spans="1:7" x14ac:dyDescent="0.25">
      <c r="A189" s="8">
        <v>42986.789641203701</v>
      </c>
      <c r="B189" s="20" t="s">
        <v>626</v>
      </c>
      <c r="C189" s="20" t="s">
        <v>807</v>
      </c>
      <c r="D189" s="138">
        <v>2230000</v>
      </c>
      <c r="E189" s="20" t="s">
        <v>766</v>
      </c>
      <c r="F189" s="20" t="s">
        <v>191</v>
      </c>
      <c r="G189" s="8" t="str">
        <f t="shared" si="2"/>
        <v>SMITH MICHAEL</v>
      </c>
    </row>
    <row r="190" spans="1:7" x14ac:dyDescent="0.25">
      <c r="A190" s="8">
        <v>42986.790462962963</v>
      </c>
      <c r="B190" s="20" t="s">
        <v>643</v>
      </c>
      <c r="C190" s="20" t="s">
        <v>808</v>
      </c>
      <c r="D190" s="138">
        <v>2620000</v>
      </c>
      <c r="E190" s="20" t="s">
        <v>448</v>
      </c>
      <c r="F190" s="20" t="s">
        <v>449</v>
      </c>
      <c r="G190" s="8" t="str">
        <f t="shared" si="2"/>
        <v>PERKINS DARREN</v>
      </c>
    </row>
    <row r="191" spans="1:7" x14ac:dyDescent="0.25">
      <c r="A191" s="8">
        <v>42986.794999999998</v>
      </c>
      <c r="B191" s="20" t="s">
        <v>382</v>
      </c>
      <c r="C191" s="20" t="s">
        <v>809</v>
      </c>
      <c r="D191" s="138">
        <v>3280000</v>
      </c>
      <c r="E191" s="20" t="s">
        <v>452</v>
      </c>
      <c r="F191" s="20" t="s">
        <v>453</v>
      </c>
      <c r="G191" s="8" t="str">
        <f t="shared" si="2"/>
        <v>BIRKHOLZ NADINE</v>
      </c>
    </row>
    <row r="192" spans="1:7" x14ac:dyDescent="0.25">
      <c r="A192" s="8">
        <v>42986.797164351854</v>
      </c>
      <c r="B192" s="20" t="s">
        <v>607</v>
      </c>
      <c r="C192" s="20" t="s">
        <v>810</v>
      </c>
      <c r="D192" s="138">
        <v>1300000</v>
      </c>
      <c r="E192" s="20" t="s">
        <v>397</v>
      </c>
      <c r="F192" s="20" t="s">
        <v>398</v>
      </c>
      <c r="G192" s="8" t="str">
        <f t="shared" si="2"/>
        <v>LEVIN SCOTT</v>
      </c>
    </row>
    <row r="193" spans="1:7" x14ac:dyDescent="0.25">
      <c r="A193" s="8">
        <v>42986.798784722225</v>
      </c>
      <c r="B193" s="20" t="s">
        <v>423</v>
      </c>
      <c r="C193" s="20" t="s">
        <v>811</v>
      </c>
      <c r="D193" s="138">
        <v>2600000</v>
      </c>
      <c r="E193" s="20" t="s">
        <v>803</v>
      </c>
      <c r="F193" s="20" t="s">
        <v>484</v>
      </c>
      <c r="G193" s="8" t="str">
        <f t="shared" si="2"/>
        <v>DAVIDSON DAVID</v>
      </c>
    </row>
    <row r="194" spans="1:7" x14ac:dyDescent="0.25">
      <c r="A194" s="8">
        <v>42986.807372685187</v>
      </c>
      <c r="B194" s="20" t="s">
        <v>479</v>
      </c>
      <c r="C194" s="20" t="s">
        <v>812</v>
      </c>
      <c r="D194" s="138">
        <v>2540000</v>
      </c>
      <c r="E194" s="20" t="s">
        <v>561</v>
      </c>
      <c r="F194" s="20" t="s">
        <v>562</v>
      </c>
      <c r="G194" s="8" t="str">
        <f t="shared" si="2"/>
        <v>MCREYNOLDS KYLE</v>
      </c>
    </row>
    <row r="195" spans="1:7" x14ac:dyDescent="0.25">
      <c r="A195" s="8">
        <v>42986.818124999998</v>
      </c>
      <c r="B195" s="20" t="s">
        <v>612</v>
      </c>
      <c r="C195" s="20" t="s">
        <v>813</v>
      </c>
      <c r="D195" s="138">
        <v>3280000</v>
      </c>
      <c r="E195" s="20" t="s">
        <v>452</v>
      </c>
      <c r="F195" s="20" t="s">
        <v>453</v>
      </c>
      <c r="G195" s="8" t="str">
        <f t="shared" ref="G195:G258" si="3">E195&amp;" "&amp;F195</f>
        <v>BIRKHOLZ NADINE</v>
      </c>
    </row>
    <row r="196" spans="1:7" x14ac:dyDescent="0.25">
      <c r="A196" s="8">
        <v>42986.819224537037</v>
      </c>
      <c r="B196" s="20" t="s">
        <v>414</v>
      </c>
      <c r="C196" s="20" t="s">
        <v>814</v>
      </c>
      <c r="D196" s="138">
        <v>2420000</v>
      </c>
      <c r="E196" s="20" t="s">
        <v>482</v>
      </c>
      <c r="F196" s="20" t="s">
        <v>483</v>
      </c>
      <c r="G196" s="8" t="str">
        <f t="shared" si="3"/>
        <v>HOLCOMB KAMDEN</v>
      </c>
    </row>
    <row r="197" spans="1:7" x14ac:dyDescent="0.25">
      <c r="A197" s="8">
        <v>42986.827164351853</v>
      </c>
      <c r="B197" s="20" t="s">
        <v>597</v>
      </c>
      <c r="C197" s="20" t="s">
        <v>632</v>
      </c>
      <c r="D197" s="138">
        <v>3190000</v>
      </c>
      <c r="E197" s="20" t="s">
        <v>450</v>
      </c>
      <c r="F197" s="20" t="s">
        <v>451</v>
      </c>
      <c r="G197" s="8" t="str">
        <f t="shared" si="3"/>
        <v>HART KEVIN</v>
      </c>
    </row>
    <row r="198" spans="1:7" x14ac:dyDescent="0.25">
      <c r="A198" s="8">
        <v>42986.827951388892</v>
      </c>
      <c r="B198" s="20" t="s">
        <v>633</v>
      </c>
      <c r="C198" s="20" t="s">
        <v>815</v>
      </c>
      <c r="D198" s="138">
        <v>2620000</v>
      </c>
      <c r="E198" s="20" t="s">
        <v>448</v>
      </c>
      <c r="F198" s="20" t="s">
        <v>449</v>
      </c>
      <c r="G198" s="8" t="str">
        <f t="shared" si="3"/>
        <v>PERKINS DARREN</v>
      </c>
    </row>
    <row r="199" spans="1:7" x14ac:dyDescent="0.25">
      <c r="A199" s="8">
        <v>42986.837361111109</v>
      </c>
      <c r="B199" s="20" t="s">
        <v>382</v>
      </c>
      <c r="C199" s="20" t="s">
        <v>816</v>
      </c>
      <c r="D199" s="138">
        <v>3280000</v>
      </c>
      <c r="E199" s="20" t="s">
        <v>452</v>
      </c>
      <c r="F199" s="20" t="s">
        <v>453</v>
      </c>
      <c r="G199" s="8" t="str">
        <f t="shared" si="3"/>
        <v>BIRKHOLZ NADINE</v>
      </c>
    </row>
    <row r="200" spans="1:7" x14ac:dyDescent="0.25">
      <c r="A200" s="8">
        <v>42986.841527777775</v>
      </c>
      <c r="B200" s="20" t="s">
        <v>424</v>
      </c>
      <c r="C200" s="20" t="s">
        <v>817</v>
      </c>
      <c r="D200" s="138">
        <v>3320000</v>
      </c>
      <c r="E200" s="20" t="s">
        <v>510</v>
      </c>
      <c r="F200" s="20" t="s">
        <v>511</v>
      </c>
      <c r="G200" s="8" t="str">
        <f t="shared" si="3"/>
        <v>NICHOLSON WESLEY</v>
      </c>
    </row>
    <row r="201" spans="1:7" x14ac:dyDescent="0.25">
      <c r="A201" s="8">
        <v>42986.846863425926</v>
      </c>
      <c r="B201" s="20" t="s">
        <v>428</v>
      </c>
      <c r="C201" s="20" t="s">
        <v>818</v>
      </c>
      <c r="D201" s="138">
        <v>2540000</v>
      </c>
      <c r="E201" s="20" t="s">
        <v>561</v>
      </c>
      <c r="F201" s="20" t="s">
        <v>562</v>
      </c>
      <c r="G201" s="8" t="str">
        <f t="shared" si="3"/>
        <v>MCREYNOLDS KYLE</v>
      </c>
    </row>
    <row r="202" spans="1:7" x14ac:dyDescent="0.25">
      <c r="A202" s="26">
        <v>42986.859212962961</v>
      </c>
      <c r="B202" s="20" t="s">
        <v>612</v>
      </c>
      <c r="C202" s="20" t="s">
        <v>819</v>
      </c>
      <c r="D202" s="138">
        <v>3280000</v>
      </c>
      <c r="E202" s="20" t="s">
        <v>452</v>
      </c>
      <c r="F202" s="20" t="s">
        <v>453</v>
      </c>
      <c r="G202" s="8" t="str">
        <f t="shared" si="3"/>
        <v>BIRKHOLZ NADINE</v>
      </c>
    </row>
    <row r="203" spans="1:7" x14ac:dyDescent="0.25">
      <c r="A203" s="8">
        <v>42986.860960648148</v>
      </c>
      <c r="B203" s="20" t="s">
        <v>643</v>
      </c>
      <c r="C203" s="20" t="s">
        <v>820</v>
      </c>
      <c r="D203" s="138">
        <v>2620000</v>
      </c>
      <c r="E203" s="20" t="s">
        <v>448</v>
      </c>
      <c r="F203" s="20" t="s">
        <v>449</v>
      </c>
      <c r="G203" s="8" t="str">
        <f t="shared" si="3"/>
        <v>PERKINS DARREN</v>
      </c>
    </row>
    <row r="204" spans="1:7" x14ac:dyDescent="0.25">
      <c r="A204" s="8">
        <v>42986.871215277781</v>
      </c>
      <c r="B204" s="20" t="s">
        <v>609</v>
      </c>
      <c r="C204" s="20" t="s">
        <v>821</v>
      </c>
      <c r="D204" s="138">
        <v>3190000</v>
      </c>
      <c r="E204" s="20" t="s">
        <v>450</v>
      </c>
      <c r="F204" s="20" t="s">
        <v>451</v>
      </c>
      <c r="G204" s="8" t="str">
        <f t="shared" si="3"/>
        <v>HART KEVIN</v>
      </c>
    </row>
    <row r="205" spans="1:7" x14ac:dyDescent="0.25">
      <c r="A205" s="8">
        <v>42986.877199074072</v>
      </c>
      <c r="B205" s="20" t="s">
        <v>382</v>
      </c>
      <c r="C205" s="20" t="s">
        <v>822</v>
      </c>
      <c r="D205" s="138">
        <v>2230000</v>
      </c>
      <c r="E205" s="20" t="s">
        <v>766</v>
      </c>
      <c r="F205" s="20" t="s">
        <v>191</v>
      </c>
      <c r="G205" s="8" t="str">
        <f t="shared" si="3"/>
        <v>SMITH MICHAEL</v>
      </c>
    </row>
    <row r="206" spans="1:7" x14ac:dyDescent="0.25">
      <c r="A206" s="8">
        <v>42986.882650462961</v>
      </c>
      <c r="B206" s="20" t="s">
        <v>479</v>
      </c>
      <c r="C206" s="20" t="s">
        <v>823</v>
      </c>
      <c r="D206" s="138">
        <v>2540000</v>
      </c>
      <c r="E206" s="20" t="s">
        <v>561</v>
      </c>
      <c r="F206" s="20" t="s">
        <v>562</v>
      </c>
      <c r="G206" s="8" t="str">
        <f t="shared" si="3"/>
        <v>MCREYNOLDS KYLE</v>
      </c>
    </row>
    <row r="207" spans="1:7" x14ac:dyDescent="0.25">
      <c r="A207" s="8">
        <v>42986.885393518518</v>
      </c>
      <c r="B207" s="20" t="s">
        <v>423</v>
      </c>
      <c r="C207" s="20" t="s">
        <v>824</v>
      </c>
      <c r="D207" s="138">
        <v>3320000</v>
      </c>
      <c r="E207" s="20" t="s">
        <v>510</v>
      </c>
      <c r="F207" s="20" t="s">
        <v>511</v>
      </c>
      <c r="G207" s="8" t="str">
        <f t="shared" si="3"/>
        <v>NICHOLSON WESLEY</v>
      </c>
    </row>
    <row r="208" spans="1:7" x14ac:dyDescent="0.25">
      <c r="A208" s="8">
        <v>42986.893680555557</v>
      </c>
      <c r="B208" s="20" t="s">
        <v>612</v>
      </c>
      <c r="C208" s="20" t="s">
        <v>825</v>
      </c>
      <c r="D208" s="138">
        <v>2230000</v>
      </c>
      <c r="E208" s="20" t="s">
        <v>766</v>
      </c>
      <c r="F208" s="20" t="s">
        <v>191</v>
      </c>
      <c r="G208" s="8" t="str">
        <f t="shared" si="3"/>
        <v>SMITH MICHAEL</v>
      </c>
    </row>
    <row r="209" spans="1:7" x14ac:dyDescent="0.25">
      <c r="A209" s="8">
        <v>42986.904513888891</v>
      </c>
      <c r="B209" s="20" t="s">
        <v>633</v>
      </c>
      <c r="C209" s="20" t="s">
        <v>634</v>
      </c>
      <c r="D209" s="138">
        <v>2620000</v>
      </c>
      <c r="E209" s="20" t="s">
        <v>448</v>
      </c>
      <c r="F209" s="20" t="s">
        <v>449</v>
      </c>
      <c r="G209" s="8" t="str">
        <f t="shared" si="3"/>
        <v>PERKINS DARREN</v>
      </c>
    </row>
    <row r="210" spans="1:7" x14ac:dyDescent="0.25">
      <c r="A210" s="8">
        <v>42986.912002314813</v>
      </c>
      <c r="B210" s="20" t="s">
        <v>597</v>
      </c>
      <c r="C210" s="20" t="s">
        <v>826</v>
      </c>
      <c r="D210" s="138">
        <v>3190000</v>
      </c>
      <c r="E210" s="20" t="s">
        <v>450</v>
      </c>
      <c r="F210" s="20" t="s">
        <v>451</v>
      </c>
      <c r="G210" s="8" t="str">
        <f t="shared" si="3"/>
        <v>HART KEVIN</v>
      </c>
    </row>
    <row r="211" spans="1:7" x14ac:dyDescent="0.25">
      <c r="A211" s="8">
        <v>42986.918090277781</v>
      </c>
      <c r="B211" s="20" t="s">
        <v>382</v>
      </c>
      <c r="C211" s="20" t="s">
        <v>827</v>
      </c>
      <c r="D211" s="138">
        <v>2230000</v>
      </c>
      <c r="E211" s="20" t="s">
        <v>766</v>
      </c>
      <c r="F211" s="20" t="s">
        <v>191</v>
      </c>
      <c r="G211" s="8" t="str">
        <f t="shared" si="3"/>
        <v>SMITH MICHAEL</v>
      </c>
    </row>
    <row r="212" spans="1:7" x14ac:dyDescent="0.25">
      <c r="A212" s="8">
        <v>42986.924085648148</v>
      </c>
      <c r="B212" s="20" t="s">
        <v>424</v>
      </c>
      <c r="C212" s="20" t="s">
        <v>828</v>
      </c>
      <c r="D212" s="138">
        <v>3320000</v>
      </c>
      <c r="E212" s="20" t="s">
        <v>510</v>
      </c>
      <c r="F212" s="20" t="s">
        <v>511</v>
      </c>
      <c r="G212" s="8" t="str">
        <f t="shared" si="3"/>
        <v>NICHOLSON WESLEY</v>
      </c>
    </row>
    <row r="213" spans="1:7" x14ac:dyDescent="0.25">
      <c r="A213" s="8">
        <v>42986.930983796294</v>
      </c>
      <c r="B213" s="20" t="s">
        <v>428</v>
      </c>
      <c r="C213" s="20" t="s">
        <v>829</v>
      </c>
      <c r="D213" s="138">
        <v>2540000</v>
      </c>
      <c r="E213" s="20" t="s">
        <v>561</v>
      </c>
      <c r="F213" s="20" t="s">
        <v>562</v>
      </c>
      <c r="G213" s="8" t="str">
        <f t="shared" si="3"/>
        <v>MCREYNOLDS KYLE</v>
      </c>
    </row>
    <row r="214" spans="1:7" x14ac:dyDescent="0.25">
      <c r="A214" s="8">
        <v>42986.934745370374</v>
      </c>
      <c r="B214" s="20" t="s">
        <v>612</v>
      </c>
      <c r="C214" s="20" t="s">
        <v>830</v>
      </c>
      <c r="D214" s="138">
        <v>2230000</v>
      </c>
      <c r="E214" s="20" t="s">
        <v>766</v>
      </c>
      <c r="F214" s="20" t="s">
        <v>191</v>
      </c>
      <c r="G214" s="8" t="str">
        <f t="shared" si="3"/>
        <v>SMITH MICHAEL</v>
      </c>
    </row>
    <row r="215" spans="1:7" x14ac:dyDescent="0.25">
      <c r="A215" s="8">
        <v>42986.944074074076</v>
      </c>
      <c r="B215" s="20" t="s">
        <v>643</v>
      </c>
      <c r="C215" s="20" t="s">
        <v>831</v>
      </c>
      <c r="D215" s="138">
        <v>2620000</v>
      </c>
      <c r="E215" s="20" t="s">
        <v>448</v>
      </c>
      <c r="F215" s="20" t="s">
        <v>449</v>
      </c>
      <c r="G215" s="8" t="str">
        <f t="shared" si="3"/>
        <v>PERKINS DARREN</v>
      </c>
    </row>
    <row r="216" spans="1:7" x14ac:dyDescent="0.25">
      <c r="A216" s="8">
        <v>42986.956076388888</v>
      </c>
      <c r="B216" s="20" t="s">
        <v>609</v>
      </c>
      <c r="C216" s="20" t="s">
        <v>832</v>
      </c>
      <c r="D216" s="138">
        <v>3190000</v>
      </c>
      <c r="E216" s="20" t="s">
        <v>450</v>
      </c>
      <c r="F216" s="20" t="s">
        <v>451</v>
      </c>
      <c r="G216" s="8" t="str">
        <f t="shared" si="3"/>
        <v>HART KEVIN</v>
      </c>
    </row>
    <row r="217" spans="1:7" x14ac:dyDescent="0.25">
      <c r="A217" s="8">
        <v>42986.957662037035</v>
      </c>
      <c r="B217" s="20" t="s">
        <v>382</v>
      </c>
      <c r="C217" s="20" t="s">
        <v>635</v>
      </c>
      <c r="D217" s="138">
        <v>2230000</v>
      </c>
      <c r="E217" s="20" t="s">
        <v>766</v>
      </c>
      <c r="F217" s="20" t="s">
        <v>191</v>
      </c>
      <c r="G217" s="8" t="str">
        <f t="shared" si="3"/>
        <v>SMITH MICHAEL</v>
      </c>
    </row>
    <row r="218" spans="1:7" x14ac:dyDescent="0.25">
      <c r="A218" s="8">
        <v>42986.970891203702</v>
      </c>
      <c r="B218" s="20" t="s">
        <v>479</v>
      </c>
      <c r="C218" s="20" t="s">
        <v>833</v>
      </c>
      <c r="D218" s="138">
        <v>2540000</v>
      </c>
      <c r="E218" s="20" t="s">
        <v>561</v>
      </c>
      <c r="F218" s="20" t="s">
        <v>562</v>
      </c>
      <c r="G218" s="8" t="str">
        <f t="shared" si="3"/>
        <v>MCREYNOLDS KYLE</v>
      </c>
    </row>
    <row r="219" spans="1:7" x14ac:dyDescent="0.25">
      <c r="A219" s="8">
        <v>42986.972384259258</v>
      </c>
      <c r="B219" s="20" t="s">
        <v>423</v>
      </c>
      <c r="C219" s="20" t="s">
        <v>636</v>
      </c>
      <c r="D219" s="138">
        <v>3320000</v>
      </c>
      <c r="E219" s="20" t="s">
        <v>510</v>
      </c>
      <c r="F219" s="20" t="s">
        <v>511</v>
      </c>
      <c r="G219" s="8" t="str">
        <f t="shared" si="3"/>
        <v>NICHOLSON WESLEY</v>
      </c>
    </row>
    <row r="220" spans="1:7" x14ac:dyDescent="0.25">
      <c r="A220" s="8">
        <v>42986.977199074077</v>
      </c>
      <c r="B220" s="20" t="s">
        <v>612</v>
      </c>
      <c r="C220" s="20" t="s">
        <v>834</v>
      </c>
      <c r="D220" s="138">
        <v>2230000</v>
      </c>
      <c r="E220" s="20" t="s">
        <v>766</v>
      </c>
      <c r="F220" s="20" t="s">
        <v>191</v>
      </c>
      <c r="G220" s="8" t="str">
        <f t="shared" si="3"/>
        <v>SMITH MICHAEL</v>
      </c>
    </row>
    <row r="221" spans="1:7" x14ac:dyDescent="0.25">
      <c r="A221" s="8">
        <v>42986.986041666663</v>
      </c>
      <c r="B221" s="20" t="s">
        <v>633</v>
      </c>
      <c r="C221" s="20" t="s">
        <v>637</v>
      </c>
      <c r="D221" s="138">
        <v>2620000</v>
      </c>
      <c r="E221" s="20" t="s">
        <v>448</v>
      </c>
      <c r="F221" s="20" t="s">
        <v>449</v>
      </c>
      <c r="G221" s="8" t="str">
        <f t="shared" si="3"/>
        <v>PERKINS DARREN</v>
      </c>
    </row>
    <row r="222" spans="1:7" x14ac:dyDescent="0.25">
      <c r="A222" s="8">
        <v>42986.995509259257</v>
      </c>
      <c r="B222" s="20" t="s">
        <v>597</v>
      </c>
      <c r="C222" s="20" t="s">
        <v>835</v>
      </c>
      <c r="D222" s="138">
        <v>3190000</v>
      </c>
      <c r="E222" s="20" t="s">
        <v>450</v>
      </c>
      <c r="F222" s="20" t="s">
        <v>451</v>
      </c>
      <c r="G222" s="8" t="str">
        <f t="shared" si="3"/>
        <v>HART KEVIN</v>
      </c>
    </row>
    <row r="223" spans="1:7" x14ac:dyDescent="0.25">
      <c r="A223" s="8">
        <v>42987.013206018521</v>
      </c>
      <c r="B223" s="20" t="s">
        <v>428</v>
      </c>
      <c r="C223" s="20" t="s">
        <v>836</v>
      </c>
      <c r="D223" s="138">
        <v>2540000</v>
      </c>
      <c r="E223" s="20" t="s">
        <v>561</v>
      </c>
      <c r="F223" s="20" t="s">
        <v>562</v>
      </c>
      <c r="G223" s="8" t="str">
        <f t="shared" si="3"/>
        <v>MCREYNOLDS KYLE</v>
      </c>
    </row>
    <row r="224" spans="1:7" x14ac:dyDescent="0.25">
      <c r="A224" s="8">
        <v>42987.018993055557</v>
      </c>
      <c r="B224" t="s">
        <v>424</v>
      </c>
      <c r="C224" t="s">
        <v>837</v>
      </c>
      <c r="D224" s="138">
        <v>3320000</v>
      </c>
      <c r="E224" t="s">
        <v>510</v>
      </c>
      <c r="F224" s="20" t="s">
        <v>511</v>
      </c>
      <c r="G224" s="8" t="str">
        <f t="shared" si="3"/>
        <v>NICHOLSON WESLEY</v>
      </c>
    </row>
    <row r="225" spans="1:7" x14ac:dyDescent="0.25">
      <c r="A225" s="8">
        <v>42987.031122685185</v>
      </c>
      <c r="B225" t="s">
        <v>643</v>
      </c>
      <c r="C225" t="s">
        <v>838</v>
      </c>
      <c r="D225" s="138">
        <v>2620000</v>
      </c>
      <c r="E225" t="s">
        <v>448</v>
      </c>
      <c r="F225" s="20" t="s">
        <v>449</v>
      </c>
      <c r="G225" s="8" t="str">
        <f t="shared" si="3"/>
        <v>PERKINS DARREN</v>
      </c>
    </row>
    <row r="226" spans="1:7" x14ac:dyDescent="0.25">
      <c r="A226" s="8">
        <v>42987.038043981483</v>
      </c>
      <c r="B226" t="s">
        <v>609</v>
      </c>
      <c r="C226" t="s">
        <v>839</v>
      </c>
      <c r="D226" s="138">
        <v>3190000</v>
      </c>
      <c r="E226" t="s">
        <v>450</v>
      </c>
      <c r="F226" s="20" t="s">
        <v>451</v>
      </c>
      <c r="G226" s="8" t="str">
        <f t="shared" si="3"/>
        <v>HART KEVIN</v>
      </c>
    </row>
    <row r="227" spans="1:7" x14ac:dyDescent="0.25">
      <c r="A227" s="8">
        <v>42987.047893518517</v>
      </c>
      <c r="B227" t="s">
        <v>479</v>
      </c>
      <c r="C227" t="s">
        <v>840</v>
      </c>
      <c r="D227" s="138">
        <v>2540000</v>
      </c>
      <c r="E227" t="s">
        <v>561</v>
      </c>
      <c r="F227" s="20" t="s">
        <v>562</v>
      </c>
      <c r="G227" s="8" t="str">
        <f t="shared" si="3"/>
        <v>MCREYNOLDS KYLE</v>
      </c>
    </row>
    <row r="228" spans="1:7" x14ac:dyDescent="0.25">
      <c r="A228" s="8">
        <v>42987.051249999997</v>
      </c>
      <c r="B228" t="s">
        <v>423</v>
      </c>
      <c r="C228" t="s">
        <v>841</v>
      </c>
      <c r="D228" s="138">
        <v>3320000</v>
      </c>
      <c r="E228" t="s">
        <v>510</v>
      </c>
      <c r="F228" s="20" t="s">
        <v>511</v>
      </c>
      <c r="G228" s="8" t="str">
        <f t="shared" si="3"/>
        <v>NICHOLSON WESLEY</v>
      </c>
    </row>
    <row r="229" spans="1:7" x14ac:dyDescent="0.25">
      <c r="A229" s="8">
        <v>42987.068784722222</v>
      </c>
      <c r="B229" t="s">
        <v>633</v>
      </c>
      <c r="C229" t="s">
        <v>842</v>
      </c>
      <c r="D229" s="138">
        <v>2620000</v>
      </c>
      <c r="E229" t="s">
        <v>448</v>
      </c>
      <c r="F229" s="20" t="s">
        <v>449</v>
      </c>
      <c r="G229" s="8" t="str">
        <f t="shared" si="3"/>
        <v>PERKINS DARREN</v>
      </c>
    </row>
    <row r="230" spans="1:7" x14ac:dyDescent="0.25">
      <c r="A230" s="8">
        <v>42987.08</v>
      </c>
      <c r="B230" t="s">
        <v>597</v>
      </c>
      <c r="C230" t="s">
        <v>843</v>
      </c>
      <c r="D230" s="138">
        <v>3190000</v>
      </c>
      <c r="E230" t="s">
        <v>450</v>
      </c>
      <c r="F230" s="20" t="s">
        <v>451</v>
      </c>
      <c r="G230" s="8" t="str">
        <f t="shared" si="3"/>
        <v>HART KEVIN</v>
      </c>
    </row>
    <row r="231" spans="1:7" x14ac:dyDescent="0.25">
      <c r="A231" s="8">
        <v>42987.092349537037</v>
      </c>
      <c r="B231" t="s">
        <v>424</v>
      </c>
      <c r="C231" t="s">
        <v>844</v>
      </c>
      <c r="D231" s="138">
        <v>3320000</v>
      </c>
      <c r="E231" t="s">
        <v>510</v>
      </c>
      <c r="F231" s="20" t="s">
        <v>511</v>
      </c>
      <c r="G231" s="8" t="str">
        <f t="shared" si="3"/>
        <v>NICHOLSON WESLEY</v>
      </c>
    </row>
    <row r="232" spans="1:7" x14ac:dyDescent="0.25">
      <c r="A232" s="8">
        <v>42987.108124999999</v>
      </c>
      <c r="B232" t="s">
        <v>609</v>
      </c>
      <c r="C232" t="s">
        <v>845</v>
      </c>
      <c r="D232" s="138">
        <v>3190000</v>
      </c>
      <c r="E232" t="s">
        <v>450</v>
      </c>
      <c r="F232" s="20" t="s">
        <v>451</v>
      </c>
      <c r="G232" s="8" t="str">
        <f t="shared" si="3"/>
        <v>HART KEVIN</v>
      </c>
    </row>
    <row r="233" spans="1:7" x14ac:dyDescent="0.25">
      <c r="A233" s="8">
        <v>42986.091238425928</v>
      </c>
      <c r="B233" t="s">
        <v>476</v>
      </c>
      <c r="C233" t="s">
        <v>567</v>
      </c>
      <c r="D233" s="138">
        <v>2620000</v>
      </c>
      <c r="E233" t="s">
        <v>448</v>
      </c>
      <c r="F233" s="20" t="s">
        <v>449</v>
      </c>
      <c r="G233" s="8" t="str">
        <f t="shared" si="3"/>
        <v>PERKINS DARREN</v>
      </c>
    </row>
    <row r="234" spans="1:7" x14ac:dyDescent="0.25">
      <c r="A234" s="8">
        <v>42986.11</v>
      </c>
      <c r="B234" t="s">
        <v>470</v>
      </c>
      <c r="C234" t="s">
        <v>568</v>
      </c>
      <c r="D234" s="138">
        <v>1830000</v>
      </c>
      <c r="E234" t="s">
        <v>395</v>
      </c>
      <c r="F234" s="20" t="s">
        <v>396</v>
      </c>
      <c r="G234" s="8" t="str">
        <f t="shared" si="3"/>
        <v>YORK EDGAR</v>
      </c>
    </row>
    <row r="235" spans="1:7" x14ac:dyDescent="0.25">
      <c r="A235" s="8">
        <v>42984.810856481483</v>
      </c>
      <c r="B235" t="s">
        <v>469</v>
      </c>
      <c r="C235" t="s">
        <v>485</v>
      </c>
      <c r="D235" s="138">
        <v>3220000</v>
      </c>
      <c r="E235" t="s">
        <v>387</v>
      </c>
      <c r="F235" s="20" t="s">
        <v>388</v>
      </c>
      <c r="G235" s="8" t="str">
        <f t="shared" si="3"/>
        <v>RESPASS AARON</v>
      </c>
    </row>
    <row r="236" spans="1:7" x14ac:dyDescent="0.25">
      <c r="A236" s="8">
        <v>42984.811157407406</v>
      </c>
      <c r="B236" t="s">
        <v>471</v>
      </c>
      <c r="C236" t="s">
        <v>486</v>
      </c>
      <c r="D236" s="138">
        <v>2680000</v>
      </c>
      <c r="E236" t="s">
        <v>426</v>
      </c>
      <c r="F236" s="20" t="s">
        <v>427</v>
      </c>
      <c r="G236" s="8" t="str">
        <f t="shared" si="3"/>
        <v>DUNCAN SHEILA</v>
      </c>
    </row>
    <row r="237" spans="1:7" x14ac:dyDescent="0.25">
      <c r="A237" s="8">
        <v>42984.820023148146</v>
      </c>
      <c r="B237" t="s">
        <v>382</v>
      </c>
      <c r="C237" t="s">
        <v>487</v>
      </c>
      <c r="D237" s="138">
        <v>2420000</v>
      </c>
      <c r="E237" t="s">
        <v>482</v>
      </c>
      <c r="F237" s="20" t="s">
        <v>483</v>
      </c>
      <c r="G237" s="8" t="str">
        <f t="shared" si="3"/>
        <v>HOLCOMB KAMDEN</v>
      </c>
    </row>
    <row r="238" spans="1:7" x14ac:dyDescent="0.25">
      <c r="A238" s="8">
        <v>42984.822974537034</v>
      </c>
      <c r="B238" t="s">
        <v>468</v>
      </c>
      <c r="C238" t="s">
        <v>488</v>
      </c>
      <c r="D238" s="138">
        <v>2620000</v>
      </c>
      <c r="E238" t="s">
        <v>448</v>
      </c>
      <c r="F238" s="20" t="s">
        <v>449</v>
      </c>
      <c r="G238" s="8" t="str">
        <f t="shared" si="3"/>
        <v>PERKINS DARREN</v>
      </c>
    </row>
    <row r="239" spans="1:7" x14ac:dyDescent="0.25">
      <c r="A239" s="8">
        <v>42984.831747685188</v>
      </c>
      <c r="B239" t="s">
        <v>479</v>
      </c>
      <c r="C239" t="s">
        <v>489</v>
      </c>
      <c r="D239" s="138">
        <v>890000</v>
      </c>
      <c r="E239" t="s">
        <v>376</v>
      </c>
      <c r="F239" s="20" t="s">
        <v>377</v>
      </c>
      <c r="G239" s="8" t="str">
        <f t="shared" si="3"/>
        <v>LOZA FIDEL</v>
      </c>
    </row>
    <row r="240" spans="1:7" x14ac:dyDescent="0.25">
      <c r="A240" s="8">
        <v>42984.837013888886</v>
      </c>
      <c r="B240" t="s">
        <v>476</v>
      </c>
      <c r="C240" t="s">
        <v>490</v>
      </c>
      <c r="D240" s="138">
        <v>1180000</v>
      </c>
      <c r="E240" t="s">
        <v>412</v>
      </c>
      <c r="F240" s="20" t="s">
        <v>413</v>
      </c>
      <c r="G240" s="8" t="str">
        <f t="shared" si="3"/>
        <v>LEVERE CRAIG</v>
      </c>
    </row>
    <row r="241" spans="1:7" x14ac:dyDescent="0.25">
      <c r="A241" s="8">
        <v>42984.841840277775</v>
      </c>
      <c r="B241" t="s">
        <v>470</v>
      </c>
      <c r="C241" t="s">
        <v>491</v>
      </c>
      <c r="D241" s="138">
        <v>2680000</v>
      </c>
      <c r="E241" t="s">
        <v>426</v>
      </c>
      <c r="F241" s="20" t="s">
        <v>427</v>
      </c>
      <c r="G241" s="8" t="str">
        <f t="shared" si="3"/>
        <v>DUNCAN SHEILA</v>
      </c>
    </row>
    <row r="242" spans="1:7" x14ac:dyDescent="0.25">
      <c r="A242" s="8">
        <v>42984.849594907406</v>
      </c>
      <c r="B242" t="s">
        <v>437</v>
      </c>
      <c r="C242" t="s">
        <v>492</v>
      </c>
      <c r="D242" s="138">
        <v>3190000</v>
      </c>
      <c r="E242" t="s">
        <v>450</v>
      </c>
      <c r="F242" s="20" t="s">
        <v>451</v>
      </c>
      <c r="G242" s="8" t="str">
        <f t="shared" si="3"/>
        <v>HART KEVIN</v>
      </c>
    </row>
    <row r="243" spans="1:7" x14ac:dyDescent="0.25">
      <c r="A243" s="8">
        <v>42984.852233796293</v>
      </c>
      <c r="B243" t="s">
        <v>469</v>
      </c>
      <c r="C243" t="s">
        <v>493</v>
      </c>
      <c r="D243" s="138">
        <v>1180000</v>
      </c>
      <c r="E243" t="s">
        <v>412</v>
      </c>
      <c r="F243" s="20" t="s">
        <v>413</v>
      </c>
      <c r="G243" s="8" t="str">
        <f t="shared" si="3"/>
        <v>LEVERE CRAIG</v>
      </c>
    </row>
    <row r="244" spans="1:7" x14ac:dyDescent="0.25">
      <c r="A244" s="8">
        <v>42984.864201388889</v>
      </c>
      <c r="B244" t="s">
        <v>414</v>
      </c>
      <c r="C244" t="s">
        <v>494</v>
      </c>
      <c r="D244" s="138">
        <v>2620000</v>
      </c>
      <c r="E244" t="s">
        <v>448</v>
      </c>
      <c r="F244" s="20" t="s">
        <v>449</v>
      </c>
      <c r="G244" s="8" t="str">
        <f t="shared" si="3"/>
        <v>PERKINS DARREN</v>
      </c>
    </row>
    <row r="245" spans="1:7" x14ac:dyDescent="0.25">
      <c r="A245" s="8">
        <v>42984.869398148148</v>
      </c>
      <c r="B245" t="s">
        <v>428</v>
      </c>
      <c r="C245" t="s">
        <v>495</v>
      </c>
      <c r="D245" s="138">
        <v>890000</v>
      </c>
      <c r="E245" t="s">
        <v>376</v>
      </c>
      <c r="F245" s="20" t="s">
        <v>377</v>
      </c>
      <c r="G245" s="8" t="str">
        <f t="shared" si="3"/>
        <v>LOZA FIDEL</v>
      </c>
    </row>
    <row r="246" spans="1:7" x14ac:dyDescent="0.25">
      <c r="A246" s="8">
        <v>42984.879340277781</v>
      </c>
      <c r="B246" t="s">
        <v>476</v>
      </c>
      <c r="C246" t="s">
        <v>496</v>
      </c>
      <c r="D246" s="138">
        <v>3490000</v>
      </c>
      <c r="E246" t="s">
        <v>378</v>
      </c>
      <c r="F246" s="20" t="s">
        <v>379</v>
      </c>
      <c r="G246" s="8" t="str">
        <f t="shared" si="3"/>
        <v>WEST BRYAN</v>
      </c>
    </row>
    <row r="247" spans="1:7" x14ac:dyDescent="0.25">
      <c r="A247" s="8">
        <v>42984.88045138889</v>
      </c>
      <c r="B247" t="s">
        <v>471</v>
      </c>
      <c r="C247" t="s">
        <v>497</v>
      </c>
      <c r="D247" s="138">
        <v>2680000</v>
      </c>
      <c r="E247" t="s">
        <v>426</v>
      </c>
      <c r="F247" s="20" t="s">
        <v>427</v>
      </c>
      <c r="G247" s="8" t="str">
        <f t="shared" si="3"/>
        <v>DUNCAN SHEILA</v>
      </c>
    </row>
    <row r="248" spans="1:7" x14ac:dyDescent="0.25">
      <c r="A248" s="8">
        <v>42984.89267361111</v>
      </c>
      <c r="B248" t="s">
        <v>469</v>
      </c>
      <c r="C248" t="s">
        <v>498</v>
      </c>
      <c r="D248" s="138">
        <v>3490000</v>
      </c>
      <c r="E248" t="s">
        <v>378</v>
      </c>
      <c r="F248" s="20" t="s">
        <v>379</v>
      </c>
      <c r="G248" s="8" t="str">
        <f t="shared" si="3"/>
        <v>WEST BRYAN</v>
      </c>
    </row>
    <row r="249" spans="1:7" x14ac:dyDescent="0.25">
      <c r="A249" s="8">
        <v>42984.892777777779</v>
      </c>
      <c r="B249" t="s">
        <v>438</v>
      </c>
      <c r="C249" t="s">
        <v>499</v>
      </c>
      <c r="D249" s="138">
        <v>3190000</v>
      </c>
      <c r="E249" t="s">
        <v>450</v>
      </c>
      <c r="F249" s="20" t="s">
        <v>451</v>
      </c>
      <c r="G249" s="8" t="str">
        <f t="shared" si="3"/>
        <v>HART KEVIN</v>
      </c>
    </row>
    <row r="250" spans="1:7" x14ac:dyDescent="0.25">
      <c r="A250" s="8">
        <v>42984.907199074078</v>
      </c>
      <c r="B250" t="s">
        <v>468</v>
      </c>
      <c r="C250" t="s">
        <v>500</v>
      </c>
      <c r="D250" s="138">
        <v>2620000</v>
      </c>
      <c r="E250" t="s">
        <v>448</v>
      </c>
      <c r="F250" s="20" t="s">
        <v>449</v>
      </c>
      <c r="G250" s="8" t="str">
        <f t="shared" si="3"/>
        <v>PERKINS DARREN</v>
      </c>
    </row>
    <row r="251" spans="1:7" x14ac:dyDescent="0.25">
      <c r="A251" s="8">
        <v>42984.915034722224</v>
      </c>
      <c r="B251" t="s">
        <v>479</v>
      </c>
      <c r="C251" t="s">
        <v>501</v>
      </c>
      <c r="D251" s="138">
        <v>890000</v>
      </c>
      <c r="E251" t="s">
        <v>376</v>
      </c>
      <c r="F251" s="20" t="s">
        <v>377</v>
      </c>
      <c r="G251" s="8" t="str">
        <f t="shared" si="3"/>
        <v>LOZA FIDEL</v>
      </c>
    </row>
    <row r="252" spans="1:7" x14ac:dyDescent="0.25">
      <c r="A252" s="8">
        <v>42984.91915509259</v>
      </c>
      <c r="B252" t="s">
        <v>476</v>
      </c>
      <c r="C252" t="s">
        <v>502</v>
      </c>
      <c r="D252" s="138">
        <v>3490000</v>
      </c>
      <c r="E252" t="s">
        <v>378</v>
      </c>
      <c r="F252" s="20" t="s">
        <v>379</v>
      </c>
      <c r="G252" s="8" t="str">
        <f t="shared" si="3"/>
        <v>WEST BRYAN</v>
      </c>
    </row>
    <row r="253" spans="1:7" x14ac:dyDescent="0.25">
      <c r="A253" s="8">
        <v>42984.923252314817</v>
      </c>
      <c r="B253" t="s">
        <v>470</v>
      </c>
      <c r="C253" t="s">
        <v>503</v>
      </c>
      <c r="D253" s="138">
        <v>2680000</v>
      </c>
      <c r="E253" t="s">
        <v>426</v>
      </c>
      <c r="F253" s="20" t="s">
        <v>427</v>
      </c>
      <c r="G253" s="8" t="str">
        <f t="shared" si="3"/>
        <v>DUNCAN SHEILA</v>
      </c>
    </row>
    <row r="254" spans="1:7" x14ac:dyDescent="0.25">
      <c r="A254" s="8">
        <v>42984.928993055553</v>
      </c>
      <c r="B254" t="s">
        <v>437</v>
      </c>
      <c r="C254" t="s">
        <v>504</v>
      </c>
      <c r="D254" s="138">
        <v>3190000</v>
      </c>
      <c r="E254" t="s">
        <v>450</v>
      </c>
      <c r="F254" s="20" t="s">
        <v>451</v>
      </c>
      <c r="G254" s="8" t="str">
        <f t="shared" si="3"/>
        <v>HART KEVIN</v>
      </c>
    </row>
    <row r="255" spans="1:7" x14ac:dyDescent="0.25">
      <c r="A255" s="8">
        <v>42984.93545138889</v>
      </c>
      <c r="B255" t="s">
        <v>469</v>
      </c>
      <c r="C255" t="s">
        <v>505</v>
      </c>
      <c r="D255" s="138">
        <v>3490000</v>
      </c>
      <c r="E255" t="s">
        <v>378</v>
      </c>
      <c r="F255" s="20" t="s">
        <v>379</v>
      </c>
      <c r="G255" s="8" t="str">
        <f t="shared" si="3"/>
        <v>WEST BRYAN</v>
      </c>
    </row>
    <row r="256" spans="1:7" x14ac:dyDescent="0.25">
      <c r="A256" s="8">
        <v>42984.944201388891</v>
      </c>
      <c r="B256" t="s">
        <v>414</v>
      </c>
      <c r="C256" t="s">
        <v>506</v>
      </c>
      <c r="D256" s="138">
        <v>2620000</v>
      </c>
      <c r="E256" t="s">
        <v>448</v>
      </c>
      <c r="F256" s="20" t="s">
        <v>449</v>
      </c>
      <c r="G256" s="8" t="str">
        <f t="shared" si="3"/>
        <v>PERKINS DARREN</v>
      </c>
    </row>
    <row r="257" spans="1:7" x14ac:dyDescent="0.25">
      <c r="A257" s="8">
        <v>42984.955381944441</v>
      </c>
      <c r="B257" t="s">
        <v>414</v>
      </c>
      <c r="C257" t="s">
        <v>506</v>
      </c>
      <c r="D257" s="138">
        <v>2620000</v>
      </c>
      <c r="E257" t="s">
        <v>448</v>
      </c>
      <c r="F257" s="20" t="s">
        <v>449</v>
      </c>
      <c r="G257" s="8" t="str">
        <f t="shared" si="3"/>
        <v>PERKINS DARREN</v>
      </c>
    </row>
    <row r="258" spans="1:7" x14ac:dyDescent="0.25">
      <c r="A258" s="8">
        <v>42984.955405092594</v>
      </c>
      <c r="B258" t="s">
        <v>428</v>
      </c>
      <c r="C258" t="s">
        <v>507</v>
      </c>
      <c r="D258" s="138">
        <v>890000</v>
      </c>
      <c r="E258" t="s">
        <v>376</v>
      </c>
      <c r="F258" s="20" t="s">
        <v>377</v>
      </c>
      <c r="G258" s="8" t="str">
        <f t="shared" si="3"/>
        <v>LOZA FIDEL</v>
      </c>
    </row>
    <row r="259" spans="1:7" x14ac:dyDescent="0.25">
      <c r="A259" s="8">
        <v>42984.963391203702</v>
      </c>
      <c r="B259" t="s">
        <v>476</v>
      </c>
      <c r="C259" t="s">
        <v>508</v>
      </c>
      <c r="D259" s="138">
        <v>3490000</v>
      </c>
      <c r="E259" t="s">
        <v>378</v>
      </c>
      <c r="F259" s="20" t="s">
        <v>379</v>
      </c>
      <c r="G259" s="8" t="str">
        <f t="shared" ref="G259:G273" si="4">E259&amp;" "&amp;F259</f>
        <v>WEST BRYAN</v>
      </c>
    </row>
    <row r="260" spans="1:7" x14ac:dyDescent="0.25">
      <c r="A260" s="8">
        <v>42984.966168981482</v>
      </c>
      <c r="B260" t="s">
        <v>471</v>
      </c>
      <c r="C260" t="s">
        <v>509</v>
      </c>
      <c r="D260" s="138">
        <v>3320000</v>
      </c>
      <c r="E260" t="s">
        <v>510</v>
      </c>
      <c r="F260" s="20" t="s">
        <v>511</v>
      </c>
      <c r="G260" s="8" t="str">
        <f t="shared" si="4"/>
        <v>NICHOLSON WESLEY</v>
      </c>
    </row>
    <row r="261" spans="1:7" x14ac:dyDescent="0.25">
      <c r="A261" s="8">
        <v>42984.973449074074</v>
      </c>
      <c r="B261" t="s">
        <v>438</v>
      </c>
      <c r="C261" t="s">
        <v>512</v>
      </c>
      <c r="D261" s="138">
        <v>3190000</v>
      </c>
      <c r="E261" t="s">
        <v>450</v>
      </c>
      <c r="F261" s="20" t="s">
        <v>451</v>
      </c>
      <c r="G261" s="8" t="str">
        <f t="shared" si="4"/>
        <v>HART KEVIN</v>
      </c>
    </row>
    <row r="262" spans="1:7" x14ac:dyDescent="0.25">
      <c r="A262" s="8">
        <v>42984.975162037037</v>
      </c>
      <c r="B262" t="s">
        <v>469</v>
      </c>
      <c r="C262" t="s">
        <v>513</v>
      </c>
      <c r="D262" s="138">
        <v>3490000</v>
      </c>
      <c r="E262" t="s">
        <v>378</v>
      </c>
      <c r="F262" s="20" t="s">
        <v>379</v>
      </c>
      <c r="G262" s="8" t="str">
        <f t="shared" si="4"/>
        <v>WEST BRYAN</v>
      </c>
    </row>
    <row r="263" spans="1:7" x14ac:dyDescent="0.25">
      <c r="A263" s="8">
        <v>42984.993217592593</v>
      </c>
      <c r="B263" t="s">
        <v>468</v>
      </c>
      <c r="C263" t="s">
        <v>514</v>
      </c>
      <c r="D263" s="138">
        <v>2620000</v>
      </c>
      <c r="E263" t="s">
        <v>448</v>
      </c>
      <c r="F263" s="20" t="s">
        <v>449</v>
      </c>
      <c r="G263" s="8" t="str">
        <f t="shared" si="4"/>
        <v>PERKINS DARREN</v>
      </c>
    </row>
    <row r="264" spans="1:7" x14ac:dyDescent="0.25">
      <c r="A264" s="8">
        <v>42984.998888888891</v>
      </c>
      <c r="B264" t="s">
        <v>479</v>
      </c>
      <c r="C264" t="s">
        <v>515</v>
      </c>
      <c r="D264" s="138">
        <v>890000</v>
      </c>
      <c r="E264" t="s">
        <v>376</v>
      </c>
      <c r="F264" s="20" t="s">
        <v>377</v>
      </c>
      <c r="G264" s="8" t="str">
        <f t="shared" si="4"/>
        <v>LOZA FIDEL</v>
      </c>
    </row>
    <row r="265" spans="1:7" x14ac:dyDescent="0.25">
      <c r="A265" s="8">
        <v>42985.008680555555</v>
      </c>
      <c r="B265" t="s">
        <v>468</v>
      </c>
      <c r="C265" t="s">
        <v>514</v>
      </c>
      <c r="D265" s="138">
        <v>2620000</v>
      </c>
      <c r="E265" t="s">
        <v>448</v>
      </c>
      <c r="F265" s="20" t="s">
        <v>449</v>
      </c>
      <c r="G265" s="8" t="str">
        <f t="shared" si="4"/>
        <v>PERKINS DARREN</v>
      </c>
    </row>
    <row r="266" spans="1:7" x14ac:dyDescent="0.25">
      <c r="A266" s="8">
        <v>42985.011296296296</v>
      </c>
      <c r="B266" t="s">
        <v>470</v>
      </c>
      <c r="C266" t="s">
        <v>516</v>
      </c>
      <c r="D266" s="138">
        <v>3320000</v>
      </c>
      <c r="E266" t="s">
        <v>510</v>
      </c>
      <c r="F266" s="20" t="s">
        <v>511</v>
      </c>
      <c r="G266" s="8" t="str">
        <f t="shared" si="4"/>
        <v>NICHOLSON WESLEY</v>
      </c>
    </row>
    <row r="267" spans="1:7" x14ac:dyDescent="0.25">
      <c r="A267" s="8">
        <v>42985.017731481479</v>
      </c>
      <c r="B267" t="s">
        <v>437</v>
      </c>
      <c r="C267" t="s">
        <v>517</v>
      </c>
      <c r="D267" s="138">
        <v>3190000</v>
      </c>
      <c r="E267" t="s">
        <v>450</v>
      </c>
      <c r="F267" s="20" t="s">
        <v>451</v>
      </c>
      <c r="G267" s="8" t="str">
        <f t="shared" si="4"/>
        <v>HART KEVIN</v>
      </c>
    </row>
    <row r="268" spans="1:7" x14ac:dyDescent="0.25">
      <c r="A268" s="8">
        <v>42985.028749999998</v>
      </c>
      <c r="B268" t="s">
        <v>414</v>
      </c>
      <c r="C268" t="s">
        <v>518</v>
      </c>
      <c r="D268" s="138">
        <v>2620000</v>
      </c>
      <c r="E268" t="s">
        <v>448</v>
      </c>
      <c r="F268" s="20" t="s">
        <v>449</v>
      </c>
      <c r="G268" s="8" t="str">
        <f t="shared" si="4"/>
        <v>PERKINS DARREN</v>
      </c>
    </row>
    <row r="269" spans="1:7" x14ac:dyDescent="0.25">
      <c r="A269" s="8">
        <v>42985.037442129629</v>
      </c>
      <c r="B269" t="s">
        <v>428</v>
      </c>
      <c r="C269" t="s">
        <v>519</v>
      </c>
      <c r="D269" s="138">
        <v>890000</v>
      </c>
      <c r="E269" t="s">
        <v>376</v>
      </c>
      <c r="F269" s="20" t="s">
        <v>377</v>
      </c>
      <c r="G269" s="8" t="str">
        <f t="shared" si="4"/>
        <v>LOZA FIDEL</v>
      </c>
    </row>
    <row r="270" spans="1:7" x14ac:dyDescent="0.25">
      <c r="A270" s="8">
        <v>42985.050081018519</v>
      </c>
      <c r="B270" t="s">
        <v>471</v>
      </c>
      <c r="C270" t="s">
        <v>520</v>
      </c>
      <c r="D270" s="138">
        <v>2680000</v>
      </c>
      <c r="E270" t="s">
        <v>426</v>
      </c>
      <c r="F270" s="20" t="s">
        <v>427</v>
      </c>
      <c r="G270" s="8" t="str">
        <f t="shared" si="4"/>
        <v>DUNCAN SHEILA</v>
      </c>
    </row>
    <row r="271" spans="1:7" x14ac:dyDescent="0.25">
      <c r="A271" s="8">
        <v>42985.058425925927</v>
      </c>
      <c r="B271" t="s">
        <v>438</v>
      </c>
      <c r="C271" t="s">
        <v>521</v>
      </c>
      <c r="D271" s="138">
        <v>3190000</v>
      </c>
      <c r="E271" t="s">
        <v>450</v>
      </c>
      <c r="F271" s="20" t="s">
        <v>451</v>
      </c>
      <c r="G271" s="8" t="str">
        <f t="shared" si="4"/>
        <v>HART KEVIN</v>
      </c>
    </row>
    <row r="272" spans="1:7" x14ac:dyDescent="0.25">
      <c r="A272" s="8">
        <v>42985.067395833335</v>
      </c>
      <c r="B272" t="s">
        <v>479</v>
      </c>
      <c r="C272" t="s">
        <v>522</v>
      </c>
      <c r="D272" s="138">
        <v>890000</v>
      </c>
      <c r="E272" t="s">
        <v>376</v>
      </c>
      <c r="F272" s="20" t="s">
        <v>377</v>
      </c>
      <c r="G272" s="8" t="str">
        <f t="shared" si="4"/>
        <v>LOZA FIDEL</v>
      </c>
    </row>
    <row r="273" spans="1:7" x14ac:dyDescent="0.25">
      <c r="A273" s="8">
        <v>42985.088564814818</v>
      </c>
      <c r="B273" t="s">
        <v>437</v>
      </c>
      <c r="C273" t="s">
        <v>472</v>
      </c>
      <c r="D273" s="138">
        <v>3190000</v>
      </c>
      <c r="E273" t="s">
        <v>450</v>
      </c>
      <c r="F273" s="20" t="s">
        <v>451</v>
      </c>
      <c r="G273" s="8" t="str">
        <f t="shared" si="4"/>
        <v>HART KEVIN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846</v>
      </c>
      <c r="K1" s="168" t="s">
        <v>159</v>
      </c>
      <c r="L1" s="168" t="s">
        <v>157</v>
      </c>
      <c r="M1" s="168" t="s">
        <v>152</v>
      </c>
      <c r="N1" s="168" t="s">
        <v>162</v>
      </c>
      <c r="O1" s="168" t="s">
        <v>349</v>
      </c>
      <c r="P1" s="168" t="s">
        <v>156</v>
      </c>
      <c r="Q1" s="168" t="s">
        <v>163</v>
      </c>
      <c r="R1" s="168" t="s">
        <v>350</v>
      </c>
      <c r="S1" s="168" t="s">
        <v>160</v>
      </c>
    </row>
    <row r="2" spans="1:19" x14ac:dyDescent="0.25">
      <c r="A2" s="169">
        <v>61.38</v>
      </c>
      <c r="B2" s="169">
        <v>0.02</v>
      </c>
      <c r="C2" s="169">
        <v>41.89</v>
      </c>
      <c r="D2" s="8">
        <v>42986</v>
      </c>
      <c r="E2" s="169">
        <v>0.49</v>
      </c>
      <c r="F2" s="169" t="s">
        <v>372</v>
      </c>
      <c r="G2" s="169">
        <v>288.20999999999998</v>
      </c>
      <c r="H2" s="169">
        <v>0</v>
      </c>
      <c r="I2" s="169">
        <v>0</v>
      </c>
      <c r="J2" s="169"/>
      <c r="K2" s="169">
        <v>1012.88</v>
      </c>
      <c r="L2" s="169" t="s">
        <v>371</v>
      </c>
      <c r="M2" s="169">
        <v>61.38</v>
      </c>
      <c r="N2" s="169">
        <v>1504850400</v>
      </c>
      <c r="O2" s="169">
        <v>0</v>
      </c>
      <c r="P2" s="169">
        <v>2.99</v>
      </c>
      <c r="Q2" s="169">
        <v>256</v>
      </c>
      <c r="R2" s="169">
        <v>2.81</v>
      </c>
      <c r="S2" s="169">
        <v>1.04</v>
      </c>
    </row>
    <row r="3" spans="1:19" x14ac:dyDescent="0.25">
      <c r="A3" s="169">
        <v>60.7</v>
      </c>
      <c r="B3" s="169">
        <v>0.01</v>
      </c>
      <c r="C3" s="169">
        <v>41.6</v>
      </c>
      <c r="D3" s="8">
        <v>42986.041666666664</v>
      </c>
      <c r="E3" s="169">
        <v>0.49</v>
      </c>
      <c r="F3" s="169" t="s">
        <v>372</v>
      </c>
      <c r="G3" s="169">
        <v>287.64</v>
      </c>
      <c r="H3" s="169">
        <v>0</v>
      </c>
      <c r="I3" s="169">
        <v>0</v>
      </c>
      <c r="J3" s="169"/>
      <c r="K3" s="169">
        <v>1013.02</v>
      </c>
      <c r="L3" s="169" t="s">
        <v>371</v>
      </c>
      <c r="M3" s="169">
        <v>60.7</v>
      </c>
      <c r="N3" s="169">
        <v>1504854000</v>
      </c>
      <c r="O3" s="169">
        <v>0</v>
      </c>
      <c r="P3" s="169">
        <v>3.34</v>
      </c>
      <c r="Q3" s="169">
        <v>250</v>
      </c>
      <c r="R3" s="169">
        <v>3.44</v>
      </c>
      <c r="S3" s="169">
        <v>1.07</v>
      </c>
    </row>
    <row r="4" spans="1:19" x14ac:dyDescent="0.25">
      <c r="A4" s="169">
        <v>59.22</v>
      </c>
      <c r="B4" s="169">
        <v>0</v>
      </c>
      <c r="C4" s="169">
        <v>42.37</v>
      </c>
      <c r="D4" s="8">
        <v>42986.083333333336</v>
      </c>
      <c r="E4" s="169">
        <v>0.54</v>
      </c>
      <c r="F4" s="169" t="s">
        <v>372</v>
      </c>
      <c r="G4" s="169">
        <v>287.3</v>
      </c>
      <c r="H4" s="169">
        <v>0</v>
      </c>
      <c r="I4" s="169">
        <v>0</v>
      </c>
      <c r="J4" s="169"/>
      <c r="K4" s="169">
        <v>1012.8</v>
      </c>
      <c r="L4" s="169" t="s">
        <v>371</v>
      </c>
      <c r="M4" s="169">
        <v>59.22</v>
      </c>
      <c r="N4" s="169">
        <v>1504857600</v>
      </c>
      <c r="O4" s="169">
        <v>0</v>
      </c>
      <c r="P4" s="169">
        <v>3.16</v>
      </c>
      <c r="Q4" s="169">
        <v>246</v>
      </c>
      <c r="R4" s="169">
        <v>2.56</v>
      </c>
      <c r="S4" s="169">
        <v>0.83</v>
      </c>
    </row>
    <row r="5" spans="1:19" x14ac:dyDescent="0.25">
      <c r="A5" s="169">
        <v>58.54</v>
      </c>
      <c r="B5" s="169">
        <v>0</v>
      </c>
      <c r="C5" s="169">
        <v>42.43</v>
      </c>
      <c r="D5" s="8">
        <v>42986.125</v>
      </c>
      <c r="E5" s="169">
        <v>0.55000000000000004</v>
      </c>
      <c r="F5" s="169" t="s">
        <v>372</v>
      </c>
      <c r="G5" s="169">
        <v>287.18</v>
      </c>
      <c r="H5" s="169">
        <v>0</v>
      </c>
      <c r="I5" s="169">
        <v>0</v>
      </c>
      <c r="J5" s="169"/>
      <c r="K5" s="169">
        <v>1013.53</v>
      </c>
      <c r="L5" s="169" t="s">
        <v>371</v>
      </c>
      <c r="M5" s="169">
        <v>58.54</v>
      </c>
      <c r="N5" s="169">
        <v>1504861200</v>
      </c>
      <c r="O5" s="169">
        <v>0</v>
      </c>
      <c r="P5" s="169">
        <v>4.9000000000000004</v>
      </c>
      <c r="Q5" s="169">
        <v>239</v>
      </c>
      <c r="R5" s="169">
        <v>2.59</v>
      </c>
      <c r="S5" s="169">
        <v>1.1000000000000001</v>
      </c>
    </row>
    <row r="6" spans="1:19" x14ac:dyDescent="0.25">
      <c r="A6" s="169">
        <v>56.47</v>
      </c>
      <c r="B6" s="169">
        <v>0</v>
      </c>
      <c r="C6" s="169">
        <v>42.83</v>
      </c>
      <c r="D6" s="8">
        <v>42986.166666666664</v>
      </c>
      <c r="E6" s="169">
        <v>0.6</v>
      </c>
      <c r="F6" s="169" t="s">
        <v>372</v>
      </c>
      <c r="G6" s="169">
        <v>287.06</v>
      </c>
      <c r="H6" s="169">
        <v>0</v>
      </c>
      <c r="I6" s="169">
        <v>0</v>
      </c>
      <c r="J6" s="169"/>
      <c r="K6" s="169">
        <v>1013.2</v>
      </c>
      <c r="L6" s="169" t="s">
        <v>371</v>
      </c>
      <c r="M6" s="169">
        <v>56.47</v>
      </c>
      <c r="N6" s="169">
        <v>1504864800</v>
      </c>
      <c r="O6" s="169">
        <v>0</v>
      </c>
      <c r="P6" s="169">
        <v>3.01</v>
      </c>
      <c r="Q6" s="169">
        <v>247</v>
      </c>
      <c r="R6" s="169">
        <v>2.4500000000000002</v>
      </c>
      <c r="S6" s="169">
        <v>0.9</v>
      </c>
    </row>
    <row r="7" spans="1:19" x14ac:dyDescent="0.25">
      <c r="A7" s="169">
        <v>54.56</v>
      </c>
      <c r="B7" s="169">
        <v>0</v>
      </c>
      <c r="C7" s="169">
        <v>43.42</v>
      </c>
      <c r="D7" s="8">
        <v>42986.208333333336</v>
      </c>
      <c r="E7" s="169">
        <v>0.66</v>
      </c>
      <c r="F7" s="169" t="s">
        <v>372</v>
      </c>
      <c r="G7" s="169">
        <v>287.06</v>
      </c>
      <c r="H7" s="169">
        <v>0</v>
      </c>
      <c r="I7" s="169">
        <v>0</v>
      </c>
      <c r="J7" s="169"/>
      <c r="K7" s="169">
        <v>1014.37</v>
      </c>
      <c r="L7" s="169" t="s">
        <v>371</v>
      </c>
      <c r="M7" s="169">
        <v>54.56</v>
      </c>
      <c r="N7" s="169">
        <v>1504868400</v>
      </c>
      <c r="O7" s="169">
        <v>0</v>
      </c>
      <c r="P7" s="169">
        <v>2.79</v>
      </c>
      <c r="Q7" s="169">
        <v>246</v>
      </c>
      <c r="R7" s="169">
        <v>2.06</v>
      </c>
      <c r="S7" s="169">
        <v>0.87</v>
      </c>
    </row>
    <row r="8" spans="1:19" x14ac:dyDescent="0.25">
      <c r="A8" s="169">
        <v>53.17</v>
      </c>
      <c r="B8" s="169">
        <v>0.01</v>
      </c>
      <c r="C8" s="169">
        <v>43.51</v>
      </c>
      <c r="D8" s="8">
        <v>42986.25</v>
      </c>
      <c r="E8" s="169">
        <v>0.7</v>
      </c>
      <c r="F8" s="169" t="s">
        <v>372</v>
      </c>
      <c r="G8" s="169">
        <v>289.01</v>
      </c>
      <c r="H8" s="169">
        <v>0</v>
      </c>
      <c r="I8" s="169">
        <v>0</v>
      </c>
      <c r="J8" s="169"/>
      <c r="K8" s="169">
        <v>1014.14</v>
      </c>
      <c r="L8" s="169" t="s">
        <v>371</v>
      </c>
      <c r="M8" s="169">
        <v>53.17</v>
      </c>
      <c r="N8" s="169">
        <v>1504872000</v>
      </c>
      <c r="O8" s="169">
        <v>0</v>
      </c>
      <c r="P8" s="169">
        <v>3.82</v>
      </c>
      <c r="Q8" s="169">
        <v>201</v>
      </c>
      <c r="R8" s="169">
        <v>2.06</v>
      </c>
      <c r="S8" s="169">
        <v>0.87</v>
      </c>
    </row>
    <row r="9" spans="1:19" x14ac:dyDescent="0.25">
      <c r="A9" s="169">
        <v>52.75</v>
      </c>
      <c r="B9" s="169">
        <v>0</v>
      </c>
      <c r="C9" s="169">
        <v>43.84</v>
      </c>
      <c r="D9" s="8">
        <v>42986.291666666664</v>
      </c>
      <c r="E9" s="169">
        <v>0.72</v>
      </c>
      <c r="F9" s="169" t="s">
        <v>370</v>
      </c>
      <c r="G9" s="169">
        <v>289.24</v>
      </c>
      <c r="H9" s="169">
        <v>0</v>
      </c>
      <c r="I9" s="169">
        <v>0</v>
      </c>
      <c r="J9" s="169"/>
      <c r="K9" s="169">
        <v>1015.16</v>
      </c>
      <c r="L9" s="169" t="s">
        <v>371</v>
      </c>
      <c r="M9" s="169">
        <v>52.75</v>
      </c>
      <c r="N9" s="169">
        <v>1504875600</v>
      </c>
      <c r="O9" s="169">
        <v>0</v>
      </c>
      <c r="P9" s="169">
        <v>3.15</v>
      </c>
      <c r="Q9" s="169">
        <v>180</v>
      </c>
      <c r="R9" s="169">
        <v>1.81</v>
      </c>
      <c r="S9" s="169">
        <v>0.62</v>
      </c>
    </row>
    <row r="10" spans="1:19" x14ac:dyDescent="0.25">
      <c r="A10" s="169">
        <v>55.41</v>
      </c>
      <c r="B10" s="169">
        <v>0</v>
      </c>
      <c r="C10" s="169">
        <v>45.59</v>
      </c>
      <c r="D10" s="8">
        <v>42986.333333333336</v>
      </c>
      <c r="E10" s="169">
        <v>0.69</v>
      </c>
      <c r="F10" s="169" t="s">
        <v>370</v>
      </c>
      <c r="G10" s="169">
        <v>289.25</v>
      </c>
      <c r="H10" s="169">
        <v>0</v>
      </c>
      <c r="I10" s="169">
        <v>0</v>
      </c>
      <c r="J10" s="169"/>
      <c r="K10" s="169">
        <v>1015.38</v>
      </c>
      <c r="L10" s="169" t="s">
        <v>371</v>
      </c>
      <c r="M10" s="169">
        <v>55.41</v>
      </c>
      <c r="N10" s="169">
        <v>1504879200</v>
      </c>
      <c r="O10" s="169">
        <v>1</v>
      </c>
      <c r="P10" s="169">
        <v>3.25</v>
      </c>
      <c r="Q10" s="169">
        <v>160</v>
      </c>
      <c r="R10" s="169">
        <v>2.23</v>
      </c>
      <c r="S10" s="169">
        <v>0.37</v>
      </c>
    </row>
    <row r="11" spans="1:19" x14ac:dyDescent="0.25">
      <c r="A11" s="169">
        <v>62.39</v>
      </c>
      <c r="B11" s="169">
        <v>0</v>
      </c>
      <c r="C11" s="169">
        <v>46.83</v>
      </c>
      <c r="D11" s="8">
        <v>42986.375</v>
      </c>
      <c r="E11" s="169">
        <v>0.56999999999999995</v>
      </c>
      <c r="F11" s="169" t="s">
        <v>370</v>
      </c>
      <c r="G11" s="169">
        <v>289.13</v>
      </c>
      <c r="H11" s="169">
        <v>0</v>
      </c>
      <c r="I11" s="169">
        <v>0</v>
      </c>
      <c r="J11" s="169"/>
      <c r="K11" s="169">
        <v>1015.25</v>
      </c>
      <c r="L11" s="169" t="s">
        <v>371</v>
      </c>
      <c r="M11" s="169">
        <v>62.39</v>
      </c>
      <c r="N11" s="169">
        <v>1504882800</v>
      </c>
      <c r="O11" s="169">
        <v>2</v>
      </c>
      <c r="P11" s="169">
        <v>3.11</v>
      </c>
      <c r="Q11" s="169">
        <v>240</v>
      </c>
      <c r="R11" s="169">
        <v>2.76</v>
      </c>
      <c r="S11" s="169">
        <v>0.48</v>
      </c>
    </row>
    <row r="12" spans="1:19" x14ac:dyDescent="0.25">
      <c r="A12" s="169">
        <v>68.239999999999995</v>
      </c>
      <c r="B12" s="169">
        <v>0</v>
      </c>
      <c r="C12" s="169">
        <v>47.6</v>
      </c>
      <c r="D12" s="8">
        <v>42986.416666666664</v>
      </c>
      <c r="E12" s="169">
        <v>0.48</v>
      </c>
      <c r="F12" s="169" t="s">
        <v>370</v>
      </c>
      <c r="G12" s="169">
        <v>288.8</v>
      </c>
      <c r="H12" s="169">
        <v>0</v>
      </c>
      <c r="I12" s="169">
        <v>0</v>
      </c>
      <c r="J12" s="169"/>
      <c r="K12" s="169">
        <v>1015.18</v>
      </c>
      <c r="L12" s="169" t="s">
        <v>371</v>
      </c>
      <c r="M12" s="169">
        <v>68.239999999999995</v>
      </c>
      <c r="N12" s="169">
        <v>1504886400</v>
      </c>
      <c r="O12" s="169">
        <v>3</v>
      </c>
      <c r="P12" s="169">
        <v>3.34</v>
      </c>
      <c r="Q12" s="169">
        <v>303</v>
      </c>
      <c r="R12" s="169">
        <v>3.17</v>
      </c>
      <c r="S12" s="169">
        <v>0.68</v>
      </c>
    </row>
    <row r="13" spans="1:19" x14ac:dyDescent="0.25">
      <c r="A13" s="169">
        <v>72.459999999999994</v>
      </c>
      <c r="B13" s="169">
        <v>0.02</v>
      </c>
      <c r="C13" s="169">
        <v>47.15</v>
      </c>
      <c r="D13" s="8">
        <v>42986.458333333336</v>
      </c>
      <c r="E13" s="169">
        <v>0.41</v>
      </c>
      <c r="F13" s="169" t="s">
        <v>370</v>
      </c>
      <c r="G13" s="169">
        <v>288.45</v>
      </c>
      <c r="H13" s="169">
        <v>0</v>
      </c>
      <c r="I13" s="169">
        <v>0</v>
      </c>
      <c r="J13" s="169"/>
      <c r="K13" s="169">
        <v>1014.89</v>
      </c>
      <c r="L13" s="169" t="s">
        <v>371</v>
      </c>
      <c r="M13" s="169">
        <v>72.459999999999994</v>
      </c>
      <c r="N13" s="169">
        <v>1504890000</v>
      </c>
      <c r="O13" s="169">
        <v>6</v>
      </c>
      <c r="P13" s="169">
        <v>3.84</v>
      </c>
      <c r="Q13" s="169">
        <v>26</v>
      </c>
      <c r="R13" s="169">
        <v>3.89</v>
      </c>
      <c r="S13" s="169">
        <v>0.4</v>
      </c>
    </row>
    <row r="14" spans="1:19" x14ac:dyDescent="0.25">
      <c r="A14" s="169">
        <v>76.16</v>
      </c>
      <c r="B14" s="169">
        <v>0.04</v>
      </c>
      <c r="C14" s="169">
        <v>47.06</v>
      </c>
      <c r="D14" s="8">
        <v>42986.5</v>
      </c>
      <c r="E14" s="169">
        <v>0.36</v>
      </c>
      <c r="F14" s="169" t="s">
        <v>370</v>
      </c>
      <c r="G14" s="169">
        <v>289.26</v>
      </c>
      <c r="H14" s="169">
        <v>0</v>
      </c>
      <c r="I14" s="169">
        <v>0</v>
      </c>
      <c r="J14" s="169"/>
      <c r="K14" s="169">
        <v>1014.39</v>
      </c>
      <c r="L14" s="169" t="s">
        <v>371</v>
      </c>
      <c r="M14" s="169">
        <v>76.16</v>
      </c>
      <c r="N14" s="169">
        <v>1504893600</v>
      </c>
      <c r="O14" s="169">
        <v>7</v>
      </c>
      <c r="P14" s="169">
        <v>4.0999999999999996</v>
      </c>
      <c r="Q14" s="169">
        <v>38</v>
      </c>
      <c r="R14" s="169">
        <v>4.18</v>
      </c>
      <c r="S14" s="169">
        <v>0.83</v>
      </c>
    </row>
    <row r="15" spans="1:19" x14ac:dyDescent="0.25">
      <c r="A15" s="169">
        <v>78.48</v>
      </c>
      <c r="B15" s="169">
        <v>0.06</v>
      </c>
      <c r="C15" s="169">
        <v>46.97</v>
      </c>
      <c r="D15" s="8">
        <v>42986.541666666664</v>
      </c>
      <c r="E15" s="169">
        <v>0.33</v>
      </c>
      <c r="F15" s="169" t="s">
        <v>370</v>
      </c>
      <c r="G15" s="169">
        <v>289.37</v>
      </c>
      <c r="H15" s="169">
        <v>0</v>
      </c>
      <c r="I15" s="169">
        <v>0</v>
      </c>
      <c r="J15" s="169"/>
      <c r="K15" s="169">
        <v>1013.25</v>
      </c>
      <c r="L15" s="169" t="s">
        <v>371</v>
      </c>
      <c r="M15" s="169">
        <v>78.48</v>
      </c>
      <c r="N15" s="169">
        <v>1504897200</v>
      </c>
      <c r="O15" s="169">
        <v>8</v>
      </c>
      <c r="P15" s="169">
        <v>3.34</v>
      </c>
      <c r="Q15" s="169">
        <v>29</v>
      </c>
      <c r="R15" s="169">
        <v>4.97</v>
      </c>
      <c r="S15" s="169">
        <v>0.59</v>
      </c>
    </row>
    <row r="16" spans="1:19" x14ac:dyDescent="0.25">
      <c r="A16" s="169">
        <v>81.38</v>
      </c>
      <c r="B16" s="169">
        <v>0.14000000000000001</v>
      </c>
      <c r="C16" s="169">
        <v>46.24</v>
      </c>
      <c r="D16" s="8">
        <v>42986.583333333336</v>
      </c>
      <c r="E16" s="169">
        <v>0.28999999999999998</v>
      </c>
      <c r="F16" s="169" t="s">
        <v>370</v>
      </c>
      <c r="G16" s="169">
        <v>289.49</v>
      </c>
      <c r="H16" s="169">
        <v>0</v>
      </c>
      <c r="I16" s="169">
        <v>0</v>
      </c>
      <c r="J16" s="169"/>
      <c r="K16" s="169">
        <v>1012.71</v>
      </c>
      <c r="L16" s="169" t="s">
        <v>371</v>
      </c>
      <c r="M16" s="169">
        <v>81.38</v>
      </c>
      <c r="N16" s="169">
        <v>1504900800</v>
      </c>
      <c r="O16" s="169">
        <v>7</v>
      </c>
      <c r="P16" s="169">
        <v>3.58</v>
      </c>
      <c r="Q16" s="169">
        <v>104</v>
      </c>
      <c r="R16" s="169">
        <v>5.24</v>
      </c>
      <c r="S16" s="169">
        <v>0.26</v>
      </c>
    </row>
    <row r="17" spans="1:19" x14ac:dyDescent="0.25">
      <c r="A17" s="169">
        <v>82.81</v>
      </c>
      <c r="B17" s="169">
        <v>0.13</v>
      </c>
      <c r="C17" s="169">
        <v>45.72</v>
      </c>
      <c r="D17" s="8">
        <v>42986.625</v>
      </c>
      <c r="E17" s="169">
        <v>0.27</v>
      </c>
      <c r="F17" s="169" t="s">
        <v>370</v>
      </c>
      <c r="G17" s="169">
        <v>289.70999999999998</v>
      </c>
      <c r="H17" s="169">
        <v>0</v>
      </c>
      <c r="I17" s="169">
        <v>0</v>
      </c>
      <c r="J17" s="169"/>
      <c r="K17" s="169">
        <v>1012.14</v>
      </c>
      <c r="L17" s="169" t="s">
        <v>371</v>
      </c>
      <c r="M17" s="169">
        <v>82.81</v>
      </c>
      <c r="N17" s="169">
        <v>1504904400</v>
      </c>
      <c r="O17" s="169">
        <v>5</v>
      </c>
      <c r="P17" s="169">
        <v>3.66</v>
      </c>
      <c r="Q17" s="169">
        <v>32</v>
      </c>
      <c r="R17" s="169">
        <v>6.12</v>
      </c>
      <c r="S17" s="169">
        <v>1.38</v>
      </c>
    </row>
    <row r="18" spans="1:19" x14ac:dyDescent="0.25">
      <c r="A18" s="169">
        <v>81.430000000000007</v>
      </c>
      <c r="B18" s="169">
        <v>0.22</v>
      </c>
      <c r="C18" s="169">
        <v>44.92</v>
      </c>
      <c r="D18" s="8">
        <v>42986.666666666664</v>
      </c>
      <c r="E18" s="169">
        <v>0.28000000000000003</v>
      </c>
      <c r="F18" s="169" t="s">
        <v>370</v>
      </c>
      <c r="G18" s="169">
        <v>290.05</v>
      </c>
      <c r="H18" s="169">
        <v>0</v>
      </c>
      <c r="I18" s="169">
        <v>0</v>
      </c>
      <c r="J18" s="169"/>
      <c r="K18" s="169">
        <v>1012.02</v>
      </c>
      <c r="L18" s="169" t="s">
        <v>371</v>
      </c>
      <c r="M18" s="169">
        <v>81.430000000000007</v>
      </c>
      <c r="N18" s="169">
        <v>1504908000</v>
      </c>
      <c r="O18" s="169">
        <v>3</v>
      </c>
      <c r="P18" s="169">
        <v>3.84</v>
      </c>
      <c r="Q18" s="169">
        <v>312</v>
      </c>
      <c r="R18" s="169">
        <v>7.81</v>
      </c>
      <c r="S18" s="169">
        <v>1.42</v>
      </c>
    </row>
    <row r="19" spans="1:19" x14ac:dyDescent="0.25">
      <c r="A19" s="169">
        <v>81.42</v>
      </c>
      <c r="B19" s="169">
        <v>0.28999999999999998</v>
      </c>
      <c r="C19" s="169">
        <v>45.45</v>
      </c>
      <c r="D19" s="8">
        <v>42986.708333333336</v>
      </c>
      <c r="E19" s="169">
        <v>0.28000000000000003</v>
      </c>
      <c r="F19" s="169" t="s">
        <v>847</v>
      </c>
      <c r="G19" s="169">
        <v>290.5</v>
      </c>
      <c r="H19" s="169">
        <v>0</v>
      </c>
      <c r="I19" s="169">
        <v>0</v>
      </c>
      <c r="J19" s="169"/>
      <c r="K19" s="169">
        <v>1012.49</v>
      </c>
      <c r="L19" s="169" t="s">
        <v>848</v>
      </c>
      <c r="M19" s="169">
        <v>81.42</v>
      </c>
      <c r="N19" s="169">
        <v>1504911600</v>
      </c>
      <c r="O19" s="169">
        <v>1</v>
      </c>
      <c r="P19" s="169">
        <v>3.79</v>
      </c>
      <c r="Q19" s="169">
        <v>272</v>
      </c>
      <c r="R19" s="169">
        <v>7.17</v>
      </c>
      <c r="S19" s="169">
        <v>1.61</v>
      </c>
    </row>
    <row r="20" spans="1:19" x14ac:dyDescent="0.25">
      <c r="A20" s="169">
        <v>81.16</v>
      </c>
      <c r="B20" s="169">
        <v>0.25</v>
      </c>
      <c r="C20" s="169">
        <v>45.37</v>
      </c>
      <c r="D20" s="8">
        <v>42986.75</v>
      </c>
      <c r="E20" s="169">
        <v>0.28000000000000003</v>
      </c>
      <c r="F20" s="169" t="s">
        <v>847</v>
      </c>
      <c r="G20" s="169">
        <v>292.52999999999997</v>
      </c>
      <c r="H20" s="169">
        <v>0</v>
      </c>
      <c r="I20" s="169">
        <v>0</v>
      </c>
      <c r="J20" s="169"/>
      <c r="K20" s="169">
        <v>1012.63</v>
      </c>
      <c r="L20" s="169" t="s">
        <v>848</v>
      </c>
      <c r="M20" s="169">
        <v>81.16</v>
      </c>
      <c r="N20" s="169">
        <v>1504915200</v>
      </c>
      <c r="O20" s="169">
        <v>1</v>
      </c>
      <c r="P20" s="169">
        <v>3.79</v>
      </c>
      <c r="Q20" s="169">
        <v>26</v>
      </c>
      <c r="R20" s="169">
        <v>3.41</v>
      </c>
      <c r="S20" s="169">
        <v>0.49</v>
      </c>
    </row>
    <row r="21" spans="1:19" x14ac:dyDescent="0.25">
      <c r="A21" s="169">
        <v>78.19</v>
      </c>
      <c r="B21" s="169">
        <v>0.12</v>
      </c>
      <c r="C21" s="169">
        <v>46.14</v>
      </c>
      <c r="D21" s="8">
        <v>42986.791666666664</v>
      </c>
      <c r="E21" s="169">
        <v>0.32</v>
      </c>
      <c r="F21" s="169" t="s">
        <v>370</v>
      </c>
      <c r="G21" s="169">
        <v>292.97000000000003</v>
      </c>
      <c r="H21" s="169">
        <v>0</v>
      </c>
      <c r="I21" s="169">
        <v>0</v>
      </c>
      <c r="J21" s="169"/>
      <c r="K21" s="169">
        <v>1013.3</v>
      </c>
      <c r="L21" s="169" t="s">
        <v>371</v>
      </c>
      <c r="M21" s="169">
        <v>78.19</v>
      </c>
      <c r="N21" s="169">
        <v>1504918800</v>
      </c>
      <c r="O21" s="169">
        <v>0</v>
      </c>
      <c r="P21" s="169">
        <v>3.53</v>
      </c>
      <c r="Q21" s="169">
        <v>115</v>
      </c>
      <c r="R21" s="169">
        <v>5.5</v>
      </c>
      <c r="S21" s="169">
        <v>1.76</v>
      </c>
    </row>
    <row r="22" spans="1:19" x14ac:dyDescent="0.25">
      <c r="A22" s="169">
        <v>74.650000000000006</v>
      </c>
      <c r="B22" s="169">
        <v>0.24</v>
      </c>
      <c r="C22" s="169">
        <v>46.27</v>
      </c>
      <c r="D22" s="8">
        <v>42986.833333333336</v>
      </c>
      <c r="E22" s="169">
        <v>0.36</v>
      </c>
      <c r="F22" s="169" t="s">
        <v>372</v>
      </c>
      <c r="G22" s="169">
        <v>293.19</v>
      </c>
      <c r="H22" s="169">
        <v>0</v>
      </c>
      <c r="I22" s="169">
        <v>0</v>
      </c>
      <c r="J22" s="169"/>
      <c r="K22" s="169">
        <v>1013.61</v>
      </c>
      <c r="L22" s="169" t="s">
        <v>371</v>
      </c>
      <c r="M22" s="169">
        <v>74.650000000000006</v>
      </c>
      <c r="N22" s="169">
        <v>1504922400</v>
      </c>
      <c r="O22" s="169">
        <v>0</v>
      </c>
      <c r="P22" s="169">
        <v>3.74</v>
      </c>
      <c r="Q22" s="169">
        <v>128</v>
      </c>
      <c r="R22" s="169">
        <v>3.53</v>
      </c>
      <c r="S22" s="169">
        <v>0.77</v>
      </c>
    </row>
    <row r="23" spans="1:19" x14ac:dyDescent="0.25">
      <c r="A23" s="169">
        <v>72.25</v>
      </c>
      <c r="B23" s="169">
        <v>0.56999999999999995</v>
      </c>
      <c r="C23" s="169">
        <v>46.82</v>
      </c>
      <c r="D23" s="8">
        <v>42986.875</v>
      </c>
      <c r="E23" s="169">
        <v>0.4</v>
      </c>
      <c r="F23" s="169" t="s">
        <v>849</v>
      </c>
      <c r="G23" s="169">
        <v>293.3</v>
      </c>
      <c r="H23" s="169">
        <v>0</v>
      </c>
      <c r="I23" s="169">
        <v>0</v>
      </c>
      <c r="J23" s="169"/>
      <c r="K23" s="169">
        <v>1014.31</v>
      </c>
      <c r="L23" s="169" t="s">
        <v>848</v>
      </c>
      <c r="M23" s="169">
        <v>72.25</v>
      </c>
      <c r="N23" s="169">
        <v>1504926000</v>
      </c>
      <c r="O23" s="169">
        <v>0</v>
      </c>
      <c r="P23" s="169">
        <v>3.74</v>
      </c>
      <c r="Q23" s="169">
        <v>317</v>
      </c>
      <c r="R23" s="169">
        <v>4.67</v>
      </c>
      <c r="S23" s="169">
        <v>1.44</v>
      </c>
    </row>
    <row r="24" spans="1:19" x14ac:dyDescent="0.25">
      <c r="A24" s="169">
        <v>70.14</v>
      </c>
      <c r="B24" s="169">
        <v>0.18</v>
      </c>
      <c r="C24" s="169">
        <v>47.25</v>
      </c>
      <c r="D24" s="8">
        <v>42986.916666666664</v>
      </c>
      <c r="E24" s="169">
        <v>0.44</v>
      </c>
      <c r="F24" s="169" t="s">
        <v>372</v>
      </c>
      <c r="G24" s="169">
        <v>293.3</v>
      </c>
      <c r="H24" s="169">
        <v>1E-4</v>
      </c>
      <c r="I24" s="169">
        <v>0.01</v>
      </c>
      <c r="J24" s="169" t="s">
        <v>850</v>
      </c>
      <c r="K24" s="169">
        <v>1014.36</v>
      </c>
      <c r="L24" s="169" t="s">
        <v>371</v>
      </c>
      <c r="M24" s="169">
        <v>70.14</v>
      </c>
      <c r="N24" s="169">
        <v>1504929600</v>
      </c>
      <c r="O24" s="169">
        <v>0</v>
      </c>
      <c r="P24" s="169">
        <v>3.91</v>
      </c>
      <c r="Q24" s="169">
        <v>304</v>
      </c>
      <c r="R24" s="169">
        <v>3.38</v>
      </c>
      <c r="S24" s="169">
        <v>0.76</v>
      </c>
    </row>
    <row r="25" spans="1:19" x14ac:dyDescent="0.25">
      <c r="A25" s="169">
        <v>66.14</v>
      </c>
      <c r="B25" s="169">
        <v>0.11</v>
      </c>
      <c r="C25" s="169">
        <v>47.51</v>
      </c>
      <c r="D25" s="8">
        <v>42986.958333333336</v>
      </c>
      <c r="E25" s="169">
        <v>0.51</v>
      </c>
      <c r="F25" s="169" t="s">
        <v>372</v>
      </c>
      <c r="G25" s="169">
        <v>293.08999999999997</v>
      </c>
      <c r="H25" s="169">
        <v>0</v>
      </c>
      <c r="I25" s="169">
        <v>0</v>
      </c>
      <c r="J25" s="169"/>
      <c r="K25" s="169">
        <v>1014.25</v>
      </c>
      <c r="L25" s="169" t="s">
        <v>371</v>
      </c>
      <c r="M25" s="169">
        <v>66.14</v>
      </c>
      <c r="N25" s="169">
        <v>1504933200</v>
      </c>
      <c r="O25" s="169">
        <v>0</v>
      </c>
      <c r="P25" s="169">
        <v>3.96</v>
      </c>
      <c r="Q25" s="169">
        <v>182</v>
      </c>
      <c r="R25" s="169">
        <v>2.2400000000000002</v>
      </c>
      <c r="S25" s="169">
        <v>0.85</v>
      </c>
    </row>
    <row r="26" spans="1:19" x14ac:dyDescent="0.25">
      <c r="A26" s="169">
        <v>64.72</v>
      </c>
      <c r="B26" s="169">
        <v>0.04</v>
      </c>
      <c r="C26" s="169">
        <v>46.79</v>
      </c>
      <c r="D26" s="8">
        <v>42987</v>
      </c>
      <c r="E26" s="169">
        <v>0.52</v>
      </c>
      <c r="F26" s="169" t="s">
        <v>372</v>
      </c>
      <c r="G26" s="169">
        <v>292.64</v>
      </c>
      <c r="H26" s="169">
        <v>0</v>
      </c>
      <c r="I26" s="169">
        <v>0</v>
      </c>
      <c r="J26" s="169"/>
      <c r="K26" s="169">
        <v>1014.15</v>
      </c>
      <c r="L26" s="169" t="s">
        <v>371</v>
      </c>
      <c r="M26" s="169">
        <v>64.72</v>
      </c>
      <c r="N26" s="169">
        <v>1504936800</v>
      </c>
      <c r="O26" s="169">
        <v>0</v>
      </c>
      <c r="P26" s="169">
        <v>3.47</v>
      </c>
      <c r="Q26" s="169">
        <v>218</v>
      </c>
      <c r="R26" s="169">
        <v>2.85</v>
      </c>
      <c r="S26" s="169">
        <v>1.04</v>
      </c>
    </row>
    <row r="27" spans="1:19" x14ac:dyDescent="0.25">
      <c r="A27" s="169">
        <v>62.61</v>
      </c>
      <c r="B27" s="169">
        <v>0.02</v>
      </c>
      <c r="C27" s="169">
        <v>45.97</v>
      </c>
      <c r="D27" s="8">
        <v>42987.041666666664</v>
      </c>
      <c r="E27" s="169">
        <v>0.54</v>
      </c>
      <c r="F27" s="169" t="s">
        <v>372</v>
      </c>
      <c r="G27" s="169">
        <v>291.86</v>
      </c>
      <c r="H27" s="169">
        <v>0</v>
      </c>
      <c r="I27" s="169">
        <v>0</v>
      </c>
      <c r="J27" s="169"/>
      <c r="K27" s="169">
        <v>1014.13</v>
      </c>
      <c r="L27" s="169" t="s">
        <v>371</v>
      </c>
      <c r="M27" s="169">
        <v>62.61</v>
      </c>
      <c r="N27" s="169">
        <v>1504940400</v>
      </c>
      <c r="O27" s="169">
        <v>0</v>
      </c>
      <c r="P27" s="169">
        <v>3.49</v>
      </c>
      <c r="Q27" s="169">
        <v>194</v>
      </c>
      <c r="R27" s="169">
        <v>2.58</v>
      </c>
      <c r="S27" s="169">
        <v>0.68</v>
      </c>
    </row>
    <row r="28" spans="1:19" x14ac:dyDescent="0.25">
      <c r="A28" s="169">
        <v>60.44</v>
      </c>
      <c r="B28" s="169">
        <v>0.03</v>
      </c>
      <c r="C28" s="169">
        <v>45.44</v>
      </c>
      <c r="D28" s="8">
        <v>42987.083333333336</v>
      </c>
      <c r="E28" s="169">
        <v>0.57999999999999996</v>
      </c>
      <c r="F28" s="169" t="s">
        <v>372</v>
      </c>
      <c r="G28" s="169">
        <v>290.86</v>
      </c>
      <c r="H28" s="169">
        <v>0</v>
      </c>
      <c r="I28" s="169">
        <v>0</v>
      </c>
      <c r="J28" s="169"/>
      <c r="K28" s="169">
        <v>1014.24</v>
      </c>
      <c r="L28" s="169" t="s">
        <v>371</v>
      </c>
      <c r="M28" s="169">
        <v>60.44</v>
      </c>
      <c r="N28" s="169">
        <v>1504944000</v>
      </c>
      <c r="O28" s="169">
        <v>0</v>
      </c>
      <c r="P28" s="169">
        <v>3.21</v>
      </c>
      <c r="Q28" s="169">
        <v>187</v>
      </c>
      <c r="R28" s="169">
        <v>2.78</v>
      </c>
      <c r="S28" s="169">
        <v>0.82</v>
      </c>
    </row>
    <row r="29" spans="1:19" x14ac:dyDescent="0.25">
      <c r="A29" s="169">
        <v>59.39</v>
      </c>
      <c r="B29" s="169">
        <v>0.04</v>
      </c>
      <c r="C29" s="169">
        <v>44.95</v>
      </c>
      <c r="D29" s="8">
        <v>42987.125</v>
      </c>
      <c r="E29" s="169">
        <v>0.59</v>
      </c>
      <c r="F29" s="169" t="s">
        <v>372</v>
      </c>
      <c r="G29" s="169">
        <v>289.95999999999998</v>
      </c>
      <c r="H29" s="169">
        <v>0</v>
      </c>
      <c r="I29" s="169">
        <v>0</v>
      </c>
      <c r="J29" s="169"/>
      <c r="K29" s="169">
        <v>1013.67</v>
      </c>
      <c r="L29" s="169" t="s">
        <v>371</v>
      </c>
      <c r="M29" s="169">
        <v>59.39</v>
      </c>
      <c r="N29" s="169">
        <v>1504947600</v>
      </c>
      <c r="O29" s="169">
        <v>0</v>
      </c>
      <c r="P29" s="169">
        <v>2.78</v>
      </c>
      <c r="Q29" s="169">
        <v>221</v>
      </c>
      <c r="R29" s="169">
        <v>2.84</v>
      </c>
      <c r="S29" s="169">
        <v>1.05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topLeftCell="A3" workbookViewId="0">
      <selection activeCell="C18" sqref="C18:C3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42986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353</v>
      </c>
      <c r="AE2" s="56" t="s">
        <v>356</v>
      </c>
      <c r="AF2" s="56" t="s">
        <v>357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354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347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355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358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992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993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994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995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996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997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998</v>
      </c>
      <c r="J25" s="140" t="s">
        <v>146</v>
      </c>
      <c r="M25" s="154" t="b">
        <v>1</v>
      </c>
    </row>
    <row r="26" spans="3:24" x14ac:dyDescent="0.25">
      <c r="C26" t="s">
        <v>999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C:\Users\stu\Documents\GitHub\eaglep3-reporting\EC\2017-09-08-refined-times.txt</v>
      </c>
    </row>
    <row r="27" spans="3:24" x14ac:dyDescent="0.25">
      <c r="C27" t="s">
        <v>1000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C:\Users\stu\Documents\GitHub\eaglep3-reporting\EC\2017-09-08-Enforcements.txt</v>
      </c>
    </row>
    <row r="28" spans="3:24" x14ac:dyDescent="0.25">
      <c r="C28" t="s">
        <v>1001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C:\Users\stu\Documents\GitHub\eaglep3-reporting\EC\2017-09-08-Runs-refined.txt</v>
      </c>
    </row>
    <row r="29" spans="3:24" x14ac:dyDescent="0.25">
      <c r="C29" t="s">
        <v>1002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C:\Users\stu\Documents\GitHub\eaglep3-reporting\EC\2017-09-08-Trips.txt</v>
      </c>
    </row>
    <row r="30" spans="3:24" x14ac:dyDescent="0.25">
      <c r="C30" t="s">
        <v>1003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C:\Users\stu\Documents\GitHub\eaglep3-reporting\EC\2017-09-08-Weather.txt</v>
      </c>
    </row>
    <row r="31" spans="3:24" x14ac:dyDescent="0.25">
      <c r="C31" t="s">
        <v>1004</v>
      </c>
      <c r="J31" s="140" t="s">
        <v>193</v>
      </c>
      <c r="M31" s="154" t="s">
        <v>194</v>
      </c>
    </row>
    <row r="32" spans="3:24" x14ac:dyDescent="0.25">
      <c r="C32" t="s">
        <v>1005</v>
      </c>
    </row>
    <row r="33" spans="3:3" x14ac:dyDescent="0.25">
      <c r="C33" t="s">
        <v>1006</v>
      </c>
    </row>
    <row r="34" spans="3:3" x14ac:dyDescent="0.25">
      <c r="C34" t="s">
        <v>1007</v>
      </c>
    </row>
    <row r="35" spans="3:3" x14ac:dyDescent="0.25">
      <c r="C35" t="s">
        <v>1008</v>
      </c>
    </row>
    <row r="36" spans="3:3" x14ac:dyDescent="0.25">
      <c r="C36" t="s">
        <v>1009</v>
      </c>
    </row>
    <row r="37" spans="3:3" x14ac:dyDescent="0.25">
      <c r="C37" t="s">
        <v>1010</v>
      </c>
    </row>
    <row r="38" spans="3:3" x14ac:dyDescent="0.25">
      <c r="C38" t="s">
        <v>1011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2017-09-11T16:29:08Z</dcterms:modified>
</cp:coreProperties>
</file>