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482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  <externalReference r:id="rId10"/>
  </externalReferences>
  <definedNames>
    <definedName name="_xlnm._FilterDatabase" localSheetId="1" hidden="1">Enforcements!$A$6:$AB$67</definedName>
    <definedName name="_xlnm._FilterDatabase" localSheetId="2" hidden="1">'Missing Trips'!$B$2:$I$2</definedName>
    <definedName name="_xlnm._FilterDatabase" localSheetId="0" hidden="1">'Train Runs'!$A$12:$AG$269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171" i="1" l="1"/>
  <c r="T171" i="1" s="1"/>
  <c r="AD131" i="1"/>
  <c r="T131" i="1" s="1"/>
  <c r="AD117" i="1"/>
  <c r="T117" i="1" s="1"/>
  <c r="AD121" i="1"/>
  <c r="AG121" i="1" s="1"/>
  <c r="S121" i="1" s="1"/>
  <c r="AD119" i="1"/>
  <c r="T119" i="1" s="1"/>
  <c r="Y110" i="1"/>
  <c r="Y111" i="1"/>
  <c r="Y112" i="1"/>
  <c r="Y113" i="1"/>
  <c r="Y114" i="1"/>
  <c r="AD107" i="1"/>
  <c r="T107" i="1" s="1"/>
  <c r="AD105" i="1"/>
  <c r="T105" i="1" s="1"/>
  <c r="T121" i="1" l="1"/>
  <c r="AG171" i="1"/>
  <c r="S171" i="1" s="1"/>
  <c r="AG131" i="1"/>
  <c r="S131" i="1" s="1"/>
  <c r="AG117" i="1"/>
  <c r="S117" i="1" s="1"/>
  <c r="AG119" i="1"/>
  <c r="S119" i="1" s="1"/>
  <c r="AG107" i="1"/>
  <c r="S107" i="1" s="1"/>
  <c r="AG105" i="1"/>
  <c r="S105" i="1" s="1"/>
  <c r="K103" i="1"/>
  <c r="L103" i="1"/>
  <c r="M103" i="1"/>
  <c r="V103" i="1"/>
  <c r="Y103" i="1"/>
  <c r="Z103" i="1"/>
  <c r="AB103" i="1"/>
  <c r="AC103" i="1"/>
  <c r="AD103" i="1"/>
  <c r="X103" i="1" s="1"/>
  <c r="AE103" i="1"/>
  <c r="AF103" i="1"/>
  <c r="AH103" i="1"/>
  <c r="K93" i="1"/>
  <c r="AD93" i="1"/>
  <c r="T93" i="1" s="1"/>
  <c r="K91" i="1"/>
  <c r="L91" i="1"/>
  <c r="M91" i="1"/>
  <c r="V91" i="1"/>
  <c r="Y91" i="1"/>
  <c r="Z91" i="1"/>
  <c r="AB91" i="1"/>
  <c r="AC91" i="1"/>
  <c r="AD91" i="1"/>
  <c r="T91" i="1" s="1"/>
  <c r="AE91" i="1"/>
  <c r="AF91" i="1"/>
  <c r="AH91" i="1"/>
  <c r="K87" i="1"/>
  <c r="L87" i="1"/>
  <c r="M87" i="1"/>
  <c r="V87" i="1"/>
  <c r="Y87" i="1"/>
  <c r="Z87" i="1"/>
  <c r="AB87" i="1"/>
  <c r="AC87" i="1"/>
  <c r="AD87" i="1"/>
  <c r="T87" i="1" s="1"/>
  <c r="AE87" i="1"/>
  <c r="AF87" i="1"/>
  <c r="AH87" i="1"/>
  <c r="K88" i="1"/>
  <c r="L88" i="1"/>
  <c r="M88" i="1"/>
  <c r="V88" i="1"/>
  <c r="Y88" i="1"/>
  <c r="Z88" i="1"/>
  <c r="AB88" i="1"/>
  <c r="AC88" i="1"/>
  <c r="AD88" i="1"/>
  <c r="AG88" i="1" s="1"/>
  <c r="AE88" i="1"/>
  <c r="AF88" i="1"/>
  <c r="AH88" i="1"/>
  <c r="K89" i="1"/>
  <c r="L89" i="1"/>
  <c r="M89" i="1"/>
  <c r="V89" i="1"/>
  <c r="Y89" i="1"/>
  <c r="Z89" i="1"/>
  <c r="AB89" i="1"/>
  <c r="AC89" i="1"/>
  <c r="AD89" i="1"/>
  <c r="T89" i="1" s="1"/>
  <c r="AE89" i="1"/>
  <c r="AF89" i="1"/>
  <c r="AH89" i="1"/>
  <c r="K79" i="1"/>
  <c r="L79" i="1"/>
  <c r="M79" i="1"/>
  <c r="V79" i="1"/>
  <c r="Y79" i="1"/>
  <c r="Z79" i="1"/>
  <c r="AB79" i="1"/>
  <c r="AC79" i="1"/>
  <c r="AD79" i="1"/>
  <c r="AG79" i="1" s="1"/>
  <c r="AE79" i="1"/>
  <c r="AF79" i="1"/>
  <c r="AH79" i="1"/>
  <c r="K77" i="1"/>
  <c r="L77" i="1"/>
  <c r="M77" i="1"/>
  <c r="V77" i="1"/>
  <c r="Y77" i="1"/>
  <c r="Z77" i="1"/>
  <c r="AB77" i="1"/>
  <c r="AC77" i="1"/>
  <c r="AD77" i="1"/>
  <c r="T77" i="1" s="1"/>
  <c r="AE77" i="1"/>
  <c r="AF77" i="1"/>
  <c r="AH77" i="1"/>
  <c r="K75" i="1"/>
  <c r="L75" i="1"/>
  <c r="M75" i="1"/>
  <c r="V75" i="1"/>
  <c r="Y75" i="1"/>
  <c r="Z75" i="1"/>
  <c r="AB75" i="1"/>
  <c r="AC75" i="1"/>
  <c r="AD75" i="1"/>
  <c r="T75" i="1" s="1"/>
  <c r="AE75" i="1"/>
  <c r="AF75" i="1"/>
  <c r="AH75" i="1"/>
  <c r="K73" i="1"/>
  <c r="L73" i="1"/>
  <c r="M73" i="1"/>
  <c r="V73" i="1"/>
  <c r="Y73" i="1"/>
  <c r="Z73" i="1"/>
  <c r="AB73" i="1"/>
  <c r="AC73" i="1"/>
  <c r="AD73" i="1"/>
  <c r="T73" i="1" s="1"/>
  <c r="AE73" i="1"/>
  <c r="AF73" i="1"/>
  <c r="AH73" i="1"/>
  <c r="K19" i="1"/>
  <c r="L19" i="1"/>
  <c r="M19" i="1"/>
  <c r="P19" i="1" s="1"/>
  <c r="V19" i="1"/>
  <c r="Y19" i="1"/>
  <c r="Z19" i="1"/>
  <c r="AB19" i="1"/>
  <c r="AC19" i="1"/>
  <c r="AD19" i="1"/>
  <c r="AE19" i="1"/>
  <c r="AF19" i="1"/>
  <c r="AH19" i="1"/>
  <c r="B3" i="6"/>
  <c r="F3" i="6" s="1"/>
  <c r="B4" i="6"/>
  <c r="F4" i="6" s="1"/>
  <c r="B5" i="6"/>
  <c r="F5" i="6" s="1"/>
  <c r="B6" i="6"/>
  <c r="G6" i="6" s="1"/>
  <c r="B7" i="6"/>
  <c r="F7" i="6" s="1"/>
  <c r="B8" i="6"/>
  <c r="F8" i="6" s="1"/>
  <c r="B9" i="6"/>
  <c r="F9" i="6" s="1"/>
  <c r="B10" i="6"/>
  <c r="F10" i="6" s="1"/>
  <c r="B11" i="6"/>
  <c r="F11" i="6" s="1"/>
  <c r="B12" i="6"/>
  <c r="F12" i="6" s="1"/>
  <c r="G12" i="6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K16" i="1"/>
  <c r="L16" i="1"/>
  <c r="M16" i="1"/>
  <c r="P16" i="1" s="1"/>
  <c r="V16" i="1"/>
  <c r="Y16" i="1"/>
  <c r="Z16" i="1"/>
  <c r="AB16" i="1"/>
  <c r="AC16" i="1"/>
  <c r="AD16" i="1"/>
  <c r="T16" i="1" s="1"/>
  <c r="AE16" i="1"/>
  <c r="AF16" i="1"/>
  <c r="K17" i="1"/>
  <c r="L17" i="1"/>
  <c r="M17" i="1"/>
  <c r="P17" i="1" s="1"/>
  <c r="V17" i="1"/>
  <c r="Y17" i="1"/>
  <c r="Z17" i="1"/>
  <c r="AB17" i="1"/>
  <c r="AC17" i="1"/>
  <c r="AD17" i="1"/>
  <c r="AE17" i="1"/>
  <c r="AF17" i="1"/>
  <c r="K18" i="1"/>
  <c r="L18" i="1"/>
  <c r="M18" i="1"/>
  <c r="N18" i="1" s="1"/>
  <c r="V18" i="1"/>
  <c r="S16" i="3" s="1"/>
  <c r="Y18" i="1"/>
  <c r="Z18" i="1"/>
  <c r="AB18" i="1"/>
  <c r="AC18" i="1"/>
  <c r="AD18" i="1"/>
  <c r="AE18" i="1"/>
  <c r="R16" i="3" s="1"/>
  <c r="AF18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K24" i="1"/>
  <c r="L24" i="1"/>
  <c r="M24" i="1"/>
  <c r="P24" i="1" s="1"/>
  <c r="V24" i="1"/>
  <c r="Y24" i="1"/>
  <c r="Z24" i="1"/>
  <c r="AB24" i="1"/>
  <c r="AC24" i="1"/>
  <c r="AD24" i="1"/>
  <c r="T24" i="1" s="1"/>
  <c r="AE24" i="1"/>
  <c r="AF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K26" i="1"/>
  <c r="L26" i="1"/>
  <c r="M26" i="1"/>
  <c r="P26" i="1" s="1"/>
  <c r="V26" i="1"/>
  <c r="S17" i="3" s="1"/>
  <c r="Y26" i="1"/>
  <c r="Z26" i="1"/>
  <c r="AB26" i="1"/>
  <c r="AC26" i="1"/>
  <c r="AD26" i="1"/>
  <c r="T26" i="1" s="1"/>
  <c r="AE26" i="1"/>
  <c r="R17" i="3" s="1"/>
  <c r="AF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K31" i="1"/>
  <c r="L31" i="1"/>
  <c r="M31" i="1"/>
  <c r="P31" i="1" s="1"/>
  <c r="V31" i="1"/>
  <c r="Y31" i="1"/>
  <c r="Z31" i="1"/>
  <c r="AB31" i="1"/>
  <c r="AC31" i="1"/>
  <c r="AD31" i="1"/>
  <c r="AE31" i="1"/>
  <c r="AF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K52" i="1"/>
  <c r="L52" i="1"/>
  <c r="M52" i="1"/>
  <c r="N52" i="1" s="1"/>
  <c r="V52" i="1"/>
  <c r="Y52" i="1"/>
  <c r="AB52" i="1"/>
  <c r="AC52" i="1"/>
  <c r="AD52" i="1"/>
  <c r="AE52" i="1"/>
  <c r="AF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K95" i="1"/>
  <c r="L95" i="1"/>
  <c r="M95" i="1"/>
  <c r="P95" i="1" s="1"/>
  <c r="V95" i="1"/>
  <c r="Y95" i="1"/>
  <c r="Z95" i="1"/>
  <c r="AB95" i="1"/>
  <c r="AC95" i="1"/>
  <c r="AD95" i="1"/>
  <c r="AE95" i="1"/>
  <c r="AF95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K96" i="1"/>
  <c r="L96" i="1"/>
  <c r="M96" i="1"/>
  <c r="P96" i="1" s="1"/>
  <c r="V96" i="1"/>
  <c r="Y96" i="1"/>
  <c r="Z96" i="1"/>
  <c r="AB96" i="1"/>
  <c r="AC96" i="1"/>
  <c r="AD96" i="1"/>
  <c r="AE96" i="1"/>
  <c r="AF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K100" i="1"/>
  <c r="L100" i="1"/>
  <c r="M100" i="1"/>
  <c r="P100" i="1" s="1"/>
  <c r="V100" i="1"/>
  <c r="Y100" i="1"/>
  <c r="Z100" i="1"/>
  <c r="AB100" i="1"/>
  <c r="AC100" i="1"/>
  <c r="AD100" i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K106" i="1"/>
  <c r="L106" i="1"/>
  <c r="M106" i="1"/>
  <c r="N106" i="1" s="1"/>
  <c r="V106" i="1"/>
  <c r="Y106" i="1"/>
  <c r="Z106" i="1"/>
  <c r="AB106" i="1"/>
  <c r="AC106" i="1"/>
  <c r="AD106" i="1"/>
  <c r="X106" i="1" s="1"/>
  <c r="AE106" i="1"/>
  <c r="AF106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K110" i="1"/>
  <c r="L110" i="1"/>
  <c r="M110" i="1"/>
  <c r="N110" i="1" s="1"/>
  <c r="V110" i="1"/>
  <c r="Z110" i="1"/>
  <c r="AB110" i="1"/>
  <c r="AC110" i="1"/>
  <c r="AD110" i="1"/>
  <c r="AE110" i="1"/>
  <c r="AF110" i="1"/>
  <c r="K111" i="1"/>
  <c r="L111" i="1"/>
  <c r="M111" i="1"/>
  <c r="N111" i="1" s="1"/>
  <c r="V111" i="1"/>
  <c r="Z111" i="1"/>
  <c r="AB111" i="1"/>
  <c r="AC111" i="1"/>
  <c r="AD111" i="1"/>
  <c r="AE111" i="1"/>
  <c r="AF111" i="1"/>
  <c r="K112" i="1"/>
  <c r="L112" i="1"/>
  <c r="M112" i="1"/>
  <c r="N112" i="1" s="1"/>
  <c r="V112" i="1"/>
  <c r="Z112" i="1"/>
  <c r="AB112" i="1"/>
  <c r="AC112" i="1"/>
  <c r="AD112" i="1"/>
  <c r="AE112" i="1"/>
  <c r="AF112" i="1"/>
  <c r="K113" i="1"/>
  <c r="L113" i="1"/>
  <c r="M113" i="1"/>
  <c r="N113" i="1" s="1"/>
  <c r="V113" i="1"/>
  <c r="Z113" i="1"/>
  <c r="AB113" i="1"/>
  <c r="AC113" i="1"/>
  <c r="AD113" i="1"/>
  <c r="AE113" i="1"/>
  <c r="AF113" i="1"/>
  <c r="K114" i="1"/>
  <c r="L114" i="1"/>
  <c r="M114" i="1"/>
  <c r="N114" i="1" s="1"/>
  <c r="V114" i="1"/>
  <c r="Z114" i="1"/>
  <c r="AB114" i="1"/>
  <c r="AC114" i="1"/>
  <c r="AD114" i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K122" i="1"/>
  <c r="L122" i="1"/>
  <c r="M122" i="1"/>
  <c r="N122" i="1" s="1"/>
  <c r="V122" i="1"/>
  <c r="Y122" i="1"/>
  <c r="Z122" i="1"/>
  <c r="AB122" i="1"/>
  <c r="AC122" i="1"/>
  <c r="AD122" i="1"/>
  <c r="X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N22" i="3"/>
  <c r="U22" i="3"/>
  <c r="T22" i="3" s="1"/>
  <c r="V22" i="3"/>
  <c r="W22" i="3"/>
  <c r="X22" i="3"/>
  <c r="N21" i="3"/>
  <c r="U21" i="3"/>
  <c r="T21" i="3" s="1"/>
  <c r="V21" i="3"/>
  <c r="W21" i="3"/>
  <c r="X21" i="3"/>
  <c r="N36" i="3"/>
  <c r="U36" i="3"/>
  <c r="T36" i="3" s="1"/>
  <c r="V36" i="3"/>
  <c r="W36" i="3"/>
  <c r="X36" i="3"/>
  <c r="N16" i="3"/>
  <c r="U16" i="3"/>
  <c r="T16" i="3" s="1"/>
  <c r="V16" i="3"/>
  <c r="W16" i="3"/>
  <c r="X16" i="3"/>
  <c r="N7" i="3"/>
  <c r="U7" i="3"/>
  <c r="T7" i="3" s="1"/>
  <c r="V7" i="3"/>
  <c r="W7" i="3"/>
  <c r="X7" i="3"/>
  <c r="N10" i="3"/>
  <c r="U10" i="3"/>
  <c r="T10" i="3" s="1"/>
  <c r="V10" i="3"/>
  <c r="W10" i="3"/>
  <c r="X10" i="3"/>
  <c r="N17" i="3"/>
  <c r="U17" i="3"/>
  <c r="T17" i="3" s="1"/>
  <c r="V17" i="3"/>
  <c r="W17" i="3"/>
  <c r="X17" i="3"/>
  <c r="N15" i="3"/>
  <c r="U15" i="3"/>
  <c r="T15" i="3" s="1"/>
  <c r="V15" i="3"/>
  <c r="W15" i="3"/>
  <c r="X15" i="3"/>
  <c r="N33" i="3"/>
  <c r="U33" i="3"/>
  <c r="T33" i="3" s="1"/>
  <c r="V33" i="3"/>
  <c r="W33" i="3"/>
  <c r="X33" i="3"/>
  <c r="N23" i="3"/>
  <c r="U23" i="3"/>
  <c r="T23" i="3" s="1"/>
  <c r="V23" i="3"/>
  <c r="W23" i="3"/>
  <c r="X23" i="3"/>
  <c r="N24" i="3"/>
  <c r="U24" i="3"/>
  <c r="T24" i="3" s="1"/>
  <c r="V24" i="3"/>
  <c r="W24" i="3"/>
  <c r="X24" i="3"/>
  <c r="N29" i="3"/>
  <c r="U29" i="3"/>
  <c r="T29" i="3" s="1"/>
  <c r="V29" i="3"/>
  <c r="W29" i="3"/>
  <c r="X29" i="3"/>
  <c r="N19" i="3"/>
  <c r="U19" i="3"/>
  <c r="T19" i="3" s="1"/>
  <c r="V19" i="3"/>
  <c r="W19" i="3"/>
  <c r="X19" i="3"/>
  <c r="N8" i="3"/>
  <c r="U8" i="3"/>
  <c r="T8" i="3" s="1"/>
  <c r="V8" i="3"/>
  <c r="W8" i="3"/>
  <c r="X8" i="3"/>
  <c r="N9" i="3"/>
  <c r="U9" i="3"/>
  <c r="T9" i="3" s="1"/>
  <c r="V9" i="3"/>
  <c r="W9" i="3"/>
  <c r="X9" i="3"/>
  <c r="N11" i="3"/>
  <c r="U11" i="3"/>
  <c r="T11" i="3" s="1"/>
  <c r="V11" i="3"/>
  <c r="W11" i="3"/>
  <c r="X11" i="3"/>
  <c r="N37" i="3"/>
  <c r="U37" i="3"/>
  <c r="T37" i="3" s="1"/>
  <c r="V37" i="3"/>
  <c r="W37" i="3"/>
  <c r="X37" i="3"/>
  <c r="N13" i="3"/>
  <c r="U13" i="3"/>
  <c r="T13" i="3" s="1"/>
  <c r="V13" i="3"/>
  <c r="W13" i="3"/>
  <c r="X13" i="3"/>
  <c r="N30" i="3"/>
  <c r="U30" i="3"/>
  <c r="T30" i="3" s="1"/>
  <c r="V30" i="3"/>
  <c r="W30" i="3"/>
  <c r="X30" i="3"/>
  <c r="N31" i="3"/>
  <c r="U31" i="3"/>
  <c r="T31" i="3" s="1"/>
  <c r="V31" i="3"/>
  <c r="W31" i="3"/>
  <c r="X31" i="3"/>
  <c r="N32" i="3"/>
  <c r="U32" i="3"/>
  <c r="T32" i="3" s="1"/>
  <c r="V32" i="3"/>
  <c r="W32" i="3"/>
  <c r="X32" i="3"/>
  <c r="N38" i="3"/>
  <c r="U38" i="3"/>
  <c r="T38" i="3" s="1"/>
  <c r="V38" i="3"/>
  <c r="W38" i="3"/>
  <c r="X38" i="3"/>
  <c r="N18" i="3"/>
  <c r="U18" i="3"/>
  <c r="T18" i="3" s="1"/>
  <c r="V18" i="3"/>
  <c r="W18" i="3"/>
  <c r="Y18" i="3" s="1"/>
  <c r="X18" i="3"/>
  <c r="N39" i="3"/>
  <c r="U39" i="3"/>
  <c r="T39" i="3" s="1"/>
  <c r="V39" i="3"/>
  <c r="W39" i="3"/>
  <c r="X39" i="3"/>
  <c r="N20" i="3"/>
  <c r="U20" i="3"/>
  <c r="T20" i="3" s="1"/>
  <c r="V20" i="3"/>
  <c r="W20" i="3"/>
  <c r="X20" i="3"/>
  <c r="N34" i="3"/>
  <c r="U34" i="3"/>
  <c r="T34" i="3" s="1"/>
  <c r="V34" i="3"/>
  <c r="W34" i="3"/>
  <c r="X34" i="3"/>
  <c r="N42" i="3"/>
  <c r="U42" i="3"/>
  <c r="T42" i="3" s="1"/>
  <c r="V42" i="3"/>
  <c r="W42" i="3"/>
  <c r="Y42" i="3" s="1"/>
  <c r="X42" i="3"/>
  <c r="N14" i="3"/>
  <c r="U14" i="3"/>
  <c r="T14" i="3" s="1"/>
  <c r="V14" i="3"/>
  <c r="W14" i="3"/>
  <c r="X14" i="3"/>
  <c r="N25" i="3"/>
  <c r="U25" i="3"/>
  <c r="T25" i="3" s="1"/>
  <c r="V25" i="3"/>
  <c r="W25" i="3"/>
  <c r="X25" i="3"/>
  <c r="N40" i="3"/>
  <c r="U40" i="3"/>
  <c r="T40" i="3" s="1"/>
  <c r="V40" i="3"/>
  <c r="W40" i="3"/>
  <c r="X40" i="3"/>
  <c r="N35" i="3"/>
  <c r="U35" i="3"/>
  <c r="T35" i="3" s="1"/>
  <c r="V35" i="3"/>
  <c r="W35" i="3"/>
  <c r="Y35" i="3" s="1"/>
  <c r="X35" i="3"/>
  <c r="N41" i="3"/>
  <c r="U41" i="3"/>
  <c r="T41" i="3" s="1"/>
  <c r="V41" i="3"/>
  <c r="W41" i="3"/>
  <c r="X41" i="3"/>
  <c r="N12" i="3"/>
  <c r="U12" i="3"/>
  <c r="T12" i="3" s="1"/>
  <c r="V12" i="3"/>
  <c r="W12" i="3"/>
  <c r="X12" i="3"/>
  <c r="N26" i="3"/>
  <c r="U26" i="3"/>
  <c r="T26" i="3" s="1"/>
  <c r="V26" i="3"/>
  <c r="W26" i="3"/>
  <c r="X26" i="3"/>
  <c r="N27" i="3"/>
  <c r="U27" i="3"/>
  <c r="T27" i="3" s="1"/>
  <c r="V27" i="3"/>
  <c r="W27" i="3"/>
  <c r="X27" i="3"/>
  <c r="T99" i="1" l="1"/>
  <c r="X99" i="1"/>
  <c r="AG102" i="1"/>
  <c r="X102" i="1"/>
  <c r="T98" i="1"/>
  <c r="X98" i="1"/>
  <c r="T95" i="1"/>
  <c r="X95" i="1"/>
  <c r="X96" i="1"/>
  <c r="X104" i="1"/>
  <c r="X105" i="1"/>
  <c r="T100" i="1"/>
  <c r="X100" i="1"/>
  <c r="X173" i="1"/>
  <c r="X101" i="1"/>
  <c r="T97" i="1"/>
  <c r="X97" i="1"/>
  <c r="X107" i="1"/>
  <c r="AG175" i="1"/>
  <c r="X175" i="1"/>
  <c r="AA79" i="1"/>
  <c r="AI79" i="1" s="1"/>
  <c r="T174" i="1"/>
  <c r="X174" i="1"/>
  <c r="AG170" i="1"/>
  <c r="X171" i="1"/>
  <c r="X170" i="1"/>
  <c r="T172" i="1"/>
  <c r="X172" i="1"/>
  <c r="T160" i="1"/>
  <c r="X160" i="1"/>
  <c r="T156" i="1"/>
  <c r="X156" i="1"/>
  <c r="T161" i="1"/>
  <c r="X161" i="1"/>
  <c r="T157" i="1"/>
  <c r="X157" i="1"/>
  <c r="T162" i="1"/>
  <c r="X162" i="1"/>
  <c r="T158" i="1"/>
  <c r="X158" i="1"/>
  <c r="AG159" i="1"/>
  <c r="X159" i="1"/>
  <c r="T134" i="1"/>
  <c r="X134" i="1"/>
  <c r="X136" i="1"/>
  <c r="T132" i="1"/>
  <c r="X132" i="1"/>
  <c r="AG133" i="1"/>
  <c r="X133" i="1"/>
  <c r="AG137" i="1"/>
  <c r="X137" i="1"/>
  <c r="T129" i="1"/>
  <c r="X129" i="1"/>
  <c r="T135" i="1"/>
  <c r="X135" i="1"/>
  <c r="T130" i="1"/>
  <c r="X130" i="1"/>
  <c r="X115" i="1"/>
  <c r="X131" i="1"/>
  <c r="X123" i="1"/>
  <c r="X118" i="1"/>
  <c r="X119" i="1"/>
  <c r="T126" i="1"/>
  <c r="X126" i="1"/>
  <c r="X116" i="1"/>
  <c r="X117" i="1"/>
  <c r="T125" i="1"/>
  <c r="X125" i="1"/>
  <c r="X120" i="1"/>
  <c r="X121" i="1"/>
  <c r="X114" i="1"/>
  <c r="AG118" i="1"/>
  <c r="T122" i="1"/>
  <c r="AG115" i="1"/>
  <c r="AG123" i="1"/>
  <c r="X124" i="1"/>
  <c r="AG116" i="1"/>
  <c r="T120" i="1"/>
  <c r="X113" i="1"/>
  <c r="X111" i="1"/>
  <c r="AA24" i="1"/>
  <c r="X112" i="1"/>
  <c r="X110" i="1"/>
  <c r="T104" i="1"/>
  <c r="T110" i="1"/>
  <c r="T111" i="1"/>
  <c r="T106" i="1"/>
  <c r="AA102" i="1"/>
  <c r="W102" i="1" s="1"/>
  <c r="AG103" i="1"/>
  <c r="T108" i="1"/>
  <c r="X108" i="1"/>
  <c r="AG113" i="1"/>
  <c r="T109" i="1"/>
  <c r="X109" i="1"/>
  <c r="X57" i="1"/>
  <c r="X53" i="1"/>
  <c r="X50" i="1"/>
  <c r="X34" i="1"/>
  <c r="T54" i="1"/>
  <c r="X54" i="1"/>
  <c r="T51" i="1"/>
  <c r="X51" i="1"/>
  <c r="T55" i="1"/>
  <c r="X55" i="1"/>
  <c r="AA89" i="1"/>
  <c r="AA88" i="1"/>
  <c r="W88" i="1" s="1"/>
  <c r="X94" i="1"/>
  <c r="T56" i="1"/>
  <c r="X56" i="1"/>
  <c r="T52" i="1"/>
  <c r="X52" i="1"/>
  <c r="AG23" i="1"/>
  <c r="U23" i="1" s="1"/>
  <c r="S23" i="1" s="1"/>
  <c r="AA20" i="1"/>
  <c r="X15" i="1"/>
  <c r="X32" i="1"/>
  <c r="X168" i="1"/>
  <c r="T30" i="1"/>
  <c r="X30" i="1"/>
  <c r="X153" i="1"/>
  <c r="AG33" i="1"/>
  <c r="X33" i="1"/>
  <c r="T31" i="1"/>
  <c r="X31" i="1"/>
  <c r="T20" i="1"/>
  <c r="X20" i="1"/>
  <c r="X178" i="1"/>
  <c r="X35" i="1"/>
  <c r="X77" i="1"/>
  <c r="AG95" i="1"/>
  <c r="T18" i="1"/>
  <c r="X18" i="1"/>
  <c r="AA75" i="1"/>
  <c r="AG19" i="1"/>
  <c r="X19" i="1"/>
  <c r="X21" i="1"/>
  <c r="AG140" i="1"/>
  <c r="U140" i="1" s="1"/>
  <c r="S140" i="1" s="1"/>
  <c r="AG126" i="1"/>
  <c r="AG30" i="1"/>
  <c r="T22" i="1"/>
  <c r="X22" i="1"/>
  <c r="X17" i="1"/>
  <c r="T92" i="1"/>
  <c r="U92" i="1" s="1"/>
  <c r="S92" i="1" s="1"/>
  <c r="T90" i="1"/>
  <c r="U90" i="1" s="1"/>
  <c r="S90" i="1" s="1"/>
  <c r="X179" i="1"/>
  <c r="X76" i="1"/>
  <c r="X82" i="1"/>
  <c r="X92" i="1"/>
  <c r="AG148" i="1"/>
  <c r="U148" i="1" s="1"/>
  <c r="S148" i="1" s="1"/>
  <c r="X148" i="1"/>
  <c r="AA116" i="1"/>
  <c r="AG110" i="1"/>
  <c r="AG179" i="1"/>
  <c r="U179" i="1" s="1"/>
  <c r="S179" i="1" s="1"/>
  <c r="AA164" i="1"/>
  <c r="W164" i="1" s="1"/>
  <c r="AG78" i="1"/>
  <c r="U78" i="1" s="1"/>
  <c r="S78" i="1" s="1"/>
  <c r="AG14" i="1"/>
  <c r="U14" i="1" s="1"/>
  <c r="S14" i="1" s="1"/>
  <c r="X169" i="1"/>
  <c r="AA19" i="1"/>
  <c r="AA73" i="1"/>
  <c r="X75" i="1"/>
  <c r="AG77" i="1"/>
  <c r="U77" i="1" s="1"/>
  <c r="S77" i="1" s="1"/>
  <c r="X78" i="1"/>
  <c r="X81" i="1"/>
  <c r="T88" i="1"/>
  <c r="U88" i="1" s="1"/>
  <c r="X89" i="1"/>
  <c r="AA91" i="1"/>
  <c r="X177" i="1"/>
  <c r="X74" i="1"/>
  <c r="X80" i="1"/>
  <c r="X86" i="1"/>
  <c r="X152" i="1"/>
  <c r="AA110" i="1"/>
  <c r="AG106" i="1"/>
  <c r="AA76" i="1"/>
  <c r="AG56" i="1"/>
  <c r="X176" i="1"/>
  <c r="AG73" i="1"/>
  <c r="U73" i="1" s="1"/>
  <c r="S73" i="1" s="1"/>
  <c r="X73" i="1"/>
  <c r="AA77" i="1"/>
  <c r="AA87" i="1"/>
  <c r="AG91" i="1"/>
  <c r="U91" i="1" s="1"/>
  <c r="S91" i="1" s="1"/>
  <c r="AG93" i="1"/>
  <c r="X93" i="1"/>
  <c r="AA103" i="1"/>
  <c r="T103" i="1"/>
  <c r="AG87" i="1"/>
  <c r="U87" i="1" s="1"/>
  <c r="S87" i="1" s="1"/>
  <c r="AG89" i="1"/>
  <c r="U89" i="1" s="1"/>
  <c r="S89" i="1" s="1"/>
  <c r="X88" i="1"/>
  <c r="X87" i="1"/>
  <c r="X90" i="1"/>
  <c r="X91" i="1"/>
  <c r="T79" i="1"/>
  <c r="U79" i="1" s="1"/>
  <c r="S79" i="1" s="1"/>
  <c r="X79" i="1"/>
  <c r="W79" i="1"/>
  <c r="I12" i="6"/>
  <c r="H12" i="6"/>
  <c r="AG75" i="1"/>
  <c r="H4" i="6"/>
  <c r="I8" i="6"/>
  <c r="I3" i="6"/>
  <c r="I11" i="6"/>
  <c r="H10" i="6"/>
  <c r="I4" i="6"/>
  <c r="Y34" i="3"/>
  <c r="Y40" i="3"/>
  <c r="G10" i="6"/>
  <c r="H8" i="6"/>
  <c r="H5" i="6"/>
  <c r="I10" i="6"/>
  <c r="T19" i="1"/>
  <c r="U19" i="1" s="1"/>
  <c r="S19" i="1" s="1"/>
  <c r="Y27" i="3"/>
  <c r="Y10" i="3"/>
  <c r="AA195" i="1"/>
  <c r="AI195" i="1" s="1"/>
  <c r="AA96" i="1"/>
  <c r="AG168" i="1"/>
  <c r="U168" i="1" s="1"/>
  <c r="S168" i="1" s="1"/>
  <c r="AG166" i="1"/>
  <c r="U166" i="1" s="1"/>
  <c r="S166" i="1" s="1"/>
  <c r="AG160" i="1"/>
  <c r="AA68" i="1"/>
  <c r="AA50" i="1"/>
  <c r="AA148" i="1"/>
  <c r="AA104" i="1"/>
  <c r="AA179" i="1"/>
  <c r="AA178" i="1"/>
  <c r="T170" i="1"/>
  <c r="AA84" i="1"/>
  <c r="AA80" i="1"/>
  <c r="AA200" i="1"/>
  <c r="W200" i="1" s="1"/>
  <c r="AA193" i="1"/>
  <c r="AA155" i="1"/>
  <c r="AA190" i="1"/>
  <c r="AA85" i="1"/>
  <c r="AA47" i="1"/>
  <c r="W47" i="1" s="1"/>
  <c r="H9" i="6"/>
  <c r="I9" i="6"/>
  <c r="G9" i="6"/>
  <c r="H6" i="6"/>
  <c r="F6" i="6"/>
  <c r="I6" i="6"/>
  <c r="I5" i="6"/>
  <c r="G5" i="6"/>
  <c r="H11" i="6"/>
  <c r="I7" i="6"/>
  <c r="G11" i="6"/>
  <c r="G8" i="6"/>
  <c r="H7" i="6"/>
  <c r="G4" i="6"/>
  <c r="H3" i="6"/>
  <c r="G7" i="6"/>
  <c r="G3" i="6"/>
  <c r="X198" i="1"/>
  <c r="T159" i="1"/>
  <c r="AA201" i="1"/>
  <c r="T152" i="1"/>
  <c r="AA137" i="1"/>
  <c r="T123" i="1"/>
  <c r="AA173" i="1"/>
  <c r="AA82" i="1"/>
  <c r="AA153" i="1"/>
  <c r="X184" i="1"/>
  <c r="AA184" i="1"/>
  <c r="AA168" i="1"/>
  <c r="AG86" i="1"/>
  <c r="AA28" i="1"/>
  <c r="AG26" i="1"/>
  <c r="U26" i="1" s="1"/>
  <c r="S26" i="1" s="1"/>
  <c r="AA202" i="1"/>
  <c r="AA191" i="1"/>
  <c r="AA154" i="1"/>
  <c r="AA152" i="1"/>
  <c r="AA147" i="1"/>
  <c r="AG143" i="1"/>
  <c r="U143" i="1" s="1"/>
  <c r="S143" i="1" s="1"/>
  <c r="AA136" i="1"/>
  <c r="AA109" i="1"/>
  <c r="AG97" i="1"/>
  <c r="U97" i="1" s="1"/>
  <c r="S97" i="1" s="1"/>
  <c r="T15" i="1"/>
  <c r="X200" i="1"/>
  <c r="AA86" i="1"/>
  <c r="T83" i="1"/>
  <c r="U83" i="1" s="1"/>
  <c r="S83" i="1" s="1"/>
  <c r="AG82" i="1"/>
  <c r="AA78" i="1"/>
  <c r="X60" i="1"/>
  <c r="AG58" i="1"/>
  <c r="U58" i="1" s="1"/>
  <c r="S58" i="1" s="1"/>
  <c r="AG52" i="1"/>
  <c r="AA43" i="1"/>
  <c r="W43" i="1" s="1"/>
  <c r="AG39" i="1"/>
  <c r="U39" i="1" s="1"/>
  <c r="S39" i="1" s="1"/>
  <c r="T198" i="1"/>
  <c r="AA196" i="1"/>
  <c r="AG132" i="1"/>
  <c r="U132" i="1" s="1"/>
  <c r="S132" i="1" s="1"/>
  <c r="AA118" i="1"/>
  <c r="AA115" i="1"/>
  <c r="AA112" i="1"/>
  <c r="AA111" i="1"/>
  <c r="AA199" i="1"/>
  <c r="AG100" i="1"/>
  <c r="U100" i="1" s="1"/>
  <c r="S100" i="1" s="1"/>
  <c r="AA170" i="1"/>
  <c r="AA70" i="1"/>
  <c r="W70" i="1" s="1"/>
  <c r="AA197" i="1"/>
  <c r="AA183" i="1"/>
  <c r="AA94" i="1"/>
  <c r="AA176" i="1"/>
  <c r="W176" i="1" s="1"/>
  <c r="AA172" i="1"/>
  <c r="AA52" i="1"/>
  <c r="AG51" i="1"/>
  <c r="AA48" i="1"/>
  <c r="AI48" i="1" s="1"/>
  <c r="T43" i="1"/>
  <c r="U43" i="1" s="1"/>
  <c r="S43" i="1" s="1"/>
  <c r="AA39" i="1"/>
  <c r="AA25" i="1"/>
  <c r="AG20" i="1"/>
  <c r="AA16" i="1"/>
  <c r="Y8" i="3"/>
  <c r="Y24" i="3"/>
  <c r="Y17" i="3"/>
  <c r="Y7" i="3"/>
  <c r="Y36" i="3"/>
  <c r="Y30" i="3"/>
  <c r="Y26" i="3"/>
  <c r="Y13" i="3"/>
  <c r="Y9" i="3"/>
  <c r="Y23" i="3"/>
  <c r="Y21" i="3"/>
  <c r="Y38" i="3"/>
  <c r="AG198" i="1"/>
  <c r="AG193" i="1"/>
  <c r="AA144" i="1"/>
  <c r="AA143" i="1"/>
  <c r="AA142" i="1"/>
  <c r="T141" i="1"/>
  <c r="U141" i="1" s="1"/>
  <c r="S141" i="1" s="1"/>
  <c r="AA127" i="1"/>
  <c r="AA126" i="1"/>
  <c r="AA125" i="1"/>
  <c r="AG104" i="1"/>
  <c r="X190" i="1"/>
  <c r="X183" i="1"/>
  <c r="AA166" i="1"/>
  <c r="T164" i="1"/>
  <c r="U164" i="1" s="1"/>
  <c r="S164" i="1" s="1"/>
  <c r="AA162" i="1"/>
  <c r="AA160" i="1"/>
  <c r="AA159" i="1"/>
  <c r="AA92" i="1"/>
  <c r="W92" i="1" s="1"/>
  <c r="AA90" i="1"/>
  <c r="AI90" i="1" s="1"/>
  <c r="AA15" i="1"/>
  <c r="AA146" i="1"/>
  <c r="AA141" i="1"/>
  <c r="AI141" i="1" s="1"/>
  <c r="AA135" i="1"/>
  <c r="AA134" i="1"/>
  <c r="AA133" i="1"/>
  <c r="W133" i="1" s="1"/>
  <c r="AA124" i="1"/>
  <c r="AI124" i="1" s="1"/>
  <c r="T114" i="1"/>
  <c r="AA187" i="1"/>
  <c r="AA186" i="1"/>
  <c r="AA185" i="1"/>
  <c r="AA180" i="1"/>
  <c r="AA169" i="1"/>
  <c r="AA74" i="1"/>
  <c r="AI74" i="1" s="1"/>
  <c r="AA72" i="1"/>
  <c r="W72" i="1" s="1"/>
  <c r="T67" i="1"/>
  <c r="U67" i="1" s="1"/>
  <c r="S67" i="1" s="1"/>
  <c r="X64" i="1"/>
  <c r="X63" i="1"/>
  <c r="AA62" i="1"/>
  <c r="AA61" i="1"/>
  <c r="AA60" i="1"/>
  <c r="AA56" i="1"/>
  <c r="AA54" i="1"/>
  <c r="AA53" i="1"/>
  <c r="AG42" i="1"/>
  <c r="U42" i="1" s="1"/>
  <c r="S42" i="1" s="1"/>
  <c r="X42" i="1"/>
  <c r="T34" i="1"/>
  <c r="AG28" i="1"/>
  <c r="U28" i="1" s="1"/>
  <c r="S28" i="1" s="1"/>
  <c r="AG24" i="1"/>
  <c r="AG18" i="1"/>
  <c r="AA17" i="1"/>
  <c r="X16" i="1"/>
  <c r="AA194" i="1"/>
  <c r="AA192" i="1"/>
  <c r="AA149" i="1"/>
  <c r="X72" i="1"/>
  <c r="AA36" i="1"/>
  <c r="AA35" i="1"/>
  <c r="X24" i="1"/>
  <c r="AA23" i="1"/>
  <c r="AG149" i="1"/>
  <c r="U149" i="1" s="1"/>
  <c r="S149" i="1" s="1"/>
  <c r="X149" i="1"/>
  <c r="AA145" i="1"/>
  <c r="W145" i="1" s="1"/>
  <c r="AG135" i="1"/>
  <c r="U135" i="1" s="1"/>
  <c r="S135" i="1" s="1"/>
  <c r="AA128" i="1"/>
  <c r="AI128" i="1" s="1"/>
  <c r="AG114" i="1"/>
  <c r="AG98" i="1"/>
  <c r="U98" i="1" s="1"/>
  <c r="S98" i="1" s="1"/>
  <c r="AG187" i="1"/>
  <c r="U187" i="1" s="1"/>
  <c r="S187" i="1" s="1"/>
  <c r="X187" i="1"/>
  <c r="AG186" i="1"/>
  <c r="AG180" i="1"/>
  <c r="U180" i="1" s="1"/>
  <c r="S180" i="1" s="1"/>
  <c r="X180" i="1"/>
  <c r="AA174" i="1"/>
  <c r="X167" i="1"/>
  <c r="AA83" i="1"/>
  <c r="W83" i="1" s="1"/>
  <c r="AG80" i="1"/>
  <c r="AG68" i="1"/>
  <c r="U68" i="1" s="1"/>
  <c r="S68" i="1" s="1"/>
  <c r="AA65" i="1"/>
  <c r="AA64" i="1"/>
  <c r="AI64" i="1" s="1"/>
  <c r="AG62" i="1"/>
  <c r="U62" i="1" s="1"/>
  <c r="S62" i="1" s="1"/>
  <c r="AG54" i="1"/>
  <c r="U54" i="1" s="1"/>
  <c r="S54" i="1" s="1"/>
  <c r="AA18" i="1"/>
  <c r="AG156" i="1"/>
  <c r="T153" i="1"/>
  <c r="AG151" i="1"/>
  <c r="U151" i="1" s="1"/>
  <c r="S151" i="1" s="1"/>
  <c r="X145" i="1"/>
  <c r="AG144" i="1"/>
  <c r="X144" i="1"/>
  <c r="AA140" i="1"/>
  <c r="AG139" i="1"/>
  <c r="U139" i="1" s="1"/>
  <c r="S139" i="1" s="1"/>
  <c r="T137" i="1"/>
  <c r="T136" i="1"/>
  <c r="AA130" i="1"/>
  <c r="AA129" i="1"/>
  <c r="X128" i="1"/>
  <c r="AG127" i="1"/>
  <c r="U127" i="1" s="1"/>
  <c r="S127" i="1" s="1"/>
  <c r="X127" i="1"/>
  <c r="AA123" i="1"/>
  <c r="W123" i="1" s="1"/>
  <c r="AG122" i="1"/>
  <c r="T118" i="1"/>
  <c r="T115" i="1"/>
  <c r="AG108" i="1"/>
  <c r="U108" i="1" s="1"/>
  <c r="S108" i="1" s="1"/>
  <c r="AA101" i="1"/>
  <c r="T189" i="1"/>
  <c r="AG189" i="1"/>
  <c r="T200" i="1"/>
  <c r="U200" i="1" s="1"/>
  <c r="S200" i="1" s="1"/>
  <c r="AG153" i="1"/>
  <c r="AG152" i="1"/>
  <c r="X141" i="1"/>
  <c r="X140" i="1"/>
  <c r="T133" i="1"/>
  <c r="AG101" i="1"/>
  <c r="X195" i="1"/>
  <c r="AG194" i="1"/>
  <c r="U194" i="1" s="1"/>
  <c r="S194" i="1" s="1"/>
  <c r="X194" i="1"/>
  <c r="AA198" i="1"/>
  <c r="AG197" i="1"/>
  <c r="U197" i="1" s="1"/>
  <c r="S197" i="1" s="1"/>
  <c r="T195" i="1"/>
  <c r="U195" i="1" s="1"/>
  <c r="S195" i="1" s="1"/>
  <c r="AA156" i="1"/>
  <c r="AA151" i="1"/>
  <c r="AA150" i="1"/>
  <c r="AG147" i="1"/>
  <c r="T145" i="1"/>
  <c r="U145" i="1" s="1"/>
  <c r="S145" i="1" s="1"/>
  <c r="AA139" i="1"/>
  <c r="AA138" i="1"/>
  <c r="AG136" i="1"/>
  <c r="AA132" i="1"/>
  <c r="AG130" i="1"/>
  <c r="T128" i="1"/>
  <c r="U128" i="1" s="1"/>
  <c r="S128" i="1" s="1"/>
  <c r="AA122" i="1"/>
  <c r="AA120" i="1"/>
  <c r="AG111" i="1"/>
  <c r="AA108" i="1"/>
  <c r="T102" i="1"/>
  <c r="U102" i="1" s="1"/>
  <c r="S102" i="1" s="1"/>
  <c r="T124" i="1"/>
  <c r="U124" i="1" s="1"/>
  <c r="S124" i="1" s="1"/>
  <c r="T101" i="1"/>
  <c r="AA98" i="1"/>
  <c r="T74" i="1"/>
  <c r="U74" i="1" s="1"/>
  <c r="S74" i="1" s="1"/>
  <c r="T60" i="1"/>
  <c r="T47" i="1"/>
  <c r="U47" i="1" s="1"/>
  <c r="S47" i="1" s="1"/>
  <c r="T35" i="1"/>
  <c r="AA21" i="1"/>
  <c r="AG16" i="1"/>
  <c r="AG15" i="1"/>
  <c r="T96" i="1"/>
  <c r="T184" i="1"/>
  <c r="AG182" i="1"/>
  <c r="U182" i="1" s="1"/>
  <c r="S182" i="1" s="1"/>
  <c r="AA177" i="1"/>
  <c r="T176" i="1"/>
  <c r="U176" i="1" s="1"/>
  <c r="S176" i="1" s="1"/>
  <c r="AG174" i="1"/>
  <c r="U174" i="1" s="1"/>
  <c r="S174" i="1" s="1"/>
  <c r="AG172" i="1"/>
  <c r="X163" i="1"/>
  <c r="AG162" i="1"/>
  <c r="AG158" i="1"/>
  <c r="AG84" i="1"/>
  <c r="AA81" i="1"/>
  <c r="AG76" i="1"/>
  <c r="T72" i="1"/>
  <c r="U72" i="1" s="1"/>
  <c r="S72" i="1" s="1"/>
  <c r="AA69" i="1"/>
  <c r="W69" i="1" s="1"/>
  <c r="AA63" i="1"/>
  <c r="T63" i="1"/>
  <c r="AG60" i="1"/>
  <c r="AG59" i="1"/>
  <c r="U59" i="1" s="1"/>
  <c r="S59" i="1" s="1"/>
  <c r="X59" i="1"/>
  <c r="AG55" i="1"/>
  <c r="U55" i="1" s="1"/>
  <c r="S55" i="1" s="1"/>
  <c r="X48" i="1"/>
  <c r="AA45" i="1"/>
  <c r="W45" i="1" s="1"/>
  <c r="X39" i="1"/>
  <c r="AG38" i="1"/>
  <c r="U38" i="1" s="1"/>
  <c r="S38" i="1" s="1"/>
  <c r="AG35" i="1"/>
  <c r="AG31" i="1"/>
  <c r="X28" i="1"/>
  <c r="AG27" i="1"/>
  <c r="U27" i="1" s="1"/>
  <c r="S27" i="1" s="1"/>
  <c r="X27" i="1"/>
  <c r="AA106" i="1"/>
  <c r="AA97" i="1"/>
  <c r="AG96" i="1"/>
  <c r="AG190" i="1"/>
  <c r="U190" i="1" s="1"/>
  <c r="S190" i="1" s="1"/>
  <c r="AA95" i="1"/>
  <c r="AG184" i="1"/>
  <c r="AG183" i="1"/>
  <c r="AG177" i="1"/>
  <c r="U177" i="1" s="1"/>
  <c r="S177" i="1" s="1"/>
  <c r="AA167" i="1"/>
  <c r="AI167" i="1" s="1"/>
  <c r="T167" i="1"/>
  <c r="U167" i="1" s="1"/>
  <c r="S167" i="1" s="1"/>
  <c r="AA165" i="1"/>
  <c r="T64" i="1"/>
  <c r="U64" i="1" s="1"/>
  <c r="S64" i="1" s="1"/>
  <c r="AA44" i="1"/>
  <c r="AA41" i="1"/>
  <c r="AG34" i="1"/>
  <c r="AG22" i="1"/>
  <c r="AA100" i="1"/>
  <c r="AA99" i="1"/>
  <c r="AA189" i="1"/>
  <c r="AA188" i="1"/>
  <c r="AA182" i="1"/>
  <c r="AA181" i="1"/>
  <c r="T178" i="1"/>
  <c r="AA175" i="1"/>
  <c r="W175" i="1" s="1"/>
  <c r="T175" i="1"/>
  <c r="AA163" i="1"/>
  <c r="W163" i="1" s="1"/>
  <c r="T163" i="1"/>
  <c r="U163" i="1" s="1"/>
  <c r="S163" i="1" s="1"/>
  <c r="AA161" i="1"/>
  <c r="AA158" i="1"/>
  <c r="AA157" i="1"/>
  <c r="X83" i="1"/>
  <c r="X68" i="1"/>
  <c r="AG63" i="1"/>
  <c r="AA59" i="1"/>
  <c r="AA57" i="1"/>
  <c r="AA55" i="1"/>
  <c r="AA40" i="1"/>
  <c r="AA32" i="1"/>
  <c r="AA31" i="1"/>
  <c r="AA29" i="1"/>
  <c r="AA27" i="1"/>
  <c r="X23" i="1"/>
  <c r="U156" i="1"/>
  <c r="S156" i="1" s="1"/>
  <c r="T113" i="1"/>
  <c r="X193" i="1"/>
  <c r="AG192" i="1"/>
  <c r="AG155" i="1"/>
  <c r="AG202" i="1"/>
  <c r="X202" i="1"/>
  <c r="AG201" i="1"/>
  <c r="X197" i="1"/>
  <c r="AG196" i="1"/>
  <c r="X201" i="1"/>
  <c r="X196" i="1"/>
  <c r="X192" i="1"/>
  <c r="AG191" i="1"/>
  <c r="X155" i="1"/>
  <c r="AG154" i="1"/>
  <c r="X151" i="1"/>
  <c r="AG150" i="1"/>
  <c r="X147" i="1"/>
  <c r="AG146" i="1"/>
  <c r="X143" i="1"/>
  <c r="AG142" i="1"/>
  <c r="X139" i="1"/>
  <c r="AG138" i="1"/>
  <c r="AG134" i="1"/>
  <c r="AI134" i="1" s="1"/>
  <c r="AG129" i="1"/>
  <c r="AG125" i="1"/>
  <c r="AG120" i="1"/>
  <c r="X191" i="1"/>
  <c r="X154" i="1"/>
  <c r="X150" i="1"/>
  <c r="X146" i="1"/>
  <c r="X142" i="1"/>
  <c r="X138" i="1"/>
  <c r="T116" i="1"/>
  <c r="U116" i="1" s="1"/>
  <c r="S116" i="1" s="1"/>
  <c r="AA114" i="1"/>
  <c r="AA113" i="1"/>
  <c r="T112" i="1"/>
  <c r="AG112" i="1"/>
  <c r="AG109" i="1"/>
  <c r="AG199" i="1"/>
  <c r="AG99" i="1"/>
  <c r="X189" i="1"/>
  <c r="AG188" i="1"/>
  <c r="X186" i="1"/>
  <c r="AG185" i="1"/>
  <c r="X182" i="1"/>
  <c r="AG181" i="1"/>
  <c r="AG178" i="1"/>
  <c r="AI178" i="1" s="1"/>
  <c r="X199" i="1"/>
  <c r="X188" i="1"/>
  <c r="X185" i="1"/>
  <c r="X181" i="1"/>
  <c r="T94" i="1"/>
  <c r="AG94" i="1"/>
  <c r="T173" i="1"/>
  <c r="AG173" i="1"/>
  <c r="U158" i="1"/>
  <c r="S158" i="1" s="1"/>
  <c r="T71" i="1"/>
  <c r="T53" i="1"/>
  <c r="AG53" i="1"/>
  <c r="T40" i="1"/>
  <c r="X40" i="1"/>
  <c r="AG40" i="1"/>
  <c r="AG169" i="1"/>
  <c r="AI169" i="1" s="1"/>
  <c r="X166" i="1"/>
  <c r="AG165" i="1"/>
  <c r="AG161" i="1"/>
  <c r="AG157" i="1"/>
  <c r="AI157" i="1" s="1"/>
  <c r="AG85" i="1"/>
  <c r="AG81" i="1"/>
  <c r="AG71" i="1"/>
  <c r="X71" i="1"/>
  <c r="T69" i="1"/>
  <c r="U69" i="1" s="1"/>
  <c r="S69" i="1" s="1"/>
  <c r="AA67" i="1"/>
  <c r="W67" i="1" s="1"/>
  <c r="AA66" i="1"/>
  <c r="T65" i="1"/>
  <c r="X65" i="1"/>
  <c r="AG65" i="1"/>
  <c r="AA58" i="1"/>
  <c r="T50" i="1"/>
  <c r="AG50" i="1"/>
  <c r="AG44" i="1"/>
  <c r="X44" i="1"/>
  <c r="T44" i="1"/>
  <c r="X165" i="1"/>
  <c r="X85" i="1"/>
  <c r="T70" i="1"/>
  <c r="U70" i="1" s="1"/>
  <c r="S70" i="1" s="1"/>
  <c r="X70" i="1"/>
  <c r="X69" i="1"/>
  <c r="T66" i="1"/>
  <c r="X66" i="1"/>
  <c r="T61" i="1"/>
  <c r="X61" i="1"/>
  <c r="AG61" i="1"/>
  <c r="AA49" i="1"/>
  <c r="W49" i="1" s="1"/>
  <c r="T37" i="1"/>
  <c r="X37" i="1"/>
  <c r="AG37" i="1"/>
  <c r="X38" i="1"/>
  <c r="T25" i="1"/>
  <c r="X25" i="1"/>
  <c r="AG25" i="1"/>
  <c r="X164" i="1"/>
  <c r="X84" i="1"/>
  <c r="T76" i="1"/>
  <c r="AA71" i="1"/>
  <c r="X67" i="1"/>
  <c r="AG66" i="1"/>
  <c r="T57" i="1"/>
  <c r="AG57" i="1"/>
  <c r="AA51" i="1"/>
  <c r="X47" i="1"/>
  <c r="X46" i="1"/>
  <c r="AG46" i="1"/>
  <c r="X62" i="1"/>
  <c r="X58" i="1"/>
  <c r="T41" i="1"/>
  <c r="X41" i="1"/>
  <c r="AA30" i="1"/>
  <c r="T21" i="1"/>
  <c r="AG21" i="1"/>
  <c r="AA14" i="1"/>
  <c r="T48" i="1"/>
  <c r="U48" i="1" s="1"/>
  <c r="S48" i="1" s="1"/>
  <c r="T45" i="1"/>
  <c r="U45" i="1" s="1"/>
  <c r="S45" i="1" s="1"/>
  <c r="X45" i="1"/>
  <c r="X43" i="1"/>
  <c r="AA42" i="1"/>
  <c r="AG41" i="1"/>
  <c r="AA34" i="1"/>
  <c r="AA33" i="1"/>
  <c r="T32" i="1"/>
  <c r="AG32" i="1"/>
  <c r="AA26" i="1"/>
  <c r="T17" i="1"/>
  <c r="AG17" i="1"/>
  <c r="T49" i="1"/>
  <c r="U49" i="1" s="1"/>
  <c r="S49" i="1" s="1"/>
  <c r="X49" i="1"/>
  <c r="AA46" i="1"/>
  <c r="AA38" i="1"/>
  <c r="AA37" i="1"/>
  <c r="T36" i="1"/>
  <c r="X36" i="1"/>
  <c r="AG36" i="1"/>
  <c r="T33" i="1"/>
  <c r="T29" i="1"/>
  <c r="X29" i="1"/>
  <c r="AG29" i="1"/>
  <c r="AA22" i="1"/>
  <c r="X26" i="1"/>
  <c r="Y22" i="3"/>
  <c r="Y41" i="3"/>
  <c r="Y14" i="3"/>
  <c r="Y20" i="3"/>
  <c r="Y39" i="3"/>
  <c r="Y32" i="3"/>
  <c r="Y31" i="3"/>
  <c r="Y37" i="3"/>
  <c r="Y11" i="3"/>
  <c r="Y19" i="3"/>
  <c r="Y29" i="3"/>
  <c r="Y12" i="3"/>
  <c r="Y25" i="3"/>
  <c r="Y33" i="3"/>
  <c r="Y15" i="3"/>
  <c r="Y16" i="3"/>
  <c r="U137" i="1" l="1"/>
  <c r="S137" i="1" s="1"/>
  <c r="U170" i="1"/>
  <c r="S170" i="1" s="1"/>
  <c r="W161" i="1"/>
  <c r="U118" i="1"/>
  <c r="S118" i="1" s="1"/>
  <c r="W118" i="1"/>
  <c r="AI148" i="1"/>
  <c r="AI146" i="1"/>
  <c r="U130" i="1"/>
  <c r="S130" i="1" s="1"/>
  <c r="W158" i="1"/>
  <c r="U175" i="1"/>
  <c r="S175" i="1" s="1"/>
  <c r="U172" i="1"/>
  <c r="S172" i="1" s="1"/>
  <c r="AI132" i="1"/>
  <c r="U133" i="1"/>
  <c r="S133" i="1" s="1"/>
  <c r="W170" i="1"/>
  <c r="W82" i="1"/>
  <c r="W86" i="1"/>
  <c r="W137" i="1"/>
  <c r="U159" i="1"/>
  <c r="S159" i="1" s="1"/>
  <c r="U162" i="1"/>
  <c r="S162" i="1" s="1"/>
  <c r="W162" i="1"/>
  <c r="W157" i="1"/>
  <c r="W156" i="1"/>
  <c r="AI159" i="1"/>
  <c r="W159" i="1"/>
  <c r="U160" i="1"/>
  <c r="S160" i="1" s="1"/>
  <c r="W160" i="1"/>
  <c r="AI198" i="1"/>
  <c r="W141" i="1"/>
  <c r="AI80" i="1"/>
  <c r="W51" i="1"/>
  <c r="W34" i="1"/>
  <c r="W94" i="1"/>
  <c r="AI120" i="1"/>
  <c r="W115" i="1"/>
  <c r="W116" i="1"/>
  <c r="U126" i="1"/>
  <c r="S126" i="1" s="1"/>
  <c r="U115" i="1"/>
  <c r="S115" i="1" s="1"/>
  <c r="U123" i="1"/>
  <c r="S123" i="1" s="1"/>
  <c r="U122" i="1"/>
  <c r="S122" i="1" s="1"/>
  <c r="AI88" i="1"/>
  <c r="W78" i="1"/>
  <c r="W53" i="1"/>
  <c r="AI118" i="1"/>
  <c r="AI24" i="1"/>
  <c r="U110" i="1"/>
  <c r="S110" i="1" s="1"/>
  <c r="U113" i="1"/>
  <c r="S113" i="1" s="1"/>
  <c r="AI102" i="1"/>
  <c r="U31" i="1"/>
  <c r="S31" i="1" s="1"/>
  <c r="U18" i="1"/>
  <c r="S18" i="1" s="1"/>
  <c r="U106" i="1"/>
  <c r="S106" i="1" s="1"/>
  <c r="W91" i="1"/>
  <c r="W30" i="1"/>
  <c r="U56" i="1"/>
  <c r="S56" i="1" s="1"/>
  <c r="W188" i="1"/>
  <c r="U33" i="1"/>
  <c r="S33" i="1" s="1"/>
  <c r="W58" i="1"/>
  <c r="U86" i="1"/>
  <c r="S86" i="1" s="1"/>
  <c r="W147" i="1"/>
  <c r="AI156" i="1"/>
  <c r="AI186" i="1"/>
  <c r="U52" i="1"/>
  <c r="S52" i="1" s="1"/>
  <c r="AI75" i="1"/>
  <c r="AI95" i="1"/>
  <c r="W113" i="1"/>
  <c r="AI149" i="1"/>
  <c r="U103" i="1"/>
  <c r="S103" i="1" s="1"/>
  <c r="U51" i="1"/>
  <c r="S51" i="1" s="1"/>
  <c r="AI69" i="1"/>
  <c r="AI96" i="1"/>
  <c r="U20" i="1"/>
  <c r="S20" i="1" s="1"/>
  <c r="AI87" i="1"/>
  <c r="AI91" i="1"/>
  <c r="W103" i="1"/>
  <c r="W32" i="1"/>
  <c r="W48" i="1"/>
  <c r="U114" i="1"/>
  <c r="S114" i="1" s="1"/>
  <c r="W20" i="1"/>
  <c r="AI73" i="1"/>
  <c r="AI23" i="1"/>
  <c r="W52" i="1"/>
  <c r="W56" i="1"/>
  <c r="AI20" i="1"/>
  <c r="W23" i="1"/>
  <c r="W39" i="1"/>
  <c r="W110" i="1"/>
  <c r="AI63" i="1"/>
  <c r="U30" i="1"/>
  <c r="S30" i="1" s="1"/>
  <c r="AI45" i="1"/>
  <c r="AI70" i="1"/>
  <c r="U22" i="1"/>
  <c r="S22" i="1" s="1"/>
  <c r="AI28" i="1"/>
  <c r="AI19" i="1"/>
  <c r="U95" i="1"/>
  <c r="S95" i="1" s="1"/>
  <c r="W126" i="1"/>
  <c r="W143" i="1"/>
  <c r="W16" i="1"/>
  <c r="W17" i="1"/>
  <c r="W57" i="1"/>
  <c r="AI54" i="1"/>
  <c r="AI137" i="1"/>
  <c r="AI199" i="1"/>
  <c r="U186" i="1"/>
  <c r="S186" i="1" s="1"/>
  <c r="W100" i="1"/>
  <c r="W198" i="1"/>
  <c r="W144" i="1"/>
  <c r="W179" i="1"/>
  <c r="AI142" i="1"/>
  <c r="AI77" i="1"/>
  <c r="W33" i="1"/>
  <c r="W40" i="1"/>
  <c r="W31" i="1"/>
  <c r="AI55" i="1"/>
  <c r="W140" i="1"/>
  <c r="U75" i="1"/>
  <c r="S75" i="1" s="1"/>
  <c r="W19" i="1"/>
  <c r="AI166" i="1"/>
  <c r="AI162" i="1"/>
  <c r="AI58" i="1"/>
  <c r="AI97" i="1"/>
  <c r="W90" i="1"/>
  <c r="W95" i="1"/>
  <c r="W106" i="1"/>
  <c r="W76" i="1"/>
  <c r="AI158" i="1"/>
  <c r="U136" i="1"/>
  <c r="S136" i="1" s="1"/>
  <c r="AI115" i="1"/>
  <c r="W174" i="1"/>
  <c r="W195" i="1"/>
  <c r="W166" i="1"/>
  <c r="AI112" i="1"/>
  <c r="AI78" i="1"/>
  <c r="W77" i="1"/>
  <c r="W87" i="1"/>
  <c r="W73" i="1"/>
  <c r="AI194" i="1"/>
  <c r="W22" i="1"/>
  <c r="W81" i="1"/>
  <c r="AI83" i="1"/>
  <c r="W97" i="1"/>
  <c r="AI31" i="1"/>
  <c r="W64" i="1"/>
  <c r="W148" i="1"/>
  <c r="W28" i="1"/>
  <c r="AI104" i="1"/>
  <c r="W193" i="1"/>
  <c r="AI110" i="1"/>
  <c r="U63" i="1"/>
  <c r="S63" i="1" s="1"/>
  <c r="AI136" i="1"/>
  <c r="W50" i="1"/>
  <c r="AI181" i="1"/>
  <c r="W182" i="1"/>
  <c r="AI108" i="1"/>
  <c r="AI103" i="1"/>
  <c r="W42" i="1"/>
  <c r="AI179" i="1"/>
  <c r="U24" i="1"/>
  <c r="S24" i="1" s="1"/>
  <c r="AI39" i="1"/>
  <c r="W26" i="1"/>
  <c r="W14" i="1"/>
  <c r="AI67" i="1"/>
  <c r="U82" i="1"/>
  <c r="S82" i="1" s="1"/>
  <c r="W167" i="1"/>
  <c r="AI133" i="1"/>
  <c r="AI99" i="1"/>
  <c r="AI155" i="1"/>
  <c r="W27" i="1"/>
  <c r="W59" i="1"/>
  <c r="U15" i="1"/>
  <c r="S15" i="1" s="1"/>
  <c r="AI47" i="1"/>
  <c r="AI144" i="1"/>
  <c r="AI68" i="1"/>
  <c r="U198" i="1"/>
  <c r="S198" i="1" s="1"/>
  <c r="AI86" i="1"/>
  <c r="W168" i="1"/>
  <c r="AI82" i="1"/>
  <c r="W89" i="1"/>
  <c r="AI89" i="1"/>
  <c r="W75" i="1"/>
  <c r="W197" i="1"/>
  <c r="W165" i="1"/>
  <c r="AI185" i="1"/>
  <c r="U104" i="1"/>
  <c r="S104" i="1" s="1"/>
  <c r="AI174" i="1"/>
  <c r="W196" i="1"/>
  <c r="U80" i="1"/>
  <c r="S80" i="1" s="1"/>
  <c r="W98" i="1"/>
  <c r="W151" i="1"/>
  <c r="W177" i="1"/>
  <c r="AI140" i="1"/>
  <c r="AI98" i="1"/>
  <c r="AI150" i="1"/>
  <c r="U193" i="1"/>
  <c r="S193" i="1" s="1"/>
  <c r="AI200" i="1"/>
  <c r="AI101" i="1"/>
  <c r="U189" i="1"/>
  <c r="S189" i="1" s="1"/>
  <c r="U76" i="1"/>
  <c r="S76" i="1" s="1"/>
  <c r="W25" i="1"/>
  <c r="AI161" i="1"/>
  <c r="W18" i="1"/>
  <c r="W104" i="1"/>
  <c r="U34" i="1"/>
  <c r="S34" i="1" s="1"/>
  <c r="W54" i="1"/>
  <c r="AI62" i="1"/>
  <c r="W15" i="1"/>
  <c r="W127" i="1"/>
  <c r="AI111" i="1"/>
  <c r="U152" i="1"/>
  <c r="S152" i="1" s="1"/>
  <c r="W21" i="1"/>
  <c r="AI190" i="1"/>
  <c r="AI72" i="1"/>
  <c r="W74" i="1"/>
  <c r="AI123" i="1"/>
  <c r="AI145" i="1"/>
  <c r="W114" i="1"/>
  <c r="AI177" i="1"/>
  <c r="W124" i="1"/>
  <c r="W128" i="1"/>
  <c r="AI170" i="1"/>
  <c r="W189" i="1"/>
  <c r="AI43" i="1"/>
  <c r="W132" i="1"/>
  <c r="W139" i="1"/>
  <c r="AI52" i="1"/>
  <c r="AI15" i="1"/>
  <c r="AI127" i="1"/>
  <c r="U147" i="1"/>
  <c r="S147" i="1" s="1"/>
  <c r="W192" i="1"/>
  <c r="U144" i="1"/>
  <c r="S144" i="1" s="1"/>
  <c r="AI92" i="1"/>
  <c r="U96" i="1"/>
  <c r="S96" i="1" s="1"/>
  <c r="AI18" i="1"/>
  <c r="AI27" i="1"/>
  <c r="W36" i="1"/>
  <c r="W38" i="1"/>
  <c r="AI59" i="1"/>
  <c r="AI76" i="1"/>
  <c r="W65" i="1"/>
  <c r="W173" i="1"/>
  <c r="W109" i="1"/>
  <c r="AI129" i="1"/>
  <c r="W201" i="1"/>
  <c r="AI163" i="1"/>
  <c r="W55" i="1"/>
  <c r="AI56" i="1"/>
  <c r="W35" i="1"/>
  <c r="W122" i="1"/>
  <c r="W136" i="1"/>
  <c r="W152" i="1"/>
  <c r="W187" i="1"/>
  <c r="U184" i="1"/>
  <c r="S184" i="1" s="1"/>
  <c r="W108" i="1"/>
  <c r="U153" i="1"/>
  <c r="S153" i="1" s="1"/>
  <c r="AI22" i="1"/>
  <c r="AI33" i="1"/>
  <c r="AI49" i="1"/>
  <c r="W80" i="1"/>
  <c r="AI30" i="1"/>
  <c r="W71" i="1"/>
  <c r="AI182" i="1"/>
  <c r="W186" i="1"/>
  <c r="W24" i="1"/>
  <c r="W37" i="1"/>
  <c r="AI109" i="1"/>
  <c r="AI175" i="1"/>
  <c r="W149" i="1"/>
  <c r="W68" i="1"/>
  <c r="W194" i="1"/>
  <c r="W101" i="1"/>
  <c r="AI187" i="1"/>
  <c r="W62" i="1"/>
  <c r="W180" i="1"/>
  <c r="W135" i="1"/>
  <c r="W178" i="1"/>
  <c r="U183" i="1"/>
  <c r="S183" i="1" s="1"/>
  <c r="AI183" i="1"/>
  <c r="U60" i="1"/>
  <c r="S60" i="1" s="1"/>
  <c r="AI60" i="1"/>
  <c r="U111" i="1"/>
  <c r="S111" i="1" s="1"/>
  <c r="U101" i="1"/>
  <c r="S101" i="1" s="1"/>
  <c r="W130" i="1"/>
  <c r="W125" i="1"/>
  <c r="AI125" i="1"/>
  <c r="W191" i="1"/>
  <c r="AI191" i="1"/>
  <c r="U84" i="1"/>
  <c r="S84" i="1" s="1"/>
  <c r="AI84" i="1"/>
  <c r="W172" i="1"/>
  <c r="AI113" i="1"/>
  <c r="W60" i="1"/>
  <c r="AI42" i="1"/>
  <c r="W138" i="1"/>
  <c r="AI138" i="1"/>
  <c r="W154" i="1"/>
  <c r="AI154" i="1"/>
  <c r="AI196" i="1"/>
  <c r="W63" i="1"/>
  <c r="U16" i="1"/>
  <c r="S16" i="1" s="1"/>
  <c r="AI16" i="1"/>
  <c r="W183" i="1"/>
  <c r="W84" i="1"/>
  <c r="W153" i="1"/>
  <c r="AI14" i="1"/>
  <c r="W46" i="1"/>
  <c r="AI165" i="1"/>
  <c r="AI173" i="1"/>
  <c r="U35" i="1"/>
  <c r="S35" i="1" s="1"/>
  <c r="AI35" i="1"/>
  <c r="W184" i="1"/>
  <c r="W190" i="1"/>
  <c r="W96" i="1"/>
  <c r="W111" i="1"/>
  <c r="U32" i="1"/>
  <c r="S32" i="1" s="1"/>
  <c r="AI32" i="1"/>
  <c r="U29" i="1"/>
  <c r="S29" i="1" s="1"/>
  <c r="AI29" i="1"/>
  <c r="U41" i="1"/>
  <c r="S41" i="1" s="1"/>
  <c r="AI41" i="1"/>
  <c r="U21" i="1"/>
  <c r="S21" i="1" s="1"/>
  <c r="AI21" i="1"/>
  <c r="AI38" i="1"/>
  <c r="W29" i="1"/>
  <c r="U25" i="1"/>
  <c r="S25" i="1" s="1"/>
  <c r="AI25" i="1"/>
  <c r="AI37" i="1"/>
  <c r="U37" i="1"/>
  <c r="S37" i="1" s="1"/>
  <c r="AI50" i="1"/>
  <c r="U50" i="1"/>
  <c r="S50" i="1" s="1"/>
  <c r="U65" i="1"/>
  <c r="S65" i="1" s="1"/>
  <c r="AI65" i="1"/>
  <c r="AI71" i="1"/>
  <c r="U71" i="1"/>
  <c r="S71" i="1" s="1"/>
  <c r="AI85" i="1"/>
  <c r="U85" i="1"/>
  <c r="S85" i="1" s="1"/>
  <c r="U161" i="1"/>
  <c r="S161" i="1" s="1"/>
  <c r="AI106" i="1"/>
  <c r="U169" i="1"/>
  <c r="S169" i="1" s="1"/>
  <c r="AI53" i="1"/>
  <c r="U53" i="1"/>
  <c r="S53" i="1" s="1"/>
  <c r="AI114" i="1"/>
  <c r="U94" i="1"/>
  <c r="S94" i="1" s="1"/>
  <c r="U129" i="1"/>
  <c r="S129" i="1" s="1"/>
  <c r="AI164" i="1"/>
  <c r="U146" i="1"/>
  <c r="S146" i="1" s="1"/>
  <c r="AI180" i="1"/>
  <c r="AI152" i="1"/>
  <c r="W129" i="1"/>
  <c r="U40" i="1"/>
  <c r="S40" i="1" s="1"/>
  <c r="AI40" i="1"/>
  <c r="U178" i="1"/>
  <c r="S178" i="1" s="1"/>
  <c r="AI116" i="1"/>
  <c r="U112" i="1"/>
  <c r="S112" i="1" s="1"/>
  <c r="AI151" i="1"/>
  <c r="U125" i="1"/>
  <c r="S125" i="1" s="1"/>
  <c r="AI160" i="1"/>
  <c r="U142" i="1"/>
  <c r="S142" i="1" s="1"/>
  <c r="AI176" i="1"/>
  <c r="U191" i="1"/>
  <c r="S191" i="1" s="1"/>
  <c r="AI192" i="1"/>
  <c r="AI202" i="1"/>
  <c r="U202" i="1"/>
  <c r="S202" i="1" s="1"/>
  <c r="AI189" i="1"/>
  <c r="U155" i="1"/>
  <c r="S155" i="1" s="1"/>
  <c r="AI46" i="1"/>
  <c r="U46" i="1"/>
  <c r="S46" i="1" s="1"/>
  <c r="AI66" i="1"/>
  <c r="U66" i="1"/>
  <c r="S66" i="1" s="1"/>
  <c r="U44" i="1"/>
  <c r="S44" i="1" s="1"/>
  <c r="AI44" i="1"/>
  <c r="AI81" i="1"/>
  <c r="U81" i="1"/>
  <c r="S81" i="1" s="1"/>
  <c r="AI94" i="1"/>
  <c r="U157" i="1"/>
  <c r="S157" i="1" s="1"/>
  <c r="AI100" i="1"/>
  <c r="U165" i="1"/>
  <c r="S165" i="1" s="1"/>
  <c r="W169" i="1"/>
  <c r="AI122" i="1"/>
  <c r="U181" i="1"/>
  <c r="S181" i="1" s="1"/>
  <c r="AI126" i="1"/>
  <c r="U185" i="1"/>
  <c r="S185" i="1" s="1"/>
  <c r="AI130" i="1"/>
  <c r="U188" i="1"/>
  <c r="S188" i="1" s="1"/>
  <c r="AI135" i="1"/>
  <c r="AI139" i="1"/>
  <c r="U99" i="1"/>
  <c r="S99" i="1" s="1"/>
  <c r="AI143" i="1"/>
  <c r="U199" i="1"/>
  <c r="S199" i="1" s="1"/>
  <c r="AI147" i="1"/>
  <c r="U109" i="1"/>
  <c r="S109" i="1" s="1"/>
  <c r="W181" i="1"/>
  <c r="W99" i="1"/>
  <c r="U120" i="1"/>
  <c r="S120" i="1" s="1"/>
  <c r="U138" i="1"/>
  <c r="S138" i="1" s="1"/>
  <c r="AI172" i="1"/>
  <c r="U154" i="1"/>
  <c r="S154" i="1" s="1"/>
  <c r="AI188" i="1"/>
  <c r="AI201" i="1"/>
  <c r="U201" i="1"/>
  <c r="S201" i="1" s="1"/>
  <c r="W185" i="1"/>
  <c r="W199" i="1"/>
  <c r="AI153" i="1"/>
  <c r="W120" i="1"/>
  <c r="W202" i="1"/>
  <c r="W155" i="1"/>
  <c r="W146" i="1"/>
  <c r="U36" i="1"/>
  <c r="S36" i="1" s="1"/>
  <c r="AI36" i="1"/>
  <c r="U17" i="1"/>
  <c r="S17" i="1" s="1"/>
  <c r="AI17" i="1"/>
  <c r="AI26" i="1"/>
  <c r="AI57" i="1"/>
  <c r="U57" i="1"/>
  <c r="S57" i="1" s="1"/>
  <c r="AI61" i="1"/>
  <c r="U61" i="1"/>
  <c r="S61" i="1" s="1"/>
  <c r="W41" i="1"/>
  <c r="AI51" i="1"/>
  <c r="W61" i="1"/>
  <c r="W66" i="1"/>
  <c r="AI34" i="1"/>
  <c r="W44" i="1"/>
  <c r="U173" i="1"/>
  <c r="S173" i="1" s="1"/>
  <c r="W85" i="1"/>
  <c r="W112" i="1"/>
  <c r="U134" i="1"/>
  <c r="S134" i="1" s="1"/>
  <c r="AI168" i="1"/>
  <c r="U150" i="1"/>
  <c r="S150" i="1" s="1"/>
  <c r="AI184" i="1"/>
  <c r="AI197" i="1"/>
  <c r="U196" i="1"/>
  <c r="S196" i="1" s="1"/>
  <c r="AI193" i="1"/>
  <c r="U192" i="1"/>
  <c r="S192" i="1" s="1"/>
  <c r="W134" i="1"/>
  <c r="W150" i="1"/>
  <c r="W142" i="1"/>
  <c r="S22" i="3"/>
  <c r="R22" i="3"/>
  <c r="N28" i="3"/>
  <c r="U28" i="3"/>
  <c r="T28" i="3" s="1"/>
  <c r="V28" i="3"/>
  <c r="W28" i="3"/>
  <c r="X28" i="3"/>
  <c r="S7" i="3"/>
  <c r="R7" i="3"/>
  <c r="S10" i="3"/>
  <c r="R10" i="3"/>
  <c r="S21" i="3"/>
  <c r="R21" i="3"/>
  <c r="S23" i="3"/>
  <c r="R23" i="3"/>
  <c r="S15" i="3"/>
  <c r="R15" i="3"/>
  <c r="S24" i="3"/>
  <c r="R24" i="3"/>
  <c r="S19" i="3"/>
  <c r="R19" i="3"/>
  <c r="S29" i="3"/>
  <c r="R29" i="3"/>
  <c r="S8" i="3"/>
  <c r="R8" i="3"/>
  <c r="S9" i="3"/>
  <c r="R9" i="3"/>
  <c r="S11" i="3"/>
  <c r="R11" i="3"/>
  <c r="S13" i="3"/>
  <c r="R13" i="3"/>
  <c r="S30" i="3"/>
  <c r="R30" i="3"/>
  <c r="S36" i="3"/>
  <c r="R36" i="3"/>
  <c r="S33" i="3"/>
  <c r="R33" i="3"/>
  <c r="S27" i="3"/>
  <c r="R27" i="3"/>
  <c r="S37" i="3"/>
  <c r="R37" i="3"/>
  <c r="S38" i="3"/>
  <c r="R38" i="3"/>
  <c r="S39" i="3"/>
  <c r="R39" i="3"/>
  <c r="S40" i="3"/>
  <c r="R40" i="3"/>
  <c r="S35" i="3"/>
  <c r="R35" i="3"/>
  <c r="S41" i="3"/>
  <c r="R41" i="3"/>
  <c r="S18" i="3"/>
  <c r="R18" i="3"/>
  <c r="S25" i="3"/>
  <c r="R25" i="3"/>
  <c r="S12" i="3"/>
  <c r="R12" i="3"/>
  <c r="S26" i="3"/>
  <c r="R26" i="3"/>
  <c r="R20" i="3" l="1"/>
  <c r="R14" i="3"/>
  <c r="S42" i="3"/>
  <c r="S34" i="3"/>
  <c r="R31" i="3"/>
  <c r="R32" i="3"/>
  <c r="S20" i="3"/>
  <c r="S14" i="3"/>
  <c r="R42" i="3"/>
  <c r="R34" i="3"/>
  <c r="S31" i="3"/>
  <c r="S32" i="3"/>
  <c r="Y28" i="3"/>
  <c r="M24" i="3"/>
  <c r="M31" i="3"/>
  <c r="M15" i="3"/>
  <c r="M7" i="3"/>
  <c r="M29" i="3"/>
  <c r="M16" i="3"/>
  <c r="M22" i="3"/>
  <c r="M32" i="3"/>
  <c r="M42" i="3"/>
  <c r="M36" i="3"/>
  <c r="M28" i="3"/>
  <c r="M19" i="3"/>
  <c r="M10" i="3"/>
  <c r="M8" i="3"/>
  <c r="M9" i="3"/>
  <c r="M34" i="3"/>
  <c r="M11" i="3"/>
  <c r="M39" i="3"/>
  <c r="M18" i="3"/>
  <c r="M20" i="3"/>
  <c r="M14" i="3"/>
  <c r="M37" i="3"/>
  <c r="M25" i="3"/>
  <c r="M13" i="3"/>
  <c r="M21" i="3"/>
  <c r="V13" i="1" l="1"/>
  <c r="S28" i="3" s="1"/>
  <c r="M17" i="3" l="1"/>
  <c r="M38" i="3"/>
  <c r="M30" i="3"/>
  <c r="M23" i="3"/>
  <c r="M33" i="3"/>
  <c r="K13" i="1" l="1"/>
  <c r="L13" i="1"/>
  <c r="M13" i="1"/>
  <c r="N13" i="1" s="1"/>
  <c r="Y13" i="1"/>
  <c r="Z13" i="1"/>
  <c r="AB13" i="1"/>
  <c r="AC13" i="1"/>
  <c r="AD13" i="1"/>
  <c r="X14" i="1" s="1"/>
  <c r="AE13" i="1"/>
  <c r="R28" i="3" s="1"/>
  <c r="AF13" i="1"/>
  <c r="T13" i="1" l="1"/>
  <c r="X13" i="1"/>
  <c r="AA13" i="1"/>
  <c r="AG13" i="1"/>
  <c r="J7" i="1" s="1"/>
  <c r="M26" i="5"/>
  <c r="AH14" i="1" l="1"/>
  <c r="AH21" i="1"/>
  <c r="AH22" i="1"/>
  <c r="AH30" i="1"/>
  <c r="AH31" i="1"/>
  <c r="AH32" i="1"/>
  <c r="AH33" i="1"/>
  <c r="AH34" i="1"/>
  <c r="AH35" i="1"/>
  <c r="AH36" i="1"/>
  <c r="AH37" i="1"/>
  <c r="AH38" i="1"/>
  <c r="AH44" i="1"/>
  <c r="AH56" i="1"/>
  <c r="AH57" i="1"/>
  <c r="AH78" i="1"/>
  <c r="AH80" i="1"/>
  <c r="AH81" i="1"/>
  <c r="AH90" i="1"/>
  <c r="AH97" i="1"/>
  <c r="AH98" i="1"/>
  <c r="AH99" i="1"/>
  <c r="AH137" i="1"/>
  <c r="AH138" i="1"/>
  <c r="AH139" i="1"/>
  <c r="AH148" i="1"/>
  <c r="AH149" i="1"/>
  <c r="AH150" i="1"/>
  <c r="AH158" i="1"/>
  <c r="AH159" i="1"/>
  <c r="AH166" i="1"/>
  <c r="AH167" i="1"/>
  <c r="AH168" i="1"/>
  <c r="AH169" i="1"/>
  <c r="AH176" i="1"/>
  <c r="AH197" i="1"/>
  <c r="AH177" i="1"/>
  <c r="AH183" i="1"/>
  <c r="AH190" i="1"/>
  <c r="AH15" i="1"/>
  <c r="AH16" i="1"/>
  <c r="AH23" i="1"/>
  <c r="AH24" i="1"/>
  <c r="AH25" i="1"/>
  <c r="AH39" i="1"/>
  <c r="AH40" i="1"/>
  <c r="AH41" i="1"/>
  <c r="AH45" i="1"/>
  <c r="AH46" i="1"/>
  <c r="AH47" i="1"/>
  <c r="AH48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82" i="1"/>
  <c r="AH100" i="1"/>
  <c r="AH104" i="1"/>
  <c r="AH106" i="1"/>
  <c r="AH108" i="1"/>
  <c r="AH118" i="1"/>
  <c r="AH120" i="1"/>
  <c r="AH122" i="1"/>
  <c r="AH123" i="1"/>
  <c r="AH128" i="1"/>
  <c r="AH129" i="1"/>
  <c r="AH130" i="1"/>
  <c r="AH132" i="1"/>
  <c r="AH140" i="1"/>
  <c r="AH141" i="1"/>
  <c r="AH142" i="1"/>
  <c r="AH143" i="1"/>
  <c r="AH144" i="1"/>
  <c r="AH151" i="1"/>
  <c r="AH152" i="1"/>
  <c r="AH153" i="1"/>
  <c r="AH154" i="1"/>
  <c r="AH160" i="1"/>
  <c r="AH182" i="1"/>
  <c r="AH189" i="1"/>
  <c r="AH192" i="1"/>
  <c r="AH17" i="1"/>
  <c r="AH18" i="1"/>
  <c r="AH26" i="1"/>
  <c r="AH27" i="1"/>
  <c r="AH28" i="1"/>
  <c r="AH42" i="1"/>
  <c r="AH49" i="1"/>
  <c r="AH50" i="1"/>
  <c r="AH70" i="1"/>
  <c r="AH71" i="1"/>
  <c r="AH72" i="1"/>
  <c r="AH74" i="1"/>
  <c r="AH76" i="1"/>
  <c r="AH83" i="1"/>
  <c r="AH84" i="1"/>
  <c r="AH85" i="1"/>
  <c r="AH92" i="1"/>
  <c r="AH94" i="1"/>
  <c r="AH95" i="1"/>
  <c r="AH101" i="1"/>
  <c r="AH102" i="1"/>
  <c r="AH109" i="1"/>
  <c r="AH110" i="1"/>
  <c r="AH111" i="1"/>
  <c r="AH112" i="1"/>
  <c r="AH113" i="1"/>
  <c r="AH124" i="1"/>
  <c r="AH133" i="1"/>
  <c r="AH155" i="1"/>
  <c r="AH156" i="1"/>
  <c r="AH161" i="1"/>
  <c r="AH162" i="1"/>
  <c r="AH163" i="1"/>
  <c r="AH164" i="1"/>
  <c r="AH165" i="1"/>
  <c r="AH170" i="1"/>
  <c r="AH172" i="1"/>
  <c r="AH173" i="1"/>
  <c r="AH179" i="1"/>
  <c r="AH180" i="1"/>
  <c r="AH181" i="1"/>
  <c r="AH184" i="1"/>
  <c r="AH185" i="1"/>
  <c r="AH193" i="1"/>
  <c r="AH194" i="1"/>
  <c r="AH195" i="1"/>
  <c r="AH199" i="1"/>
  <c r="AH20" i="1"/>
  <c r="AH29" i="1"/>
  <c r="AH43" i="1"/>
  <c r="AH51" i="1"/>
  <c r="AH52" i="1"/>
  <c r="AH53" i="1"/>
  <c r="AH54" i="1"/>
  <c r="AH55" i="1"/>
  <c r="AH86" i="1"/>
  <c r="AH96" i="1"/>
  <c r="AH114" i="1"/>
  <c r="AH115" i="1"/>
  <c r="AH116" i="1"/>
  <c r="AH125" i="1"/>
  <c r="AH126" i="1"/>
  <c r="AH127" i="1"/>
  <c r="AH134" i="1"/>
  <c r="AH135" i="1"/>
  <c r="AH136" i="1"/>
  <c r="AH145" i="1"/>
  <c r="AH146" i="1"/>
  <c r="AH147" i="1"/>
  <c r="AH157" i="1"/>
  <c r="AH174" i="1"/>
  <c r="AH175" i="1"/>
  <c r="AH186" i="1"/>
  <c r="AH196" i="1"/>
  <c r="AH200" i="1"/>
  <c r="AH201" i="1"/>
  <c r="AH202" i="1"/>
  <c r="AH187" i="1"/>
  <c r="AH198" i="1"/>
  <c r="AH178" i="1"/>
  <c r="AH188" i="1"/>
  <c r="AH191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<sst xmlns="http://schemas.openxmlformats.org/spreadsheetml/2006/main" count="2059" uniqueCount="726">
  <si>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</si>
  <si>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</si>
  <si>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</si>
  <si>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</si>
  <si>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</si>
  <si>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</si>
  <si>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</si>
  <si>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</si>
  <si>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</si>
  <si>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</si>
  <si>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</si>
  <si>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</si>
  <si>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</si>
  <si>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</si>
  <si>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</si>
  <si>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</si>
  <si>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</si>
  <si>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</si>
  <si>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</si>
  <si>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</si>
  <si>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</si>
  <si>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</si>
  <si>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</si>
  <si>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</si>
  <si>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</si>
  <si>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</si>
  <si>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</si>
  <si>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</si>
  <si>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</si>
  <si>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</si>
  <si>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</si>
  <si>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</si>
  <si>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</si>
  <si>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</si>
  <si>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</si>
  <si>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</si>
  <si>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</si>
  <si>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</si>
  <si>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</si>
  <si>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</si>
  <si>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</si>
  <si>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</si>
  <si>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</si>
  <si>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</si>
  <si>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</si>
  <si>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</si>
  <si>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</si>
  <si>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</si>
  <si>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</si>
  <si>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</si>
  <si>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</si>
  <si>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</si>
  <si>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</si>
  <si>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</si>
  <si>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</si>
  <si>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</si>
  <si>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</si>
  <si>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</si>
  <si>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</si>
  <si>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</si>
  <si>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</si>
  <si>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</si>
  <si>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</si>
  <si>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</si>
  <si>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</si>
  <si>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</si>
  <si>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</si>
  <si>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</si>
  <si>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</si>
  <si>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</si>
  <si>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</si>
  <si>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</si>
  <si>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</si>
  <si>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</si>
  <si>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</si>
  <si>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</si>
  <si>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</si>
  <si>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</si>
  <si>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</si>
  <si>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</si>
  <si>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</si>
  <si>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</si>
  <si>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</si>
  <si>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</si>
  <si>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</si>
  <si>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</si>
  <si>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</si>
  <si>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</si>
  <si>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</si>
  <si>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rtdc.l.rtdc.4030:itc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</si>
  <si>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</si>
  <si>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</si>
  <si>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</si>
  <si>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</si>
  <si>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</si>
  <si>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</si>
  <si>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</si>
  <si>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</si>
  <si>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</si>
  <si>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</si>
  <si>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</si>
  <si>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</si>
  <si>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</si>
  <si>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</si>
  <si>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</si>
  <si>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</si>
  <si>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</si>
  <si>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rtdc.l.rtdc.4014:itc</t>
  </si>
  <si>
    <t>DE.1.0.7.0</t>
  </si>
  <si>
    <t>rtdc.l.rtdc.4031:itc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</si>
  <si>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</si>
  <si>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</si>
  <si>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</si>
  <si>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</si>
  <si>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</si>
  <si>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</si>
  <si>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</si>
  <si>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</si>
  <si>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</si>
  <si>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</si>
  <si>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</si>
  <si>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</si>
  <si>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</si>
  <si>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</si>
  <si>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</si>
  <si>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>STAMBAUGH</t>
  </si>
  <si>
    <t xml:space="preserve">baselines for EC: </t>
  </si>
  <si>
    <t>baselines for NWES:</t>
  </si>
  <si>
    <t>M - F = 47 trips</t>
  </si>
  <si>
    <t>Sat - Sun = 33 Trips</t>
  </si>
  <si>
    <t>rtdc.l.rtdc.4038:itc</t>
  </si>
  <si>
    <t>204:154</t>
  </si>
  <si>
    <t>rtdc.l.rtdc.4009:itc</t>
  </si>
  <si>
    <t>:.+((SYSTEM_STATE.+slice.+state.+changed )|(ment ac)|(system.+state.+changed )|(\|lc)|(penalty)|(\[timeout)|(PRM\|1\|D)|(kpr)|(kdp))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</si>
  <si>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</si>
  <si>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</si>
  <si>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</si>
  <si>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</si>
  <si>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</si>
  <si>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</si>
  <si>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</si>
  <si>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</si>
  <si>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</si>
  <si>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</si>
  <si>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</si>
  <si>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</si>
  <si>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</si>
  <si>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</si>
  <si>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</si>
  <si>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</si>
  <si>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</si>
  <si>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</si>
  <si>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</si>
  <si>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</si>
  <si>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</si>
  <si>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</si>
  <si>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</si>
  <si>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Loco – PTC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</si>
  <si>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</si>
  <si>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</si>
  <si>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</si>
  <si>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</si>
  <si>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</si>
  <si>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</si>
  <si>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</si>
  <si>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</si>
  <si>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</si>
  <si>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</si>
  <si>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</si>
  <si>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rtdc.l.rtdc.4019:itc</t>
  </si>
  <si>
    <t>rtdc.l.rtdc.4020:itc</t>
  </si>
  <si>
    <t>Output Refined Run Times to File?</t>
  </si>
  <si>
    <t>RefinedRTDCRunTimesOutputFile</t>
  </si>
  <si>
    <t>Bulletin (2)</t>
  </si>
  <si>
    <t>GRADE CROSSING</t>
  </si>
  <si>
    <t>Trip Number</t>
  </si>
  <si>
    <t>rtdc.l.rtdc.4011:itc</t>
  </si>
  <si>
    <t>Y</t>
  </si>
  <si>
    <t>rtdc.l.rtdc.4025:itc</t>
  </si>
  <si>
    <t>rtdc.l.rtdc.4026:itc</t>
  </si>
  <si>
    <t>COOLAHAN</t>
  </si>
  <si>
    <t>rtdc.l.rtdc.4051:itc</t>
  </si>
  <si>
    <t>rtdc.l.rtdc.4052:itc</t>
  </si>
  <si>
    <t>Wi-MAX outage</t>
  </si>
  <si>
    <t>rtdc.l.rtdc.4041:itc</t>
  </si>
  <si>
    <t>rtdc.l.rtdc.4010:itc</t>
  </si>
  <si>
    <t>rtdc.l.rtdc.4042:itc</t>
  </si>
  <si>
    <t>STURGEON</t>
  </si>
  <si>
    <t>Data.Current Information Milepost</t>
  </si>
  <si>
    <t>Stopped Distance Short of Target (ft)</t>
  </si>
  <si>
    <t>MAELZER</t>
  </si>
  <si>
    <t>rtdc.l.rtdc.4046:itc</t>
  </si>
  <si>
    <t>MOSES</t>
  </si>
  <si>
    <t>CUSHING</t>
  </si>
  <si>
    <t>234-07</t>
  </si>
  <si>
    <t>237-07</t>
  </si>
  <si>
    <t>236-07</t>
  </si>
  <si>
    <t>239-07</t>
  </si>
  <si>
    <t>241-07</t>
  </si>
  <si>
    <t>238-07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</si>
  <si>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</si>
  <si>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</si>
  <si>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</si>
  <si>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</si>
  <si>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</si>
  <si>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</si>
  <si>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</si>
  <si>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</si>
  <si>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Partly Cloudy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</si>
  <si>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</si>
  <si>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</si>
  <si>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</si>
  <si>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</si>
  <si>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</si>
  <si>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</si>
  <si>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</si>
  <si>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</si>
  <si>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</si>
  <si>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</si>
  <si>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</si>
  <si>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</si>
  <si>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</si>
  <si>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</si>
  <si>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</si>
  <si>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partly-cloudy-day</t>
  </si>
  <si>
    <t>clear-night</t>
  </si>
  <si>
    <t>Clear</t>
  </si>
  <si>
    <t>Powered by Forecast [forecast.io]</t>
  </si>
  <si>
    <t>204:149</t>
  </si>
  <si>
    <t>204:233314</t>
  </si>
  <si>
    <t>204:160</t>
  </si>
  <si>
    <t>204:232982</t>
  </si>
  <si>
    <t>204:163</t>
  </si>
  <si>
    <t>204:471</t>
  </si>
  <si>
    <t>204:232991</t>
  </si>
  <si>
    <t>204:158</t>
  </si>
  <si>
    <t>204:233305</t>
  </si>
  <si>
    <t>204:232990</t>
  </si>
  <si>
    <t>204:147</t>
  </si>
  <si>
    <t>204:453</t>
  </si>
  <si>
    <t>204:233302</t>
  </si>
  <si>
    <t>204:150</t>
  </si>
  <si>
    <t>204:233291</t>
  </si>
  <si>
    <t>204:143</t>
  </si>
  <si>
    <t>204:152</t>
  </si>
  <si>
    <t>204:438</t>
  </si>
  <si>
    <t>204:232996</t>
  </si>
  <si>
    <t>204:457</t>
  </si>
  <si>
    <t>204:145</t>
  </si>
  <si>
    <t>204:447</t>
  </si>
  <si>
    <t>204:437</t>
  </si>
  <si>
    <t>204:233297</t>
  </si>
  <si>
    <t>204:466</t>
  </si>
  <si>
    <t>204:134</t>
  </si>
  <si>
    <t>204:451</t>
  </si>
  <si>
    <t>204:233282</t>
  </si>
  <si>
    <t>204:156</t>
  </si>
  <si>
    <t>204:455</t>
  </si>
  <si>
    <t>204:232977</t>
  </si>
  <si>
    <t>204:233312</t>
  </si>
  <si>
    <t>300:58615</t>
  </si>
  <si>
    <t>rtdc.l.rtdc.4016:itc</t>
  </si>
  <si>
    <t>rtdc.l.rtdc.4018:itc</t>
  </si>
  <si>
    <t>rtdc.l.rtdc.4017:itc</t>
  </si>
  <si>
    <t>rtdc.l.rtdc.4015:itc</t>
  </si>
  <si>
    <t>rtdc.l.rtdc.4037:itc</t>
  </si>
  <si>
    <t>rtdc.l.rtdc.4039:itc</t>
  </si>
  <si>
    <t>237-08</t>
  </si>
  <si>
    <t>204:139</t>
  </si>
  <si>
    <t>204:233310</t>
  </si>
  <si>
    <t>204:477</t>
  </si>
  <si>
    <t>204:233293</t>
  </si>
  <si>
    <t>204:232987</t>
  </si>
  <si>
    <t>204:473</t>
  </si>
  <si>
    <t>204:458</t>
  </si>
  <si>
    <t>204:233320</t>
  </si>
  <si>
    <t>204:464</t>
  </si>
  <si>
    <t>204:233301</t>
  </si>
  <si>
    <t>204:232993</t>
  </si>
  <si>
    <t>204:232984</t>
  </si>
  <si>
    <t>204:136</t>
  </si>
  <si>
    <t>204:232969</t>
  </si>
  <si>
    <t>204:233321</t>
  </si>
  <si>
    <t>204:467</t>
  </si>
  <si>
    <t>234-08</t>
  </si>
  <si>
    <t>236-08</t>
  </si>
  <si>
    <t>238-08</t>
  </si>
  <si>
    <t>239-08</t>
  </si>
  <si>
    <t>240-08</t>
  </si>
  <si>
    <t>204:141</t>
  </si>
  <si>
    <t>241-08</t>
  </si>
  <si>
    <t>204:233323</t>
  </si>
  <si>
    <t>242-08</t>
  </si>
  <si>
    <t>243-08</t>
  </si>
  <si>
    <t>204:233295</t>
  </si>
  <si>
    <t>244-08</t>
  </si>
  <si>
    <t>204:460</t>
  </si>
  <si>
    <t>309-08</t>
  </si>
  <si>
    <t>311-08</t>
  </si>
  <si>
    <t>313-08</t>
  </si>
  <si>
    <t>315-08</t>
  </si>
  <si>
    <t>human_readable_time</t>
  </si>
  <si>
    <t>MALAVE</t>
  </si>
  <si>
    <t>SHOOK</t>
  </si>
  <si>
    <t>ADANE</t>
  </si>
  <si>
    <t>rtdc.l.rtdc.4040:itc</t>
  </si>
  <si>
    <t>DELGADO</t>
  </si>
  <si>
    <t>OUN</t>
  </si>
  <si>
    <t>rtdc.l.rtdc.4028:itc</t>
  </si>
  <si>
    <t>204:232965</t>
  </si>
  <si>
    <t>204:165</t>
  </si>
  <si>
    <t>204:232975</t>
  </si>
  <si>
    <t>204:232978</t>
  </si>
  <si>
    <t>204:232988</t>
  </si>
  <si>
    <t>204:138</t>
  </si>
  <si>
    <t>204:233006</t>
  </si>
  <si>
    <t>204:232980</t>
  </si>
  <si>
    <t>204:232994</t>
  </si>
  <si>
    <t>204:232985</t>
  </si>
  <si>
    <t>204:233324</t>
  </si>
  <si>
    <t>238-09</t>
  </si>
  <si>
    <t>239-09</t>
  </si>
  <si>
    <t>241-09</t>
  </si>
  <si>
    <t>61-09</t>
  </si>
  <si>
    <t>300:58621</t>
  </si>
  <si>
    <t>300:58935</t>
  </si>
  <si>
    <t>204:958</t>
  </si>
  <si>
    <t>SWITCH UNKNOWN</t>
  </si>
  <si>
    <t>Track device (7)</t>
  </si>
  <si>
    <t>DAVIS</t>
  </si>
  <si>
    <t>STEWART</t>
  </si>
  <si>
    <t>CLARK</t>
  </si>
  <si>
    <t>CHANDLER</t>
  </si>
  <si>
    <t>243-09</t>
  </si>
  <si>
    <t>240-09</t>
  </si>
  <si>
    <t>242-09</t>
  </si>
  <si>
    <t>rtdc.l.rtdc.4013:itc</t>
  </si>
  <si>
    <t>rtdc.l.rtdc.4002:itc</t>
  </si>
  <si>
    <t>rtdc.l.rtdc.4001:itc</t>
  </si>
  <si>
    <t>rtdc.l.rtdc.4045:itc</t>
  </si>
  <si>
    <t>204:1169</t>
  </si>
  <si>
    <t>204:724</t>
  </si>
  <si>
    <t>204:232992</t>
  </si>
  <si>
    <t>204:478</t>
  </si>
  <si>
    <t>204:469</t>
  </si>
  <si>
    <t>204:232983</t>
  </si>
  <si>
    <t>204:233002</t>
  </si>
  <si>
    <t>204:233270</t>
  </si>
  <si>
    <t>204:232971</t>
  </si>
  <si>
    <t>204:233286</t>
  </si>
  <si>
    <t>204:233311</t>
  </si>
  <si>
    <t>204:130</t>
  </si>
  <si>
    <t>204:233010</t>
  </si>
  <si>
    <t>204:444</t>
  </si>
  <si>
    <t>204:233049</t>
  </si>
  <si>
    <t>300:58632</t>
  </si>
  <si>
    <t>204:845</t>
  </si>
  <si>
    <t>300:58944</t>
  </si>
  <si>
    <t>204:232957</t>
  </si>
  <si>
    <t>204:449</t>
  </si>
  <si>
    <t>204:484</t>
  </si>
  <si>
    <t>204:233318</t>
  </si>
  <si>
    <t>242-10</t>
  </si>
  <si>
    <t>244-10</t>
  </si>
  <si>
    <t>245-10</t>
  </si>
  <si>
    <t>246-10</t>
  </si>
  <si>
    <t>311-10</t>
  </si>
  <si>
    <t>313-10</t>
  </si>
  <si>
    <t>300:23304</t>
  </si>
  <si>
    <t>rtdc.l.rtdc.4029:itc</t>
  </si>
  <si>
    <t>ACKERMAN</t>
  </si>
  <si>
    <t>YORK</t>
  </si>
  <si>
    <t>KILLION</t>
  </si>
  <si>
    <t>BARTLETT</t>
  </si>
  <si>
    <t>BRUDER</t>
  </si>
  <si>
    <t>NEWELL</t>
  </si>
  <si>
    <t>SWANSON</t>
  </si>
  <si>
    <t>309-10</t>
  </si>
  <si>
    <t>101-11</t>
  </si>
  <si>
    <t>102-11</t>
  </si>
  <si>
    <t>113-11</t>
  </si>
  <si>
    <t>1800-11</t>
  </si>
  <si>
    <t>106-11</t>
  </si>
  <si>
    <t>110-11</t>
  </si>
  <si>
    <t>112-11</t>
  </si>
  <si>
    <t>114-11</t>
  </si>
  <si>
    <t>125-11</t>
  </si>
  <si>
    <t>1803-11</t>
  </si>
  <si>
    <t>122-11</t>
  </si>
  <si>
    <t>126-11</t>
  </si>
  <si>
    <t>139-11</t>
  </si>
  <si>
    <t>138-11</t>
  </si>
  <si>
    <t>140-11</t>
  </si>
  <si>
    <t>142-11</t>
  </si>
  <si>
    <t>153-11</t>
  </si>
  <si>
    <t>1810-11</t>
  </si>
  <si>
    <t>154-11</t>
  </si>
  <si>
    <t>173-11</t>
  </si>
  <si>
    <t>1817-11</t>
  </si>
  <si>
    <t>1818-11</t>
  </si>
  <si>
    <t>188-11</t>
  </si>
  <si>
    <t>1820-11</t>
  </si>
  <si>
    <t>196-11</t>
  </si>
  <si>
    <t>1821-11</t>
  </si>
  <si>
    <t>194-11</t>
  </si>
  <si>
    <t>1822-11</t>
  </si>
  <si>
    <t>1823-11</t>
  </si>
  <si>
    <t>1824-11</t>
  </si>
  <si>
    <t>215-11</t>
  </si>
  <si>
    <t>220-11</t>
  </si>
  <si>
    <t>240-11</t>
  </si>
  <si>
    <t>204:792</t>
  </si>
  <si>
    <t>204:233182</t>
  </si>
  <si>
    <t>204:232533</t>
  </si>
  <si>
    <t>204:196</t>
  </si>
  <si>
    <t>103-11</t>
  </si>
  <si>
    <t>204:672</t>
  </si>
  <si>
    <t>204:233380</t>
  </si>
  <si>
    <t>104-11</t>
  </si>
  <si>
    <t>204:232748</t>
  </si>
  <si>
    <t>204:10097</t>
  </si>
  <si>
    <t>105-11</t>
  </si>
  <si>
    <t>204:19202</t>
  </si>
  <si>
    <t>204:726</t>
  </si>
  <si>
    <t>204:232671</t>
  </si>
  <si>
    <t>204:3095</t>
  </si>
  <si>
    <t>108-11</t>
  </si>
  <si>
    <t>109-11</t>
  </si>
  <si>
    <t>204:828</t>
  </si>
  <si>
    <t>204:233284</t>
  </si>
  <si>
    <t>204:232967</t>
  </si>
  <si>
    <t>111-11</t>
  </si>
  <si>
    <t>204:779</t>
  </si>
  <si>
    <t>204:17373</t>
  </si>
  <si>
    <t>204:491</t>
  </si>
  <si>
    <t>204:232953</t>
  </si>
  <si>
    <t>204:20766</t>
  </si>
  <si>
    <t>115-11</t>
  </si>
  <si>
    <t>204:233283</t>
  </si>
  <si>
    <t>116-11</t>
  </si>
  <si>
    <t>204:232968</t>
  </si>
  <si>
    <t>117-11</t>
  </si>
  <si>
    <t>118-11</t>
  </si>
  <si>
    <t>119-11</t>
  </si>
  <si>
    <t>204:19137</t>
  </si>
  <si>
    <t>120-11</t>
  </si>
  <si>
    <t>121-11</t>
  </si>
  <si>
    <t>123-11</t>
  </si>
  <si>
    <t>204:557</t>
  </si>
  <si>
    <t>124-11</t>
  </si>
  <si>
    <t>204:232966</t>
  </si>
  <si>
    <t>204:174</t>
  </si>
  <si>
    <t>204:209</t>
  </si>
  <si>
    <t>127-11</t>
  </si>
  <si>
    <t>128-11</t>
  </si>
  <si>
    <t>129-11</t>
  </si>
  <si>
    <t>204:233272</t>
  </si>
  <si>
    <t>130-11</t>
  </si>
  <si>
    <t>131-11</t>
  </si>
  <si>
    <t>204:233300</t>
  </si>
  <si>
    <t>132-11</t>
  </si>
  <si>
    <t>133-11</t>
  </si>
  <si>
    <t>204:440</t>
  </si>
  <si>
    <t>134-11</t>
  </si>
  <si>
    <t>204:232973</t>
  </si>
  <si>
    <t>135-11</t>
  </si>
  <si>
    <t>204:233266</t>
  </si>
  <si>
    <t>136-11</t>
  </si>
  <si>
    <t>137-11</t>
  </si>
  <si>
    <t>204:233261</t>
  </si>
  <si>
    <t>204:517</t>
  </si>
  <si>
    <t>204:232962</t>
  </si>
  <si>
    <t>204:193136</t>
  </si>
  <si>
    <t>141-11</t>
  </si>
  <si>
    <t>143-11</t>
  </si>
  <si>
    <t>204:233298</t>
  </si>
  <si>
    <t>144-11</t>
  </si>
  <si>
    <t>145-11</t>
  </si>
  <si>
    <t>146-11</t>
  </si>
  <si>
    <t>147-11</t>
  </si>
  <si>
    <t>148-11</t>
  </si>
  <si>
    <t>149-11</t>
  </si>
  <si>
    <t>150-11</t>
  </si>
  <si>
    <t>151-11</t>
  </si>
  <si>
    <t>152-11</t>
  </si>
  <si>
    <t>204:232974</t>
  </si>
  <si>
    <t>155-11</t>
  </si>
  <si>
    <t>156-11</t>
  </si>
  <si>
    <t>157-11</t>
  </si>
  <si>
    <t>158-11</t>
  </si>
  <si>
    <t>159-11</t>
  </si>
  <si>
    <t>160-11</t>
  </si>
  <si>
    <t>162-11</t>
  </si>
  <si>
    <t>164-11</t>
  </si>
  <si>
    <t>166-11</t>
  </si>
  <si>
    <t>204:233000</t>
  </si>
  <si>
    <t>168-11</t>
  </si>
  <si>
    <t>169-11</t>
  </si>
  <si>
    <t>170-11</t>
  </si>
  <si>
    <t>171-11</t>
  </si>
  <si>
    <t>204:233381</t>
  </si>
  <si>
    <t>172-11</t>
  </si>
  <si>
    <t>204:233051</t>
  </si>
  <si>
    <t>174-11</t>
  </si>
  <si>
    <t>178-11</t>
  </si>
  <si>
    <t>180-11</t>
  </si>
  <si>
    <t>300:58640</t>
  </si>
  <si>
    <t>1801-11</t>
  </si>
  <si>
    <t>204:1027</t>
  </si>
  <si>
    <t>300:58933</t>
  </si>
  <si>
    <t>1802-11</t>
  </si>
  <si>
    <t>204:1007</t>
  </si>
  <si>
    <t>1804-11</t>
  </si>
  <si>
    <t>204:715</t>
  </si>
  <si>
    <t>1805-11</t>
  </si>
  <si>
    <t>204:1006</t>
  </si>
  <si>
    <t>1806-11</t>
  </si>
  <si>
    <t>300:58623</t>
  </si>
  <si>
    <t>204:719</t>
  </si>
  <si>
    <t>1807-11</t>
  </si>
  <si>
    <t>204:1000</t>
  </si>
  <si>
    <t>300:58929</t>
  </si>
  <si>
    <t>1808-11</t>
  </si>
  <si>
    <t>300:58619</t>
  </si>
  <si>
    <t>1809-11</t>
  </si>
  <si>
    <t>204:993</t>
  </si>
  <si>
    <t>300:58626</t>
  </si>
  <si>
    <t>204:867</t>
  </si>
  <si>
    <t>1811-11</t>
  </si>
  <si>
    <t>204:1158</t>
  </si>
  <si>
    <t>300:58943</t>
  </si>
  <si>
    <t>1812-11</t>
  </si>
  <si>
    <t>300:58630</t>
  </si>
  <si>
    <t>204:712</t>
  </si>
  <si>
    <t>1813-11</t>
  </si>
  <si>
    <t>204:1002</t>
  </si>
  <si>
    <t>300:58948</t>
  </si>
  <si>
    <t>1815-11</t>
  </si>
  <si>
    <t>204:1014</t>
  </si>
  <si>
    <t>1816-11</t>
  </si>
  <si>
    <t>204:1140</t>
  </si>
  <si>
    <t>300:57605</t>
  </si>
  <si>
    <t>204:668</t>
  </si>
  <si>
    <t>1819-11</t>
  </si>
  <si>
    <t>204:957</t>
  </si>
  <si>
    <t>300:58996</t>
  </si>
  <si>
    <t>182-11</t>
  </si>
  <si>
    <t>300:58676</t>
  </si>
  <si>
    <t>204:687</t>
  </si>
  <si>
    <t>204:974</t>
  </si>
  <si>
    <t>300:58988</t>
  </si>
  <si>
    <t>300:58670</t>
  </si>
  <si>
    <t>204:645</t>
  </si>
  <si>
    <t>204:936</t>
  </si>
  <si>
    <t>300:58679</t>
  </si>
  <si>
    <t>204:708</t>
  </si>
  <si>
    <t>1825-11</t>
  </si>
  <si>
    <t>204:995</t>
  </si>
  <si>
    <t>300:58980</t>
  </si>
  <si>
    <t>1826-11</t>
  </si>
  <si>
    <t>300:58661</t>
  </si>
  <si>
    <t>1827-11</t>
  </si>
  <si>
    <t>204:962</t>
  </si>
  <si>
    <t>1828-11</t>
  </si>
  <si>
    <t>204:654</t>
  </si>
  <si>
    <t>1829-11</t>
  </si>
  <si>
    <t>204:951</t>
  </si>
  <si>
    <t>183-11</t>
  </si>
  <si>
    <t>204:37168</t>
  </si>
  <si>
    <t>1830-11</t>
  </si>
  <si>
    <t>300:58628</t>
  </si>
  <si>
    <t>204:685</t>
  </si>
  <si>
    <t>1831-11</t>
  </si>
  <si>
    <t>204:941</t>
  </si>
  <si>
    <t>300:58937</t>
  </si>
  <si>
    <t>1832-11</t>
  </si>
  <si>
    <t>204:673</t>
  </si>
  <si>
    <t>1833-11</t>
  </si>
  <si>
    <t>300:58956</t>
  </si>
  <si>
    <t>184-11</t>
  </si>
  <si>
    <t>204:127871</t>
  </si>
  <si>
    <t>185-11</t>
  </si>
  <si>
    <t>204:233368</t>
  </si>
  <si>
    <t>186-11</t>
  </si>
  <si>
    <t>204:233063</t>
  </si>
  <si>
    <t>187-11</t>
  </si>
  <si>
    <t>204:233351</t>
  </si>
  <si>
    <t>204:233017</t>
  </si>
  <si>
    <t>204:37997</t>
  </si>
  <si>
    <t>189-11</t>
  </si>
  <si>
    <t>190-11</t>
  </si>
  <si>
    <t>204:233009</t>
  </si>
  <si>
    <t>1902-11</t>
  </si>
  <si>
    <t>300:58636</t>
  </si>
  <si>
    <t>300:21390</t>
  </si>
  <si>
    <t>192-11</t>
  </si>
  <si>
    <t>197-11</t>
  </si>
  <si>
    <t>198-11</t>
  </si>
  <si>
    <t>199-11</t>
  </si>
  <si>
    <t>204:233347</t>
  </si>
  <si>
    <t>200-11</t>
  </si>
  <si>
    <t>201-11</t>
  </si>
  <si>
    <t>204:233343</t>
  </si>
  <si>
    <t>202-11</t>
  </si>
  <si>
    <t>204:233023</t>
  </si>
  <si>
    <t>203-11</t>
  </si>
  <si>
    <t>204:233338</t>
  </si>
  <si>
    <t>204-11</t>
  </si>
  <si>
    <t>204:233025</t>
  </si>
  <si>
    <t>204:180</t>
  </si>
  <si>
    <t>206-11</t>
  </si>
  <si>
    <t>208-11</t>
  </si>
  <si>
    <t>210-11</t>
  </si>
  <si>
    <t>211-11</t>
  </si>
  <si>
    <t>204:509</t>
  </si>
  <si>
    <t>212-11</t>
  </si>
  <si>
    <t>213-11</t>
  </si>
  <si>
    <t>204:233316</t>
  </si>
  <si>
    <t>214-11</t>
  </si>
  <si>
    <t>204:233397</t>
  </si>
  <si>
    <t>216-11</t>
  </si>
  <si>
    <t>217-11</t>
  </si>
  <si>
    <t>218-11</t>
  </si>
  <si>
    <t>204:192</t>
  </si>
  <si>
    <t>221-11</t>
  </si>
  <si>
    <t>222-11</t>
  </si>
  <si>
    <t>204:232979</t>
  </si>
  <si>
    <t>204:167</t>
  </si>
  <si>
    <t>223-11</t>
  </si>
  <si>
    <t>224-11</t>
  </si>
  <si>
    <t>204:119</t>
  </si>
  <si>
    <t>225-11</t>
  </si>
  <si>
    <t>226-11</t>
  </si>
  <si>
    <t>227-11</t>
  </si>
  <si>
    <t>204:486</t>
  </si>
  <si>
    <t>204:233289</t>
  </si>
  <si>
    <t>228-11</t>
  </si>
  <si>
    <t>229-11</t>
  </si>
  <si>
    <t>230-11</t>
  </si>
  <si>
    <t>231-11</t>
  </si>
  <si>
    <t>204:233322</t>
  </si>
  <si>
    <t>232-11</t>
  </si>
  <si>
    <t>233-11</t>
  </si>
  <si>
    <t>234-11</t>
  </si>
  <si>
    <t>235-11</t>
  </si>
  <si>
    <t>204:233280</t>
  </si>
  <si>
    <t>236-11</t>
  </si>
  <si>
    <t>204:194</t>
  </si>
  <si>
    <t>237-11</t>
  </si>
  <si>
    <t>238-11</t>
  </si>
  <si>
    <t>239-11</t>
  </si>
  <si>
    <t>241-11</t>
  </si>
  <si>
    <t>242-11</t>
  </si>
  <si>
    <t>243-11</t>
  </si>
  <si>
    <t>244-11</t>
  </si>
  <si>
    <t>204:169</t>
  </si>
  <si>
    <t>303-11</t>
  </si>
  <si>
    <t>300:23310</t>
  </si>
  <si>
    <t>305-11</t>
  </si>
  <si>
    <t>300:23299</t>
  </si>
  <si>
    <t>307-11</t>
  </si>
  <si>
    <t>300:23295</t>
  </si>
  <si>
    <t>309-11</t>
  </si>
  <si>
    <t>300:22812</t>
  </si>
  <si>
    <t>311-11</t>
  </si>
  <si>
    <t>300:23301</t>
  </si>
  <si>
    <t>313-11</t>
  </si>
  <si>
    <t>300:23002</t>
  </si>
  <si>
    <t>315-11</t>
  </si>
  <si>
    <t>204:475</t>
  </si>
  <si>
    <t>300:22862</t>
  </si>
  <si>
    <t>52-11</t>
  </si>
  <si>
    <t>204:1171</t>
  </si>
  <si>
    <t>204:1164</t>
  </si>
  <si>
    <t>204:1162</t>
  </si>
  <si>
    <t>204:1483</t>
  </si>
  <si>
    <t>204:1473</t>
  </si>
  <si>
    <t>precipType</t>
  </si>
  <si>
    <t>rain</t>
  </si>
  <si>
    <t>Mostly Cloudy</t>
  </si>
  <si>
    <t>partly-cloudy-night</t>
  </si>
  <si>
    <t>Drizzle</t>
  </si>
  <si>
    <t>Summary for DUS 2016-09-11: Partly cloudy starting in the morning.</t>
  </si>
  <si>
    <t>Time (US/Mountain)</t>
  </si>
  <si>
    <t>Source</t>
  </si>
  <si>
    <t>Employee Identifier</t>
  </si>
  <si>
    <t>Employee Last Name</t>
  </si>
  <si>
    <t>rtdc.l.rtdc.4027:itc</t>
  </si>
  <si>
    <t>107-11</t>
  </si>
  <si>
    <t>STRICKLAND</t>
  </si>
  <si>
    <t>STARKS</t>
  </si>
  <si>
    <t>58-11</t>
  </si>
  <si>
    <t>LEVERE</t>
  </si>
  <si>
    <t>ROBINSON</t>
  </si>
  <si>
    <t>Dispatcher error - did not initialize</t>
  </si>
  <si>
    <t>161-11</t>
  </si>
  <si>
    <t>163-11</t>
  </si>
  <si>
    <t>165-11</t>
  </si>
  <si>
    <t>167-11</t>
  </si>
  <si>
    <t>175-11</t>
  </si>
  <si>
    <t>176-11</t>
  </si>
  <si>
    <t>177-11</t>
  </si>
  <si>
    <t>179-11</t>
  </si>
  <si>
    <t>181-11</t>
  </si>
  <si>
    <t>191-11</t>
  </si>
  <si>
    <t>DUS 22S "stuck" at STOP</t>
  </si>
  <si>
    <t>DUS 2N flipped between "DARK" and "STOP"</t>
  </si>
  <si>
    <t>Bright 4S was STOP</t>
  </si>
  <si>
    <t>At 2016/09/11 06:33:16 Denver time, aspect for EC0206RH 28-2T 2S dropped from 270 to STOP &amp; PROCEED. Was there any failure that caused this?</t>
  </si>
  <si>
    <t>EC0206RH 28-2T 2S dropped from 270 to STOP &amp; PROCEED</t>
  </si>
  <si>
    <t>DUS 4N flipped between "DARK" and "STOP"</t>
  </si>
  <si>
    <t>Did not init - S/W download screen</t>
  </si>
  <si>
    <t>193-11</t>
  </si>
  <si>
    <t>195-11</t>
  </si>
  <si>
    <t>207-11</t>
  </si>
  <si>
    <t>209-11</t>
  </si>
  <si>
    <t>205-11</t>
  </si>
  <si>
    <t>219-11</t>
  </si>
  <si>
    <t>1814-11</t>
  </si>
  <si>
    <t>Poor GPS at DUS prevented map selection</t>
  </si>
  <si>
    <t>Onboard in-route failure</t>
  </si>
  <si>
    <t>Early arrival</t>
  </si>
  <si>
    <t>Form C</t>
  </si>
  <si>
    <t>Pena 4S STOP, cleared shortly</t>
  </si>
  <si>
    <t>40th 4S STOP, cleared shortly</t>
  </si>
  <si>
    <t>DUS Switch 5 out of correspondence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</si>
</sst>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7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0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Weather"/>
      <sheetName val="Variables"/>
      <sheetName val="Redmine List Valu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69"/>
  <sheetViews>
    <sheetView topLeftCell="A16" workbookViewId="0">
      <selection activeCell="R174" sqref="R174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3.5703125" style="2" customWidth="1"/>
    <col min="16" max="16" width="4" style="2" customWidth="1"/>
    <col min="17" max="17" width="5.85546875" hidden="1" customWidth="1"/>
    <col min="18" max="18" width="29" customWidth="1"/>
    <col min="19" max="19" width="7.7109375" style="23" customWidth="1"/>
    <col min="20" max="20" width="3.85546875" customWidth="1"/>
    <col min="21" max="21" width="5" style="161" customWidth="1"/>
    <col min="22" max="22" width="5.7109375" style="104" customWidth="1"/>
    <col min="23" max="23" width="3.85546875" style="22" customWidth="1"/>
    <col min="24" max="24" width="5.28515625" style="166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26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116</v>
      </c>
      <c r="J1" s="43"/>
      <c r="K1" s="30"/>
      <c r="L1" s="30"/>
      <c r="M1" s="42"/>
      <c r="N1" s="43"/>
      <c r="O1" s="2"/>
      <c r="P1" s="2"/>
      <c r="R1" s="40" t="s">
        <v>117</v>
      </c>
      <c r="S1" s="43"/>
      <c r="T1" s="30"/>
      <c r="U1" s="157"/>
      <c r="V1" s="42"/>
      <c r="W1" s="43"/>
      <c r="X1" s="161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42624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42624</v>
      </c>
      <c r="S2" s="79"/>
      <c r="T2" s="80"/>
      <c r="U2" s="158"/>
      <c r="V2" s="102" t="s">
        <v>8</v>
      </c>
      <c r="W2" s="82"/>
      <c r="X2" s="164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59"/>
      <c r="V3" s="44" t="s">
        <v>11</v>
      </c>
      <c r="W3" s="45" t="s">
        <v>12</v>
      </c>
      <c r="X3" s="165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144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34</v>
      </c>
      <c r="T4" s="46"/>
      <c r="U4" s="160"/>
      <c r="V4" s="47" t="s">
        <v>15</v>
      </c>
      <c r="W4" s="45" t="s">
        <v>15</v>
      </c>
      <c r="X4" s="165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COUNTIFS($N$13:$N$9412,"&gt;0",$AG$13:$AG$9412,I1)</f>
        <v>119</v>
      </c>
      <c r="K5" s="46"/>
      <c r="L5" s="46"/>
      <c r="M5" s="47">
        <f>AVERAGEIFS($N$13:$N$9412,$AG$13:$AG$9412,I1)</f>
        <v>38.726610644522886</v>
      </c>
      <c r="N5" s="45">
        <f t="array" ref="N5">MIN(IF($AG$13:$AG$9412=I1,IF(ISNUMBER($N$13:$N$9412),IF($N$13:$N$9412&gt;0,$N$13:$N$9412))))</f>
        <v>33.433333332650363</v>
      </c>
      <c r="O5" s="3">
        <f t="array" ref="O5">MAX(IF($AG$13:$AG$9412=I1,IF(ISNUMBER($N$13:$N$9412),IF($N$13:$N$9412&gt;0,$N$13:$N$9412))))</f>
        <v>46.150000006891787</v>
      </c>
      <c r="P5" s="2"/>
      <c r="R5" s="87" t="s">
        <v>17</v>
      </c>
      <c r="S5" s="57">
        <f>COUNTIFS($N$13:$N$9412,"&gt;0",$AG$13:$AG$9412,R1)</f>
        <v>33</v>
      </c>
      <c r="T5" s="46"/>
      <c r="U5" s="160"/>
      <c r="V5" s="47">
        <f>AVERAGEIFS($N$13:$N$9412,$AG$13:$AG$9412,R1)</f>
        <v>14.603535353883423</v>
      </c>
      <c r="W5" s="45">
        <f t="array" ref="W5">MIN(IF($AG$13:$AG$9412=R1,IF(ISNUMBER($N$13:$N$9412),IF($N$13:$N$9412&gt;0,$N$13:$N$9412))))</f>
        <v>12.16666667140089</v>
      </c>
      <c r="X5" s="165">
        <f t="array" ref="X5">MAX(IF($AG$13:$AG$9412=R1,IF(ISNUMBER($N$13:$N$9412),IF($N$13:$N$9412&gt;0,$N$13:$N$9412))))</f>
        <v>17.416666672797874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COUNT($O$13:$O$173)</f>
        <v>0</v>
      </c>
      <c r="K6" s="46"/>
      <c r="L6" s="46"/>
      <c r="M6" s="47">
        <f>IFERROR(AVERAGE($O$13:$O$173),0)</f>
        <v>0</v>
      </c>
      <c r="N6" s="45">
        <f>MIN($O$13:$O$173)</f>
        <v>0</v>
      </c>
      <c r="O6" s="3">
        <f>MAX($O$13:$O$173)</f>
        <v>0</v>
      </c>
      <c r="P6" s="2"/>
      <c r="R6" s="88" t="s">
        <v>43</v>
      </c>
      <c r="S6" s="57">
        <f>COUNT($O$13:$O$173)</f>
        <v>0</v>
      </c>
      <c r="T6" s="46"/>
      <c r="U6" s="160"/>
      <c r="V6" s="47">
        <f>IFERROR(AVERAGE($O$13:$O$173),0)</f>
        <v>0</v>
      </c>
      <c r="W6" s="45">
        <f>MIN($O$13:$O$173)</f>
        <v>0</v>
      </c>
      <c r="X6" s="165">
        <f>MAX($O$13:$O$173)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COUNTIFS($P$13:$P$9412,"&gt;0",$AG$13:$AG$9412,I1)</f>
        <v>25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COUNTIFS($P$13:$P$9412,"&gt;0",$AG$13:$AG$9412,R1)</f>
        <v>1</v>
      </c>
      <c r="T7" s="46"/>
      <c r="U7" s="160"/>
      <c r="V7" s="47" t="s">
        <v>15</v>
      </c>
      <c r="W7" s="45" t="s">
        <v>15</v>
      </c>
      <c r="X7" s="165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119</v>
      </c>
      <c r="K8" s="46"/>
      <c r="L8" s="46"/>
      <c r="M8" s="47">
        <f>M5</f>
        <v>38.726610644522886</v>
      </c>
      <c r="N8" s="45">
        <f>N5</f>
        <v>33.433333332650363</v>
      </c>
      <c r="O8" s="3">
        <f>O5</f>
        <v>46.150000006891787</v>
      </c>
      <c r="P8" s="2"/>
      <c r="R8" s="87" t="s">
        <v>16</v>
      </c>
      <c r="S8" s="57">
        <f>S5</f>
        <v>33</v>
      </c>
      <c r="T8" s="46"/>
      <c r="U8" s="160"/>
      <c r="V8" s="47">
        <f>V5</f>
        <v>14.603535353883423</v>
      </c>
      <c r="W8" s="45">
        <f>W5</f>
        <v>12.16666667140089</v>
      </c>
      <c r="X8" s="165">
        <f>X5</f>
        <v>17.416666672797874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0.82638888888888884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0.97058823529411764</v>
      </c>
      <c r="T9" s="48"/>
      <c r="U9" s="157"/>
      <c r="V9" s="90"/>
      <c r="W9" s="43"/>
      <c r="X9" s="154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61"/>
      <c r="V10" s="103"/>
      <c r="W10" s="22"/>
      <c r="X10" s="166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75" t="str">
        <f>"Eagle P3 System Performance - "&amp;TEXT(Variables!A2,"yyyy-mm-dd")</f>
        <v>Eagle P3 System Performance - 2016-09-11</v>
      </c>
      <c r="B11" s="17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S11" s="72">
        <f>AVERAGE(S13:S118)</f>
        <v>0.8632075471698113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62" t="s">
        <v>71</v>
      </c>
      <c r="V12" s="105" t="s">
        <v>45</v>
      </c>
      <c r="W12" s="53" t="s">
        <v>23</v>
      </c>
      <c r="X12" s="167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90</v>
      </c>
      <c r="AE12" s="98" t="s">
        <v>97</v>
      </c>
      <c r="AF12" s="95" t="s">
        <v>102</v>
      </c>
      <c r="AG12" s="4" t="s">
        <v>118</v>
      </c>
      <c r="AH12" s="101" t="s">
        <v>120</v>
      </c>
      <c r="AI12" s="133" t="s">
        <v>166</v>
      </c>
      <c r="AJ12" s="53" t="s">
        <v>167</v>
      </c>
      <c r="AK12" s="53" t="s">
        <v>139</v>
      </c>
      <c r="AL12" s="53" t="s">
        <v>168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378</v>
      </c>
      <c r="B13" s="7">
        <v>4042</v>
      </c>
      <c r="C13" s="24" t="s">
        <v>108</v>
      </c>
      <c r="D13" s="24" t="s">
        <v>411</v>
      </c>
      <c r="E13" s="15">
        <v>42624.127430555556</v>
      </c>
      <c r="F13" s="15">
        <v>42624.135659722226</v>
      </c>
      <c r="G13" s="7">
        <v>1</v>
      </c>
      <c r="H13" s="15" t="s">
        <v>412</v>
      </c>
      <c r="I13" s="15">
        <v>42624.160543981481</v>
      </c>
      <c r="J13" s="7">
        <v>1</v>
      </c>
      <c r="K13" s="121" t="str">
        <f t="shared" ref="K13:K42" si="0">IF(ISEVEN(B13),(B13-1)&amp;"/"&amp;B13,B13&amp;"/"&amp;(B13+1))</f>
        <v>4041/4042</v>
      </c>
      <c r="L13" s="24" t="str">
        <f>VLOOKUP(A13,'Trips&amp;Operators'!$C$1:$E$10000,3,FALSE)</f>
        <v>KILLION</v>
      </c>
      <c r="M13" s="6">
        <f t="shared" ref="M13:M42" si="1">I13-F13</f>
        <v>2.488425925548654E-2</v>
      </c>
      <c r="N13" s="7">
        <f t="shared" ref="N13:P18" si="2">24*60*SUM($M13:$M13)</f>
        <v>35.833333327900618</v>
      </c>
      <c r="O13" s="7"/>
      <c r="P13" s="7"/>
      <c r="Q13" s="25"/>
      <c r="R13" s="25"/>
      <c r="S13" s="37">
        <f t="shared" ref="S13:S42" si="3">SUM(U13:U13)/IF(AG13="EC",12,1)</f>
        <v>1</v>
      </c>
      <c r="T13" s="52" t="str">
        <f t="shared" ref="T13:T42" si="4">IF(ISEVEN(LEFT(AD13,4)),"Southbound","NorthBound")</f>
        <v>NorthBound</v>
      </c>
      <c r="U13" s="163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 t="shared" ref="V13:V42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https://search-rtdc-monitor-bjffxe2xuh6vdkpspy63sjmuny.us-east-1.es.amazonaws.com/_plugin/kibana/#/discover/Steve-Slow-Train-Analysis-(2080s-and-2083s)?_g=(refreshInterval:(display:Off,section:0,value:0),time:(from:'2016-09-11 02:03:30-0600',mode:absolute,to:'2016-09-11 04:51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3" s="54" t="str">
        <f t="shared" ref="W13:W42" si="6">IF(AA13&lt;IF(AG13="EC",23,5.65),"Y","N")</f>
        <v>N</v>
      </c>
      <c r="X13" s="168" t="e">
        <f t="shared" ref="X13:X42" si="7">VALUE(LEFT(AD13,4))-VALUE(LEFT(AD12,4))</f>
        <v>#VALUE!</v>
      </c>
      <c r="Y13" s="69">
        <f t="shared" ref="Y13:Y42" si="8">RIGHT(D13,LEN(D13)-4)/10000</f>
        <v>7.9200000000000007E-2</v>
      </c>
      <c r="Z13" s="69">
        <f t="shared" ref="Z13:Z42" si="9">RIGHT(H13,LEN(H13)-4)/10000</f>
        <v>23.318200000000001</v>
      </c>
      <c r="AA13" s="69">
        <f t="shared" ref="AA13:AA42" si="10">ABS(Z13-Y13)</f>
        <v>23.239000000000001</v>
      </c>
      <c r="AB13" s="66" t="e">
        <f>VLOOKUP(A13,Enforcements!$C$7:$K$21,8,0)</f>
        <v>#N/A</v>
      </c>
      <c r="AC13" s="62" t="e">
        <f>VLOOKUP(A13,Enforcements!$C$7:$E$21,3,0)</f>
        <v>#N/A</v>
      </c>
      <c r="AD13" s="63" t="str">
        <f t="shared" ref="AD13:AD42" si="11">IF(LEN(A13)=6,"0"&amp;A13,A13)</f>
        <v>0101-11</v>
      </c>
      <c r="AE13" s="99" t="str">
        <f t="shared" ref="AE13:AE42" si="12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s3://rtdc.mdm.uploadarchive/RTDC4042/2016-09-11/ "%USERPROFILE%\AppData\Local\Temp\OnboardLogs"\RTDC4042\2016-09-11 --recursive &amp; "%USERPROFILE%\Documents\GitHub\mrs-test-scripts\Headless Mode &amp; Sideloading\WalkAndUnGZ.bat" "%USERPROFILE%\AppData\Local\Temp\OnboardLogs"\RTDC4042\2016-09-11 &amp; 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</v>
      </c>
      <c r="AF13" s="96" t="str">
        <f t="shared" ref="AF13:AF42" si="13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/stypes="*4042*20160911*" /stext=" 09:.+((SYSTEM_STATE.+slice.+state.+changed )|(ment ac)|(system.+state.+changed )|(\|lc)|(penalty)|(\[timeout)|(PRM\|1\|D)|(kpr)|(kdp))" /e /r /s</v>
      </c>
      <c r="AG13" s="1" t="str">
        <f t="shared" ref="AG13:AG42" si="14">IFERROR(IF(VALUE(LEFT(AD13,2))&lt;=2,"EC",IF(OR(VALUE(LEFT(AD13,2))=8,VALUE(LEFT(AD13,2))=18),"NW","Other")),"Other")</f>
        <v>EC</v>
      </c>
      <c r="AH13" s="100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101-11 --locoid 4042 --swversion DE.1.0.7.0 --startMP 204:792 --initTime 2016-09-11T03:03:30 --startdatetime 2016-09-11T03:15:21 --delay 1 --endMP 204:233182 --enddatetime 2016-09-11T03:51:11 --enforcementcount 1 &gt;&gt;C:\Users\stu\Documents\GitHub\eaglep3-reporting\EC\2016-09-11-refined-times.txt</v>
      </c>
      <c r="AI13" s="134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AA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{"issue":{"subject":"","project_id":79,"tracker_id":40,"status_id":1,"priority_id":2,"assigned_to_id":23,"start_date":"2016-09-11","description":"","custom_fields":[{"id":1,"name":"Subdivision","value":"EC"},{"id":4,"name":"Milepost","value":"23.239"},{"id":17,"name":"Train ID","value":"101-11"},{"id":16,"name":"Locomotive ID","value":"4042"},{"id":130,"name":"Impact","value":""},{"id":150,"name":"Time of Event (Mountain Time)","value":"03:51:11"},{"id":151,"name":"Denver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379</v>
      </c>
      <c r="B14" s="7">
        <v>4026</v>
      </c>
      <c r="C14" s="24" t="s">
        <v>108</v>
      </c>
      <c r="D14" s="24" t="s">
        <v>413</v>
      </c>
      <c r="E14" s="15">
        <v>42624.170856481483</v>
      </c>
      <c r="F14" s="15">
        <v>42624.174618055556</v>
      </c>
      <c r="G14" s="7">
        <v>1</v>
      </c>
      <c r="H14" s="15" t="s">
        <v>414</v>
      </c>
      <c r="I14" s="15">
        <v>42624.201388888891</v>
      </c>
      <c r="J14" s="7">
        <v>1</v>
      </c>
      <c r="K14" s="121" t="str">
        <f t="shared" si="0"/>
        <v>4025/4026</v>
      </c>
      <c r="L14" s="24" t="str">
        <f>VLOOKUP(A14,'Trips&amp;Operators'!$C$1:$E$10000,3,FALSE)</f>
        <v>KILLION</v>
      </c>
      <c r="M14" s="6">
        <f t="shared" si="1"/>
        <v>2.6770833334012423E-2</v>
      </c>
      <c r="N14" s="7">
        <f t="shared" si="2"/>
        <v>38.550000000977889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63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03:06:02-0600',mode:absolute,to:'2016-09-11 05:50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4" s="54" t="str">
        <f t="shared" si="6"/>
        <v>N</v>
      </c>
      <c r="X14" s="168">
        <f t="shared" si="7"/>
        <v>1</v>
      </c>
      <c r="Y14" s="69">
        <f t="shared" si="8"/>
        <v>23.253299999999999</v>
      </c>
      <c r="Z14" s="69">
        <f t="shared" si="9"/>
        <v>1.9599999999999999E-2</v>
      </c>
      <c r="AA14" s="69">
        <f t="shared" si="10"/>
        <v>23.233699999999999</v>
      </c>
      <c r="AB14" s="66" t="e">
        <f>VLOOKUP(A14,Enforcements!$C$7:$K$21,8,0)</f>
        <v>#N/A</v>
      </c>
      <c r="AC14" s="62" t="e">
        <f>VLOOKUP(A14,Enforcements!$C$7:$E$21,3,0)</f>
        <v>#N/A</v>
      </c>
      <c r="AD14" s="63" t="str">
        <f t="shared" si="11"/>
        <v>0102-11</v>
      </c>
      <c r="AE14" s="99" t="str">
        <f t="shared" si="12"/>
        <v>aws s3 cp s3://rtdc.mdm.uploadarchive/RTDC4026/2016-09-11/ "%USERPROFILE%\AppData\Local\Temp\OnboardLogs"\RTDC4026\2016-09-11 --recursive &amp; "%USERPROFILE%\Documents\GitHub\mrs-test-scripts\Headless Mode &amp; Sideloading\WalkAndUnGZ.bat" "%USERPROFILE%\AppData\Local\Temp\OnboardLogs"\RTDC4026\2016-09-11 &amp; 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</v>
      </c>
      <c r="AF14" s="96" t="str">
        <f t="shared" si="13"/>
        <v>"C:\Program Files (x86)\AstroGrep\AstroGrep.exe" /spath="%USERPROFILE%\AppData\Local\Temp\OnboardLogs" /stypes="*4026*20160911*" /stext=" 10:.+((SYSTEM_STATE.+slice.+state.+changed )|(ment ac)|(system.+state.+changed )|(\|lc)|(penalty)|(\[timeout)|(PRM\|1\|D)|(kpr)|(kdp))" /e /r /s</v>
      </c>
      <c r="AG14" s="1" t="str">
        <f t="shared" si="14"/>
        <v>EC</v>
      </c>
      <c r="AH14" s="100" t="str">
        <f t="shared" ref="AH14:AH78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102-11 --locoid 4026 --swversion DE.1.0.7.0 --startMP 204:232533 --initTime 2016-09-11T04:06:02 --startdatetime 2016-09-11T04:11:27 --delay 1 --endMP 204:196 --enddatetime 2016-09-11T04:50:00 --enforcementcount 1 &gt;&gt;C:\Users\stu\Documents\GitHub\eaglep3-reporting\EC\2016-09-11-refined-times.txt</v>
      </c>
      <c r="AI14" s="134" t="str">
        <f t="shared" ref="AI14:AI78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AA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{"issue":{"subject":"","project_id":79,"tracker_id":40,"status_id":1,"priority_id":2,"assigned_to_id":23,"start_date":"2016-09-11","description":"","custom_fields":[{"id":1,"name":"Subdivision","value":"EC"},{"id":4,"name":"Milepost","value":"23.2337"},{"id":17,"name":"Train ID","value":"102-11"},{"id":16,"name":"Locomotive ID","value":"4026"},{"id":130,"name":"Impact","value":""},{"id":150,"name":"Time of Event (Mountain Time)","value":"04:50:00"},{"id":151,"name":"Denver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415</v>
      </c>
      <c r="B15" s="7">
        <v>4029</v>
      </c>
      <c r="C15" s="24" t="s">
        <v>108</v>
      </c>
      <c r="D15" s="24" t="s">
        <v>416</v>
      </c>
      <c r="E15" s="15">
        <v>42624.151018518518</v>
      </c>
      <c r="F15" s="15">
        <v>42624.1565162037</v>
      </c>
      <c r="G15" s="7">
        <v>1</v>
      </c>
      <c r="H15" s="15" t="s">
        <v>417</v>
      </c>
      <c r="I15" s="15">
        <v>42624.181956018518</v>
      </c>
      <c r="J15" s="7">
        <v>1</v>
      </c>
      <c r="K15" s="121" t="str">
        <f t="shared" si="0"/>
        <v>4029/4030</v>
      </c>
      <c r="L15" s="24" t="str">
        <f>VLOOKUP(A15,'Trips&amp;Operators'!$C$1:$E$10000,3,FALSE)</f>
        <v>ACKERMAN</v>
      </c>
      <c r="M15" s="6">
        <f t="shared" si="1"/>
        <v>2.5439814817218576E-2</v>
      </c>
      <c r="N15" s="7">
        <f t="shared" si="2"/>
        <v>36.633333336794749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63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02:37:28-0600',mode:absolute,to:'2016-09-11 05:22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5" s="54" t="str">
        <f t="shared" si="6"/>
        <v>N</v>
      </c>
      <c r="X15" s="168">
        <f t="shared" si="7"/>
        <v>1</v>
      </c>
      <c r="Y15" s="69">
        <f t="shared" si="8"/>
        <v>6.7199999999999996E-2</v>
      </c>
      <c r="Z15" s="69">
        <f t="shared" si="9"/>
        <v>23.338000000000001</v>
      </c>
      <c r="AA15" s="69">
        <f t="shared" si="10"/>
        <v>23.270800000000001</v>
      </c>
      <c r="AB15" s="66" t="e">
        <f>VLOOKUP(A15,Enforcements!$C$7:$K$21,8,0)</f>
        <v>#N/A</v>
      </c>
      <c r="AC15" s="62" t="e">
        <f>VLOOKUP(A15,Enforcements!$C$7:$E$21,3,0)</f>
        <v>#N/A</v>
      </c>
      <c r="AD15" s="63" t="str">
        <f t="shared" si="11"/>
        <v>0103-11</v>
      </c>
      <c r="AE15" s="99" t="str">
        <f t="shared" si="12"/>
        <v>aws s3 cp s3://rtdc.mdm.uploadarchive/RTDC4029/2016-09-11/ "%USERPROFILE%\AppData\Local\Temp\OnboardLogs"\RTDC4029\2016-09-11 --recursive &amp; "%USERPROFILE%\Documents\GitHub\mrs-test-scripts\Headless Mode &amp; Sideloading\WalkAndUnGZ.bat" "%USERPROFILE%\AppData\Local\Temp\OnboardLogs"\RTDC4029\2016-09-11 &amp; aws s3 cp s3://rtdc.mdm.uploadarchive/RTDC4029/2016-09-12/ "%USERPROFILE%\AppData\Local\Temp\OnboardLogs"\RTDC4029\2016-09-12 --recursive &amp; "%USERPROFILE%\Documents\GitHub\mrs-test-scripts\Headless Mode &amp; Sideloading\WalkAndUnGZ.bat" "%USERPROFILE%\AppData\Local\Temp\OnboardLogs"\RTDC4029\2016-09-12</v>
      </c>
      <c r="AF15" s="96" t="str">
        <f t="shared" si="13"/>
        <v>"C:\Program Files (x86)\AstroGrep\AstroGrep.exe" /spath="%USERPROFILE%\AppData\Local\Temp\OnboardLogs" /stypes="*4029*20160911*" /stext=" 10:.+((SYSTEM_STATE.+slice.+state.+changed )|(ment ac)|(system.+state.+changed )|(\|lc)|(penalty)|(\[timeout)|(PRM\|1\|D)|(kpr)|(kdp))" /e /r /s</v>
      </c>
      <c r="AG15" s="1" t="str">
        <f t="shared" si="14"/>
        <v>EC</v>
      </c>
      <c r="AH15" s="100" t="str">
        <f t="shared" si="17"/>
        <v>"%USERPROFILE%\Documents\GitHub\eaglep3\Utilities\RefineRTDCRunTimes.py" --tripid 103-11 --locoid 4029 --swversion DE.1.0.7.0 --startMP 204:672 --initTime 2016-09-11T03:37:28 --startdatetime 2016-09-11T03:45:23 --delay 1 --endMP 204:233380 --enddatetime 2016-09-11T04:22:01 --enforcementcount 1 &gt;&gt;C:\Users\stu\Documents\GitHub\eaglep3-reporting\EC\2016-09-11-refined-times.txt</v>
      </c>
      <c r="AI15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{"issue":{"subject":"","project_id":79,"tracker_id":40,"status_id":1,"priority_id":2,"assigned_to_id":23,"start_date":"2016-09-11","description":"","custom_fields":[{"id":1,"name":"Subdivision","value":"EC"},{"id":4,"name":"Milepost","value":"23.2708"},{"id":17,"name":"Train ID","value":"103-11"},{"id":16,"name":"Locomotive ID","value":"4029"},{"id":130,"name":"Impact","value":""},{"id":150,"name":"Time of Event (Mountain Time)","value":"04:22:01"},{"id":151,"name":"Denver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418</v>
      </c>
      <c r="B16" s="7">
        <v>4019</v>
      </c>
      <c r="C16" s="24" t="s">
        <v>108</v>
      </c>
      <c r="D16" s="24" t="s">
        <v>419</v>
      </c>
      <c r="E16" s="15">
        <v>42624.188576388886</v>
      </c>
      <c r="F16" s="15">
        <v>42624.195370370369</v>
      </c>
      <c r="G16" s="7">
        <v>1</v>
      </c>
      <c r="H16" s="15" t="s">
        <v>420</v>
      </c>
      <c r="I16" s="15">
        <v>42624.223043981481</v>
      </c>
      <c r="J16" s="7">
        <v>1</v>
      </c>
      <c r="K16" s="121" t="str">
        <f t="shared" si="0"/>
        <v>4019/4020</v>
      </c>
      <c r="L16" s="24" t="str">
        <f>VLOOKUP(A16,'Trips&amp;Operators'!$C$1:$E$10000,3,FALSE)</f>
        <v>ACKERMAN</v>
      </c>
      <c r="M16" s="6">
        <f t="shared" si="1"/>
        <v>2.7673611111822538E-2</v>
      </c>
      <c r="N16" s="7"/>
      <c r="O16" s="7"/>
      <c r="P16" s="7">
        <f t="shared" si="2"/>
        <v>39.850000001024455</v>
      </c>
      <c r="Q16" s="25"/>
      <c r="R16" s="25" t="s">
        <v>705</v>
      </c>
      <c r="S16" s="37">
        <f t="shared" si="3"/>
        <v>1</v>
      </c>
      <c r="T16" s="52" t="str">
        <f t="shared" si="4"/>
        <v>Southbound</v>
      </c>
      <c r="U16" s="163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03:31:33-0600',mode:absolute,to:'2016-09-11 06:21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6" s="54" t="str">
        <f t="shared" si="6"/>
        <v>Y</v>
      </c>
      <c r="X16" s="168">
        <f t="shared" si="7"/>
        <v>1</v>
      </c>
      <c r="Y16" s="69">
        <f t="shared" si="8"/>
        <v>23.274799999999999</v>
      </c>
      <c r="Z16" s="69">
        <f t="shared" si="9"/>
        <v>1.0097</v>
      </c>
      <c r="AA16" s="69">
        <f t="shared" si="10"/>
        <v>22.2651</v>
      </c>
      <c r="AB16" s="66" t="e">
        <f>VLOOKUP(A16,Enforcements!$C$7:$K$21,8,0)</f>
        <v>#N/A</v>
      </c>
      <c r="AC16" s="62" t="e">
        <f>VLOOKUP(A16,Enforcements!$C$7:$E$21,3,0)</f>
        <v>#N/A</v>
      </c>
      <c r="AD16" s="63" t="str">
        <f t="shared" si="11"/>
        <v>0104-11</v>
      </c>
      <c r="AE16" s="99" t="str">
        <f t="shared" si="12"/>
        <v>aws s3 cp s3://rtdc.mdm.uploadarchive/RTDC4019/2016-09-11/ "%USERPROFILE%\AppData\Local\Temp\OnboardLogs"\RTDC4019\2016-09-11 --recursive &amp; "%USERPROFILE%\Documents\GitHub\mrs-test-scripts\Headless Mode &amp; Sideloading\WalkAndUnGZ.bat" "%USERPROFILE%\AppData\Local\Temp\OnboardLogs"\RTDC4019\2016-09-11 &amp; 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</v>
      </c>
      <c r="AF16" s="96" t="str">
        <f t="shared" si="13"/>
        <v>"C:\Program Files (x86)\AstroGrep\AstroGrep.exe" /spath="%USERPROFILE%\AppData\Local\Temp\OnboardLogs" /stypes="*4019*20160911*" /stext=" 11:.+((SYSTEM_STATE.+slice.+state.+changed )|(ment ac)|(system.+state.+changed )|(\|lc)|(penalty)|(\[timeout)|(PRM\|1\|D)|(kpr)|(kdp))" /e /r /s</v>
      </c>
      <c r="AG16" s="1" t="str">
        <f t="shared" si="14"/>
        <v>EC</v>
      </c>
      <c r="AH16" s="100" t="str">
        <f t="shared" si="17"/>
        <v>"%USERPROFILE%\Documents\GitHub\eaglep3\Utilities\RefineRTDCRunTimes.py" --tripid 104-11 --locoid 4019 --swversion DE.1.0.7.0 --startMP 204:232748 --initTime 2016-09-11T04:31:33 --startdatetime 2016-09-11T04:41:20 --delay 1 --endMP 204:10097 --enddatetime 2016-09-11T05:21:11 --enforcementcount 1 &gt;&gt;C:\Users\stu\Documents\GitHub\eaglep3-reporting\EC\2016-09-11-refined-times.txt</v>
      </c>
      <c r="AI16" s="134" t="str">
        <f t="shared" si="18"/>
        <v>echo {"issue":{"subject":"DUS 22S "stuck" at STOP","project_id":79,"tracker_id":40,"status_id":1,"priority_id":2,"assigned_to_id":23,"start_date":"2016-09-11","description":"","custom_fields":[{"id":1,"name":"Subdivision","value":"EC"},{"id":4,"name":"Milepost","value":"22.2651"},{"id":17,"name":"Train ID","value":"104-11"},{"id":16,"name":"Locomotive ID","value":"4019"},{"id":130,"name":"Impact","value":""},{"id":150,"name":"Time of Event (Mountain Time)","value":"05:21:11"},{"id":151,"name":"Denver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421</v>
      </c>
      <c r="B17" s="7">
        <v>4027</v>
      </c>
      <c r="C17" s="24" t="s">
        <v>108</v>
      </c>
      <c r="D17" s="24" t="s">
        <v>422</v>
      </c>
      <c r="E17" s="15">
        <v>42624.181712962964</v>
      </c>
      <c r="F17" s="15">
        <v>42624.182650462964</v>
      </c>
      <c r="G17" s="7">
        <v>0</v>
      </c>
      <c r="H17" s="15" t="s">
        <v>229</v>
      </c>
      <c r="I17" s="15">
        <v>42624.204652777778</v>
      </c>
      <c r="J17" s="7">
        <v>1</v>
      </c>
      <c r="K17" s="121" t="str">
        <f t="shared" si="0"/>
        <v>4027/4028</v>
      </c>
      <c r="L17" s="24" t="str">
        <f>VLOOKUP(A17,'Trips&amp;Operators'!$C$1:$E$10000,3,FALSE)</f>
        <v>MAELZER</v>
      </c>
      <c r="M17" s="6">
        <f t="shared" si="1"/>
        <v>2.2002314814017154E-2</v>
      </c>
      <c r="N17" s="7"/>
      <c r="O17" s="7"/>
      <c r="P17" s="7">
        <f t="shared" si="2"/>
        <v>31.683333332184702</v>
      </c>
      <c r="Q17" s="25"/>
      <c r="R17" s="25" t="s">
        <v>706</v>
      </c>
      <c r="S17" s="37">
        <f t="shared" si="3"/>
        <v>1</v>
      </c>
      <c r="T17" s="52" t="str">
        <f t="shared" si="4"/>
        <v>NorthBound</v>
      </c>
      <c r="U17" s="163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03:21:40-0600',mode:absolute,to:'2016-09-11 05:54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7" s="54" t="str">
        <f t="shared" si="6"/>
        <v>Y</v>
      </c>
      <c r="X17" s="168">
        <f t="shared" si="7"/>
        <v>1</v>
      </c>
      <c r="Y17" s="69">
        <f t="shared" si="8"/>
        <v>1.9201999999999999</v>
      </c>
      <c r="Z17" s="69">
        <f t="shared" si="9"/>
        <v>23.331399999999999</v>
      </c>
      <c r="AA17" s="69">
        <f t="shared" si="10"/>
        <v>21.411199999999997</v>
      </c>
      <c r="AB17" s="66" t="e">
        <f>VLOOKUP(A17,Enforcements!$C$7:$K$21,8,0)</f>
        <v>#N/A</v>
      </c>
      <c r="AC17" s="62" t="e">
        <f>VLOOKUP(A17,Enforcements!$C$7:$E$21,3,0)</f>
        <v>#N/A</v>
      </c>
      <c r="AD17" s="63" t="str">
        <f t="shared" si="11"/>
        <v>0105-11</v>
      </c>
      <c r="AE17" s="99" t="str">
        <f t="shared" si="12"/>
        <v>aws s3 cp s3://rtdc.mdm.uploadarchive/RTDC4027/2016-09-11/ "%USERPROFILE%\AppData\Local\Temp\OnboardLogs"\RTDC4027\2016-09-11 --recursive &amp; "%USERPROFILE%\Documents\GitHub\mrs-test-scripts\Headless Mode &amp; Sideloading\WalkAndUnGZ.bat" "%USERPROFILE%\AppData\Local\Temp\OnboardLogs"\RTDC4027\2016-09-11 &amp; 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</v>
      </c>
      <c r="AF17" s="96" t="str">
        <f t="shared" si="13"/>
        <v>"C:\Program Files (x86)\AstroGrep\AstroGrep.exe" /spath="%USERPROFILE%\AppData\Local\Temp\OnboardLogs" /stypes="*4027*20160911*" /stext=" 10:.+((SYSTEM_STATE.+slice.+state.+changed )|(ment ac)|(system.+state.+changed )|(\|lc)|(penalty)|(\[timeout)|(PRM\|1\|D)|(kpr)|(kdp))" /e /r /s</v>
      </c>
      <c r="AG17" s="1" t="str">
        <f t="shared" si="14"/>
        <v>EC</v>
      </c>
      <c r="AH17" s="100" t="str">
        <f t="shared" si="17"/>
        <v>"%USERPROFILE%\Documents\GitHub\eaglep3\Utilities\RefineRTDCRunTimes.py" --tripid 105-11 --locoid 4027 --swversion DE.1.0.7.0 --startMP 204:19202 --initTime 2016-09-11T04:21:40 --startdatetime 2016-09-11T04:23:01 --delay 0 --endMP 204:233314 --enddatetime 2016-09-11T04:54:42 --enforcementcount 1 &gt;&gt;C:\Users\stu\Documents\GitHub\eaglep3-reporting\EC\2016-09-11-refined-times.txt</v>
      </c>
      <c r="AI17" s="134" t="str">
        <f t="shared" si="18"/>
        <v>echo {"issue":{"subject":"DUS 2N flipped between "DARK" and "STOP"","project_id":79,"tracker_id":40,"status_id":1,"priority_id":2,"assigned_to_id":23,"start_date":"2016-09-11","description":"","custom_fields":[{"id":1,"name":"Subdivision","value":"EC"},{"id":4,"name":"Milepost","value":"21.4112"},{"id":17,"name":"Train ID","value":"105-11"},{"id":16,"name":"Locomotive ID","value":"4027"},{"id":130,"name":"Impact","value":""},{"id":150,"name":"Time of Event (Mountain Time)","value":"04:54:42"},{"id":151,"name":"Denver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382</v>
      </c>
      <c r="B18" s="7">
        <v>4017</v>
      </c>
      <c r="C18" s="24" t="s">
        <v>108</v>
      </c>
      <c r="D18" s="24" t="s">
        <v>424</v>
      </c>
      <c r="E18" s="15">
        <v>42624.212708333333</v>
      </c>
      <c r="F18" s="15">
        <v>42624.216956018521</v>
      </c>
      <c r="G18" s="7">
        <v>1</v>
      </c>
      <c r="H18" s="15" t="s">
        <v>425</v>
      </c>
      <c r="I18" s="15">
        <v>42624.243958333333</v>
      </c>
      <c r="J18" s="7">
        <v>1</v>
      </c>
      <c r="K18" s="121" t="str">
        <f t="shared" si="0"/>
        <v>4017/4018</v>
      </c>
      <c r="L18" s="24" t="str">
        <f>VLOOKUP(A18,'Trips&amp;Operators'!$C$1:$E$10000,3,FALSE)</f>
        <v>MAELZER</v>
      </c>
      <c r="M18" s="6">
        <f t="shared" si="1"/>
        <v>2.700231481139781E-2</v>
      </c>
      <c r="N18" s="7">
        <f t="shared" si="2"/>
        <v>38.883333328412846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63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04:06:18-0600',mode:absolute,to:'2016-09-11 06:51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8" s="54" t="str">
        <f t="shared" si="6"/>
        <v>Y</v>
      </c>
      <c r="X18" s="168">
        <f t="shared" si="7"/>
        <v>1</v>
      </c>
      <c r="Y18" s="69">
        <f t="shared" si="8"/>
        <v>23.267099999999999</v>
      </c>
      <c r="Z18" s="69">
        <f t="shared" si="9"/>
        <v>0.3095</v>
      </c>
      <c r="AA18" s="69">
        <f t="shared" si="10"/>
        <v>22.957599999999999</v>
      </c>
      <c r="AB18" s="66" t="str">
        <f>VLOOKUP(A18,Enforcements!$C$7:$K$21,8,0)</f>
        <v>Signal based authority (5)</v>
      </c>
      <c r="AC18" s="62" t="str">
        <f>VLOOKUP(A18,Enforcements!$C$7:$E$21,3,0)</f>
        <v>SIGNAL</v>
      </c>
      <c r="AD18" s="63" t="str">
        <f t="shared" si="11"/>
        <v>0106-11</v>
      </c>
      <c r="AE18" s="99" t="str">
        <f t="shared" si="12"/>
        <v>aws s3 cp s3://rtdc.mdm.uploadarchive/RTDC4017/2016-09-11/ "%USERPROFILE%\AppData\Local\Temp\OnboardLogs"\RTDC4017\2016-09-11 --recursive &amp; "%USERPROFILE%\Documents\GitHub\mrs-test-scripts\Headless Mode &amp; Sideloading\WalkAndUnGZ.bat" "%USERPROFILE%\AppData\Local\Temp\OnboardLogs"\RTDC4017\2016-09-11 &amp; aws s3 cp s3://rtdc.mdm.uploadarchive/RTDC4017/2016-09-12/ "%USERPROFILE%\AppData\Local\Temp\OnboardLogs"\RTDC4017\2016-09-12 --recursive &amp; "%USERPROFILE%\Documents\GitHub\mrs-test-scripts\Headless Mode &amp; Sideloading\WalkAndUnGZ.bat" "%USERPROFILE%\AppData\Local\Temp\OnboardLogs"\RTDC4017\2016-09-12</v>
      </c>
      <c r="AF18" s="96" t="str">
        <f t="shared" si="13"/>
        <v>"C:\Program Files (x86)\AstroGrep\AstroGrep.exe" /spath="%USERPROFILE%\AppData\Local\Temp\OnboardLogs" /stypes="*4017*20160911*" /stext=" 11:.+((SYSTEM_STATE.+slice.+state.+changed )|(ment ac)|(system.+state.+changed )|(\|lc)|(penalty)|(\[timeout)|(PRM\|1\|D)|(kpr)|(kdp))" /e /r /s</v>
      </c>
      <c r="AG18" s="1" t="str">
        <f t="shared" si="14"/>
        <v>EC</v>
      </c>
      <c r="AH18" s="100" t="str">
        <f t="shared" si="17"/>
        <v>"%USERPROFILE%\Documents\GitHub\eaglep3\Utilities\RefineRTDCRunTimes.py" --tripid 106-11 --locoid 4017 --swversion DE.1.0.7.0 --startMP 204:232671 --initTime 2016-09-11T05:06:18 --startdatetime 2016-09-11T05:12:25 --delay 1 --endMP 204:3095 --enddatetime 2016-09-11T05:51:18 --enforcementcount 1 &gt;&gt;C:\Users\stu\Documents\GitHub\eaglep3-reporting\EC\2016-09-11-refined-times.txt</v>
      </c>
      <c r="AI18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{"issue":{"subject":"","project_id":79,"tracker_id":40,"status_id":1,"priority_id":2,"assigned_to_id":23,"start_date":"2016-09-11","description":"","custom_fields":[{"id":1,"name":"Subdivision","value":"EC"},{"id":4,"name":"Milepost","value":"22.9576"},{"id":17,"name":"Train ID","value":"106-11"},{"id":16,"name":"Locomotive ID","value":"4017"},{"id":130,"name":"Impact","value":""},{"id":150,"name":"Time of Event (Mountain Time)","value":"05:51:18"},{"id":151,"name":"Denver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688</v>
      </c>
      <c r="B19" s="7">
        <v>4040</v>
      </c>
      <c r="C19" s="24" t="s">
        <v>108</v>
      </c>
      <c r="D19" s="24" t="s">
        <v>424</v>
      </c>
      <c r="E19" s="15">
        <v>42624.212708333333</v>
      </c>
      <c r="F19" s="15">
        <v>42624.186631944445</v>
      </c>
      <c r="G19" s="7">
        <v>1</v>
      </c>
      <c r="H19" s="15" t="s">
        <v>425</v>
      </c>
      <c r="I19" s="15">
        <v>42624.222013888888</v>
      </c>
      <c r="J19" s="7">
        <v>1</v>
      </c>
      <c r="K19" s="121" t="str">
        <f t="shared" si="0"/>
        <v>4039/4040</v>
      </c>
      <c r="L19" s="24" t="str">
        <f>VLOOKUP(A19,'Trips&amp;Operators'!$C$1:$E$10000,3,FALSE)</f>
        <v>DAVIS</v>
      </c>
      <c r="M19" s="6">
        <f t="shared" si="1"/>
        <v>3.5381944442633539E-2</v>
      </c>
      <c r="N19" s="7"/>
      <c r="O19" s="7"/>
      <c r="P19" s="7">
        <f>24*60*SUM($M19:$M19)</f>
        <v>50.949999997392297</v>
      </c>
      <c r="Q19" s="25"/>
      <c r="R19" s="25" t="s">
        <v>694</v>
      </c>
      <c r="S19" s="37">
        <f t="shared" si="3"/>
        <v>0</v>
      </c>
      <c r="T19" s="52" t="str">
        <f t="shared" si="4"/>
        <v>NorthBound</v>
      </c>
      <c r="U19" s="163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0</v>
      </c>
      <c r="V1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04:06:18-0600',mode:absolute,to:'2016-09-11 06:19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9" s="54" t="str">
        <f t="shared" si="6"/>
        <v>Y</v>
      </c>
      <c r="X19" s="168">
        <f t="shared" si="7"/>
        <v>1</v>
      </c>
      <c r="Y19" s="69">
        <f t="shared" si="8"/>
        <v>23.267099999999999</v>
      </c>
      <c r="Z19" s="69">
        <f t="shared" si="9"/>
        <v>0.3095</v>
      </c>
      <c r="AA19" s="69">
        <f t="shared" si="10"/>
        <v>22.957599999999999</v>
      </c>
      <c r="AB19" s="66" t="e">
        <f>VLOOKUP(A19,Enforcements!$C$7:$K$21,8,0)</f>
        <v>#N/A</v>
      </c>
      <c r="AC19" s="62" t="e">
        <f>VLOOKUP(A19,Enforcements!$C$7:$E$21,3,0)</f>
        <v>#N/A</v>
      </c>
      <c r="AD19" s="63" t="str">
        <f t="shared" si="11"/>
        <v>0107-11</v>
      </c>
      <c r="AE19" s="99" t="str">
        <f t="shared" si="12"/>
        <v>aws s3 cp s3://rtdc.mdm.uploadarchive/RTDC4040/2016-09-11/ "%USERPROFILE%\AppData\Local\Temp\OnboardLogs"\RTDC4040\2016-09-11 --recursive &amp; "%USERPROFILE%\Documents\GitHub\mrs-test-scripts\Headless Mode &amp; Sideloading\WalkAndUnGZ.bat" "%USERPROFILE%\AppData\Local\Temp\OnboardLogs"\RTDC4040\2016-09-11 &amp; aws s3 cp s3://rtdc.mdm.uploadarchive/RTDC4040/2016-09-12/ "%USERPROFILE%\AppData\Local\Temp\OnboardLogs"\RTDC4040\2016-09-12 --recursive &amp; "%USERPROFILE%\Documents\GitHub\mrs-test-scripts\Headless Mode &amp; Sideloading\WalkAndUnGZ.bat" "%USERPROFILE%\AppData\Local\Temp\OnboardLogs"\RTDC4040\2016-09-12</v>
      </c>
      <c r="AF19" s="96" t="str">
        <f t="shared" si="13"/>
        <v>"C:\Program Files (x86)\AstroGrep\AstroGrep.exe" /spath="%USERPROFILE%\AppData\Local\Temp\OnboardLogs" /stypes="*4040*20160911*" /stext=" 11:.+((SYSTEM_STATE.+slice.+state.+changed )|(ment ac)|(system.+state.+changed )|(\|lc)|(penalty)|(\[timeout)|(PRM\|1\|D)|(kpr)|(kdp))" /e /r /s</v>
      </c>
      <c r="AG19" s="1" t="str">
        <f t="shared" si="14"/>
        <v>EC</v>
      </c>
      <c r="AH19" s="100" t="str">
        <f t="shared" ref="AH19" si="19">refinertdcruntimes&amp;" --tripid "&amp;A19&amp;" --locoid "&amp;B19&amp;" --swversion "&amp;C19&amp;" --startMP "&amp;D19&amp;" --initTime "&amp;TEXT(E19,"yyyy-mm-ddTHH:MM:SS")&amp;" --startdatetime "&amp;TEXT(F19,"yyyy-mm-ddTHH:MM:SS")&amp;" --delay "&amp;G19&amp;" --endMP "&amp;H19&amp;" --enddatetime "&amp;TEXT(I19,"yyyy-mm-ddTHH:MM:SS")&amp;" --enforcementcount "&amp;J19&amp;IF(outputrefinedruntimes," &gt;&gt;"&amp;RefinedRTDCRunTimesOutputFile,"")</f>
        <v>"%USERPROFILE%\Documents\GitHub\eaglep3\Utilities\RefineRTDCRunTimes.py" --tripid 107-11 --locoid 4040 --swversion DE.1.0.7.0 --startMP 204:232671 --initTime 2016-09-11T05:06:18 --startdatetime 2016-09-11T04:28:45 --delay 1 --endMP 204:3095 --enddatetime 2016-09-11T05:19:42 --enforcementcount 1 &gt;&gt;C:\Users\stu\Documents\GitHub\eaglep3-reporting\EC\2016-09-11-refined-times.txt</v>
      </c>
      <c r="AI19" s="134" t="str">
        <f t="shared" ref="AI19" si="20">"echo {""issue"":{""subject"":"""&amp;R19&amp;""",""project_id"":79,""tracker_id"":40,""status_id"":"&amp;redmine_status&amp;",""priority_id"":"&amp;redmine_priority&amp;",""assigned_to_id"":"&amp;redmine_assignee&amp;",""start_date"":"""&amp;TEXT(I19,"YYYY-mm-dd")&amp;""",""description"":"""&amp;AJ19&amp;""",""custom_fields"":[{""id"":1,""name"":""Subdivision"",""value"":"""&amp;AG19&amp;"""},{""id"":4,""name"":""Milepost"",""value"":"""&amp;AA19&amp;"""},{""id"":17,""name"":""Train ID"",""value"":"""&amp;A19&amp;"""},{""id"":16,""name"":""Locomotive ID"",""value"":"""&amp;B19&amp;"""},{""id"":130,""name"":""Impact"",""value"":"""&amp;AK19&amp;"""},{""id"":150,""name"":""Time of Event (Mountain Time)"",""value"":"""&amp;TEXT(I19,"hh:mm:ss")&amp;"""},{""id"":151,""name"":""Denver Issue ID"",""value"":"""&amp;"""},{""id"":178,""name"":""Operational Impact"",""value"":"""&amp;redmine_op_impact&amp;"""},{""id"":179,""name"":""Denver Segment Assigned"",""value"":"""&amp;AL19&amp;"""}]}}"&amp;" | curl -X POST -H ""Content-Type: application/json"" -H ""X-Redmine-API-Key: "&amp;redm_api_key&amp;""" "&amp;redm_url&amp;" --data @-"</f>
        <v>echo {"issue":{"subject":"Dispatcher error - did not initialize","project_id":79,"tracker_id":40,"status_id":1,"priority_id":2,"assigned_to_id":23,"start_date":"2016-09-11","description":"","custom_fields":[{"id":1,"name":"Subdivision","value":"EC"},{"id":4,"name":"Milepost","value":"22.9576"},{"id":17,"name":"Train ID","value":"107-11"},{"id":16,"name":"Locomotive ID","value":"4040"},{"id":130,"name":"Impact","value":""},{"id":150,"name":"Time of Event (Mountain Time)","value":"05:19:42"},{"id":151,"name":"Denver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426</v>
      </c>
      <c r="B20" s="7">
        <v>4039</v>
      </c>
      <c r="C20" s="24" t="s">
        <v>108</v>
      </c>
      <c r="D20" s="24" t="s">
        <v>346</v>
      </c>
      <c r="E20" s="15">
        <v>42624.221736111111</v>
      </c>
      <c r="F20" s="15">
        <v>42624.2266087963</v>
      </c>
      <c r="G20" s="7">
        <v>0</v>
      </c>
      <c r="H20" s="15" t="s">
        <v>232</v>
      </c>
      <c r="I20" s="15">
        <v>42624.258148148147</v>
      </c>
      <c r="J20" s="7">
        <v>1</v>
      </c>
      <c r="K20" s="121" t="str">
        <f t="shared" si="0"/>
        <v>4039/4040</v>
      </c>
      <c r="L20" s="24" t="str">
        <f>VLOOKUP(A20,'Trips&amp;Operators'!$C$1:$E$10000,3,FALSE)</f>
        <v>DAVIS</v>
      </c>
      <c r="M20" s="6">
        <f t="shared" si="1"/>
        <v>3.1539351846731734E-2</v>
      </c>
      <c r="N20" s="7">
        <f t="shared" ref="N20:P50" si="21">24*60*SUM($M20:$M20)</f>
        <v>45.416666659293696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63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04:19:18-0600',mode:absolute,to:'2016-09-11 07:11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20" s="54" t="str">
        <f t="shared" si="6"/>
        <v>N</v>
      </c>
      <c r="X20" s="168">
        <f t="shared" si="7"/>
        <v>1</v>
      </c>
      <c r="Y20" s="69">
        <f t="shared" si="8"/>
        <v>23.3002</v>
      </c>
      <c r="Z20" s="69">
        <f t="shared" si="9"/>
        <v>1.6299999999999999E-2</v>
      </c>
      <c r="AA20" s="69">
        <f t="shared" si="10"/>
        <v>23.283899999999999</v>
      </c>
      <c r="AB20" s="66" t="e">
        <f>VLOOKUP(A20,Enforcements!$C$7:$K$21,8,0)</f>
        <v>#N/A</v>
      </c>
      <c r="AC20" s="62" t="e">
        <f>VLOOKUP(A20,Enforcements!$C$7:$E$21,3,0)</f>
        <v>#N/A</v>
      </c>
      <c r="AD20" s="63" t="str">
        <f t="shared" si="11"/>
        <v>0108-11</v>
      </c>
      <c r="AE20" s="99" t="str">
        <f t="shared" si="12"/>
        <v>aws s3 cp s3://rtdc.mdm.uploadarchive/RTDC4039/2016-09-11/ "%USERPROFILE%\AppData\Local\Temp\OnboardLogs"\RTDC4039\2016-09-11 --recursive &amp; "%USERPROFILE%\Documents\GitHub\mrs-test-scripts\Headless Mode &amp; Sideloading\WalkAndUnGZ.bat" "%USERPROFILE%\AppData\Local\Temp\OnboardLogs"\RTDC4039\2016-09-11 &amp; aws s3 cp s3://rtdc.mdm.uploadarchive/RTDC4039/2016-09-12/ "%USERPROFILE%\AppData\Local\Temp\OnboardLogs"\RTDC4039\2016-09-12 --recursive &amp; "%USERPROFILE%\Documents\GitHub\mrs-test-scripts\Headless Mode &amp; Sideloading\WalkAndUnGZ.bat" "%USERPROFILE%\AppData\Local\Temp\OnboardLogs"\RTDC4039\2016-09-12</v>
      </c>
      <c r="AF20" s="96" t="str">
        <f t="shared" si="13"/>
        <v>"C:\Program Files (x86)\AstroGrep\AstroGrep.exe" /spath="%USERPROFILE%\AppData\Local\Temp\OnboardLogs" /stypes="*4039*20160911*" /stext=" 12:.+((SYSTEM_STATE.+slice.+state.+changed )|(ment ac)|(system.+state.+changed )|(\|lc)|(penalty)|(\[timeout)|(PRM\|1\|D)|(kpr)|(kdp))" /e /r /s</v>
      </c>
      <c r="AG20" s="1" t="str">
        <f t="shared" si="14"/>
        <v>EC</v>
      </c>
      <c r="AH20" s="100" t="str">
        <f t="shared" si="17"/>
        <v>"%USERPROFILE%\Documents\GitHub\eaglep3\Utilities\RefineRTDCRunTimes.py" --tripid 108-11 --locoid 4039 --swversion DE.1.0.7.0 --startMP 204:233002 --initTime 2016-09-11T05:19:18 --startdatetime 2016-09-11T05:26:19 --delay 0 --endMP 204:163 --enddatetime 2016-09-11T06:11:44 --enforcementcount 1 &gt;&gt;C:\Users\stu\Documents\GitHub\eaglep3-reporting\EC\2016-09-11-refined-times.txt</v>
      </c>
      <c r="AI20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{"issue":{"subject":"","project_id":79,"tracker_id":40,"status_id":1,"priority_id":2,"assigned_to_id":23,"start_date":"2016-09-11","description":"","custom_fields":[{"id":1,"name":"Subdivision","value":"EC"},{"id":4,"name":"Milepost","value":"23.2839"},{"id":17,"name":"Train ID","value":"108-11"},{"id":16,"name":"Locomotive ID","value":"4039"},{"id":130,"name":"Impact","value":""},{"id":150,"name":"Time of Event (Mountain Time)","value":"06:11:44"},{"id":151,"name":"Denver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427</v>
      </c>
      <c r="B21" s="7">
        <v>4009</v>
      </c>
      <c r="C21" s="24" t="s">
        <v>108</v>
      </c>
      <c r="D21" s="24" t="s">
        <v>428</v>
      </c>
      <c r="E21" s="15">
        <v>42624.197337962964</v>
      </c>
      <c r="F21" s="15">
        <v>42624.198263888888</v>
      </c>
      <c r="G21" s="7">
        <v>1</v>
      </c>
      <c r="H21" s="15" t="s">
        <v>429</v>
      </c>
      <c r="I21" s="15">
        <v>42624.223263888889</v>
      </c>
      <c r="J21" s="7">
        <v>1</v>
      </c>
      <c r="K21" s="121" t="str">
        <f t="shared" si="0"/>
        <v>4009/4010</v>
      </c>
      <c r="L21" s="24" t="str">
        <f>VLOOKUP(A21,'Trips&amp;Operators'!$C$1:$E$10000,3,FALSE)</f>
        <v>MALAVE</v>
      </c>
      <c r="M21" s="6">
        <f t="shared" si="1"/>
        <v>2.5000000001455192E-2</v>
      </c>
      <c r="N21" s="7">
        <f t="shared" si="21"/>
        <v>36.000000002095476</v>
      </c>
      <c r="O21" s="7"/>
      <c r="P21" s="7"/>
      <c r="Q21" s="25"/>
      <c r="R21" s="25"/>
      <c r="S21" s="37">
        <f t="shared" si="3"/>
        <v>1</v>
      </c>
      <c r="T21" s="52" t="str">
        <f t="shared" si="4"/>
        <v>NorthBound</v>
      </c>
      <c r="U21" s="163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03:44:10-0600',mode:absolute,to:'2016-09-11 06:21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21" s="54" t="str">
        <f t="shared" si="6"/>
        <v>N</v>
      </c>
      <c r="X21" s="168">
        <f t="shared" si="7"/>
        <v>1</v>
      </c>
      <c r="Y21" s="69">
        <f t="shared" si="8"/>
        <v>8.2799999999999999E-2</v>
      </c>
      <c r="Z21" s="69">
        <f t="shared" si="9"/>
        <v>23.328399999999998</v>
      </c>
      <c r="AA21" s="69">
        <f t="shared" si="10"/>
        <v>23.2456</v>
      </c>
      <c r="AB21" s="66" t="e">
        <f>VLOOKUP(A21,Enforcements!$C$7:$K$21,8,0)</f>
        <v>#N/A</v>
      </c>
      <c r="AC21" s="62" t="e">
        <f>VLOOKUP(A21,Enforcements!$C$7:$E$21,3,0)</f>
        <v>#N/A</v>
      </c>
      <c r="AD21" s="63" t="str">
        <f t="shared" si="11"/>
        <v>0109-11</v>
      </c>
      <c r="AE21" s="99" t="str">
        <f t="shared" si="12"/>
        <v>aws s3 cp s3://rtdc.mdm.uploadarchive/RTDC4009/2016-09-11/ "%USERPROFILE%\AppData\Local\Temp\OnboardLogs"\RTDC4009\2016-09-11 --recursive &amp; "%USERPROFILE%\Documents\GitHub\mrs-test-scripts\Headless Mode &amp; Sideloading\WalkAndUnGZ.bat" "%USERPROFILE%\AppData\Local\Temp\OnboardLogs"\RTDC4009\2016-09-11 &amp; 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</v>
      </c>
      <c r="AF21" s="96" t="str">
        <f t="shared" si="13"/>
        <v>"C:\Program Files (x86)\AstroGrep\AstroGrep.exe" /spath="%USERPROFILE%\AppData\Local\Temp\OnboardLogs" /stypes="*4009*20160911*" /stext=" 11:.+((SYSTEM_STATE.+slice.+state.+changed )|(ment ac)|(system.+state.+changed )|(\|lc)|(penalty)|(\[timeout)|(PRM\|1\|D)|(kpr)|(kdp))" /e /r /s</v>
      </c>
      <c r="AG21" s="1" t="str">
        <f t="shared" si="14"/>
        <v>EC</v>
      </c>
      <c r="AH21" s="100" t="str">
        <f t="shared" si="17"/>
        <v>"%USERPROFILE%\Documents\GitHub\eaglep3\Utilities\RefineRTDCRunTimes.py" --tripid 109-11 --locoid 4009 --swversion DE.1.0.7.0 --startMP 204:828 --initTime 2016-09-11T04:44:10 --startdatetime 2016-09-11T04:45:30 --delay 1 --endMP 204:233284 --enddatetime 2016-09-11T05:21:30 --enforcementcount 1 &gt;&gt;C:\Users\stu\Documents\GitHub\eaglep3-reporting\EC\2016-09-11-refined-times.txt</v>
      </c>
      <c r="AI21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{"issue":{"subject":"","project_id":79,"tracker_id":40,"status_id":1,"priority_id":2,"assigned_to_id":23,"start_date":"2016-09-11","description":"","custom_fields":[{"id":1,"name":"Subdivision","value":"EC"},{"id":4,"name":"Milepost","value":"23.2456"},{"id":17,"name":"Train ID","value":"109-11"},{"id":16,"name":"Locomotive ID","value":"4009"},{"id":130,"name":"Impact","value":""},{"id":150,"name":"Time of Event (Mountain Time)","value":"05:21:30"},{"id":151,"name":"Denver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383</v>
      </c>
      <c r="B22" s="7">
        <v>4010</v>
      </c>
      <c r="C22" s="24" t="s">
        <v>108</v>
      </c>
      <c r="D22" s="24" t="s">
        <v>430</v>
      </c>
      <c r="E22" s="15">
        <v>42624.2346412037</v>
      </c>
      <c r="F22" s="15">
        <v>42624.237175925926</v>
      </c>
      <c r="G22" s="7">
        <v>1</v>
      </c>
      <c r="H22" s="15" t="s">
        <v>241</v>
      </c>
      <c r="I22" s="15">
        <v>42624.267557870371</v>
      </c>
      <c r="J22" s="7">
        <v>1</v>
      </c>
      <c r="K22" s="121" t="str">
        <f t="shared" si="0"/>
        <v>4009/4010</v>
      </c>
      <c r="L22" s="24" t="str">
        <f>VLOOKUP(A22,'Trips&amp;Operators'!$C$1:$E$10000,3,FALSE)</f>
        <v>MALAVE</v>
      </c>
      <c r="M22" s="6">
        <f t="shared" si="1"/>
        <v>3.0381944445252884E-2</v>
      </c>
      <c r="N22" s="7">
        <f t="shared" si="21"/>
        <v>43.750000001164153</v>
      </c>
      <c r="O22" s="7"/>
      <c r="P22" s="7"/>
      <c r="Q22" s="25"/>
      <c r="R22" s="25"/>
      <c r="S22" s="37">
        <f t="shared" si="3"/>
        <v>1</v>
      </c>
      <c r="T22" s="52" t="str">
        <f t="shared" si="4"/>
        <v>Southbound</v>
      </c>
      <c r="U22" s="163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04:37:53-0600',mode:absolute,to:'2016-09-11 07:25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22" s="54" t="str">
        <f t="shared" si="6"/>
        <v>N</v>
      </c>
      <c r="X22" s="168">
        <f t="shared" si="7"/>
        <v>1</v>
      </c>
      <c r="Y22" s="69">
        <f t="shared" si="8"/>
        <v>23.296700000000001</v>
      </c>
      <c r="Z22" s="69">
        <f t="shared" si="9"/>
        <v>1.4999999999999999E-2</v>
      </c>
      <c r="AA22" s="69">
        <f t="shared" si="10"/>
        <v>23.281700000000001</v>
      </c>
      <c r="AB22" s="66" t="str">
        <f>VLOOKUP(A22,Enforcements!$C$7:$K$21,8,0)</f>
        <v>Bulletin (2)</v>
      </c>
      <c r="AC22" s="62" t="str">
        <f>VLOOKUP(A22,Enforcements!$C$7:$E$21,3,0)</f>
        <v>GRADE CROSSING</v>
      </c>
      <c r="AD22" s="63" t="str">
        <f t="shared" si="11"/>
        <v>0110-11</v>
      </c>
      <c r="AE22" s="99" t="str">
        <f t="shared" si="12"/>
        <v>aws s3 cp s3://rtdc.mdm.uploadarchive/RTDC4010/2016-09-11/ "%USERPROFILE%\AppData\Local\Temp\OnboardLogs"\RTDC4010\2016-09-11 --recursive &amp; "%USERPROFILE%\Documents\GitHub\mrs-test-scripts\Headless Mode &amp; Sideloading\WalkAndUnGZ.bat" "%USERPROFILE%\AppData\Local\Temp\OnboardLogs"\RTDC4010\2016-09-11 &amp; 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</v>
      </c>
      <c r="AF22" s="96" t="str">
        <f t="shared" si="13"/>
        <v>"C:\Program Files (x86)\AstroGrep\AstroGrep.exe" /spath="%USERPROFILE%\AppData\Local\Temp\OnboardLogs" /stypes="*4010*20160911*" /stext=" 12:.+((SYSTEM_STATE.+slice.+state.+changed )|(ment ac)|(system.+state.+changed )|(\|lc)|(penalty)|(\[timeout)|(PRM\|1\|D)|(kpr)|(kdp))" /e /r /s</v>
      </c>
      <c r="AG22" s="1" t="str">
        <f t="shared" si="14"/>
        <v>EC</v>
      </c>
      <c r="AH22" s="100" t="str">
        <f t="shared" si="17"/>
        <v>"%USERPROFILE%\Documents\GitHub\eaglep3\Utilities\RefineRTDCRunTimes.py" --tripid 110-11 --locoid 4010 --swversion DE.1.0.7.0 --startMP 204:232967 --initTime 2016-09-11T05:37:53 --startdatetime 2016-09-11T05:41:32 --delay 1 --endMP 204:150 --enddatetime 2016-09-11T06:25:17 --enforcementcount 1 &gt;&gt;C:\Users\stu\Documents\GitHub\eaglep3-reporting\EC\2016-09-11-refined-times.txt</v>
      </c>
      <c r="AI22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{"issue":{"subject":"","project_id":79,"tracker_id":40,"status_id":1,"priority_id":2,"assigned_to_id":23,"start_date":"2016-09-11","description":"","custom_fields":[{"id":1,"name":"Subdivision","value":"EC"},{"id":4,"name":"Milepost","value":"23.2817"},{"id":17,"name":"Train ID","value":"110-11"},{"id":16,"name":"Locomotive ID","value":"4010"},{"id":130,"name":"Impact","value":""},{"id":150,"name":"Time of Event (Mountain Time)","value":"06:25:17"},{"id":151,"name":"Denver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431</v>
      </c>
      <c r="B23" s="7">
        <v>4042</v>
      </c>
      <c r="C23" s="24" t="s">
        <v>108</v>
      </c>
      <c r="D23" s="24" t="s">
        <v>432</v>
      </c>
      <c r="E23" s="15">
        <v>42624.203599537039</v>
      </c>
      <c r="F23" s="15">
        <v>42624.209155092591</v>
      </c>
      <c r="G23" s="7">
        <v>3</v>
      </c>
      <c r="H23" s="15" t="s">
        <v>291</v>
      </c>
      <c r="I23" s="15">
        <v>42624.235995370371</v>
      </c>
      <c r="J23" s="7">
        <v>1</v>
      </c>
      <c r="K23" s="121" t="str">
        <f t="shared" si="0"/>
        <v>4041/4042</v>
      </c>
      <c r="L23" s="24" t="str">
        <f>VLOOKUP(A23,'Trips&amp;Operators'!$C$1:$E$10000,3,FALSE)</f>
        <v>STRICKLAND</v>
      </c>
      <c r="M23" s="6">
        <f t="shared" si="1"/>
        <v>2.6840277780138422E-2</v>
      </c>
      <c r="N23" s="7">
        <f t="shared" si="21"/>
        <v>38.650000003399327</v>
      </c>
      <c r="O23" s="7"/>
      <c r="P23" s="7"/>
      <c r="Q23" s="25"/>
      <c r="R23" s="25"/>
      <c r="S23" s="37">
        <f t="shared" si="3"/>
        <v>1</v>
      </c>
      <c r="T23" s="52" t="str">
        <f t="shared" si="4"/>
        <v>NorthBound</v>
      </c>
      <c r="U23" s="163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03:53:11-0600',mode:absolute,to:'2016-09-11 06:39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3" s="54" t="str">
        <f t="shared" si="6"/>
        <v>N</v>
      </c>
      <c r="X23" s="168">
        <f t="shared" si="7"/>
        <v>1</v>
      </c>
      <c r="Y23" s="69">
        <f t="shared" si="8"/>
        <v>7.7899999999999997E-2</v>
      </c>
      <c r="Z23" s="69">
        <f t="shared" si="9"/>
        <v>23.3323</v>
      </c>
      <c r="AA23" s="69">
        <f t="shared" si="10"/>
        <v>23.2544</v>
      </c>
      <c r="AB23" s="66" t="e">
        <f>VLOOKUP(A23,Enforcements!$C$7:$K$21,8,0)</f>
        <v>#N/A</v>
      </c>
      <c r="AC23" s="62" t="e">
        <f>VLOOKUP(A23,Enforcements!$C$7:$E$21,3,0)</f>
        <v>#N/A</v>
      </c>
      <c r="AD23" s="63" t="str">
        <f t="shared" si="11"/>
        <v>0111-11</v>
      </c>
      <c r="AE23" s="99" t="str">
        <f t="shared" si="12"/>
        <v>aws s3 cp s3://rtdc.mdm.uploadarchive/RTDC4042/2016-09-11/ "%USERPROFILE%\AppData\Local\Temp\OnboardLogs"\RTDC4042\2016-09-11 --recursive &amp; "%USERPROFILE%\Documents\GitHub\mrs-test-scripts\Headless Mode &amp; Sideloading\WalkAndUnGZ.bat" "%USERPROFILE%\AppData\Local\Temp\OnboardLogs"\RTDC4042\2016-09-11 &amp; 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</v>
      </c>
      <c r="AF23" s="96" t="str">
        <f t="shared" si="13"/>
        <v>"C:\Program Files (x86)\AstroGrep\AstroGrep.exe" /spath="%USERPROFILE%\AppData\Local\Temp\OnboardLogs" /stypes="*4042*20160911*" /stext=" 11:.+((SYSTEM_STATE.+slice.+state.+changed )|(ment ac)|(system.+state.+changed )|(\|lc)|(penalty)|(\[timeout)|(PRM\|1\|D)|(kpr)|(kdp))" /e /r /s</v>
      </c>
      <c r="AG23" s="1" t="str">
        <f t="shared" si="14"/>
        <v>EC</v>
      </c>
      <c r="AH23" s="100" t="str">
        <f t="shared" si="17"/>
        <v>"%USERPROFILE%\Documents\GitHub\eaglep3\Utilities\RefineRTDCRunTimes.py" --tripid 111-11 --locoid 4042 --swversion DE.1.0.7.0 --startMP 204:779 --initTime 2016-09-11T04:53:11 --startdatetime 2016-09-11T05:01:11 --delay 3 --endMP 204:233323 --enddatetime 2016-09-11T05:39:50 --enforcementcount 1 &gt;&gt;C:\Users\stu\Documents\GitHub\eaglep3-reporting\EC\2016-09-11-refined-times.txt</v>
      </c>
      <c r="AI23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{"issue":{"subject":"","project_id":79,"tracker_id":40,"status_id":1,"priority_id":2,"assigned_to_id":23,"start_date":"2016-09-11","description":"","custom_fields":[{"id":1,"name":"Subdivision","value":"EC"},{"id":4,"name":"Milepost","value":"23.2544"},{"id":17,"name":"Train ID","value":"111-11"},{"id":16,"name":"Locomotive ID","value":"4042"},{"id":130,"name":"Impact","value":""},{"id":150,"name":"Time of Event (Mountain Time)","value":"05:39:50"},{"id":151,"name":"Denver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384</v>
      </c>
      <c r="B24" s="7">
        <v>4041</v>
      </c>
      <c r="C24" s="24" t="s">
        <v>108</v>
      </c>
      <c r="D24" s="24" t="s">
        <v>234</v>
      </c>
      <c r="E24" s="15">
        <v>42624.244363425925</v>
      </c>
      <c r="F24" s="15">
        <v>42624.247719907406</v>
      </c>
      <c r="G24" s="7">
        <v>1</v>
      </c>
      <c r="H24" s="15" t="s">
        <v>433</v>
      </c>
      <c r="I24" s="15">
        <v>42624.273935185185</v>
      </c>
      <c r="J24" s="7">
        <v>1</v>
      </c>
      <c r="K24" s="121" t="str">
        <f t="shared" si="0"/>
        <v>4041/4042</v>
      </c>
      <c r="L24" s="24" t="str">
        <f>VLOOKUP(A24,'Trips&amp;Operators'!$C$1:$E$10000,3,FALSE)</f>
        <v>STRICKLAND</v>
      </c>
      <c r="M24" s="6">
        <f t="shared" si="1"/>
        <v>2.6215277779556345E-2</v>
      </c>
      <c r="N24" s="7"/>
      <c r="O24" s="7"/>
      <c r="P24" s="7">
        <f t="shared" si="21"/>
        <v>37.750000002561137</v>
      </c>
      <c r="Q24" s="25"/>
      <c r="R24" s="25" t="s">
        <v>707</v>
      </c>
      <c r="S24" s="37">
        <f t="shared" si="3"/>
        <v>1</v>
      </c>
      <c r="T24" s="52" t="str">
        <f t="shared" si="4"/>
        <v>Southbound</v>
      </c>
      <c r="U24" s="163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04:51:53-0600',mode:absolute,to:'2016-09-11 07:34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24" s="54" t="str">
        <f t="shared" si="6"/>
        <v>Y</v>
      </c>
      <c r="X24" s="168">
        <f t="shared" si="7"/>
        <v>1</v>
      </c>
      <c r="Y24" s="69">
        <f t="shared" si="8"/>
        <v>23.299099999999999</v>
      </c>
      <c r="Z24" s="69">
        <f t="shared" si="9"/>
        <v>1.7373000000000001</v>
      </c>
      <c r="AA24" s="69">
        <f t="shared" si="10"/>
        <v>21.561799999999998</v>
      </c>
      <c r="AB24" s="66" t="str">
        <f>VLOOKUP(A24,Enforcements!$C$7:$K$21,8,0)</f>
        <v>Bulletin (2)</v>
      </c>
      <c r="AC24" s="62" t="str">
        <f>VLOOKUP(A24,Enforcements!$C$7:$E$21,3,0)</f>
        <v>GRADE CROSSING</v>
      </c>
      <c r="AD24" s="63" t="str">
        <f t="shared" si="11"/>
        <v>0112-11</v>
      </c>
      <c r="AE24" s="99" t="str">
        <f t="shared" si="12"/>
        <v>aws s3 cp s3://rtdc.mdm.uploadarchive/RTDC4041/2016-09-11/ "%USERPROFILE%\AppData\Local\Temp\OnboardLogs"\RTDC4041\2016-09-11 --recursive &amp; "%USERPROFILE%\Documents\GitHub\mrs-test-scripts\Headless Mode &amp; Sideloading\WalkAndUnGZ.bat" "%USERPROFILE%\AppData\Local\Temp\OnboardLogs"\RTDC4041\2016-09-11 &amp; 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</v>
      </c>
      <c r="AF24" s="96" t="str">
        <f t="shared" si="13"/>
        <v>"C:\Program Files (x86)\AstroGrep\AstroGrep.exe" /spath="%USERPROFILE%\AppData\Local\Temp\OnboardLogs" /stypes="*4041*20160911*" /stext=" 12:.+((SYSTEM_STATE.+slice.+state.+changed )|(ment ac)|(system.+state.+changed )|(\|lc)|(penalty)|(\[timeout)|(PRM\|1\|D)|(kpr)|(kdp))" /e /r /s</v>
      </c>
      <c r="AG24" s="1" t="str">
        <f t="shared" si="14"/>
        <v>EC</v>
      </c>
      <c r="AH24" s="100" t="str">
        <f t="shared" si="17"/>
        <v>"%USERPROFILE%\Documents\GitHub\eaglep3\Utilities\RefineRTDCRunTimes.py" --tripid 112-11 --locoid 4041 --swversion DE.1.0.7.0 --startMP 204:232991 --initTime 2016-09-11T05:51:53 --startdatetime 2016-09-11T05:56:43 --delay 1 --endMP 204:17373 --enddatetime 2016-09-11T06:34:28 --enforcementcount 1 &gt;&gt;C:\Users\stu\Documents\GitHub\eaglep3-reporting\EC\2016-09-11-refined-times.txt</v>
      </c>
      <c r="AI24" s="134" t="str">
        <f t="shared" si="18"/>
        <v>echo {"issue":{"subject":"Bright 4S was STOP","project_id":79,"tracker_id":40,"status_id":1,"priority_id":2,"assigned_to_id":23,"start_date":"2016-09-11","description":"","custom_fields":[{"id":1,"name":"Subdivision","value":"EC"},{"id":4,"name":"Milepost","value":"21.5618"},{"id":17,"name":"Train ID","value":"112-11"},{"id":16,"name":"Locomotive ID","value":"4041"},{"id":130,"name":"Impact","value":""},{"id":150,"name":"Time of Event (Mountain Time)","value":"06:34:28"},{"id":151,"name":"Denver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380</v>
      </c>
      <c r="B25" s="7">
        <v>4025</v>
      </c>
      <c r="C25" s="24" t="s">
        <v>108</v>
      </c>
      <c r="D25" s="24" t="s">
        <v>434</v>
      </c>
      <c r="E25" s="15">
        <v>42624.205023148148</v>
      </c>
      <c r="F25" s="15">
        <v>42624.219351851854</v>
      </c>
      <c r="G25" s="7">
        <v>2</v>
      </c>
      <c r="H25" s="15" t="s">
        <v>255</v>
      </c>
      <c r="I25" s="15">
        <v>42624.24622685185</v>
      </c>
      <c r="J25" s="7">
        <v>1</v>
      </c>
      <c r="K25" s="121" t="str">
        <f t="shared" si="0"/>
        <v>4025/4026</v>
      </c>
      <c r="L25" s="24" t="str">
        <f>VLOOKUP(A25,'Trips&amp;Operators'!$C$1:$E$10000,3,FALSE)</f>
        <v>KILLION</v>
      </c>
      <c r="M25" s="6">
        <f t="shared" si="1"/>
        <v>2.6874999995925464E-2</v>
      </c>
      <c r="N25" s="7">
        <f t="shared" si="21"/>
        <v>38.699999994132668</v>
      </c>
      <c r="O25" s="7"/>
      <c r="P25" s="7"/>
      <c r="Q25" s="25"/>
      <c r="R25" s="25"/>
      <c r="S25" s="37">
        <f t="shared" si="3"/>
        <v>1</v>
      </c>
      <c r="T25" s="52" t="str">
        <f t="shared" si="4"/>
        <v>NorthBound</v>
      </c>
      <c r="U25" s="163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03:55:14-0600',mode:absolute,to:'2016-09-11 06:54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5" s="54" t="str">
        <f t="shared" si="6"/>
        <v>N</v>
      </c>
      <c r="X25" s="168">
        <f t="shared" si="7"/>
        <v>1</v>
      </c>
      <c r="Y25" s="69">
        <f t="shared" si="8"/>
        <v>4.9099999999999998E-2</v>
      </c>
      <c r="Z25" s="69">
        <f t="shared" si="9"/>
        <v>23.328199999999999</v>
      </c>
      <c r="AA25" s="69">
        <f t="shared" si="10"/>
        <v>23.2791</v>
      </c>
      <c r="AB25" s="66" t="str">
        <f>VLOOKUP(A25,Enforcements!$C$7:$K$21,8,0)</f>
        <v>Track device (7)</v>
      </c>
      <c r="AC25" s="62" t="str">
        <f>VLOOKUP(A25,Enforcements!$C$7:$E$21,3,0)</f>
        <v>SWITCH UNKNOWN</v>
      </c>
      <c r="AD25" s="63" t="str">
        <f t="shared" si="11"/>
        <v>0113-11</v>
      </c>
      <c r="AE25" s="99" t="str">
        <f t="shared" si="12"/>
        <v>aws s3 cp s3://rtdc.mdm.uploadarchive/RTDC4025/2016-09-11/ "%USERPROFILE%\AppData\Local\Temp\OnboardLogs"\RTDC4025\2016-09-11 --recursive &amp; "%USERPROFILE%\Documents\GitHub\mrs-test-scripts\Headless Mode &amp; Sideloading\WalkAndUnGZ.bat" "%USERPROFILE%\AppData\Local\Temp\OnboardLogs"\RTDC4025\2016-09-11 &amp; 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</v>
      </c>
      <c r="AF25" s="96" t="str">
        <f t="shared" si="13"/>
        <v>"C:\Program Files (x86)\AstroGrep\AstroGrep.exe" /spath="%USERPROFILE%\AppData\Local\Temp\OnboardLogs" /stypes="*4025*20160911*" /stext=" 11:.+((SYSTEM_STATE.+slice.+state.+changed )|(ment ac)|(system.+state.+changed )|(\|lc)|(penalty)|(\[timeout)|(PRM\|1\|D)|(kpr)|(kdp))" /e /r /s</v>
      </c>
      <c r="AG25" s="1" t="str">
        <f t="shared" si="14"/>
        <v>EC</v>
      </c>
      <c r="AH25" s="100" t="str">
        <f t="shared" si="17"/>
        <v>"%USERPROFILE%\Documents\GitHub\eaglep3\Utilities\RefineRTDCRunTimes.py" --tripid 113-11 --locoid 4025 --swversion DE.1.0.7.0 --startMP 204:491 --initTime 2016-09-11T04:55:14 --startdatetime 2016-09-11T05:15:52 --delay 2 --endMP 204:233282 --enddatetime 2016-09-11T05:54:34 --enforcementcount 1 &gt;&gt;C:\Users\stu\Documents\GitHub\eaglep3-reporting\EC\2016-09-11-refined-times.txt</v>
      </c>
      <c r="AI25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{"issue":{"subject":"","project_id":79,"tracker_id":40,"status_id":1,"priority_id":2,"assigned_to_id":23,"start_date":"2016-09-11","description":"","custom_fields":[{"id":1,"name":"Subdivision","value":"EC"},{"id":4,"name":"Milepost","value":"23.2791"},{"id":17,"name":"Train ID","value":"113-11"},{"id":16,"name":"Locomotive ID","value":"4025"},{"id":130,"name":"Impact","value":""},{"id":150,"name":"Time of Event (Mountain Time)","value":"05:54:34"},{"id":151,"name":"Denver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385</v>
      </c>
      <c r="B26" s="7">
        <v>4026</v>
      </c>
      <c r="C26" s="24" t="s">
        <v>108</v>
      </c>
      <c r="D26" s="24" t="s">
        <v>435</v>
      </c>
      <c r="E26" s="15">
        <v>42624.252638888887</v>
      </c>
      <c r="F26" s="15">
        <v>42624.257824074077</v>
      </c>
      <c r="G26" s="7">
        <v>1</v>
      </c>
      <c r="H26" s="15" t="s">
        <v>436</v>
      </c>
      <c r="I26" s="15">
        <v>42624.28229166667</v>
      </c>
      <c r="J26" s="7">
        <v>1</v>
      </c>
      <c r="K26" s="121" t="str">
        <f t="shared" si="0"/>
        <v>4025/4026</v>
      </c>
      <c r="L26" s="24" t="str">
        <f>VLOOKUP(A26,'Trips&amp;Operators'!$C$1:$E$10000,3,FALSE)</f>
        <v>KILLION</v>
      </c>
      <c r="M26" s="6">
        <f t="shared" si="1"/>
        <v>2.4467592593282461E-2</v>
      </c>
      <c r="N26" s="7"/>
      <c r="O26" s="7"/>
      <c r="P26" s="7">
        <f t="shared" si="21"/>
        <v>35.233333334326744</v>
      </c>
      <c r="Q26" s="25"/>
      <c r="R26" s="25" t="s">
        <v>709</v>
      </c>
      <c r="S26" s="37">
        <f t="shared" si="3"/>
        <v>1</v>
      </c>
      <c r="T26" s="52" t="str">
        <f t="shared" si="4"/>
        <v>Southbound</v>
      </c>
      <c r="U26" s="163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05:03:48-0600',mode:absolute,to:'2016-09-11 07:46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6" s="54" t="str">
        <f t="shared" si="6"/>
        <v>Y</v>
      </c>
      <c r="X26" s="168">
        <f t="shared" si="7"/>
        <v>1</v>
      </c>
      <c r="Y26" s="69">
        <f t="shared" si="8"/>
        <v>23.295300000000001</v>
      </c>
      <c r="Z26" s="69">
        <f t="shared" si="9"/>
        <v>2.0766</v>
      </c>
      <c r="AA26" s="69">
        <f t="shared" si="10"/>
        <v>21.218700000000002</v>
      </c>
      <c r="AB26" s="66" t="str">
        <f>VLOOKUP(A26,Enforcements!$C$7:$K$21,8,0)</f>
        <v>Signal based authority (5)</v>
      </c>
      <c r="AC26" s="62" t="str">
        <f>VLOOKUP(A26,Enforcements!$C$7:$E$21,3,0)</f>
        <v>SIGNAL</v>
      </c>
      <c r="AD26" s="63" t="str">
        <f t="shared" si="11"/>
        <v>0114-11</v>
      </c>
      <c r="AE26" s="99" t="str">
        <f t="shared" si="12"/>
        <v>aws s3 cp s3://rtdc.mdm.uploadarchive/RTDC4026/2016-09-11/ "%USERPROFILE%\AppData\Local\Temp\OnboardLogs"\RTDC4026\2016-09-11 --recursive &amp; "%USERPROFILE%\Documents\GitHub\mrs-test-scripts\Headless Mode &amp; Sideloading\WalkAndUnGZ.bat" "%USERPROFILE%\AppData\Local\Temp\OnboardLogs"\RTDC4026\2016-09-11 &amp; 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</v>
      </c>
      <c r="AF26" s="96" t="str">
        <f t="shared" si="13"/>
        <v>"C:\Program Files (x86)\AstroGrep\AstroGrep.exe" /spath="%USERPROFILE%\AppData\Local\Temp\OnboardLogs" /stypes="*4026*20160911*" /stext=" 12:.+((SYSTEM_STATE.+slice.+state.+changed )|(ment ac)|(system.+state.+changed )|(\|lc)|(penalty)|(\[timeout)|(PRM\|1\|D)|(kpr)|(kdp))" /e /r /s</v>
      </c>
      <c r="AG26" s="1" t="str">
        <f t="shared" si="14"/>
        <v>EC</v>
      </c>
      <c r="AH26" s="100" t="str">
        <f t="shared" si="17"/>
        <v>"%USERPROFILE%\Documents\GitHub\eaglep3\Utilities\RefineRTDCRunTimes.py" --tripid 114-11 --locoid 4026 --swversion DE.1.0.7.0 --startMP 204:232953 --initTime 2016-09-11T06:03:48 --startdatetime 2016-09-11T06:11:16 --delay 1 --endMP 204:20766 --enddatetime 2016-09-11T06:46:30 --enforcementcount 1 &gt;&gt;C:\Users\stu\Documents\GitHub\eaglep3-reporting\EC\2016-09-11-refined-times.txt</v>
      </c>
      <c r="AI26" s="134" t="str">
        <f t="shared" si="18"/>
        <v>echo {"issue":{"subject":"EC0206RH 28-2T 2S dropped from 270 to STOP &amp; PROCEED","project_id":79,"tracker_id":40,"status_id":1,"priority_id":2,"assigned_to_id":23,"start_date":"2016-09-11","description":"At 2016/09/11 06:33:16 Denver time, aspect for EC0206RH 28-2T 2S dropped from 270 to STOP &amp; PROCEED. Was there any failure that caused this?","custom_fields":[{"id":1,"name":"Subdivision","value":"EC"},{"id":4,"name":"Milepost","value":"21.2187"},{"id":17,"name":"Train ID","value":"114-11"},{"id":16,"name":"Locomotive ID","value":"4026"},{"id":130,"name":"Impact","value":"Enforcement"},{"id":150,"name":"Time of Event (Mountain Time)","value":"06:46:30"},{"id":151,"name":"Denver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26" s="55" t="s">
        <v>708</v>
      </c>
      <c r="AK26" s="55" t="s">
        <v>142</v>
      </c>
      <c r="AL26" s="55" t="s">
        <v>147</v>
      </c>
    </row>
    <row r="27" spans="1:38" s="1" customFormat="1" x14ac:dyDescent="0.25">
      <c r="A27" s="39" t="s">
        <v>437</v>
      </c>
      <c r="B27" s="7">
        <v>4029</v>
      </c>
      <c r="C27" s="24" t="s">
        <v>108</v>
      </c>
      <c r="D27" s="24" t="s">
        <v>432</v>
      </c>
      <c r="E27" s="15">
        <v>42624.231782407405</v>
      </c>
      <c r="F27" s="15">
        <v>42624.233217592591</v>
      </c>
      <c r="G27" s="7">
        <v>0</v>
      </c>
      <c r="H27" s="15" t="s">
        <v>438</v>
      </c>
      <c r="I27" s="15">
        <v>42624.256435185183</v>
      </c>
      <c r="J27" s="7">
        <v>1</v>
      </c>
      <c r="K27" s="121" t="str">
        <f t="shared" si="0"/>
        <v>4029/4030</v>
      </c>
      <c r="L27" s="24" t="str">
        <f>VLOOKUP(A27,'Trips&amp;Operators'!$C$1:$E$10000,3,FALSE)</f>
        <v>YORK</v>
      </c>
      <c r="M27" s="6">
        <f t="shared" si="1"/>
        <v>2.3217592592118308E-2</v>
      </c>
      <c r="N27" s="7">
        <f t="shared" si="21"/>
        <v>33.433333332650363</v>
      </c>
      <c r="O27" s="7"/>
      <c r="P27" s="7"/>
      <c r="Q27" s="25"/>
      <c r="R27" s="25"/>
      <c r="S27" s="37">
        <f t="shared" si="3"/>
        <v>1</v>
      </c>
      <c r="T27" s="52" t="str">
        <f t="shared" si="4"/>
        <v>NorthBound</v>
      </c>
      <c r="U27" s="163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04:33:46-0600',mode:absolute,to:'2016-09-11 07:09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27" s="54" t="str">
        <f t="shared" si="6"/>
        <v>N</v>
      </c>
      <c r="X27" s="168">
        <f t="shared" si="7"/>
        <v>1</v>
      </c>
      <c r="Y27" s="69">
        <f t="shared" si="8"/>
        <v>7.7899999999999997E-2</v>
      </c>
      <c r="Z27" s="69">
        <f t="shared" si="9"/>
        <v>23.328299999999999</v>
      </c>
      <c r="AA27" s="69">
        <f t="shared" si="10"/>
        <v>23.250399999999999</v>
      </c>
      <c r="AB27" s="66" t="e">
        <f>VLOOKUP(A27,Enforcements!$C$7:$K$21,8,0)</f>
        <v>#N/A</v>
      </c>
      <c r="AC27" s="62" t="e">
        <f>VLOOKUP(A27,Enforcements!$C$7:$E$21,3,0)</f>
        <v>#N/A</v>
      </c>
      <c r="AD27" s="63" t="str">
        <f t="shared" si="11"/>
        <v>0115-11</v>
      </c>
      <c r="AE27" s="99" t="str">
        <f t="shared" si="12"/>
        <v>aws s3 cp s3://rtdc.mdm.uploadarchive/RTDC4029/2016-09-11/ "%USERPROFILE%\AppData\Local\Temp\OnboardLogs"\RTDC4029\2016-09-11 --recursive &amp; "%USERPROFILE%\Documents\GitHub\mrs-test-scripts\Headless Mode &amp; Sideloading\WalkAndUnGZ.bat" "%USERPROFILE%\AppData\Local\Temp\OnboardLogs"\RTDC4029\2016-09-11 &amp; aws s3 cp s3://rtdc.mdm.uploadarchive/RTDC4029/2016-09-12/ "%USERPROFILE%\AppData\Local\Temp\OnboardLogs"\RTDC4029\2016-09-12 --recursive &amp; "%USERPROFILE%\Documents\GitHub\mrs-test-scripts\Headless Mode &amp; Sideloading\WalkAndUnGZ.bat" "%USERPROFILE%\AppData\Local\Temp\OnboardLogs"\RTDC4029\2016-09-12</v>
      </c>
      <c r="AF27" s="96" t="str">
        <f t="shared" si="13"/>
        <v>"C:\Program Files (x86)\AstroGrep\AstroGrep.exe" /spath="%USERPROFILE%\AppData\Local\Temp\OnboardLogs" /stypes="*4029*20160911*" /stext=" 12:.+((SYSTEM_STATE.+slice.+state.+changed )|(ment ac)|(system.+state.+changed )|(\|lc)|(penalty)|(\[timeout)|(PRM\|1\|D)|(kpr)|(kdp))" /e /r /s</v>
      </c>
      <c r="AG27" s="1" t="str">
        <f t="shared" si="14"/>
        <v>EC</v>
      </c>
      <c r="AH27" s="100" t="str">
        <f t="shared" si="17"/>
        <v>"%USERPROFILE%\Documents\GitHub\eaglep3\Utilities\RefineRTDCRunTimes.py" --tripid 115-11 --locoid 4029 --swversion DE.1.0.7.0 --startMP 204:779 --initTime 2016-09-11T05:33:46 --startdatetime 2016-09-11T05:35:50 --delay 0 --endMP 204:233283 --enddatetime 2016-09-11T06:09:16 --enforcementcount 1 &gt;&gt;C:\Users\stu\Documents\GitHub\eaglep3-reporting\EC\2016-09-11-refined-times.txt</v>
      </c>
      <c r="AI27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{"issue":{"subject":"","project_id":79,"tracker_id":40,"status_id":1,"priority_id":2,"assigned_to_id":23,"start_date":"2016-09-11","description":"","custom_fields":[{"id":1,"name":"Subdivision","value":"EC"},{"id":4,"name":"Milepost","value":"23.2504"},{"id":17,"name":"Train ID","value":"115-11"},{"id":16,"name":"Locomotive ID","value":"4029"},{"id":130,"name":"Impact","value":""},{"id":150,"name":"Time of Event (Mountain Time)","value":"06:09:16"},{"id":151,"name":"Denver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439</v>
      </c>
      <c r="B28" s="7">
        <v>4030</v>
      </c>
      <c r="C28" s="24" t="s">
        <v>108</v>
      </c>
      <c r="D28" s="24" t="s">
        <v>440</v>
      </c>
      <c r="E28" s="15">
        <v>42624.257638888892</v>
      </c>
      <c r="F28" s="15">
        <v>42624.26834490741</v>
      </c>
      <c r="G28" s="7">
        <v>1</v>
      </c>
      <c r="H28" s="15" t="s">
        <v>241</v>
      </c>
      <c r="I28" s="15">
        <v>42624.29478009259</v>
      </c>
      <c r="J28" s="7">
        <v>1</v>
      </c>
      <c r="K28" s="121" t="str">
        <f t="shared" si="0"/>
        <v>4029/4030</v>
      </c>
      <c r="L28" s="24" t="str">
        <f>VLOOKUP(A28,'Trips&amp;Operators'!$C$1:$E$10000,3,FALSE)</f>
        <v>YORK</v>
      </c>
      <c r="M28" s="6">
        <f t="shared" si="1"/>
        <v>2.643518518016208E-2</v>
      </c>
      <c r="N28" s="7">
        <f t="shared" si="21"/>
        <v>38.066666659433395</v>
      </c>
      <c r="O28" s="7"/>
      <c r="P28" s="7"/>
      <c r="Q28" s="25"/>
      <c r="R28" s="25"/>
      <c r="S28" s="37">
        <f t="shared" si="3"/>
        <v>1</v>
      </c>
      <c r="T28" s="52" t="str">
        <f t="shared" si="4"/>
        <v>Southbound</v>
      </c>
      <c r="U28" s="163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05:11:00-0600',mode:absolute,to:'2016-09-11 08:04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28" s="54" t="str">
        <f t="shared" si="6"/>
        <v>N</v>
      </c>
      <c r="X28" s="168">
        <f t="shared" si="7"/>
        <v>1</v>
      </c>
      <c r="Y28" s="69">
        <f t="shared" si="8"/>
        <v>23.296800000000001</v>
      </c>
      <c r="Z28" s="69">
        <f t="shared" si="9"/>
        <v>1.4999999999999999E-2</v>
      </c>
      <c r="AA28" s="69">
        <f t="shared" si="10"/>
        <v>23.2818</v>
      </c>
      <c r="AB28" s="66" t="e">
        <f>VLOOKUP(A28,Enforcements!$C$7:$K$21,8,0)</f>
        <v>#N/A</v>
      </c>
      <c r="AC28" s="62" t="e">
        <f>VLOOKUP(A28,Enforcements!$C$7:$E$21,3,0)</f>
        <v>#N/A</v>
      </c>
      <c r="AD28" s="63" t="str">
        <f t="shared" si="11"/>
        <v>0116-11</v>
      </c>
      <c r="AE28" s="99" t="str">
        <f t="shared" si="12"/>
        <v>aws s3 cp s3://rtdc.mdm.uploadarchive/RTDC4030/2016-09-11/ "%USERPROFILE%\AppData\Local\Temp\OnboardLogs"\RTDC4030\2016-09-11 --recursive &amp; "%USERPROFILE%\Documents\GitHub\mrs-test-scripts\Headless Mode &amp; Sideloading\WalkAndUnGZ.bat" "%USERPROFILE%\AppData\Local\Temp\OnboardLogs"\RTDC4030\2016-09-11 &amp; aws s3 cp s3://rtdc.mdm.uploadarchive/RTDC4030/2016-09-12/ "%USERPROFILE%\AppData\Local\Temp\OnboardLogs"\RTDC4030\2016-09-12 --recursive &amp; "%USERPROFILE%\Documents\GitHub\mrs-test-scripts\Headless Mode &amp; Sideloading\WalkAndUnGZ.bat" "%USERPROFILE%\AppData\Local\Temp\OnboardLogs"\RTDC4030\2016-09-12</v>
      </c>
      <c r="AF28" s="96" t="str">
        <f t="shared" si="13"/>
        <v>"C:\Program Files (x86)\AstroGrep\AstroGrep.exe" /spath="%USERPROFILE%\AppData\Local\Temp\OnboardLogs" /stypes="*4030*20160911*" /stext=" 13:.+((SYSTEM_STATE.+slice.+state.+changed )|(ment ac)|(system.+state.+changed )|(\|lc)|(penalty)|(\[timeout)|(PRM\|1\|D)|(kpr)|(kdp))" /e /r /s</v>
      </c>
      <c r="AG28" s="1" t="str">
        <f t="shared" si="14"/>
        <v>EC</v>
      </c>
      <c r="AH28" s="100" t="str">
        <f t="shared" si="17"/>
        <v>"%USERPROFILE%\Documents\GitHub\eaglep3\Utilities\RefineRTDCRunTimes.py" --tripid 116-11 --locoid 4030 --swversion DE.1.0.7.0 --startMP 204:232968 --initTime 2016-09-11T06:11:00 --startdatetime 2016-09-11T06:26:25 --delay 1 --endMP 204:150 --enddatetime 2016-09-11T07:04:29 --enforcementcount 1 &gt;&gt;C:\Users\stu\Documents\GitHub\eaglep3-reporting\EC\2016-09-11-refined-times.txt</v>
      </c>
      <c r="AI28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{"issue":{"subject":"","project_id":79,"tracker_id":40,"status_id":1,"priority_id":2,"assigned_to_id":23,"start_date":"2016-09-11","description":"","custom_fields":[{"id":1,"name":"Subdivision","value":"EC"},{"id":4,"name":"Milepost","value":"23.2818"},{"id":17,"name":"Train ID","value":"116-11"},{"id":16,"name":"Locomotive ID","value":"4030"},{"id":130,"name":"Impact","value":""},{"id":150,"name":"Time of Event (Mountain Time)","value":"07:04:29"},{"id":151,"name":"Denver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441</v>
      </c>
      <c r="B29" s="7">
        <v>4020</v>
      </c>
      <c r="C29" s="24" t="s">
        <v>108</v>
      </c>
      <c r="D29" s="24" t="s">
        <v>274</v>
      </c>
      <c r="E29" s="15">
        <v>42624.2346875</v>
      </c>
      <c r="F29" s="15">
        <v>42624.239872685182</v>
      </c>
      <c r="G29" s="7">
        <v>2</v>
      </c>
      <c r="H29" s="15" t="s">
        <v>251</v>
      </c>
      <c r="I29" s="15">
        <v>42624.26458333333</v>
      </c>
      <c r="J29" s="7">
        <v>1</v>
      </c>
      <c r="K29" s="121" t="str">
        <f t="shared" si="0"/>
        <v>4019/4020</v>
      </c>
      <c r="L29" s="24" t="str">
        <f>VLOOKUP(A29,'Trips&amp;Operators'!$C$1:$E$10000,3,FALSE)</f>
        <v>ACKERMAN</v>
      </c>
      <c r="M29" s="6">
        <f t="shared" si="1"/>
        <v>2.47106481474475E-2</v>
      </c>
      <c r="N29" s="7">
        <f t="shared" si="21"/>
        <v>35.583333332324401</v>
      </c>
      <c r="O29" s="7"/>
      <c r="P29" s="7"/>
      <c r="Q29" s="25"/>
      <c r="R29" s="25"/>
      <c r="S29" s="37">
        <f t="shared" si="3"/>
        <v>1</v>
      </c>
      <c r="T29" s="52" t="str">
        <f t="shared" si="4"/>
        <v>NorthBound</v>
      </c>
      <c r="U29" s="163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04:37:57-0600',mode:absolute,to:'2016-09-11 07:21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29" s="54" t="str">
        <f t="shared" si="6"/>
        <v>N</v>
      </c>
      <c r="X29" s="168">
        <f t="shared" si="7"/>
        <v>1</v>
      </c>
      <c r="Y29" s="69">
        <f t="shared" si="8"/>
        <v>4.58E-2</v>
      </c>
      <c r="Z29" s="69">
        <f t="shared" si="9"/>
        <v>23.329699999999999</v>
      </c>
      <c r="AA29" s="69">
        <f t="shared" si="10"/>
        <v>23.283899999999999</v>
      </c>
      <c r="AB29" s="66" t="e">
        <f>VLOOKUP(A29,Enforcements!$C$7:$K$21,8,0)</f>
        <v>#N/A</v>
      </c>
      <c r="AC29" s="62" t="e">
        <f>VLOOKUP(A29,Enforcements!$C$7:$E$21,3,0)</f>
        <v>#N/A</v>
      </c>
      <c r="AD29" s="63" t="str">
        <f t="shared" si="11"/>
        <v>0117-11</v>
      </c>
      <c r="AE29" s="99" t="str">
        <f t="shared" si="12"/>
        <v>aws s3 cp s3://rtdc.mdm.uploadarchive/RTDC4020/2016-09-11/ "%USERPROFILE%\AppData\Local\Temp\OnboardLogs"\RTDC4020\2016-09-11 --recursive &amp; "%USERPROFILE%\Documents\GitHub\mrs-test-scripts\Headless Mode &amp; Sideloading\WalkAndUnGZ.bat" "%USERPROFILE%\AppData\Local\Temp\OnboardLogs"\RTDC4020\2016-09-11 &amp; 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</v>
      </c>
      <c r="AF29" s="96" t="str">
        <f t="shared" si="13"/>
        <v>"C:\Program Files (x86)\AstroGrep\AstroGrep.exe" /spath="%USERPROFILE%\AppData\Local\Temp\OnboardLogs" /stypes="*4020*20160911*" /stext=" 12:.+((SYSTEM_STATE.+slice.+state.+changed )|(ment ac)|(system.+state.+changed )|(\|lc)|(penalty)|(\[timeout)|(PRM\|1\|D)|(kpr)|(kdp))" /e /r /s</v>
      </c>
      <c r="AG29" s="1" t="str">
        <f t="shared" si="14"/>
        <v>EC</v>
      </c>
      <c r="AH29" s="100" t="str">
        <f t="shared" si="17"/>
        <v>"%USERPROFILE%\Documents\GitHub\eaglep3\Utilities\RefineRTDCRunTimes.py" --tripid 117-11 --locoid 4020 --swversion DE.1.0.7.0 --startMP 204:458 --initTime 2016-09-11T05:37:57 --startdatetime 2016-09-11T05:45:25 --delay 2 --endMP 204:233297 --enddatetime 2016-09-11T06:21:00 --enforcementcount 1 &gt;&gt;C:\Users\stu\Documents\GitHub\eaglep3-reporting\EC\2016-09-11-refined-times.txt</v>
      </c>
      <c r="AI29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{"issue":{"subject":"","project_id":79,"tracker_id":40,"status_id":1,"priority_id":2,"assigned_to_id":23,"start_date":"2016-09-11","description":"","custom_fields":[{"id":1,"name":"Subdivision","value":"EC"},{"id":4,"name":"Milepost","value":"23.2839"},{"id":17,"name":"Train ID","value":"117-11"},{"id":16,"name":"Locomotive ID","value":"4020"},{"id":130,"name":"Impact","value":""},{"id":150,"name":"Time of Event (Mountain Time)","value":"06:21:00"},{"id":151,"name":"Denver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442</v>
      </c>
      <c r="B30" s="7">
        <v>4019</v>
      </c>
      <c r="C30" s="24" t="s">
        <v>108</v>
      </c>
      <c r="D30" s="24" t="s">
        <v>246</v>
      </c>
      <c r="E30" s="15">
        <v>42624.271990740737</v>
      </c>
      <c r="F30" s="15">
        <v>42624.278680555559</v>
      </c>
      <c r="G30" s="7">
        <v>1</v>
      </c>
      <c r="H30" s="15" t="s">
        <v>241</v>
      </c>
      <c r="I30" s="15">
        <v>42624.306087962963</v>
      </c>
      <c r="J30" s="7">
        <v>1</v>
      </c>
      <c r="K30" s="121" t="str">
        <f t="shared" si="0"/>
        <v>4019/4020</v>
      </c>
      <c r="L30" s="24" t="str">
        <f>VLOOKUP(A30,'Trips&amp;Operators'!$C$1:$E$10000,3,FALSE)</f>
        <v>ACKERMAN</v>
      </c>
      <c r="M30" s="6">
        <f t="shared" si="1"/>
        <v>2.7407407404098194E-2</v>
      </c>
      <c r="N30" s="7">
        <f t="shared" si="21"/>
        <v>39.466666661901399</v>
      </c>
      <c r="O30" s="7"/>
      <c r="P30" s="7"/>
      <c r="Q30" s="25"/>
      <c r="R30" s="25"/>
      <c r="S30" s="37">
        <f t="shared" si="3"/>
        <v>1</v>
      </c>
      <c r="T30" s="52" t="str">
        <f t="shared" si="4"/>
        <v>Southbound</v>
      </c>
      <c r="U30" s="163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05:31:40-0600',mode:absolute,to:'2016-09-11 08:20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30" s="54" t="str">
        <f t="shared" ref="W30:W34" si="22">IF(AA30&lt;IF(AG30="EC",23,5.65),"Y","N")</f>
        <v>N</v>
      </c>
      <c r="X30" s="168">
        <f t="shared" ref="X30:X34" si="23">VALUE(LEFT(AD30,4))-VALUE(LEFT(AD29,4))</f>
        <v>1</v>
      </c>
      <c r="Y30" s="69">
        <f t="shared" si="8"/>
        <v>23.299600000000002</v>
      </c>
      <c r="Z30" s="69">
        <f t="shared" si="9"/>
        <v>1.4999999999999999E-2</v>
      </c>
      <c r="AA30" s="69">
        <f t="shared" si="10"/>
        <v>23.284600000000001</v>
      </c>
      <c r="AB30" s="66" t="e">
        <f>VLOOKUP(A30,Enforcements!$C$7:$K$21,8,0)</f>
        <v>#N/A</v>
      </c>
      <c r="AC30" s="62" t="e">
        <f>VLOOKUP(A30,Enforcements!$C$7:$E$21,3,0)</f>
        <v>#N/A</v>
      </c>
      <c r="AD30" s="63" t="str">
        <f t="shared" si="11"/>
        <v>0118-11</v>
      </c>
      <c r="AE30" s="99" t="str">
        <f t="shared" si="12"/>
        <v>aws s3 cp s3://rtdc.mdm.uploadarchive/RTDC4019/2016-09-11/ "%USERPROFILE%\AppData\Local\Temp\OnboardLogs"\RTDC4019\2016-09-11 --recursive &amp; "%USERPROFILE%\Documents\GitHub\mrs-test-scripts\Headless Mode &amp; Sideloading\WalkAndUnGZ.bat" "%USERPROFILE%\AppData\Local\Temp\OnboardLogs"\RTDC4019\2016-09-11 &amp; 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</v>
      </c>
      <c r="AF30" s="96" t="str">
        <f t="shared" si="13"/>
        <v>"C:\Program Files (x86)\AstroGrep\AstroGrep.exe" /spath="%USERPROFILE%\AppData\Local\Temp\OnboardLogs" /stypes="*4019*20160911*" /stext=" 13:.+((SYSTEM_STATE.+slice.+state.+changed )|(ment ac)|(system.+state.+changed )|(\|lc)|(penalty)|(\[timeout)|(PRM\|1\|D)|(kpr)|(kdp))" /e /r /s</v>
      </c>
      <c r="AG30" s="1" t="str">
        <f t="shared" si="14"/>
        <v>EC</v>
      </c>
      <c r="AH30" s="100" t="str">
        <f t="shared" si="17"/>
        <v>"%USERPROFILE%\Documents\GitHub\eaglep3\Utilities\RefineRTDCRunTimes.py" --tripid 118-11 --locoid 4019 --swversion DE.1.0.7.0 --startMP 204:232996 --initTime 2016-09-11T06:31:40 --startdatetime 2016-09-11T06:41:18 --delay 1 --endMP 204:150 --enddatetime 2016-09-11T07:20:46 --enforcementcount 1 &gt;&gt;C:\Users\stu\Documents\GitHub\eaglep3-reporting\EC\2016-09-11-refined-times.txt</v>
      </c>
      <c r="AI30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{"issue":{"subject":"","project_id":79,"tracker_id":40,"status_id":1,"priority_id":2,"assigned_to_id":23,"start_date":"2016-09-11","description":"","custom_fields":[{"id":1,"name":"Subdivision","value":"EC"},{"id":4,"name":"Milepost","value":"23.2846"},{"id":17,"name":"Train ID","value":"118-11"},{"id":16,"name":"Locomotive ID","value":"4019"},{"id":130,"name":"Impact","value":""},{"id":150,"name":"Time of Event (Mountain Time)","value":"07:20:46"},{"id":151,"name":"Denver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443</v>
      </c>
      <c r="B31" s="7">
        <v>4027</v>
      </c>
      <c r="C31" s="24" t="s">
        <v>108</v>
      </c>
      <c r="D31" s="24" t="s">
        <v>444</v>
      </c>
      <c r="E31" s="15">
        <v>42624.257824074077</v>
      </c>
      <c r="F31" s="15">
        <v>42624.258923611109</v>
      </c>
      <c r="G31" s="7">
        <v>1</v>
      </c>
      <c r="H31" s="15" t="s">
        <v>259</v>
      </c>
      <c r="I31" s="15">
        <v>42624.28261574074</v>
      </c>
      <c r="J31" s="7">
        <v>1</v>
      </c>
      <c r="K31" s="121" t="str">
        <f t="shared" si="0"/>
        <v>4027/4028</v>
      </c>
      <c r="L31" s="24" t="str">
        <f>VLOOKUP(A31,'Trips&amp;Operators'!$C$1:$E$10000,3,FALSE)</f>
        <v>MAELZER</v>
      </c>
      <c r="M31" s="6">
        <f t="shared" si="1"/>
        <v>2.3692129630944692E-2</v>
      </c>
      <c r="N31" s="7"/>
      <c r="O31" s="7"/>
      <c r="P31" s="7">
        <f t="shared" si="21"/>
        <v>34.116666668560356</v>
      </c>
      <c r="Q31" s="25"/>
      <c r="R31" s="25" t="s">
        <v>710</v>
      </c>
      <c r="S31" s="37">
        <f t="shared" si="3"/>
        <v>1</v>
      </c>
      <c r="T31" s="52" t="str">
        <f t="shared" si="4"/>
        <v>NorthBound</v>
      </c>
      <c r="U31" s="163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05:11:16-0600',mode:absolute,to:'2016-09-11 07:46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31" s="54" t="str">
        <f t="shared" si="22"/>
        <v>Y</v>
      </c>
      <c r="X31" s="168">
        <f t="shared" si="23"/>
        <v>1</v>
      </c>
      <c r="Y31" s="69">
        <f t="shared" si="8"/>
        <v>1.9137</v>
      </c>
      <c r="Z31" s="69">
        <f t="shared" si="9"/>
        <v>23.331199999999999</v>
      </c>
      <c r="AA31" s="69">
        <f t="shared" si="10"/>
        <v>21.4175</v>
      </c>
      <c r="AB31" s="66" t="e">
        <f>VLOOKUP(A31,Enforcements!$C$7:$K$21,8,0)</f>
        <v>#N/A</v>
      </c>
      <c r="AC31" s="62" t="e">
        <f>VLOOKUP(A31,Enforcements!$C$7:$E$21,3,0)</f>
        <v>#N/A</v>
      </c>
      <c r="AD31" s="63" t="str">
        <f t="shared" si="11"/>
        <v>0119-11</v>
      </c>
      <c r="AE31" s="99" t="str">
        <f t="shared" si="12"/>
        <v>aws s3 cp s3://rtdc.mdm.uploadarchive/RTDC4027/2016-09-11/ "%USERPROFILE%\AppData\Local\Temp\OnboardLogs"\RTDC4027\2016-09-11 --recursive &amp; "%USERPROFILE%\Documents\GitHub\mrs-test-scripts\Headless Mode &amp; Sideloading\WalkAndUnGZ.bat" "%USERPROFILE%\AppData\Local\Temp\OnboardLogs"\RTDC4027\2016-09-11 &amp; 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</v>
      </c>
      <c r="AF31" s="96" t="str">
        <f t="shared" si="13"/>
        <v>"C:\Program Files (x86)\AstroGrep\AstroGrep.exe" /spath="%USERPROFILE%\AppData\Local\Temp\OnboardLogs" /stypes="*4027*20160911*" /stext=" 12:.+((SYSTEM_STATE.+slice.+state.+changed )|(ment ac)|(system.+state.+changed )|(\|lc)|(penalty)|(\[timeout)|(PRM\|1\|D)|(kpr)|(kdp))" /e /r /s</v>
      </c>
      <c r="AG31" s="1" t="str">
        <f t="shared" si="14"/>
        <v>EC</v>
      </c>
      <c r="AH31" s="100" t="str">
        <f t="shared" si="17"/>
        <v>"%USERPROFILE%\Documents\GitHub\eaglep3\Utilities\RefineRTDCRunTimes.py" --tripid 119-11 --locoid 4027 --swversion DE.1.0.7.0 --startMP 204:19137 --initTime 2016-09-11T06:11:16 --startdatetime 2016-09-11T06:12:51 --delay 1 --endMP 204:233312 --enddatetime 2016-09-11T06:46:58 --enforcementcount 1 &gt;&gt;C:\Users\stu\Documents\GitHub\eaglep3-reporting\EC\2016-09-11-refined-times.txt</v>
      </c>
      <c r="AI31" s="134" t="str">
        <f t="shared" si="18"/>
        <v>echo {"issue":{"subject":"DUS 4N flipped between "DARK" and "STOP"","project_id":79,"tracker_id":40,"status_id":1,"priority_id":2,"assigned_to_id":23,"start_date":"2016-09-11","description":"","custom_fields":[{"id":1,"name":"Subdivision","value":"EC"},{"id":4,"name":"Milepost","value":"21.4175"},{"id":17,"name":"Train ID","value":"119-11"},{"id":16,"name":"Locomotive ID","value":"4027"},{"id":130,"name":"Impact","value":""},{"id":150,"name":"Time of Event (Mountain Time)","value":"06:46:58"},{"id":151,"name":"Denver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445</v>
      </c>
      <c r="B32" s="7">
        <v>4028</v>
      </c>
      <c r="C32" s="24" t="s">
        <v>108</v>
      </c>
      <c r="D32" s="24" t="s">
        <v>317</v>
      </c>
      <c r="E32" s="15">
        <v>42624.286157407405</v>
      </c>
      <c r="F32" s="15">
        <v>42624.289189814815</v>
      </c>
      <c r="G32" s="7">
        <v>1</v>
      </c>
      <c r="H32" s="15" t="s">
        <v>314</v>
      </c>
      <c r="I32" s="15">
        <v>42624.315810185188</v>
      </c>
      <c r="J32" s="7">
        <v>1</v>
      </c>
      <c r="K32" s="121" t="str">
        <f t="shared" si="0"/>
        <v>4027/4028</v>
      </c>
      <c r="L32" s="24" t="str">
        <f>VLOOKUP(A32,'Trips&amp;Operators'!$C$1:$E$10000,3,FALSE)</f>
        <v>MAELZER</v>
      </c>
      <c r="M32" s="6">
        <f t="shared" si="1"/>
        <v>2.662037037225673E-2</v>
      </c>
      <c r="N32" s="7">
        <f t="shared" si="21"/>
        <v>38.333333336049691</v>
      </c>
      <c r="O32" s="7"/>
      <c r="P32" s="7"/>
      <c r="Q32" s="25"/>
      <c r="R32" s="25"/>
      <c r="S32" s="37">
        <f t="shared" si="3"/>
        <v>1</v>
      </c>
      <c r="T32" s="52" t="str">
        <f t="shared" si="4"/>
        <v>Southbound</v>
      </c>
      <c r="U32" s="163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05:52:04-0600',mode:absolute,to:'2016-09-11 08:34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32" s="54" t="str">
        <f t="shared" si="22"/>
        <v>N</v>
      </c>
      <c r="X32" s="168">
        <f t="shared" si="23"/>
        <v>1</v>
      </c>
      <c r="Y32" s="69">
        <f t="shared" si="8"/>
        <v>23.299399999999999</v>
      </c>
      <c r="Z32" s="69">
        <f t="shared" si="9"/>
        <v>1.38E-2</v>
      </c>
      <c r="AA32" s="69">
        <f t="shared" si="10"/>
        <v>23.285599999999999</v>
      </c>
      <c r="AB32" s="66" t="e">
        <f>VLOOKUP(A32,Enforcements!$C$7:$K$21,8,0)</f>
        <v>#N/A</v>
      </c>
      <c r="AC32" s="62" t="e">
        <f>VLOOKUP(A32,Enforcements!$C$7:$E$21,3,0)</f>
        <v>#N/A</v>
      </c>
      <c r="AD32" s="63" t="str">
        <f t="shared" si="11"/>
        <v>0120-11</v>
      </c>
      <c r="AE32" s="99" t="str">
        <f t="shared" si="12"/>
        <v>aws s3 cp s3://rtdc.mdm.uploadarchive/RTDC4028/2016-09-11/ "%USERPROFILE%\AppData\Local\Temp\OnboardLogs"\RTDC4028\2016-09-11 --recursive &amp; "%USERPROFILE%\Documents\GitHub\mrs-test-scripts\Headless Mode &amp; Sideloading\WalkAndUnGZ.bat" "%USERPROFILE%\AppData\Local\Temp\OnboardLogs"\RTDC4028\2016-09-11 &amp; 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</v>
      </c>
      <c r="AF32" s="96" t="str">
        <f t="shared" si="13"/>
        <v>"C:\Program Files (x86)\AstroGrep\AstroGrep.exe" /spath="%USERPROFILE%\AppData\Local\Temp\OnboardLogs" /stypes="*4028*20160911*" /stext=" 13:.+((SYSTEM_STATE.+slice.+state.+changed )|(ment ac)|(system.+state.+changed )|(\|lc)|(penalty)|(\[timeout)|(PRM\|1\|D)|(kpr)|(kdp))" /e /r /s</v>
      </c>
      <c r="AG32" s="1" t="str">
        <f t="shared" si="14"/>
        <v>EC</v>
      </c>
      <c r="AH32" s="100" t="str">
        <f t="shared" si="17"/>
        <v>"%USERPROFILE%\Documents\GitHub\eaglep3\Utilities\RefineRTDCRunTimes.py" --tripid 120-11 --locoid 4028 --swversion DE.1.0.7.0 --startMP 204:232994 --initTime 2016-09-11T06:52:04 --startdatetime 2016-09-11T06:56:26 --delay 1 --endMP 204:138 --enddatetime 2016-09-11T07:34:46 --enforcementcount 1 &gt;&gt;C:\Users\stu\Documents\GitHub\eaglep3-reporting\EC\2016-09-11-refined-times.txt</v>
      </c>
      <c r="AI32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{"issue":{"subject":"","project_id":79,"tracker_id":40,"status_id":1,"priority_id":2,"assigned_to_id":23,"start_date":"2016-09-11","description":"","custom_fields":[{"id":1,"name":"Subdivision","value":"EC"},{"id":4,"name":"Milepost","value":"23.2856"},{"id":17,"name":"Train ID","value":"120-11"},{"id":16,"name":"Locomotive ID","value":"4028"},{"id":130,"name":"Impact","value":""},{"id":150,"name":"Time of Event (Mountain Time)","value":"07:34:46"},{"id":151,"name":"Denver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446</v>
      </c>
      <c r="B33" s="7">
        <v>4040</v>
      </c>
      <c r="C33" s="24" t="s">
        <v>108</v>
      </c>
      <c r="D33" s="24" t="s">
        <v>296</v>
      </c>
      <c r="E33" s="15">
        <v>42624.259247685186</v>
      </c>
      <c r="F33" s="15">
        <v>42624.260671296295</v>
      </c>
      <c r="G33" s="7">
        <v>1</v>
      </c>
      <c r="H33" s="15" t="s">
        <v>361</v>
      </c>
      <c r="I33" s="15">
        <v>42624.287129629629</v>
      </c>
      <c r="J33" s="7">
        <v>1</v>
      </c>
      <c r="K33" s="121" t="str">
        <f t="shared" si="0"/>
        <v>4039/4040</v>
      </c>
      <c r="L33" s="24" t="str">
        <f>VLOOKUP(A33,'Trips&amp;Operators'!$C$1:$E$10000,3,FALSE)</f>
        <v>DAVIS</v>
      </c>
      <c r="M33" s="6">
        <f t="shared" si="1"/>
        <v>2.6458333333721384E-2</v>
      </c>
      <c r="N33" s="7">
        <f t="shared" si="21"/>
        <v>38.100000000558794</v>
      </c>
      <c r="O33" s="7"/>
      <c r="P33" s="7"/>
      <c r="Q33" s="25"/>
      <c r="R33" s="25"/>
      <c r="S33" s="37">
        <f t="shared" si="3"/>
        <v>1</v>
      </c>
      <c r="T33" s="52" t="str">
        <f t="shared" si="4"/>
        <v>NorthBound</v>
      </c>
      <c r="U33" s="163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05:13:19-0600',mode:absolute,to:'2016-09-11 07:53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33" s="54" t="str">
        <f t="shared" si="22"/>
        <v>N</v>
      </c>
      <c r="X33" s="168">
        <f t="shared" si="23"/>
        <v>1</v>
      </c>
      <c r="Y33" s="69">
        <f t="shared" si="8"/>
        <v>4.5999999999999999E-2</v>
      </c>
      <c r="Z33" s="69">
        <f t="shared" si="9"/>
        <v>23.331800000000001</v>
      </c>
      <c r="AA33" s="69">
        <f t="shared" si="10"/>
        <v>23.285800000000002</v>
      </c>
      <c r="AB33" s="66" t="e">
        <f>VLOOKUP(A33,Enforcements!$C$7:$K$21,8,0)</f>
        <v>#N/A</v>
      </c>
      <c r="AC33" s="62" t="e">
        <f>VLOOKUP(A33,Enforcements!$C$7:$E$21,3,0)</f>
        <v>#N/A</v>
      </c>
      <c r="AD33" s="63" t="str">
        <f t="shared" si="11"/>
        <v>0121-11</v>
      </c>
      <c r="AE33" s="99" t="str">
        <f t="shared" si="12"/>
        <v>aws s3 cp s3://rtdc.mdm.uploadarchive/RTDC4040/2016-09-11/ "%USERPROFILE%\AppData\Local\Temp\OnboardLogs"\RTDC4040\2016-09-11 --recursive &amp; "%USERPROFILE%\Documents\GitHub\mrs-test-scripts\Headless Mode &amp; Sideloading\WalkAndUnGZ.bat" "%USERPROFILE%\AppData\Local\Temp\OnboardLogs"\RTDC4040\2016-09-11 &amp; aws s3 cp s3://rtdc.mdm.uploadarchive/RTDC4040/2016-09-12/ "%USERPROFILE%\AppData\Local\Temp\OnboardLogs"\RTDC4040\2016-09-12 --recursive &amp; "%USERPROFILE%\Documents\GitHub\mrs-test-scripts\Headless Mode &amp; Sideloading\WalkAndUnGZ.bat" "%USERPROFILE%\AppData\Local\Temp\OnboardLogs"\RTDC4040\2016-09-12</v>
      </c>
      <c r="AF33" s="96" t="str">
        <f t="shared" si="13"/>
        <v>"C:\Program Files (x86)\AstroGrep\AstroGrep.exe" /spath="%USERPROFILE%\AppData\Local\Temp\OnboardLogs" /stypes="*4040*20160911*" /stext=" 12:.+((SYSTEM_STATE.+slice.+state.+changed )|(ment ac)|(system.+state.+changed )|(\|lc)|(penalty)|(\[timeout)|(PRM\|1\|D)|(kpr)|(kdp))" /e /r /s</v>
      </c>
      <c r="AG33" s="1" t="str">
        <f t="shared" si="14"/>
        <v>EC</v>
      </c>
      <c r="AH33" s="100" t="str">
        <f t="shared" si="17"/>
        <v>"%USERPROFILE%\Documents\GitHub\eaglep3\Utilities\RefineRTDCRunTimes.py" --tripid 121-11 --locoid 4040 --swversion DE.1.0.7.0 --startMP 204:460 --initTime 2016-09-11T06:13:19 --startdatetime 2016-09-11T06:15:22 --delay 1 --endMP 204:233318 --enddatetime 2016-09-11T06:53:28 --enforcementcount 1 &gt;&gt;C:\Users\stu\Documents\GitHub\eaglep3-reporting\EC\2016-09-11-refined-times.txt</v>
      </c>
      <c r="AI33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{"issue":{"subject":"","project_id":79,"tracker_id":40,"status_id":1,"priority_id":2,"assigned_to_id":23,"start_date":"2016-09-11","description":"","custom_fields":[{"id":1,"name":"Subdivision","value":"EC"},{"id":4,"name":"Milepost","value":"23.2858"},{"id":17,"name":"Train ID","value":"121-11"},{"id":16,"name":"Locomotive ID","value":"4040"},{"id":130,"name":"Impact","value":""},{"id":150,"name":"Time of Event (Mountain Time)","value":"06:53:28"},{"id":151,"name":"Denver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388</v>
      </c>
      <c r="B34" s="7">
        <v>4039</v>
      </c>
      <c r="C34" s="24" t="s">
        <v>108</v>
      </c>
      <c r="D34" s="24" t="s">
        <v>258</v>
      </c>
      <c r="E34" s="15">
        <v>42624.290416666663</v>
      </c>
      <c r="F34" s="15">
        <v>42624.29954861111</v>
      </c>
      <c r="G34" s="7">
        <v>1</v>
      </c>
      <c r="H34" s="15" t="s">
        <v>243</v>
      </c>
      <c r="I34" s="15">
        <v>42624.326701388891</v>
      </c>
      <c r="J34" s="7">
        <v>1</v>
      </c>
      <c r="K34" s="121" t="str">
        <f t="shared" si="0"/>
        <v>4039/4040</v>
      </c>
      <c r="L34" s="24" t="str">
        <f>VLOOKUP(A34,'Trips&amp;Operators'!$C$1:$E$10000,3,FALSE)</f>
        <v>DAVIS</v>
      </c>
      <c r="M34" s="6">
        <f t="shared" si="1"/>
        <v>2.715277778042946E-2</v>
      </c>
      <c r="N34" s="7">
        <f t="shared" si="21"/>
        <v>39.100000003818423</v>
      </c>
      <c r="O34" s="7"/>
      <c r="P34" s="7"/>
      <c r="Q34" s="25"/>
      <c r="R34" s="25"/>
      <c r="S34" s="37">
        <f t="shared" si="3"/>
        <v>1</v>
      </c>
      <c r="T34" s="52" t="str">
        <f t="shared" si="4"/>
        <v>Southbound</v>
      </c>
      <c r="U34" s="163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05:58:12-0600',mode:absolute,to:'2016-09-11 08:50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34" s="54" t="str">
        <f t="shared" si="22"/>
        <v>N</v>
      </c>
      <c r="X34" s="168">
        <f t="shared" si="23"/>
        <v>1</v>
      </c>
      <c r="Y34" s="69">
        <f t="shared" si="8"/>
        <v>23.297699999999999</v>
      </c>
      <c r="Z34" s="69">
        <f t="shared" si="9"/>
        <v>1.43E-2</v>
      </c>
      <c r="AA34" s="69">
        <f t="shared" si="10"/>
        <v>23.2834</v>
      </c>
      <c r="AB34" s="66" t="e">
        <f>VLOOKUP(A34,Enforcements!$C$7:$K$21,8,0)</f>
        <v>#N/A</v>
      </c>
      <c r="AC34" s="62" t="e">
        <f>VLOOKUP(A34,Enforcements!$C$7:$E$21,3,0)</f>
        <v>#N/A</v>
      </c>
      <c r="AD34" s="63" t="str">
        <f t="shared" si="11"/>
        <v>0122-11</v>
      </c>
      <c r="AE34" s="99" t="str">
        <f t="shared" si="12"/>
        <v>aws s3 cp s3://rtdc.mdm.uploadarchive/RTDC4039/2016-09-11/ "%USERPROFILE%\AppData\Local\Temp\OnboardLogs"\RTDC4039\2016-09-11 --recursive &amp; "%USERPROFILE%\Documents\GitHub\mrs-test-scripts\Headless Mode &amp; Sideloading\WalkAndUnGZ.bat" "%USERPROFILE%\AppData\Local\Temp\OnboardLogs"\RTDC4039\2016-09-11 &amp; aws s3 cp s3://rtdc.mdm.uploadarchive/RTDC4039/2016-09-12/ "%USERPROFILE%\AppData\Local\Temp\OnboardLogs"\RTDC4039\2016-09-12 --recursive &amp; "%USERPROFILE%\Documents\GitHub\mrs-test-scripts\Headless Mode &amp; Sideloading\WalkAndUnGZ.bat" "%USERPROFILE%\AppData\Local\Temp\OnboardLogs"\RTDC4039\2016-09-12</v>
      </c>
      <c r="AF34" s="96" t="str">
        <f t="shared" si="13"/>
        <v>"C:\Program Files (x86)\AstroGrep\AstroGrep.exe" /spath="%USERPROFILE%\AppData\Local\Temp\OnboardLogs" /stypes="*4039*20160911*" /stext=" 13:.+((SYSTEM_STATE.+slice.+state.+changed )|(ment ac)|(system.+state.+changed )|(\|lc)|(penalty)|(\[timeout)|(PRM\|1\|D)|(kpr)|(kdp))" /e /r /s</v>
      </c>
      <c r="AG34" s="1" t="str">
        <f t="shared" si="14"/>
        <v>EC</v>
      </c>
      <c r="AH34" s="100" t="str">
        <f t="shared" si="17"/>
        <v>"%USERPROFILE%\Documents\GitHub\eaglep3\Utilities\RefineRTDCRunTimes.py" --tripid 122-11 --locoid 4039 --swversion DE.1.0.7.0 --startMP 204:232977 --initTime 2016-09-11T06:58:12 --startdatetime 2016-09-11T07:11:21 --delay 1 --endMP 204:143 --enddatetime 2016-09-11T07:50:27 --enforcementcount 1 &gt;&gt;C:\Users\stu\Documents\GitHub\eaglep3-reporting\EC\2016-09-11-refined-times.txt</v>
      </c>
      <c r="AI34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{"issue":{"subject":"","project_id":79,"tracker_id":40,"status_id":1,"priority_id":2,"assigned_to_id":23,"start_date":"2016-09-11","description":"","custom_fields":[{"id":1,"name":"Subdivision","value":"EC"},{"id":4,"name":"Milepost","value":"23.2834"},{"id":17,"name":"Train ID","value":"122-11"},{"id":16,"name":"Locomotive ID","value":"4039"},{"id":130,"name":"Impact","value":""},{"id":150,"name":"Time of Event (Mountain Time)","value":"07:50:27"},{"id":151,"name":"Denver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447</v>
      </c>
      <c r="B35" s="7">
        <v>4009</v>
      </c>
      <c r="C35" s="24" t="s">
        <v>108</v>
      </c>
      <c r="D35" s="24" t="s">
        <v>448</v>
      </c>
      <c r="E35" s="15">
        <v>42624.270185185182</v>
      </c>
      <c r="F35" s="15">
        <v>42624.271145833336</v>
      </c>
      <c r="G35" s="7">
        <v>1</v>
      </c>
      <c r="H35" s="15" t="s">
        <v>271</v>
      </c>
      <c r="I35" s="15">
        <v>42624.295706018522</v>
      </c>
      <c r="J35" s="7">
        <v>1</v>
      </c>
      <c r="K35" s="121" t="str">
        <f t="shared" si="0"/>
        <v>4009/4010</v>
      </c>
      <c r="L35" s="24" t="str">
        <f>VLOOKUP(A35,'Trips&amp;Operators'!$C$1:$E$10000,3,FALSE)</f>
        <v>MALAVE</v>
      </c>
      <c r="M35" s="6">
        <f t="shared" si="1"/>
        <v>2.4560185185691807E-2</v>
      </c>
      <c r="N35" s="7">
        <f t="shared" si="21"/>
        <v>35.366666667396203</v>
      </c>
      <c r="O35" s="7"/>
      <c r="P35" s="7"/>
      <c r="Q35" s="25"/>
      <c r="R35" s="25"/>
      <c r="S35" s="37">
        <f t="shared" si="3"/>
        <v>1</v>
      </c>
      <c r="T35" s="52" t="str">
        <f t="shared" si="4"/>
        <v>NorthBound</v>
      </c>
      <c r="U35" s="163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05:29:04-0600',mode:absolute,to:'2016-09-11 08:05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35" s="54" t="str">
        <f t="shared" si="6"/>
        <v>N</v>
      </c>
      <c r="X35" s="168">
        <f t="shared" si="7"/>
        <v>1</v>
      </c>
      <c r="Y35" s="69">
        <f t="shared" si="8"/>
        <v>5.57E-2</v>
      </c>
      <c r="Z35" s="69">
        <f t="shared" si="9"/>
        <v>23.3293</v>
      </c>
      <c r="AA35" s="69">
        <f t="shared" si="10"/>
        <v>23.273599999999998</v>
      </c>
      <c r="AB35" s="66" t="e">
        <f>VLOOKUP(A35,Enforcements!$C$7:$K$21,8,0)</f>
        <v>#N/A</v>
      </c>
      <c r="AC35" s="62" t="e">
        <f>VLOOKUP(A35,Enforcements!$C$7:$E$21,3,0)</f>
        <v>#N/A</v>
      </c>
      <c r="AD35" s="63" t="str">
        <f t="shared" si="11"/>
        <v>0123-11</v>
      </c>
      <c r="AE35" s="99" t="str">
        <f t="shared" si="12"/>
        <v>aws s3 cp s3://rtdc.mdm.uploadarchive/RTDC4009/2016-09-11/ "%USERPROFILE%\AppData\Local\Temp\OnboardLogs"\RTDC4009\2016-09-11 --recursive &amp; "%USERPROFILE%\Documents\GitHub\mrs-test-scripts\Headless Mode &amp; Sideloading\WalkAndUnGZ.bat" "%USERPROFILE%\AppData\Local\Temp\OnboardLogs"\RTDC4009\2016-09-11 &amp; 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</v>
      </c>
      <c r="AF35" s="96" t="str">
        <f t="shared" si="13"/>
        <v>"C:\Program Files (x86)\AstroGrep\AstroGrep.exe" /spath="%USERPROFILE%\AppData\Local\Temp\OnboardLogs" /stypes="*4009*20160911*" /stext=" 13:.+((SYSTEM_STATE.+slice.+state.+changed )|(ment ac)|(system.+state.+changed )|(\|lc)|(penalty)|(\[timeout)|(PRM\|1\|D)|(kpr)|(kdp))" /e /r /s</v>
      </c>
      <c r="AG35" s="1" t="str">
        <f t="shared" si="14"/>
        <v>EC</v>
      </c>
      <c r="AH35" s="100" t="str">
        <f t="shared" si="17"/>
        <v>"%USERPROFILE%\Documents\GitHub\eaglep3\Utilities\RefineRTDCRunTimes.py" --tripid 123-11 --locoid 4009 --swversion DE.1.0.7.0 --startMP 204:557 --initTime 2016-09-11T06:29:04 --startdatetime 2016-09-11T06:30:27 --delay 1 --endMP 204:233293 --enddatetime 2016-09-11T07:05:49 --enforcementcount 1 &gt;&gt;C:\Users\stu\Documents\GitHub\eaglep3-reporting\EC\2016-09-11-refined-times.txt</v>
      </c>
      <c r="AI35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{"issue":{"subject":"","project_id":79,"tracker_id":40,"status_id":1,"priority_id":2,"assigned_to_id":23,"start_date":"2016-09-11","description":"","custom_fields":[{"id":1,"name":"Subdivision","value":"EC"},{"id":4,"name":"Milepost","value":"23.2736"},{"id":17,"name":"Train ID","value":"123-11"},{"id":16,"name":"Locomotive ID","value":"4009"},{"id":130,"name":"Impact","value":""},{"id":150,"name":"Time of Event (Mountain Time)","value":"07:05:49"},{"id":151,"name":"Denver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449</v>
      </c>
      <c r="B36" s="7">
        <v>4010</v>
      </c>
      <c r="C36" s="24" t="s">
        <v>108</v>
      </c>
      <c r="D36" s="24" t="s">
        <v>450</v>
      </c>
      <c r="E36" s="15">
        <v>42624.307199074072</v>
      </c>
      <c r="F36" s="15">
        <v>42624.309965277775</v>
      </c>
      <c r="G36" s="7">
        <v>3</v>
      </c>
      <c r="H36" s="15" t="s">
        <v>451</v>
      </c>
      <c r="I36" s="15">
        <v>42624.336759259262</v>
      </c>
      <c r="J36" s="7">
        <v>1</v>
      </c>
      <c r="K36" s="121" t="str">
        <f t="shared" si="0"/>
        <v>4009/4010</v>
      </c>
      <c r="L36" s="24" t="str">
        <f>VLOOKUP(A36,'Trips&amp;Operators'!$C$1:$E$10000,3,FALSE)</f>
        <v>MALAVE</v>
      </c>
      <c r="M36" s="6">
        <f t="shared" si="1"/>
        <v>2.6793981487571727E-2</v>
      </c>
      <c r="N36" s="7">
        <f t="shared" si="21"/>
        <v>38.583333342103288</v>
      </c>
      <c r="O36" s="7"/>
      <c r="P36" s="7"/>
      <c r="Q36" s="25"/>
      <c r="R36" s="25"/>
      <c r="S36" s="37">
        <f t="shared" si="3"/>
        <v>1</v>
      </c>
      <c r="T36" s="52" t="str">
        <f t="shared" si="4"/>
        <v>Southbound</v>
      </c>
      <c r="U36" s="163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06:22:22-0600',mode:absolute,to:'2016-09-11 09:04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36" s="54" t="str">
        <f t="shared" si="6"/>
        <v>N</v>
      </c>
      <c r="X36" s="168">
        <f t="shared" si="7"/>
        <v>1</v>
      </c>
      <c r="Y36" s="69">
        <f t="shared" si="8"/>
        <v>23.296600000000002</v>
      </c>
      <c r="Z36" s="69">
        <f t="shared" si="9"/>
        <v>1.7399999999999999E-2</v>
      </c>
      <c r="AA36" s="69">
        <f t="shared" si="10"/>
        <v>23.279200000000003</v>
      </c>
      <c r="AB36" s="66" t="e">
        <f>VLOOKUP(A36,Enforcements!$C$7:$K$21,8,0)</f>
        <v>#N/A</v>
      </c>
      <c r="AC36" s="62" t="e">
        <f>VLOOKUP(A36,Enforcements!$C$7:$E$21,3,0)</f>
        <v>#N/A</v>
      </c>
      <c r="AD36" s="63" t="str">
        <f t="shared" si="11"/>
        <v>0124-11</v>
      </c>
      <c r="AE36" s="99" t="str">
        <f t="shared" si="12"/>
        <v>aws s3 cp s3://rtdc.mdm.uploadarchive/RTDC4010/2016-09-11/ "%USERPROFILE%\AppData\Local\Temp\OnboardLogs"\RTDC4010\2016-09-11 --recursive &amp; "%USERPROFILE%\Documents\GitHub\mrs-test-scripts\Headless Mode &amp; Sideloading\WalkAndUnGZ.bat" "%USERPROFILE%\AppData\Local\Temp\OnboardLogs"\RTDC4010\2016-09-11 &amp; 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</v>
      </c>
      <c r="AF36" s="96" t="str">
        <f t="shared" si="13"/>
        <v>"C:\Program Files (x86)\AstroGrep\AstroGrep.exe" /spath="%USERPROFILE%\AppData\Local\Temp\OnboardLogs" /stypes="*4010*20160911*" /stext=" 14:.+((SYSTEM_STATE.+slice.+state.+changed )|(ment ac)|(system.+state.+changed )|(\|lc)|(penalty)|(\[timeout)|(PRM\|1\|D)|(kpr)|(kdp))" /e /r /s</v>
      </c>
      <c r="AG36" s="1" t="str">
        <f t="shared" si="14"/>
        <v>EC</v>
      </c>
      <c r="AH36" s="100" t="str">
        <f t="shared" si="17"/>
        <v>"%USERPROFILE%\Documents\GitHub\eaglep3\Utilities\RefineRTDCRunTimes.py" --tripid 124-11 --locoid 4010 --swversion DE.1.0.7.0 --startMP 204:232966 --initTime 2016-09-11T07:22:22 --startdatetime 2016-09-11T07:26:21 --delay 3 --endMP 204:174 --enddatetime 2016-09-11T08:04:56 --enforcementcount 1 &gt;&gt;C:\Users\stu\Documents\GitHub\eaglep3-reporting\EC\2016-09-11-refined-times.txt</v>
      </c>
      <c r="AI36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{"issue":{"subject":"","project_id":79,"tracker_id":40,"status_id":1,"priority_id":2,"assigned_to_id":23,"start_date":"2016-09-11","description":"","custom_fields":[{"id":1,"name":"Subdivision","value":"EC"},{"id":4,"name":"Milepost","value":"23.2792"},{"id":17,"name":"Train ID","value":"124-11"},{"id":16,"name":"Locomotive ID","value":"4010"},{"id":130,"name":"Impact","value":""},{"id":150,"name":"Time of Event (Mountain Time)","value":"08:04:56"},{"id":151,"name":"Denver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386</v>
      </c>
      <c r="B37" s="7">
        <v>4042</v>
      </c>
      <c r="C37" s="24" t="s">
        <v>108</v>
      </c>
      <c r="D37" s="24" t="s">
        <v>247</v>
      </c>
      <c r="E37" s="15">
        <v>42624.287523148145</v>
      </c>
      <c r="F37" s="15">
        <v>42624.289155092592</v>
      </c>
      <c r="G37" s="7">
        <v>1</v>
      </c>
      <c r="H37" s="15" t="s">
        <v>349</v>
      </c>
      <c r="I37" s="15">
        <v>42624.315532407411</v>
      </c>
      <c r="J37" s="7">
        <v>1</v>
      </c>
      <c r="K37" s="121" t="str">
        <f t="shared" si="0"/>
        <v>4041/4042</v>
      </c>
      <c r="L37" s="24" t="str">
        <f>VLOOKUP(A37,'Trips&amp;Operators'!$C$1:$E$10000,3,FALSE)</f>
        <v>STRICKLAND</v>
      </c>
      <c r="M37" s="6">
        <f t="shared" si="1"/>
        <v>2.6377314818091691E-2</v>
      </c>
      <c r="N37" s="7">
        <f t="shared" si="21"/>
        <v>37.983333338052034</v>
      </c>
      <c r="O37" s="7"/>
      <c r="P37" s="7"/>
      <c r="Q37" s="25"/>
      <c r="R37" s="25"/>
      <c r="S37" s="37">
        <f t="shared" si="3"/>
        <v>1</v>
      </c>
      <c r="T37" s="52" t="str">
        <f t="shared" si="4"/>
        <v>NorthBound</v>
      </c>
      <c r="U37" s="163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05:54:02-0600',mode:absolute,to:'2016-09-11 08:34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37" s="54" t="str">
        <f t="shared" si="6"/>
        <v>N</v>
      </c>
      <c r="X37" s="168">
        <f t="shared" si="7"/>
        <v>1</v>
      </c>
      <c r="Y37" s="69">
        <f t="shared" si="8"/>
        <v>4.5699999999999998E-2</v>
      </c>
      <c r="Z37" s="69">
        <f t="shared" si="9"/>
        <v>23.328600000000002</v>
      </c>
      <c r="AA37" s="69">
        <f t="shared" si="10"/>
        <v>23.282900000000001</v>
      </c>
      <c r="AB37" s="66" t="str">
        <f>VLOOKUP(A37,Enforcements!$C$7:$K$21,8,0)</f>
        <v>Speed (6)</v>
      </c>
      <c r="AC37" s="62" t="str">
        <f>VLOOKUP(A37,Enforcements!$C$7:$E$21,3,0)</f>
        <v>PERMANENT SPEED RESTRICTION</v>
      </c>
      <c r="AD37" s="63" t="str">
        <f t="shared" si="11"/>
        <v>0125-11</v>
      </c>
      <c r="AE37" s="99" t="str">
        <f t="shared" si="12"/>
        <v>aws s3 cp s3://rtdc.mdm.uploadarchive/RTDC4042/2016-09-11/ "%USERPROFILE%\AppData\Local\Temp\OnboardLogs"\RTDC4042\2016-09-11 --recursive &amp; "%USERPROFILE%\Documents\GitHub\mrs-test-scripts\Headless Mode &amp; Sideloading\WalkAndUnGZ.bat" "%USERPROFILE%\AppData\Local\Temp\OnboardLogs"\RTDC4042\2016-09-11 &amp; 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</v>
      </c>
      <c r="AF37" s="96" t="str">
        <f t="shared" si="13"/>
        <v>"C:\Program Files (x86)\AstroGrep\AstroGrep.exe" /spath="%USERPROFILE%\AppData\Local\Temp\OnboardLogs" /stypes="*4042*20160911*" /stext=" 13:.+((SYSTEM_STATE.+slice.+state.+changed )|(ment ac)|(system.+state.+changed )|(\|lc)|(penalty)|(\[timeout)|(PRM\|1\|D)|(kpr)|(kdp))" /e /r /s</v>
      </c>
      <c r="AG37" s="1" t="str">
        <f t="shared" si="14"/>
        <v>EC</v>
      </c>
      <c r="AH37" s="100" t="str">
        <f t="shared" si="17"/>
        <v>"%USERPROFILE%\Documents\GitHub\eaglep3\Utilities\RefineRTDCRunTimes.py" --tripid 125-11 --locoid 4042 --swversion DE.1.0.7.0 --startMP 204:457 --initTime 2016-09-11T06:54:02 --startdatetime 2016-09-11T06:56:23 --delay 1 --endMP 204:233286 --enddatetime 2016-09-11T07:34:22 --enforcementcount 1 &gt;&gt;C:\Users\stu\Documents\GitHub\eaglep3-reporting\EC\2016-09-11-refined-times.txt</v>
      </c>
      <c r="AI37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{"issue":{"subject":"","project_id":79,"tracker_id":40,"status_id":1,"priority_id":2,"assigned_to_id":23,"start_date":"2016-09-11","description":"","custom_fields":[{"id":1,"name":"Subdivision","value":"EC"},{"id":4,"name":"Milepost","value":"23.2829"},{"id":17,"name":"Train ID","value":"125-11"},{"id":16,"name":"Locomotive ID","value":"4042"},{"id":130,"name":"Impact","value":""},{"id":150,"name":"Time of Event (Mountain Time)","value":"07:34:22"},{"id":151,"name":"Denver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389</v>
      </c>
      <c r="B38" s="7">
        <v>4041</v>
      </c>
      <c r="C38" s="24" t="s">
        <v>108</v>
      </c>
      <c r="D38" s="24" t="s">
        <v>435</v>
      </c>
      <c r="E38" s="15">
        <v>42624.317349537036</v>
      </c>
      <c r="F38" s="15">
        <v>42624.320543981485</v>
      </c>
      <c r="G38" s="7">
        <v>1</v>
      </c>
      <c r="H38" s="15" t="s">
        <v>452</v>
      </c>
      <c r="I38" s="15">
        <v>42624.347939814812</v>
      </c>
      <c r="J38" s="7">
        <v>1</v>
      </c>
      <c r="K38" s="121" t="str">
        <f t="shared" si="0"/>
        <v>4041/4042</v>
      </c>
      <c r="L38" s="24" t="str">
        <f>VLOOKUP(A38,'Trips&amp;Operators'!$C$1:$E$10000,3,FALSE)</f>
        <v>STRICKLAND</v>
      </c>
      <c r="M38" s="6">
        <f t="shared" si="1"/>
        <v>2.7395833327318542E-2</v>
      </c>
      <c r="N38" s="7">
        <f t="shared" si="21"/>
        <v>39.4499999913387</v>
      </c>
      <c r="O38" s="7"/>
      <c r="P38" s="7"/>
      <c r="Q38" s="25"/>
      <c r="R38" s="25"/>
      <c r="S38" s="37">
        <f t="shared" si="3"/>
        <v>1</v>
      </c>
      <c r="T38" s="52" t="str">
        <f t="shared" si="4"/>
        <v>Southbound</v>
      </c>
      <c r="U38" s="163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06:36:59-0600',mode:absolute,to:'2016-09-11 09:21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38" s="54" t="str">
        <f t="shared" si="6"/>
        <v>N</v>
      </c>
      <c r="X38" s="168">
        <f t="shared" si="7"/>
        <v>1</v>
      </c>
      <c r="Y38" s="69">
        <f t="shared" si="8"/>
        <v>23.295300000000001</v>
      </c>
      <c r="Z38" s="69">
        <f t="shared" si="9"/>
        <v>2.0899999999999998E-2</v>
      </c>
      <c r="AA38" s="69">
        <f t="shared" si="10"/>
        <v>23.2744</v>
      </c>
      <c r="AB38" s="66" t="e">
        <f>VLOOKUP(A38,Enforcements!$C$7:$K$21,8,0)</f>
        <v>#N/A</v>
      </c>
      <c r="AC38" s="62" t="e">
        <f>VLOOKUP(A38,Enforcements!$C$7:$E$21,3,0)</f>
        <v>#N/A</v>
      </c>
      <c r="AD38" s="63" t="str">
        <f t="shared" si="11"/>
        <v>0126-11</v>
      </c>
      <c r="AE38" s="99" t="str">
        <f t="shared" si="12"/>
        <v>aws s3 cp s3://rtdc.mdm.uploadarchive/RTDC4041/2016-09-11/ "%USERPROFILE%\AppData\Local\Temp\OnboardLogs"\RTDC4041\2016-09-11 --recursive &amp; "%USERPROFILE%\Documents\GitHub\mrs-test-scripts\Headless Mode &amp; Sideloading\WalkAndUnGZ.bat" "%USERPROFILE%\AppData\Local\Temp\OnboardLogs"\RTDC4041\2016-09-11 &amp; 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</v>
      </c>
      <c r="AF38" s="96" t="str">
        <f t="shared" si="13"/>
        <v>"C:\Program Files (x86)\AstroGrep\AstroGrep.exe" /spath="%USERPROFILE%\AppData\Local\Temp\OnboardLogs" /stypes="*4041*20160911*" /stext=" 14:.+((SYSTEM_STATE.+slice.+state.+changed )|(ment ac)|(system.+state.+changed )|(\|lc)|(penalty)|(\[timeout)|(PRM\|1\|D)|(kpr)|(kdp))" /e /r /s</v>
      </c>
      <c r="AG38" s="1" t="str">
        <f t="shared" si="14"/>
        <v>EC</v>
      </c>
      <c r="AH38" s="100" t="str">
        <f t="shared" si="17"/>
        <v>"%USERPROFILE%\Documents\GitHub\eaglep3\Utilities\RefineRTDCRunTimes.py" --tripid 126-11 --locoid 4041 --swversion DE.1.0.7.0 --startMP 204:232953 --initTime 2016-09-11T07:36:59 --startdatetime 2016-09-11T07:41:35 --delay 1 --endMP 204:209 --enddatetime 2016-09-11T08:21:02 --enforcementcount 1 &gt;&gt;C:\Users\stu\Documents\GitHub\eaglep3-reporting\EC\2016-09-11-refined-times.txt</v>
      </c>
      <c r="AI38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{"issue":{"subject":"","project_id":79,"tracker_id":40,"status_id":1,"priority_id":2,"assigned_to_id":23,"start_date":"2016-09-11","description":"","custom_fields":[{"id":1,"name":"Subdivision","value":"EC"},{"id":4,"name":"Milepost","value":"23.2744"},{"id":17,"name":"Train ID","value":"126-11"},{"id":16,"name":"Locomotive ID","value":"4041"},{"id":130,"name":"Impact","value":""},{"id":150,"name":"Time of Event (Mountain Time)","value":"08:21:02"},{"id":151,"name":"Denver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453</v>
      </c>
      <c r="B39" s="7">
        <v>4025</v>
      </c>
      <c r="C39" s="24" t="s">
        <v>108</v>
      </c>
      <c r="D39" s="24" t="s">
        <v>254</v>
      </c>
      <c r="E39" s="15">
        <v>42624.290254629632</v>
      </c>
      <c r="F39" s="15">
        <v>42624.292500000003</v>
      </c>
      <c r="G39" s="7">
        <v>2</v>
      </c>
      <c r="H39" s="15" t="s">
        <v>251</v>
      </c>
      <c r="I39" s="15">
        <v>42624.317986111113</v>
      </c>
      <c r="J39" s="7">
        <v>1</v>
      </c>
      <c r="K39" s="121" t="str">
        <f t="shared" si="0"/>
        <v>4025/4026</v>
      </c>
      <c r="L39" s="24" t="str">
        <f>VLOOKUP(A39,'Trips&amp;Operators'!$C$1:$E$10000,3,FALSE)</f>
        <v>KILLION</v>
      </c>
      <c r="M39" s="6">
        <f t="shared" si="1"/>
        <v>2.548611110978527E-2</v>
      </c>
      <c r="N39" s="7">
        <f t="shared" si="21"/>
        <v>36.699999998090789</v>
      </c>
      <c r="O39" s="7"/>
      <c r="P39" s="7"/>
      <c r="Q39" s="25"/>
      <c r="R39" s="25"/>
      <c r="S39" s="37">
        <f t="shared" si="3"/>
        <v>1</v>
      </c>
      <c r="T39" s="52" t="str">
        <f t="shared" si="4"/>
        <v>NorthBound</v>
      </c>
      <c r="U39" s="163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05:57:58-0600',mode:absolute,to:'2016-09-11 08:37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39" s="54" t="str">
        <f t="shared" si="6"/>
        <v>N</v>
      </c>
      <c r="X39" s="168">
        <f t="shared" si="7"/>
        <v>1</v>
      </c>
      <c r="Y39" s="69">
        <f t="shared" si="8"/>
        <v>4.5100000000000001E-2</v>
      </c>
      <c r="Z39" s="69">
        <f t="shared" si="9"/>
        <v>23.329699999999999</v>
      </c>
      <c r="AA39" s="69">
        <f t="shared" si="10"/>
        <v>23.284599999999998</v>
      </c>
      <c r="AB39" s="66" t="e">
        <f>VLOOKUP(A39,Enforcements!$C$7:$K$21,8,0)</f>
        <v>#N/A</v>
      </c>
      <c r="AC39" s="62" t="e">
        <f>VLOOKUP(A39,Enforcements!$C$7:$E$21,3,0)</f>
        <v>#N/A</v>
      </c>
      <c r="AD39" s="63" t="str">
        <f t="shared" si="11"/>
        <v>0127-11</v>
      </c>
      <c r="AE39" s="99" t="str">
        <f t="shared" si="12"/>
        <v>aws s3 cp s3://rtdc.mdm.uploadarchive/RTDC4025/2016-09-11/ "%USERPROFILE%\AppData\Local\Temp\OnboardLogs"\RTDC4025\2016-09-11 --recursive &amp; "%USERPROFILE%\Documents\GitHub\mrs-test-scripts\Headless Mode &amp; Sideloading\WalkAndUnGZ.bat" "%USERPROFILE%\AppData\Local\Temp\OnboardLogs"\RTDC4025\2016-09-11 &amp; 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</v>
      </c>
      <c r="AF39" s="96" t="str">
        <f t="shared" si="13"/>
        <v>"C:\Program Files (x86)\AstroGrep\AstroGrep.exe" /spath="%USERPROFILE%\AppData\Local\Temp\OnboardLogs" /stypes="*4025*20160911*" /stext=" 13:.+((SYSTEM_STATE.+slice.+state.+changed )|(ment ac)|(system.+state.+changed )|(\|lc)|(penalty)|(\[timeout)|(PRM\|1\|D)|(kpr)|(kdp))" /e /r /s</v>
      </c>
      <c r="AG39" s="1" t="str">
        <f t="shared" si="14"/>
        <v>EC</v>
      </c>
      <c r="AH39" s="100" t="str">
        <f t="shared" si="17"/>
        <v>"%USERPROFILE%\Documents\GitHub\eaglep3\Utilities\RefineRTDCRunTimes.py" --tripid 127-11 --locoid 4025 --swversion DE.1.0.7.0 --startMP 204:451 --initTime 2016-09-11T06:57:58 --startdatetime 2016-09-11T07:01:12 --delay 2 --endMP 204:233297 --enddatetime 2016-09-11T07:37:54 --enforcementcount 1 &gt;&gt;C:\Users\stu\Documents\GitHub\eaglep3-reporting\EC\2016-09-11-refined-times.txt</v>
      </c>
      <c r="AI39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{"issue":{"subject":"","project_id":79,"tracker_id":40,"status_id":1,"priority_id":2,"assigned_to_id":23,"start_date":"2016-09-11","description":"","custom_fields":[{"id":1,"name":"Subdivision","value":"EC"},{"id":4,"name":"Milepost","value":"23.2846"},{"id":17,"name":"Train ID","value":"127-11"},{"id":16,"name":"Locomotive ID","value":"4025"},{"id":130,"name":"Impact","value":""},{"id":150,"name":"Time of Event (Mountain Time)","value":"07:37:54"},{"id":151,"name":"Denver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ht="16.5" customHeight="1" x14ac:dyDescent="0.25">
      <c r="A40" s="39" t="s">
        <v>454</v>
      </c>
      <c r="B40" s="7">
        <v>4026</v>
      </c>
      <c r="C40" s="24" t="s">
        <v>108</v>
      </c>
      <c r="D40" s="24" t="s">
        <v>258</v>
      </c>
      <c r="E40" s="15">
        <v>42624.323599537034</v>
      </c>
      <c r="F40" s="15">
        <v>42624.33085648148</v>
      </c>
      <c r="G40" s="7">
        <v>1</v>
      </c>
      <c r="H40" s="15" t="s">
        <v>256</v>
      </c>
      <c r="I40" s="15">
        <v>42624.357071759259</v>
      </c>
      <c r="J40" s="7">
        <v>1</v>
      </c>
      <c r="K40" s="121" t="str">
        <f t="shared" si="0"/>
        <v>4025/4026</v>
      </c>
      <c r="L40" s="24" t="str">
        <f>VLOOKUP(A40,'Trips&amp;Operators'!$C$1:$E$10000,3,FALSE)</f>
        <v>KILLION</v>
      </c>
      <c r="M40" s="6">
        <f t="shared" si="1"/>
        <v>2.6215277779556345E-2</v>
      </c>
      <c r="N40" s="7">
        <f t="shared" si="21"/>
        <v>37.750000002561137</v>
      </c>
      <c r="O40" s="7"/>
      <c r="P40" s="7"/>
      <c r="Q40" s="25"/>
      <c r="R40" s="25"/>
      <c r="S40" s="37">
        <f t="shared" si="3"/>
        <v>1</v>
      </c>
      <c r="T40" s="52" t="str">
        <f t="shared" si="4"/>
        <v>Southbound</v>
      </c>
      <c r="U40" s="163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06:45:59-0600',mode:absolute,to:'2016-09-11 09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40" s="54" t="str">
        <f t="shared" si="6"/>
        <v>N</v>
      </c>
      <c r="X40" s="168">
        <f t="shared" si="7"/>
        <v>1</v>
      </c>
      <c r="Y40" s="69">
        <f t="shared" si="8"/>
        <v>23.297699999999999</v>
      </c>
      <c r="Z40" s="69">
        <f t="shared" si="9"/>
        <v>1.5599999999999999E-2</v>
      </c>
      <c r="AA40" s="69">
        <f t="shared" si="10"/>
        <v>23.2821</v>
      </c>
      <c r="AB40" s="66" t="e">
        <f>VLOOKUP(A40,Enforcements!$C$7:$K$21,8,0)</f>
        <v>#N/A</v>
      </c>
      <c r="AC40" s="62" t="e">
        <f>VLOOKUP(A40,Enforcements!$C$7:$E$21,3,0)</f>
        <v>#N/A</v>
      </c>
      <c r="AD40" s="63" t="str">
        <f t="shared" si="11"/>
        <v>0128-11</v>
      </c>
      <c r="AE40" s="99" t="str">
        <f t="shared" si="12"/>
        <v>aws s3 cp s3://rtdc.mdm.uploadarchive/RTDC4026/2016-09-11/ "%USERPROFILE%\AppData\Local\Temp\OnboardLogs"\RTDC4026\2016-09-11 --recursive &amp; "%USERPROFILE%\Documents\GitHub\mrs-test-scripts\Headless Mode &amp; Sideloading\WalkAndUnGZ.bat" "%USERPROFILE%\AppData\Local\Temp\OnboardLogs"\RTDC4026\2016-09-11 &amp; 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</v>
      </c>
      <c r="AF40" s="96" t="str">
        <f t="shared" si="13"/>
        <v>"C:\Program Files (x86)\AstroGrep\AstroGrep.exe" /spath="%USERPROFILE%\AppData\Local\Temp\OnboardLogs" /stypes="*4026*20160911*" /stext=" 14:.+((SYSTEM_STATE.+slice.+state.+changed )|(ment ac)|(system.+state.+changed )|(\|lc)|(penalty)|(\[timeout)|(PRM\|1\|D)|(kpr)|(kdp))" /e /r /s</v>
      </c>
      <c r="AG40" s="1" t="str">
        <f t="shared" si="14"/>
        <v>EC</v>
      </c>
      <c r="AH40" s="100" t="str">
        <f t="shared" si="17"/>
        <v>"%USERPROFILE%\Documents\GitHub\eaglep3\Utilities\RefineRTDCRunTimes.py" --tripid 128-11 --locoid 4026 --swversion DE.1.0.7.0 --startMP 204:232977 --initTime 2016-09-11T07:45:59 --startdatetime 2016-09-11T07:56:26 --delay 1 --endMP 204:156 --enddatetime 2016-09-11T08:34:11 --enforcementcount 1 &gt;&gt;C:\Users\stu\Documents\GitHub\eaglep3-reporting\EC\2016-09-11-refined-times.txt</v>
      </c>
      <c r="AI40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{"issue":{"subject":"","project_id":79,"tracker_id":40,"status_id":1,"priority_id":2,"assigned_to_id":23,"start_date":"2016-09-11","description":"","custom_fields":[{"id":1,"name":"Subdivision","value":"EC"},{"id":4,"name":"Milepost","value":"23.2821"},{"id":17,"name":"Train ID","value":"128-11"},{"id":16,"name":"Locomotive ID","value":"4026"},{"id":130,"name":"Impact","value":""},{"id":150,"name":"Time of Event (Mountain Time)","value":"08:34:11"},{"id":151,"name":"Denver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455</v>
      </c>
      <c r="B41" s="7">
        <v>4029</v>
      </c>
      <c r="C41" s="24" t="s">
        <v>108</v>
      </c>
      <c r="D41" s="24" t="s">
        <v>276</v>
      </c>
      <c r="E41" s="15">
        <v>42624.296898148146</v>
      </c>
      <c r="F41" s="15">
        <v>42624.302361111113</v>
      </c>
      <c r="G41" s="7">
        <v>1</v>
      </c>
      <c r="H41" s="15" t="s">
        <v>456</v>
      </c>
      <c r="I41" s="15">
        <v>42624.326539351852</v>
      </c>
      <c r="J41" s="7">
        <v>1</v>
      </c>
      <c r="K41" s="121" t="str">
        <f t="shared" si="0"/>
        <v>4029/4030</v>
      </c>
      <c r="L41" s="24" t="str">
        <f>VLOOKUP(A41,'Trips&amp;Operators'!$C$1:$E$10000,3,FALSE)</f>
        <v>YORK</v>
      </c>
      <c r="M41" s="6">
        <f t="shared" si="1"/>
        <v>2.417824073927477E-2</v>
      </c>
      <c r="N41" s="7">
        <f t="shared" si="21"/>
        <v>34.816666664555669</v>
      </c>
      <c r="O41" s="7"/>
      <c r="P41" s="7"/>
      <c r="Q41" s="25"/>
      <c r="R41" s="25"/>
      <c r="S41" s="37">
        <f t="shared" si="3"/>
        <v>1</v>
      </c>
      <c r="T41" s="52" t="str">
        <f t="shared" si="4"/>
        <v>NorthBound</v>
      </c>
      <c r="U41" s="163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06:07:32-0600',mode:absolute,to:'2016-09-11 08:50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41" s="54" t="str">
        <f t="shared" si="6"/>
        <v>N</v>
      </c>
      <c r="X41" s="168">
        <f t="shared" si="7"/>
        <v>1</v>
      </c>
      <c r="Y41" s="69">
        <f t="shared" si="8"/>
        <v>4.6399999999999997E-2</v>
      </c>
      <c r="Z41" s="69">
        <f t="shared" si="9"/>
        <v>23.327200000000001</v>
      </c>
      <c r="AA41" s="69">
        <f t="shared" si="10"/>
        <v>23.280800000000003</v>
      </c>
      <c r="AB41" s="66" t="e">
        <f>VLOOKUP(A41,Enforcements!$C$7:$K$21,8,0)</f>
        <v>#N/A</v>
      </c>
      <c r="AC41" s="62" t="e">
        <f>VLOOKUP(A41,Enforcements!$C$7:$E$21,3,0)</f>
        <v>#N/A</v>
      </c>
      <c r="AD41" s="63" t="str">
        <f t="shared" si="11"/>
        <v>0129-11</v>
      </c>
      <c r="AE41" s="99" t="str">
        <f t="shared" si="12"/>
        <v>aws s3 cp s3://rtdc.mdm.uploadarchive/RTDC4029/2016-09-11/ "%USERPROFILE%\AppData\Local\Temp\OnboardLogs"\RTDC4029\2016-09-11 --recursive &amp; "%USERPROFILE%\Documents\GitHub\mrs-test-scripts\Headless Mode &amp; Sideloading\WalkAndUnGZ.bat" "%USERPROFILE%\AppData\Local\Temp\OnboardLogs"\RTDC4029\2016-09-11 &amp; aws s3 cp s3://rtdc.mdm.uploadarchive/RTDC4029/2016-09-12/ "%USERPROFILE%\AppData\Local\Temp\OnboardLogs"\RTDC4029\2016-09-12 --recursive &amp; "%USERPROFILE%\Documents\GitHub\mrs-test-scripts\Headless Mode &amp; Sideloading\WalkAndUnGZ.bat" "%USERPROFILE%\AppData\Local\Temp\OnboardLogs"\RTDC4029\2016-09-12</v>
      </c>
      <c r="AF41" s="96" t="str">
        <f t="shared" si="13"/>
        <v>"C:\Program Files (x86)\AstroGrep\AstroGrep.exe" /spath="%USERPROFILE%\AppData\Local\Temp\OnboardLogs" /stypes="*4029*20160911*" /stext=" 13:.+((SYSTEM_STATE.+slice.+state.+changed )|(ment ac)|(system.+state.+changed )|(\|lc)|(penalty)|(\[timeout)|(PRM\|1\|D)|(kpr)|(kdp))" /e /r /s</v>
      </c>
      <c r="AG41" s="1" t="str">
        <f t="shared" si="14"/>
        <v>EC</v>
      </c>
      <c r="AH41" s="100" t="str">
        <f t="shared" si="17"/>
        <v>"%USERPROFILE%\Documents\GitHub\eaglep3\Utilities\RefineRTDCRunTimes.py" --tripid 129-11 --locoid 4029 --swversion DE.1.0.7.0 --startMP 204:464 --initTime 2016-09-11T07:07:32 --startdatetime 2016-09-11T07:15:24 --delay 1 --endMP 204:233272 --enddatetime 2016-09-11T07:50:13 --enforcementcount 1 &gt;&gt;C:\Users\stu\Documents\GitHub\eaglep3-reporting\EC\2016-09-11-refined-times.txt</v>
      </c>
      <c r="AI41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{"issue":{"subject":"","project_id":79,"tracker_id":40,"status_id":1,"priority_id":2,"assigned_to_id":23,"start_date":"2016-09-11","description":"","custom_fields":[{"id":1,"name":"Subdivision","value":"EC"},{"id":4,"name":"Milepost","value":"23.2808"},{"id":17,"name":"Train ID","value":"129-11"},{"id":16,"name":"Locomotive ID","value":"4029"},{"id":130,"name":"Impact","value":""},{"id":150,"name":"Time of Event (Mountain Time)","value":"07:50:13"},{"id":151,"name":"Denver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31" customFormat="1" x14ac:dyDescent="0.25">
      <c r="A42" s="39" t="s">
        <v>457</v>
      </c>
      <c r="B42" s="7">
        <v>4030</v>
      </c>
      <c r="C42" s="24" t="s">
        <v>108</v>
      </c>
      <c r="D42" s="24" t="s">
        <v>358</v>
      </c>
      <c r="E42" s="15">
        <v>42624.328182870369</v>
      </c>
      <c r="F42" s="15">
        <v>42624.341203703705</v>
      </c>
      <c r="G42" s="7">
        <v>1</v>
      </c>
      <c r="H42" s="15" t="s">
        <v>235</v>
      </c>
      <c r="I42" s="15">
        <v>42624.36681712963</v>
      </c>
      <c r="J42" s="7">
        <v>1</v>
      </c>
      <c r="K42" s="121" t="str">
        <f t="shared" si="0"/>
        <v>4029/4030</v>
      </c>
      <c r="L42" s="24" t="str">
        <f>VLOOKUP(A42,'Trips&amp;Operators'!$C$1:$E$10000,3,FALSE)</f>
        <v>YORK</v>
      </c>
      <c r="M42" s="6">
        <f t="shared" si="1"/>
        <v>2.5613425925257616E-2</v>
      </c>
      <c r="N42" s="7">
        <f t="shared" si="21"/>
        <v>36.883333332370967</v>
      </c>
      <c r="O42" s="7"/>
      <c r="P42" s="7"/>
      <c r="Q42" s="25"/>
      <c r="R42" s="25"/>
      <c r="S42" s="37">
        <f t="shared" si="3"/>
        <v>1</v>
      </c>
      <c r="T42" s="52" t="str">
        <f t="shared" si="4"/>
        <v>Southbound</v>
      </c>
      <c r="U42" s="163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06:52:35-0600',mode:absolute,to:'2016-09-11 09:48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42" s="54" t="str">
        <f t="shared" si="6"/>
        <v>N</v>
      </c>
      <c r="X42" s="168">
        <f t="shared" si="7"/>
        <v>1</v>
      </c>
      <c r="Y42" s="69">
        <f t="shared" si="8"/>
        <v>23.2957</v>
      </c>
      <c r="Z42" s="69">
        <f t="shared" si="9"/>
        <v>1.5800000000000002E-2</v>
      </c>
      <c r="AA42" s="69">
        <f t="shared" si="10"/>
        <v>23.279900000000001</v>
      </c>
      <c r="AB42" s="66" t="e">
        <f>VLOOKUP(A42,Enforcements!$C$7:$K$21,8,0)</f>
        <v>#N/A</v>
      </c>
      <c r="AC42" s="62" t="e">
        <f>VLOOKUP(A42,Enforcements!$C$7:$E$21,3,0)</f>
        <v>#N/A</v>
      </c>
      <c r="AD42" s="63" t="str">
        <f t="shared" si="11"/>
        <v>0130-11</v>
      </c>
      <c r="AE42" s="99" t="str">
        <f t="shared" si="12"/>
        <v>aws s3 cp s3://rtdc.mdm.uploadarchive/RTDC4030/2016-09-11/ "%USERPROFILE%\AppData\Local\Temp\OnboardLogs"\RTDC4030\2016-09-11 --recursive &amp; "%USERPROFILE%\Documents\GitHub\mrs-test-scripts\Headless Mode &amp; Sideloading\WalkAndUnGZ.bat" "%USERPROFILE%\AppData\Local\Temp\OnboardLogs"\RTDC4030\2016-09-11 &amp; aws s3 cp s3://rtdc.mdm.uploadarchive/RTDC4030/2016-09-12/ "%USERPROFILE%\AppData\Local\Temp\OnboardLogs"\RTDC4030\2016-09-12 --recursive &amp; "%USERPROFILE%\Documents\GitHub\mrs-test-scripts\Headless Mode &amp; Sideloading\WalkAndUnGZ.bat" "%USERPROFILE%\AppData\Local\Temp\OnboardLogs"\RTDC4030\2016-09-12</v>
      </c>
      <c r="AF42" s="96" t="str">
        <f t="shared" si="13"/>
        <v>"C:\Program Files (x86)\AstroGrep\AstroGrep.exe" /spath="%USERPROFILE%\AppData\Local\Temp\OnboardLogs" /stypes="*4030*20160911*" /stext=" 14:.+((SYSTEM_STATE.+slice.+state.+changed )|(ment ac)|(system.+state.+changed )|(\|lc)|(penalty)|(\[timeout)|(PRM\|1\|D)|(kpr)|(kdp))" /e /r /s</v>
      </c>
      <c r="AG42" s="1" t="str">
        <f t="shared" si="14"/>
        <v>EC</v>
      </c>
      <c r="AH42" s="100" t="str">
        <f t="shared" si="17"/>
        <v>"%USERPROFILE%\Documents\GitHub\eaglep3\Utilities\RefineRTDCRunTimes.py" --tripid 130-11 --locoid 4030 --swversion DE.1.0.7.0 --startMP 204:232957 --initTime 2016-09-11T07:52:35 --startdatetime 2016-09-11T08:11:20 --delay 1 --endMP 204:158 --enddatetime 2016-09-11T08:48:13 --enforcementcount 1 &gt;&gt;C:\Users\stu\Documents\GitHub\eaglep3-reporting\EC\2016-09-11-refined-times.txt</v>
      </c>
      <c r="AI42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{"issue":{"subject":"","project_id":79,"tracker_id":40,"status_id":1,"priority_id":2,"assigned_to_id":23,"start_date":"2016-09-11","description":"","custom_fields":[{"id":1,"name":"Subdivision","value":"EC"},{"id":4,"name":"Milepost","value":"23.2799"},{"id":17,"name":"Train ID","value":"130-11"},{"id":16,"name":"Locomotive ID","value":"4030"},{"id":130,"name":"Impact","value":""},{"id":150,"name":"Time of Event (Mountain Time)","value":"08:48:13"},{"id":151,"name":"Denver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458</v>
      </c>
      <c r="B43" s="7">
        <v>4020</v>
      </c>
      <c r="C43" s="24" t="s">
        <v>108</v>
      </c>
      <c r="D43" s="24" t="s">
        <v>274</v>
      </c>
      <c r="E43" s="15">
        <v>42624.307916666665</v>
      </c>
      <c r="F43" s="15">
        <v>42624.312719907408</v>
      </c>
      <c r="G43" s="7">
        <v>1</v>
      </c>
      <c r="H43" s="15" t="s">
        <v>459</v>
      </c>
      <c r="I43" s="15">
        <v>42624.33734953704</v>
      </c>
      <c r="J43" s="7">
        <v>1</v>
      </c>
      <c r="K43" s="121" t="str">
        <f t="shared" ref="K43:K73" si="24">IF(ISEVEN(B43),(B43-1)&amp;"/"&amp;B43,B43&amp;"/"&amp;(B43+1))</f>
        <v>4019/4020</v>
      </c>
      <c r="L43" s="24" t="str">
        <f>VLOOKUP(A43,'Trips&amp;Operators'!$C$1:$E$10000,3,FALSE)</f>
        <v>ACKERMAN</v>
      </c>
      <c r="M43" s="6">
        <f t="shared" ref="M43:M73" si="25">I43-F43</f>
        <v>2.4629629631817807E-2</v>
      </c>
      <c r="N43" s="7">
        <f t="shared" si="21"/>
        <v>35.466666669817641</v>
      </c>
      <c r="O43" s="7"/>
      <c r="P43" s="7"/>
      <c r="Q43" s="25"/>
      <c r="R43" s="25"/>
      <c r="S43" s="37">
        <f t="shared" ref="S43:S73" si="26">SUM(U43:U43)/IF(AG43="EC",12,1)</f>
        <v>1</v>
      </c>
      <c r="T43" s="52" t="str">
        <f t="shared" ref="T43:T73" si="27">IF(ISEVEN(LEFT(AD43,4)),"Southbound","NorthBound")</f>
        <v>NorthBound</v>
      </c>
      <c r="U43" s="163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 t="shared" ref="V43:V73" si="28">"https://search-rtdc-monitor-bjffxe2xuh6vdkpspy63sjmuny.us-east-1.es.amazonaws.com/_plugin/kibana/#/discover/Steve-Slow-Train-Analysis-(2080s-and-2083s)?_g=(refreshInterval:(display:Off,section:0,value:0),time:(from:'"&amp;TEXT(E43-1/24,"yyyy-MM-DD hh:mm:ss")&amp;"-0600',mode:absolute,to:'"&amp;TEXT(I43+1/24,"yyyy-MM-DD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43&amp;"%22')),sort:!(Time,asc))"</f>
        <v>https://search-rtdc-monitor-bjffxe2xuh6vdkpspy63sjmuny.us-east-1.es.amazonaws.com/_plugin/kibana/#/discover/Steve-Slow-Train-Analysis-(2080s-and-2083s)?_g=(refreshInterval:(display:Off,section:0,value:0),time:(from:'2016-09-11 06:23:24-0600',mode:absolute,to:'2016-09-11 09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43" s="54" t="str">
        <f t="shared" ref="W43:W73" si="29">IF(AA43&lt;IF(AG43="EC",23,5.65),"Y","N")</f>
        <v>N</v>
      </c>
      <c r="X43" s="168">
        <f t="shared" ref="X43:X72" si="30">VALUE(LEFT(AD43,4))-VALUE(LEFT(AD42,4))</f>
        <v>1</v>
      </c>
      <c r="Y43" s="69">
        <f t="shared" ref="Y43:Y73" si="31">RIGHT(D43,LEN(D43)-4)/10000</f>
        <v>4.58E-2</v>
      </c>
      <c r="Z43" s="69">
        <f t="shared" ref="Z43:Z73" si="32">RIGHT(H43,LEN(H43)-4)/10000</f>
        <v>23.33</v>
      </c>
      <c r="AA43" s="69">
        <f t="shared" ref="AA43:AA73" si="33">ABS(Z43-Y43)</f>
        <v>23.284199999999998</v>
      </c>
      <c r="AB43" s="66" t="e">
        <f>VLOOKUP(A43,Enforcements!$C$7:$K$21,8,0)</f>
        <v>#N/A</v>
      </c>
      <c r="AC43" s="62" t="e">
        <f>VLOOKUP(A43,Enforcements!$C$7:$E$21,3,0)</f>
        <v>#N/A</v>
      </c>
      <c r="AD43" s="63" t="str">
        <f t="shared" ref="AD43:AD73" si="34">IF(LEN(A43)=6,"0"&amp;A43,A43)</f>
        <v>0131-11</v>
      </c>
      <c r="AE43" s="99" t="str">
        <f t="shared" ref="AE43:AE73" si="35">"aws s3 cp "&amp;s3_bucket&amp;"/RTDC"&amp;B43&amp;"/"&amp;TEXT(F43,"YYYY-MM-DD")&amp;"/ "&amp;search_path&amp;"\RTDC"&amp;B43&amp;"\"&amp;TEXT(F43,"YYYY-MM-DD")&amp;" --recursive &amp; """&amp;walkandungz&amp;""" "&amp;search_path&amp;"\RTDC"&amp;B43&amp;"\"&amp;TEXT(F43,"YYYY-MM-DD")
&amp;" &amp; "&amp;"aws s3 cp "&amp;s3_bucket&amp;"/RTDC"&amp;B43&amp;"/"&amp;TEXT(F43+1,"YYYY-MM-DD")&amp;"/ "&amp;search_path&amp;"\RTDC"&amp;B43&amp;"\"&amp;TEXT(F43+1,"YYYY-MM-DD")&amp;" --recursive &amp; """&amp;walkandungz&amp;""" "&amp;search_path&amp;"\RTDC"&amp;B43&amp;"\"&amp;TEXT(F43+1,"YYYY-MM-DD")</f>
        <v>aws s3 cp s3://rtdc.mdm.uploadarchive/RTDC4020/2016-09-11/ "%USERPROFILE%\AppData\Local\Temp\OnboardLogs"\RTDC4020\2016-09-11 --recursive &amp; "%USERPROFILE%\Documents\GitHub\mrs-test-scripts\Headless Mode &amp; Sideloading\WalkAndUnGZ.bat" "%USERPROFILE%\AppData\Local\Temp\OnboardLogs"\RTDC4020\2016-09-11 &amp; 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</v>
      </c>
      <c r="AF43" s="96" t="str">
        <f t="shared" ref="AF43:AF73" si="36">astrogrep_path&amp;" /spath="&amp;search_path&amp;" /stypes=""*"&amp;B43&amp;"*"&amp;TEXT(I43-utc_offset/24,"YYYYMMDD")&amp;"*"" /stext="" "&amp;TEXT(I43-utc_offset/24,"HH")&amp;search_regexp&amp;""" /e /r /s"</f>
        <v>"C:\Program Files (x86)\AstroGrep\AstroGrep.exe" /spath="%USERPROFILE%\AppData\Local\Temp\OnboardLogs" /stypes="*4020*20160911*" /stext=" 14:.+((SYSTEM_STATE.+slice.+state.+changed )|(ment ac)|(system.+state.+changed )|(\|lc)|(penalty)|(\[timeout)|(PRM\|1\|D)|(kpr)|(kdp))" /e /r /s</v>
      </c>
      <c r="AG43" s="1" t="str">
        <f t="shared" ref="AG43:AG73" si="37">IFERROR(IF(VALUE(LEFT(AD43,2))&lt;=2,"EC",IF(OR(VALUE(LEFT(AD43,2))=8,VALUE(LEFT(AD43,2))=18),"NW","Other")),"Other")</f>
        <v>EC</v>
      </c>
      <c r="AH43" s="100" t="str">
        <f t="shared" si="17"/>
        <v>"%USERPROFILE%\Documents\GitHub\eaglep3\Utilities\RefineRTDCRunTimes.py" --tripid 131-11 --locoid 4020 --swversion DE.1.0.7.0 --startMP 204:458 --initTime 2016-09-11T07:23:24 --startdatetime 2016-09-11T07:30:19 --delay 1 --endMP 204:233300 --enddatetime 2016-09-11T08:05:47 --enforcementcount 1 &gt;&gt;C:\Users\stu\Documents\GitHub\eaglep3-reporting\EC\2016-09-11-refined-times.txt</v>
      </c>
      <c r="AI43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{"issue":{"subject":"","project_id":79,"tracker_id":40,"status_id":1,"priority_id":2,"assigned_to_id":23,"start_date":"2016-09-11","description":"","custom_fields":[{"id":1,"name":"Subdivision","value":"EC"},{"id":4,"name":"Milepost","value":"23.2842"},{"id":17,"name":"Train ID","value":"131-11"},{"id":16,"name":"Locomotive ID","value":"4020"},{"id":130,"name":"Impact","value":""},{"id":150,"name":"Time of Event (Mountain Time)","value":"08:05:47"},{"id":151,"name":"Denver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460</v>
      </c>
      <c r="B44" s="7">
        <v>4019</v>
      </c>
      <c r="C44" s="24" t="s">
        <v>108</v>
      </c>
      <c r="D44" s="24" t="s">
        <v>258</v>
      </c>
      <c r="E44" s="15">
        <v>42624.345300925925</v>
      </c>
      <c r="F44" s="15">
        <v>42624.351631944446</v>
      </c>
      <c r="G44" s="7">
        <v>2</v>
      </c>
      <c r="H44" s="15" t="s">
        <v>280</v>
      </c>
      <c r="I44" s="15">
        <v>42624.378391203703</v>
      </c>
      <c r="J44" s="7">
        <v>1</v>
      </c>
      <c r="K44" s="121" t="str">
        <f t="shared" si="24"/>
        <v>4019/4020</v>
      </c>
      <c r="L44" s="24" t="str">
        <f>VLOOKUP(A44,'Trips&amp;Operators'!$C$1:$E$10000,3,FALSE)</f>
        <v>ACKERMAN</v>
      </c>
      <c r="M44" s="6">
        <f t="shared" si="25"/>
        <v>2.675925925723277E-2</v>
      </c>
      <c r="N44" s="7">
        <f t="shared" si="21"/>
        <v>38.533333330415189</v>
      </c>
      <c r="O44" s="7"/>
      <c r="P44" s="7"/>
      <c r="Q44" s="25"/>
      <c r="R44" s="25"/>
      <c r="S44" s="37">
        <f t="shared" si="26"/>
        <v>1</v>
      </c>
      <c r="T44" s="52" t="str">
        <f t="shared" si="27"/>
        <v>Southbound</v>
      </c>
      <c r="U44" s="163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07:17:14-0600',mode:absolute,to:'2016-09-11 10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44" s="54" t="str">
        <f t="shared" si="29"/>
        <v>N</v>
      </c>
      <c r="X44" s="168">
        <f t="shared" si="30"/>
        <v>1</v>
      </c>
      <c r="Y44" s="69">
        <f t="shared" si="31"/>
        <v>23.297699999999999</v>
      </c>
      <c r="Z44" s="69">
        <f t="shared" si="32"/>
        <v>1.3599999999999999E-2</v>
      </c>
      <c r="AA44" s="69">
        <f t="shared" si="33"/>
        <v>23.284099999999999</v>
      </c>
      <c r="AB44" s="66" t="e">
        <f>VLOOKUP(A44,Enforcements!$C$7:$K$21,8,0)</f>
        <v>#N/A</v>
      </c>
      <c r="AC44" s="62" t="e">
        <f>VLOOKUP(A44,Enforcements!$C$7:$E$21,3,0)</f>
        <v>#N/A</v>
      </c>
      <c r="AD44" s="63" t="str">
        <f t="shared" si="34"/>
        <v>0132-11</v>
      </c>
      <c r="AE44" s="99" t="str">
        <f t="shared" si="35"/>
        <v>aws s3 cp s3://rtdc.mdm.uploadarchive/RTDC4019/2016-09-11/ "%USERPROFILE%\AppData\Local\Temp\OnboardLogs"\RTDC4019\2016-09-11 --recursive &amp; "%USERPROFILE%\Documents\GitHub\mrs-test-scripts\Headless Mode &amp; Sideloading\WalkAndUnGZ.bat" "%USERPROFILE%\AppData\Local\Temp\OnboardLogs"\RTDC4019\2016-09-11 &amp; 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</v>
      </c>
      <c r="AF44" s="96" t="str">
        <f t="shared" si="36"/>
        <v>"C:\Program Files (x86)\AstroGrep\AstroGrep.exe" /spath="%USERPROFILE%\AppData\Local\Temp\OnboardLogs" /stypes="*4019*20160911*" /stext=" 15:.+((SYSTEM_STATE.+slice.+state.+changed )|(ment ac)|(system.+state.+changed )|(\|lc)|(penalty)|(\[timeout)|(PRM\|1\|D)|(kpr)|(kdp))" /e /r /s</v>
      </c>
      <c r="AG44" s="1" t="str">
        <f t="shared" si="37"/>
        <v>EC</v>
      </c>
      <c r="AH44" s="100" t="str">
        <f t="shared" si="17"/>
        <v>"%USERPROFILE%\Documents\GitHub\eaglep3\Utilities\RefineRTDCRunTimes.py" --tripid 132-11 --locoid 4019 --swversion DE.1.0.7.0 --startMP 204:232977 --initTime 2016-09-11T08:17:14 --startdatetime 2016-09-11T08:26:21 --delay 2 --endMP 204:136 --enddatetime 2016-09-11T09:04:53 --enforcementcount 1 &gt;&gt;C:\Users\stu\Documents\GitHub\eaglep3-reporting\EC\2016-09-11-refined-times.txt</v>
      </c>
      <c r="AI44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{"issue":{"subject":"","project_id":79,"tracker_id":40,"status_id":1,"priority_id":2,"assigned_to_id":23,"start_date":"2016-09-11","description":"","custom_fields":[{"id":1,"name":"Subdivision","value":"EC"},{"id":4,"name":"Milepost","value":"23.2841"},{"id":17,"name":"Train ID","value":"132-11"},{"id":16,"name":"Locomotive ID","value":"4019"},{"id":130,"name":"Impact","value":""},{"id":150,"name":"Time of Event (Mountain Time)","value":"09:04:53"},{"id":151,"name":"Denver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461</v>
      </c>
      <c r="B45" s="7">
        <v>4027</v>
      </c>
      <c r="C45" s="24" t="s">
        <v>108</v>
      </c>
      <c r="D45" s="24" t="s">
        <v>462</v>
      </c>
      <c r="E45" s="15">
        <v>42624.317962962959</v>
      </c>
      <c r="F45" s="15">
        <v>42624.323310185187</v>
      </c>
      <c r="G45" s="7">
        <v>1</v>
      </c>
      <c r="H45" s="15" t="s">
        <v>429</v>
      </c>
      <c r="I45" s="15">
        <v>42624.348090277781</v>
      </c>
      <c r="J45" s="7">
        <v>1</v>
      </c>
      <c r="K45" s="121" t="str">
        <f t="shared" si="24"/>
        <v>4027/4028</v>
      </c>
      <c r="L45" s="24" t="str">
        <f>VLOOKUP(A45,'Trips&amp;Operators'!$C$1:$E$10000,3,FALSE)</f>
        <v>MAELZER</v>
      </c>
      <c r="M45" s="6">
        <f t="shared" si="25"/>
        <v>2.4780092593573499E-2</v>
      </c>
      <c r="N45" s="7">
        <f t="shared" si="21"/>
        <v>35.683333334745839</v>
      </c>
      <c r="O45" s="7"/>
      <c r="P45" s="7"/>
      <c r="Q45" s="25"/>
      <c r="R45" s="25"/>
      <c r="S45" s="37">
        <f t="shared" si="26"/>
        <v>1</v>
      </c>
      <c r="T45" s="52" t="str">
        <f t="shared" si="27"/>
        <v>NorthBound</v>
      </c>
      <c r="U45" s="163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06:37:52-0600',mode:absolute,to:'2016-09-11 09:21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45" s="54" t="str">
        <f t="shared" si="29"/>
        <v>N</v>
      </c>
      <c r="X45" s="168">
        <f t="shared" si="30"/>
        <v>1</v>
      </c>
      <c r="Y45" s="69">
        <f t="shared" si="31"/>
        <v>4.3999999999999997E-2</v>
      </c>
      <c r="Z45" s="69">
        <f t="shared" si="32"/>
        <v>23.328399999999998</v>
      </c>
      <c r="AA45" s="69">
        <f t="shared" si="33"/>
        <v>23.284399999999998</v>
      </c>
      <c r="AB45" s="66" t="e">
        <f>VLOOKUP(A45,Enforcements!$C$7:$K$21,8,0)</f>
        <v>#N/A</v>
      </c>
      <c r="AC45" s="62" t="e">
        <f>VLOOKUP(A45,Enforcements!$C$7:$E$21,3,0)</f>
        <v>#N/A</v>
      </c>
      <c r="AD45" s="63" t="str">
        <f t="shared" si="34"/>
        <v>0133-11</v>
      </c>
      <c r="AE45" s="99" t="str">
        <f t="shared" si="35"/>
        <v>aws s3 cp s3://rtdc.mdm.uploadarchive/RTDC4027/2016-09-11/ "%USERPROFILE%\AppData\Local\Temp\OnboardLogs"\RTDC4027\2016-09-11 --recursive &amp; "%USERPROFILE%\Documents\GitHub\mrs-test-scripts\Headless Mode &amp; Sideloading\WalkAndUnGZ.bat" "%USERPROFILE%\AppData\Local\Temp\OnboardLogs"\RTDC4027\2016-09-11 &amp; 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</v>
      </c>
      <c r="AF45" s="96" t="str">
        <f t="shared" si="36"/>
        <v>"C:\Program Files (x86)\AstroGrep\AstroGrep.exe" /spath="%USERPROFILE%\AppData\Local\Temp\OnboardLogs" /stypes="*4027*20160911*" /stext=" 14:.+((SYSTEM_STATE.+slice.+state.+changed )|(ment ac)|(system.+state.+changed )|(\|lc)|(penalty)|(\[timeout)|(PRM\|1\|D)|(kpr)|(kdp))" /e /r /s</v>
      </c>
      <c r="AG45" s="1" t="str">
        <f t="shared" si="37"/>
        <v>EC</v>
      </c>
      <c r="AH45" s="100" t="str">
        <f t="shared" si="17"/>
        <v>"%USERPROFILE%\Documents\GitHub\eaglep3\Utilities\RefineRTDCRunTimes.py" --tripid 133-11 --locoid 4027 --swversion DE.1.0.7.0 --startMP 204:440 --initTime 2016-09-11T07:37:52 --startdatetime 2016-09-11T07:45:34 --delay 1 --endMP 204:233284 --enddatetime 2016-09-11T08:21:15 --enforcementcount 1 &gt;&gt;C:\Users\stu\Documents\GitHub\eaglep3-reporting\EC\2016-09-11-refined-times.txt</v>
      </c>
      <c r="AI45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{"issue":{"subject":"","project_id":79,"tracker_id":40,"status_id":1,"priority_id":2,"assigned_to_id":23,"start_date":"2016-09-11","description":"","custom_fields":[{"id":1,"name":"Subdivision","value":"EC"},{"id":4,"name":"Milepost","value":"23.2844"},{"id":17,"name":"Train ID","value":"133-11"},{"id":16,"name":"Locomotive ID","value":"4027"},{"id":130,"name":"Impact","value":""},{"id":150,"name":"Time of Event (Mountain Time)","value":"08:21:15"},{"id":151,"name":"Denver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463</v>
      </c>
      <c r="B46" s="7">
        <v>4028</v>
      </c>
      <c r="C46" s="24" t="s">
        <v>108</v>
      </c>
      <c r="D46" s="24" t="s">
        <v>464</v>
      </c>
      <c r="E46" s="15">
        <v>42624.353206018517</v>
      </c>
      <c r="F46" s="15">
        <v>42624.362071759257</v>
      </c>
      <c r="G46" s="7">
        <v>1</v>
      </c>
      <c r="H46" s="15" t="s">
        <v>232</v>
      </c>
      <c r="I46" s="15">
        <v>42624.388819444444</v>
      </c>
      <c r="J46" s="7">
        <v>1</v>
      </c>
      <c r="K46" s="121" t="str">
        <f t="shared" si="24"/>
        <v>4027/4028</v>
      </c>
      <c r="L46" s="24" t="str">
        <f>VLOOKUP(A46,'Trips&amp;Operators'!$C$1:$E$10000,3,FALSE)</f>
        <v>MAELZER</v>
      </c>
      <c r="M46" s="6">
        <f t="shared" si="25"/>
        <v>2.6747685187729076E-2</v>
      </c>
      <c r="N46" s="7">
        <f t="shared" si="21"/>
        <v>38.516666670329869</v>
      </c>
      <c r="O46" s="7"/>
      <c r="P46" s="7"/>
      <c r="Q46" s="25"/>
      <c r="R46" s="25"/>
      <c r="S46" s="37">
        <f t="shared" si="26"/>
        <v>1</v>
      </c>
      <c r="T46" s="52" t="str">
        <f t="shared" si="27"/>
        <v>Southbound</v>
      </c>
      <c r="U46" s="163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07:28:37-0600',mode:absolute,to:'2016-09-11 10:19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46" s="54" t="str">
        <f t="shared" si="29"/>
        <v>N</v>
      </c>
      <c r="X46" s="168">
        <f t="shared" si="30"/>
        <v>1</v>
      </c>
      <c r="Y46" s="69">
        <f t="shared" si="31"/>
        <v>23.2973</v>
      </c>
      <c r="Z46" s="69">
        <f t="shared" si="32"/>
        <v>1.6299999999999999E-2</v>
      </c>
      <c r="AA46" s="69">
        <f t="shared" si="33"/>
        <v>23.280999999999999</v>
      </c>
      <c r="AB46" s="66" t="e">
        <f>VLOOKUP(A46,Enforcements!$C$7:$K$21,8,0)</f>
        <v>#N/A</v>
      </c>
      <c r="AC46" s="62" t="e">
        <f>VLOOKUP(A46,Enforcements!$C$7:$E$21,3,0)</f>
        <v>#N/A</v>
      </c>
      <c r="AD46" s="63" t="str">
        <f t="shared" si="34"/>
        <v>0134-11</v>
      </c>
      <c r="AE46" s="99" t="str">
        <f t="shared" si="35"/>
        <v>aws s3 cp s3://rtdc.mdm.uploadarchive/RTDC4028/2016-09-11/ "%USERPROFILE%\AppData\Local\Temp\OnboardLogs"\RTDC4028\2016-09-11 --recursive &amp; "%USERPROFILE%\Documents\GitHub\mrs-test-scripts\Headless Mode &amp; Sideloading\WalkAndUnGZ.bat" "%USERPROFILE%\AppData\Local\Temp\OnboardLogs"\RTDC4028\2016-09-11 &amp; 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</v>
      </c>
      <c r="AF46" s="96" t="str">
        <f t="shared" si="36"/>
        <v>"C:\Program Files (x86)\AstroGrep\AstroGrep.exe" /spath="%USERPROFILE%\AppData\Local\Temp\OnboardLogs" /stypes="*4028*20160911*" /stext=" 15:.+((SYSTEM_STATE.+slice.+state.+changed )|(ment ac)|(system.+state.+changed )|(\|lc)|(penalty)|(\[timeout)|(PRM\|1\|D)|(kpr)|(kdp))" /e /r /s</v>
      </c>
      <c r="AG46" s="1" t="str">
        <f t="shared" si="37"/>
        <v>EC</v>
      </c>
      <c r="AH46" s="100" t="str">
        <f t="shared" si="17"/>
        <v>"%USERPROFILE%\Documents\GitHub\eaglep3\Utilities\RefineRTDCRunTimes.py" --tripid 134-11 --locoid 4028 --swversion DE.1.0.7.0 --startMP 204:232973 --initTime 2016-09-11T08:28:37 --startdatetime 2016-09-11T08:41:23 --delay 1 --endMP 204:163 --enddatetime 2016-09-11T09:19:54 --enforcementcount 1 &gt;&gt;C:\Users\stu\Documents\GitHub\eaglep3-reporting\EC\2016-09-11-refined-times.txt</v>
      </c>
      <c r="AI46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{"issue":{"subject":"","project_id":79,"tracker_id":40,"status_id":1,"priority_id":2,"assigned_to_id":23,"start_date":"2016-09-11","description":"","custom_fields":[{"id":1,"name":"Subdivision","value":"EC"},{"id":4,"name":"Milepost","value":"23.281"},{"id":17,"name":"Train ID","value":"134-11"},{"id":16,"name":"Locomotive ID","value":"4028"},{"id":130,"name":"Impact","value":""},{"id":150,"name":"Time of Event (Mountain Time)","value":"09:19:54"},{"id":151,"name":"Denver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465</v>
      </c>
      <c r="B47" s="7">
        <v>4040</v>
      </c>
      <c r="C47" s="24" t="s">
        <v>108</v>
      </c>
      <c r="D47" s="24" t="s">
        <v>252</v>
      </c>
      <c r="E47" s="15">
        <v>42624.328136574077</v>
      </c>
      <c r="F47" s="15">
        <v>42624.333541666667</v>
      </c>
      <c r="G47" s="7">
        <v>1</v>
      </c>
      <c r="H47" s="15" t="s">
        <v>466</v>
      </c>
      <c r="I47" s="15">
        <v>42624.358564814815</v>
      </c>
      <c r="J47" s="7">
        <v>1</v>
      </c>
      <c r="K47" s="121" t="str">
        <f t="shared" si="24"/>
        <v>4039/4040</v>
      </c>
      <c r="L47" s="24" t="str">
        <f>VLOOKUP(A47,'Trips&amp;Operators'!$C$1:$E$10000,3,FALSE)</f>
        <v>DAVIS</v>
      </c>
      <c r="M47" s="6">
        <f t="shared" si="25"/>
        <v>2.5023148147738539E-2</v>
      </c>
      <c r="N47" s="7">
        <f t="shared" si="21"/>
        <v>36.033333332743496</v>
      </c>
      <c r="O47" s="7"/>
      <c r="P47" s="7"/>
      <c r="Q47" s="25"/>
      <c r="R47" s="25"/>
      <c r="S47" s="37">
        <f t="shared" si="26"/>
        <v>1</v>
      </c>
      <c r="T47" s="52" t="str">
        <f t="shared" si="27"/>
        <v>NorthBound</v>
      </c>
      <c r="U47" s="163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06:52:31-0600',mode:absolute,to:'2016-09-11 09:36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47" s="54" t="str">
        <f t="shared" si="29"/>
        <v>N</v>
      </c>
      <c r="X47" s="168">
        <f t="shared" si="30"/>
        <v>1</v>
      </c>
      <c r="Y47" s="69">
        <f t="shared" si="31"/>
        <v>4.6600000000000003E-2</v>
      </c>
      <c r="Z47" s="69">
        <f t="shared" si="32"/>
        <v>23.326599999999999</v>
      </c>
      <c r="AA47" s="69">
        <f t="shared" si="33"/>
        <v>23.279999999999998</v>
      </c>
      <c r="AB47" s="66" t="e">
        <f>VLOOKUP(A47,Enforcements!$C$7:$K$21,8,0)</f>
        <v>#N/A</v>
      </c>
      <c r="AC47" s="62" t="e">
        <f>VLOOKUP(A47,Enforcements!$C$7:$E$21,3,0)</f>
        <v>#N/A</v>
      </c>
      <c r="AD47" s="63" t="str">
        <f t="shared" si="34"/>
        <v>0135-11</v>
      </c>
      <c r="AE47" s="99" t="str">
        <f t="shared" si="35"/>
        <v>aws s3 cp s3://rtdc.mdm.uploadarchive/RTDC4040/2016-09-11/ "%USERPROFILE%\AppData\Local\Temp\OnboardLogs"\RTDC4040\2016-09-11 --recursive &amp; "%USERPROFILE%\Documents\GitHub\mrs-test-scripts\Headless Mode &amp; Sideloading\WalkAndUnGZ.bat" "%USERPROFILE%\AppData\Local\Temp\OnboardLogs"\RTDC4040\2016-09-11 &amp; aws s3 cp s3://rtdc.mdm.uploadarchive/RTDC4040/2016-09-12/ "%USERPROFILE%\AppData\Local\Temp\OnboardLogs"\RTDC4040\2016-09-12 --recursive &amp; "%USERPROFILE%\Documents\GitHub\mrs-test-scripts\Headless Mode &amp; Sideloading\WalkAndUnGZ.bat" "%USERPROFILE%\AppData\Local\Temp\OnboardLogs"\RTDC4040\2016-09-12</v>
      </c>
      <c r="AF47" s="96" t="str">
        <f t="shared" si="36"/>
        <v>"C:\Program Files (x86)\AstroGrep\AstroGrep.exe" /spath="%USERPROFILE%\AppData\Local\Temp\OnboardLogs" /stypes="*4040*20160911*" /stext=" 14:.+((SYSTEM_STATE.+slice.+state.+changed )|(ment ac)|(system.+state.+changed )|(\|lc)|(penalty)|(\[timeout)|(PRM\|1\|D)|(kpr)|(kdp))" /e /r /s</v>
      </c>
      <c r="AG47" s="1" t="str">
        <f t="shared" si="37"/>
        <v>EC</v>
      </c>
      <c r="AH47" s="100" t="str">
        <f t="shared" si="17"/>
        <v>"%USERPROFILE%\Documents\GitHub\eaglep3\Utilities\RefineRTDCRunTimes.py" --tripid 135-11 --locoid 4040 --swversion DE.1.0.7.0 --startMP 204:466 --initTime 2016-09-11T07:52:31 --startdatetime 2016-09-11T08:00:18 --delay 1 --endMP 204:233266 --enddatetime 2016-09-11T08:36:20 --enforcementcount 1 &gt;&gt;C:\Users\stu\Documents\GitHub\eaglep3-reporting\EC\2016-09-11-refined-times.txt</v>
      </c>
      <c r="AI47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{"issue":{"subject":"","project_id":79,"tracker_id":40,"status_id":1,"priority_id":2,"assigned_to_id":23,"start_date":"2016-09-11","description":"","custom_fields":[{"id":1,"name":"Subdivision","value":"EC"},{"id":4,"name":"Milepost","value":"23.28"},{"id":17,"name":"Train ID","value":"135-11"},{"id":16,"name":"Locomotive ID","value":"4040"},{"id":130,"name":"Impact","value":""},{"id":150,"name":"Time of Event (Mountain Time)","value":"08:36:20"},{"id":151,"name":"Denver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467</v>
      </c>
      <c r="B48" s="7">
        <v>4039</v>
      </c>
      <c r="C48" s="24" t="s">
        <v>108</v>
      </c>
      <c r="D48" s="24" t="s">
        <v>318</v>
      </c>
      <c r="E48" s="15">
        <v>42624.367581018516</v>
      </c>
      <c r="F48" s="15">
        <v>42624.372534722221</v>
      </c>
      <c r="G48" s="7">
        <v>1</v>
      </c>
      <c r="H48" s="15" t="s">
        <v>310</v>
      </c>
      <c r="I48" s="15">
        <v>42624.402696759258</v>
      </c>
      <c r="J48" s="7">
        <v>1</v>
      </c>
      <c r="K48" s="121" t="str">
        <f t="shared" si="24"/>
        <v>4039/4040</v>
      </c>
      <c r="L48" s="24" t="str">
        <f>VLOOKUP(A48,'Trips&amp;Operators'!$C$1:$E$10000,3,FALSE)</f>
        <v>DAVIS</v>
      </c>
      <c r="M48" s="6">
        <f t="shared" si="25"/>
        <v>3.0162037037371192E-2</v>
      </c>
      <c r="N48" s="7">
        <f t="shared" si="21"/>
        <v>43.433333333814517</v>
      </c>
      <c r="O48" s="7"/>
      <c r="P48" s="7"/>
      <c r="Q48" s="25"/>
      <c r="R48" s="25"/>
      <c r="S48" s="37">
        <f t="shared" si="26"/>
        <v>1</v>
      </c>
      <c r="T48" s="52" t="str">
        <f t="shared" si="27"/>
        <v>Southbound</v>
      </c>
      <c r="U48" s="163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07:49:19-0600',mode:absolute,to:'2016-09-11 10:39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48" s="54" t="str">
        <f t="shared" si="29"/>
        <v>N</v>
      </c>
      <c r="X48" s="168">
        <f t="shared" si="30"/>
        <v>1</v>
      </c>
      <c r="Y48" s="69">
        <f t="shared" si="31"/>
        <v>23.298500000000001</v>
      </c>
      <c r="Z48" s="69">
        <f t="shared" si="32"/>
        <v>1.6500000000000001E-2</v>
      </c>
      <c r="AA48" s="69">
        <f t="shared" si="33"/>
        <v>23.282</v>
      </c>
      <c r="AB48" s="66" t="e">
        <f>VLOOKUP(A48,Enforcements!$C$7:$K$21,8,0)</f>
        <v>#N/A</v>
      </c>
      <c r="AC48" s="62" t="e">
        <f>VLOOKUP(A48,Enforcements!$C$7:$E$21,3,0)</f>
        <v>#N/A</v>
      </c>
      <c r="AD48" s="63" t="str">
        <f t="shared" si="34"/>
        <v>0136-11</v>
      </c>
      <c r="AE48" s="99" t="str">
        <f t="shared" si="35"/>
        <v>aws s3 cp s3://rtdc.mdm.uploadarchive/RTDC4039/2016-09-11/ "%USERPROFILE%\AppData\Local\Temp\OnboardLogs"\RTDC4039\2016-09-11 --recursive &amp; "%USERPROFILE%\Documents\GitHub\mrs-test-scripts\Headless Mode &amp; Sideloading\WalkAndUnGZ.bat" "%USERPROFILE%\AppData\Local\Temp\OnboardLogs"\RTDC4039\2016-09-11 &amp; aws s3 cp s3://rtdc.mdm.uploadarchive/RTDC4039/2016-09-12/ "%USERPROFILE%\AppData\Local\Temp\OnboardLogs"\RTDC4039\2016-09-12 --recursive &amp; "%USERPROFILE%\Documents\GitHub\mrs-test-scripts\Headless Mode &amp; Sideloading\WalkAndUnGZ.bat" "%USERPROFILE%\AppData\Local\Temp\OnboardLogs"\RTDC4039\2016-09-12</v>
      </c>
      <c r="AF48" s="96" t="str">
        <f t="shared" si="36"/>
        <v>"C:\Program Files (x86)\AstroGrep\AstroGrep.exe" /spath="%USERPROFILE%\AppData\Local\Temp\OnboardLogs" /stypes="*4039*20160911*" /stext=" 15:.+((SYSTEM_STATE.+slice.+state.+changed )|(ment ac)|(system.+state.+changed )|(\|lc)|(penalty)|(\[timeout)|(PRM\|1\|D)|(kpr)|(kdp))" /e /r /s</v>
      </c>
      <c r="AG48" s="1" t="str">
        <f t="shared" si="37"/>
        <v>EC</v>
      </c>
      <c r="AH48" s="100" t="str">
        <f t="shared" si="17"/>
        <v>"%USERPROFILE%\Documents\GitHub\eaglep3\Utilities\RefineRTDCRunTimes.py" --tripid 136-11 --locoid 4039 --swversion DE.1.0.7.0 --startMP 204:232985 --initTime 2016-09-11T08:49:19 --startdatetime 2016-09-11T08:56:27 --delay 1 --endMP 204:165 --enddatetime 2016-09-11T09:39:53 --enforcementcount 1 &gt;&gt;C:\Users\stu\Documents\GitHub\eaglep3-reporting\EC\2016-09-11-refined-times.txt</v>
      </c>
      <c r="AI48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{"issue":{"subject":"","project_id":79,"tracker_id":40,"status_id":1,"priority_id":2,"assigned_to_id":23,"start_date":"2016-09-11","description":"","custom_fields":[{"id":1,"name":"Subdivision","value":"EC"},{"id":4,"name":"Milepost","value":"23.282"},{"id":17,"name":"Train ID","value":"136-11"},{"id":16,"name":"Locomotive ID","value":"4039"},{"id":130,"name":"Impact","value":""},{"id":150,"name":"Time of Event (Mountain Time)","value":"09:39:53"},{"id":151,"name":"Denver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468</v>
      </c>
      <c r="B49" s="7">
        <v>4009</v>
      </c>
      <c r="C49" s="24" t="s">
        <v>108</v>
      </c>
      <c r="D49" s="24" t="s">
        <v>276</v>
      </c>
      <c r="E49" s="15">
        <v>42624.343009259261</v>
      </c>
      <c r="F49" s="15">
        <v>42624.344074074077</v>
      </c>
      <c r="G49" s="7">
        <v>1</v>
      </c>
      <c r="H49" s="15" t="s">
        <v>469</v>
      </c>
      <c r="I49" s="15">
        <v>42624.36928240741</v>
      </c>
      <c r="J49" s="7">
        <v>1</v>
      </c>
      <c r="K49" s="121" t="str">
        <f t="shared" si="24"/>
        <v>4009/4010</v>
      </c>
      <c r="L49" s="24" t="str">
        <f>VLOOKUP(A49,'Trips&amp;Operators'!$C$1:$E$10000,3,FALSE)</f>
        <v>MALAVE</v>
      </c>
      <c r="M49" s="6">
        <f t="shared" si="25"/>
        <v>2.5208333332557231E-2</v>
      </c>
      <c r="N49" s="7">
        <f t="shared" si="21"/>
        <v>36.299999998882413</v>
      </c>
      <c r="O49" s="7"/>
      <c r="P49" s="7"/>
      <c r="Q49" s="25"/>
      <c r="R49" s="25"/>
      <c r="S49" s="37">
        <f t="shared" si="26"/>
        <v>1</v>
      </c>
      <c r="T49" s="52" t="str">
        <f t="shared" si="27"/>
        <v>NorthBound</v>
      </c>
      <c r="U49" s="163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07:13:56-0600',mode:absolute,to:'2016-09-11 09:51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49" s="54" t="str">
        <f t="shared" si="29"/>
        <v>N</v>
      </c>
      <c r="X49" s="168">
        <f t="shared" si="30"/>
        <v>1</v>
      </c>
      <c r="Y49" s="69">
        <f t="shared" si="31"/>
        <v>4.6399999999999997E-2</v>
      </c>
      <c r="Z49" s="69">
        <f t="shared" si="32"/>
        <v>23.3261</v>
      </c>
      <c r="AA49" s="69">
        <f t="shared" si="33"/>
        <v>23.279700000000002</v>
      </c>
      <c r="AB49" s="66" t="e">
        <f>VLOOKUP(A49,Enforcements!$C$7:$K$21,8,0)</f>
        <v>#N/A</v>
      </c>
      <c r="AC49" s="62" t="e">
        <f>VLOOKUP(A49,Enforcements!$C$7:$E$21,3,0)</f>
        <v>#N/A</v>
      </c>
      <c r="AD49" s="63" t="str">
        <f t="shared" si="34"/>
        <v>0137-11</v>
      </c>
      <c r="AE49" s="99" t="str">
        <f t="shared" si="35"/>
        <v>aws s3 cp s3://rtdc.mdm.uploadarchive/RTDC4009/2016-09-11/ "%USERPROFILE%\AppData\Local\Temp\OnboardLogs"\RTDC4009\2016-09-11 --recursive &amp; "%USERPROFILE%\Documents\GitHub\mrs-test-scripts\Headless Mode &amp; Sideloading\WalkAndUnGZ.bat" "%USERPROFILE%\AppData\Local\Temp\OnboardLogs"\RTDC4009\2016-09-11 &amp; 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</v>
      </c>
      <c r="AF49" s="96" t="str">
        <f t="shared" si="36"/>
        <v>"C:\Program Files (x86)\AstroGrep\AstroGrep.exe" /spath="%USERPROFILE%\AppData\Local\Temp\OnboardLogs" /stypes="*4009*20160911*" /stext=" 14:.+((SYSTEM_STATE.+slice.+state.+changed )|(ment ac)|(system.+state.+changed )|(\|lc)|(penalty)|(\[timeout)|(PRM\|1\|D)|(kpr)|(kdp))" /e /r /s</v>
      </c>
      <c r="AG49" s="1" t="str">
        <f t="shared" si="37"/>
        <v>EC</v>
      </c>
      <c r="AH49" s="100" t="str">
        <f t="shared" si="17"/>
        <v>"%USERPROFILE%\Documents\GitHub\eaglep3\Utilities\RefineRTDCRunTimes.py" --tripid 137-11 --locoid 4009 --swversion DE.1.0.7.0 --startMP 204:464 --initTime 2016-09-11T08:13:56 --startdatetime 2016-09-11T08:15:28 --delay 1 --endMP 204:233261 --enddatetime 2016-09-11T08:51:46 --enforcementcount 1 &gt;&gt;C:\Users\stu\Documents\GitHub\eaglep3-reporting\EC\2016-09-11-refined-times.txt</v>
      </c>
      <c r="AI49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{"issue":{"subject":"","project_id":79,"tracker_id":40,"status_id":1,"priority_id":2,"assigned_to_id":23,"start_date":"2016-09-11","description":"","custom_fields":[{"id":1,"name":"Subdivision","value":"EC"},{"id":4,"name":"Milepost","value":"23.2797"},{"id":17,"name":"Train ID","value":"137-11"},{"id":16,"name":"Locomotive ID","value":"4009"},{"id":130,"name":"Impact","value":""},{"id":150,"name":"Time of Event (Mountain Time)","value":"08:51:46"},{"id":151,"name":"Denver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391</v>
      </c>
      <c r="B50" s="7">
        <v>4010</v>
      </c>
      <c r="C50" s="24" t="s">
        <v>108</v>
      </c>
      <c r="D50" s="24" t="s">
        <v>358</v>
      </c>
      <c r="E50" s="15">
        <v>42624.381354166668</v>
      </c>
      <c r="F50" s="15">
        <v>42624.3828125</v>
      </c>
      <c r="G50" s="7">
        <v>1</v>
      </c>
      <c r="H50" s="15" t="s">
        <v>131</v>
      </c>
      <c r="I50" s="15">
        <v>42624.413564814815</v>
      </c>
      <c r="J50" s="7">
        <v>1</v>
      </c>
      <c r="K50" s="121" t="str">
        <f t="shared" si="24"/>
        <v>4009/4010</v>
      </c>
      <c r="L50" s="24" t="str">
        <f>VLOOKUP(A50,'Trips&amp;Operators'!$C$1:$E$10000,3,FALSE)</f>
        <v>MALAVE</v>
      </c>
      <c r="M50" s="6">
        <f t="shared" si="25"/>
        <v>3.0752314814890269E-2</v>
      </c>
      <c r="N50" s="7">
        <f t="shared" si="21"/>
        <v>44.283333333441988</v>
      </c>
      <c r="O50" s="7"/>
      <c r="P50" s="7"/>
      <c r="Q50" s="25"/>
      <c r="R50" s="25"/>
      <c r="S50" s="37">
        <f t="shared" si="26"/>
        <v>1</v>
      </c>
      <c r="T50" s="52" t="str">
        <f t="shared" si="27"/>
        <v>Southbound</v>
      </c>
      <c r="U50" s="163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08:09:09-0600',mode:absolute,to:'2016-09-11 10:55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50" s="54" t="str">
        <f t="shared" si="29"/>
        <v>N</v>
      </c>
      <c r="X50" s="168">
        <f t="shared" si="30"/>
        <v>1</v>
      </c>
      <c r="Y50" s="69">
        <f t="shared" si="31"/>
        <v>23.2957</v>
      </c>
      <c r="Z50" s="69">
        <f t="shared" si="32"/>
        <v>1.54E-2</v>
      </c>
      <c r="AA50" s="69">
        <f t="shared" si="33"/>
        <v>23.2803</v>
      </c>
      <c r="AB50" s="66" t="str">
        <f>VLOOKUP(A50,Enforcements!$C$7:$K$21,8,0)</f>
        <v>Signal based authority (5)</v>
      </c>
      <c r="AC50" s="62" t="str">
        <f>VLOOKUP(A50,Enforcements!$C$7:$E$21,3,0)</f>
        <v>SIGNAL</v>
      </c>
      <c r="AD50" s="63" t="str">
        <f t="shared" si="34"/>
        <v>0138-11</v>
      </c>
      <c r="AE50" s="99" t="str">
        <f t="shared" si="35"/>
        <v>aws s3 cp s3://rtdc.mdm.uploadarchive/RTDC4010/2016-09-11/ "%USERPROFILE%\AppData\Local\Temp\OnboardLogs"\RTDC4010\2016-09-11 --recursive &amp; "%USERPROFILE%\Documents\GitHub\mrs-test-scripts\Headless Mode &amp; Sideloading\WalkAndUnGZ.bat" "%USERPROFILE%\AppData\Local\Temp\OnboardLogs"\RTDC4010\2016-09-11 &amp; 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</v>
      </c>
      <c r="AF50" s="96" t="str">
        <f t="shared" si="36"/>
        <v>"C:\Program Files (x86)\AstroGrep\AstroGrep.exe" /spath="%USERPROFILE%\AppData\Local\Temp\OnboardLogs" /stypes="*4010*20160911*" /stext=" 15:.+((SYSTEM_STATE.+slice.+state.+changed )|(ment ac)|(system.+state.+changed )|(\|lc)|(penalty)|(\[timeout)|(PRM\|1\|D)|(kpr)|(kdp))" /e /r /s</v>
      </c>
      <c r="AG50" s="1" t="str">
        <f t="shared" si="37"/>
        <v>EC</v>
      </c>
      <c r="AH50" s="100" t="str">
        <f t="shared" si="17"/>
        <v>"%USERPROFILE%\Documents\GitHub\eaglep3\Utilities\RefineRTDCRunTimes.py" --tripid 138-11 --locoid 4010 --swversion DE.1.0.7.0 --startMP 204:232957 --initTime 2016-09-11T09:09:09 --startdatetime 2016-09-11T09:11:15 --delay 1 --endMP 204:154 --enddatetime 2016-09-11T09:55:32 --enforcementcount 1 &gt;&gt;C:\Users\stu\Documents\GitHub\eaglep3-reporting\EC\2016-09-11-refined-times.txt</v>
      </c>
      <c r="AI50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{"issue":{"subject":"","project_id":79,"tracker_id":40,"status_id":1,"priority_id":2,"assigned_to_id":23,"start_date":"2016-09-11","description":"","custom_fields":[{"id":1,"name":"Subdivision","value":"EC"},{"id":4,"name":"Milepost","value":"23.2803"},{"id":17,"name":"Train ID","value":"138-11"},{"id":16,"name":"Locomotive ID","value":"4010"},{"id":130,"name":"Impact","value":""},{"id":150,"name":"Time of Event (Mountain Time)","value":"09:55:32"},{"id":151,"name":"Denver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390</v>
      </c>
      <c r="B51" s="7">
        <v>4042</v>
      </c>
      <c r="C51" s="24" t="s">
        <v>108</v>
      </c>
      <c r="D51" s="24" t="s">
        <v>470</v>
      </c>
      <c r="E51" s="15">
        <v>42624.350092592591</v>
      </c>
      <c r="F51" s="15">
        <v>42624.354456018518</v>
      </c>
      <c r="G51" s="7">
        <v>1</v>
      </c>
      <c r="H51" s="15" t="s">
        <v>294</v>
      </c>
      <c r="I51" s="15">
        <v>42624.380219907405</v>
      </c>
      <c r="J51" s="7">
        <v>1</v>
      </c>
      <c r="K51" s="121" t="str">
        <f t="shared" si="24"/>
        <v>4041/4042</v>
      </c>
      <c r="L51" s="24" t="str">
        <f>VLOOKUP(A51,'Trips&amp;Operators'!$C$1:$E$10000,3,FALSE)</f>
        <v>STRICKLAND</v>
      </c>
      <c r="M51" s="6">
        <f t="shared" si="25"/>
        <v>2.5763888887013309E-2</v>
      </c>
      <c r="N51" s="7">
        <f t="shared" ref="N51:N72" si="38">24*60*SUM($M51:$M51)</f>
        <v>37.099999997299165</v>
      </c>
      <c r="O51" s="7"/>
      <c r="P51" s="7"/>
      <c r="Q51" s="25"/>
      <c r="R51" s="25"/>
      <c r="S51" s="37">
        <f t="shared" si="26"/>
        <v>1</v>
      </c>
      <c r="T51" s="52" t="str">
        <f t="shared" si="27"/>
        <v>NorthBound</v>
      </c>
      <c r="U51" s="163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07:24:08-0600',mode:absolute,to:'2016-09-11 10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51" s="54" t="str">
        <f t="shared" si="29"/>
        <v>N</v>
      </c>
      <c r="X51" s="168">
        <f t="shared" si="30"/>
        <v>1</v>
      </c>
      <c r="Y51" s="69">
        <f t="shared" si="31"/>
        <v>5.1700000000000003E-2</v>
      </c>
      <c r="Z51" s="69">
        <f t="shared" si="32"/>
        <v>23.329499999999999</v>
      </c>
      <c r="AA51" s="69">
        <f t="shared" si="33"/>
        <v>23.277799999999999</v>
      </c>
      <c r="AB51" s="66" t="e">
        <f>VLOOKUP(A51,Enforcements!$C$7:$K$21,8,0)</f>
        <v>#N/A</v>
      </c>
      <c r="AC51" s="62" t="e">
        <f>VLOOKUP(A51,Enforcements!$C$7:$E$21,3,0)</f>
        <v>#N/A</v>
      </c>
      <c r="AD51" s="63" t="str">
        <f t="shared" si="34"/>
        <v>0139-11</v>
      </c>
      <c r="AE51" s="99" t="str">
        <f t="shared" si="35"/>
        <v>aws s3 cp s3://rtdc.mdm.uploadarchive/RTDC4042/2016-09-11/ "%USERPROFILE%\AppData\Local\Temp\OnboardLogs"\RTDC4042\2016-09-11 --recursive &amp; "%USERPROFILE%\Documents\GitHub\mrs-test-scripts\Headless Mode &amp; Sideloading\WalkAndUnGZ.bat" "%USERPROFILE%\AppData\Local\Temp\OnboardLogs"\RTDC4042\2016-09-11 &amp; 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</v>
      </c>
      <c r="AF51" s="96" t="str">
        <f t="shared" si="36"/>
        <v>"C:\Program Files (x86)\AstroGrep\AstroGrep.exe" /spath="%USERPROFILE%\AppData\Local\Temp\OnboardLogs" /stypes="*4042*20160911*" /stext=" 15:.+((SYSTEM_STATE.+slice.+state.+changed )|(ment ac)|(system.+state.+changed )|(\|lc)|(penalty)|(\[timeout)|(PRM\|1\|D)|(kpr)|(kdp))" /e /r /s</v>
      </c>
      <c r="AG51" s="1" t="str">
        <f t="shared" si="37"/>
        <v>EC</v>
      </c>
      <c r="AH51" s="100" t="str">
        <f t="shared" si="17"/>
        <v>"%USERPROFILE%\Documents\GitHub\eaglep3\Utilities\RefineRTDCRunTimes.py" --tripid 139-11 --locoid 4042 --swversion DE.1.0.7.0 --startMP 204:517 --initTime 2016-09-11T08:24:08 --startdatetime 2016-09-11T08:30:25 --delay 1 --endMP 204:233295 --enddatetime 2016-09-11T09:07:31 --enforcementcount 1 &gt;&gt;C:\Users\stu\Documents\GitHub\eaglep3-reporting\EC\2016-09-11-refined-times.txt</v>
      </c>
      <c r="AI51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{"issue":{"subject":"","project_id":79,"tracker_id":40,"status_id":1,"priority_id":2,"assigned_to_id":23,"start_date":"2016-09-11","description":"","custom_fields":[{"id":1,"name":"Subdivision","value":"EC"},{"id":4,"name":"Milepost","value":"23.2778"},{"id":17,"name":"Train ID","value":"139-11"},{"id":16,"name":"Locomotive ID","value":"4042"},{"id":130,"name":"Impact","value":""},{"id":150,"name":"Time of Event (Mountain Time)","value":"09:07:31"},{"id":151,"name":"Denver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392</v>
      </c>
      <c r="B52" s="7">
        <v>4041</v>
      </c>
      <c r="C52" s="24" t="s">
        <v>108</v>
      </c>
      <c r="D52" s="24" t="s">
        <v>471</v>
      </c>
      <c r="E52" s="15">
        <v>42624.388032407405</v>
      </c>
      <c r="F52" s="15">
        <v>42624.398263888892</v>
      </c>
      <c r="G52" s="7">
        <v>2</v>
      </c>
      <c r="H52" s="15" t="s">
        <v>472</v>
      </c>
      <c r="I52" s="15">
        <v>42624.422974537039</v>
      </c>
      <c r="J52" s="7">
        <v>1</v>
      </c>
      <c r="K52" s="121" t="str">
        <f t="shared" si="24"/>
        <v>4041/4042</v>
      </c>
      <c r="L52" s="24" t="str">
        <f>VLOOKUP(A52,'Trips&amp;Operators'!$C$1:$E$10000,3,FALSE)</f>
        <v>STRICKLAND</v>
      </c>
      <c r="M52" s="6">
        <f t="shared" si="25"/>
        <v>2.47106481474475E-2</v>
      </c>
      <c r="N52" s="7">
        <f t="shared" si="38"/>
        <v>35.583333332324401</v>
      </c>
      <c r="O52" s="7"/>
      <c r="P52" s="7"/>
      <c r="Q52" s="25"/>
      <c r="R52" s="25"/>
      <c r="S52" s="37">
        <f t="shared" si="26"/>
        <v>1</v>
      </c>
      <c r="T52" s="52" t="str">
        <f t="shared" si="27"/>
        <v>Southbound</v>
      </c>
      <c r="U52" s="163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08:18:46-0600',mode:absolute,to:'2016-09-11 11:09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52" s="54" t="str">
        <f t="shared" si="29"/>
        <v>N</v>
      </c>
      <c r="X52" s="168">
        <f t="shared" si="30"/>
        <v>1</v>
      </c>
      <c r="Y52" s="69">
        <f t="shared" si="31"/>
        <v>23.296199999999999</v>
      </c>
      <c r="Z52" s="69">
        <v>1.38E-2</v>
      </c>
      <c r="AA52" s="69">
        <f t="shared" si="33"/>
        <v>23.282399999999999</v>
      </c>
      <c r="AB52" s="66" t="str">
        <f>VLOOKUP(A52,Enforcements!$C$7:$K$21,8,0)</f>
        <v>Bulletin (2)</v>
      </c>
      <c r="AC52" s="62" t="str">
        <f>VLOOKUP(A52,Enforcements!$C$7:$E$21,3,0)</f>
        <v>GRADE CROSSING</v>
      </c>
      <c r="AD52" s="63" t="str">
        <f t="shared" si="34"/>
        <v>0140-11</v>
      </c>
      <c r="AE52" s="99" t="str">
        <f t="shared" si="35"/>
        <v>aws s3 cp s3://rtdc.mdm.uploadarchive/RTDC4041/2016-09-11/ "%USERPROFILE%\AppData\Local\Temp\OnboardLogs"\RTDC4041\2016-09-11 --recursive &amp; "%USERPROFILE%\Documents\GitHub\mrs-test-scripts\Headless Mode &amp; Sideloading\WalkAndUnGZ.bat" "%USERPROFILE%\AppData\Local\Temp\OnboardLogs"\RTDC4041\2016-09-11 &amp; 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</v>
      </c>
      <c r="AF52" s="96" t="str">
        <f t="shared" si="36"/>
        <v>"C:\Program Files (x86)\AstroGrep\AstroGrep.exe" /spath="%USERPROFILE%\AppData\Local\Temp\OnboardLogs" /stypes="*4041*20160911*" /stext=" 16:.+((SYSTEM_STATE.+slice.+state.+changed )|(ment ac)|(system.+state.+changed )|(\|lc)|(penalty)|(\[timeout)|(PRM\|1\|D)|(kpr)|(kdp))" /e /r /s</v>
      </c>
      <c r="AG52" s="1" t="str">
        <f t="shared" si="37"/>
        <v>EC</v>
      </c>
      <c r="AH52" s="100" t="str">
        <f t="shared" si="17"/>
        <v>"%USERPROFILE%\Documents\GitHub\eaglep3\Utilities\RefineRTDCRunTimes.py" --tripid 140-11 --locoid 4041 --swversion DE.1.0.7.0 --startMP 204:232962 --initTime 2016-09-11T09:18:46 --startdatetime 2016-09-11T09:33:30 --delay 2 --endMP 204:193136 --enddatetime 2016-09-11T10:09:05 --enforcementcount 1 &gt;&gt;C:\Users\stu\Documents\GitHub\eaglep3-reporting\EC\2016-09-11-refined-times.txt</v>
      </c>
      <c r="AI52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{"issue":{"subject":"","project_id":79,"tracker_id":40,"status_id":1,"priority_id":2,"assigned_to_id":23,"start_date":"2016-09-11","description":"","custom_fields":[{"id":1,"name":"Subdivision","value":"EC"},{"id":4,"name":"Milepost","value":"23.2824"},{"id":17,"name":"Train ID","value":"140-11"},{"id":16,"name":"Locomotive ID","value":"4041"},{"id":130,"name":"Impact","value":""},{"id":150,"name":"Time of Event (Mountain Time)","value":"10:09:05"},{"id":151,"name":"Denver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473</v>
      </c>
      <c r="B53" s="7">
        <v>4025</v>
      </c>
      <c r="C53" s="24" t="s">
        <v>108</v>
      </c>
      <c r="D53" s="24" t="s">
        <v>233</v>
      </c>
      <c r="E53" s="15">
        <v>42624.361180555556</v>
      </c>
      <c r="F53" s="15">
        <v>42624.364768518521</v>
      </c>
      <c r="G53" s="7">
        <v>1</v>
      </c>
      <c r="H53" s="15" t="s">
        <v>242</v>
      </c>
      <c r="I53" s="15">
        <v>42624.389768518522</v>
      </c>
      <c r="J53" s="7">
        <v>1</v>
      </c>
      <c r="K53" s="121" t="str">
        <f t="shared" si="24"/>
        <v>4025/4026</v>
      </c>
      <c r="L53" s="24" t="str">
        <f>VLOOKUP(A53,'Trips&amp;Operators'!$C$1:$E$10000,3,FALSE)</f>
        <v>KILLION</v>
      </c>
      <c r="M53" s="6">
        <f t="shared" si="25"/>
        <v>2.5000000001455192E-2</v>
      </c>
      <c r="N53" s="7">
        <f t="shared" si="38"/>
        <v>36.000000002095476</v>
      </c>
      <c r="O53" s="7"/>
      <c r="P53" s="7"/>
      <c r="Q53" s="25"/>
      <c r="R53" s="25"/>
      <c r="S53" s="37">
        <f t="shared" si="26"/>
        <v>1</v>
      </c>
      <c r="T53" s="52" t="str">
        <f t="shared" si="27"/>
        <v>NorthBound</v>
      </c>
      <c r="U53" s="163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07:40:06-0600',mode:absolute,to:'2016-09-11 10:21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53" s="54" t="str">
        <f t="shared" si="29"/>
        <v>N</v>
      </c>
      <c r="X53" s="168">
        <f t="shared" si="30"/>
        <v>1</v>
      </c>
      <c r="Y53" s="69">
        <f t="shared" si="31"/>
        <v>4.7100000000000003E-2</v>
      </c>
      <c r="Z53" s="69">
        <f t="shared" si="32"/>
        <v>23.3291</v>
      </c>
      <c r="AA53" s="69">
        <f t="shared" si="33"/>
        <v>23.282</v>
      </c>
      <c r="AB53" s="66" t="e">
        <f>VLOOKUP(A53,Enforcements!$C$7:$K$21,8,0)</f>
        <v>#N/A</v>
      </c>
      <c r="AC53" s="62" t="e">
        <f>VLOOKUP(A53,Enforcements!$C$7:$E$21,3,0)</f>
        <v>#N/A</v>
      </c>
      <c r="AD53" s="63" t="str">
        <f t="shared" si="34"/>
        <v>0141-11</v>
      </c>
      <c r="AE53" s="99" t="str">
        <f t="shared" si="35"/>
        <v>aws s3 cp s3://rtdc.mdm.uploadarchive/RTDC4025/2016-09-11/ "%USERPROFILE%\AppData\Local\Temp\OnboardLogs"\RTDC4025\2016-09-11 --recursive &amp; "%USERPROFILE%\Documents\GitHub\mrs-test-scripts\Headless Mode &amp; Sideloading\WalkAndUnGZ.bat" "%USERPROFILE%\AppData\Local\Temp\OnboardLogs"\RTDC4025\2016-09-11 &amp; 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</v>
      </c>
      <c r="AF53" s="96" t="str">
        <f t="shared" si="36"/>
        <v>"C:\Program Files (x86)\AstroGrep\AstroGrep.exe" /spath="%USERPROFILE%\AppData\Local\Temp\OnboardLogs" /stypes="*4025*20160911*" /stext=" 15:.+((SYSTEM_STATE.+slice.+state.+changed )|(ment ac)|(system.+state.+changed )|(\|lc)|(penalty)|(\[timeout)|(PRM\|1\|D)|(kpr)|(kdp))" /e /r /s</v>
      </c>
      <c r="AG53" s="1" t="str">
        <f t="shared" si="37"/>
        <v>EC</v>
      </c>
      <c r="AH53" s="100" t="str">
        <f t="shared" si="17"/>
        <v>"%USERPROFILE%\Documents\GitHub\eaglep3\Utilities\RefineRTDCRunTimes.py" --tripid 141-11 --locoid 4025 --swversion DE.1.0.7.0 --startMP 204:471 --initTime 2016-09-11T08:40:06 --startdatetime 2016-09-11T08:45:16 --delay 1 --endMP 204:233291 --enddatetime 2016-09-11T09:21:16 --enforcementcount 1 &gt;&gt;C:\Users\stu\Documents\GitHub\eaglep3-reporting\EC\2016-09-11-refined-times.txt</v>
      </c>
      <c r="AI53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{"issue":{"subject":"","project_id":79,"tracker_id":40,"status_id":1,"priority_id":2,"assigned_to_id":23,"start_date":"2016-09-11","description":"","custom_fields":[{"id":1,"name":"Subdivision","value":"EC"},{"id":4,"name":"Milepost","value":"23.282"},{"id":17,"name":"Train ID","value":"141-11"},{"id":16,"name":"Locomotive ID","value":"4025"},{"id":130,"name":"Impact","value":""},{"id":150,"name":"Time of Event (Mountain Time)","value":"09:21:16"},{"id":151,"name":"Denver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393</v>
      </c>
      <c r="B54" s="7">
        <v>4026</v>
      </c>
      <c r="C54" s="24" t="s">
        <v>108</v>
      </c>
      <c r="D54" s="24" t="s">
        <v>309</v>
      </c>
      <c r="E54" s="15">
        <v>42624.395740740743</v>
      </c>
      <c r="F54" s="15">
        <v>42624.404120370367</v>
      </c>
      <c r="G54" s="7">
        <v>1</v>
      </c>
      <c r="H54" s="15" t="s">
        <v>244</v>
      </c>
      <c r="I54" s="15">
        <v>42624.432013888887</v>
      </c>
      <c r="J54" s="7">
        <v>1</v>
      </c>
      <c r="K54" s="121" t="str">
        <f t="shared" si="24"/>
        <v>4025/4026</v>
      </c>
      <c r="L54" s="24" t="str">
        <f>VLOOKUP(A54,'Trips&amp;Operators'!$C$1:$E$10000,3,FALSE)</f>
        <v>KILLION</v>
      </c>
      <c r="M54" s="6">
        <f t="shared" si="25"/>
        <v>2.789351851970423E-2</v>
      </c>
      <c r="N54" s="7">
        <f t="shared" si="38"/>
        <v>40.166666668374091</v>
      </c>
      <c r="O54" s="7"/>
      <c r="P54" s="7"/>
      <c r="Q54" s="25"/>
      <c r="R54" s="25"/>
      <c r="S54" s="37">
        <f t="shared" si="26"/>
        <v>1</v>
      </c>
      <c r="T54" s="52" t="str">
        <f t="shared" si="27"/>
        <v>Southbound</v>
      </c>
      <c r="U54" s="163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08:29:52-0600',mode:absolute,to:'2016-09-11 11:22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54" s="54" t="str">
        <f t="shared" si="29"/>
        <v>N</v>
      </c>
      <c r="X54" s="168">
        <f t="shared" si="30"/>
        <v>1</v>
      </c>
      <c r="Y54" s="69">
        <f t="shared" si="31"/>
        <v>23.296500000000002</v>
      </c>
      <c r="Z54" s="69">
        <f t="shared" si="32"/>
        <v>1.52E-2</v>
      </c>
      <c r="AA54" s="69">
        <f t="shared" si="33"/>
        <v>23.281300000000002</v>
      </c>
      <c r="AB54" s="66" t="str">
        <f>VLOOKUP(A54,Enforcements!$C$7:$K$21,8,0)</f>
        <v>Bulletin (2)</v>
      </c>
      <c r="AC54" s="62" t="str">
        <f>VLOOKUP(A54,Enforcements!$C$7:$E$21,3,0)</f>
        <v>GRADE CROSSING</v>
      </c>
      <c r="AD54" s="63" t="str">
        <f t="shared" si="34"/>
        <v>0142-11</v>
      </c>
      <c r="AE54" s="99" t="str">
        <f t="shared" si="35"/>
        <v>aws s3 cp s3://rtdc.mdm.uploadarchive/RTDC4026/2016-09-11/ "%USERPROFILE%\AppData\Local\Temp\OnboardLogs"\RTDC4026\2016-09-11 --recursive &amp; "%USERPROFILE%\Documents\GitHub\mrs-test-scripts\Headless Mode &amp; Sideloading\WalkAndUnGZ.bat" "%USERPROFILE%\AppData\Local\Temp\OnboardLogs"\RTDC4026\2016-09-11 &amp; 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</v>
      </c>
      <c r="AF54" s="96" t="str">
        <f t="shared" si="36"/>
        <v>"C:\Program Files (x86)\AstroGrep\AstroGrep.exe" /spath="%USERPROFILE%\AppData\Local\Temp\OnboardLogs" /stypes="*4026*20160911*" /stext=" 16:.+((SYSTEM_STATE.+slice.+state.+changed )|(ment ac)|(system.+state.+changed )|(\|lc)|(penalty)|(\[timeout)|(PRM\|1\|D)|(kpr)|(kdp))" /e /r /s</v>
      </c>
      <c r="AG54" s="1" t="str">
        <f t="shared" si="37"/>
        <v>EC</v>
      </c>
      <c r="AH54" s="100" t="str">
        <f t="shared" si="17"/>
        <v>"%USERPROFILE%\Documents\GitHub\eaglep3\Utilities\RefineRTDCRunTimes.py" --tripid 142-11 --locoid 4026 --swversion DE.1.0.7.0 --startMP 204:232965 --initTime 2016-09-11T09:29:52 --startdatetime 2016-09-11T09:41:56 --delay 1 --endMP 204:152 --enddatetime 2016-09-11T10:22:06 --enforcementcount 1 &gt;&gt;C:\Users\stu\Documents\GitHub\eaglep3-reporting\EC\2016-09-11-refined-times.txt</v>
      </c>
      <c r="AI54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{"issue":{"subject":"","project_id":79,"tracker_id":40,"status_id":1,"priority_id":2,"assigned_to_id":23,"start_date":"2016-09-11","description":"","custom_fields":[{"id":1,"name":"Subdivision","value":"EC"},{"id":4,"name":"Milepost","value":"23.2813"},{"id":17,"name":"Train ID","value":"142-11"},{"id":16,"name":"Locomotive ID","value":"4026"},{"id":130,"name":"Impact","value":""},{"id":150,"name":"Time of Event (Mountain Time)","value":"10:22:06"},{"id":151,"name":"Denver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474</v>
      </c>
      <c r="B55" s="7">
        <v>4029</v>
      </c>
      <c r="C55" s="24" t="s">
        <v>108</v>
      </c>
      <c r="D55" s="24" t="s">
        <v>249</v>
      </c>
      <c r="E55" s="15">
        <v>42624.368020833332</v>
      </c>
      <c r="F55" s="15">
        <v>42624.375439814816</v>
      </c>
      <c r="G55" s="7">
        <v>1</v>
      </c>
      <c r="H55" s="15" t="s">
        <v>475</v>
      </c>
      <c r="I55" s="15">
        <v>42624.400972222225</v>
      </c>
      <c r="J55" s="7">
        <v>1</v>
      </c>
      <c r="K55" s="121" t="str">
        <f t="shared" si="24"/>
        <v>4029/4030</v>
      </c>
      <c r="L55" s="24" t="str">
        <f>VLOOKUP(A55,'Trips&amp;Operators'!$C$1:$E$10000,3,FALSE)</f>
        <v>YORK</v>
      </c>
      <c r="M55" s="6">
        <f t="shared" si="25"/>
        <v>2.5532407409627922E-2</v>
      </c>
      <c r="N55" s="7">
        <f t="shared" si="38"/>
        <v>36.766666669864208</v>
      </c>
      <c r="O55" s="7"/>
      <c r="P55" s="7"/>
      <c r="Q55" s="25"/>
      <c r="R55" s="25"/>
      <c r="S55" s="37">
        <f t="shared" si="26"/>
        <v>1</v>
      </c>
      <c r="T55" s="52" t="str">
        <f t="shared" si="27"/>
        <v>NorthBound</v>
      </c>
      <c r="U55" s="163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07:49:57-0600',mode:absolute,to:'2016-09-11 10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55" s="54" t="str">
        <f t="shared" si="29"/>
        <v>N</v>
      </c>
      <c r="X55" s="168">
        <f t="shared" si="30"/>
        <v>1</v>
      </c>
      <c r="Y55" s="69">
        <f t="shared" si="31"/>
        <v>4.4699999999999997E-2</v>
      </c>
      <c r="Z55" s="69">
        <f t="shared" si="32"/>
        <v>23.329799999999999</v>
      </c>
      <c r="AA55" s="69">
        <f t="shared" si="33"/>
        <v>23.2851</v>
      </c>
      <c r="AB55" s="66" t="e">
        <f>VLOOKUP(A55,Enforcements!$C$7:$K$21,8,0)</f>
        <v>#N/A</v>
      </c>
      <c r="AC55" s="62" t="e">
        <f>VLOOKUP(A55,Enforcements!$C$7:$E$21,3,0)</f>
        <v>#N/A</v>
      </c>
      <c r="AD55" s="63" t="str">
        <f t="shared" si="34"/>
        <v>0143-11</v>
      </c>
      <c r="AE55" s="99" t="str">
        <f t="shared" si="35"/>
        <v>aws s3 cp s3://rtdc.mdm.uploadarchive/RTDC4029/2016-09-11/ "%USERPROFILE%\AppData\Local\Temp\OnboardLogs"\RTDC4029\2016-09-11 --recursive &amp; "%USERPROFILE%\Documents\GitHub\mrs-test-scripts\Headless Mode &amp; Sideloading\WalkAndUnGZ.bat" "%USERPROFILE%\AppData\Local\Temp\OnboardLogs"\RTDC4029\2016-09-11 &amp; aws s3 cp s3://rtdc.mdm.uploadarchive/RTDC4029/2016-09-12/ "%USERPROFILE%\AppData\Local\Temp\OnboardLogs"\RTDC4029\2016-09-12 --recursive &amp; "%USERPROFILE%\Documents\GitHub\mrs-test-scripts\Headless Mode &amp; Sideloading\WalkAndUnGZ.bat" "%USERPROFILE%\AppData\Local\Temp\OnboardLogs"\RTDC4029\2016-09-12</v>
      </c>
      <c r="AF55" s="96" t="str">
        <f t="shared" si="36"/>
        <v>"C:\Program Files (x86)\AstroGrep\AstroGrep.exe" /spath="%USERPROFILE%\AppData\Local\Temp\OnboardLogs" /stypes="*4029*20160911*" /stext=" 15:.+((SYSTEM_STATE.+slice.+state.+changed )|(ment ac)|(system.+state.+changed )|(\|lc)|(penalty)|(\[timeout)|(PRM\|1\|D)|(kpr)|(kdp))" /e /r /s</v>
      </c>
      <c r="AG55" s="1" t="str">
        <f t="shared" si="37"/>
        <v>EC</v>
      </c>
      <c r="AH55" s="100" t="str">
        <f t="shared" si="17"/>
        <v>"%USERPROFILE%\Documents\GitHub\eaglep3\Utilities\RefineRTDCRunTimes.py" --tripid 143-11 --locoid 4029 --swversion DE.1.0.7.0 --startMP 204:447 --initTime 2016-09-11T08:49:57 --startdatetime 2016-09-11T09:00:38 --delay 1 --endMP 204:233298 --enddatetime 2016-09-11T09:37:24 --enforcementcount 1 &gt;&gt;C:\Users\stu\Documents\GitHub\eaglep3-reporting\EC\2016-09-11-refined-times.txt</v>
      </c>
      <c r="AI55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{"issue":{"subject":"","project_id":79,"tracker_id":40,"status_id":1,"priority_id":2,"assigned_to_id":23,"start_date":"2016-09-11","description":"","custom_fields":[{"id":1,"name":"Subdivision","value":"EC"},{"id":4,"name":"Milepost","value":"23.2851"},{"id":17,"name":"Train ID","value":"143-11"},{"id":16,"name":"Locomotive ID","value":"4029"},{"id":130,"name":"Impact","value":""},{"id":150,"name":"Time of Event (Mountain Time)","value":"09:37:24"},{"id":151,"name":"Denver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476</v>
      </c>
      <c r="B56" s="7">
        <v>4030</v>
      </c>
      <c r="C56" s="24" t="s">
        <v>108</v>
      </c>
      <c r="D56" s="24" t="s">
        <v>345</v>
      </c>
      <c r="E56" s="15">
        <v>42624.402094907404</v>
      </c>
      <c r="F56" s="15">
        <v>42624.4140625</v>
      </c>
      <c r="G56" s="7">
        <v>0</v>
      </c>
      <c r="H56" s="15" t="s">
        <v>228</v>
      </c>
      <c r="I56" s="15">
        <v>42624.440451388888</v>
      </c>
      <c r="J56" s="7">
        <v>1</v>
      </c>
      <c r="K56" s="121" t="str">
        <f t="shared" si="24"/>
        <v>4029/4030</v>
      </c>
      <c r="L56" s="24" t="str">
        <f>VLOOKUP(A56,'Trips&amp;Operators'!$C$1:$E$10000,3,FALSE)</f>
        <v>YORK</v>
      </c>
      <c r="M56" s="6">
        <f t="shared" si="25"/>
        <v>2.6388888887595385E-2</v>
      </c>
      <c r="N56" s="7">
        <f t="shared" si="38"/>
        <v>37.999999998137355</v>
      </c>
      <c r="O56" s="7"/>
      <c r="P56" s="7"/>
      <c r="Q56" s="25"/>
      <c r="R56" s="25"/>
      <c r="S56" s="37">
        <f t="shared" si="26"/>
        <v>1</v>
      </c>
      <c r="T56" s="52" t="str">
        <f t="shared" si="27"/>
        <v>Southbound</v>
      </c>
      <c r="U56" s="163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08:39:01-0600',mode:absolute,to:'2016-09-11 11:34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56" s="54" t="str">
        <f t="shared" si="29"/>
        <v>N</v>
      </c>
      <c r="X56" s="168">
        <f t="shared" si="30"/>
        <v>1</v>
      </c>
      <c r="Y56" s="69">
        <f t="shared" si="31"/>
        <v>23.298300000000001</v>
      </c>
      <c r="Z56" s="69">
        <f t="shared" si="32"/>
        <v>1.49E-2</v>
      </c>
      <c r="AA56" s="69">
        <f t="shared" si="33"/>
        <v>23.2834</v>
      </c>
      <c r="AB56" s="66" t="e">
        <f>VLOOKUP(A56,Enforcements!$C$7:$K$21,8,0)</f>
        <v>#N/A</v>
      </c>
      <c r="AC56" s="62" t="e">
        <f>VLOOKUP(A56,Enforcements!$C$7:$E$21,3,0)</f>
        <v>#N/A</v>
      </c>
      <c r="AD56" s="63" t="str">
        <f t="shared" si="34"/>
        <v>0144-11</v>
      </c>
      <c r="AE56" s="99" t="str">
        <f t="shared" si="35"/>
        <v>aws s3 cp s3://rtdc.mdm.uploadarchive/RTDC4030/2016-09-11/ "%USERPROFILE%\AppData\Local\Temp\OnboardLogs"\RTDC4030\2016-09-11 --recursive &amp; "%USERPROFILE%\Documents\GitHub\mrs-test-scripts\Headless Mode &amp; Sideloading\WalkAndUnGZ.bat" "%USERPROFILE%\AppData\Local\Temp\OnboardLogs"\RTDC4030\2016-09-11 &amp; aws s3 cp s3://rtdc.mdm.uploadarchive/RTDC4030/2016-09-12/ "%USERPROFILE%\AppData\Local\Temp\OnboardLogs"\RTDC4030\2016-09-12 --recursive &amp; "%USERPROFILE%\Documents\GitHub\mrs-test-scripts\Headless Mode &amp; Sideloading\WalkAndUnGZ.bat" "%USERPROFILE%\AppData\Local\Temp\OnboardLogs"\RTDC4030\2016-09-12</v>
      </c>
      <c r="AF56" s="96" t="str">
        <f t="shared" si="36"/>
        <v>"C:\Program Files (x86)\AstroGrep\AstroGrep.exe" /spath="%USERPROFILE%\AppData\Local\Temp\OnboardLogs" /stypes="*4030*20160911*" /stext=" 16:.+((SYSTEM_STATE.+slice.+state.+changed )|(ment ac)|(system.+state.+changed )|(\|lc)|(penalty)|(\[timeout)|(PRM\|1\|D)|(kpr)|(kdp))" /e /r /s</v>
      </c>
      <c r="AG56" s="1" t="str">
        <f t="shared" si="37"/>
        <v>EC</v>
      </c>
      <c r="AH56" s="100" t="str">
        <f t="shared" si="17"/>
        <v>"%USERPROFILE%\Documents\GitHub\eaglep3\Utilities\RefineRTDCRunTimes.py" --tripid 144-11 --locoid 4030 --swversion DE.1.0.7.0 --startMP 204:232983 --initTime 2016-09-11T09:39:01 --startdatetime 2016-09-11T09:56:15 --delay 0 --endMP 204:149 --enddatetime 2016-09-11T10:34:15 --enforcementcount 1 &gt;&gt;C:\Users\stu\Documents\GitHub\eaglep3-reporting\EC\2016-09-11-refined-times.txt</v>
      </c>
      <c r="AI56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{"issue":{"subject":"","project_id":79,"tracker_id":40,"status_id":1,"priority_id":2,"assigned_to_id":23,"start_date":"2016-09-11","description":"","custom_fields":[{"id":1,"name":"Subdivision","value":"EC"},{"id":4,"name":"Milepost","value":"23.2834"},{"id":17,"name":"Train ID","value":"144-11"},{"id":16,"name":"Locomotive ID","value":"4030"},{"id":130,"name":"Impact","value":""},{"id":150,"name":"Time of Event (Mountain Time)","value":"10:34:15"},{"id":151,"name":"Denver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477</v>
      </c>
      <c r="B57" s="7">
        <v>4020</v>
      </c>
      <c r="C57" s="24" t="s">
        <v>108</v>
      </c>
      <c r="D57" s="24" t="s">
        <v>274</v>
      </c>
      <c r="E57" s="15">
        <v>42624.380150462966</v>
      </c>
      <c r="F57" s="15">
        <v>42624.385636574072</v>
      </c>
      <c r="G57" s="7">
        <v>1</v>
      </c>
      <c r="H57" s="15" t="s">
        <v>347</v>
      </c>
      <c r="I57" s="15">
        <v>42624.411423611113</v>
      </c>
      <c r="J57" s="7">
        <v>1</v>
      </c>
      <c r="K57" s="121" t="str">
        <f t="shared" si="24"/>
        <v>4019/4020</v>
      </c>
      <c r="L57" s="24" t="str">
        <f>VLOOKUP(A57,'Trips&amp;Operators'!$C$1:$E$10000,3,FALSE)</f>
        <v>ACKERMAN</v>
      </c>
      <c r="M57" s="6">
        <f t="shared" si="25"/>
        <v>2.5787037040572613E-2</v>
      </c>
      <c r="N57" s="7">
        <f t="shared" si="38"/>
        <v>37.133333338424563</v>
      </c>
      <c r="O57" s="7"/>
      <c r="P57" s="7"/>
      <c r="Q57" s="25"/>
      <c r="R57" s="25"/>
      <c r="S57" s="37">
        <f t="shared" si="26"/>
        <v>1</v>
      </c>
      <c r="T57" s="52" t="str">
        <f t="shared" si="27"/>
        <v>NorthBound</v>
      </c>
      <c r="U57" s="163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08:07:25-0600',mode:absolute,to:'2016-09-11 10:52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57" s="54" t="str">
        <f t="shared" si="29"/>
        <v>N</v>
      </c>
      <c r="X57" s="168">
        <f t="shared" si="30"/>
        <v>1</v>
      </c>
      <c r="Y57" s="69">
        <f t="shared" si="31"/>
        <v>4.58E-2</v>
      </c>
      <c r="Z57" s="69">
        <f t="shared" si="32"/>
        <v>23.327000000000002</v>
      </c>
      <c r="AA57" s="69">
        <f t="shared" si="33"/>
        <v>23.281200000000002</v>
      </c>
      <c r="AB57" s="66" t="e">
        <f>VLOOKUP(A57,Enforcements!$C$7:$K$21,8,0)</f>
        <v>#N/A</v>
      </c>
      <c r="AC57" s="62" t="e">
        <f>VLOOKUP(A57,Enforcements!$C$7:$E$21,3,0)</f>
        <v>#N/A</v>
      </c>
      <c r="AD57" s="63" t="str">
        <f t="shared" si="34"/>
        <v>0145-11</v>
      </c>
      <c r="AE57" s="99" t="str">
        <f t="shared" si="35"/>
        <v>aws s3 cp s3://rtdc.mdm.uploadarchive/RTDC4020/2016-09-11/ "%USERPROFILE%\AppData\Local\Temp\OnboardLogs"\RTDC4020\2016-09-11 --recursive &amp; "%USERPROFILE%\Documents\GitHub\mrs-test-scripts\Headless Mode &amp; Sideloading\WalkAndUnGZ.bat" "%USERPROFILE%\AppData\Local\Temp\OnboardLogs"\RTDC4020\2016-09-11 &amp; 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</v>
      </c>
      <c r="AF57" s="96" t="str">
        <f t="shared" si="36"/>
        <v>"C:\Program Files (x86)\AstroGrep\AstroGrep.exe" /spath="%USERPROFILE%\AppData\Local\Temp\OnboardLogs" /stypes="*4020*20160911*" /stext=" 15:.+((SYSTEM_STATE.+slice.+state.+changed )|(ment ac)|(system.+state.+changed )|(\|lc)|(penalty)|(\[timeout)|(PRM\|1\|D)|(kpr)|(kdp))" /e /r /s</v>
      </c>
      <c r="AG57" s="1" t="str">
        <f t="shared" si="37"/>
        <v>EC</v>
      </c>
      <c r="AH57" s="100" t="str">
        <f t="shared" si="17"/>
        <v>"%USERPROFILE%\Documents\GitHub\eaglep3\Utilities\RefineRTDCRunTimes.py" --tripid 145-11 --locoid 4020 --swversion DE.1.0.7.0 --startMP 204:458 --initTime 2016-09-11T09:07:25 --startdatetime 2016-09-11T09:15:19 --delay 1 --endMP 204:233270 --enddatetime 2016-09-11T09:52:27 --enforcementcount 1 &gt;&gt;C:\Users\stu\Documents\GitHub\eaglep3-reporting\EC\2016-09-11-refined-times.txt</v>
      </c>
      <c r="AI57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{"issue":{"subject":"","project_id":79,"tracker_id":40,"status_id":1,"priority_id":2,"assigned_to_id":23,"start_date":"2016-09-11","description":"","custom_fields":[{"id":1,"name":"Subdivision","value":"EC"},{"id":4,"name":"Milepost","value":"23.2812"},{"id":17,"name":"Train ID","value":"145-11"},{"id":16,"name":"Locomotive ID","value":"4020"},{"id":130,"name":"Impact","value":""},{"id":150,"name":"Time of Event (Mountain Time)","value":"09:52:27"},{"id":151,"name":"Denver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478</v>
      </c>
      <c r="B58" s="7">
        <v>4019</v>
      </c>
      <c r="C58" s="24" t="s">
        <v>108</v>
      </c>
      <c r="D58" s="24" t="s">
        <v>312</v>
      </c>
      <c r="E58" s="15">
        <v>42624.418379629627</v>
      </c>
      <c r="F58" s="15">
        <v>42624.424525462964</v>
      </c>
      <c r="G58" s="7">
        <v>1</v>
      </c>
      <c r="H58" s="15" t="s">
        <v>268</v>
      </c>
      <c r="I58" s="15">
        <v>42624.455405092594</v>
      </c>
      <c r="J58" s="7">
        <v>1</v>
      </c>
      <c r="K58" s="121" t="str">
        <f t="shared" si="24"/>
        <v>4019/4020</v>
      </c>
      <c r="L58" s="24" t="str">
        <f>VLOOKUP(A58,'Trips&amp;Operators'!$C$1:$E$10000,3,FALSE)</f>
        <v>ACKERMAN</v>
      </c>
      <c r="M58" s="6">
        <f t="shared" si="25"/>
        <v>3.0879629630362615E-2</v>
      </c>
      <c r="N58" s="7">
        <f t="shared" si="38"/>
        <v>44.466666667722166</v>
      </c>
      <c r="O58" s="7"/>
      <c r="P58" s="7"/>
      <c r="Q58" s="25"/>
      <c r="R58" s="25"/>
      <c r="S58" s="37">
        <f t="shared" si="26"/>
        <v>1</v>
      </c>
      <c r="T58" s="52" t="str">
        <f t="shared" si="27"/>
        <v>Southbound</v>
      </c>
      <c r="U58" s="163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09:02:28-0600',mode:absolute,to:'2016-09-11 11:55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58" s="54" t="str">
        <f t="shared" si="29"/>
        <v>N</v>
      </c>
      <c r="X58" s="168">
        <f t="shared" si="30"/>
        <v>1</v>
      </c>
      <c r="Y58" s="69">
        <f t="shared" si="31"/>
        <v>23.297799999999999</v>
      </c>
      <c r="Z58" s="69">
        <f t="shared" si="32"/>
        <v>1.3899999999999999E-2</v>
      </c>
      <c r="AA58" s="69">
        <f t="shared" si="33"/>
        <v>23.283899999999999</v>
      </c>
      <c r="AB58" s="66" t="e">
        <f>VLOOKUP(A58,Enforcements!$C$7:$K$21,8,0)</f>
        <v>#N/A</v>
      </c>
      <c r="AC58" s="62" t="e">
        <f>VLOOKUP(A58,Enforcements!$C$7:$E$21,3,0)</f>
        <v>#N/A</v>
      </c>
      <c r="AD58" s="63" t="str">
        <f t="shared" si="34"/>
        <v>0146-11</v>
      </c>
      <c r="AE58" s="99" t="str">
        <f t="shared" si="35"/>
        <v>aws s3 cp s3://rtdc.mdm.uploadarchive/RTDC4019/2016-09-11/ "%USERPROFILE%\AppData\Local\Temp\OnboardLogs"\RTDC4019\2016-09-11 --recursive &amp; "%USERPROFILE%\Documents\GitHub\mrs-test-scripts\Headless Mode &amp; Sideloading\WalkAndUnGZ.bat" "%USERPROFILE%\AppData\Local\Temp\OnboardLogs"\RTDC4019\2016-09-11 &amp; 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</v>
      </c>
      <c r="AF58" s="96" t="str">
        <f t="shared" si="36"/>
        <v>"C:\Program Files (x86)\AstroGrep\AstroGrep.exe" /spath="%USERPROFILE%\AppData\Local\Temp\OnboardLogs" /stypes="*4019*20160911*" /stext=" 16:.+((SYSTEM_STATE.+slice.+state.+changed )|(ment ac)|(system.+state.+changed )|(\|lc)|(penalty)|(\[timeout)|(PRM\|1\|D)|(kpr)|(kdp))" /e /r /s</v>
      </c>
      <c r="AG58" s="1" t="str">
        <f t="shared" si="37"/>
        <v>EC</v>
      </c>
      <c r="AH58" s="100" t="str">
        <f t="shared" si="17"/>
        <v>"%USERPROFILE%\Documents\GitHub\eaglep3\Utilities\RefineRTDCRunTimes.py" --tripid 146-11 --locoid 4019 --swversion DE.1.0.7.0 --startMP 204:232978 --initTime 2016-09-11T10:02:28 --startdatetime 2016-09-11T10:11:19 --delay 1 --endMP 204:139 --enddatetime 2016-09-11T10:55:47 --enforcementcount 1 &gt;&gt;C:\Users\stu\Documents\GitHub\eaglep3-reporting\EC\2016-09-11-refined-times.txt</v>
      </c>
      <c r="AI58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{"issue":{"subject":"","project_id":79,"tracker_id":40,"status_id":1,"priority_id":2,"assigned_to_id":23,"start_date":"2016-09-11","description":"","custom_fields":[{"id":1,"name":"Subdivision","value":"EC"},{"id":4,"name":"Milepost","value":"23.2839"},{"id":17,"name":"Train ID","value":"146-11"},{"id":16,"name":"Locomotive ID","value":"4019"},{"id":130,"name":"Impact","value":""},{"id":150,"name":"Time of Event (Mountain Time)","value":"10:55:47"},{"id":151,"name":"Denver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479</v>
      </c>
      <c r="B59" s="7">
        <v>4027</v>
      </c>
      <c r="C59" s="24" t="s">
        <v>108</v>
      </c>
      <c r="D59" s="24" t="s">
        <v>247</v>
      </c>
      <c r="E59" s="15">
        <v>42624.392361111109</v>
      </c>
      <c r="F59" s="15">
        <v>42624.396550925929</v>
      </c>
      <c r="G59" s="7">
        <v>1</v>
      </c>
      <c r="H59" s="15" t="s">
        <v>269</v>
      </c>
      <c r="I59" s="15">
        <v>42624.428310185183</v>
      </c>
      <c r="J59" s="7">
        <v>1</v>
      </c>
      <c r="K59" s="121" t="str">
        <f t="shared" si="24"/>
        <v>4027/4028</v>
      </c>
      <c r="L59" s="24" t="str">
        <f>VLOOKUP(A59,'Trips&amp;Operators'!$C$1:$E$10000,3,FALSE)</f>
        <v>MAELZER</v>
      </c>
      <c r="M59" s="6">
        <f t="shared" si="25"/>
        <v>3.1759259254613426E-2</v>
      </c>
      <c r="N59" s="7">
        <f t="shared" si="38"/>
        <v>45.733333326643333</v>
      </c>
      <c r="O59" s="7"/>
      <c r="P59" s="7"/>
      <c r="Q59" s="25"/>
      <c r="R59" s="25"/>
      <c r="S59" s="37">
        <f t="shared" si="26"/>
        <v>1</v>
      </c>
      <c r="T59" s="52" t="str">
        <f t="shared" si="27"/>
        <v>NorthBound</v>
      </c>
      <c r="U59" s="163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08:25:00-0600',mode:absolute,to:'2016-09-11 11:16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59" s="54" t="str">
        <f t="shared" si="29"/>
        <v>N</v>
      </c>
      <c r="X59" s="168">
        <f t="shared" si="30"/>
        <v>1</v>
      </c>
      <c r="Y59" s="69">
        <f t="shared" si="31"/>
        <v>4.5699999999999998E-2</v>
      </c>
      <c r="Z59" s="69">
        <f t="shared" si="32"/>
        <v>23.331</v>
      </c>
      <c r="AA59" s="69">
        <f t="shared" si="33"/>
        <v>23.285299999999999</v>
      </c>
      <c r="AB59" s="66" t="e">
        <f>VLOOKUP(A59,Enforcements!$C$7:$K$21,8,0)</f>
        <v>#N/A</v>
      </c>
      <c r="AC59" s="62" t="e">
        <f>VLOOKUP(A59,Enforcements!$C$7:$E$21,3,0)</f>
        <v>#N/A</v>
      </c>
      <c r="AD59" s="63" t="str">
        <f t="shared" si="34"/>
        <v>0147-11</v>
      </c>
      <c r="AE59" s="99" t="str">
        <f t="shared" si="35"/>
        <v>aws s3 cp s3://rtdc.mdm.uploadarchive/RTDC4027/2016-09-11/ "%USERPROFILE%\AppData\Local\Temp\OnboardLogs"\RTDC4027\2016-09-11 --recursive &amp; "%USERPROFILE%\Documents\GitHub\mrs-test-scripts\Headless Mode &amp; Sideloading\WalkAndUnGZ.bat" "%USERPROFILE%\AppData\Local\Temp\OnboardLogs"\RTDC4027\2016-09-11 &amp; 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</v>
      </c>
      <c r="AF59" s="96" t="str">
        <f t="shared" si="36"/>
        <v>"C:\Program Files (x86)\AstroGrep\AstroGrep.exe" /spath="%USERPROFILE%\AppData\Local\Temp\OnboardLogs" /stypes="*4027*20160911*" /stext=" 16:.+((SYSTEM_STATE.+slice.+state.+changed )|(ment ac)|(system.+state.+changed )|(\|lc)|(penalty)|(\[timeout)|(PRM\|1\|D)|(kpr)|(kdp))" /e /r /s</v>
      </c>
      <c r="AG59" s="1" t="str">
        <f t="shared" si="37"/>
        <v>EC</v>
      </c>
      <c r="AH59" s="100" t="str">
        <f t="shared" si="17"/>
        <v>"%USERPROFILE%\Documents\GitHub\eaglep3\Utilities\RefineRTDCRunTimes.py" --tripid 147-11 --locoid 4027 --swversion DE.1.0.7.0 --startMP 204:457 --initTime 2016-09-11T09:25:00 --startdatetime 2016-09-11T09:31:02 --delay 1 --endMP 204:233310 --enddatetime 2016-09-11T10:16:46 --enforcementcount 1 &gt;&gt;C:\Users\stu\Documents\GitHub\eaglep3-reporting\EC\2016-09-11-refined-times.txt</v>
      </c>
      <c r="AI59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{"issue":{"subject":"","project_id":79,"tracker_id":40,"status_id":1,"priority_id":2,"assigned_to_id":23,"start_date":"2016-09-11","description":"","custom_fields":[{"id":1,"name":"Subdivision","value":"EC"},{"id":4,"name":"Milepost","value":"23.2853"},{"id":17,"name":"Train ID","value":"147-11"},{"id":16,"name":"Locomotive ID","value":"4027"},{"id":130,"name":"Impact","value":""},{"id":150,"name":"Time of Event (Mountain Time)","value":"10:16:46"},{"id":151,"name":"Denver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480</v>
      </c>
      <c r="B60" s="7">
        <v>4028</v>
      </c>
      <c r="C60" s="24" t="s">
        <v>108</v>
      </c>
      <c r="D60" s="24" t="s">
        <v>346</v>
      </c>
      <c r="E60" s="15">
        <v>42624.430092592593</v>
      </c>
      <c r="F60" s="15">
        <v>42624.435069444444</v>
      </c>
      <c r="G60" s="7">
        <v>0</v>
      </c>
      <c r="H60" s="15" t="s">
        <v>230</v>
      </c>
      <c r="I60" s="15">
        <v>42624.462650462963</v>
      </c>
      <c r="J60" s="7">
        <v>1</v>
      </c>
      <c r="K60" s="121" t="str">
        <f t="shared" si="24"/>
        <v>4027/4028</v>
      </c>
      <c r="L60" s="24" t="str">
        <f>VLOOKUP(A60,'Trips&amp;Operators'!$C$1:$E$10000,3,FALSE)</f>
        <v>MAELZER</v>
      </c>
      <c r="M60" s="6">
        <f t="shared" si="25"/>
        <v>2.7581018519413192E-2</v>
      </c>
      <c r="N60" s="7">
        <f t="shared" si="38"/>
        <v>39.716666667954996</v>
      </c>
      <c r="O60" s="7"/>
      <c r="P60" s="7"/>
      <c r="Q60" s="25"/>
      <c r="R60" s="25"/>
      <c r="S60" s="37">
        <f t="shared" si="26"/>
        <v>1</v>
      </c>
      <c r="T60" s="52" t="str">
        <f t="shared" si="27"/>
        <v>Southbound</v>
      </c>
      <c r="U60" s="163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09:19:20-0600',mode:absolute,to:'2016-09-11 12:06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60" s="54" t="str">
        <f t="shared" si="29"/>
        <v>N</v>
      </c>
      <c r="X60" s="168">
        <f t="shared" si="30"/>
        <v>1</v>
      </c>
      <c r="Y60" s="69">
        <f t="shared" si="31"/>
        <v>23.3002</v>
      </c>
      <c r="Z60" s="69">
        <f t="shared" si="32"/>
        <v>1.6E-2</v>
      </c>
      <c r="AA60" s="69">
        <f t="shared" si="33"/>
        <v>23.284200000000002</v>
      </c>
      <c r="AB60" s="66" t="e">
        <f>VLOOKUP(A60,Enforcements!$C$7:$K$21,8,0)</f>
        <v>#N/A</v>
      </c>
      <c r="AC60" s="62" t="e">
        <f>VLOOKUP(A60,Enforcements!$C$7:$E$21,3,0)</f>
        <v>#N/A</v>
      </c>
      <c r="AD60" s="63" t="str">
        <f t="shared" si="34"/>
        <v>0148-11</v>
      </c>
      <c r="AE60" s="99" t="str">
        <f t="shared" si="35"/>
        <v>aws s3 cp s3://rtdc.mdm.uploadarchive/RTDC4028/2016-09-11/ "%USERPROFILE%\AppData\Local\Temp\OnboardLogs"\RTDC4028\2016-09-11 --recursive &amp; "%USERPROFILE%\Documents\GitHub\mrs-test-scripts\Headless Mode &amp; Sideloading\WalkAndUnGZ.bat" "%USERPROFILE%\AppData\Local\Temp\OnboardLogs"\RTDC4028\2016-09-11 &amp; 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</v>
      </c>
      <c r="AF60" s="96" t="str">
        <f t="shared" si="36"/>
        <v>"C:\Program Files (x86)\AstroGrep\AstroGrep.exe" /spath="%USERPROFILE%\AppData\Local\Temp\OnboardLogs" /stypes="*4028*20160911*" /stext=" 17:.+((SYSTEM_STATE.+slice.+state.+changed )|(ment ac)|(system.+state.+changed )|(\|lc)|(penalty)|(\[timeout)|(PRM\|1\|D)|(kpr)|(kdp))" /e /r /s</v>
      </c>
      <c r="AG60" s="1" t="str">
        <f t="shared" si="37"/>
        <v>EC</v>
      </c>
      <c r="AH60" s="100" t="str">
        <f t="shared" si="17"/>
        <v>"%USERPROFILE%\Documents\GitHub\eaglep3\Utilities\RefineRTDCRunTimes.py" --tripid 148-11 --locoid 4028 --swversion DE.1.0.7.0 --startMP 204:233002 --initTime 2016-09-11T10:19:20 --startdatetime 2016-09-11T10:26:30 --delay 0 --endMP 204:160 --enddatetime 2016-09-11T11:06:13 --enforcementcount 1 &gt;&gt;C:\Users\stu\Documents\GitHub\eaglep3-reporting\EC\2016-09-11-refined-times.txt</v>
      </c>
      <c r="AI60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{"issue":{"subject":"","project_id":79,"tracker_id":40,"status_id":1,"priority_id":2,"assigned_to_id":23,"start_date":"2016-09-11","description":"","custom_fields":[{"id":1,"name":"Subdivision","value":"EC"},{"id":4,"name":"Milepost","value":"23.2842"},{"id":17,"name":"Train ID","value":"148-11"},{"id":16,"name":"Locomotive ID","value":"4028"},{"id":130,"name":"Impact","value":""},{"id":150,"name":"Time of Event (Mountain Time)","value":"11:06:13"},{"id":151,"name":"Denver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481</v>
      </c>
      <c r="B61" s="7">
        <v>4040</v>
      </c>
      <c r="C61" s="24" t="s">
        <v>108</v>
      </c>
      <c r="D61" s="24" t="s">
        <v>239</v>
      </c>
      <c r="E61" s="15">
        <v>42624.404027777775</v>
      </c>
      <c r="F61" s="15">
        <v>42624.4065162037</v>
      </c>
      <c r="G61" s="7">
        <v>1</v>
      </c>
      <c r="H61" s="15" t="s">
        <v>251</v>
      </c>
      <c r="I61" s="15">
        <v>42624.432719907411</v>
      </c>
      <c r="J61" s="7">
        <v>1</v>
      </c>
      <c r="K61" s="121" t="str">
        <f t="shared" si="24"/>
        <v>4039/4040</v>
      </c>
      <c r="L61" s="24" t="str">
        <f>VLOOKUP(A61,'Trips&amp;Operators'!$C$1:$E$10000,3,FALSE)</f>
        <v>DAVIS</v>
      </c>
      <c r="M61" s="6">
        <f t="shared" si="25"/>
        <v>2.620370371005265E-2</v>
      </c>
      <c r="N61" s="7">
        <f t="shared" si="38"/>
        <v>37.733333342475817</v>
      </c>
      <c r="O61" s="7"/>
      <c r="P61" s="7"/>
      <c r="Q61" s="25"/>
      <c r="R61" s="25"/>
      <c r="S61" s="37">
        <f t="shared" si="26"/>
        <v>1</v>
      </c>
      <c r="T61" s="52" t="str">
        <f t="shared" si="27"/>
        <v>NorthBound</v>
      </c>
      <c r="U61" s="163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08:41:48-0600',mode:absolute,to:'2016-09-11 11:23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61" s="54" t="str">
        <f t="shared" si="29"/>
        <v>N</v>
      </c>
      <c r="X61" s="168">
        <f t="shared" si="30"/>
        <v>1</v>
      </c>
      <c r="Y61" s="69">
        <f t="shared" si="31"/>
        <v>4.53E-2</v>
      </c>
      <c r="Z61" s="69">
        <f t="shared" si="32"/>
        <v>23.329699999999999</v>
      </c>
      <c r="AA61" s="69">
        <f t="shared" si="33"/>
        <v>23.284399999999998</v>
      </c>
      <c r="AB61" s="66" t="e">
        <f>VLOOKUP(A61,Enforcements!$C$7:$K$21,8,0)</f>
        <v>#N/A</v>
      </c>
      <c r="AC61" s="62" t="e">
        <f>VLOOKUP(A61,Enforcements!$C$7:$E$21,3,0)</f>
        <v>#N/A</v>
      </c>
      <c r="AD61" s="63" t="str">
        <f t="shared" si="34"/>
        <v>0149-11</v>
      </c>
      <c r="AE61" s="99" t="str">
        <f t="shared" si="35"/>
        <v>aws s3 cp s3://rtdc.mdm.uploadarchive/RTDC4040/2016-09-11/ "%USERPROFILE%\AppData\Local\Temp\OnboardLogs"\RTDC4040\2016-09-11 --recursive &amp; "%USERPROFILE%\Documents\GitHub\mrs-test-scripts\Headless Mode &amp; Sideloading\WalkAndUnGZ.bat" "%USERPROFILE%\AppData\Local\Temp\OnboardLogs"\RTDC4040\2016-09-11 &amp; aws s3 cp s3://rtdc.mdm.uploadarchive/RTDC4040/2016-09-12/ "%USERPROFILE%\AppData\Local\Temp\OnboardLogs"\RTDC4040\2016-09-12 --recursive &amp; "%USERPROFILE%\Documents\GitHub\mrs-test-scripts\Headless Mode &amp; Sideloading\WalkAndUnGZ.bat" "%USERPROFILE%\AppData\Local\Temp\OnboardLogs"\RTDC4040\2016-09-12</v>
      </c>
      <c r="AF61" s="96" t="str">
        <f t="shared" si="36"/>
        <v>"C:\Program Files (x86)\AstroGrep\AstroGrep.exe" /spath="%USERPROFILE%\AppData\Local\Temp\OnboardLogs" /stypes="*4040*20160911*" /stext=" 16:.+((SYSTEM_STATE.+slice.+state.+changed )|(ment ac)|(system.+state.+changed )|(\|lc)|(penalty)|(\[timeout)|(PRM\|1\|D)|(kpr)|(kdp))" /e /r /s</v>
      </c>
      <c r="AG61" s="1" t="str">
        <f t="shared" si="37"/>
        <v>EC</v>
      </c>
      <c r="AH61" s="100" t="str">
        <f t="shared" si="17"/>
        <v>"%USERPROFILE%\Documents\GitHub\eaglep3\Utilities\RefineRTDCRunTimes.py" --tripid 149-11 --locoid 4040 --swversion DE.1.0.7.0 --startMP 204:453 --initTime 2016-09-11T09:41:48 --startdatetime 2016-09-11T09:45:23 --delay 1 --endMP 204:233297 --enddatetime 2016-09-11T10:23:07 --enforcementcount 1 &gt;&gt;C:\Users\stu\Documents\GitHub\eaglep3-reporting\EC\2016-09-11-refined-times.txt</v>
      </c>
      <c r="AI61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{"issue":{"subject":"","project_id":79,"tracker_id":40,"status_id":1,"priority_id":2,"assigned_to_id":23,"start_date":"2016-09-11","description":"","custom_fields":[{"id":1,"name":"Subdivision","value":"EC"},{"id":4,"name":"Milepost","value":"23.2844"},{"id":17,"name":"Train ID","value":"149-11"},{"id":16,"name":"Locomotive ID","value":"4040"},{"id":130,"name":"Impact","value":""},{"id":150,"name":"Time of Event (Mountain Time)","value":"10:23:07"},{"id":151,"name":"Denver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482</v>
      </c>
      <c r="B62" s="7">
        <v>4039</v>
      </c>
      <c r="C62" s="24" t="s">
        <v>108</v>
      </c>
      <c r="D62" s="24" t="s">
        <v>313</v>
      </c>
      <c r="E62" s="15">
        <v>42624.440995370373</v>
      </c>
      <c r="F62" s="15">
        <v>42624.445335648146</v>
      </c>
      <c r="G62" s="7">
        <v>1</v>
      </c>
      <c r="H62" s="15" t="s">
        <v>228</v>
      </c>
      <c r="I62" s="15">
        <v>42624.475138888891</v>
      </c>
      <c r="J62" s="7">
        <v>1</v>
      </c>
      <c r="K62" s="121" t="str">
        <f t="shared" si="24"/>
        <v>4039/4040</v>
      </c>
      <c r="L62" s="24" t="str">
        <f>VLOOKUP(A62,'Trips&amp;Operators'!$C$1:$E$10000,3,FALSE)</f>
        <v>DAVIS</v>
      </c>
      <c r="M62" s="6">
        <f t="shared" si="25"/>
        <v>2.980324074451346E-2</v>
      </c>
      <c r="N62" s="7">
        <f t="shared" si="38"/>
        <v>42.916666672099382</v>
      </c>
      <c r="O62" s="7"/>
      <c r="P62" s="7"/>
      <c r="Q62" s="25"/>
      <c r="R62" s="25"/>
      <c r="S62" s="37">
        <f t="shared" si="26"/>
        <v>1</v>
      </c>
      <c r="T62" s="52" t="str">
        <f t="shared" si="27"/>
        <v>Southbound</v>
      </c>
      <c r="U62" s="163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09:35:02-0600',mode:absolute,to:'2016-09-11 12:24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62" s="54" t="str">
        <f t="shared" si="29"/>
        <v>N</v>
      </c>
      <c r="X62" s="168">
        <f t="shared" si="30"/>
        <v>1</v>
      </c>
      <c r="Y62" s="69">
        <f t="shared" si="31"/>
        <v>23.2988</v>
      </c>
      <c r="Z62" s="69">
        <f t="shared" si="32"/>
        <v>1.49E-2</v>
      </c>
      <c r="AA62" s="69">
        <f t="shared" si="33"/>
        <v>23.283899999999999</v>
      </c>
      <c r="AB62" s="66" t="e">
        <f>VLOOKUP(A62,Enforcements!$C$7:$K$21,8,0)</f>
        <v>#N/A</v>
      </c>
      <c r="AC62" s="62" t="e">
        <f>VLOOKUP(A62,Enforcements!$C$7:$E$21,3,0)</f>
        <v>#N/A</v>
      </c>
      <c r="AD62" s="63" t="str">
        <f t="shared" si="34"/>
        <v>0150-11</v>
      </c>
      <c r="AE62" s="99" t="str">
        <f t="shared" si="35"/>
        <v>aws s3 cp s3://rtdc.mdm.uploadarchive/RTDC4039/2016-09-11/ "%USERPROFILE%\AppData\Local\Temp\OnboardLogs"\RTDC4039\2016-09-11 --recursive &amp; "%USERPROFILE%\Documents\GitHub\mrs-test-scripts\Headless Mode &amp; Sideloading\WalkAndUnGZ.bat" "%USERPROFILE%\AppData\Local\Temp\OnboardLogs"\RTDC4039\2016-09-11 &amp; aws s3 cp s3://rtdc.mdm.uploadarchive/RTDC4039/2016-09-12/ "%USERPROFILE%\AppData\Local\Temp\OnboardLogs"\RTDC4039\2016-09-12 --recursive &amp; "%USERPROFILE%\Documents\GitHub\mrs-test-scripts\Headless Mode &amp; Sideloading\WalkAndUnGZ.bat" "%USERPROFILE%\AppData\Local\Temp\OnboardLogs"\RTDC4039\2016-09-12</v>
      </c>
      <c r="AF62" s="96" t="str">
        <f t="shared" si="36"/>
        <v>"C:\Program Files (x86)\AstroGrep\AstroGrep.exe" /spath="%USERPROFILE%\AppData\Local\Temp\OnboardLogs" /stypes="*4039*20160911*" /stext=" 17:.+((SYSTEM_STATE.+slice.+state.+changed )|(ment ac)|(system.+state.+changed )|(\|lc)|(penalty)|(\[timeout)|(PRM\|1\|D)|(kpr)|(kdp))" /e /r /s</v>
      </c>
      <c r="AG62" s="1" t="str">
        <f t="shared" si="37"/>
        <v>EC</v>
      </c>
      <c r="AH62" s="100" t="str">
        <f t="shared" si="17"/>
        <v>"%USERPROFILE%\Documents\GitHub\eaglep3\Utilities\RefineRTDCRunTimes.py" --tripid 150-11 --locoid 4039 --swversion DE.1.0.7.0 --startMP 204:232988 --initTime 2016-09-11T10:35:02 --startdatetime 2016-09-11T10:41:17 --delay 1 --endMP 204:149 --enddatetime 2016-09-11T11:24:12 --enforcementcount 1 &gt;&gt;C:\Users\stu\Documents\GitHub\eaglep3-reporting\EC\2016-09-11-refined-times.txt</v>
      </c>
      <c r="AI62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{"issue":{"subject":"","project_id":79,"tracker_id":40,"status_id":1,"priority_id":2,"assigned_to_id":23,"start_date":"2016-09-11","description":"","custom_fields":[{"id":1,"name":"Subdivision","value":"EC"},{"id":4,"name":"Milepost","value":"23.2839"},{"id":17,"name":"Train ID","value":"150-11"},{"id":16,"name":"Locomotive ID","value":"4039"},{"id":130,"name":"Impact","value":""},{"id":150,"name":"Time of Event (Mountain Time)","value":"11:24:12"},{"id":151,"name":"Denver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483</v>
      </c>
      <c r="B63" s="7">
        <v>4009</v>
      </c>
      <c r="C63" s="24" t="s">
        <v>108</v>
      </c>
      <c r="D63" s="24" t="s">
        <v>283</v>
      </c>
      <c r="E63" s="15">
        <v>42624.415358796294</v>
      </c>
      <c r="F63" s="15">
        <v>42624.417013888888</v>
      </c>
      <c r="G63" s="7">
        <v>1</v>
      </c>
      <c r="H63" s="15" t="s">
        <v>459</v>
      </c>
      <c r="I63" s="15">
        <v>42624.44903935185</v>
      </c>
      <c r="J63" s="7">
        <v>1</v>
      </c>
      <c r="K63" s="121" t="str">
        <f t="shared" si="24"/>
        <v>4009/4010</v>
      </c>
      <c r="L63" s="24" t="str">
        <f>VLOOKUP(A63,'Trips&amp;Operators'!$C$1:$E$10000,3,FALSE)</f>
        <v>MALAVE</v>
      </c>
      <c r="M63" s="6">
        <f t="shared" si="25"/>
        <v>3.202546296233777E-2</v>
      </c>
      <c r="N63" s="7">
        <f t="shared" si="38"/>
        <v>46.116666665766388</v>
      </c>
      <c r="O63" s="7"/>
      <c r="P63" s="7"/>
      <c r="Q63" s="25"/>
      <c r="R63" s="25"/>
      <c r="S63" s="37">
        <f t="shared" si="26"/>
        <v>1</v>
      </c>
      <c r="T63" s="52" t="str">
        <f t="shared" si="27"/>
        <v>NorthBound</v>
      </c>
      <c r="U63" s="163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08:58:07-0600',mode:absolute,to:'2016-09-11 11:46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63" s="54" t="str">
        <f t="shared" si="29"/>
        <v>N</v>
      </c>
      <c r="X63" s="168">
        <f t="shared" si="30"/>
        <v>1</v>
      </c>
      <c r="Y63" s="69">
        <f t="shared" si="31"/>
        <v>4.6699999999999998E-2</v>
      </c>
      <c r="Z63" s="69">
        <f t="shared" si="32"/>
        <v>23.33</v>
      </c>
      <c r="AA63" s="69">
        <f t="shared" si="33"/>
        <v>23.283299999999997</v>
      </c>
      <c r="AB63" s="66" t="e">
        <f>VLOOKUP(A63,Enforcements!$C$7:$K$21,8,0)</f>
        <v>#N/A</v>
      </c>
      <c r="AC63" s="62" t="e">
        <f>VLOOKUP(A63,Enforcements!$C$7:$E$21,3,0)</f>
        <v>#N/A</v>
      </c>
      <c r="AD63" s="63" t="str">
        <f t="shared" si="34"/>
        <v>0151-11</v>
      </c>
      <c r="AE63" s="99" t="str">
        <f t="shared" si="35"/>
        <v>aws s3 cp s3://rtdc.mdm.uploadarchive/RTDC4009/2016-09-11/ "%USERPROFILE%\AppData\Local\Temp\OnboardLogs"\RTDC4009\2016-09-11 --recursive &amp; "%USERPROFILE%\Documents\GitHub\mrs-test-scripts\Headless Mode &amp; Sideloading\WalkAndUnGZ.bat" "%USERPROFILE%\AppData\Local\Temp\OnboardLogs"\RTDC4009\2016-09-11 &amp; 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</v>
      </c>
      <c r="AF63" s="96" t="str">
        <f t="shared" si="36"/>
        <v>"C:\Program Files (x86)\AstroGrep\AstroGrep.exe" /spath="%USERPROFILE%\AppData\Local\Temp\OnboardLogs" /stypes="*4009*20160911*" /stext=" 16:.+((SYSTEM_STATE.+slice.+state.+changed )|(ment ac)|(system.+state.+changed )|(\|lc)|(penalty)|(\[timeout)|(PRM\|1\|D)|(kpr)|(kdp))" /e /r /s</v>
      </c>
      <c r="AG63" s="1" t="str">
        <f t="shared" si="37"/>
        <v>EC</v>
      </c>
      <c r="AH63" s="100" t="str">
        <f t="shared" si="17"/>
        <v>"%USERPROFILE%\Documents\GitHub\eaglep3\Utilities\RefineRTDCRunTimes.py" --tripid 151-11 --locoid 4009 --swversion DE.1.0.7.0 --startMP 204:467 --initTime 2016-09-11T09:58:07 --startdatetime 2016-09-11T10:00:30 --delay 1 --endMP 204:233300 --enddatetime 2016-09-11T10:46:37 --enforcementcount 1 &gt;&gt;C:\Users\stu\Documents\GitHub\eaglep3-reporting\EC\2016-09-11-refined-times.txt</v>
      </c>
      <c r="AI63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{"issue":{"subject":"","project_id":79,"tracker_id":40,"status_id":1,"priority_id":2,"assigned_to_id":23,"start_date":"2016-09-11","description":"","custom_fields":[{"id":1,"name":"Subdivision","value":"EC"},{"id":4,"name":"Milepost","value":"23.2833"},{"id":17,"name":"Train ID","value":"151-11"},{"id":16,"name":"Locomotive ID","value":"4009"},{"id":130,"name":"Impact","value":""},{"id":150,"name":"Time of Event (Mountain Time)","value":"10:46:37"},{"id":151,"name":"Denver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484</v>
      </c>
      <c r="B64" s="7">
        <v>4010</v>
      </c>
      <c r="C64" s="24" t="s">
        <v>108</v>
      </c>
      <c r="D64" s="24" t="s">
        <v>485</v>
      </c>
      <c r="E64" s="15">
        <v>42624.453900462962</v>
      </c>
      <c r="F64" s="15">
        <v>42624.45579861111</v>
      </c>
      <c r="G64" s="7">
        <v>1</v>
      </c>
      <c r="H64" s="15" t="s">
        <v>230</v>
      </c>
      <c r="I64" s="15">
        <v>42624.484675925924</v>
      </c>
      <c r="J64" s="7">
        <v>1</v>
      </c>
      <c r="K64" s="121" t="str">
        <f t="shared" si="24"/>
        <v>4009/4010</v>
      </c>
      <c r="L64" s="24" t="str">
        <f>VLOOKUP(A64,'Trips&amp;Operators'!$C$1:$E$10000,3,FALSE)</f>
        <v>MALAVE</v>
      </c>
      <c r="M64" s="6">
        <f t="shared" si="25"/>
        <v>2.8877314813144039E-2</v>
      </c>
      <c r="N64" s="7">
        <f t="shared" si="38"/>
        <v>41.583333330927417</v>
      </c>
      <c r="O64" s="7"/>
      <c r="P64" s="7"/>
      <c r="Q64" s="25"/>
      <c r="R64" s="25"/>
      <c r="S64" s="37">
        <f t="shared" si="26"/>
        <v>1</v>
      </c>
      <c r="T64" s="52" t="str">
        <f t="shared" si="27"/>
        <v>Southbound</v>
      </c>
      <c r="U64" s="163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09:53:37-0600',mode:absolute,to:'2016-09-11 12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64" s="54" t="str">
        <f t="shared" si="29"/>
        <v>N</v>
      </c>
      <c r="X64" s="168">
        <f t="shared" si="30"/>
        <v>1</v>
      </c>
      <c r="Y64" s="69">
        <f t="shared" si="31"/>
        <v>23.2974</v>
      </c>
      <c r="Z64" s="69">
        <f t="shared" si="32"/>
        <v>1.6E-2</v>
      </c>
      <c r="AA64" s="69">
        <f t="shared" si="33"/>
        <v>23.281400000000001</v>
      </c>
      <c r="AB64" s="66" t="e">
        <f>VLOOKUP(A64,Enforcements!$C$7:$K$21,8,0)</f>
        <v>#N/A</v>
      </c>
      <c r="AC64" s="62" t="e">
        <f>VLOOKUP(A64,Enforcements!$C$7:$E$21,3,0)</f>
        <v>#N/A</v>
      </c>
      <c r="AD64" s="63" t="str">
        <f t="shared" si="34"/>
        <v>0152-11</v>
      </c>
      <c r="AE64" s="99" t="str">
        <f t="shared" si="35"/>
        <v>aws s3 cp s3://rtdc.mdm.uploadarchive/RTDC4010/2016-09-11/ "%USERPROFILE%\AppData\Local\Temp\OnboardLogs"\RTDC4010\2016-09-11 --recursive &amp; "%USERPROFILE%\Documents\GitHub\mrs-test-scripts\Headless Mode &amp; Sideloading\WalkAndUnGZ.bat" "%USERPROFILE%\AppData\Local\Temp\OnboardLogs"\RTDC4010\2016-09-11 &amp; 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</v>
      </c>
      <c r="AF64" s="96" t="str">
        <f t="shared" si="36"/>
        <v>"C:\Program Files (x86)\AstroGrep\AstroGrep.exe" /spath="%USERPROFILE%\AppData\Local\Temp\OnboardLogs" /stypes="*4010*20160911*" /stext=" 17:.+((SYSTEM_STATE.+slice.+state.+changed )|(ment ac)|(system.+state.+changed )|(\|lc)|(penalty)|(\[timeout)|(PRM\|1\|D)|(kpr)|(kdp))" /e /r /s</v>
      </c>
      <c r="AG64" s="1" t="str">
        <f t="shared" si="37"/>
        <v>EC</v>
      </c>
      <c r="AH64" s="100" t="str">
        <f t="shared" si="17"/>
        <v>"%USERPROFILE%\Documents\GitHub\eaglep3\Utilities\RefineRTDCRunTimes.py" --tripid 152-11 --locoid 4010 --swversion DE.1.0.7.0 --startMP 204:232974 --initTime 2016-09-11T10:53:37 --startdatetime 2016-09-11T10:56:21 --delay 1 --endMP 204:160 --enddatetime 2016-09-11T11:37:56 --enforcementcount 1 &gt;&gt;C:\Users\stu\Documents\GitHub\eaglep3-reporting\EC\2016-09-11-refined-times.txt</v>
      </c>
      <c r="AI64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{"issue":{"subject":"","project_id":79,"tracker_id":40,"status_id":1,"priority_id":2,"assigned_to_id":23,"start_date":"2016-09-11","description":"","custom_fields":[{"id":1,"name":"Subdivision","value":"EC"},{"id":4,"name":"Milepost","value":"23.2814"},{"id":17,"name":"Train ID","value":"152-11"},{"id":16,"name":"Locomotive ID","value":"4010"},{"id":130,"name":"Impact","value":""},{"id":150,"name":"Time of Event (Mountain Time)","value":"11:37:56"},{"id":151,"name":"Denver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394</v>
      </c>
      <c r="B65" s="7">
        <v>4042</v>
      </c>
      <c r="C65" s="24" t="s">
        <v>108</v>
      </c>
      <c r="D65" s="24" t="s">
        <v>252</v>
      </c>
      <c r="E65" s="15">
        <v>42624.424537037034</v>
      </c>
      <c r="F65" s="15">
        <v>42624.427418981482</v>
      </c>
      <c r="G65" s="7">
        <v>1</v>
      </c>
      <c r="H65" s="15" t="s">
        <v>294</v>
      </c>
      <c r="I65" s="15">
        <v>42624.453842592593</v>
      </c>
      <c r="J65" s="7">
        <v>1</v>
      </c>
      <c r="K65" s="121" t="str">
        <f t="shared" si="24"/>
        <v>4041/4042</v>
      </c>
      <c r="L65" s="24" t="str">
        <f>VLOOKUP(A65,'Trips&amp;Operators'!$C$1:$E$10000,3,FALSE)</f>
        <v>STRICKLAND</v>
      </c>
      <c r="M65" s="6">
        <f t="shared" si="25"/>
        <v>2.6423611110658385E-2</v>
      </c>
      <c r="N65" s="7">
        <f t="shared" si="38"/>
        <v>38.049999999348074</v>
      </c>
      <c r="O65" s="7"/>
      <c r="P65" s="7"/>
      <c r="Q65" s="25"/>
      <c r="R65" s="25"/>
      <c r="S65" s="37">
        <f t="shared" si="26"/>
        <v>1</v>
      </c>
      <c r="T65" s="52" t="str">
        <f t="shared" si="27"/>
        <v>NorthBound</v>
      </c>
      <c r="U65" s="163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09:11:20-0600',mode:absolute,to:'2016-09-11 11:53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65" s="54" t="str">
        <f t="shared" si="29"/>
        <v>N</v>
      </c>
      <c r="X65" s="168">
        <f t="shared" si="30"/>
        <v>1</v>
      </c>
      <c r="Y65" s="69">
        <f t="shared" si="31"/>
        <v>4.6600000000000003E-2</v>
      </c>
      <c r="Z65" s="69">
        <f t="shared" si="32"/>
        <v>23.329499999999999</v>
      </c>
      <c r="AA65" s="69">
        <f t="shared" si="33"/>
        <v>23.282899999999998</v>
      </c>
      <c r="AB65" s="66" t="str">
        <f>VLOOKUP(A65,Enforcements!$C$7:$K$21,8,0)</f>
        <v>Speed (6)</v>
      </c>
      <c r="AC65" s="62" t="str">
        <f>VLOOKUP(A65,Enforcements!$C$7:$E$21,3,0)</f>
        <v>PERMANENT SPEED RESTRICTION</v>
      </c>
      <c r="AD65" s="63" t="str">
        <f t="shared" si="34"/>
        <v>0153-11</v>
      </c>
      <c r="AE65" s="99" t="str">
        <f t="shared" si="35"/>
        <v>aws s3 cp s3://rtdc.mdm.uploadarchive/RTDC4042/2016-09-11/ "%USERPROFILE%\AppData\Local\Temp\OnboardLogs"\RTDC4042\2016-09-11 --recursive &amp; "%USERPROFILE%\Documents\GitHub\mrs-test-scripts\Headless Mode &amp; Sideloading\WalkAndUnGZ.bat" "%USERPROFILE%\AppData\Local\Temp\OnboardLogs"\RTDC4042\2016-09-11 &amp; 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</v>
      </c>
      <c r="AF65" s="96" t="str">
        <f t="shared" si="36"/>
        <v>"C:\Program Files (x86)\AstroGrep\AstroGrep.exe" /spath="%USERPROFILE%\AppData\Local\Temp\OnboardLogs" /stypes="*4042*20160911*" /stext=" 16:.+((SYSTEM_STATE.+slice.+state.+changed )|(ment ac)|(system.+state.+changed )|(\|lc)|(penalty)|(\[timeout)|(PRM\|1\|D)|(kpr)|(kdp))" /e /r /s</v>
      </c>
      <c r="AG65" s="1" t="str">
        <f t="shared" si="37"/>
        <v>EC</v>
      </c>
      <c r="AH65" s="100" t="str">
        <f t="shared" si="17"/>
        <v>"%USERPROFILE%\Documents\GitHub\eaglep3\Utilities\RefineRTDCRunTimes.py" --tripid 153-11 --locoid 4042 --swversion DE.1.0.7.0 --startMP 204:466 --initTime 2016-09-11T10:11:20 --startdatetime 2016-09-11T10:15:29 --delay 1 --endMP 204:233295 --enddatetime 2016-09-11T10:53:32 --enforcementcount 1 &gt;&gt;C:\Users\stu\Documents\GitHub\eaglep3-reporting\EC\2016-09-11-refined-times.txt</v>
      </c>
      <c r="AI65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{"issue":{"subject":"","project_id":79,"tracker_id":40,"status_id":1,"priority_id":2,"assigned_to_id":23,"start_date":"2016-09-11","description":"","custom_fields":[{"id":1,"name":"Subdivision","value":"EC"},{"id":4,"name":"Milepost","value":"23.2829"},{"id":17,"name":"Train ID","value":"153-11"},{"id":16,"name":"Locomotive ID","value":"4042"},{"id":130,"name":"Impact","value":""},{"id":150,"name":"Time of Event (Mountain Time)","value":"10:53:32"},{"id":151,"name":"Denver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396</v>
      </c>
      <c r="B66" s="7">
        <v>4041</v>
      </c>
      <c r="C66" s="24" t="s">
        <v>108</v>
      </c>
      <c r="D66" s="24" t="s">
        <v>348</v>
      </c>
      <c r="E66" s="15">
        <v>42624.460914351854</v>
      </c>
      <c r="F66" s="15">
        <v>42624.467094907406</v>
      </c>
      <c r="G66" s="7">
        <v>1</v>
      </c>
      <c r="H66" s="15" t="s">
        <v>228</v>
      </c>
      <c r="I66" s="15">
        <v>42624.496064814812</v>
      </c>
      <c r="J66" s="7">
        <v>1</v>
      </c>
      <c r="K66" s="121" t="str">
        <f t="shared" si="24"/>
        <v>4041/4042</v>
      </c>
      <c r="L66" s="24" t="str">
        <f>VLOOKUP(A66,'Trips&amp;Operators'!$C$1:$E$10000,3,FALSE)</f>
        <v>STRICKLAND</v>
      </c>
      <c r="M66" s="6">
        <f t="shared" si="25"/>
        <v>2.8969907405553386E-2</v>
      </c>
      <c r="N66" s="7">
        <f t="shared" si="38"/>
        <v>41.716666663996875</v>
      </c>
      <c r="O66" s="7"/>
      <c r="P66" s="7"/>
      <c r="Q66" s="25"/>
      <c r="R66" s="25"/>
      <c r="S66" s="37">
        <f t="shared" si="26"/>
        <v>1</v>
      </c>
      <c r="T66" s="52" t="str">
        <f t="shared" si="27"/>
        <v>Southbound</v>
      </c>
      <c r="U66" s="163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10:03:43-0600',mode:absolute,to:'2016-09-11 12:54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66" s="54" t="str">
        <f t="shared" si="29"/>
        <v>N</v>
      </c>
      <c r="X66" s="168">
        <f t="shared" si="30"/>
        <v>1</v>
      </c>
      <c r="Y66" s="69">
        <f t="shared" si="31"/>
        <v>23.2971</v>
      </c>
      <c r="Z66" s="69">
        <f t="shared" si="32"/>
        <v>1.49E-2</v>
      </c>
      <c r="AA66" s="69">
        <f t="shared" si="33"/>
        <v>23.2822</v>
      </c>
      <c r="AB66" s="66" t="str">
        <f>VLOOKUP(A66,Enforcements!$C$7:$K$21,8,0)</f>
        <v>Speed (6)</v>
      </c>
      <c r="AC66" s="62" t="str">
        <f>VLOOKUP(A66,Enforcements!$C$7:$E$21,3,0)</f>
        <v>PERMANENT SPEED RESTRICTION</v>
      </c>
      <c r="AD66" s="63" t="str">
        <f t="shared" si="34"/>
        <v>0154-11</v>
      </c>
      <c r="AE66" s="99" t="str">
        <f t="shared" si="35"/>
        <v>aws s3 cp s3://rtdc.mdm.uploadarchive/RTDC4041/2016-09-11/ "%USERPROFILE%\AppData\Local\Temp\OnboardLogs"\RTDC4041\2016-09-11 --recursive &amp; "%USERPROFILE%\Documents\GitHub\mrs-test-scripts\Headless Mode &amp; Sideloading\WalkAndUnGZ.bat" "%USERPROFILE%\AppData\Local\Temp\OnboardLogs"\RTDC4041\2016-09-11 &amp; 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</v>
      </c>
      <c r="AF66" s="96" t="str">
        <f t="shared" si="36"/>
        <v>"C:\Program Files (x86)\AstroGrep\AstroGrep.exe" /spath="%USERPROFILE%\AppData\Local\Temp\OnboardLogs" /stypes="*4041*20160911*" /stext=" 17:.+((SYSTEM_STATE.+slice.+state.+changed )|(ment ac)|(system.+state.+changed )|(\|lc)|(penalty)|(\[timeout)|(PRM\|1\|D)|(kpr)|(kdp))" /e /r /s</v>
      </c>
      <c r="AG66" s="1" t="str">
        <f t="shared" si="37"/>
        <v>EC</v>
      </c>
      <c r="AH66" s="100" t="str">
        <f t="shared" si="17"/>
        <v>"%USERPROFILE%\Documents\GitHub\eaglep3\Utilities\RefineRTDCRunTimes.py" --tripid 154-11 --locoid 4041 --swversion DE.1.0.7.0 --startMP 204:232971 --initTime 2016-09-11T11:03:43 --startdatetime 2016-09-11T11:12:37 --delay 1 --endMP 204:149 --enddatetime 2016-09-11T11:54:20 --enforcementcount 1 &gt;&gt;C:\Users\stu\Documents\GitHub\eaglep3-reporting\EC\2016-09-11-refined-times.txt</v>
      </c>
      <c r="AI66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{"issue":{"subject":"","project_id":79,"tracker_id":40,"status_id":1,"priority_id":2,"assigned_to_id":23,"start_date":"2016-09-11","description":"","custom_fields":[{"id":1,"name":"Subdivision","value":"EC"},{"id":4,"name":"Milepost","value":"23.2822"},{"id":17,"name":"Train ID","value":"154-11"},{"id":16,"name":"Locomotive ID","value":"4041"},{"id":130,"name":"Impact","value":""},{"id":150,"name":"Time of Event (Mountain Time)","value":"11:54:20"},{"id":151,"name":"Denver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486</v>
      </c>
      <c r="B67" s="7">
        <v>4025</v>
      </c>
      <c r="C67" s="24" t="s">
        <v>108</v>
      </c>
      <c r="D67" s="24" t="s">
        <v>252</v>
      </c>
      <c r="E67" s="15">
        <v>42624.435127314813</v>
      </c>
      <c r="F67" s="15">
        <v>42624.438043981485</v>
      </c>
      <c r="G67" s="7">
        <v>2</v>
      </c>
      <c r="H67" s="15" t="s">
        <v>240</v>
      </c>
      <c r="I67" s="15">
        <v>42624.464837962965</v>
      </c>
      <c r="J67" s="7">
        <v>1</v>
      </c>
      <c r="K67" s="121" t="str">
        <f t="shared" si="24"/>
        <v>4025/4026</v>
      </c>
      <c r="L67" s="24" t="str">
        <f>VLOOKUP(A67,'Trips&amp;Operators'!$C$1:$E$10000,3,FALSE)</f>
        <v>CLARK</v>
      </c>
      <c r="M67" s="6">
        <f t="shared" si="25"/>
        <v>2.679398148029577E-2</v>
      </c>
      <c r="N67" s="7">
        <f t="shared" si="38"/>
        <v>38.583333331625909</v>
      </c>
      <c r="O67" s="7"/>
      <c r="P67" s="7"/>
      <c r="Q67" s="25"/>
      <c r="R67" s="25"/>
      <c r="S67" s="37">
        <f t="shared" si="26"/>
        <v>1</v>
      </c>
      <c r="T67" s="52" t="str">
        <f t="shared" si="27"/>
        <v>NorthBound</v>
      </c>
      <c r="U67" s="163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09:26:35-0600',mode:absolute,to:'2016-09-11 12:09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67" s="54" t="str">
        <f t="shared" si="29"/>
        <v>N</v>
      </c>
      <c r="X67" s="168">
        <f t="shared" si="30"/>
        <v>1</v>
      </c>
      <c r="Y67" s="69">
        <f t="shared" si="31"/>
        <v>4.6600000000000003E-2</v>
      </c>
      <c r="Z67" s="69">
        <f t="shared" si="32"/>
        <v>23.330200000000001</v>
      </c>
      <c r="AA67" s="69">
        <f t="shared" si="33"/>
        <v>23.2836</v>
      </c>
      <c r="AB67" s="66" t="e">
        <f>VLOOKUP(A67,Enforcements!$C$7:$K$21,8,0)</f>
        <v>#N/A</v>
      </c>
      <c r="AC67" s="62" t="e">
        <f>VLOOKUP(A67,Enforcements!$C$7:$E$21,3,0)</f>
        <v>#N/A</v>
      </c>
      <c r="AD67" s="63" t="str">
        <f t="shared" si="34"/>
        <v>0155-11</v>
      </c>
      <c r="AE67" s="99" t="str">
        <f t="shared" si="35"/>
        <v>aws s3 cp s3://rtdc.mdm.uploadarchive/RTDC4025/2016-09-11/ "%USERPROFILE%\AppData\Local\Temp\OnboardLogs"\RTDC4025\2016-09-11 --recursive &amp; "%USERPROFILE%\Documents\GitHub\mrs-test-scripts\Headless Mode &amp; Sideloading\WalkAndUnGZ.bat" "%USERPROFILE%\AppData\Local\Temp\OnboardLogs"\RTDC4025\2016-09-11 &amp; 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</v>
      </c>
      <c r="AF67" s="96" t="str">
        <f t="shared" si="36"/>
        <v>"C:\Program Files (x86)\AstroGrep\AstroGrep.exe" /spath="%USERPROFILE%\AppData\Local\Temp\OnboardLogs" /stypes="*4025*20160911*" /stext=" 17:.+((SYSTEM_STATE.+slice.+state.+changed )|(ment ac)|(system.+state.+changed )|(\|lc)|(penalty)|(\[timeout)|(PRM\|1\|D)|(kpr)|(kdp))" /e /r /s</v>
      </c>
      <c r="AG67" s="1" t="str">
        <f t="shared" si="37"/>
        <v>EC</v>
      </c>
      <c r="AH67" s="100" t="str">
        <f t="shared" si="17"/>
        <v>"%USERPROFILE%\Documents\GitHub\eaglep3\Utilities\RefineRTDCRunTimes.py" --tripid 155-11 --locoid 4025 --swversion DE.1.0.7.0 --startMP 204:466 --initTime 2016-09-11T10:26:35 --startdatetime 2016-09-11T10:30:47 --delay 2 --endMP 204:233302 --enddatetime 2016-09-11T11:09:22 --enforcementcount 1 &gt;&gt;C:\Users\stu\Documents\GitHub\eaglep3-reporting\EC\2016-09-11-refined-times.txt</v>
      </c>
      <c r="AI67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{"issue":{"subject":"","project_id":79,"tracker_id":40,"status_id":1,"priority_id":2,"assigned_to_id":23,"start_date":"2016-09-11","description":"","custom_fields":[{"id":1,"name":"Subdivision","value":"EC"},{"id":4,"name":"Milepost","value":"23.2836"},{"id":17,"name":"Train ID","value":"155-11"},{"id":16,"name":"Locomotive ID","value":"4025"},{"id":130,"name":"Impact","value":""},{"id":150,"name":"Time of Event (Mountain Time)","value":"11:09:22"},{"id":151,"name":"Denver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487</v>
      </c>
      <c r="B68" s="7">
        <v>4026</v>
      </c>
      <c r="C68" s="24" t="s">
        <v>108</v>
      </c>
      <c r="D68" s="24" t="s">
        <v>317</v>
      </c>
      <c r="E68" s="15">
        <v>42624.472303240742</v>
      </c>
      <c r="F68" s="15">
        <v>42624.476840277777</v>
      </c>
      <c r="G68" s="7">
        <v>1</v>
      </c>
      <c r="H68" s="15" t="s">
        <v>228</v>
      </c>
      <c r="I68" s="15">
        <v>42624.507453703707</v>
      </c>
      <c r="J68" s="7">
        <v>1</v>
      </c>
      <c r="K68" s="121" t="str">
        <f t="shared" si="24"/>
        <v>4025/4026</v>
      </c>
      <c r="L68" s="24" t="str">
        <f>VLOOKUP(A68,'Trips&amp;Operators'!$C$1:$E$10000,3,FALSE)</f>
        <v>CLARK</v>
      </c>
      <c r="M68" s="6">
        <f t="shared" si="25"/>
        <v>3.0613425929914229E-2</v>
      </c>
      <c r="N68" s="7">
        <f t="shared" si="38"/>
        <v>44.083333339076489</v>
      </c>
      <c r="O68" s="7"/>
      <c r="P68" s="7"/>
      <c r="Q68" s="25"/>
      <c r="R68" s="25"/>
      <c r="S68" s="37">
        <f t="shared" si="26"/>
        <v>1</v>
      </c>
      <c r="T68" s="52" t="str">
        <f t="shared" si="27"/>
        <v>Southbound</v>
      </c>
      <c r="U68" s="163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10:20:07-0600',mode:absolute,to:'2016-09-11 13:10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68" s="54" t="str">
        <f t="shared" si="29"/>
        <v>N</v>
      </c>
      <c r="X68" s="168">
        <f t="shared" si="30"/>
        <v>1</v>
      </c>
      <c r="Y68" s="69">
        <f t="shared" si="31"/>
        <v>23.299399999999999</v>
      </c>
      <c r="Z68" s="69">
        <f t="shared" si="32"/>
        <v>1.49E-2</v>
      </c>
      <c r="AA68" s="69">
        <f t="shared" si="33"/>
        <v>23.284499999999998</v>
      </c>
      <c r="AB68" s="66" t="e">
        <f>VLOOKUP(A68,Enforcements!$C$7:$K$21,8,0)</f>
        <v>#N/A</v>
      </c>
      <c r="AC68" s="62" t="e">
        <f>VLOOKUP(A68,Enforcements!$C$7:$E$21,3,0)</f>
        <v>#N/A</v>
      </c>
      <c r="AD68" s="63" t="str">
        <f t="shared" si="34"/>
        <v>0156-11</v>
      </c>
      <c r="AE68" s="99" t="str">
        <f t="shared" si="35"/>
        <v>aws s3 cp s3://rtdc.mdm.uploadarchive/RTDC4026/2016-09-11/ "%USERPROFILE%\AppData\Local\Temp\OnboardLogs"\RTDC4026\2016-09-11 --recursive &amp; "%USERPROFILE%\Documents\GitHub\mrs-test-scripts\Headless Mode &amp; Sideloading\WalkAndUnGZ.bat" "%USERPROFILE%\AppData\Local\Temp\OnboardLogs"\RTDC4026\2016-09-11 &amp; 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</v>
      </c>
      <c r="AF68" s="96" t="str">
        <f t="shared" si="36"/>
        <v>"C:\Program Files (x86)\AstroGrep\AstroGrep.exe" /spath="%USERPROFILE%\AppData\Local\Temp\OnboardLogs" /stypes="*4026*20160911*" /stext=" 18:.+((SYSTEM_STATE.+slice.+state.+changed )|(ment ac)|(system.+state.+changed )|(\|lc)|(penalty)|(\[timeout)|(PRM\|1\|D)|(kpr)|(kdp))" /e /r /s</v>
      </c>
      <c r="AG68" s="1" t="str">
        <f t="shared" si="37"/>
        <v>EC</v>
      </c>
      <c r="AH68" s="100" t="str">
        <f t="shared" si="17"/>
        <v>"%USERPROFILE%\Documents\GitHub\eaglep3\Utilities\RefineRTDCRunTimes.py" --tripid 156-11 --locoid 4026 --swversion DE.1.0.7.0 --startMP 204:232994 --initTime 2016-09-11T11:20:07 --startdatetime 2016-09-11T11:26:39 --delay 1 --endMP 204:149 --enddatetime 2016-09-11T12:10:44 --enforcementcount 1 &gt;&gt;C:\Users\stu\Documents\GitHub\eaglep3-reporting\EC\2016-09-11-refined-times.txt</v>
      </c>
      <c r="AI68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{"issue":{"subject":"","project_id":79,"tracker_id":40,"status_id":1,"priority_id":2,"assigned_to_id":23,"start_date":"2016-09-11","description":"","custom_fields":[{"id":1,"name":"Subdivision","value":"EC"},{"id":4,"name":"Milepost","value":"23.2845"},{"id":17,"name":"Train ID","value":"156-11"},{"id":16,"name":"Locomotive ID","value":"4026"},{"id":130,"name":"Impact","value":""},{"id":150,"name":"Time of Event (Mountain Time)","value":"12:10:44"},{"id":151,"name":"Denver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488</v>
      </c>
      <c r="B69" s="7">
        <v>4029</v>
      </c>
      <c r="C69" s="24" t="s">
        <v>108</v>
      </c>
      <c r="D69" s="24" t="s">
        <v>239</v>
      </c>
      <c r="E69" s="15">
        <v>42624.442013888889</v>
      </c>
      <c r="F69" s="15">
        <v>42624.448067129626</v>
      </c>
      <c r="G69" s="7">
        <v>1</v>
      </c>
      <c r="H69" s="15" t="s">
        <v>294</v>
      </c>
      <c r="I69" s="15">
        <v>42624.472233796296</v>
      </c>
      <c r="J69" s="7">
        <v>1</v>
      </c>
      <c r="K69" s="121" t="str">
        <f t="shared" si="24"/>
        <v>4029/4030</v>
      </c>
      <c r="L69" s="24" t="str">
        <f>VLOOKUP(A69,'Trips&amp;Operators'!$C$1:$E$10000,3,FALSE)</f>
        <v>YORK</v>
      </c>
      <c r="M69" s="6">
        <f t="shared" si="25"/>
        <v>2.4166666669771075E-2</v>
      </c>
      <c r="N69" s="7">
        <f t="shared" si="38"/>
        <v>34.800000004470348</v>
      </c>
      <c r="O69" s="7"/>
      <c r="P69" s="7"/>
      <c r="Q69" s="25"/>
      <c r="R69" s="25"/>
      <c r="S69" s="37">
        <f t="shared" si="26"/>
        <v>1</v>
      </c>
      <c r="T69" s="52" t="str">
        <f t="shared" si="27"/>
        <v>NorthBound</v>
      </c>
      <c r="U69" s="163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09:36:30-0600',mode:absolute,to:'2016-09-11 12:20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69" s="54" t="str">
        <f t="shared" si="29"/>
        <v>N</v>
      </c>
      <c r="X69" s="168">
        <f t="shared" si="30"/>
        <v>1</v>
      </c>
      <c r="Y69" s="69">
        <f t="shared" si="31"/>
        <v>4.53E-2</v>
      </c>
      <c r="Z69" s="69">
        <f t="shared" si="32"/>
        <v>23.329499999999999</v>
      </c>
      <c r="AA69" s="69">
        <f t="shared" si="33"/>
        <v>23.284199999999998</v>
      </c>
      <c r="AB69" s="66" t="e">
        <f>VLOOKUP(A69,Enforcements!$C$7:$K$21,8,0)</f>
        <v>#N/A</v>
      </c>
      <c r="AC69" s="62" t="e">
        <f>VLOOKUP(A69,Enforcements!$C$7:$E$21,3,0)</f>
        <v>#N/A</v>
      </c>
      <c r="AD69" s="63" t="str">
        <f t="shared" si="34"/>
        <v>0157-11</v>
      </c>
      <c r="AE69" s="99" t="str">
        <f t="shared" si="35"/>
        <v>aws s3 cp s3://rtdc.mdm.uploadarchive/RTDC4029/2016-09-11/ "%USERPROFILE%\AppData\Local\Temp\OnboardLogs"\RTDC4029\2016-09-11 --recursive &amp; "%USERPROFILE%\Documents\GitHub\mrs-test-scripts\Headless Mode &amp; Sideloading\WalkAndUnGZ.bat" "%USERPROFILE%\AppData\Local\Temp\OnboardLogs"\RTDC4029\2016-09-11 &amp; aws s3 cp s3://rtdc.mdm.uploadarchive/RTDC4029/2016-09-12/ "%USERPROFILE%\AppData\Local\Temp\OnboardLogs"\RTDC4029\2016-09-12 --recursive &amp; "%USERPROFILE%\Documents\GitHub\mrs-test-scripts\Headless Mode &amp; Sideloading\WalkAndUnGZ.bat" "%USERPROFILE%\AppData\Local\Temp\OnboardLogs"\RTDC4029\2016-09-12</v>
      </c>
      <c r="AF69" s="96" t="str">
        <f t="shared" si="36"/>
        <v>"C:\Program Files (x86)\AstroGrep\AstroGrep.exe" /spath="%USERPROFILE%\AppData\Local\Temp\OnboardLogs" /stypes="*4029*20160911*" /stext=" 17:.+((SYSTEM_STATE.+slice.+state.+changed )|(ment ac)|(system.+state.+changed )|(\|lc)|(penalty)|(\[timeout)|(PRM\|1\|D)|(kpr)|(kdp))" /e /r /s</v>
      </c>
      <c r="AG69" s="1" t="str">
        <f t="shared" si="37"/>
        <v>EC</v>
      </c>
      <c r="AH69" s="100" t="str">
        <f t="shared" si="17"/>
        <v>"%USERPROFILE%\Documents\GitHub\eaglep3\Utilities\RefineRTDCRunTimes.py" --tripid 157-11 --locoid 4029 --swversion DE.1.0.7.0 --startMP 204:453 --initTime 2016-09-11T10:36:30 --startdatetime 2016-09-11T10:45:13 --delay 1 --endMP 204:233295 --enddatetime 2016-09-11T11:20:01 --enforcementcount 1 &gt;&gt;C:\Users\stu\Documents\GitHub\eaglep3-reporting\EC\2016-09-11-refined-times.txt</v>
      </c>
      <c r="AI69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{"issue":{"subject":"","project_id":79,"tracker_id":40,"status_id":1,"priority_id":2,"assigned_to_id":23,"start_date":"2016-09-11","description":"","custom_fields":[{"id":1,"name":"Subdivision","value":"EC"},{"id":4,"name":"Milepost","value":"23.2842"},{"id":17,"name":"Train ID","value":"157-11"},{"id":16,"name":"Locomotive ID","value":"4029"},{"id":130,"name":"Impact","value":""},{"id":150,"name":"Time of Event (Mountain Time)","value":"11:20:01"},{"id":151,"name":"Denver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489</v>
      </c>
      <c r="B70" s="7">
        <v>4030</v>
      </c>
      <c r="C70" s="24" t="s">
        <v>108</v>
      </c>
      <c r="D70" s="24" t="s">
        <v>348</v>
      </c>
      <c r="E70" s="15">
        <v>42624.473287037035</v>
      </c>
      <c r="F70" s="15">
        <v>42624.487175925926</v>
      </c>
      <c r="G70" s="7">
        <v>1</v>
      </c>
      <c r="H70" s="15" t="s">
        <v>241</v>
      </c>
      <c r="I70" s="15">
        <v>42624.515601851854</v>
      </c>
      <c r="J70" s="7">
        <v>1</v>
      </c>
      <c r="K70" s="121" t="str">
        <f t="shared" si="24"/>
        <v>4029/4030</v>
      </c>
      <c r="L70" s="24" t="str">
        <f>VLOOKUP(A70,'Trips&amp;Operators'!$C$1:$E$10000,3,FALSE)</f>
        <v>YORK</v>
      </c>
      <c r="M70" s="6">
        <f t="shared" si="25"/>
        <v>2.842592592787696E-2</v>
      </c>
      <c r="N70" s="7">
        <f t="shared" si="38"/>
        <v>40.933333336142823</v>
      </c>
      <c r="O70" s="7"/>
      <c r="P70" s="7"/>
      <c r="Q70" s="25"/>
      <c r="R70" s="25"/>
      <c r="S70" s="37">
        <f t="shared" si="26"/>
        <v>1</v>
      </c>
      <c r="T70" s="52" t="str">
        <f t="shared" si="27"/>
        <v>Southbound</v>
      </c>
      <c r="U70" s="163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10:21:32-0600',mode:absolute,to:'2016-09-11 13:22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70" s="54" t="str">
        <f t="shared" si="29"/>
        <v>N</v>
      </c>
      <c r="X70" s="168">
        <f t="shared" si="30"/>
        <v>1</v>
      </c>
      <c r="Y70" s="69">
        <f t="shared" si="31"/>
        <v>23.2971</v>
      </c>
      <c r="Z70" s="69">
        <f t="shared" si="32"/>
        <v>1.4999999999999999E-2</v>
      </c>
      <c r="AA70" s="69">
        <f t="shared" si="33"/>
        <v>23.2821</v>
      </c>
      <c r="AB70" s="66" t="e">
        <f>VLOOKUP(A70,Enforcements!$C$7:$K$21,8,0)</f>
        <v>#N/A</v>
      </c>
      <c r="AC70" s="62" t="e">
        <f>VLOOKUP(A70,Enforcements!$C$7:$E$21,3,0)</f>
        <v>#N/A</v>
      </c>
      <c r="AD70" s="63" t="str">
        <f t="shared" si="34"/>
        <v>0158-11</v>
      </c>
      <c r="AE70" s="99" t="str">
        <f t="shared" si="35"/>
        <v>aws s3 cp s3://rtdc.mdm.uploadarchive/RTDC4030/2016-09-11/ "%USERPROFILE%\AppData\Local\Temp\OnboardLogs"\RTDC4030\2016-09-11 --recursive &amp; "%USERPROFILE%\Documents\GitHub\mrs-test-scripts\Headless Mode &amp; Sideloading\WalkAndUnGZ.bat" "%USERPROFILE%\AppData\Local\Temp\OnboardLogs"\RTDC4030\2016-09-11 &amp; aws s3 cp s3://rtdc.mdm.uploadarchive/RTDC4030/2016-09-12/ "%USERPROFILE%\AppData\Local\Temp\OnboardLogs"\RTDC4030\2016-09-12 --recursive &amp; "%USERPROFILE%\Documents\GitHub\mrs-test-scripts\Headless Mode &amp; Sideloading\WalkAndUnGZ.bat" "%USERPROFILE%\AppData\Local\Temp\OnboardLogs"\RTDC4030\2016-09-12</v>
      </c>
      <c r="AF70" s="96" t="str">
        <f t="shared" si="36"/>
        <v>"C:\Program Files (x86)\AstroGrep\AstroGrep.exe" /spath="%USERPROFILE%\AppData\Local\Temp\OnboardLogs" /stypes="*4030*20160911*" /stext=" 18:.+((SYSTEM_STATE.+slice.+state.+changed )|(ment ac)|(system.+state.+changed )|(\|lc)|(penalty)|(\[timeout)|(PRM\|1\|D)|(kpr)|(kdp))" /e /r /s</v>
      </c>
      <c r="AG70" s="1" t="str">
        <f t="shared" si="37"/>
        <v>EC</v>
      </c>
      <c r="AH70" s="100" t="str">
        <f t="shared" si="17"/>
        <v>"%USERPROFILE%\Documents\GitHub\eaglep3\Utilities\RefineRTDCRunTimes.py" --tripid 158-11 --locoid 4030 --swversion DE.1.0.7.0 --startMP 204:232971 --initTime 2016-09-11T11:21:32 --startdatetime 2016-09-11T11:41:32 --delay 1 --endMP 204:150 --enddatetime 2016-09-11T12:22:28 --enforcementcount 1 &gt;&gt;C:\Users\stu\Documents\GitHub\eaglep3-reporting\EC\2016-09-11-refined-times.txt</v>
      </c>
      <c r="AI70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{"issue":{"subject":"","project_id":79,"tracker_id":40,"status_id":1,"priority_id":2,"assigned_to_id":23,"start_date":"2016-09-11","description":"","custom_fields":[{"id":1,"name":"Subdivision","value":"EC"},{"id":4,"name":"Milepost","value":"23.2821"},{"id":17,"name":"Train ID","value":"158-11"},{"id":16,"name":"Locomotive ID","value":"4030"},{"id":130,"name":"Impact","value":""},{"id":150,"name":"Time of Event (Mountain Time)","value":"12:22:28"},{"id":151,"name":"Denver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490</v>
      </c>
      <c r="B71" s="7">
        <v>4020</v>
      </c>
      <c r="C71" s="24" t="s">
        <v>108</v>
      </c>
      <c r="D71" s="24" t="s">
        <v>239</v>
      </c>
      <c r="E71" s="15">
        <v>42624.457291666666</v>
      </c>
      <c r="F71" s="15">
        <v>42624.459560185183</v>
      </c>
      <c r="G71" s="7">
        <v>2</v>
      </c>
      <c r="H71" s="15" t="s">
        <v>269</v>
      </c>
      <c r="I71" s="15">
        <v>42624.485601851855</v>
      </c>
      <c r="J71" s="7">
        <v>1</v>
      </c>
      <c r="K71" s="121" t="str">
        <f t="shared" si="24"/>
        <v>4019/4020</v>
      </c>
      <c r="L71" s="24" t="str">
        <f>VLOOKUP(A71,'Trips&amp;Operators'!$C$1:$E$10000,3,FALSE)</f>
        <v>STEWART</v>
      </c>
      <c r="M71" s="6">
        <f t="shared" si="25"/>
        <v>2.6041666671517305E-2</v>
      </c>
      <c r="N71" s="7">
        <f t="shared" si="38"/>
        <v>37.500000006984919</v>
      </c>
      <c r="O71" s="7"/>
      <c r="P71" s="7"/>
      <c r="Q71" s="25"/>
      <c r="R71" s="25"/>
      <c r="S71" s="37">
        <f t="shared" si="26"/>
        <v>1</v>
      </c>
      <c r="T71" s="52" t="str">
        <f t="shared" si="27"/>
        <v>NorthBound</v>
      </c>
      <c r="U71" s="163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09:58:30-0600',mode:absolute,to:'2016-09-11 12:39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71" s="54" t="str">
        <f t="shared" si="29"/>
        <v>N</v>
      </c>
      <c r="X71" s="168">
        <f t="shared" si="30"/>
        <v>1</v>
      </c>
      <c r="Y71" s="69">
        <f t="shared" si="31"/>
        <v>4.53E-2</v>
      </c>
      <c r="Z71" s="69">
        <f t="shared" si="32"/>
        <v>23.331</v>
      </c>
      <c r="AA71" s="69">
        <f t="shared" si="33"/>
        <v>23.285699999999999</v>
      </c>
      <c r="AB71" s="66" t="e">
        <f>VLOOKUP(A71,Enforcements!$C$7:$K$21,8,0)</f>
        <v>#N/A</v>
      </c>
      <c r="AC71" s="62" t="e">
        <f>VLOOKUP(A71,Enforcements!$C$7:$E$21,3,0)</f>
        <v>#N/A</v>
      </c>
      <c r="AD71" s="63" t="str">
        <f t="shared" si="34"/>
        <v>0159-11</v>
      </c>
      <c r="AE71" s="99" t="str">
        <f t="shared" si="35"/>
        <v>aws s3 cp s3://rtdc.mdm.uploadarchive/RTDC4020/2016-09-11/ "%USERPROFILE%\AppData\Local\Temp\OnboardLogs"\RTDC4020\2016-09-11 --recursive &amp; "%USERPROFILE%\Documents\GitHub\mrs-test-scripts\Headless Mode &amp; Sideloading\WalkAndUnGZ.bat" "%USERPROFILE%\AppData\Local\Temp\OnboardLogs"\RTDC4020\2016-09-11 &amp; 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</v>
      </c>
      <c r="AF71" s="96" t="str">
        <f t="shared" si="36"/>
        <v>"C:\Program Files (x86)\AstroGrep\AstroGrep.exe" /spath="%USERPROFILE%\AppData\Local\Temp\OnboardLogs" /stypes="*4020*20160911*" /stext=" 17:.+((SYSTEM_STATE.+slice.+state.+changed )|(ment ac)|(system.+state.+changed )|(\|lc)|(penalty)|(\[timeout)|(PRM\|1\|D)|(kpr)|(kdp))" /e /r /s</v>
      </c>
      <c r="AG71" s="1" t="str">
        <f t="shared" si="37"/>
        <v>EC</v>
      </c>
      <c r="AH71" s="100" t="str">
        <f t="shared" si="17"/>
        <v>"%USERPROFILE%\Documents\GitHub\eaglep3\Utilities\RefineRTDCRunTimes.py" --tripid 159-11 --locoid 4020 --swversion DE.1.0.7.0 --startMP 204:453 --initTime 2016-09-11T10:58:30 --startdatetime 2016-09-11T11:01:46 --delay 2 --endMP 204:233310 --enddatetime 2016-09-11T11:39:16 --enforcementcount 1 &gt;&gt;C:\Users\stu\Documents\GitHub\eaglep3-reporting\EC\2016-09-11-refined-times.txt</v>
      </c>
      <c r="AI71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{"issue":{"subject":"","project_id":79,"tracker_id":40,"status_id":1,"priority_id":2,"assigned_to_id":23,"start_date":"2016-09-11","description":"","custom_fields":[{"id":1,"name":"Subdivision","value":"EC"},{"id":4,"name":"Milepost","value":"23.2857"},{"id":17,"name":"Train ID","value":"159-11"},{"id":16,"name":"Locomotive ID","value":"4020"},{"id":130,"name":"Impact","value":""},{"id":150,"name":"Time of Event (Mountain Time)","value":"11:39:16"},{"id":151,"name":"Denver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491</v>
      </c>
      <c r="B72" s="7">
        <v>4019</v>
      </c>
      <c r="C72" s="24" t="s">
        <v>108</v>
      </c>
      <c r="D72" s="24" t="s">
        <v>234</v>
      </c>
      <c r="E72" s="15">
        <v>42624.49459490741</v>
      </c>
      <c r="F72" s="15">
        <v>42624.497870370367</v>
      </c>
      <c r="G72" s="7">
        <v>1</v>
      </c>
      <c r="H72" s="15" t="s">
        <v>241</v>
      </c>
      <c r="I72" s="15">
        <v>42624.529918981483</v>
      </c>
      <c r="J72" s="7">
        <v>1</v>
      </c>
      <c r="K72" s="121" t="str">
        <f t="shared" si="24"/>
        <v>4019/4020</v>
      </c>
      <c r="L72" s="24" t="str">
        <f>VLOOKUP(A72,'Trips&amp;Operators'!$C$1:$E$10000,3,FALSE)</f>
        <v>STEWART</v>
      </c>
      <c r="M72" s="6">
        <f t="shared" si="25"/>
        <v>3.2048611115897074E-2</v>
      </c>
      <c r="N72" s="7">
        <f t="shared" si="38"/>
        <v>46.150000006891787</v>
      </c>
      <c r="O72" s="7"/>
      <c r="P72" s="7"/>
      <c r="Q72" s="25"/>
      <c r="R72" s="25"/>
      <c r="S72" s="37">
        <f t="shared" si="26"/>
        <v>1</v>
      </c>
      <c r="T72" s="52" t="str">
        <f t="shared" si="27"/>
        <v>Southbound</v>
      </c>
      <c r="U72" s="163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10:52:13-0600',mode:absolute,to:'2016-09-11 13:43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72" s="54" t="str">
        <f t="shared" si="29"/>
        <v>N</v>
      </c>
      <c r="X72" s="168">
        <f t="shared" si="30"/>
        <v>1</v>
      </c>
      <c r="Y72" s="69">
        <f t="shared" si="31"/>
        <v>23.299099999999999</v>
      </c>
      <c r="Z72" s="69">
        <f t="shared" si="32"/>
        <v>1.4999999999999999E-2</v>
      </c>
      <c r="AA72" s="69">
        <f t="shared" si="33"/>
        <v>23.284099999999999</v>
      </c>
      <c r="AB72" s="66" t="e">
        <f>VLOOKUP(A72,Enforcements!$C$7:$K$21,8,0)</f>
        <v>#N/A</v>
      </c>
      <c r="AC72" s="62" t="e">
        <f>VLOOKUP(A72,Enforcements!$C$7:$E$21,3,0)</f>
        <v>#N/A</v>
      </c>
      <c r="AD72" s="63" t="str">
        <f t="shared" si="34"/>
        <v>0160-11</v>
      </c>
      <c r="AE72" s="99" t="str">
        <f t="shared" si="35"/>
        <v>aws s3 cp s3://rtdc.mdm.uploadarchive/RTDC4019/2016-09-11/ "%USERPROFILE%\AppData\Local\Temp\OnboardLogs"\RTDC4019\2016-09-11 --recursive &amp; "%USERPROFILE%\Documents\GitHub\mrs-test-scripts\Headless Mode &amp; Sideloading\WalkAndUnGZ.bat" "%USERPROFILE%\AppData\Local\Temp\OnboardLogs"\RTDC4019\2016-09-11 &amp; 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</v>
      </c>
      <c r="AF72" s="96" t="str">
        <f t="shared" si="36"/>
        <v>"C:\Program Files (x86)\AstroGrep\AstroGrep.exe" /spath="%USERPROFILE%\AppData\Local\Temp\OnboardLogs" /stypes="*4019*20160911*" /stext=" 18:.+((SYSTEM_STATE.+slice.+state.+changed )|(ment ac)|(system.+state.+changed )|(\|lc)|(penalty)|(\[timeout)|(PRM\|1\|D)|(kpr)|(kdp))" /e /r /s</v>
      </c>
      <c r="AG72" s="1" t="str">
        <f t="shared" si="37"/>
        <v>EC</v>
      </c>
      <c r="AH72" s="100" t="str">
        <f t="shared" si="17"/>
        <v>"%USERPROFILE%\Documents\GitHub\eaglep3\Utilities\RefineRTDCRunTimes.py" --tripid 160-11 --locoid 4019 --swversion DE.1.0.7.0 --startMP 204:232991 --initTime 2016-09-11T11:52:13 --startdatetime 2016-09-11T11:56:56 --delay 1 --endMP 204:150 --enddatetime 2016-09-11T12:43:05 --enforcementcount 1 &gt;&gt;C:\Users\stu\Documents\GitHub\eaglep3-reporting\EC\2016-09-11-refined-times.txt</v>
      </c>
      <c r="AI72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{"issue":{"subject":"","project_id":79,"tracker_id":40,"status_id":1,"priority_id":2,"assigned_to_id":23,"start_date":"2016-09-11","description":"","custom_fields":[{"id":1,"name":"Subdivision","value":"EC"},{"id":4,"name":"Milepost","value":"23.2841"},{"id":17,"name":"Train ID","value":"160-11"},{"id":16,"name":"Locomotive ID","value":"4019"},{"id":130,"name":"Impact","value":""},{"id":150,"name":"Time of Event (Mountain Time)","value":"12:43:05"},{"id":151,"name":"Denver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695</v>
      </c>
      <c r="B73" s="7">
        <v>4027</v>
      </c>
      <c r="C73" s="24" t="s">
        <v>108</v>
      </c>
      <c r="D73" s="24" t="s">
        <v>234</v>
      </c>
      <c r="E73" s="15">
        <v>42624.49459490741</v>
      </c>
      <c r="F73" s="15">
        <v>42624.497870370367</v>
      </c>
      <c r="G73" s="7">
        <v>1</v>
      </c>
      <c r="H73" s="15" t="s">
        <v>241</v>
      </c>
      <c r="I73" s="15">
        <v>42624.529918981483</v>
      </c>
      <c r="J73" s="7">
        <v>1</v>
      </c>
      <c r="K73" s="121" t="str">
        <f t="shared" si="24"/>
        <v>4027/4028</v>
      </c>
      <c r="L73" s="24" t="e">
        <f>VLOOKUP(A73,'Trips&amp;Operators'!$C$1:$E$10000,3,FALSE)</f>
        <v>#N/A</v>
      </c>
      <c r="M73" s="6">
        <f t="shared" si="25"/>
        <v>3.2048611115897074E-2</v>
      </c>
      <c r="N73" s="7"/>
      <c r="O73" s="7"/>
      <c r="P73" s="7">
        <v>1</v>
      </c>
      <c r="Q73" s="25"/>
      <c r="R73" s="25" t="s">
        <v>711</v>
      </c>
      <c r="S73" s="37">
        <f t="shared" si="26"/>
        <v>0</v>
      </c>
      <c r="T73" s="52" t="str">
        <f t="shared" si="27"/>
        <v>NorthBound</v>
      </c>
      <c r="U73" s="163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0</v>
      </c>
      <c r="V73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10:52:13-0600',mode:absolute,to:'2016-09-11 13:43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73" s="54" t="str">
        <f t="shared" si="29"/>
        <v>N</v>
      </c>
      <c r="X73" s="168">
        <f t="shared" ref="X73:X78" si="39">VALUE(LEFT(AD73,4))-VALUE(LEFT(AD72,4))</f>
        <v>1</v>
      </c>
      <c r="Y73" s="69">
        <f t="shared" si="31"/>
        <v>23.299099999999999</v>
      </c>
      <c r="Z73" s="69">
        <f t="shared" si="32"/>
        <v>1.4999999999999999E-2</v>
      </c>
      <c r="AA73" s="69">
        <f t="shared" si="33"/>
        <v>23.284099999999999</v>
      </c>
      <c r="AB73" s="66" t="e">
        <f>VLOOKUP(A73,Enforcements!$C$7:$K$21,8,0)</f>
        <v>#N/A</v>
      </c>
      <c r="AC73" s="62" t="e">
        <f>VLOOKUP(A73,Enforcements!$C$7:$E$21,3,0)</f>
        <v>#N/A</v>
      </c>
      <c r="AD73" s="63" t="str">
        <f t="shared" si="34"/>
        <v>0161-11</v>
      </c>
      <c r="AE73" s="99" t="str">
        <f t="shared" si="35"/>
        <v>aws s3 cp s3://rtdc.mdm.uploadarchive/RTDC4027/2016-09-11/ "%USERPROFILE%\AppData\Local\Temp\OnboardLogs"\RTDC4027\2016-09-11 --recursive &amp; "%USERPROFILE%\Documents\GitHub\mrs-test-scripts\Headless Mode &amp; Sideloading\WalkAndUnGZ.bat" "%USERPROFILE%\AppData\Local\Temp\OnboardLogs"\RTDC4027\2016-09-11 &amp; 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</v>
      </c>
      <c r="AF73" s="96" t="str">
        <f t="shared" si="36"/>
        <v>"C:\Program Files (x86)\AstroGrep\AstroGrep.exe" /spath="%USERPROFILE%\AppData\Local\Temp\OnboardLogs" /stypes="*4027*20160911*" /stext=" 18:.+((SYSTEM_STATE.+slice.+state.+changed )|(ment ac)|(system.+state.+changed )|(\|lc)|(penalty)|(\[timeout)|(PRM\|1\|D)|(kpr)|(kdp))" /e /r /s</v>
      </c>
      <c r="AG73" s="1" t="str">
        <f t="shared" si="37"/>
        <v>EC</v>
      </c>
      <c r="AH73" s="100" t="str">
        <f t="shared" ref="AH73" si="40">refinertdcruntimes&amp;" --tripid "&amp;A73&amp;" --locoid "&amp;B73&amp;" --swversion "&amp;C73&amp;" --startMP "&amp;D73&amp;" --initTime "&amp;TEXT(E73,"yyyy-mm-ddTHH:MM:SS")&amp;" --startdatetime "&amp;TEXT(F73,"yyyy-mm-ddTHH:MM:SS")&amp;" --delay "&amp;G73&amp;" --endMP "&amp;H73&amp;" --enddatetime "&amp;TEXT(I73,"yyyy-mm-ddTHH:MM:SS")&amp;" --enforcementcount "&amp;J73&amp;IF(outputrefinedruntimes," &gt;&gt;"&amp;RefinedRTDCRunTimesOutputFile,"")</f>
        <v>"%USERPROFILE%\Documents\GitHub\eaglep3\Utilities\RefineRTDCRunTimes.py" --tripid 161-11 --locoid 4027 --swversion DE.1.0.7.0 --startMP 204:232991 --initTime 2016-09-11T11:52:13 --startdatetime 2016-09-11T11:56:56 --delay 1 --endMP 204:150 --enddatetime 2016-09-11T12:43:05 --enforcementcount 1 &gt;&gt;C:\Users\stu\Documents\GitHub\eaglep3-reporting\EC\2016-09-11-refined-times.txt</v>
      </c>
      <c r="AI73" s="134" t="str">
        <f t="shared" ref="AI73" si="41">"echo {""issue"":{""subject"":"""&amp;R73&amp;""",""project_id"":79,""tracker_id"":40,""status_id"":"&amp;redmine_status&amp;",""priority_id"":"&amp;redmine_priority&amp;",""assigned_to_id"":"&amp;redmine_assignee&amp;",""start_date"":"""&amp;TEXT(I73,"YYYY-mm-dd")&amp;""",""description"":"""&amp;AJ73&amp;""",""custom_fields"":[{""id"":1,""name"":""Subdivision"",""value"":"""&amp;AG73&amp;"""},{""id"":4,""name"":""Milepost"",""value"":"""&amp;AA73&amp;"""},{""id"":17,""name"":""Train ID"",""value"":"""&amp;A73&amp;"""},{""id"":16,""name"":""Locomotive ID"",""value"":"""&amp;B73&amp;"""},{""id"":130,""name"":""Impact"",""value"":"""&amp;AK73&amp;"""},{""id"":150,""name"":""Time of Event (Mountain Time)"",""value"":"""&amp;TEXT(I73,"hh:mm:ss")&amp;"""},{""id"":151,""name"":""Denver Issue ID"",""value"":"""&amp;"""},{""id"":178,""name"":""Operational Impact"",""value"":"""&amp;redmine_op_impact&amp;"""},{""id"":179,""name"":""Denver Segment Assigned"",""value"":"""&amp;AL73&amp;"""}]}}"&amp;" | curl -X POST -H ""Content-Type: application/json"" -H ""X-Redmine-API-Key: "&amp;redm_api_key&amp;""" "&amp;redm_url&amp;" --data @-"</f>
        <v>echo {"issue":{"subject":"Did not init - S/W download screen","project_id":79,"tracker_id":40,"status_id":1,"priority_id":2,"assigned_to_id":23,"start_date":"2016-09-11","description":"","custom_fields":[{"id":1,"name":"Subdivision","value":"EC"},{"id":4,"name":"Milepost","value":"23.2841"},{"id":17,"name":"Train ID","value":"161-11"},{"id":16,"name":"Locomotive ID","value":"4027"},{"id":130,"name":"Impact","value":""},{"id":150,"name":"Time of Event (Mountain Time)","value":"12:43:05"},{"id":151,"name":"Denver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492</v>
      </c>
      <c r="B74" s="7">
        <v>4028</v>
      </c>
      <c r="C74" s="24" t="s">
        <v>108</v>
      </c>
      <c r="D74" s="24" t="s">
        <v>317</v>
      </c>
      <c r="E74" s="15">
        <v>42624.498263888891</v>
      </c>
      <c r="F74" s="15">
        <v>42624.508796296293</v>
      </c>
      <c r="G74" s="7">
        <v>1</v>
      </c>
      <c r="H74" s="15" t="s">
        <v>235</v>
      </c>
      <c r="I74" s="15">
        <v>42624.537256944444</v>
      </c>
      <c r="J74" s="7">
        <v>1</v>
      </c>
      <c r="K74" s="121" t="str">
        <f t="shared" ref="K74:K86" si="42">IF(ISEVEN(B74),(B74-1)&amp;"/"&amp;B74,B74&amp;"/"&amp;(B74+1))</f>
        <v>4027/4028</v>
      </c>
      <c r="L74" s="24" t="str">
        <f>VLOOKUP(A74,'Trips&amp;Operators'!$C$1:$E$10000,3,FALSE)</f>
        <v>BARTLETT</v>
      </c>
      <c r="M74" s="6">
        <f t="shared" ref="M74:M86" si="43">I74-F74</f>
        <v>2.846064815093996E-2</v>
      </c>
      <c r="N74" s="7">
        <f>24*60*SUM($M74:$M74)</f>
        <v>40.983333337353542</v>
      </c>
      <c r="O74" s="7"/>
      <c r="P74" s="7"/>
      <c r="Q74" s="25"/>
      <c r="R74" s="25"/>
      <c r="S74" s="37">
        <f t="shared" ref="S74:S86" si="44">SUM(U74:U74)/IF(AG74="EC",12,1)</f>
        <v>1</v>
      </c>
      <c r="T74" s="52" t="str">
        <f t="shared" ref="T74:T86" si="45">IF(ISEVEN(LEFT(AD74,4)),"Southbound","NorthBound")</f>
        <v>Southbound</v>
      </c>
      <c r="U74" s="163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ref="V74:V86" si="46">"https://search-rtdc-monitor-bjffxe2xuh6vdkpspy63sjmuny.us-east-1.es.amazonaws.com/_plugin/kibana/#/discover/Steve-Slow-Train-Analysis-(2080s-and-2083s)?_g=(refreshInterval:(display:Off,section:0,value:0),time:(from:'"&amp;TEXT(E74-1/24,"yyyy-MM-DD hh:mm:ss")&amp;"-0600',mode:absolute,to:'"&amp;TEXT(I74+1/24,"yyyy-MM-DD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74&amp;"%22')),sort:!(Time,asc))"</f>
        <v>https://search-rtdc-monitor-bjffxe2xuh6vdkpspy63sjmuny.us-east-1.es.amazonaws.com/_plugin/kibana/#/discover/Steve-Slow-Train-Analysis-(2080s-and-2083s)?_g=(refreshInterval:(display:Off,section:0,value:0),time:(from:'2016-09-11 10:57:30-0600',mode:absolute,to:'2016-09-11 13:53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74" s="54" t="str">
        <f t="shared" ref="W74:W86" si="47">IF(AA74&lt;IF(AG74="EC",23,5.65),"Y","N")</f>
        <v>N</v>
      </c>
      <c r="X74" s="168">
        <f t="shared" si="39"/>
        <v>1</v>
      </c>
      <c r="Y74" s="69">
        <f t="shared" ref="Y74:Y86" si="48">RIGHT(D74,LEN(D74)-4)/10000</f>
        <v>23.299399999999999</v>
      </c>
      <c r="Z74" s="69">
        <f t="shared" ref="Z74:Z86" si="49">RIGHT(H74,LEN(H74)-4)/10000</f>
        <v>1.5800000000000002E-2</v>
      </c>
      <c r="AA74" s="69">
        <f t="shared" ref="AA74:AA86" si="50">ABS(Z74-Y74)</f>
        <v>23.2836</v>
      </c>
      <c r="AB74" s="66" t="e">
        <f>VLOOKUP(A74,Enforcements!$C$7:$K$21,8,0)</f>
        <v>#N/A</v>
      </c>
      <c r="AC74" s="62" t="e">
        <f>VLOOKUP(A74,Enforcements!$C$7:$E$21,3,0)</f>
        <v>#N/A</v>
      </c>
      <c r="AD74" s="63" t="str">
        <f t="shared" ref="AD74:AD86" si="51">IF(LEN(A74)=6,"0"&amp;A74,A74)</f>
        <v>0162-11</v>
      </c>
      <c r="AE74" s="99" t="str">
        <f t="shared" ref="AE74:AE92" si="52">"aws s3 cp "&amp;s3_bucket&amp;"/RTDC"&amp;B74&amp;"/"&amp;TEXT(F74,"YYYY-MM-DD")&amp;"/ "&amp;search_path&amp;"\RTDC"&amp;B74&amp;"\"&amp;TEXT(F74,"YYYY-MM-DD")&amp;" --recursive &amp; """&amp;walkandungz&amp;""" "&amp;search_path&amp;"\RTDC"&amp;B74&amp;"\"&amp;TEXT(F74,"YYYY-MM-DD")
&amp;" &amp; "&amp;"aws s3 cp "&amp;s3_bucket&amp;"/RTDC"&amp;B74&amp;"/"&amp;TEXT(F74+1,"YYYY-MM-DD")&amp;"/ "&amp;search_path&amp;"\RTDC"&amp;B74&amp;"\"&amp;TEXT(F74+1,"YYYY-MM-DD")&amp;" --recursive &amp; """&amp;walkandungz&amp;""" "&amp;search_path&amp;"\RTDC"&amp;B74&amp;"\"&amp;TEXT(F74+1,"YYYY-MM-DD")</f>
        <v>aws s3 cp s3://rtdc.mdm.uploadarchive/RTDC4028/2016-09-11/ "%USERPROFILE%\AppData\Local\Temp\OnboardLogs"\RTDC4028\2016-09-11 --recursive &amp; "%USERPROFILE%\Documents\GitHub\mrs-test-scripts\Headless Mode &amp; Sideloading\WalkAndUnGZ.bat" "%USERPROFILE%\AppData\Local\Temp\OnboardLogs"\RTDC4028\2016-09-11 &amp; 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</v>
      </c>
      <c r="AF74" s="96" t="str">
        <f t="shared" ref="AF74:AF92" si="53">astrogrep_path&amp;" /spath="&amp;search_path&amp;" /stypes=""*"&amp;B74&amp;"*"&amp;TEXT(I74-utc_offset/24,"YYYYMMDD")&amp;"*"" /stext="" "&amp;TEXT(I74-utc_offset/24,"HH")&amp;search_regexp&amp;""" /e /r /s"</f>
        <v>"C:\Program Files (x86)\AstroGrep\AstroGrep.exe" /spath="%USERPROFILE%\AppData\Local\Temp\OnboardLogs" /stypes="*4028*20160911*" /stext=" 18:.+((SYSTEM_STATE.+slice.+state.+changed )|(ment ac)|(system.+state.+changed )|(\|lc)|(penalty)|(\[timeout)|(PRM\|1\|D)|(kpr)|(kdp))" /e /r /s</v>
      </c>
      <c r="AG74" s="1" t="str">
        <f t="shared" ref="AG74:AG86" si="54">IFERROR(IF(VALUE(LEFT(AD74,2))&lt;=2,"EC",IF(OR(VALUE(LEFT(AD74,2))=8,VALUE(LEFT(AD74,2))=18),"NW","Other")),"Other")</f>
        <v>EC</v>
      </c>
      <c r="AH74" s="100" t="str">
        <f t="shared" si="17"/>
        <v>"%USERPROFILE%\Documents\GitHub\eaglep3\Utilities\RefineRTDCRunTimes.py" --tripid 162-11 --locoid 4028 --swversion DE.1.0.7.0 --startMP 204:232994 --initTime 2016-09-11T11:57:30 --startdatetime 2016-09-11T12:12:40 --delay 1 --endMP 204:158 --enddatetime 2016-09-11T12:53:39 --enforcementcount 1 &gt;&gt;C:\Users\stu\Documents\GitHub\eaglep3-reporting\EC\2016-09-11-refined-times.txt</v>
      </c>
      <c r="AI74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{"issue":{"subject":"","project_id":79,"tracker_id":40,"status_id":1,"priority_id":2,"assigned_to_id":23,"start_date":"2016-09-11","description":"","custom_fields":[{"id":1,"name":"Subdivision","value":"EC"},{"id":4,"name":"Milepost","value":"23.2836"},{"id":17,"name":"Train ID","value":"162-11"},{"id":16,"name":"Locomotive ID","value":"4028"},{"id":130,"name":"Impact","value":""},{"id":150,"name":"Time of Event (Mountain Time)","value":"12:53:39"},{"id":151,"name":"Denver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696</v>
      </c>
      <c r="B75" s="7">
        <v>4040</v>
      </c>
      <c r="C75" s="24" t="s">
        <v>108</v>
      </c>
      <c r="D75" s="24" t="s">
        <v>317</v>
      </c>
      <c r="E75" s="15">
        <v>42624.498263888891</v>
      </c>
      <c r="F75" s="15">
        <v>42624.508796296293</v>
      </c>
      <c r="G75" s="7">
        <v>1</v>
      </c>
      <c r="H75" s="15" t="s">
        <v>235</v>
      </c>
      <c r="I75" s="15">
        <v>42624.537256944444</v>
      </c>
      <c r="J75" s="7">
        <v>1</v>
      </c>
      <c r="K75" s="121" t="str">
        <f t="shared" si="42"/>
        <v>4039/4040</v>
      </c>
      <c r="L75" s="24" t="e">
        <f>VLOOKUP(A75,'Trips&amp;Operators'!$C$1:$E$10000,3,FALSE)</f>
        <v>#N/A</v>
      </c>
      <c r="M75" s="6">
        <f t="shared" si="43"/>
        <v>2.846064815093996E-2</v>
      </c>
      <c r="N75" s="7"/>
      <c r="O75" s="7"/>
      <c r="P75" s="7">
        <v>1</v>
      </c>
      <c r="Q75" s="25"/>
      <c r="R75" s="25" t="s">
        <v>711</v>
      </c>
      <c r="S75" s="37">
        <f t="shared" si="44"/>
        <v>0</v>
      </c>
      <c r="T75" s="52" t="str">
        <f t="shared" si="45"/>
        <v>NorthBound</v>
      </c>
      <c r="U75" s="163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0</v>
      </c>
      <c r="V75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https://search-rtdc-monitor-bjffxe2xuh6vdkpspy63sjmuny.us-east-1.es.amazonaws.com/_plugin/kibana/#/discover/Steve-Slow-Train-Analysis-(2080s-and-2083s)?_g=(refreshInterval:(display:Off,section:0,value:0),time:(from:'2016-09-11 10:57:30-0600',mode:absolute,to:'2016-09-11 13:53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75" s="54" t="str">
        <f t="shared" si="47"/>
        <v>N</v>
      </c>
      <c r="X75" s="168">
        <f t="shared" si="39"/>
        <v>1</v>
      </c>
      <c r="Y75" s="69">
        <f t="shared" si="48"/>
        <v>23.299399999999999</v>
      </c>
      <c r="Z75" s="69">
        <f t="shared" si="49"/>
        <v>1.5800000000000002E-2</v>
      </c>
      <c r="AA75" s="69">
        <f t="shared" si="50"/>
        <v>23.2836</v>
      </c>
      <c r="AB75" s="66" t="e">
        <f>VLOOKUP(A75,Enforcements!$C$7:$K$21,8,0)</f>
        <v>#N/A</v>
      </c>
      <c r="AC75" s="62" t="e">
        <f>VLOOKUP(A75,Enforcements!$C$7:$E$21,3,0)</f>
        <v>#N/A</v>
      </c>
      <c r="AD75" s="63" t="str">
        <f t="shared" si="51"/>
        <v>0163-11</v>
      </c>
      <c r="AE75" s="99" t="str">
        <f t="shared" si="52"/>
        <v>aws s3 cp s3://rtdc.mdm.uploadarchive/RTDC4040/2016-09-11/ "%USERPROFILE%\AppData\Local\Temp\OnboardLogs"\RTDC4040\2016-09-11 --recursive &amp; "%USERPROFILE%\Documents\GitHub\mrs-test-scripts\Headless Mode &amp; Sideloading\WalkAndUnGZ.bat" "%USERPROFILE%\AppData\Local\Temp\OnboardLogs"\RTDC4040\2016-09-11 &amp; aws s3 cp s3://rtdc.mdm.uploadarchive/RTDC4040/2016-09-12/ "%USERPROFILE%\AppData\Local\Temp\OnboardLogs"\RTDC4040\2016-09-12 --recursive &amp; "%USERPROFILE%\Documents\GitHub\mrs-test-scripts\Headless Mode &amp; Sideloading\WalkAndUnGZ.bat" "%USERPROFILE%\AppData\Local\Temp\OnboardLogs"\RTDC4040\2016-09-12</v>
      </c>
      <c r="AF75" s="96" t="str">
        <f t="shared" si="53"/>
        <v>"C:\Program Files (x86)\AstroGrep\AstroGrep.exe" /spath="%USERPROFILE%\AppData\Local\Temp\OnboardLogs" /stypes="*4040*20160911*" /stext=" 18:.+((SYSTEM_STATE.+slice.+state.+changed )|(ment ac)|(system.+state.+changed )|(\|lc)|(penalty)|(\[timeout)|(PRM\|1\|D)|(kpr)|(kdp))" /e /r /s</v>
      </c>
      <c r="AG75" s="1" t="str">
        <f t="shared" si="54"/>
        <v>EC</v>
      </c>
      <c r="AH75" s="100" t="str">
        <f t="shared" ref="AH75" si="55">refinertdcruntimes&amp;" --tripid "&amp;A75&amp;" --locoid "&amp;B75&amp;" --swversion "&amp;C75&amp;" --startMP "&amp;D75&amp;" --initTime "&amp;TEXT(E75,"yyyy-mm-ddTHH:MM:SS")&amp;" --startdatetime "&amp;TEXT(F75,"yyyy-mm-ddTHH:MM:SS")&amp;" --delay "&amp;G75&amp;" --endMP "&amp;H75&amp;" --enddatetime "&amp;TEXT(I75,"yyyy-mm-ddTHH:MM:SS")&amp;" --enforcementcount "&amp;J75&amp;IF(outputrefinedruntimes," &gt;&gt;"&amp;RefinedRTDCRunTimesOutputFile,"")</f>
        <v>"%USERPROFILE%\Documents\GitHub\eaglep3\Utilities\RefineRTDCRunTimes.py" --tripid 163-11 --locoid 4040 --swversion DE.1.0.7.0 --startMP 204:232994 --initTime 2016-09-11T11:57:30 --startdatetime 2016-09-11T12:12:40 --delay 1 --endMP 204:158 --enddatetime 2016-09-11T12:53:39 --enforcementcount 1 &gt;&gt;C:\Users\stu\Documents\GitHub\eaglep3-reporting\EC\2016-09-11-refined-times.txt</v>
      </c>
      <c r="AI75" s="134" t="str">
        <f t="shared" ref="AI75" si="56">"echo {""issue"":{""subject"":"""&amp;R75&amp;""",""project_id"":79,""tracker_id"":40,""status_id"":"&amp;redmine_status&amp;",""priority_id"":"&amp;redmine_priority&amp;",""assigned_to_id"":"&amp;redmine_assignee&amp;",""start_date"":"""&amp;TEXT(I75,"YYYY-mm-dd")&amp;""",""description"":"""&amp;AJ75&amp;""",""custom_fields"":[{""id"":1,""name"":""Subdivision"",""value"":"""&amp;AG75&amp;"""},{""id"":4,""name"":""Milepost"",""value"":"""&amp;AA75&amp;"""},{""id"":17,""name"":""Train ID"",""value"":"""&amp;A75&amp;"""},{""id"":16,""name"":""Locomotive ID"",""value"":"""&amp;B75&amp;"""},{""id"":130,""name"":""Impact"",""value"":"""&amp;AK75&amp;"""},{""id"":150,""name"":""Time of Event (Mountain Time)"",""value"":"""&amp;TEXT(I75,"hh:mm:ss")&amp;"""},{""id"":151,""name"":""Denver Issue ID"",""value"":"""&amp;"""},{""id"":178,""name"":""Operational Impact"",""value"":"""&amp;redmine_op_impact&amp;"""},{""id"":179,""name"":""Denver Segment Assigned"",""value"":"""&amp;AL75&amp;"""}]}}"&amp;" | curl -X POST -H ""Content-Type: application/json"" -H ""X-Redmine-API-Key: "&amp;redm_api_key&amp;""" "&amp;redm_url&amp;" --data @-"</f>
        <v>echo {"issue":{"subject":"Did not init - S/W download screen","project_id":79,"tracker_id":40,"status_id":1,"priority_id":2,"assigned_to_id":23,"start_date":"2016-09-11","description":"","custom_fields":[{"id":1,"name":"Subdivision","value":"EC"},{"id":4,"name":"Milepost","value":"23.2836"},{"id":17,"name":"Train ID","value":"163-11"},{"id":16,"name":"Locomotive ID","value":"4040"},{"id":130,"name":"Impact","value":""},{"id":150,"name":"Time of Event (Mountain Time)","value":"12:53:39"},{"id":151,"name":"Denver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493</v>
      </c>
      <c r="B76" s="7">
        <v>4039</v>
      </c>
      <c r="C76" s="24" t="s">
        <v>108</v>
      </c>
      <c r="D76" s="24" t="s">
        <v>346</v>
      </c>
      <c r="E76" s="15">
        <v>42624.511631944442</v>
      </c>
      <c r="F76" s="15">
        <v>42624.518414351849</v>
      </c>
      <c r="G76" s="7">
        <v>2</v>
      </c>
      <c r="H76" s="15" t="s">
        <v>238</v>
      </c>
      <c r="I76" s="15">
        <v>42624.549733796295</v>
      </c>
      <c r="J76" s="7">
        <v>1</v>
      </c>
      <c r="K76" s="121" t="str">
        <f t="shared" si="42"/>
        <v>4039/4040</v>
      </c>
      <c r="L76" s="24" t="str">
        <f>VLOOKUP(A76,'Trips&amp;Operators'!$C$1:$E$10000,3,FALSE)</f>
        <v>BRUDER</v>
      </c>
      <c r="M76" s="6">
        <f t="shared" si="43"/>
        <v>3.1319444446125999E-2</v>
      </c>
      <c r="N76" s="7">
        <f>24*60*SUM($M76:$M76)</f>
        <v>45.100000002421439</v>
      </c>
      <c r="O76" s="7"/>
      <c r="P76" s="7"/>
      <c r="Q76" s="25"/>
      <c r="R76" s="25"/>
      <c r="S76" s="37">
        <f t="shared" si="44"/>
        <v>1</v>
      </c>
      <c r="T76" s="52" t="str">
        <f t="shared" si="45"/>
        <v>Southbound</v>
      </c>
      <c r="U76" s="163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https://search-rtdc-monitor-bjffxe2xuh6vdkpspy63sjmuny.us-east-1.es.amazonaws.com/_plugin/kibana/#/discover/Steve-Slow-Train-Analysis-(2080s-and-2083s)?_g=(refreshInterval:(display:Off,section:0,value:0),time:(from:'2016-09-11 11:16:45-0600',mode:absolute,to:'2016-09-11 14:11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76" s="54" t="str">
        <f t="shared" si="47"/>
        <v>N</v>
      </c>
      <c r="X76" s="168">
        <f t="shared" si="39"/>
        <v>1</v>
      </c>
      <c r="Y76" s="69">
        <f t="shared" si="48"/>
        <v>23.3002</v>
      </c>
      <c r="Z76" s="69">
        <f t="shared" si="49"/>
        <v>1.47E-2</v>
      </c>
      <c r="AA76" s="69">
        <f t="shared" si="50"/>
        <v>23.285499999999999</v>
      </c>
      <c r="AB76" s="66" t="e">
        <f>VLOOKUP(A76,Enforcements!$C$7:$K$21,8,0)</f>
        <v>#N/A</v>
      </c>
      <c r="AC76" s="62" t="e">
        <f>VLOOKUP(A76,Enforcements!$C$7:$E$21,3,0)</f>
        <v>#N/A</v>
      </c>
      <c r="AD76" s="63" t="str">
        <f t="shared" si="51"/>
        <v>0164-11</v>
      </c>
      <c r="AE76" s="99" t="str">
        <f t="shared" si="52"/>
        <v>aws s3 cp s3://rtdc.mdm.uploadarchive/RTDC4039/2016-09-11/ "%USERPROFILE%\AppData\Local\Temp\OnboardLogs"\RTDC4039\2016-09-11 --recursive &amp; "%USERPROFILE%\Documents\GitHub\mrs-test-scripts\Headless Mode &amp; Sideloading\WalkAndUnGZ.bat" "%USERPROFILE%\AppData\Local\Temp\OnboardLogs"\RTDC4039\2016-09-11 &amp; aws s3 cp s3://rtdc.mdm.uploadarchive/RTDC4039/2016-09-12/ "%USERPROFILE%\AppData\Local\Temp\OnboardLogs"\RTDC4039\2016-09-12 --recursive &amp; "%USERPROFILE%\Documents\GitHub\mrs-test-scripts\Headless Mode &amp; Sideloading\WalkAndUnGZ.bat" "%USERPROFILE%\AppData\Local\Temp\OnboardLogs"\RTDC4039\2016-09-12</v>
      </c>
      <c r="AF76" s="96" t="str">
        <f t="shared" si="53"/>
        <v>"C:\Program Files (x86)\AstroGrep\AstroGrep.exe" /spath="%USERPROFILE%\AppData\Local\Temp\OnboardLogs" /stypes="*4039*20160911*" /stext=" 19:.+((SYSTEM_STATE.+slice.+state.+changed )|(ment ac)|(system.+state.+changed )|(\|lc)|(penalty)|(\[timeout)|(PRM\|1\|D)|(kpr)|(kdp))" /e /r /s</v>
      </c>
      <c r="AG76" s="1" t="str">
        <f t="shared" si="54"/>
        <v>EC</v>
      </c>
      <c r="AH76" s="100" t="str">
        <f t="shared" si="17"/>
        <v>"%USERPROFILE%\Documents\GitHub\eaglep3\Utilities\RefineRTDCRunTimes.py" --tripid 164-11 --locoid 4039 --swversion DE.1.0.7.0 --startMP 204:233002 --initTime 2016-09-11T12:16:45 --startdatetime 2016-09-11T12:26:31 --delay 2 --endMP 204:147 --enddatetime 2016-09-11T13:11:37 --enforcementcount 1 &gt;&gt;C:\Users\stu\Documents\GitHub\eaglep3-reporting\EC\2016-09-11-refined-times.txt</v>
      </c>
      <c r="AI76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{"issue":{"subject":"","project_id":79,"tracker_id":40,"status_id":1,"priority_id":2,"assigned_to_id":23,"start_date":"2016-09-11","description":"","custom_fields":[{"id":1,"name":"Subdivision","value":"EC"},{"id":4,"name":"Milepost","value":"23.2855"},{"id":17,"name":"Train ID","value":"164-11"},{"id":16,"name":"Locomotive ID","value":"4039"},{"id":130,"name":"Impact","value":""},{"id":150,"name":"Time of Event (Mountain Time)","value":"13:11:37"},{"id":151,"name":"Denver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697</v>
      </c>
      <c r="B77" s="7"/>
      <c r="C77" s="24" t="s">
        <v>108</v>
      </c>
      <c r="D77" s="24" t="s">
        <v>346</v>
      </c>
      <c r="E77" s="15">
        <v>42624.511631944442</v>
      </c>
      <c r="F77" s="15">
        <v>42624.518414351849</v>
      </c>
      <c r="G77" s="7">
        <v>2</v>
      </c>
      <c r="H77" s="15" t="s">
        <v>238</v>
      </c>
      <c r="I77" s="15">
        <v>42624.549733796295</v>
      </c>
      <c r="J77" s="7">
        <v>1</v>
      </c>
      <c r="K77" s="121" t="str">
        <f t="shared" si="42"/>
        <v>-1/</v>
      </c>
      <c r="L77" s="24" t="e">
        <f>VLOOKUP(A77,'Trips&amp;Operators'!$C$1:$E$10000,3,FALSE)</f>
        <v>#N/A</v>
      </c>
      <c r="M77" s="6">
        <f t="shared" si="43"/>
        <v>3.1319444446125999E-2</v>
      </c>
      <c r="N77" s="7"/>
      <c r="O77" s="7"/>
      <c r="P77" s="7">
        <v>1</v>
      </c>
      <c r="Q77" s="25"/>
      <c r="R77" s="25" t="s">
        <v>711</v>
      </c>
      <c r="S77" s="37">
        <f t="shared" si="44"/>
        <v>0</v>
      </c>
      <c r="T77" s="52" t="str">
        <f t="shared" si="45"/>
        <v>NorthBound</v>
      </c>
      <c r="U77" s="163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0</v>
      </c>
      <c r="V77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https://search-rtdc-monitor-bjffxe2xuh6vdkpspy63sjmuny.us-east-1.es.amazonaws.com/_plugin/kibana/#/discover/Steve-Slow-Train-Analysis-(2080s-and-2083s)?_g=(refreshInterval:(display:Off,section:0,value:0),time:(from:'2016-09-11 11:16:45-0600',mode:absolute,to:'2016-09-11 14:11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%22')),sort:!(Time,asc))</v>
      </c>
      <c r="W77" s="54" t="str">
        <f t="shared" si="47"/>
        <v>N</v>
      </c>
      <c r="X77" s="168">
        <f t="shared" si="39"/>
        <v>1</v>
      </c>
      <c r="Y77" s="69">
        <f t="shared" si="48"/>
        <v>23.3002</v>
      </c>
      <c r="Z77" s="69">
        <f t="shared" si="49"/>
        <v>1.47E-2</v>
      </c>
      <c r="AA77" s="69">
        <f t="shared" si="50"/>
        <v>23.285499999999999</v>
      </c>
      <c r="AB77" s="66" t="e">
        <f>VLOOKUP(A77,Enforcements!$C$7:$K$21,8,0)</f>
        <v>#N/A</v>
      </c>
      <c r="AC77" s="62" t="e">
        <f>VLOOKUP(A77,Enforcements!$C$7:$E$21,3,0)</f>
        <v>#N/A</v>
      </c>
      <c r="AD77" s="63" t="str">
        <f t="shared" si="51"/>
        <v>0165-11</v>
      </c>
      <c r="AE77" s="99" t="str">
        <f t="shared" si="52"/>
        <v>aws s3 cp s3://rtdc.mdm.uploadarchive/RTDC/2016-09-11/ "%USERPROFILE%\AppData\Local\Temp\OnboardLogs"\RTDC\2016-09-11 --recursive &amp; "%USERPROFILE%\Documents\GitHub\mrs-test-scripts\Headless Mode &amp; Sideloading\WalkAndUnGZ.bat" "%USERPROFILE%\AppData\Local\Temp\OnboardLogs"\RTDC\2016-09-11 &amp; aws s3 cp s3://rtdc.mdm.uploadarchive/RTDC/2016-09-12/ "%USERPROFILE%\AppData\Local\Temp\OnboardLogs"\RTDC\2016-09-12 --recursive &amp; "%USERPROFILE%\Documents\GitHub\mrs-test-scripts\Headless Mode &amp; Sideloading\WalkAndUnGZ.bat" "%USERPROFILE%\AppData\Local\Temp\OnboardLogs"\RTDC\2016-09-12</v>
      </c>
      <c r="AF77" s="96" t="str">
        <f t="shared" si="53"/>
        <v>"C:\Program Files (x86)\AstroGrep\AstroGrep.exe" /spath="%USERPROFILE%\AppData\Local\Temp\OnboardLogs" /stypes="**20160911*" /stext=" 19:.+((SYSTEM_STATE.+slice.+state.+changed )|(ment ac)|(system.+state.+changed )|(\|lc)|(penalty)|(\[timeout)|(PRM\|1\|D)|(kpr)|(kdp))" /e /r /s</v>
      </c>
      <c r="AG77" s="1" t="str">
        <f t="shared" si="54"/>
        <v>EC</v>
      </c>
      <c r="AH77" s="100" t="str">
        <f t="shared" ref="AH77" si="57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165-11 --locoid  --swversion DE.1.0.7.0 --startMP 204:233002 --initTime 2016-09-11T12:16:45 --startdatetime 2016-09-11T12:26:31 --delay 2 --endMP 204:147 --enddatetime 2016-09-11T13:11:37 --enforcementcount 1 &gt;&gt;C:\Users\stu\Documents\GitHub\eaglep3-reporting\EC\2016-09-11-refined-times.txt</v>
      </c>
      <c r="AI77" s="134" t="str">
        <f t="shared" ref="AI77" si="58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AA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{"issue":{"subject":"Did not init - S/W download screen","project_id":79,"tracker_id":40,"status_id":1,"priority_id":2,"assigned_to_id":23,"start_date":"2016-09-11","description":"","custom_fields":[{"id":1,"name":"Subdivision","value":"EC"},{"id":4,"name":"Milepost","value":"23.2855"},{"id":17,"name":"Train ID","value":"165-11"},{"id":16,"name":"Locomotive ID","value":""},{"id":130,"name":"Impact","value":""},{"id":150,"name":"Time of Event (Mountain Time)","value":"13:11:37"},{"id":151,"name":"Denver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494</v>
      </c>
      <c r="B78" s="7">
        <v>4010</v>
      </c>
      <c r="C78" s="24" t="s">
        <v>108</v>
      </c>
      <c r="D78" s="24" t="s">
        <v>495</v>
      </c>
      <c r="E78" s="15">
        <v>42624.525787037041</v>
      </c>
      <c r="F78" s="15">
        <v>42624.528680555559</v>
      </c>
      <c r="G78" s="7">
        <v>1</v>
      </c>
      <c r="H78" s="15" t="s">
        <v>314</v>
      </c>
      <c r="I78" s="15">
        <v>42624.557928240742</v>
      </c>
      <c r="J78" s="7">
        <v>1</v>
      </c>
      <c r="K78" s="121" t="str">
        <f t="shared" si="42"/>
        <v>4009/4010</v>
      </c>
      <c r="L78" s="24" t="str">
        <f>VLOOKUP(A78,'Trips&amp;Operators'!$C$1:$E$10000,3,FALSE)</f>
        <v>MOSES</v>
      </c>
      <c r="M78" s="6">
        <f t="shared" si="43"/>
        <v>2.9247685182781424E-2</v>
      </c>
      <c r="N78" s="7">
        <f>24*60*SUM($M78:$M78)</f>
        <v>42.116666663205251</v>
      </c>
      <c r="O78" s="7"/>
      <c r="P78" s="7"/>
      <c r="Q78" s="25"/>
      <c r="R78" s="25"/>
      <c r="S78" s="37">
        <f t="shared" si="44"/>
        <v>1</v>
      </c>
      <c r="T78" s="52" t="str">
        <f t="shared" si="45"/>
        <v>Southbound</v>
      </c>
      <c r="U78" s="163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https://search-rtdc-monitor-bjffxe2xuh6vdkpspy63sjmuny.us-east-1.es.amazonaws.com/_plugin/kibana/#/discover/Steve-Slow-Train-Analysis-(2080s-and-2083s)?_g=(refreshInterval:(display:Off,section:0,value:0),time:(from:'2016-09-11 11:37:08-0600',mode:absolute,to:'2016-09-11 14:23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78" s="54" t="str">
        <f t="shared" si="47"/>
        <v>N</v>
      </c>
      <c r="X78" s="168">
        <f t="shared" si="39"/>
        <v>1</v>
      </c>
      <c r="Y78" s="69">
        <f t="shared" si="48"/>
        <v>23.3</v>
      </c>
      <c r="Z78" s="69">
        <f t="shared" si="49"/>
        <v>1.38E-2</v>
      </c>
      <c r="AA78" s="69">
        <f t="shared" si="50"/>
        <v>23.286200000000001</v>
      </c>
      <c r="AB78" s="66" t="e">
        <f>VLOOKUP(A78,Enforcements!$C$7:$K$21,8,0)</f>
        <v>#N/A</v>
      </c>
      <c r="AC78" s="62" t="e">
        <f>VLOOKUP(A78,Enforcements!$C$7:$E$21,3,0)</f>
        <v>#N/A</v>
      </c>
      <c r="AD78" s="63" t="str">
        <f t="shared" si="51"/>
        <v>0166-11</v>
      </c>
      <c r="AE78" s="99" t="str">
        <f t="shared" si="52"/>
        <v>aws s3 cp s3://rtdc.mdm.uploadarchive/RTDC4010/2016-09-11/ "%USERPROFILE%\AppData\Local\Temp\OnboardLogs"\RTDC4010\2016-09-11 --recursive &amp; "%USERPROFILE%\Documents\GitHub\mrs-test-scripts\Headless Mode &amp; Sideloading\WalkAndUnGZ.bat" "%USERPROFILE%\AppData\Local\Temp\OnboardLogs"\RTDC4010\2016-09-11 &amp; 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</v>
      </c>
      <c r="AF78" s="96" t="str">
        <f t="shared" si="53"/>
        <v>"C:\Program Files (x86)\AstroGrep\AstroGrep.exe" /spath="%USERPROFILE%\AppData\Local\Temp\OnboardLogs" /stypes="*4010*20160911*" /stext=" 19:.+((SYSTEM_STATE.+slice.+state.+changed )|(ment ac)|(system.+state.+changed )|(\|lc)|(penalty)|(\[timeout)|(PRM\|1\|D)|(kpr)|(kdp))" /e /r /s</v>
      </c>
      <c r="AG78" s="1" t="str">
        <f t="shared" si="54"/>
        <v>EC</v>
      </c>
      <c r="AH78" s="100" t="str">
        <f t="shared" si="17"/>
        <v>"%USERPROFILE%\Documents\GitHub\eaglep3\Utilities\RefineRTDCRunTimes.py" --tripid 166-11 --locoid 4010 --swversion DE.1.0.7.0 --startMP 204:233000 --initTime 2016-09-11T12:37:08 --startdatetime 2016-09-11T12:41:18 --delay 1 --endMP 204:138 --enddatetime 2016-09-11T13:23:25 --enforcementcount 1 &gt;&gt;C:\Users\stu\Documents\GitHub\eaglep3-reporting\EC\2016-09-11-refined-times.txt</v>
      </c>
      <c r="AI78" s="134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{"issue":{"subject":"","project_id":79,"tracker_id":40,"status_id":1,"priority_id":2,"assigned_to_id":23,"start_date":"2016-09-11","description":"","custom_fields":[{"id":1,"name":"Subdivision","value":"EC"},{"id":4,"name":"Milepost","value":"23.2862"},{"id":17,"name":"Train ID","value":"166-11"},{"id":16,"name":"Locomotive ID","value":"4010"},{"id":130,"name":"Impact","value":""},{"id":150,"name":"Time of Event (Mountain Time)","value":"13:23:25"},{"id":151,"name":"Denver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698</v>
      </c>
      <c r="B79" s="7">
        <v>4042</v>
      </c>
      <c r="C79" s="24" t="s">
        <v>108</v>
      </c>
      <c r="D79" s="24" t="s">
        <v>495</v>
      </c>
      <c r="E79" s="15">
        <v>42624.525787037041</v>
      </c>
      <c r="F79" s="15">
        <v>42624.528680555559</v>
      </c>
      <c r="G79" s="7">
        <v>1</v>
      </c>
      <c r="H79" s="15" t="s">
        <v>314</v>
      </c>
      <c r="I79" s="15">
        <v>42624.557928240742</v>
      </c>
      <c r="J79" s="7">
        <v>1</v>
      </c>
      <c r="K79" s="121" t="str">
        <f t="shared" si="42"/>
        <v>4041/4042</v>
      </c>
      <c r="L79" s="24" t="e">
        <f>VLOOKUP(A79,'Trips&amp;Operators'!$C$1:$E$10000,3,FALSE)</f>
        <v>#N/A</v>
      </c>
      <c r="M79" s="6">
        <f t="shared" si="43"/>
        <v>2.9247685182781424E-2</v>
      </c>
      <c r="N79" s="7"/>
      <c r="O79" s="7"/>
      <c r="P79" s="7">
        <v>1</v>
      </c>
      <c r="Q79" s="25"/>
      <c r="R79" s="25" t="s">
        <v>711</v>
      </c>
      <c r="S79" s="37">
        <f t="shared" si="44"/>
        <v>0</v>
      </c>
      <c r="T79" s="52" t="str">
        <f t="shared" si="45"/>
        <v>NorthBound</v>
      </c>
      <c r="U79" s="163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0</v>
      </c>
      <c r="V79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https://search-rtdc-monitor-bjffxe2xuh6vdkpspy63sjmuny.us-east-1.es.amazonaws.com/_plugin/kibana/#/discover/Steve-Slow-Train-Analysis-(2080s-and-2083s)?_g=(refreshInterval:(display:Off,section:0,value:0),time:(from:'2016-09-11 11:37:08-0600',mode:absolute,to:'2016-09-11 14:23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79" s="54" t="str">
        <f t="shared" si="47"/>
        <v>N</v>
      </c>
      <c r="X79" s="168">
        <f t="shared" ref="X79:X82" si="59">VALUE(LEFT(AD79,4))-VALUE(LEFT(AD78,4))</f>
        <v>1</v>
      </c>
      <c r="Y79" s="69">
        <f t="shared" si="48"/>
        <v>23.3</v>
      </c>
      <c r="Z79" s="69">
        <f t="shared" si="49"/>
        <v>1.38E-2</v>
      </c>
      <c r="AA79" s="69">
        <f t="shared" si="50"/>
        <v>23.286200000000001</v>
      </c>
      <c r="AB79" s="66" t="e">
        <f>VLOOKUP(A79,Enforcements!$C$7:$K$21,8,0)</f>
        <v>#N/A</v>
      </c>
      <c r="AC79" s="62" t="e">
        <f>VLOOKUP(A79,Enforcements!$C$7:$E$21,3,0)</f>
        <v>#N/A</v>
      </c>
      <c r="AD79" s="63" t="str">
        <f t="shared" si="51"/>
        <v>0167-11</v>
      </c>
      <c r="AE79" s="99" t="str">
        <f t="shared" si="52"/>
        <v>aws s3 cp s3://rtdc.mdm.uploadarchive/RTDC4042/2016-09-11/ "%USERPROFILE%\AppData\Local\Temp\OnboardLogs"\RTDC4042\2016-09-11 --recursive &amp; "%USERPROFILE%\Documents\GitHub\mrs-test-scripts\Headless Mode &amp; Sideloading\WalkAndUnGZ.bat" "%USERPROFILE%\AppData\Local\Temp\OnboardLogs"\RTDC4042\2016-09-11 &amp; 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</v>
      </c>
      <c r="AF79" s="96" t="str">
        <f t="shared" si="53"/>
        <v>"C:\Program Files (x86)\AstroGrep\AstroGrep.exe" /spath="%USERPROFILE%\AppData\Local\Temp\OnboardLogs" /stypes="*4042*20160911*" /stext=" 19:.+((SYSTEM_STATE.+slice.+state.+changed )|(ment ac)|(system.+state.+changed )|(\|lc)|(penalty)|(\[timeout)|(PRM\|1\|D)|(kpr)|(kdp))" /e /r /s</v>
      </c>
      <c r="AG79" s="1" t="str">
        <f t="shared" si="54"/>
        <v>EC</v>
      </c>
      <c r="AH79" s="100" t="str">
        <f t="shared" ref="AH79" si="60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167-11 --locoid 4042 --swversion DE.1.0.7.0 --startMP 204:233000 --initTime 2016-09-11T12:37:08 --startdatetime 2016-09-11T12:41:18 --delay 1 --endMP 204:138 --enddatetime 2016-09-11T13:23:25 --enforcementcount 1 &gt;&gt;C:\Users\stu\Documents\GitHub\eaglep3-reporting\EC\2016-09-11-refined-times.txt</v>
      </c>
      <c r="AI79" s="134" t="str">
        <f t="shared" ref="AI79" si="61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AA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{"issue":{"subject":"Did not init - S/W download screen","project_id":79,"tracker_id":40,"status_id":1,"priority_id":2,"assigned_to_id":23,"start_date":"2016-09-11","description":"","custom_fields":[{"id":1,"name":"Subdivision","value":"EC"},{"id":4,"name":"Milepost","value":"23.2862"},{"id":17,"name":"Train ID","value":"167-11"},{"id":16,"name":"Locomotive ID","value":"4042"},{"id":130,"name":"Impact","value":""},{"id":150,"name":"Time of Event (Mountain Time)","value":"13:23:25"},{"id":151,"name":"Denver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496</v>
      </c>
      <c r="B80" s="7">
        <v>4041</v>
      </c>
      <c r="C80" s="24" t="s">
        <v>108</v>
      </c>
      <c r="D80" s="24" t="s">
        <v>234</v>
      </c>
      <c r="E80" s="15">
        <v>42624.529722222222</v>
      </c>
      <c r="F80" s="15">
        <v>42624.539131944446</v>
      </c>
      <c r="G80" s="7">
        <v>1</v>
      </c>
      <c r="H80" s="15" t="s">
        <v>280</v>
      </c>
      <c r="I80" s="15">
        <v>42624.569108796299</v>
      </c>
      <c r="J80" s="7">
        <v>1</v>
      </c>
      <c r="K80" s="121" t="str">
        <f t="shared" si="42"/>
        <v>4041/4042</v>
      </c>
      <c r="L80" s="24" t="str">
        <f>VLOOKUP(A80,'Trips&amp;Operators'!$C$1:$E$10000,3,FALSE)</f>
        <v>STRICKLAND</v>
      </c>
      <c r="M80" s="6">
        <f t="shared" si="43"/>
        <v>2.99768518525525E-2</v>
      </c>
      <c r="N80" s="7">
        <f t="shared" ref="N80:N86" si="62">24*60*SUM($M80:$M80)</f>
        <v>43.166666667675599</v>
      </c>
      <c r="O80" s="7"/>
      <c r="P80" s="7"/>
      <c r="Q80" s="25"/>
      <c r="R80" s="25"/>
      <c r="S80" s="37">
        <f t="shared" si="44"/>
        <v>1</v>
      </c>
      <c r="T80" s="52" t="str">
        <f t="shared" si="45"/>
        <v>Southbound</v>
      </c>
      <c r="U80" s="163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https://search-rtdc-monitor-bjffxe2xuh6vdkpspy63sjmuny.us-east-1.es.amazonaws.com/_plugin/kibana/#/discover/Steve-Slow-Train-Analysis-(2080s-and-2083s)?_g=(refreshInterval:(display:Off,section:0,value:0),time:(from:'2016-09-11 11:42:48-0600',mode:absolute,to:'2016-09-11 14:39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80" s="54" t="str">
        <f t="shared" si="47"/>
        <v>N</v>
      </c>
      <c r="X80" s="168">
        <f t="shared" si="59"/>
        <v>1</v>
      </c>
      <c r="Y80" s="69">
        <f t="shared" si="48"/>
        <v>23.299099999999999</v>
      </c>
      <c r="Z80" s="69">
        <f t="shared" si="49"/>
        <v>1.3599999999999999E-2</v>
      </c>
      <c r="AA80" s="69">
        <f t="shared" si="50"/>
        <v>23.285499999999999</v>
      </c>
      <c r="AB80" s="66" t="e">
        <f>VLOOKUP(A80,Enforcements!$C$7:$K$21,8,0)</f>
        <v>#N/A</v>
      </c>
      <c r="AC80" s="62" t="e">
        <f>VLOOKUP(A80,Enforcements!$C$7:$E$21,3,0)</f>
        <v>#N/A</v>
      </c>
      <c r="AD80" s="63" t="str">
        <f t="shared" si="51"/>
        <v>0168-11</v>
      </c>
      <c r="AE80" s="99" t="str">
        <f t="shared" si="52"/>
        <v>aws s3 cp s3://rtdc.mdm.uploadarchive/RTDC4041/2016-09-11/ "%USERPROFILE%\AppData\Local\Temp\OnboardLogs"\RTDC4041\2016-09-11 --recursive &amp; "%USERPROFILE%\Documents\GitHub\mrs-test-scripts\Headless Mode &amp; Sideloading\WalkAndUnGZ.bat" "%USERPROFILE%\AppData\Local\Temp\OnboardLogs"\RTDC4041\2016-09-11 &amp; 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</v>
      </c>
      <c r="AF80" s="96" t="str">
        <f t="shared" si="53"/>
        <v>"C:\Program Files (x86)\AstroGrep\AstroGrep.exe" /spath="%USERPROFILE%\AppData\Local\Temp\OnboardLogs" /stypes="*4041*20160911*" /stext=" 19:.+((SYSTEM_STATE.+slice.+state.+changed )|(ment ac)|(system.+state.+changed )|(\|lc)|(penalty)|(\[timeout)|(PRM\|1\|D)|(kpr)|(kdp))" /e /r /s</v>
      </c>
      <c r="AG80" s="1" t="str">
        <f t="shared" si="54"/>
        <v>EC</v>
      </c>
      <c r="AH80" s="100" t="str">
        <f t="shared" ref="AH80:AH152" si="63"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"&amp;J80&amp;IF(outputrefinedruntimes," &gt;&gt;"&amp;RefinedRTDCRunTimesOutputFile,"")</f>
        <v>"%USERPROFILE%\Documents\GitHub\eaglep3\Utilities\RefineRTDCRunTimes.py" --tripid 168-11 --locoid 4041 --swversion DE.1.0.7.0 --startMP 204:232991 --initTime 2016-09-11T12:42:48 --startdatetime 2016-09-11T12:56:21 --delay 1 --endMP 204:136 --enddatetime 2016-09-11T13:39:31 --enforcementcount 1 &gt;&gt;C:\Users\stu\Documents\GitHub\eaglep3-reporting\EC\2016-09-11-refined-times.txt</v>
      </c>
      <c r="AI80" s="134" t="str">
        <f t="shared" ref="AI80:AI152" si="64"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AA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{"issue":{"subject":"","project_id":79,"tracker_id":40,"status_id":1,"priority_id":2,"assigned_to_id":23,"start_date":"2016-09-11","description":"","custom_fields":[{"id":1,"name":"Subdivision","value":"EC"},{"id":4,"name":"Milepost","value":"23.2855"},{"id":17,"name":"Train ID","value":"168-11"},{"id":16,"name":"Locomotive ID","value":"4041"},{"id":130,"name":"Impact","value":""},{"id":150,"name":"Time of Event (Mountain Time)","value":"13:39:31"},{"id":151,"name":"Denver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497</v>
      </c>
      <c r="B81" s="7">
        <v>4025</v>
      </c>
      <c r="C81" s="24" t="s">
        <v>108</v>
      </c>
      <c r="D81" s="24" t="s">
        <v>249</v>
      </c>
      <c r="E81" s="15">
        <v>42624.508842592593</v>
      </c>
      <c r="F81" s="15">
        <v>42624.510879629626</v>
      </c>
      <c r="G81" s="7">
        <v>1</v>
      </c>
      <c r="H81" s="15" t="s">
        <v>277</v>
      </c>
      <c r="I81" s="15">
        <v>42624.538206018522</v>
      </c>
      <c r="J81" s="7">
        <v>1</v>
      </c>
      <c r="K81" s="121" t="str">
        <f t="shared" si="42"/>
        <v>4025/4026</v>
      </c>
      <c r="L81" s="24" t="str">
        <f>VLOOKUP(A81,'Trips&amp;Operators'!$C$1:$E$10000,3,FALSE)</f>
        <v>CLARK</v>
      </c>
      <c r="M81" s="6">
        <f t="shared" si="43"/>
        <v>2.7326388895744458E-2</v>
      </c>
      <c r="N81" s="7">
        <f t="shared" si="62"/>
        <v>39.350000009872019</v>
      </c>
      <c r="O81" s="7"/>
      <c r="P81" s="7"/>
      <c r="Q81" s="25"/>
      <c r="R81" s="25"/>
      <c r="S81" s="37">
        <f t="shared" si="44"/>
        <v>1</v>
      </c>
      <c r="T81" s="52" t="str">
        <f t="shared" si="45"/>
        <v>NorthBound</v>
      </c>
      <c r="U81" s="163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https://search-rtdc-monitor-bjffxe2xuh6vdkpspy63sjmuny.us-east-1.es.amazonaws.com/_plugin/kibana/#/discover/Steve-Slow-Train-Analysis-(2080s-and-2083s)?_g=(refreshInterval:(display:Off,section:0,value:0),time:(from:'2016-09-11 11:12:44-0600',mode:absolute,to:'2016-09-11 13:55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81" s="54" t="str">
        <f t="shared" si="47"/>
        <v>N</v>
      </c>
      <c r="X81" s="168">
        <f t="shared" si="59"/>
        <v>1</v>
      </c>
      <c r="Y81" s="69">
        <f t="shared" si="48"/>
        <v>4.4699999999999997E-2</v>
      </c>
      <c r="Z81" s="69">
        <f t="shared" si="49"/>
        <v>23.330100000000002</v>
      </c>
      <c r="AA81" s="69">
        <f t="shared" si="50"/>
        <v>23.285400000000003</v>
      </c>
      <c r="AB81" s="66" t="e">
        <f>VLOOKUP(A81,Enforcements!$C$7:$K$21,8,0)</f>
        <v>#N/A</v>
      </c>
      <c r="AC81" s="62" t="e">
        <f>VLOOKUP(A81,Enforcements!$C$7:$E$21,3,0)</f>
        <v>#N/A</v>
      </c>
      <c r="AD81" s="63" t="str">
        <f t="shared" si="51"/>
        <v>0169-11</v>
      </c>
      <c r="AE81" s="99" t="str">
        <f t="shared" si="52"/>
        <v>aws s3 cp s3://rtdc.mdm.uploadarchive/RTDC4025/2016-09-11/ "%USERPROFILE%\AppData\Local\Temp\OnboardLogs"\RTDC4025\2016-09-11 --recursive &amp; "%USERPROFILE%\Documents\GitHub\mrs-test-scripts\Headless Mode &amp; Sideloading\WalkAndUnGZ.bat" "%USERPROFILE%\AppData\Local\Temp\OnboardLogs"\RTDC4025\2016-09-11 &amp; 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</v>
      </c>
      <c r="AF81" s="96" t="str">
        <f t="shared" si="53"/>
        <v>"C:\Program Files (x86)\AstroGrep\AstroGrep.exe" /spath="%USERPROFILE%\AppData\Local\Temp\OnboardLogs" /stypes="*4025*20160911*" /stext=" 18:.+((SYSTEM_STATE.+slice.+state.+changed )|(ment ac)|(system.+state.+changed )|(\|lc)|(penalty)|(\[timeout)|(PRM\|1\|D)|(kpr)|(kdp))" /e /r /s</v>
      </c>
      <c r="AG81" s="1" t="str">
        <f t="shared" si="54"/>
        <v>EC</v>
      </c>
      <c r="AH81" s="100" t="str">
        <f t="shared" si="63"/>
        <v>"%USERPROFILE%\Documents\GitHub\eaglep3\Utilities\RefineRTDCRunTimes.py" --tripid 169-11 --locoid 4025 --swversion DE.1.0.7.0 --startMP 204:447 --initTime 2016-09-11T12:12:44 --startdatetime 2016-09-11T12:15:40 --delay 1 --endMP 204:233301 --enddatetime 2016-09-11T12:55:01 --enforcementcount 1 &gt;&gt;C:\Users\stu\Documents\GitHub\eaglep3-reporting\EC\2016-09-11-refined-times.txt</v>
      </c>
      <c r="AI81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{"issue":{"subject":"","project_id":79,"tracker_id":40,"status_id":1,"priority_id":2,"assigned_to_id":23,"start_date":"2016-09-11","description":"","custom_fields":[{"id":1,"name":"Subdivision","value":"EC"},{"id":4,"name":"Milepost","value":"23.2854"},{"id":17,"name":"Train ID","value":"169-11"},{"id":16,"name":"Locomotive ID","value":"4025"},{"id":130,"name":"Impact","value":""},{"id":150,"name":"Time of Event (Mountain Time)","value":"12:55:01"},{"id":151,"name":"Denver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498</v>
      </c>
      <c r="B82" s="7">
        <v>4026</v>
      </c>
      <c r="C82" s="24" t="s">
        <v>108</v>
      </c>
      <c r="D82" s="24" t="s">
        <v>309</v>
      </c>
      <c r="E82" s="15">
        <v>42624.544907407406</v>
      </c>
      <c r="F82" s="15">
        <v>42624.549537037034</v>
      </c>
      <c r="G82" s="7">
        <v>2</v>
      </c>
      <c r="H82" s="15" t="s">
        <v>351</v>
      </c>
      <c r="I82" s="15">
        <v>42624.579953703702</v>
      </c>
      <c r="J82" s="7">
        <v>1</v>
      </c>
      <c r="K82" s="121" t="str">
        <f t="shared" si="42"/>
        <v>4025/4026</v>
      </c>
      <c r="L82" s="24" t="str">
        <f>VLOOKUP(A82,'Trips&amp;Operators'!$C$1:$E$10000,3,FALSE)</f>
        <v>CLARK</v>
      </c>
      <c r="M82" s="6">
        <f t="shared" si="43"/>
        <v>3.0416666668315884E-2</v>
      </c>
      <c r="N82" s="7">
        <f t="shared" si="62"/>
        <v>43.800000002374873</v>
      </c>
      <c r="O82" s="7"/>
      <c r="P82" s="7"/>
      <c r="Q82" s="25"/>
      <c r="R82" s="25"/>
      <c r="S82" s="37">
        <f t="shared" si="44"/>
        <v>1</v>
      </c>
      <c r="T82" s="52" t="str">
        <f t="shared" si="45"/>
        <v>Southbound</v>
      </c>
      <c r="U82" s="163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https://search-rtdc-monitor-bjffxe2xuh6vdkpspy63sjmuny.us-east-1.es.amazonaws.com/_plugin/kibana/#/discover/Steve-Slow-Train-Analysis-(2080s-and-2083s)?_g=(refreshInterval:(display:Off,section:0,value:0),time:(from:'2016-09-11 12:04:40-0600',mode:absolute,to:'2016-09-11 14:55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82" s="54" t="str">
        <f t="shared" si="47"/>
        <v>N</v>
      </c>
      <c r="X82" s="168">
        <f t="shared" si="59"/>
        <v>1</v>
      </c>
      <c r="Y82" s="69">
        <f t="shared" si="48"/>
        <v>23.296500000000002</v>
      </c>
      <c r="Z82" s="69">
        <f t="shared" si="49"/>
        <v>1.2999999999999999E-2</v>
      </c>
      <c r="AA82" s="69">
        <f t="shared" si="50"/>
        <v>23.2835</v>
      </c>
      <c r="AB82" s="66" t="e">
        <f>VLOOKUP(A82,Enforcements!$C$7:$K$21,8,0)</f>
        <v>#N/A</v>
      </c>
      <c r="AC82" s="62" t="e">
        <f>VLOOKUP(A82,Enforcements!$C$7:$E$21,3,0)</f>
        <v>#N/A</v>
      </c>
      <c r="AD82" s="63" t="str">
        <f t="shared" si="51"/>
        <v>0170-11</v>
      </c>
      <c r="AE82" s="99" t="str">
        <f t="shared" si="52"/>
        <v>aws s3 cp s3://rtdc.mdm.uploadarchive/RTDC4026/2016-09-11/ "%USERPROFILE%\AppData\Local\Temp\OnboardLogs"\RTDC4026\2016-09-11 --recursive &amp; "%USERPROFILE%\Documents\GitHub\mrs-test-scripts\Headless Mode &amp; Sideloading\WalkAndUnGZ.bat" "%USERPROFILE%\AppData\Local\Temp\OnboardLogs"\RTDC4026\2016-09-11 &amp; 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</v>
      </c>
      <c r="AF82" s="96" t="str">
        <f t="shared" si="53"/>
        <v>"C:\Program Files (x86)\AstroGrep\AstroGrep.exe" /spath="%USERPROFILE%\AppData\Local\Temp\OnboardLogs" /stypes="*4026*20160911*" /stext=" 19:.+((SYSTEM_STATE.+slice.+state.+changed )|(ment ac)|(system.+state.+changed )|(\|lc)|(penalty)|(\[timeout)|(PRM\|1\|D)|(kpr)|(kdp))" /e /r /s</v>
      </c>
      <c r="AG82" s="1" t="str">
        <f t="shared" si="54"/>
        <v>EC</v>
      </c>
      <c r="AH82" s="100" t="str">
        <f t="shared" si="63"/>
        <v>"%USERPROFILE%\Documents\GitHub\eaglep3\Utilities\RefineRTDCRunTimes.py" --tripid 170-11 --locoid 4026 --swversion DE.1.0.7.0 --startMP 204:232965 --initTime 2016-09-11T13:04:40 --startdatetime 2016-09-11T13:11:20 --delay 2 --endMP 204:130 --enddatetime 2016-09-11T13:55:08 --enforcementcount 1 &gt;&gt;C:\Users\stu\Documents\GitHub\eaglep3-reporting\EC\2016-09-11-refined-times.txt</v>
      </c>
      <c r="AI82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{"issue":{"subject":"","project_id":79,"tracker_id":40,"status_id":1,"priority_id":2,"assigned_to_id":23,"start_date":"2016-09-11","description":"","custom_fields":[{"id":1,"name":"Subdivision","value":"EC"},{"id":4,"name":"Milepost","value":"23.2835"},{"id":17,"name":"Train ID","value":"170-11"},{"id":16,"name":"Locomotive ID","value":"4026"},{"id":130,"name":"Impact","value":""},{"id":150,"name":"Time of Event (Mountain Time)","value":"13:55:08"},{"id":151,"name":"Denver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499</v>
      </c>
      <c r="B83" s="7">
        <v>4029</v>
      </c>
      <c r="C83" s="24" t="s">
        <v>108</v>
      </c>
      <c r="D83" s="24" t="s">
        <v>257</v>
      </c>
      <c r="E83" s="15">
        <v>42624.517824074072</v>
      </c>
      <c r="F83" s="15">
        <v>42624.521053240744</v>
      </c>
      <c r="G83" s="7">
        <v>1</v>
      </c>
      <c r="H83" s="15" t="s">
        <v>500</v>
      </c>
      <c r="I83" s="15">
        <v>42624.547719907408</v>
      </c>
      <c r="J83" s="7">
        <v>1</v>
      </c>
      <c r="K83" s="121" t="str">
        <f t="shared" si="42"/>
        <v>4029/4030</v>
      </c>
      <c r="L83" s="24" t="str">
        <f>VLOOKUP(A83,'Trips&amp;Operators'!$C$1:$E$10000,3,FALSE)</f>
        <v>SHOOK</v>
      </c>
      <c r="M83" s="6">
        <f t="shared" si="43"/>
        <v>2.6666666664823424E-2</v>
      </c>
      <c r="N83" s="7">
        <f t="shared" si="62"/>
        <v>38.399999997345731</v>
      </c>
      <c r="O83" s="7"/>
      <c r="P83" s="7"/>
      <c r="Q83" s="25"/>
      <c r="R83" s="25"/>
      <c r="S83" s="37">
        <f t="shared" si="44"/>
        <v>1</v>
      </c>
      <c r="T83" s="52" t="str">
        <f t="shared" si="45"/>
        <v>NorthBound</v>
      </c>
      <c r="U83" s="163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https://search-rtdc-monitor-bjffxe2xuh6vdkpspy63sjmuny.us-east-1.es.amazonaws.com/_plugin/kibana/#/discover/Steve-Slow-Train-Analysis-(2080s-and-2083s)?_g=(refreshInterval:(display:Off,section:0,value:0),time:(from:'2016-09-11 11:25:40-0600',mode:absolute,to:'2016-09-11 14:08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83" s="54" t="str">
        <f t="shared" si="47"/>
        <v>N</v>
      </c>
      <c r="X83" s="168">
        <f>VALUE(LEFT(AD83,4))-VALUE(LEFT(AD82,4))</f>
        <v>1</v>
      </c>
      <c r="Y83" s="69">
        <f t="shared" si="48"/>
        <v>4.5499999999999999E-2</v>
      </c>
      <c r="Z83" s="69">
        <f t="shared" si="49"/>
        <v>23.338100000000001</v>
      </c>
      <c r="AA83" s="69">
        <f t="shared" si="50"/>
        <v>23.2926</v>
      </c>
      <c r="AB83" s="66" t="e">
        <f>VLOOKUP(A83,Enforcements!$C$7:$K$21,8,0)</f>
        <v>#N/A</v>
      </c>
      <c r="AC83" s="62" t="e">
        <f>VLOOKUP(A83,Enforcements!$C$7:$E$21,3,0)</f>
        <v>#N/A</v>
      </c>
      <c r="AD83" s="63" t="str">
        <f t="shared" si="51"/>
        <v>0171-11</v>
      </c>
      <c r="AE83" s="99" t="str">
        <f t="shared" si="52"/>
        <v>aws s3 cp s3://rtdc.mdm.uploadarchive/RTDC4029/2016-09-11/ "%USERPROFILE%\AppData\Local\Temp\OnboardLogs"\RTDC4029\2016-09-11 --recursive &amp; "%USERPROFILE%\Documents\GitHub\mrs-test-scripts\Headless Mode &amp; Sideloading\WalkAndUnGZ.bat" "%USERPROFILE%\AppData\Local\Temp\OnboardLogs"\RTDC4029\2016-09-11 &amp; aws s3 cp s3://rtdc.mdm.uploadarchive/RTDC4029/2016-09-12/ "%USERPROFILE%\AppData\Local\Temp\OnboardLogs"\RTDC4029\2016-09-12 --recursive &amp; "%USERPROFILE%\Documents\GitHub\mrs-test-scripts\Headless Mode &amp; Sideloading\WalkAndUnGZ.bat" "%USERPROFILE%\AppData\Local\Temp\OnboardLogs"\RTDC4029\2016-09-12</v>
      </c>
      <c r="AF83" s="96" t="str">
        <f t="shared" si="53"/>
        <v>"C:\Program Files (x86)\AstroGrep\AstroGrep.exe" /spath="%USERPROFILE%\AppData\Local\Temp\OnboardLogs" /stypes="*4029*20160911*" /stext=" 19:.+((SYSTEM_STATE.+slice.+state.+changed )|(ment ac)|(system.+state.+changed )|(\|lc)|(penalty)|(\[timeout)|(PRM\|1\|D)|(kpr)|(kdp))" /e /r /s</v>
      </c>
      <c r="AG83" s="1" t="str">
        <f t="shared" si="54"/>
        <v>EC</v>
      </c>
      <c r="AH83" s="100" t="str">
        <f t="shared" si="63"/>
        <v>"%USERPROFILE%\Documents\GitHub\eaglep3\Utilities\RefineRTDCRunTimes.py" --tripid 171-11 --locoid 4029 --swversion DE.1.0.7.0 --startMP 204:455 --initTime 2016-09-11T12:25:40 --startdatetime 2016-09-11T12:30:19 --delay 1 --endMP 204:233381 --enddatetime 2016-09-11T13:08:43 --enforcementcount 1 &gt;&gt;C:\Users\stu\Documents\GitHub\eaglep3-reporting\EC\2016-09-11-refined-times.txt</v>
      </c>
      <c r="AI83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{"issue":{"subject":"","project_id":79,"tracker_id":40,"status_id":1,"priority_id":2,"assigned_to_id":23,"start_date":"2016-09-11","description":"","custom_fields":[{"id":1,"name":"Subdivision","value":"EC"},{"id":4,"name":"Milepost","value":"23.2926"},{"id":17,"name":"Train ID","value":"171-11"},{"id":16,"name":"Locomotive ID","value":"4029"},{"id":130,"name":"Impact","value":""},{"id":150,"name":"Time of Event (Mountain Time)","value":"13:08:43"},{"id":151,"name":"Denver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501</v>
      </c>
      <c r="B84" s="7">
        <v>4030</v>
      </c>
      <c r="C84" s="24" t="s">
        <v>108</v>
      </c>
      <c r="D84" s="24" t="s">
        <v>502</v>
      </c>
      <c r="E84" s="15">
        <v>42624.555497685185</v>
      </c>
      <c r="F84" s="15">
        <v>42624.559930555559</v>
      </c>
      <c r="G84" s="7">
        <v>1</v>
      </c>
      <c r="H84" s="15" t="s">
        <v>243</v>
      </c>
      <c r="I84" s="15">
        <v>42624.5858912037</v>
      </c>
      <c r="J84" s="7">
        <v>1</v>
      </c>
      <c r="K84" s="121" t="str">
        <f t="shared" si="42"/>
        <v>4029/4030</v>
      </c>
      <c r="L84" s="24" t="str">
        <f>VLOOKUP(A84,'Trips&amp;Operators'!$C$1:$E$10000,3,FALSE)</f>
        <v>SHOOK</v>
      </c>
      <c r="M84" s="6">
        <f t="shared" si="43"/>
        <v>2.5960648141335696E-2</v>
      </c>
      <c r="N84" s="7">
        <f t="shared" si="62"/>
        <v>37.383333323523402</v>
      </c>
      <c r="O84" s="7"/>
      <c r="P84" s="7"/>
      <c r="Q84" s="25"/>
      <c r="R84" s="25"/>
      <c r="S84" s="37">
        <f t="shared" si="44"/>
        <v>1</v>
      </c>
      <c r="T84" s="52" t="str">
        <f t="shared" si="45"/>
        <v>Southbound</v>
      </c>
      <c r="U84" s="163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https://search-rtdc-monitor-bjffxe2xuh6vdkpspy63sjmuny.us-east-1.es.amazonaws.com/_plugin/kibana/#/discover/Steve-Slow-Train-Analysis-(2080s-and-2083s)?_g=(refreshInterval:(display:Off,section:0,value:0),time:(from:'2016-09-11 12:19:55-0600',mode:absolute,to:'2016-09-11 15:03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84" s="54" t="str">
        <f t="shared" si="47"/>
        <v>N</v>
      </c>
      <c r="X84" s="168">
        <f>VALUE(LEFT(AD84,4))-VALUE(LEFT(AD83,4))</f>
        <v>1</v>
      </c>
      <c r="Y84" s="69">
        <f t="shared" si="48"/>
        <v>23.305099999999999</v>
      </c>
      <c r="Z84" s="69">
        <f t="shared" si="49"/>
        <v>1.43E-2</v>
      </c>
      <c r="AA84" s="69">
        <f t="shared" si="50"/>
        <v>23.290800000000001</v>
      </c>
      <c r="AB84" s="66" t="e">
        <f>VLOOKUP(A84,Enforcements!$C$7:$K$21,8,0)</f>
        <v>#N/A</v>
      </c>
      <c r="AC84" s="62" t="e">
        <f>VLOOKUP(A84,Enforcements!$C$7:$E$21,3,0)</f>
        <v>#N/A</v>
      </c>
      <c r="AD84" s="63" t="str">
        <f t="shared" si="51"/>
        <v>0172-11</v>
      </c>
      <c r="AE84" s="99" t="str">
        <f t="shared" si="52"/>
        <v>aws s3 cp s3://rtdc.mdm.uploadarchive/RTDC4030/2016-09-11/ "%USERPROFILE%\AppData\Local\Temp\OnboardLogs"\RTDC4030\2016-09-11 --recursive &amp; "%USERPROFILE%\Documents\GitHub\mrs-test-scripts\Headless Mode &amp; Sideloading\WalkAndUnGZ.bat" "%USERPROFILE%\AppData\Local\Temp\OnboardLogs"\RTDC4030\2016-09-11 &amp; aws s3 cp s3://rtdc.mdm.uploadarchive/RTDC4030/2016-09-12/ "%USERPROFILE%\AppData\Local\Temp\OnboardLogs"\RTDC4030\2016-09-12 --recursive &amp; "%USERPROFILE%\Documents\GitHub\mrs-test-scripts\Headless Mode &amp; Sideloading\WalkAndUnGZ.bat" "%USERPROFILE%\AppData\Local\Temp\OnboardLogs"\RTDC4030\2016-09-12</v>
      </c>
      <c r="AF84" s="96" t="str">
        <f t="shared" si="53"/>
        <v>"C:\Program Files (x86)\AstroGrep\AstroGrep.exe" /spath="%USERPROFILE%\AppData\Local\Temp\OnboardLogs" /stypes="*4030*20160911*" /stext=" 20:.+((SYSTEM_STATE.+slice.+state.+changed )|(ment ac)|(system.+state.+changed )|(\|lc)|(penalty)|(\[timeout)|(PRM\|1\|D)|(kpr)|(kdp))" /e /r /s</v>
      </c>
      <c r="AG84" s="1" t="str">
        <f t="shared" si="54"/>
        <v>EC</v>
      </c>
      <c r="AH84" s="100" t="str">
        <f t="shared" si="63"/>
        <v>"%USERPROFILE%\Documents\GitHub\eaglep3\Utilities\RefineRTDCRunTimes.py" --tripid 172-11 --locoid 4030 --swversion DE.1.0.7.0 --startMP 204:233051 --initTime 2016-09-11T13:19:55 --startdatetime 2016-09-11T13:26:18 --delay 1 --endMP 204:143 --enddatetime 2016-09-11T14:03:41 --enforcementcount 1 &gt;&gt;C:\Users\stu\Documents\GitHub\eaglep3-reporting\EC\2016-09-11-refined-times.txt</v>
      </c>
      <c r="AI84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{"issue":{"subject":"","project_id":79,"tracker_id":40,"status_id":1,"priority_id":2,"assigned_to_id":23,"start_date":"2016-09-11","description":"","custom_fields":[{"id":1,"name":"Subdivision","value":"EC"},{"id":4,"name":"Milepost","value":"23.2908"},{"id":17,"name":"Train ID","value":"172-11"},{"id":16,"name":"Locomotive ID","value":"4030"},{"id":130,"name":"Impact","value":""},{"id":150,"name":"Time of Event (Mountain Time)","value":"14:03:41"},{"id":151,"name":"Denver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397</v>
      </c>
      <c r="B85" s="7">
        <v>4020</v>
      </c>
      <c r="C85" s="24" t="s">
        <v>108</v>
      </c>
      <c r="D85" s="24" t="s">
        <v>257</v>
      </c>
      <c r="E85" s="15">
        <v>42624.531875000001</v>
      </c>
      <c r="F85" s="15">
        <v>42624.533692129633</v>
      </c>
      <c r="G85" s="7">
        <v>1</v>
      </c>
      <c r="H85" s="15" t="s">
        <v>350</v>
      </c>
      <c r="I85" s="15">
        <v>42624.559131944443</v>
      </c>
      <c r="J85" s="7">
        <v>1</v>
      </c>
      <c r="K85" s="121" t="str">
        <f t="shared" si="42"/>
        <v>4019/4020</v>
      </c>
      <c r="L85" s="24" t="str">
        <f>VLOOKUP(A85,'Trips&amp;Operators'!$C$1:$E$10000,3,FALSE)</f>
        <v>STEWART</v>
      </c>
      <c r="M85" s="6">
        <f t="shared" si="43"/>
        <v>2.5439814809942618E-2</v>
      </c>
      <c r="N85" s="7">
        <f t="shared" si="62"/>
        <v>36.63333332631737</v>
      </c>
      <c r="O85" s="7"/>
      <c r="P85" s="7"/>
      <c r="Q85" s="25"/>
      <c r="R85" s="25"/>
      <c r="S85" s="37">
        <f t="shared" si="44"/>
        <v>1</v>
      </c>
      <c r="T85" s="52" t="str">
        <f t="shared" si="45"/>
        <v>NorthBound</v>
      </c>
      <c r="U85" s="163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https://search-rtdc-monitor-bjffxe2xuh6vdkpspy63sjmuny.us-east-1.es.amazonaws.com/_plugin/kibana/#/discover/Steve-Slow-Train-Analysis-(2080s-and-2083s)?_g=(refreshInterval:(display:Off,section:0,value:0),time:(from:'2016-09-11 11:45:54-0600',mode:absolute,to:'2016-09-11 14:25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85" s="54" t="str">
        <f t="shared" si="47"/>
        <v>N</v>
      </c>
      <c r="X85" s="168">
        <f>VALUE(LEFT(AD85,4))-VALUE(LEFT(AD84,4))</f>
        <v>1</v>
      </c>
      <c r="Y85" s="69">
        <f t="shared" si="48"/>
        <v>4.5499999999999999E-2</v>
      </c>
      <c r="Z85" s="69">
        <f t="shared" si="49"/>
        <v>23.331099999999999</v>
      </c>
      <c r="AA85" s="69">
        <f t="shared" si="50"/>
        <v>23.285599999999999</v>
      </c>
      <c r="AB85" s="66" t="e">
        <f>VLOOKUP(A85,Enforcements!$C$7:$K$21,8,0)</f>
        <v>#N/A</v>
      </c>
      <c r="AC85" s="62" t="e">
        <f>VLOOKUP(A85,Enforcements!$C$7:$E$21,3,0)</f>
        <v>#N/A</v>
      </c>
      <c r="AD85" s="63" t="str">
        <f t="shared" si="51"/>
        <v>0173-11</v>
      </c>
      <c r="AE85" s="99" t="str">
        <f t="shared" si="52"/>
        <v>aws s3 cp s3://rtdc.mdm.uploadarchive/RTDC4020/2016-09-11/ "%USERPROFILE%\AppData\Local\Temp\OnboardLogs"\RTDC4020\2016-09-11 --recursive &amp; "%USERPROFILE%\Documents\GitHub\mrs-test-scripts\Headless Mode &amp; Sideloading\WalkAndUnGZ.bat" "%USERPROFILE%\AppData\Local\Temp\OnboardLogs"\RTDC4020\2016-09-11 &amp; 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</v>
      </c>
      <c r="AF85" s="96" t="str">
        <f t="shared" si="53"/>
        <v>"C:\Program Files (x86)\AstroGrep\AstroGrep.exe" /spath="%USERPROFILE%\AppData\Local\Temp\OnboardLogs" /stypes="*4020*20160911*" /stext=" 19:.+((SYSTEM_STATE.+slice.+state.+changed )|(ment ac)|(system.+state.+changed )|(\|lc)|(penalty)|(\[timeout)|(PRM\|1\|D)|(kpr)|(kdp))" /e /r /s</v>
      </c>
      <c r="AG85" s="1" t="str">
        <f t="shared" si="54"/>
        <v>EC</v>
      </c>
      <c r="AH85" s="100" t="str">
        <f t="shared" si="63"/>
        <v>"%USERPROFILE%\Documents\GitHub\eaglep3\Utilities\RefineRTDCRunTimes.py" --tripid 173-11 --locoid 4020 --swversion DE.1.0.7.0 --startMP 204:455 --initTime 2016-09-11T12:45:54 --startdatetime 2016-09-11T12:48:31 --delay 1 --endMP 204:233311 --enddatetime 2016-09-11T13:25:09 --enforcementcount 1 &gt;&gt;C:\Users\stu\Documents\GitHub\eaglep3-reporting\EC\2016-09-11-refined-times.txt</v>
      </c>
      <c r="AI85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{"issue":{"subject":"","project_id":79,"tracker_id":40,"status_id":1,"priority_id":2,"assigned_to_id":23,"start_date":"2016-09-11","description":"","custom_fields":[{"id":1,"name":"Subdivision","value":"EC"},{"id":4,"name":"Milepost","value":"23.2856"},{"id":17,"name":"Train ID","value":"173-11"},{"id":16,"name":"Locomotive ID","value":"4020"},{"id":130,"name":"Impact","value":""},{"id":150,"name":"Time of Event (Mountain Time)","value":"13:25:09"},{"id":151,"name":"Denver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503</v>
      </c>
      <c r="B86" s="7">
        <v>4019</v>
      </c>
      <c r="C86" s="24" t="s">
        <v>108</v>
      </c>
      <c r="D86" s="24" t="s">
        <v>316</v>
      </c>
      <c r="E86" s="15">
        <v>42624.56763888889</v>
      </c>
      <c r="F86" s="15">
        <v>42624.604583333334</v>
      </c>
      <c r="G86" s="7">
        <v>1</v>
      </c>
      <c r="H86" s="15" t="s">
        <v>241</v>
      </c>
      <c r="I86" s="15">
        <v>42624.630833333336</v>
      </c>
      <c r="J86" s="7">
        <v>1</v>
      </c>
      <c r="K86" s="121" t="str">
        <f t="shared" si="42"/>
        <v>4019/4020</v>
      </c>
      <c r="L86" s="24" t="str">
        <f>VLOOKUP(A86,'Trips&amp;Operators'!$C$1:$E$10000,3,FALSE)</f>
        <v>STEWART</v>
      </c>
      <c r="M86" s="6">
        <f t="shared" si="43"/>
        <v>2.6250000002619345E-2</v>
      </c>
      <c r="N86" s="7">
        <f t="shared" si="62"/>
        <v>37.800000003771856</v>
      </c>
      <c r="O86" s="7"/>
      <c r="P86" s="7"/>
      <c r="Q86" s="25"/>
      <c r="R86" s="25"/>
      <c r="S86" s="37">
        <f t="shared" si="44"/>
        <v>1</v>
      </c>
      <c r="T86" s="52" t="str">
        <f t="shared" si="45"/>
        <v>Southbound</v>
      </c>
      <c r="U86" s="163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https://search-rtdc-monitor-bjffxe2xuh6vdkpspy63sjmuny.us-east-1.es.amazonaws.com/_plugin/kibana/#/discover/Steve-Slow-Train-Analysis-(2080s-and-2083s)?_g=(refreshInterval:(display:Off,section:0,value:0),time:(from:'2016-09-11 12:37:24-0600',mode:absolute,to:'2016-09-11 16:08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86" s="54" t="str">
        <f t="shared" si="47"/>
        <v>N</v>
      </c>
      <c r="X86" s="168">
        <f t="shared" ref="X86:X90" si="65">VALUE(LEFT(AD86,4))-VALUE(LEFT(AD85,4))</f>
        <v>1</v>
      </c>
      <c r="Y86" s="69">
        <f t="shared" si="48"/>
        <v>23.297999999999998</v>
      </c>
      <c r="Z86" s="69">
        <f t="shared" si="49"/>
        <v>1.4999999999999999E-2</v>
      </c>
      <c r="AA86" s="69">
        <f t="shared" si="50"/>
        <v>23.282999999999998</v>
      </c>
      <c r="AB86" s="66" t="e">
        <f>VLOOKUP(A86,Enforcements!$C$7:$K$21,8,0)</f>
        <v>#N/A</v>
      </c>
      <c r="AC86" s="62" t="e">
        <f>VLOOKUP(A86,Enforcements!$C$7:$E$21,3,0)</f>
        <v>#N/A</v>
      </c>
      <c r="AD86" s="63" t="str">
        <f t="shared" si="51"/>
        <v>0174-11</v>
      </c>
      <c r="AE86" s="99" t="str">
        <f t="shared" si="52"/>
        <v>aws s3 cp s3://rtdc.mdm.uploadarchive/RTDC4019/2016-09-11/ "%USERPROFILE%\AppData\Local\Temp\OnboardLogs"\RTDC4019\2016-09-11 --recursive &amp; "%USERPROFILE%\Documents\GitHub\mrs-test-scripts\Headless Mode &amp; Sideloading\WalkAndUnGZ.bat" "%USERPROFILE%\AppData\Local\Temp\OnboardLogs"\RTDC4019\2016-09-11 &amp; 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</v>
      </c>
      <c r="AF86" s="96" t="str">
        <f t="shared" si="53"/>
        <v>"C:\Program Files (x86)\AstroGrep\AstroGrep.exe" /spath="%USERPROFILE%\AppData\Local\Temp\OnboardLogs" /stypes="*4019*20160911*" /stext=" 21:.+((SYSTEM_STATE.+slice.+state.+changed )|(ment ac)|(system.+state.+changed )|(\|lc)|(penalty)|(\[timeout)|(PRM\|1\|D)|(kpr)|(kdp))" /e /r /s</v>
      </c>
      <c r="AG86" s="1" t="str">
        <f t="shared" si="54"/>
        <v>EC</v>
      </c>
      <c r="AH86" s="100" t="str">
        <f t="shared" si="63"/>
        <v>"%USERPROFILE%\Documents\GitHub\eaglep3\Utilities\RefineRTDCRunTimes.py" --tripid 174-11 --locoid 4019 --swversion DE.1.0.7.0 --startMP 204:232980 --initTime 2016-09-11T13:37:24 --startdatetime 2016-09-11T14:30:36 --delay 1 --endMP 204:150 --enddatetime 2016-09-11T15:08:24 --enforcementcount 1 &gt;&gt;C:\Users\stu\Documents\GitHub\eaglep3-reporting\EC\2016-09-11-refined-times.txt</v>
      </c>
      <c r="AI86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{"issue":{"subject":"","project_id":79,"tracker_id":40,"status_id":1,"priority_id":2,"assigned_to_id":23,"start_date":"2016-09-11","description":"","custom_fields":[{"id":1,"name":"Subdivision","value":"EC"},{"id":4,"name":"Milepost","value":"23.283"},{"id":17,"name":"Train ID","value":"174-11"},{"id":16,"name":"Locomotive ID","value":"4019"},{"id":130,"name":"Impact","value":""},{"id":150,"name":"Time of Event (Mountain Time)","value":"15:08:24"},{"id":151,"name":"Denver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699</v>
      </c>
      <c r="B87" s="7">
        <v>4027</v>
      </c>
      <c r="C87" s="24" t="s">
        <v>108</v>
      </c>
      <c r="D87" s="24" t="s">
        <v>316</v>
      </c>
      <c r="E87" s="15">
        <v>42624.56763888889</v>
      </c>
      <c r="F87" s="15">
        <v>42624.604583333334</v>
      </c>
      <c r="G87" s="7">
        <v>1</v>
      </c>
      <c r="H87" s="15" t="s">
        <v>241</v>
      </c>
      <c r="I87" s="15">
        <v>42624.630833333336</v>
      </c>
      <c r="J87" s="7">
        <v>1</v>
      </c>
      <c r="K87" s="121" t="str">
        <f t="shared" ref="K87:K89" si="66">IF(ISEVEN(B87),(B87-1)&amp;"/"&amp;B87,B87&amp;"/"&amp;(B87+1))</f>
        <v>4027/4028</v>
      </c>
      <c r="L87" s="24" t="e">
        <f>VLOOKUP(A87,'Trips&amp;Operators'!$C$1:$E$10000,3,FALSE)</f>
        <v>#N/A</v>
      </c>
      <c r="M87" s="6">
        <f t="shared" ref="M87:M89" si="67">I87-F87</f>
        <v>2.6250000002619345E-2</v>
      </c>
      <c r="N87" s="7"/>
      <c r="O87" s="7"/>
      <c r="P87" s="7">
        <v>1</v>
      </c>
      <c r="Q87" s="25"/>
      <c r="R87" s="25" t="s">
        <v>711</v>
      </c>
      <c r="S87" s="37">
        <f t="shared" ref="S87:S89" si="68">SUM(U87:U87)/IF(AG87="EC",12,1)</f>
        <v>0</v>
      </c>
      <c r="T87" s="52" t="str">
        <f t="shared" ref="T87:T89" si="69">IF(ISEVEN(LEFT(AD87,4)),"Southbound","NorthBound")</f>
        <v>NorthBound</v>
      </c>
      <c r="U87" s="163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0</v>
      </c>
      <c r="V87" s="106" t="str">
        <f t="shared" ref="V87:V89" si="70">"https://search-rtdc-monitor-bjffxe2xuh6vdkpspy63sjmuny.us-east-1.es.amazonaws.com/_plugin/kibana/#/discover/Steve-Slow-Train-Analysis-(2080s-and-2083s)?_g=(refreshInterval:(display:Off,section:0,value:0),time:(from:'"&amp;TEXT(E87-1/24,"yyyy-MM-DD hh:mm:ss")&amp;"-0600',mode:absolute,to:'"&amp;TEXT(I87+1/24,"yyyy-MM-DD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87&amp;"%22')),sort:!(Time,asc))"</f>
        <v>https://search-rtdc-monitor-bjffxe2xuh6vdkpspy63sjmuny.us-east-1.es.amazonaws.com/_plugin/kibana/#/discover/Steve-Slow-Train-Analysis-(2080s-and-2083s)?_g=(refreshInterval:(display:Off,section:0,value:0),time:(from:'2016-09-11 12:37:24-0600',mode:absolute,to:'2016-09-11 16:08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87" s="54" t="str">
        <f t="shared" ref="W87:W89" si="71">IF(AA87&lt;IF(AG87="EC",23,5.65),"Y","N")</f>
        <v>N</v>
      </c>
      <c r="X87" s="168">
        <f t="shared" si="65"/>
        <v>1</v>
      </c>
      <c r="Y87" s="69">
        <f t="shared" ref="Y87:Y89" si="72">RIGHT(D87,LEN(D87)-4)/10000</f>
        <v>23.297999999999998</v>
      </c>
      <c r="Z87" s="69">
        <f t="shared" ref="Z87:Z89" si="73">RIGHT(H87,LEN(H87)-4)/10000</f>
        <v>1.4999999999999999E-2</v>
      </c>
      <c r="AA87" s="69">
        <f t="shared" ref="AA87:AA89" si="74">ABS(Z87-Y87)</f>
        <v>23.282999999999998</v>
      </c>
      <c r="AB87" s="66" t="e">
        <f>VLOOKUP(A87,Enforcements!$C$7:$K$21,8,0)</f>
        <v>#N/A</v>
      </c>
      <c r="AC87" s="62" t="e">
        <f>VLOOKUP(A87,Enforcements!$C$7:$E$21,3,0)</f>
        <v>#N/A</v>
      </c>
      <c r="AD87" s="63" t="str">
        <f t="shared" ref="AD87:AD89" si="75">IF(LEN(A87)=6,"0"&amp;A87,A87)</f>
        <v>0175-11</v>
      </c>
      <c r="AE87" s="99" t="str">
        <f t="shared" si="52"/>
        <v>aws s3 cp s3://rtdc.mdm.uploadarchive/RTDC4027/2016-09-11/ "%USERPROFILE%\AppData\Local\Temp\OnboardLogs"\RTDC4027\2016-09-11 --recursive &amp; "%USERPROFILE%\Documents\GitHub\mrs-test-scripts\Headless Mode &amp; Sideloading\WalkAndUnGZ.bat" "%USERPROFILE%\AppData\Local\Temp\OnboardLogs"\RTDC4027\2016-09-11 &amp; 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</v>
      </c>
      <c r="AF87" s="96" t="str">
        <f t="shared" si="53"/>
        <v>"C:\Program Files (x86)\AstroGrep\AstroGrep.exe" /spath="%USERPROFILE%\AppData\Local\Temp\OnboardLogs" /stypes="*4027*20160911*" /stext=" 21:.+((SYSTEM_STATE.+slice.+state.+changed )|(ment ac)|(system.+state.+changed )|(\|lc)|(penalty)|(\[timeout)|(PRM\|1\|D)|(kpr)|(kdp))" /e /r /s</v>
      </c>
      <c r="AG87" s="1" t="str">
        <f t="shared" ref="AG87:AG89" si="76">IFERROR(IF(VALUE(LEFT(AD87,2))&lt;=2,"EC",IF(OR(VALUE(LEFT(AD87,2))=8,VALUE(LEFT(AD87,2))=18),"NW","Other")),"Other")</f>
        <v>EC</v>
      </c>
      <c r="AH87" s="100" t="str">
        <f t="shared" ref="AH87:AH89" si="77">refinertdcruntimes&amp;" --tripid "&amp;A87&amp;" --locoid "&amp;B87&amp;" --swversion "&amp;C87&amp;" --startMP "&amp;D87&amp;" --initTime "&amp;TEXT(E87,"yyyy-mm-ddTHH:MM:SS")&amp;" --startdatetime "&amp;TEXT(F87,"yyyy-mm-ddTHH:MM:SS")&amp;" --delay "&amp;G87&amp;" --endMP "&amp;H87&amp;" --enddatetime "&amp;TEXT(I87,"yyyy-mm-ddTHH:MM:SS")&amp;" --enforcementcount "&amp;J87&amp;IF(outputrefinedruntimes," &gt;&gt;"&amp;RefinedRTDCRunTimesOutputFile,"")</f>
        <v>"%USERPROFILE%\Documents\GitHub\eaglep3\Utilities\RefineRTDCRunTimes.py" --tripid 175-11 --locoid 4027 --swversion DE.1.0.7.0 --startMP 204:232980 --initTime 2016-09-11T13:37:24 --startdatetime 2016-09-11T14:30:36 --delay 1 --endMP 204:150 --enddatetime 2016-09-11T15:08:24 --enforcementcount 1 &gt;&gt;C:\Users\stu\Documents\GitHub\eaglep3-reporting\EC\2016-09-11-refined-times.txt</v>
      </c>
      <c r="AI87" s="134" t="str">
        <f t="shared" ref="AI87:AI89" si="78">"echo {""issue"":{""subject"":"""&amp;R87&amp;""",""project_id"":79,""tracker_id"":40,""status_id"":"&amp;redmine_status&amp;",""priority_id"":"&amp;redmine_priority&amp;",""assigned_to_id"":"&amp;redmine_assignee&amp;",""start_date"":"""&amp;TEXT(I87,"YYYY-mm-dd")&amp;""",""description"":"""&amp;AJ87&amp;""",""custom_fields"":[{""id"":1,""name"":""Subdivision"",""value"":"""&amp;AG87&amp;"""},{""id"":4,""name"":""Milepost"",""value"":"""&amp;AA87&amp;"""},{""id"":17,""name"":""Train ID"",""value"":"""&amp;A87&amp;"""},{""id"":16,""name"":""Locomotive ID"",""value"":"""&amp;B87&amp;"""},{""id"":130,""name"":""Impact"",""value"":"""&amp;AK87&amp;"""},{""id"":150,""name"":""Time of Event (Mountain Time)"",""value"":"""&amp;TEXT(I87,"hh:mm:ss")&amp;"""},{""id"":151,""name"":""Denver Issue ID"",""value"":"""&amp;"""},{""id"":178,""name"":""Operational Impact"",""value"":"""&amp;redmine_op_impact&amp;"""},{""id"":179,""name"":""Denver Segment Assigned"",""value"":"""&amp;AL87&amp;"""}]}}"&amp;" | curl -X POST -H ""Content-Type: application/json"" -H ""X-Redmine-API-Key: "&amp;redm_api_key&amp;""" "&amp;redm_url&amp;" --data @-"</f>
        <v>echo {"issue":{"subject":"Did not init - S/W download screen","project_id":79,"tracker_id":40,"status_id":1,"priority_id":2,"assigned_to_id":23,"start_date":"2016-09-11","description":"","custom_fields":[{"id":1,"name":"Subdivision","value":"EC"},{"id":4,"name":"Milepost","value":"23.283"},{"id":17,"name":"Train ID","value":"175-11"},{"id":16,"name":"Locomotive ID","value":"4027"},{"id":130,"name":"Impact","value":""},{"id":150,"name":"Time of Event (Mountain Time)","value":"15:08:24"},{"id":151,"name":"Denver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700</v>
      </c>
      <c r="B88" s="7">
        <v>4017</v>
      </c>
      <c r="C88" s="24" t="s">
        <v>108</v>
      </c>
      <c r="D88" s="24" t="s">
        <v>316</v>
      </c>
      <c r="E88" s="15">
        <v>42624.56763888889</v>
      </c>
      <c r="F88" s="15">
        <v>42624.604583333334</v>
      </c>
      <c r="G88" s="7">
        <v>1</v>
      </c>
      <c r="H88" s="15" t="s">
        <v>241</v>
      </c>
      <c r="I88" s="15">
        <v>42624.630833333336</v>
      </c>
      <c r="J88" s="7">
        <v>1</v>
      </c>
      <c r="K88" s="121" t="str">
        <f t="shared" si="66"/>
        <v>4017/4018</v>
      </c>
      <c r="L88" s="24" t="e">
        <f>VLOOKUP(A88,'Trips&amp;Operators'!$C$1:$E$10000,3,FALSE)</f>
        <v>#N/A</v>
      </c>
      <c r="M88" s="6">
        <f t="shared" si="67"/>
        <v>2.6250000002619345E-2</v>
      </c>
      <c r="N88" s="7"/>
      <c r="O88" s="7"/>
      <c r="P88" s="7">
        <v>1</v>
      </c>
      <c r="Q88" s="25"/>
      <c r="R88" s="25" t="s">
        <v>711</v>
      </c>
      <c r="S88" s="37">
        <v>0</v>
      </c>
      <c r="T88" s="52" t="str">
        <f t="shared" si="69"/>
        <v>Southbound</v>
      </c>
      <c r="U88" s="163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https://search-rtdc-monitor-bjffxe2xuh6vdkpspy63sjmuny.us-east-1.es.amazonaws.com/_plugin/kibana/#/discover/Steve-Slow-Train-Analysis-(2080s-and-2083s)?_g=(refreshInterval:(display:Off,section:0,value:0),time:(from:'2016-09-11 12:37:24-0600',mode:absolute,to:'2016-09-11 16:08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88" s="54" t="str">
        <f t="shared" si="71"/>
        <v>N</v>
      </c>
      <c r="X88" s="168">
        <f t="shared" si="65"/>
        <v>1</v>
      </c>
      <c r="Y88" s="69">
        <f t="shared" si="72"/>
        <v>23.297999999999998</v>
      </c>
      <c r="Z88" s="69">
        <f t="shared" si="73"/>
        <v>1.4999999999999999E-2</v>
      </c>
      <c r="AA88" s="69">
        <f t="shared" si="74"/>
        <v>23.282999999999998</v>
      </c>
      <c r="AB88" s="66" t="e">
        <f>VLOOKUP(A88,Enforcements!$C$7:$K$21,8,0)</f>
        <v>#N/A</v>
      </c>
      <c r="AC88" s="62" t="e">
        <f>VLOOKUP(A88,Enforcements!$C$7:$E$21,3,0)</f>
        <v>#N/A</v>
      </c>
      <c r="AD88" s="63" t="str">
        <f t="shared" si="75"/>
        <v>0176-11</v>
      </c>
      <c r="AE88" s="99" t="str">
        <f t="shared" si="52"/>
        <v>aws s3 cp s3://rtdc.mdm.uploadarchive/RTDC4017/2016-09-11/ "%USERPROFILE%\AppData\Local\Temp\OnboardLogs"\RTDC4017\2016-09-11 --recursive &amp; "%USERPROFILE%\Documents\GitHub\mrs-test-scripts\Headless Mode &amp; Sideloading\WalkAndUnGZ.bat" "%USERPROFILE%\AppData\Local\Temp\OnboardLogs"\RTDC4017\2016-09-11 &amp; aws s3 cp s3://rtdc.mdm.uploadarchive/RTDC4017/2016-09-12/ "%USERPROFILE%\AppData\Local\Temp\OnboardLogs"\RTDC4017\2016-09-12 --recursive &amp; "%USERPROFILE%\Documents\GitHub\mrs-test-scripts\Headless Mode &amp; Sideloading\WalkAndUnGZ.bat" "%USERPROFILE%\AppData\Local\Temp\OnboardLogs"\RTDC4017\2016-09-12</v>
      </c>
      <c r="AF88" s="96" t="str">
        <f t="shared" si="53"/>
        <v>"C:\Program Files (x86)\AstroGrep\AstroGrep.exe" /spath="%USERPROFILE%\AppData\Local\Temp\OnboardLogs" /stypes="*4017*20160911*" /stext=" 21:.+((SYSTEM_STATE.+slice.+state.+changed )|(ment ac)|(system.+state.+changed )|(\|lc)|(penalty)|(\[timeout)|(PRM\|1\|D)|(kpr)|(kdp))" /e /r /s</v>
      </c>
      <c r="AG88" s="1" t="str">
        <f t="shared" si="76"/>
        <v>EC</v>
      </c>
      <c r="AH88" s="100" t="str">
        <f t="shared" si="77"/>
        <v>"%USERPROFILE%\Documents\GitHub\eaglep3\Utilities\RefineRTDCRunTimes.py" --tripid 176-11 --locoid 4017 --swversion DE.1.0.7.0 --startMP 204:232980 --initTime 2016-09-11T13:37:24 --startdatetime 2016-09-11T14:30:36 --delay 1 --endMP 204:150 --enddatetime 2016-09-11T15:08:24 --enforcementcount 1 &gt;&gt;C:\Users\stu\Documents\GitHub\eaglep3-reporting\EC\2016-09-11-refined-times.txt</v>
      </c>
      <c r="AI88" s="134" t="str">
        <f t="shared" si="78"/>
        <v>echo {"issue":{"subject":"Did not init - S/W download screen","project_id":79,"tracker_id":40,"status_id":1,"priority_id":2,"assigned_to_id":23,"start_date":"2016-09-11","description":"","custom_fields":[{"id":1,"name":"Subdivision","value":"EC"},{"id":4,"name":"Milepost","value":"23.283"},{"id":17,"name":"Train ID","value":"176-11"},{"id":16,"name":"Locomotive ID","value":"4017"},{"id":130,"name":"Impact","value":""},{"id":150,"name":"Time of Event (Mountain Time)","value":"15:08:24"},{"id":151,"name":"Denver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x14ac:dyDescent="0.25">
      <c r="A89" s="39" t="s">
        <v>701</v>
      </c>
      <c r="B89" s="7">
        <v>4040</v>
      </c>
      <c r="C89" s="24" t="s">
        <v>108</v>
      </c>
      <c r="D89" s="24" t="s">
        <v>316</v>
      </c>
      <c r="E89" s="15">
        <v>42624.56763888889</v>
      </c>
      <c r="F89" s="15">
        <v>42624.604583333334</v>
      </c>
      <c r="G89" s="7">
        <v>1</v>
      </c>
      <c r="H89" s="15" t="s">
        <v>241</v>
      </c>
      <c r="I89" s="15">
        <v>42624.630833333336</v>
      </c>
      <c r="J89" s="7">
        <v>1</v>
      </c>
      <c r="K89" s="121" t="str">
        <f t="shared" si="66"/>
        <v>4039/4040</v>
      </c>
      <c r="L89" s="24" t="e">
        <f>VLOOKUP(A89,'Trips&amp;Operators'!$C$1:$E$10000,3,FALSE)</f>
        <v>#N/A</v>
      </c>
      <c r="M89" s="6">
        <f t="shared" si="67"/>
        <v>2.6250000002619345E-2</v>
      </c>
      <c r="N89" s="7"/>
      <c r="O89" s="7"/>
      <c r="P89" s="7">
        <v>1</v>
      </c>
      <c r="Q89" s="25"/>
      <c r="R89" s="25" t="s">
        <v>711</v>
      </c>
      <c r="S89" s="37">
        <f t="shared" si="68"/>
        <v>0</v>
      </c>
      <c r="T89" s="52" t="str">
        <f t="shared" si="69"/>
        <v>NorthBound</v>
      </c>
      <c r="U89" s="163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0</v>
      </c>
      <c r="V89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https://search-rtdc-monitor-bjffxe2xuh6vdkpspy63sjmuny.us-east-1.es.amazonaws.com/_plugin/kibana/#/discover/Steve-Slow-Train-Analysis-(2080s-and-2083s)?_g=(refreshInterval:(display:Off,section:0,value:0),time:(from:'2016-09-11 12:37:24-0600',mode:absolute,to:'2016-09-11 16:08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89" s="54" t="str">
        <f t="shared" si="71"/>
        <v>N</v>
      </c>
      <c r="X89" s="168">
        <f t="shared" si="65"/>
        <v>1</v>
      </c>
      <c r="Y89" s="69">
        <f t="shared" si="72"/>
        <v>23.297999999999998</v>
      </c>
      <c r="Z89" s="69">
        <f t="shared" si="73"/>
        <v>1.4999999999999999E-2</v>
      </c>
      <c r="AA89" s="69">
        <f t="shared" si="74"/>
        <v>23.282999999999998</v>
      </c>
      <c r="AB89" s="66" t="e">
        <f>VLOOKUP(A89,Enforcements!$C$7:$K$21,8,0)</f>
        <v>#N/A</v>
      </c>
      <c r="AC89" s="62" t="e">
        <f>VLOOKUP(A89,Enforcements!$C$7:$E$21,3,0)</f>
        <v>#N/A</v>
      </c>
      <c r="AD89" s="63" t="str">
        <f t="shared" si="75"/>
        <v>0177-11</v>
      </c>
      <c r="AE89" s="99" t="str">
        <f t="shared" si="52"/>
        <v>aws s3 cp s3://rtdc.mdm.uploadarchive/RTDC4040/2016-09-11/ "%USERPROFILE%\AppData\Local\Temp\OnboardLogs"\RTDC4040\2016-09-11 --recursive &amp; "%USERPROFILE%\Documents\GitHub\mrs-test-scripts\Headless Mode &amp; Sideloading\WalkAndUnGZ.bat" "%USERPROFILE%\AppData\Local\Temp\OnboardLogs"\RTDC4040\2016-09-11 &amp; aws s3 cp s3://rtdc.mdm.uploadarchive/RTDC4040/2016-09-12/ "%USERPROFILE%\AppData\Local\Temp\OnboardLogs"\RTDC4040\2016-09-12 --recursive &amp; "%USERPROFILE%\Documents\GitHub\mrs-test-scripts\Headless Mode &amp; Sideloading\WalkAndUnGZ.bat" "%USERPROFILE%\AppData\Local\Temp\OnboardLogs"\RTDC4040\2016-09-12</v>
      </c>
      <c r="AF89" s="96" t="str">
        <f t="shared" si="53"/>
        <v>"C:\Program Files (x86)\AstroGrep\AstroGrep.exe" /spath="%USERPROFILE%\AppData\Local\Temp\OnboardLogs" /stypes="*4040*20160911*" /stext=" 21:.+((SYSTEM_STATE.+slice.+state.+changed )|(ment ac)|(system.+state.+changed )|(\|lc)|(penalty)|(\[timeout)|(PRM\|1\|D)|(kpr)|(kdp))" /e /r /s</v>
      </c>
      <c r="AG89" s="1" t="str">
        <f t="shared" si="76"/>
        <v>EC</v>
      </c>
      <c r="AH89" s="100" t="str">
        <f t="shared" si="77"/>
        <v>"%USERPROFILE%\Documents\GitHub\eaglep3\Utilities\RefineRTDCRunTimes.py" --tripid 177-11 --locoid 4040 --swversion DE.1.0.7.0 --startMP 204:232980 --initTime 2016-09-11T13:37:24 --startdatetime 2016-09-11T14:30:36 --delay 1 --endMP 204:150 --enddatetime 2016-09-11T15:08:24 --enforcementcount 1 &gt;&gt;C:\Users\stu\Documents\GitHub\eaglep3-reporting\EC\2016-09-11-refined-times.txt</v>
      </c>
      <c r="AI89" s="134" t="str">
        <f t="shared" si="78"/>
        <v>echo {"issue":{"subject":"Did not init - S/W download screen","project_id":79,"tracker_id":40,"status_id":1,"priority_id":2,"assigned_to_id":23,"start_date":"2016-09-11","description":"","custom_fields":[{"id":1,"name":"Subdivision","value":"EC"},{"id":4,"name":"Milepost","value":"23.283"},{"id":17,"name":"Train ID","value":"177-11"},{"id":16,"name":"Locomotive ID","value":"4040"},{"id":130,"name":"Impact","value":""},{"id":150,"name":"Time of Event (Mountain Time)","value":"15:08:24"},{"id":151,"name":"Denver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1" customFormat="1" x14ac:dyDescent="0.25">
      <c r="A90" s="39" t="s">
        <v>504</v>
      </c>
      <c r="B90" s="7">
        <v>4039</v>
      </c>
      <c r="C90" s="24" t="s">
        <v>108</v>
      </c>
      <c r="D90" s="24" t="s">
        <v>231</v>
      </c>
      <c r="E90" s="15">
        <v>42624.585925925923</v>
      </c>
      <c r="F90" s="15">
        <v>42624.591249999998</v>
      </c>
      <c r="G90" s="7">
        <v>1</v>
      </c>
      <c r="H90" s="15" t="s">
        <v>314</v>
      </c>
      <c r="I90" s="15">
        <v>42624.621111111112</v>
      </c>
      <c r="J90" s="7">
        <v>1</v>
      </c>
      <c r="K90" s="121" t="str">
        <f t="shared" ref="K90:K123" si="79">IF(ISEVEN(B90),(B90-1)&amp;"/"&amp;B90,B90&amp;"/"&amp;(B90+1))</f>
        <v>4039/4040</v>
      </c>
      <c r="L90" s="24" t="str">
        <f>VLOOKUP(A90,'Trips&amp;Operators'!$C$1:$E$10000,3,FALSE)</f>
        <v>BRUDER</v>
      </c>
      <c r="M90" s="6">
        <f>I90-F90</f>
        <v>2.9861111113859806E-2</v>
      </c>
      <c r="N90" s="7">
        <f>24*60*SUM($M90:$M90)</f>
        <v>43.000000003958121</v>
      </c>
      <c r="O90" s="7"/>
      <c r="P90" s="7"/>
      <c r="Q90" s="25"/>
      <c r="R90" s="25"/>
      <c r="S90" s="37">
        <f>SUM(U90:U90)/IF(AG90="EC",12,1)</f>
        <v>1</v>
      </c>
      <c r="T90" s="52" t="str">
        <f t="shared" ref="T90:T123" si="80">IF(ISEVEN(LEFT(AD90,4)),"Southbound","NorthBound")</f>
        <v>Southbound</v>
      </c>
      <c r="U90" s="163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>"https://search-rtdc-monitor-bjffxe2xuh6vdkpspy63sjmuny.us-east-1.es.amazonaws.com/_plugin/kibana/#/discover/Steve-Slow-Train-Analysis-(2080s-and-2083s)?_g=(refreshInterval:(display:Off,section:0,value:0),time:(from:'"&amp;TEXT(E90-1/24,"yyyy-MM-DD hh:mm:ss")&amp;"-0600',mode:absolute,to:'"&amp;TEXT(I90+1/24,"yyyy-MM-DD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90&amp;"%22')),sort:!(Time,asc))"</f>
        <v>https://search-rtdc-monitor-bjffxe2xuh6vdkpspy63sjmuny.us-east-1.es.amazonaws.com/_plugin/kibana/#/discover/Steve-Slow-Train-Analysis-(2080s-and-2083s)?_g=(refreshInterval:(display:Off,section:0,value:0),time:(from:'2016-09-11 13:03:44-0600',mode:absolute,to:'2016-09-11 15:54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90" s="54" t="str">
        <f>IF(AA90&lt;IF(AG90="EC",23,5.65),"Y","N")</f>
        <v>N</v>
      </c>
      <c r="X90" s="168">
        <f t="shared" si="65"/>
        <v>1</v>
      </c>
      <c r="Y90" s="69">
        <f>RIGHT(D90,LEN(D90)-4)/10000</f>
        <v>23.298200000000001</v>
      </c>
      <c r="Z90" s="69">
        <f>RIGHT(H90,LEN(H90)-4)/10000</f>
        <v>1.38E-2</v>
      </c>
      <c r="AA90" s="69">
        <f>ABS(Z90-Y90)</f>
        <v>23.284400000000002</v>
      </c>
      <c r="AB90" s="66" t="e">
        <f>VLOOKUP(A90,Enforcements!$C$7:$K$21,8,0)</f>
        <v>#N/A</v>
      </c>
      <c r="AC90" s="62" t="e">
        <f>VLOOKUP(A90,Enforcements!$C$7:$E$21,3,0)</f>
        <v>#N/A</v>
      </c>
      <c r="AD90" s="63" t="str">
        <f t="shared" ref="AD90:AD123" si="81">IF(LEN(A90)=6,"0"&amp;A90,A90)</f>
        <v>0178-11</v>
      </c>
      <c r="AE90" s="99" t="str">
        <f t="shared" si="52"/>
        <v>aws s3 cp s3://rtdc.mdm.uploadarchive/RTDC4039/2016-09-11/ "%USERPROFILE%\AppData\Local\Temp\OnboardLogs"\RTDC4039\2016-09-11 --recursive &amp; "%USERPROFILE%\Documents\GitHub\mrs-test-scripts\Headless Mode &amp; Sideloading\WalkAndUnGZ.bat" "%USERPROFILE%\AppData\Local\Temp\OnboardLogs"\RTDC4039\2016-09-11 &amp; aws s3 cp s3://rtdc.mdm.uploadarchive/RTDC4039/2016-09-12/ "%USERPROFILE%\AppData\Local\Temp\OnboardLogs"\RTDC4039\2016-09-12 --recursive &amp; "%USERPROFILE%\Documents\GitHub\mrs-test-scripts\Headless Mode &amp; Sideloading\WalkAndUnGZ.bat" "%USERPROFILE%\AppData\Local\Temp\OnboardLogs"\RTDC4039\2016-09-12</v>
      </c>
      <c r="AF90" s="96" t="str">
        <f t="shared" si="53"/>
        <v>"C:\Program Files (x86)\AstroGrep\AstroGrep.exe" /spath="%USERPROFILE%\AppData\Local\Temp\OnboardLogs" /stypes="*4039*20160911*" /stext=" 20:.+((SYSTEM_STATE.+slice.+state.+changed )|(ment ac)|(system.+state.+changed )|(\|lc)|(penalty)|(\[timeout)|(PRM\|1\|D)|(kpr)|(kdp))" /e /r /s</v>
      </c>
      <c r="AG90" s="1" t="str">
        <f t="shared" ref="AG90:AG123" si="82">IFERROR(IF(VALUE(LEFT(AD90,2))&lt;=2,"EC",IF(OR(VALUE(LEFT(AD90,2))=8,VALUE(LEFT(AD90,2))=18),"NW","Other")),"Other")</f>
        <v>EC</v>
      </c>
      <c r="AH90" s="100" t="str">
        <f t="shared" si="63"/>
        <v>"%USERPROFILE%\Documents\GitHub\eaglep3\Utilities\RefineRTDCRunTimes.py" --tripid 178-11 --locoid 4039 --swversion DE.1.0.7.0 --startMP 204:232982 --initTime 2016-09-11T14:03:44 --startdatetime 2016-09-11T14:11:24 --delay 1 --endMP 204:138 --enddatetime 2016-09-11T14:54:24 --enforcementcount 1 &gt;&gt;C:\Users\stu\Documents\GitHub\eaglep3-reporting\EC\2016-09-11-refined-times.txt</v>
      </c>
      <c r="AI90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{"issue":{"subject":"","project_id":79,"tracker_id":40,"status_id":1,"priority_id":2,"assigned_to_id":23,"start_date":"2016-09-11","description":"","custom_fields":[{"id":1,"name":"Subdivision","value":"EC"},{"id":4,"name":"Milepost","value":"23.2844"},{"id":17,"name":"Train ID","value":"178-11"},{"id":16,"name":"Locomotive ID","value":"4039"},{"id":130,"name":"Impact","value":""},{"id":150,"name":"Time of Event (Mountain Time)","value":"14:54:24"},{"id":151,"name":"Denver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1" customFormat="1" x14ac:dyDescent="0.25">
      <c r="A91" s="39" t="s">
        <v>702</v>
      </c>
      <c r="B91" s="7">
        <v>4009</v>
      </c>
      <c r="C91" s="24" t="s">
        <v>108</v>
      </c>
      <c r="D91" s="24" t="s">
        <v>231</v>
      </c>
      <c r="E91" s="15">
        <v>42624.585925925923</v>
      </c>
      <c r="F91" s="15">
        <v>42624.591249999998</v>
      </c>
      <c r="G91" s="7">
        <v>1</v>
      </c>
      <c r="H91" s="15" t="s">
        <v>314</v>
      </c>
      <c r="I91" s="15">
        <v>42624.621111111112</v>
      </c>
      <c r="J91" s="7">
        <v>1</v>
      </c>
      <c r="K91" s="121" t="str">
        <f t="shared" si="79"/>
        <v>4009/4010</v>
      </c>
      <c r="L91" s="24" t="e">
        <f>VLOOKUP(A91,'Trips&amp;Operators'!$C$1:$E$10000,3,FALSE)</f>
        <v>#N/A</v>
      </c>
      <c r="M91" s="6">
        <f>I91-F91</f>
        <v>2.9861111113859806E-2</v>
      </c>
      <c r="N91" s="7"/>
      <c r="O91" s="7"/>
      <c r="P91" s="7">
        <v>1</v>
      </c>
      <c r="Q91" s="25"/>
      <c r="R91" s="25" t="s">
        <v>711</v>
      </c>
      <c r="S91" s="37">
        <f>SUM(U91:U91)/IF(AG91="EC",12,1)</f>
        <v>0</v>
      </c>
      <c r="T91" s="52" t="str">
        <f t="shared" si="80"/>
        <v>NorthBound</v>
      </c>
      <c r="U91" s="163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0</v>
      </c>
      <c r="V91" s="106" t="str">
        <f>"https://search-rtdc-monitor-bjffxe2xuh6vdkpspy63sjmuny.us-east-1.es.amazonaws.com/_plugin/kibana/#/discover/Steve-Slow-Train-Analysis-(2080s-and-2083s)?_g=(refreshInterval:(display:Off,section:0,value:0),time:(from:'"&amp;TEXT(E91-1/24,"yyyy-MM-DD hh:mm:ss")&amp;"-0600',mode:absolute,to:'"&amp;TEXT(I91+1/24,"yyyy-MM-DD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91&amp;"%22')),sort:!(Time,asc))"</f>
        <v>https://search-rtdc-monitor-bjffxe2xuh6vdkpspy63sjmuny.us-east-1.es.amazonaws.com/_plugin/kibana/#/discover/Steve-Slow-Train-Analysis-(2080s-and-2083s)?_g=(refreshInterval:(display:Off,section:0,value:0),time:(from:'2016-09-11 13:03:44-0600',mode:absolute,to:'2016-09-11 15:54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91" s="54" t="str">
        <f>IF(AA91&lt;IF(AG91="EC",23,5.65),"Y","N")</f>
        <v>N</v>
      </c>
      <c r="X91" s="168">
        <f t="shared" ref="X91:X107" si="83">VALUE(LEFT(AD91,4))-VALUE(LEFT(AD90,4))</f>
        <v>1</v>
      </c>
      <c r="Y91" s="69">
        <f>RIGHT(D91,LEN(D91)-4)/10000</f>
        <v>23.298200000000001</v>
      </c>
      <c r="Z91" s="69">
        <f>RIGHT(H91,LEN(H91)-4)/10000</f>
        <v>1.38E-2</v>
      </c>
      <c r="AA91" s="69">
        <f>ABS(Z91-Y91)</f>
        <v>23.284400000000002</v>
      </c>
      <c r="AB91" s="66" t="e">
        <f>VLOOKUP(A91,Enforcements!$C$7:$K$21,8,0)</f>
        <v>#N/A</v>
      </c>
      <c r="AC91" s="62" t="e">
        <f>VLOOKUP(A91,Enforcements!$C$7:$E$21,3,0)</f>
        <v>#N/A</v>
      </c>
      <c r="AD91" s="63" t="str">
        <f t="shared" si="81"/>
        <v>0179-11</v>
      </c>
      <c r="AE91" s="99" t="str">
        <f t="shared" si="52"/>
        <v>aws s3 cp s3://rtdc.mdm.uploadarchive/RTDC4009/2016-09-11/ "%USERPROFILE%\AppData\Local\Temp\OnboardLogs"\RTDC4009\2016-09-11 --recursive &amp; "%USERPROFILE%\Documents\GitHub\mrs-test-scripts\Headless Mode &amp; Sideloading\WalkAndUnGZ.bat" "%USERPROFILE%\AppData\Local\Temp\OnboardLogs"\RTDC4009\2016-09-11 &amp; 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</v>
      </c>
      <c r="AF91" s="96" t="str">
        <f t="shared" si="53"/>
        <v>"C:\Program Files (x86)\AstroGrep\AstroGrep.exe" /spath="%USERPROFILE%\AppData\Local\Temp\OnboardLogs" /stypes="*4009*20160911*" /stext=" 20:.+((SYSTEM_STATE.+slice.+state.+changed )|(ment ac)|(system.+state.+changed )|(\|lc)|(penalty)|(\[timeout)|(PRM\|1\|D)|(kpr)|(kdp))" /e /r /s</v>
      </c>
      <c r="AG91" s="1" t="str">
        <f t="shared" si="82"/>
        <v>EC</v>
      </c>
      <c r="AH91" s="100" t="str">
        <f t="shared" ref="AH91" si="84">refinertdcruntimes&amp;" --tripid "&amp;A91&amp;" --locoid "&amp;B91&amp;" --swversion "&amp;C91&amp;" --startMP "&amp;D91&amp;" --initTime "&amp;TEXT(E91,"yyyy-mm-ddTHH:MM:SS")&amp;" --startdatetime "&amp;TEXT(F91,"yyyy-mm-ddTHH:MM:SS")&amp;" --delay "&amp;G91&amp;" --endMP "&amp;H91&amp;" --enddatetime "&amp;TEXT(I91,"yyyy-mm-ddTHH:MM:SS")&amp;" --enforcementcount "&amp;J91&amp;IF(outputrefinedruntimes," &gt;&gt;"&amp;RefinedRTDCRunTimesOutputFile,"")</f>
        <v>"%USERPROFILE%\Documents\GitHub\eaglep3\Utilities\RefineRTDCRunTimes.py" --tripid 179-11 --locoid 4009 --swversion DE.1.0.7.0 --startMP 204:232982 --initTime 2016-09-11T14:03:44 --startdatetime 2016-09-11T14:11:24 --delay 1 --endMP 204:138 --enddatetime 2016-09-11T14:54:24 --enforcementcount 1 &gt;&gt;C:\Users\stu\Documents\GitHub\eaglep3-reporting\EC\2016-09-11-refined-times.txt</v>
      </c>
      <c r="AI91" s="134" t="str">
        <f t="shared" ref="AI91" si="85">"echo {""issue"":{""subject"":"""&amp;R91&amp;""",""project_id"":79,""tracker_id"":40,""status_id"":"&amp;redmine_status&amp;",""priority_id"":"&amp;redmine_priority&amp;",""assigned_to_id"":"&amp;redmine_assignee&amp;",""start_date"":"""&amp;TEXT(I91,"YYYY-mm-dd")&amp;""",""description"":"""&amp;AJ91&amp;""",""custom_fields"":[{""id"":1,""name"":""Subdivision"",""value"":"""&amp;AG91&amp;"""},{""id"":4,""name"":""Milepost"",""value"":"""&amp;AA91&amp;"""},{""id"":17,""name"":""Train ID"",""value"":"""&amp;A91&amp;"""},{""id"":16,""name"":""Locomotive ID"",""value"":"""&amp;B91&amp;"""},{""id"":130,""name"":""Impact"",""value"":"""&amp;AK91&amp;"""},{""id"":150,""name"":""Time of Event (Mountain Time)"",""value"":"""&amp;TEXT(I91,"hh:mm:ss")&amp;"""},{""id"":151,""name"":""Denver Issue ID"",""value"":"""&amp;"""},{""id"":178,""name"":""Operational Impact"",""value"":"""&amp;redmine_op_impact&amp;"""},{""id"":179,""name"":""Denver Segment Assigned"",""value"":"""&amp;AL91&amp;"""}]}}"&amp;" | curl -X POST -H ""Content-Type: application/json"" -H ""X-Redmine-API-Key: "&amp;redm_api_key&amp;""" "&amp;redm_url&amp;" --data @-"</f>
        <v>echo {"issue":{"subject":"Did not init - S/W download screen","project_id":79,"tracker_id":40,"status_id":1,"priority_id":2,"assigned_to_id":23,"start_date":"2016-09-11","description":"","custom_fields":[{"id":1,"name":"Subdivision","value":"EC"},{"id":4,"name":"Milepost","value":"23.2844"},{"id":17,"name":"Train ID","value":"179-11"},{"id":16,"name":"Locomotive ID","value":"4009"},{"id":130,"name":"Impact","value":""},{"id":150,"name":"Time of Event (Mountain Time)","value":"14:54:24"},{"id":151,"name":"Denver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1" customFormat="1" x14ac:dyDescent="0.25">
      <c r="A92" s="39" t="s">
        <v>505</v>
      </c>
      <c r="B92" s="7">
        <v>4010</v>
      </c>
      <c r="C92" s="24" t="s">
        <v>108</v>
      </c>
      <c r="D92" s="24" t="s">
        <v>352</v>
      </c>
      <c r="E92" s="15">
        <v>42624.600046296298</v>
      </c>
      <c r="F92" s="15">
        <v>42624.601736111108</v>
      </c>
      <c r="G92" s="7">
        <v>1</v>
      </c>
      <c r="H92" s="15" t="s">
        <v>289</v>
      </c>
      <c r="I92" s="15">
        <v>42624.633067129631</v>
      </c>
      <c r="J92" s="7">
        <v>1</v>
      </c>
      <c r="K92" s="121" t="str">
        <f t="shared" si="79"/>
        <v>4009/4010</v>
      </c>
      <c r="L92" s="24" t="str">
        <f>VLOOKUP(A92,'Trips&amp;Operators'!$C$1:$E$10000,3,FALSE)</f>
        <v>MOSES</v>
      </c>
      <c r="M92" s="6">
        <f>I92-F92</f>
        <v>3.1331018522905651E-2</v>
      </c>
      <c r="N92" s="7">
        <f>24*60*SUM($M92:$M92)</f>
        <v>45.116666672984138</v>
      </c>
      <c r="O92" s="7"/>
      <c r="P92" s="7"/>
      <c r="Q92" s="25"/>
      <c r="R92" s="25"/>
      <c r="S92" s="37">
        <f>SUM(U92:U92)/IF(AG92="EC",12,1)</f>
        <v>1</v>
      </c>
      <c r="T92" s="52" t="str">
        <f t="shared" si="80"/>
        <v>Southbound</v>
      </c>
      <c r="U92" s="163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>"https://search-rtdc-monitor-bjffxe2xuh6vdkpspy63sjmuny.us-east-1.es.amazonaws.com/_plugin/kibana/#/discover/Steve-Slow-Train-Analysis-(2080s-and-2083s)?_g=(refreshInterval:(display:Off,section:0,value:0),time:(from:'"&amp;TEXT(E92-1/24,"yyyy-MM-DD hh:mm:ss")&amp;"-0600',mode:absolute,to:'"&amp;TEXT(I92+1/24,"yyyy-MM-DD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92&amp;"%22')),sort:!(Time,asc))"</f>
        <v>https://search-rtdc-monitor-bjffxe2xuh6vdkpspy63sjmuny.us-east-1.es.amazonaws.com/_plugin/kibana/#/discover/Steve-Slow-Train-Analysis-(2080s-and-2083s)?_g=(refreshInterval:(display:Off,section:0,value:0),time:(from:'2016-09-11 13:24:04-0600',mode:absolute,to:'2016-09-11 16:11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92" s="54" t="str">
        <f>IF(AA92&lt;IF(AG92="EC",23,5.65),"Y","N")</f>
        <v>N</v>
      </c>
      <c r="X92" s="168">
        <f t="shared" si="83"/>
        <v>1</v>
      </c>
      <c r="Y92" s="69">
        <f>RIGHT(D92,LEN(D92)-4)/10000</f>
        <v>23.300999999999998</v>
      </c>
      <c r="Z92" s="69">
        <f>RIGHT(H92,LEN(H92)-4)/10000</f>
        <v>1.41E-2</v>
      </c>
      <c r="AA92" s="69">
        <f>ABS(Z92-Y92)</f>
        <v>23.286899999999999</v>
      </c>
      <c r="AB92" s="66" t="e">
        <f>VLOOKUP(A92,Enforcements!$C$7:$K$21,8,0)</f>
        <v>#N/A</v>
      </c>
      <c r="AC92" s="62" t="e">
        <f>VLOOKUP(A92,Enforcements!$C$7:$E$21,3,0)</f>
        <v>#N/A</v>
      </c>
      <c r="AD92" s="63" t="str">
        <f t="shared" si="81"/>
        <v>0180-11</v>
      </c>
      <c r="AE92" s="99" t="str">
        <f t="shared" si="52"/>
        <v>aws s3 cp s3://rtdc.mdm.uploadarchive/RTDC4010/2016-09-11/ "%USERPROFILE%\AppData\Local\Temp\OnboardLogs"\RTDC4010\2016-09-11 --recursive &amp; "%USERPROFILE%\Documents\GitHub\mrs-test-scripts\Headless Mode &amp; Sideloading\WalkAndUnGZ.bat" "%USERPROFILE%\AppData\Local\Temp\OnboardLogs"\RTDC4010\2016-09-11 &amp; 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</v>
      </c>
      <c r="AF92" s="96" t="str">
        <f t="shared" si="53"/>
        <v>"C:\Program Files (x86)\AstroGrep\AstroGrep.exe" /spath="%USERPROFILE%\AppData\Local\Temp\OnboardLogs" /stypes="*4010*20160911*" /stext=" 21:.+((SYSTEM_STATE.+slice.+state.+changed )|(ment ac)|(system.+state.+changed )|(\|lc)|(penalty)|(\[timeout)|(PRM\|1\|D)|(kpr)|(kdp))" /e /r /s</v>
      </c>
      <c r="AG92" s="1" t="str">
        <f t="shared" si="82"/>
        <v>EC</v>
      </c>
      <c r="AH92" s="100" t="str">
        <f t="shared" si="63"/>
        <v>"%USERPROFILE%\Documents\GitHub\eaglep3\Utilities\RefineRTDCRunTimes.py" --tripid 180-11 --locoid 4010 --swversion DE.1.0.7.0 --startMP 204:233010 --initTime 2016-09-11T14:24:04 --startdatetime 2016-09-11T14:26:30 --delay 1 --endMP 204:141 --enddatetime 2016-09-11T15:11:37 --enforcementcount 1 &gt;&gt;C:\Users\stu\Documents\GitHub\eaglep3-reporting\EC\2016-09-11-refined-times.txt</v>
      </c>
      <c r="AI92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{"issue":{"subject":"","project_id":79,"tracker_id":40,"status_id":1,"priority_id":2,"assigned_to_id":23,"start_date":"2016-09-11","description":"","custom_fields":[{"id":1,"name":"Subdivision","value":"EC"},{"id":4,"name":"Milepost","value":"23.2869"},{"id":17,"name":"Train ID","value":"180-11"},{"id":16,"name":"Locomotive ID","value":"4010"},{"id":130,"name":"Impact","value":""},{"id":150,"name":"Time of Event (Mountain Time)","value":"15:11:37"},{"id":151,"name":"Denver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1" customFormat="1" x14ac:dyDescent="0.25">
      <c r="A93" s="39" t="s">
        <v>703</v>
      </c>
      <c r="B93" s="7">
        <v>4042</v>
      </c>
      <c r="C93" s="24"/>
      <c r="D93" s="24"/>
      <c r="E93" s="15"/>
      <c r="F93" s="15"/>
      <c r="G93" s="7"/>
      <c r="H93" s="15"/>
      <c r="I93" s="15"/>
      <c r="J93" s="7"/>
      <c r="K93" s="121" t="str">
        <f t="shared" si="79"/>
        <v>4041/4042</v>
      </c>
      <c r="L93" s="24"/>
      <c r="M93" s="6"/>
      <c r="N93" s="7"/>
      <c r="O93" s="7"/>
      <c r="P93" s="7">
        <v>1</v>
      </c>
      <c r="Q93" s="25"/>
      <c r="R93" s="25" t="s">
        <v>711</v>
      </c>
      <c r="S93" s="37">
        <v>0</v>
      </c>
      <c r="T93" s="52" t="str">
        <f t="shared" si="80"/>
        <v>NorthBound</v>
      </c>
      <c r="U93" s="163"/>
      <c r="V93" s="106"/>
      <c r="W93" s="54"/>
      <c r="X93" s="168">
        <f t="shared" si="83"/>
        <v>1</v>
      </c>
      <c r="Y93" s="69"/>
      <c r="Z93" s="69"/>
      <c r="AA93" s="69"/>
      <c r="AB93" s="66"/>
      <c r="AC93" s="62"/>
      <c r="AD93" s="63" t="str">
        <f t="shared" si="81"/>
        <v>0181-11</v>
      </c>
      <c r="AE93" s="99"/>
      <c r="AF93" s="96"/>
      <c r="AG93" s="1" t="str">
        <f t="shared" si="82"/>
        <v>EC</v>
      </c>
      <c r="AH93" s="100"/>
      <c r="AI93" s="134"/>
      <c r="AJ93" s="55"/>
      <c r="AK93" s="55"/>
      <c r="AL93" s="55"/>
    </row>
    <row r="94" spans="1:38" s="1" customFormat="1" x14ac:dyDescent="0.25">
      <c r="A94" s="39" t="s">
        <v>546</v>
      </c>
      <c r="B94" s="7">
        <v>4041</v>
      </c>
      <c r="C94" s="24" t="s">
        <v>108</v>
      </c>
      <c r="D94" s="24" t="s">
        <v>311</v>
      </c>
      <c r="E94" s="15">
        <v>42624.600648148145</v>
      </c>
      <c r="F94" s="15">
        <v>42624.612002314818</v>
      </c>
      <c r="G94" s="7">
        <v>1</v>
      </c>
      <c r="H94" s="15" t="s">
        <v>289</v>
      </c>
      <c r="I94" s="15">
        <v>42624.640324074076</v>
      </c>
      <c r="J94" s="7">
        <v>1</v>
      </c>
      <c r="K94" s="121" t="str">
        <f t="shared" si="79"/>
        <v>4041/4042</v>
      </c>
      <c r="L94" s="24" t="str">
        <f>VLOOKUP(A94,'Trips&amp;Operators'!$C$1:$E$10000,3,FALSE)</f>
        <v>STRICKLAND</v>
      </c>
      <c r="M94" s="6">
        <f t="shared" ref="M94:M127" si="86">I94-F94</f>
        <v>2.8321759258687962E-2</v>
      </c>
      <c r="N94" s="7">
        <f t="shared" ref="N94:P102" si="87">24*60*SUM($M94:$M94)</f>
        <v>40.783333332510665</v>
      </c>
      <c r="O94" s="7"/>
      <c r="P94" s="7"/>
      <c r="Q94" s="25"/>
      <c r="R94" s="25"/>
      <c r="S94" s="37">
        <f t="shared" ref="S94:S127" si="88">SUM(U94:U94)/IF(AG94="EC",12,1)</f>
        <v>1</v>
      </c>
      <c r="T94" s="52" t="str">
        <f t="shared" si="80"/>
        <v>Southbound</v>
      </c>
      <c r="U94" s="163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 t="shared" ref="V94:V127" si="89">"https://search-rtdc-monitor-bjffxe2xuh6vdkpspy63sjmuny.us-east-1.es.amazonaws.com/_plugin/kibana/#/discover/Steve-Slow-Train-Analysis-(2080s-and-2083s)?_g=(refreshInterval:(display:Off,section:0,value:0),time:(from:'"&amp;TEXT(E94-1/24,"yyyy-MM-DD hh:mm:ss")&amp;"-0600',mode:absolute,to:'"&amp;TEXT(I94+1/24,"yyyy-MM-DD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94&amp;"%22')),sort:!(Time,asc))"</f>
        <v>https://search-rtdc-monitor-bjffxe2xuh6vdkpspy63sjmuny.us-east-1.es.amazonaws.com/_plugin/kibana/#/discover/Steve-Slow-Train-Analysis-(2080s-and-2083s)?_g=(refreshInterval:(display:Off,section:0,value:0),time:(from:'2016-09-11 13:24:56-0600',mode:absolute,to:'2016-09-11 16:22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94" s="54" t="str">
        <f t="shared" ref="W94:W127" si="90">IF(AA94&lt;IF(AG94="EC",23,5.65),"Y","N")</f>
        <v>N</v>
      </c>
      <c r="X94" s="168">
        <f t="shared" si="83"/>
        <v>1</v>
      </c>
      <c r="Y94" s="69">
        <f t="shared" ref="Y94:Y127" si="91">RIGHT(D94,LEN(D94)-4)/10000</f>
        <v>23.297499999999999</v>
      </c>
      <c r="Z94" s="69">
        <f t="shared" ref="Z94:Z127" si="92">RIGHT(H94,LEN(H94)-4)/10000</f>
        <v>1.41E-2</v>
      </c>
      <c r="AA94" s="69">
        <f t="shared" ref="AA94:AA127" si="93">ABS(Z94-Y94)</f>
        <v>23.2834</v>
      </c>
      <c r="AB94" s="66" t="e">
        <f>VLOOKUP(A94,Enforcements!$C$7:$K$21,8,0)</f>
        <v>#N/A</v>
      </c>
      <c r="AC94" s="62" t="e">
        <f>VLOOKUP(A94,Enforcements!$C$7:$E$21,3,0)</f>
        <v>#N/A</v>
      </c>
      <c r="AD94" s="63" t="str">
        <f t="shared" si="81"/>
        <v>0182-11</v>
      </c>
      <c r="AE94" s="99" t="str">
        <f t="shared" ref="AE94:AE127" si="94">"aws s3 cp "&amp;s3_bucket&amp;"/RTDC"&amp;B94&amp;"/"&amp;TEXT(F94,"YYYY-MM-DD")&amp;"/ "&amp;search_path&amp;"\RTDC"&amp;B94&amp;"\"&amp;TEXT(F94,"YYYY-MM-DD")&amp;" --recursive &amp; """&amp;walkandungz&amp;""" "&amp;search_path&amp;"\RTDC"&amp;B94&amp;"\"&amp;TEXT(F94,"YYYY-MM-DD")
&amp;" &amp; "&amp;"aws s3 cp "&amp;s3_bucket&amp;"/RTDC"&amp;B94&amp;"/"&amp;TEXT(F94+1,"YYYY-MM-DD")&amp;"/ "&amp;search_path&amp;"\RTDC"&amp;B94&amp;"\"&amp;TEXT(F94+1,"YYYY-MM-DD")&amp;" --recursive &amp; """&amp;walkandungz&amp;""" "&amp;search_path&amp;"\RTDC"&amp;B94&amp;"\"&amp;TEXT(F94+1,"YYYY-MM-DD")</f>
        <v>aws s3 cp s3://rtdc.mdm.uploadarchive/RTDC4041/2016-09-11/ "%USERPROFILE%\AppData\Local\Temp\OnboardLogs"\RTDC4041\2016-09-11 --recursive &amp; "%USERPROFILE%\Documents\GitHub\mrs-test-scripts\Headless Mode &amp; Sideloading\WalkAndUnGZ.bat" "%USERPROFILE%\AppData\Local\Temp\OnboardLogs"\RTDC4041\2016-09-11 &amp; 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</v>
      </c>
      <c r="AF94" s="96" t="str">
        <f t="shared" ref="AF94:AF127" si="95">astrogrep_path&amp;" /spath="&amp;search_path&amp;" /stypes=""*"&amp;B94&amp;"*"&amp;TEXT(I94-utc_offset/24,"YYYYMMDD")&amp;"*"" /stext="" "&amp;TEXT(I94-utc_offset/24,"HH")&amp;search_regexp&amp;""" /e /r /s"</f>
        <v>"C:\Program Files (x86)\AstroGrep\AstroGrep.exe" /spath="%USERPROFILE%\AppData\Local\Temp\OnboardLogs" /stypes="*4041*20160911*" /stext=" 21:.+((SYSTEM_STATE.+slice.+state.+changed )|(ment ac)|(system.+state.+changed )|(\|lc)|(penalty)|(\[timeout)|(PRM\|1\|D)|(kpr)|(kdp))" /e /r /s</v>
      </c>
      <c r="AG94" s="1" t="str">
        <f t="shared" si="82"/>
        <v>EC</v>
      </c>
      <c r="AH94" s="100" t="str">
        <f t="shared" si="63"/>
        <v>"%USERPROFILE%\Documents\GitHub\eaglep3\Utilities\RefineRTDCRunTimes.py" --tripid 182-11 --locoid 4041 --swversion DE.1.0.7.0 --startMP 204:232975 --initTime 2016-09-11T14:24:56 --startdatetime 2016-09-11T14:41:17 --delay 1 --endMP 204:141 --enddatetime 2016-09-11T15:22:04 --enforcementcount 1 &gt;&gt;C:\Users\stu\Documents\GitHub\eaglep3-reporting\EC\2016-09-11-refined-times.txt</v>
      </c>
      <c r="AI94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{"issue":{"subject":"","project_id":79,"tracker_id":40,"status_id":1,"priority_id":2,"assigned_to_id":23,"start_date":"2016-09-11","description":"","custom_fields":[{"id":1,"name":"Subdivision","value":"EC"},{"id":4,"name":"Milepost","value":"23.2834"},{"id":17,"name":"Train ID","value":"182-11"},{"id":16,"name":"Locomotive ID","value":"4041"},{"id":130,"name":"Impact","value":""},{"id":150,"name":"Time of Event (Mountain Time)","value":"15:22:04"},{"id":151,"name":"Denver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1" customFormat="1" x14ac:dyDescent="0.25">
      <c r="A95" s="39" t="s">
        <v>567</v>
      </c>
      <c r="B95" s="7">
        <v>4025</v>
      </c>
      <c r="C95" s="24" t="s">
        <v>108</v>
      </c>
      <c r="D95" s="24" t="s">
        <v>568</v>
      </c>
      <c r="E95" s="15">
        <v>42624.581053240741</v>
      </c>
      <c r="F95" s="15">
        <v>42624.592604166668</v>
      </c>
      <c r="G95" s="7">
        <v>15</v>
      </c>
      <c r="H95" s="15" t="s">
        <v>459</v>
      </c>
      <c r="I95" s="15">
        <v>42624.614189814813</v>
      </c>
      <c r="J95" s="7">
        <v>1</v>
      </c>
      <c r="K95" s="121" t="str">
        <f t="shared" si="79"/>
        <v>4025/4026</v>
      </c>
      <c r="L95" s="24" t="str">
        <f>VLOOKUP(A95,'Trips&amp;Operators'!$C$1:$E$10000,3,FALSE)</f>
        <v>CLARK</v>
      </c>
      <c r="M95" s="6">
        <f t="shared" si="86"/>
        <v>2.1585648144537117E-2</v>
      </c>
      <c r="N95" s="7"/>
      <c r="O95" s="7"/>
      <c r="P95" s="7">
        <f t="shared" si="87"/>
        <v>31.083333328133449</v>
      </c>
      <c r="Q95" s="25"/>
      <c r="R95" s="25" t="s">
        <v>719</v>
      </c>
      <c r="S95" s="37">
        <f t="shared" si="88"/>
        <v>0.75</v>
      </c>
      <c r="T95" s="52" t="str">
        <f t="shared" si="80"/>
        <v>NorthBound</v>
      </c>
      <c r="U95" s="163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9</v>
      </c>
      <c r="V95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12:56:43-0600',mode:absolute,to:'2016-09-11 15:44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95" s="54" t="str">
        <f t="shared" si="90"/>
        <v>Y</v>
      </c>
      <c r="X95" s="168">
        <f t="shared" si="83"/>
        <v>1</v>
      </c>
      <c r="Y95" s="69">
        <f t="shared" si="91"/>
        <v>3.7168000000000001</v>
      </c>
      <c r="Z95" s="69">
        <f t="shared" si="92"/>
        <v>23.33</v>
      </c>
      <c r="AA95" s="69">
        <f t="shared" si="93"/>
        <v>19.613199999999999</v>
      </c>
      <c r="AB95" s="66" t="e">
        <f>VLOOKUP(A95,Enforcements!$C$7:$K$21,8,0)</f>
        <v>#N/A</v>
      </c>
      <c r="AC95" s="62" t="e">
        <f>VLOOKUP(A95,Enforcements!$C$7:$E$21,3,0)</f>
        <v>#N/A</v>
      </c>
      <c r="AD95" s="63" t="str">
        <f t="shared" si="81"/>
        <v>0183-11</v>
      </c>
      <c r="AE95" s="99" t="str">
        <f t="shared" si="94"/>
        <v>aws s3 cp s3://rtdc.mdm.uploadarchive/RTDC4025/2016-09-11/ "%USERPROFILE%\AppData\Local\Temp\OnboardLogs"\RTDC4025\2016-09-11 --recursive &amp; "%USERPROFILE%\Documents\GitHub\mrs-test-scripts\Headless Mode &amp; Sideloading\WalkAndUnGZ.bat" "%USERPROFILE%\AppData\Local\Temp\OnboardLogs"\RTDC4025\2016-09-11 &amp; 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</v>
      </c>
      <c r="AF95" s="96" t="str">
        <f t="shared" si="95"/>
        <v>"C:\Program Files (x86)\AstroGrep\AstroGrep.exe" /spath="%USERPROFILE%\AppData\Local\Temp\OnboardLogs" /stypes="*4025*20160911*" /stext=" 20:.+((SYSTEM_STATE.+slice.+state.+changed )|(ment ac)|(system.+state.+changed )|(\|lc)|(penalty)|(\[timeout)|(PRM\|1\|D)|(kpr)|(kdp))" /e /r /s</v>
      </c>
      <c r="AG95" s="1" t="str">
        <f t="shared" si="82"/>
        <v>EC</v>
      </c>
      <c r="AH95" s="100" t="str">
        <f t="shared" si="63"/>
        <v>"%USERPROFILE%\Documents\GitHub\eaglep3\Utilities\RefineRTDCRunTimes.py" --tripid 183-11 --locoid 4025 --swversion DE.1.0.7.0 --startMP 204:37168 --initTime 2016-09-11T13:56:43 --startdatetime 2016-09-11T14:13:21 --delay 15 --endMP 204:233300 --enddatetime 2016-09-11T14:44:26 --enforcementcount 1 &gt;&gt;C:\Users\stu\Documents\GitHub\eaglep3-reporting\EC\2016-09-11-refined-times.txt</v>
      </c>
      <c r="AI95" s="134" t="str">
        <f t="shared" si="64"/>
        <v>echo {"issue":{"subject":"Poor GPS at DUS prevented map selection","project_id":79,"tracker_id":40,"status_id":1,"priority_id":2,"assigned_to_id":23,"start_date":"2016-09-11","description":"","custom_fields":[{"id":1,"name":"Subdivision","value":"EC"},{"id":4,"name":"Milepost","value":"19.6132"},{"id":17,"name":"Train ID","value":"183-11"},{"id":16,"name":"Locomotive ID","value":"4025"},{"id":130,"name":"Impact","value":""},{"id":150,"name":"Time of Event (Mountain Time)","value":"14:44:26"},{"id":151,"name":"Denver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1" customFormat="1" x14ac:dyDescent="0.25">
      <c r="A96" s="39" t="s">
        <v>579</v>
      </c>
      <c r="B96" s="7">
        <v>4026</v>
      </c>
      <c r="C96" s="24" t="s">
        <v>108</v>
      </c>
      <c r="D96" s="24" t="s">
        <v>580</v>
      </c>
      <c r="E96" s="15">
        <v>42624.633587962962</v>
      </c>
      <c r="F96" s="15">
        <v>42624.635324074072</v>
      </c>
      <c r="G96" s="7">
        <v>1</v>
      </c>
      <c r="H96" s="15" t="s">
        <v>248</v>
      </c>
      <c r="I96" s="15">
        <v>42624.653310185182</v>
      </c>
      <c r="J96" s="7">
        <v>1</v>
      </c>
      <c r="K96" s="121" t="str">
        <f t="shared" si="79"/>
        <v>4025/4026</v>
      </c>
      <c r="L96" s="24" t="str">
        <f>VLOOKUP(A96,'Trips&amp;Operators'!$C$1:$E$10000,3,FALSE)</f>
        <v>CLARK</v>
      </c>
      <c r="M96" s="6">
        <f t="shared" si="86"/>
        <v>1.7986111110076308E-2</v>
      </c>
      <c r="N96" s="7"/>
      <c r="O96" s="7"/>
      <c r="P96" s="7">
        <f t="shared" si="87"/>
        <v>25.899999998509884</v>
      </c>
      <c r="Q96" s="25"/>
      <c r="R96" s="25" t="s">
        <v>720</v>
      </c>
      <c r="S96" s="37">
        <f t="shared" si="88"/>
        <v>1</v>
      </c>
      <c r="T96" s="52" t="str">
        <f t="shared" si="80"/>
        <v>Southbound</v>
      </c>
      <c r="U96" s="163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14:12:22-0600',mode:absolute,to:'2016-09-11 16:40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96" s="54" t="str">
        <f t="shared" si="90"/>
        <v>Y</v>
      </c>
      <c r="X96" s="168">
        <f t="shared" si="83"/>
        <v>1</v>
      </c>
      <c r="Y96" s="69">
        <f t="shared" si="91"/>
        <v>12.787100000000001</v>
      </c>
      <c r="Z96" s="69">
        <f t="shared" si="92"/>
        <v>1.4500000000000001E-2</v>
      </c>
      <c r="AA96" s="69">
        <f t="shared" si="93"/>
        <v>12.772600000000001</v>
      </c>
      <c r="AB96" s="66" t="e">
        <f>VLOOKUP(A96,Enforcements!$C$7:$K$21,8,0)</f>
        <v>#N/A</v>
      </c>
      <c r="AC96" s="62" t="e">
        <f>VLOOKUP(A96,Enforcements!$C$7:$E$21,3,0)</f>
        <v>#N/A</v>
      </c>
      <c r="AD96" s="63" t="str">
        <f t="shared" si="81"/>
        <v>0184-11</v>
      </c>
      <c r="AE96" s="99" t="str">
        <f t="shared" si="94"/>
        <v>aws s3 cp s3://rtdc.mdm.uploadarchive/RTDC4026/2016-09-11/ "%USERPROFILE%\AppData\Local\Temp\OnboardLogs"\RTDC4026\2016-09-11 --recursive &amp; "%USERPROFILE%\Documents\GitHub\mrs-test-scripts\Headless Mode &amp; Sideloading\WalkAndUnGZ.bat" "%USERPROFILE%\AppData\Local\Temp\OnboardLogs"\RTDC4026\2016-09-11 &amp; 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</v>
      </c>
      <c r="AF96" s="96" t="str">
        <f t="shared" si="95"/>
        <v>"C:\Program Files (x86)\AstroGrep\AstroGrep.exe" /spath="%USERPROFILE%\AppData\Local\Temp\OnboardLogs" /stypes="*4026*20160911*" /stext=" 21:.+((SYSTEM_STATE.+slice.+state.+changed )|(ment ac)|(system.+state.+changed )|(\|lc)|(penalty)|(\[timeout)|(PRM\|1\|D)|(kpr)|(kdp))" /e /r /s</v>
      </c>
      <c r="AG96" s="1" t="str">
        <f t="shared" si="82"/>
        <v>EC</v>
      </c>
      <c r="AH96" s="100" t="str">
        <f t="shared" si="63"/>
        <v>"%USERPROFILE%\Documents\GitHub\eaglep3\Utilities\RefineRTDCRunTimes.py" --tripid 184-11 --locoid 4026 --swversion DE.1.0.7.0 --startMP 204:127871 --initTime 2016-09-11T15:12:22 --startdatetime 2016-09-11T15:14:52 --delay 1 --endMP 204:145 --enddatetime 2016-09-11T15:40:46 --enforcementcount 1 &gt;&gt;C:\Users\stu\Documents\GitHub\eaglep3-reporting\EC\2016-09-11-refined-times.txt</v>
      </c>
      <c r="AI96" s="134" t="str">
        <f t="shared" si="64"/>
        <v>echo {"issue":{"subject":"Onboard in-route failure","project_id":79,"tracker_id":40,"status_id":1,"priority_id":2,"assigned_to_id":23,"start_date":"2016-09-11","description":"","custom_fields":[{"id":1,"name":"Subdivision","value":"EC"},{"id":4,"name":"Milepost","value":"12.7726"},{"id":17,"name":"Train ID","value":"184-11"},{"id":16,"name":"Locomotive ID","value":"4026"},{"id":130,"name":"Impact","value":""},{"id":150,"name":"Time of Event (Mountain Time)","value":"15:40:46"},{"id":151,"name":"Denver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1" customFormat="1" x14ac:dyDescent="0.25">
      <c r="A97" s="39" t="s">
        <v>581</v>
      </c>
      <c r="B97" s="7">
        <v>4029</v>
      </c>
      <c r="C97" s="24" t="s">
        <v>108</v>
      </c>
      <c r="D97" s="24" t="s">
        <v>462</v>
      </c>
      <c r="E97" s="15">
        <v>42624.589050925926</v>
      </c>
      <c r="F97" s="15">
        <v>42624.594201388885</v>
      </c>
      <c r="G97" s="7">
        <v>1</v>
      </c>
      <c r="H97" s="15" t="s">
        <v>582</v>
      </c>
      <c r="I97" s="15">
        <v>42624.620925925927</v>
      </c>
      <c r="J97" s="7">
        <v>1</v>
      </c>
      <c r="K97" s="121" t="str">
        <f t="shared" si="79"/>
        <v>4029/4030</v>
      </c>
      <c r="L97" s="24" t="str">
        <f>VLOOKUP(A97,'Trips&amp;Operators'!$C$1:$E$10000,3,FALSE)</f>
        <v>SHOOK</v>
      </c>
      <c r="M97" s="6">
        <f t="shared" si="86"/>
        <v>2.6724537041445728E-2</v>
      </c>
      <c r="N97" s="7">
        <f t="shared" si="87"/>
        <v>38.483333339681849</v>
      </c>
      <c r="O97" s="7"/>
      <c r="P97" s="7"/>
      <c r="Q97" s="25"/>
      <c r="R97" s="25"/>
      <c r="S97" s="37">
        <f t="shared" si="88"/>
        <v>1</v>
      </c>
      <c r="T97" s="52" t="str">
        <f t="shared" si="80"/>
        <v>NorthBound</v>
      </c>
      <c r="U97" s="163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13:08:14-0600',mode:absolute,to:'2016-09-11 15:54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97" s="54" t="str">
        <f t="shared" si="90"/>
        <v>N</v>
      </c>
      <c r="X97" s="168">
        <f t="shared" si="83"/>
        <v>1</v>
      </c>
      <c r="Y97" s="69">
        <f t="shared" si="91"/>
        <v>4.3999999999999997E-2</v>
      </c>
      <c r="Z97" s="69">
        <f t="shared" si="92"/>
        <v>23.3368</v>
      </c>
      <c r="AA97" s="69">
        <f t="shared" si="93"/>
        <v>23.2928</v>
      </c>
      <c r="AB97" s="66" t="e">
        <f>VLOOKUP(A97,Enforcements!$C$7:$K$21,8,0)</f>
        <v>#N/A</v>
      </c>
      <c r="AC97" s="62" t="e">
        <f>VLOOKUP(A97,Enforcements!$C$7:$E$21,3,0)</f>
        <v>#N/A</v>
      </c>
      <c r="AD97" s="63" t="str">
        <f t="shared" si="81"/>
        <v>0185-11</v>
      </c>
      <c r="AE97" s="99" t="str">
        <f t="shared" si="94"/>
        <v>aws s3 cp s3://rtdc.mdm.uploadarchive/RTDC4029/2016-09-11/ "%USERPROFILE%\AppData\Local\Temp\OnboardLogs"\RTDC4029\2016-09-11 --recursive &amp; "%USERPROFILE%\Documents\GitHub\mrs-test-scripts\Headless Mode &amp; Sideloading\WalkAndUnGZ.bat" "%USERPROFILE%\AppData\Local\Temp\OnboardLogs"\RTDC4029\2016-09-11 &amp; aws s3 cp s3://rtdc.mdm.uploadarchive/RTDC4029/2016-09-12/ "%USERPROFILE%\AppData\Local\Temp\OnboardLogs"\RTDC4029\2016-09-12 --recursive &amp; "%USERPROFILE%\Documents\GitHub\mrs-test-scripts\Headless Mode &amp; Sideloading\WalkAndUnGZ.bat" "%USERPROFILE%\AppData\Local\Temp\OnboardLogs"\RTDC4029\2016-09-12</v>
      </c>
      <c r="AF97" s="96" t="str">
        <f t="shared" si="95"/>
        <v>"C:\Program Files (x86)\AstroGrep\AstroGrep.exe" /spath="%USERPROFILE%\AppData\Local\Temp\OnboardLogs" /stypes="*4029*20160911*" /stext=" 20:.+((SYSTEM_STATE.+slice.+state.+changed )|(ment ac)|(system.+state.+changed )|(\|lc)|(penalty)|(\[timeout)|(PRM\|1\|D)|(kpr)|(kdp))" /e /r /s</v>
      </c>
      <c r="AG97" s="1" t="str">
        <f t="shared" si="82"/>
        <v>EC</v>
      </c>
      <c r="AH97" s="100" t="str">
        <f t="shared" si="63"/>
        <v>"%USERPROFILE%\Documents\GitHub\eaglep3\Utilities\RefineRTDCRunTimes.py" --tripid 185-11 --locoid 4029 --swversion DE.1.0.7.0 --startMP 204:440 --initTime 2016-09-11T14:08:14 --startdatetime 2016-09-11T14:15:39 --delay 1 --endMP 204:233368 --enddatetime 2016-09-11T14:54:08 --enforcementcount 1 &gt;&gt;C:\Users\stu\Documents\GitHub\eaglep3-reporting\EC\2016-09-11-refined-times.txt</v>
      </c>
      <c r="AI97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{"issue":{"subject":"","project_id":79,"tracker_id":40,"status_id":1,"priority_id":2,"assigned_to_id":23,"start_date":"2016-09-11","description":"","custom_fields":[{"id":1,"name":"Subdivision","value":"EC"},{"id":4,"name":"Milepost","value":"23.2928"},{"id":17,"name":"Train ID","value":"185-11"},{"id":16,"name":"Locomotive ID","value":"4029"},{"id":130,"name":"Impact","value":""},{"id":150,"name":"Time of Event (Mountain Time)","value":"14:54:08"},{"id":151,"name":"Denver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1" customFormat="1" x14ac:dyDescent="0.25">
      <c r="A98" s="39" t="s">
        <v>583</v>
      </c>
      <c r="B98" s="7">
        <v>4030</v>
      </c>
      <c r="C98" s="24" t="s">
        <v>108</v>
      </c>
      <c r="D98" s="24" t="s">
        <v>584</v>
      </c>
      <c r="E98" s="15">
        <v>42624.627696759257</v>
      </c>
      <c r="F98" s="15">
        <v>42624.6328587963</v>
      </c>
      <c r="G98" s="7">
        <v>1</v>
      </c>
      <c r="H98" s="15" t="s">
        <v>228</v>
      </c>
      <c r="I98" s="15">
        <v>42624.658912037034</v>
      </c>
      <c r="J98" s="7">
        <v>1</v>
      </c>
      <c r="K98" s="121" t="str">
        <f t="shared" si="79"/>
        <v>4029/4030</v>
      </c>
      <c r="L98" s="24" t="str">
        <f>VLOOKUP(A98,'Trips&amp;Operators'!$C$1:$E$10000,3,FALSE)</f>
        <v>SHOOK</v>
      </c>
      <c r="M98" s="6">
        <f t="shared" si="86"/>
        <v>2.6053240733745042E-2</v>
      </c>
      <c r="N98" s="7">
        <f t="shared" si="87"/>
        <v>37.516666656592861</v>
      </c>
      <c r="O98" s="7"/>
      <c r="P98" s="7"/>
      <c r="Q98" s="25"/>
      <c r="R98" s="25"/>
      <c r="S98" s="37">
        <f t="shared" si="88"/>
        <v>1</v>
      </c>
      <c r="T98" s="52" t="str">
        <f t="shared" si="80"/>
        <v>Southbound</v>
      </c>
      <c r="U98" s="163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14:03:53-0600',mode:absolute,to:'2016-09-11 16:48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98" s="54" t="str">
        <f t="shared" si="90"/>
        <v>N</v>
      </c>
      <c r="X98" s="168">
        <f t="shared" si="83"/>
        <v>1</v>
      </c>
      <c r="Y98" s="69">
        <f t="shared" si="91"/>
        <v>23.3063</v>
      </c>
      <c r="Z98" s="69">
        <f t="shared" si="92"/>
        <v>1.49E-2</v>
      </c>
      <c r="AA98" s="69">
        <f t="shared" si="93"/>
        <v>23.291399999999999</v>
      </c>
      <c r="AB98" s="66" t="e">
        <f>VLOOKUP(A98,Enforcements!$C$7:$K$21,8,0)</f>
        <v>#N/A</v>
      </c>
      <c r="AC98" s="62" t="e">
        <f>VLOOKUP(A98,Enforcements!$C$7:$E$21,3,0)</f>
        <v>#N/A</v>
      </c>
      <c r="AD98" s="63" t="str">
        <f t="shared" si="81"/>
        <v>0186-11</v>
      </c>
      <c r="AE98" s="99" t="str">
        <f t="shared" si="94"/>
        <v>aws s3 cp s3://rtdc.mdm.uploadarchive/RTDC4030/2016-09-11/ "%USERPROFILE%\AppData\Local\Temp\OnboardLogs"\RTDC4030\2016-09-11 --recursive &amp; "%USERPROFILE%\Documents\GitHub\mrs-test-scripts\Headless Mode &amp; Sideloading\WalkAndUnGZ.bat" "%USERPROFILE%\AppData\Local\Temp\OnboardLogs"\RTDC4030\2016-09-11 &amp; aws s3 cp s3://rtdc.mdm.uploadarchive/RTDC4030/2016-09-12/ "%USERPROFILE%\AppData\Local\Temp\OnboardLogs"\RTDC4030\2016-09-12 --recursive &amp; "%USERPROFILE%\Documents\GitHub\mrs-test-scripts\Headless Mode &amp; Sideloading\WalkAndUnGZ.bat" "%USERPROFILE%\AppData\Local\Temp\OnboardLogs"\RTDC4030\2016-09-12</v>
      </c>
      <c r="AF98" s="96" t="str">
        <f t="shared" si="95"/>
        <v>"C:\Program Files (x86)\AstroGrep\AstroGrep.exe" /spath="%USERPROFILE%\AppData\Local\Temp\OnboardLogs" /stypes="*4030*20160911*" /stext=" 21:.+((SYSTEM_STATE.+slice.+state.+changed )|(ment ac)|(system.+state.+changed )|(\|lc)|(penalty)|(\[timeout)|(PRM\|1\|D)|(kpr)|(kdp))" /e /r /s</v>
      </c>
      <c r="AG98" s="1" t="str">
        <f t="shared" si="82"/>
        <v>EC</v>
      </c>
      <c r="AH98" s="100" t="str">
        <f t="shared" si="63"/>
        <v>"%USERPROFILE%\Documents\GitHub\eaglep3\Utilities\RefineRTDCRunTimes.py" --tripid 186-11 --locoid 4030 --swversion DE.1.0.7.0 --startMP 204:233063 --initTime 2016-09-11T15:03:53 --startdatetime 2016-09-11T15:11:19 --delay 1 --endMP 204:149 --enddatetime 2016-09-11T15:48:50 --enforcementcount 1 &gt;&gt;C:\Users\stu\Documents\GitHub\eaglep3-reporting\EC\2016-09-11-refined-times.txt</v>
      </c>
      <c r="AI98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{"issue":{"subject":"","project_id":79,"tracker_id":40,"status_id":1,"priority_id":2,"assigned_to_id":23,"start_date":"2016-09-11","description":"","custom_fields":[{"id":1,"name":"Subdivision","value":"EC"},{"id":4,"name":"Milepost","value":"23.2914"},{"id":17,"name":"Train ID","value":"186-11"},{"id":16,"name":"Locomotive ID","value":"4030"},{"id":130,"name":"Impact","value":""},{"id":150,"name":"Time of Event (Mountain Time)","value":"15:48:50"},{"id":151,"name":"Denver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1" customFormat="1" x14ac:dyDescent="0.25">
      <c r="A99" s="39" t="s">
        <v>585</v>
      </c>
      <c r="B99" s="7">
        <v>4020</v>
      </c>
      <c r="C99" s="24" t="s">
        <v>108</v>
      </c>
      <c r="D99" s="24" t="s">
        <v>247</v>
      </c>
      <c r="E99" s="15">
        <v>42624.601342592592</v>
      </c>
      <c r="F99" s="15">
        <v>42624.604583333334</v>
      </c>
      <c r="G99" s="7">
        <v>1</v>
      </c>
      <c r="H99" s="15" t="s">
        <v>586</v>
      </c>
      <c r="I99" s="15">
        <v>42624.630833333336</v>
      </c>
      <c r="J99" s="7">
        <v>1</v>
      </c>
      <c r="K99" s="121" t="str">
        <f t="shared" si="79"/>
        <v>4019/4020</v>
      </c>
      <c r="L99" s="24" t="str">
        <f>VLOOKUP(A99,'Trips&amp;Operators'!$C$1:$E$10000,3,FALSE)</f>
        <v>STEWART</v>
      </c>
      <c r="M99" s="6">
        <f t="shared" si="86"/>
        <v>2.6250000002619345E-2</v>
      </c>
      <c r="N99" s="7">
        <f t="shared" si="87"/>
        <v>37.800000003771856</v>
      </c>
      <c r="O99" s="7"/>
      <c r="P99" s="7"/>
      <c r="Q99" s="25"/>
      <c r="R99" s="25"/>
      <c r="S99" s="37">
        <f t="shared" si="88"/>
        <v>1</v>
      </c>
      <c r="T99" s="52" t="str">
        <f t="shared" si="80"/>
        <v>NorthBound</v>
      </c>
      <c r="U99" s="163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13:25:56-0600',mode:absolute,to:'2016-09-11 16:08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99" s="54" t="str">
        <f t="shared" si="90"/>
        <v>N</v>
      </c>
      <c r="X99" s="168">
        <f t="shared" si="83"/>
        <v>1</v>
      </c>
      <c r="Y99" s="69">
        <f t="shared" si="91"/>
        <v>4.5699999999999998E-2</v>
      </c>
      <c r="Z99" s="69">
        <f t="shared" si="92"/>
        <v>23.335100000000001</v>
      </c>
      <c r="AA99" s="69">
        <f t="shared" si="93"/>
        <v>23.289400000000001</v>
      </c>
      <c r="AB99" s="66" t="e">
        <f>VLOOKUP(A99,Enforcements!$C$7:$K$21,8,0)</f>
        <v>#N/A</v>
      </c>
      <c r="AC99" s="62" t="e">
        <f>VLOOKUP(A99,Enforcements!$C$7:$E$21,3,0)</f>
        <v>#N/A</v>
      </c>
      <c r="AD99" s="63" t="str">
        <f t="shared" si="81"/>
        <v>0187-11</v>
      </c>
      <c r="AE99" s="99" t="str">
        <f t="shared" si="94"/>
        <v>aws s3 cp s3://rtdc.mdm.uploadarchive/RTDC4020/2016-09-11/ "%USERPROFILE%\AppData\Local\Temp\OnboardLogs"\RTDC4020\2016-09-11 --recursive &amp; "%USERPROFILE%\Documents\GitHub\mrs-test-scripts\Headless Mode &amp; Sideloading\WalkAndUnGZ.bat" "%USERPROFILE%\AppData\Local\Temp\OnboardLogs"\RTDC4020\2016-09-11 &amp; 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</v>
      </c>
      <c r="AF99" s="96" t="str">
        <f t="shared" si="95"/>
        <v>"C:\Program Files (x86)\AstroGrep\AstroGrep.exe" /spath="%USERPROFILE%\AppData\Local\Temp\OnboardLogs" /stypes="*4020*20160911*" /stext=" 21:.+((SYSTEM_STATE.+slice.+state.+changed )|(ment ac)|(system.+state.+changed )|(\|lc)|(penalty)|(\[timeout)|(PRM\|1\|D)|(kpr)|(kdp))" /e /r /s</v>
      </c>
      <c r="AG99" s="1" t="str">
        <f t="shared" si="82"/>
        <v>EC</v>
      </c>
      <c r="AH99" s="100" t="str">
        <f t="shared" si="63"/>
        <v>"%USERPROFILE%\Documents\GitHub\eaglep3\Utilities\RefineRTDCRunTimes.py" --tripid 187-11 --locoid 4020 --swversion DE.1.0.7.0 --startMP 204:457 --initTime 2016-09-11T14:25:56 --startdatetime 2016-09-11T14:30:36 --delay 1 --endMP 204:233351 --enddatetime 2016-09-11T15:08:24 --enforcementcount 1 &gt;&gt;C:\Users\stu\Documents\GitHub\eaglep3-reporting\EC\2016-09-11-refined-times.txt</v>
      </c>
      <c r="AI99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{"issue":{"subject":"","project_id":79,"tracker_id":40,"status_id":1,"priority_id":2,"assigned_to_id":23,"start_date":"2016-09-11","description":"","custom_fields":[{"id":1,"name":"Subdivision","value":"EC"},{"id":4,"name":"Milepost","value":"23.2894"},{"id":17,"name":"Train ID","value":"187-11"},{"id":16,"name":"Locomotive ID","value":"4020"},{"id":130,"name":"Impact","value":""},{"id":150,"name":"Time of Event (Mountain Time)","value":"15:08:24"},{"id":151,"name":"Denver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400</v>
      </c>
      <c r="B100" s="7">
        <v>4019</v>
      </c>
      <c r="C100" s="24" t="s">
        <v>108</v>
      </c>
      <c r="D100" s="24" t="s">
        <v>587</v>
      </c>
      <c r="E100" s="15">
        <v>42624.640613425923</v>
      </c>
      <c r="F100" s="15">
        <v>42624.64334490741</v>
      </c>
      <c r="G100" s="7">
        <v>1</v>
      </c>
      <c r="H100" s="15" t="s">
        <v>588</v>
      </c>
      <c r="I100" s="15">
        <v>42624.662453703706</v>
      </c>
      <c r="J100" s="7">
        <v>1</v>
      </c>
      <c r="K100" s="121" t="str">
        <f t="shared" si="79"/>
        <v>4019/4020</v>
      </c>
      <c r="L100" s="24" t="str">
        <f>VLOOKUP(A100,'Trips&amp;Operators'!$C$1:$E$10000,3,FALSE)</f>
        <v>STEWART</v>
      </c>
      <c r="M100" s="6">
        <f t="shared" si="86"/>
        <v>1.9108796295768116E-2</v>
      </c>
      <c r="N100" s="7"/>
      <c r="O100" s="7"/>
      <c r="P100" s="7">
        <f t="shared" si="87"/>
        <v>27.516666665906087</v>
      </c>
      <c r="Q100" s="25"/>
      <c r="R100" s="25" t="s">
        <v>183</v>
      </c>
      <c r="S100" s="37">
        <f t="shared" si="88"/>
        <v>0.75</v>
      </c>
      <c r="T100" s="52" t="str">
        <f t="shared" si="80"/>
        <v>Southbound</v>
      </c>
      <c r="U100" s="163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9</v>
      </c>
      <c r="V100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14:22:29-0600',mode:absolute,to:'2016-09-11 16:53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00" s="54" t="str">
        <f t="shared" si="90"/>
        <v>Y</v>
      </c>
      <c r="X100" s="168">
        <f t="shared" si="83"/>
        <v>1</v>
      </c>
      <c r="Y100" s="69">
        <f t="shared" si="91"/>
        <v>23.3017</v>
      </c>
      <c r="Z100" s="69">
        <f t="shared" si="92"/>
        <v>3.7997000000000001</v>
      </c>
      <c r="AA100" s="69">
        <f t="shared" si="93"/>
        <v>19.501999999999999</v>
      </c>
      <c r="AB100" s="66" t="str">
        <f>VLOOKUP(A100,Enforcements!$C$7:$K$21,8,0)</f>
        <v>Signal based authority (5)</v>
      </c>
      <c r="AC100" s="62" t="str">
        <f>VLOOKUP(A100,Enforcements!$C$7:$E$21,3,0)</f>
        <v>SIGNAL</v>
      </c>
      <c r="AD100" s="63" t="str">
        <f t="shared" si="81"/>
        <v>0188-11</v>
      </c>
      <c r="AE100" s="99" t="str">
        <f t="shared" si="94"/>
        <v>aws s3 cp s3://rtdc.mdm.uploadarchive/RTDC4019/2016-09-11/ "%USERPROFILE%\AppData\Local\Temp\OnboardLogs"\RTDC4019\2016-09-11 --recursive &amp; "%USERPROFILE%\Documents\GitHub\mrs-test-scripts\Headless Mode &amp; Sideloading\WalkAndUnGZ.bat" "%USERPROFILE%\AppData\Local\Temp\OnboardLogs"\RTDC4019\2016-09-11 &amp; 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</v>
      </c>
      <c r="AF100" s="96" t="str">
        <f t="shared" si="95"/>
        <v>"C:\Program Files (x86)\AstroGrep\AstroGrep.exe" /spath="%USERPROFILE%\AppData\Local\Temp\OnboardLogs" /stypes="*4019*20160911*" /stext=" 21:.+((SYSTEM_STATE.+slice.+state.+changed )|(ment ac)|(system.+state.+changed )|(\|lc)|(penalty)|(\[timeout)|(PRM\|1\|D)|(kpr)|(kdp))" /e /r /s</v>
      </c>
      <c r="AG100" s="1" t="str">
        <f t="shared" si="82"/>
        <v>EC</v>
      </c>
      <c r="AH100" s="100" t="str">
        <f t="shared" si="63"/>
        <v>"%USERPROFILE%\Documents\GitHub\eaglep3\Utilities\RefineRTDCRunTimes.py" --tripid 188-11 --locoid 4019 --swversion DE.1.0.7.0 --startMP 204:233017 --initTime 2016-09-11T15:22:29 --startdatetime 2016-09-11T15:26:25 --delay 1 --endMP 204:37997 --enddatetime 2016-09-11T15:53:56 --enforcementcount 1 &gt;&gt;C:\Users\stu\Documents\GitHub\eaglep3-reporting\EC\2016-09-11-refined-times.txt</v>
      </c>
      <c r="AI100" s="134" t="str">
        <f t="shared" si="64"/>
        <v>echo {"issue":{"subject":"Wi-MAX outage","project_id":79,"tracker_id":40,"status_id":1,"priority_id":2,"assigned_to_id":23,"start_date":"2016-09-11","description":"","custom_fields":[{"id":1,"name":"Subdivision","value":"EC"},{"id":4,"name":"Milepost","value":"19.502"},{"id":17,"name":"Train ID","value":"188-11"},{"id":16,"name":"Locomotive ID","value":"4019"},{"id":130,"name":"Impact","value":""},{"id":150,"name":"Time of Event (Mountain Time)","value":"15:53:56"},{"id":151,"name":"Denver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s="23" customFormat="1" x14ac:dyDescent="0.25">
      <c r="A101" s="39" t="s">
        <v>589</v>
      </c>
      <c r="B101" s="7">
        <v>4018</v>
      </c>
      <c r="C101" s="24" t="s">
        <v>108</v>
      </c>
      <c r="D101" s="24" t="s">
        <v>257</v>
      </c>
      <c r="E101" s="15">
        <v>42624.612858796296</v>
      </c>
      <c r="F101" s="15">
        <v>42624.614895833336</v>
      </c>
      <c r="G101" s="7">
        <v>1</v>
      </c>
      <c r="H101" s="15" t="s">
        <v>319</v>
      </c>
      <c r="I101" s="15">
        <v>42624.640300925923</v>
      </c>
      <c r="J101" s="7">
        <v>1</v>
      </c>
      <c r="K101" s="121" t="str">
        <f t="shared" si="79"/>
        <v>4017/4018</v>
      </c>
      <c r="L101" s="24" t="str">
        <f>VLOOKUP(A101,'Trips&amp;Operators'!$C$1:$E$10000,3,FALSE)</f>
        <v>BARTLETT</v>
      </c>
      <c r="M101" s="6">
        <f t="shared" si="86"/>
        <v>2.5405092586879618E-2</v>
      </c>
      <c r="N101" s="7">
        <f t="shared" si="87"/>
        <v>36.583333325106651</v>
      </c>
      <c r="O101" s="7"/>
      <c r="P101" s="7"/>
      <c r="Q101" s="25"/>
      <c r="R101" s="25"/>
      <c r="S101" s="37">
        <f t="shared" si="88"/>
        <v>1</v>
      </c>
      <c r="T101" s="52" t="str">
        <f t="shared" si="80"/>
        <v>NorthBound</v>
      </c>
      <c r="U101" s="163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13:42:31-0600',mode:absolute,to:'2016-09-11 16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01" s="54" t="str">
        <f t="shared" si="90"/>
        <v>N</v>
      </c>
      <c r="X101" s="168">
        <f t="shared" si="83"/>
        <v>1</v>
      </c>
      <c r="Y101" s="69">
        <f t="shared" si="91"/>
        <v>4.5499999999999999E-2</v>
      </c>
      <c r="Z101" s="69">
        <f t="shared" si="92"/>
        <v>23.3324</v>
      </c>
      <c r="AA101" s="69">
        <f t="shared" si="93"/>
        <v>23.286899999999999</v>
      </c>
      <c r="AB101" s="66" t="e">
        <f>VLOOKUP(A101,Enforcements!$C$7:$K$21,8,0)</f>
        <v>#N/A</v>
      </c>
      <c r="AC101" s="62" t="e">
        <f>VLOOKUP(A101,Enforcements!$C$7:$E$21,3,0)</f>
        <v>#N/A</v>
      </c>
      <c r="AD101" s="63" t="str">
        <f t="shared" si="81"/>
        <v>0189-11</v>
      </c>
      <c r="AE101" s="99" t="str">
        <f t="shared" si="94"/>
        <v>aws s3 cp s3://rtdc.mdm.uploadarchive/RTDC4018/2016-09-11/ "%USERPROFILE%\AppData\Local\Temp\OnboardLogs"\RTDC4018\2016-09-11 --recursive &amp; "%USERPROFILE%\Documents\GitHub\mrs-test-scripts\Headless Mode &amp; Sideloading\WalkAndUnGZ.bat" "%USERPROFILE%\AppData\Local\Temp\OnboardLogs"\RTDC4018\2016-09-11 &amp; aws s3 cp s3://rtdc.mdm.uploadarchive/RTDC4018/2016-09-12/ "%USERPROFILE%\AppData\Local\Temp\OnboardLogs"\RTDC4018\2016-09-12 --recursive &amp; "%USERPROFILE%\Documents\GitHub\mrs-test-scripts\Headless Mode &amp; Sideloading\WalkAndUnGZ.bat" "%USERPROFILE%\AppData\Local\Temp\OnboardLogs"\RTDC4018\2016-09-12</v>
      </c>
      <c r="AF101" s="96" t="str">
        <f t="shared" si="95"/>
        <v>"C:\Program Files (x86)\AstroGrep\AstroGrep.exe" /spath="%USERPROFILE%\AppData\Local\Temp\OnboardLogs" /stypes="*4018*20160911*" /stext=" 21:.+((SYSTEM_STATE.+slice.+state.+changed )|(ment ac)|(system.+state.+changed )|(\|lc)|(penalty)|(\[timeout)|(PRM\|1\|D)|(kpr)|(kdp))" /e /r /s</v>
      </c>
      <c r="AG101" s="1" t="str">
        <f t="shared" si="82"/>
        <v>EC</v>
      </c>
      <c r="AH101" s="100" t="str">
        <f t="shared" si="63"/>
        <v>"%USERPROFILE%\Documents\GitHub\eaglep3\Utilities\RefineRTDCRunTimes.py" --tripid 189-11 --locoid 4018 --swversion DE.1.0.7.0 --startMP 204:455 --initTime 2016-09-11T14:42:31 --startdatetime 2016-09-11T14:45:27 --delay 1 --endMP 204:233324 --enddatetime 2016-09-11T15:22:02 --enforcementcount 1 &gt;&gt;C:\Users\stu\Documents\GitHub\eaglep3-reporting\EC\2016-09-11-refined-times.txt</v>
      </c>
      <c r="AI101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{"issue":{"subject":"","project_id":79,"tracker_id":40,"status_id":1,"priority_id":2,"assigned_to_id":23,"start_date":"2016-09-11","description":"","custom_fields":[{"id":1,"name":"Subdivision","value":"EC"},{"id":4,"name":"Milepost","value":"23.2869"},{"id":17,"name":"Train ID","value":"189-11"},{"id":16,"name":"Locomotive ID","value":"4018"},{"id":130,"name":"Impact","value":""},{"id":150,"name":"Time of Event (Mountain Time)","value":"15:22:02"},{"id":151,"name":"Denver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x14ac:dyDescent="0.25">
      <c r="A102" s="39" t="s">
        <v>590</v>
      </c>
      <c r="B102" s="7">
        <v>4017</v>
      </c>
      <c r="C102" s="24" t="s">
        <v>108</v>
      </c>
      <c r="D102" s="24" t="s">
        <v>591</v>
      </c>
      <c r="E102" s="15">
        <v>42624.643067129633</v>
      </c>
      <c r="F102" s="15">
        <v>42624.653645833336</v>
      </c>
      <c r="G102" s="7">
        <v>1</v>
      </c>
      <c r="H102" s="15" t="s">
        <v>131</v>
      </c>
      <c r="I102" s="15">
        <v>42624.680972222224</v>
      </c>
      <c r="J102" s="7">
        <v>1</v>
      </c>
      <c r="K102" s="121" t="str">
        <f t="shared" si="79"/>
        <v>4017/4018</v>
      </c>
      <c r="L102" s="24" t="str">
        <f>VLOOKUP(A102,'Trips&amp;Operators'!$C$1:$E$10000,3,FALSE)</f>
        <v>BARTLETT</v>
      </c>
      <c r="M102" s="6">
        <f t="shared" si="86"/>
        <v>2.73263888884685E-2</v>
      </c>
      <c r="N102" s="7">
        <f t="shared" si="87"/>
        <v>39.34999999939464</v>
      </c>
      <c r="O102" s="7"/>
      <c r="P102" s="7"/>
      <c r="Q102" s="25"/>
      <c r="R102" s="25"/>
      <c r="S102" s="37">
        <f t="shared" si="88"/>
        <v>1</v>
      </c>
      <c r="T102" s="52" t="str">
        <f t="shared" si="80"/>
        <v>Southbound</v>
      </c>
      <c r="U102" s="163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14:26:01-0600',mode:absolute,to:'2016-09-11 17:20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02" s="54" t="str">
        <f t="shared" si="90"/>
        <v>N</v>
      </c>
      <c r="X102" s="168">
        <f t="shared" si="83"/>
        <v>1</v>
      </c>
      <c r="Y102" s="69">
        <f t="shared" si="91"/>
        <v>23.300899999999999</v>
      </c>
      <c r="Z102" s="69">
        <f t="shared" si="92"/>
        <v>1.54E-2</v>
      </c>
      <c r="AA102" s="69">
        <f t="shared" si="93"/>
        <v>23.285499999999999</v>
      </c>
      <c r="AB102" s="66" t="e">
        <f>VLOOKUP(A102,Enforcements!$C$7:$K$21,8,0)</f>
        <v>#N/A</v>
      </c>
      <c r="AC102" s="62" t="e">
        <f>VLOOKUP(A102,Enforcements!$C$7:$E$21,3,0)</f>
        <v>#N/A</v>
      </c>
      <c r="AD102" s="63" t="str">
        <f t="shared" si="81"/>
        <v>0190-11</v>
      </c>
      <c r="AE102" s="99" t="str">
        <f t="shared" si="94"/>
        <v>aws s3 cp s3://rtdc.mdm.uploadarchive/RTDC4017/2016-09-11/ "%USERPROFILE%\AppData\Local\Temp\OnboardLogs"\RTDC4017\2016-09-11 --recursive &amp; "%USERPROFILE%\Documents\GitHub\mrs-test-scripts\Headless Mode &amp; Sideloading\WalkAndUnGZ.bat" "%USERPROFILE%\AppData\Local\Temp\OnboardLogs"\RTDC4017\2016-09-11 &amp; aws s3 cp s3://rtdc.mdm.uploadarchive/RTDC4017/2016-09-12/ "%USERPROFILE%\AppData\Local\Temp\OnboardLogs"\RTDC4017\2016-09-12 --recursive &amp; "%USERPROFILE%\Documents\GitHub\mrs-test-scripts\Headless Mode &amp; Sideloading\WalkAndUnGZ.bat" "%USERPROFILE%\AppData\Local\Temp\OnboardLogs"\RTDC4017\2016-09-12</v>
      </c>
      <c r="AF102" s="96" t="str">
        <f t="shared" si="95"/>
        <v>"C:\Program Files (x86)\AstroGrep\AstroGrep.exe" /spath="%USERPROFILE%\AppData\Local\Temp\OnboardLogs" /stypes="*4017*20160911*" /stext=" 22:.+((SYSTEM_STATE.+slice.+state.+changed )|(ment ac)|(system.+state.+changed )|(\|lc)|(penalty)|(\[timeout)|(PRM\|1\|D)|(kpr)|(kdp))" /e /r /s</v>
      </c>
      <c r="AG102" s="1" t="str">
        <f t="shared" si="82"/>
        <v>EC</v>
      </c>
      <c r="AH102" s="100" t="str">
        <f t="shared" si="63"/>
        <v>"%USERPROFILE%\Documents\GitHub\eaglep3\Utilities\RefineRTDCRunTimes.py" --tripid 190-11 --locoid 4017 --swversion DE.1.0.7.0 --startMP 204:233009 --initTime 2016-09-11T15:26:01 --startdatetime 2016-09-11T15:41:15 --delay 1 --endMP 204:154 --enddatetime 2016-09-11T16:20:36 --enforcementcount 1 &gt;&gt;C:\Users\stu\Documents\GitHub\eaglep3-reporting\EC\2016-09-11-refined-times.txt</v>
      </c>
      <c r="AI102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{"issue":{"subject":"","project_id":79,"tracker_id":40,"status_id":1,"priority_id":2,"assigned_to_id":23,"start_date":"2016-09-11","description":"","custom_fields":[{"id":1,"name":"Subdivision","value":"EC"},{"id":4,"name":"Milepost","value":"23.2855"},{"id":17,"name":"Train ID","value":"190-11"},{"id":16,"name":"Locomotive ID","value":"4017"},{"id":130,"name":"Impact","value":""},{"id":150,"name":"Time of Event (Mountain Time)","value":"16:20:36"},{"id":151,"name":"Denver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704</v>
      </c>
      <c r="B103" s="7">
        <v>4040</v>
      </c>
      <c r="C103" s="24" t="s">
        <v>108</v>
      </c>
      <c r="D103" s="24" t="s">
        <v>591</v>
      </c>
      <c r="E103" s="15">
        <v>42624.643067129633</v>
      </c>
      <c r="F103" s="15">
        <v>42624.653645833336</v>
      </c>
      <c r="G103" s="7">
        <v>1</v>
      </c>
      <c r="H103" s="15" t="s">
        <v>131</v>
      </c>
      <c r="I103" s="15">
        <v>42624.680972222224</v>
      </c>
      <c r="J103" s="7">
        <v>1</v>
      </c>
      <c r="K103" s="121" t="str">
        <f t="shared" si="79"/>
        <v>4039/4040</v>
      </c>
      <c r="L103" s="24" t="e">
        <f>VLOOKUP(A103,'Trips&amp;Operators'!$C$1:$E$10000,3,FALSE)</f>
        <v>#N/A</v>
      </c>
      <c r="M103" s="6">
        <f t="shared" si="86"/>
        <v>2.73263888884685E-2</v>
      </c>
      <c r="N103" s="7"/>
      <c r="O103" s="7"/>
      <c r="P103" s="7">
        <v>1</v>
      </c>
      <c r="Q103" s="25"/>
      <c r="R103" s="25" t="s">
        <v>711</v>
      </c>
      <c r="S103" s="37">
        <f t="shared" si="88"/>
        <v>0</v>
      </c>
      <c r="T103" s="52" t="str">
        <f t="shared" si="80"/>
        <v>NorthBound</v>
      </c>
      <c r="U103" s="163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0</v>
      </c>
      <c r="V103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14:26:01-0600',mode:absolute,to:'2016-09-11 17:20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03" s="54" t="str">
        <f t="shared" si="90"/>
        <v>N</v>
      </c>
      <c r="X103" s="168">
        <f t="shared" si="83"/>
        <v>1</v>
      </c>
      <c r="Y103" s="69">
        <f t="shared" si="91"/>
        <v>23.300899999999999</v>
      </c>
      <c r="Z103" s="69">
        <f t="shared" si="92"/>
        <v>1.54E-2</v>
      </c>
      <c r="AA103" s="69">
        <f t="shared" si="93"/>
        <v>23.285499999999999</v>
      </c>
      <c r="AB103" s="66" t="e">
        <f>VLOOKUP(A103,Enforcements!$C$7:$K$21,8,0)</f>
        <v>#N/A</v>
      </c>
      <c r="AC103" s="62" t="e">
        <f>VLOOKUP(A103,Enforcements!$C$7:$E$21,3,0)</f>
        <v>#N/A</v>
      </c>
      <c r="AD103" s="63" t="str">
        <f t="shared" si="81"/>
        <v>0191-11</v>
      </c>
      <c r="AE103" s="99" t="str">
        <f t="shared" si="94"/>
        <v>aws s3 cp s3://rtdc.mdm.uploadarchive/RTDC4040/2016-09-11/ "%USERPROFILE%\AppData\Local\Temp\OnboardLogs"\RTDC4040\2016-09-11 --recursive &amp; "%USERPROFILE%\Documents\GitHub\mrs-test-scripts\Headless Mode &amp; Sideloading\WalkAndUnGZ.bat" "%USERPROFILE%\AppData\Local\Temp\OnboardLogs"\RTDC4040\2016-09-11 &amp; aws s3 cp s3://rtdc.mdm.uploadarchive/RTDC4040/2016-09-12/ "%USERPROFILE%\AppData\Local\Temp\OnboardLogs"\RTDC4040\2016-09-12 --recursive &amp; "%USERPROFILE%\Documents\GitHub\mrs-test-scripts\Headless Mode &amp; Sideloading\WalkAndUnGZ.bat" "%USERPROFILE%\AppData\Local\Temp\OnboardLogs"\RTDC4040\2016-09-12</v>
      </c>
      <c r="AF103" s="96" t="str">
        <f t="shared" si="95"/>
        <v>"C:\Program Files (x86)\AstroGrep\AstroGrep.exe" /spath="%USERPROFILE%\AppData\Local\Temp\OnboardLogs" /stypes="*4040*20160911*" /stext=" 22:.+((SYSTEM_STATE.+slice.+state.+changed )|(ment ac)|(system.+state.+changed )|(\|lc)|(penalty)|(\[timeout)|(PRM\|1\|D)|(kpr)|(kdp))" /e /r /s</v>
      </c>
      <c r="AG103" s="1" t="str">
        <f t="shared" si="82"/>
        <v>EC</v>
      </c>
      <c r="AH103" s="100" t="str">
        <f t="shared" ref="AH103" si="96">refinertdcruntimes&amp;" --tripid "&amp;A103&amp;" --locoid "&amp;B103&amp;" --swversion "&amp;C103&amp;" --startMP "&amp;D103&amp;" --initTime "&amp;TEXT(E103,"yyyy-mm-ddTHH:MM:SS")&amp;" --startdatetime "&amp;TEXT(F103,"yyyy-mm-ddTHH:MM:SS")&amp;" --delay "&amp;G103&amp;" --endMP "&amp;H103&amp;" --enddatetime "&amp;TEXT(I103,"yyyy-mm-ddTHH:MM:SS")&amp;" --enforcementcount "&amp;J103&amp;IF(outputrefinedruntimes," &gt;&gt;"&amp;RefinedRTDCRunTimesOutputFile,"")</f>
        <v>"%USERPROFILE%\Documents\GitHub\eaglep3\Utilities\RefineRTDCRunTimes.py" --tripid 191-11 --locoid 4040 --swversion DE.1.0.7.0 --startMP 204:233009 --initTime 2016-09-11T15:26:01 --startdatetime 2016-09-11T15:41:15 --delay 1 --endMP 204:154 --enddatetime 2016-09-11T16:20:36 --enforcementcount 1 &gt;&gt;C:\Users\stu\Documents\GitHub\eaglep3-reporting\EC\2016-09-11-refined-times.txt</v>
      </c>
      <c r="AI103" s="134" t="str">
        <f t="shared" ref="AI103" si="97">"echo {""issue"":{""subject"":"""&amp;R103&amp;""",""project_id"":79,""tracker_id"":40,""status_id"":"&amp;redmine_status&amp;",""priority_id"":"&amp;redmine_priority&amp;",""assigned_to_id"":"&amp;redmine_assignee&amp;",""start_date"":"""&amp;TEXT(I103,"YYYY-mm-dd")&amp;""",""description"":"""&amp;AJ103&amp;""",""custom_fields"":[{""id"":1,""name"":""Subdivision"",""value"":"""&amp;AG103&amp;"""},{""id"":4,""name"":""Milepost"",""value"":"""&amp;AA103&amp;"""},{""id"":17,""name"":""Train ID"",""value"":"""&amp;A103&amp;"""},{""id"":16,""name"":""Locomotive ID"",""value"":"""&amp;B103&amp;"""},{""id"":130,""name"":""Impact"",""value"":"""&amp;AK103&amp;"""},{""id"":150,""name"":""Time of Event (Mountain Time)"",""value"":"""&amp;TEXT(I103,"hh:mm:ss")&amp;"""},{""id"":151,""name"":""Denver Issue ID"",""value"":"""&amp;"""},{""id"":178,""name"":""Operational Impact"",""value"":"""&amp;redmine_op_impact&amp;"""},{""id"":179,""name"":""Denver Segment Assigned"",""value"":"""&amp;AL103&amp;"""}]}}"&amp;" | curl -X POST -H ""Content-Type: application/json"" -H ""X-Redmine-API-Key: "&amp;redm_api_key&amp;""" "&amp;redm_url&amp;" --data @-"</f>
        <v>echo {"issue":{"subject":"Did not init - S/W download screen","project_id":79,"tracker_id":40,"status_id":1,"priority_id":2,"assigned_to_id":23,"start_date":"2016-09-11","description":"","custom_fields":[{"id":1,"name":"Subdivision","value":"EC"},{"id":4,"name":"Milepost","value":"23.2855"},{"id":17,"name":"Train ID","value":"191-11"},{"id":16,"name":"Locomotive ID","value":"4040"},{"id":130,"name":"Impact","value":""},{"id":150,"name":"Time of Event (Mountain Time)","value":"16:20:36"},{"id":151,"name":"Denver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s="23" customFormat="1" x14ac:dyDescent="0.25">
      <c r="A104" s="39" t="s">
        <v>595</v>
      </c>
      <c r="B104" s="7">
        <v>4039</v>
      </c>
      <c r="C104" s="24" t="s">
        <v>108</v>
      </c>
      <c r="D104" s="24" t="s">
        <v>317</v>
      </c>
      <c r="E104" s="15">
        <v>42624.659085648149</v>
      </c>
      <c r="F104" s="15">
        <v>42624.664479166669</v>
      </c>
      <c r="G104" s="7">
        <v>2</v>
      </c>
      <c r="H104" s="15" t="s">
        <v>451</v>
      </c>
      <c r="I104" s="15">
        <v>42624.69023148148</v>
      </c>
      <c r="J104" s="7">
        <v>1</v>
      </c>
      <c r="K104" s="121" t="str">
        <f t="shared" si="79"/>
        <v>4039/4040</v>
      </c>
      <c r="L104" s="24" t="str">
        <f>VLOOKUP(A104,'Trips&amp;Operators'!$C$1:$E$10000,3,FALSE)</f>
        <v>BRUDER</v>
      </c>
      <c r="M104" s="6">
        <f t="shared" si="86"/>
        <v>2.5752314810233656E-2</v>
      </c>
      <c r="N104" s="7">
        <f t="shared" ref="N104:N140" si="98">24*60*SUM($M104:$M104)</f>
        <v>37.083333326736465</v>
      </c>
      <c r="O104" s="7"/>
      <c r="P104" s="7"/>
      <c r="Q104" s="25"/>
      <c r="R104" s="25"/>
      <c r="S104" s="37">
        <f t="shared" si="88"/>
        <v>1</v>
      </c>
      <c r="T104" s="52" t="str">
        <f t="shared" si="80"/>
        <v>Southbound</v>
      </c>
      <c r="U104" s="163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14:49:05-0600',mode:absolute,to:'2016-09-11 17:33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04" s="54" t="str">
        <f t="shared" si="90"/>
        <v>N</v>
      </c>
      <c r="X104" s="168">
        <f t="shared" si="83"/>
        <v>1</v>
      </c>
      <c r="Y104" s="69">
        <f t="shared" si="91"/>
        <v>23.299399999999999</v>
      </c>
      <c r="Z104" s="69">
        <f t="shared" si="92"/>
        <v>1.7399999999999999E-2</v>
      </c>
      <c r="AA104" s="69">
        <f t="shared" si="93"/>
        <v>23.282</v>
      </c>
      <c r="AB104" s="66" t="e">
        <f>VLOOKUP(A104,Enforcements!$C$7:$K$21,8,0)</f>
        <v>#N/A</v>
      </c>
      <c r="AC104" s="62" t="e">
        <f>VLOOKUP(A104,Enforcements!$C$7:$E$21,3,0)</f>
        <v>#N/A</v>
      </c>
      <c r="AD104" s="63" t="str">
        <f t="shared" si="81"/>
        <v>0192-11</v>
      </c>
      <c r="AE104" s="99" t="str">
        <f t="shared" si="94"/>
        <v>aws s3 cp s3://rtdc.mdm.uploadarchive/RTDC4039/2016-09-11/ "%USERPROFILE%\AppData\Local\Temp\OnboardLogs"\RTDC4039\2016-09-11 --recursive &amp; "%USERPROFILE%\Documents\GitHub\mrs-test-scripts\Headless Mode &amp; Sideloading\WalkAndUnGZ.bat" "%USERPROFILE%\AppData\Local\Temp\OnboardLogs"\RTDC4039\2016-09-11 &amp; aws s3 cp s3://rtdc.mdm.uploadarchive/RTDC4039/2016-09-12/ "%USERPROFILE%\AppData\Local\Temp\OnboardLogs"\RTDC4039\2016-09-12 --recursive &amp; "%USERPROFILE%\Documents\GitHub\mrs-test-scripts\Headless Mode &amp; Sideloading\WalkAndUnGZ.bat" "%USERPROFILE%\AppData\Local\Temp\OnboardLogs"\RTDC4039\2016-09-12</v>
      </c>
      <c r="AF104" s="96" t="str">
        <f t="shared" si="95"/>
        <v>"C:\Program Files (x86)\AstroGrep\AstroGrep.exe" /spath="%USERPROFILE%\AppData\Local\Temp\OnboardLogs" /stypes="*4039*20160911*" /stext=" 22:.+((SYSTEM_STATE.+slice.+state.+changed )|(ment ac)|(system.+state.+changed )|(\|lc)|(penalty)|(\[timeout)|(PRM\|1\|D)|(kpr)|(kdp))" /e /r /s</v>
      </c>
      <c r="AG104" s="1" t="str">
        <f t="shared" si="82"/>
        <v>EC</v>
      </c>
      <c r="AH104" s="100" t="str">
        <f t="shared" si="63"/>
        <v>"%USERPROFILE%\Documents\GitHub\eaglep3\Utilities\RefineRTDCRunTimes.py" --tripid 192-11 --locoid 4039 --swversion DE.1.0.7.0 --startMP 204:232994 --initTime 2016-09-11T15:49:05 --startdatetime 2016-09-11T15:56:51 --delay 2 --endMP 204:174 --enddatetime 2016-09-11T16:33:56 --enforcementcount 1 &gt;&gt;C:\Users\stu\Documents\GitHub\eaglep3-reporting\EC\2016-09-11-refined-times.txt</v>
      </c>
      <c r="AI104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{"issue":{"subject":"","project_id":79,"tracker_id":40,"status_id":1,"priority_id":2,"assigned_to_id":23,"start_date":"2016-09-11","description":"","custom_fields":[{"id":1,"name":"Subdivision","value":"EC"},{"id":4,"name":"Milepost","value":"23.282"},{"id":17,"name":"Train ID","value":"192-11"},{"id":16,"name":"Locomotive ID","value":"4039"},{"id":130,"name":"Impact","value":""},{"id":150,"name":"Time of Event (Mountain Time)","value":"16:33:56"},{"id":151,"name":"Denver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s="23" customFormat="1" x14ac:dyDescent="0.25">
      <c r="A105" s="39" t="s">
        <v>712</v>
      </c>
      <c r="B105" s="7"/>
      <c r="C105" s="24"/>
      <c r="D105" s="24"/>
      <c r="E105" s="15"/>
      <c r="F105" s="15"/>
      <c r="G105" s="7"/>
      <c r="H105" s="15"/>
      <c r="I105" s="15"/>
      <c r="J105" s="7"/>
      <c r="K105" s="121"/>
      <c r="L105" s="24"/>
      <c r="M105" s="6"/>
      <c r="N105" s="7"/>
      <c r="O105" s="7"/>
      <c r="P105" s="7">
        <v>1</v>
      </c>
      <c r="Q105" s="25"/>
      <c r="R105" s="25" t="s">
        <v>711</v>
      </c>
      <c r="S105" s="37">
        <f t="shared" ref="S105" si="99">SUM(U105:U105)/IF(AG105="EC",12,1)</f>
        <v>0</v>
      </c>
      <c r="T105" s="52" t="str">
        <f t="shared" si="80"/>
        <v>NorthBound</v>
      </c>
      <c r="U105" s="163"/>
      <c r="V105" s="106"/>
      <c r="W105" s="54"/>
      <c r="X105" s="168">
        <f t="shared" si="83"/>
        <v>1</v>
      </c>
      <c r="Y105" s="69"/>
      <c r="Z105" s="69"/>
      <c r="AA105" s="69"/>
      <c r="AB105" s="66"/>
      <c r="AC105" s="62"/>
      <c r="AD105" s="63" t="str">
        <f t="shared" si="81"/>
        <v>0193-11</v>
      </c>
      <c r="AE105" s="99"/>
      <c r="AF105" s="96"/>
      <c r="AG105" s="1" t="str">
        <f t="shared" si="82"/>
        <v>EC</v>
      </c>
      <c r="AH105" s="100"/>
      <c r="AI105" s="134"/>
      <c r="AJ105" s="55"/>
      <c r="AK105" s="55"/>
      <c r="AL105" s="55"/>
    </row>
    <row r="106" spans="1:38" s="23" customFormat="1" x14ac:dyDescent="0.25">
      <c r="A106" s="39" t="s">
        <v>404</v>
      </c>
      <c r="B106" s="7">
        <v>4010</v>
      </c>
      <c r="C106" s="24" t="s">
        <v>108</v>
      </c>
      <c r="D106" s="24" t="s">
        <v>495</v>
      </c>
      <c r="E106" s="15">
        <v>42624.672361111108</v>
      </c>
      <c r="F106" s="15">
        <v>42624.674675925926</v>
      </c>
      <c r="G106" s="7">
        <v>1</v>
      </c>
      <c r="H106" s="15" t="s">
        <v>280</v>
      </c>
      <c r="I106" s="15">
        <v>42624.703194444446</v>
      </c>
      <c r="J106" s="7">
        <v>1</v>
      </c>
      <c r="K106" s="121" t="str">
        <f t="shared" si="79"/>
        <v>4009/4010</v>
      </c>
      <c r="L106" s="24" t="str">
        <f>VLOOKUP(A106,'Trips&amp;Operators'!$C$1:$E$10000,3,FALSE)</f>
        <v>MOSES</v>
      </c>
      <c r="M106" s="6">
        <f t="shared" si="86"/>
        <v>2.8518518520286307E-2</v>
      </c>
      <c r="N106" s="7">
        <f t="shared" si="98"/>
        <v>41.066666669212282</v>
      </c>
      <c r="O106" s="7"/>
      <c r="P106" s="7"/>
      <c r="Q106" s="25"/>
      <c r="R106" s="25"/>
      <c r="S106" s="37">
        <f t="shared" si="88"/>
        <v>1</v>
      </c>
      <c r="T106" s="52" t="str">
        <f t="shared" si="80"/>
        <v>Southbound</v>
      </c>
      <c r="U106" s="163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15:08:12-0600',mode:absolute,to:'2016-09-11 17:52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06" s="54" t="str">
        <f t="shared" si="90"/>
        <v>N</v>
      </c>
      <c r="X106" s="168">
        <f t="shared" si="83"/>
        <v>1</v>
      </c>
      <c r="Y106" s="69">
        <f t="shared" si="91"/>
        <v>23.3</v>
      </c>
      <c r="Z106" s="69">
        <f t="shared" si="92"/>
        <v>1.3599999999999999E-2</v>
      </c>
      <c r="AA106" s="69">
        <f t="shared" si="93"/>
        <v>23.2864</v>
      </c>
      <c r="AB106" s="66" t="e">
        <f>VLOOKUP(A106,Enforcements!$C$7:$K$21,8,0)</f>
        <v>#N/A</v>
      </c>
      <c r="AC106" s="62" t="e">
        <f>VLOOKUP(A106,Enforcements!$C$7:$E$21,3,0)</f>
        <v>#N/A</v>
      </c>
      <c r="AD106" s="63" t="str">
        <f t="shared" si="81"/>
        <v>0194-11</v>
      </c>
      <c r="AE106" s="99" t="str">
        <f t="shared" si="94"/>
        <v>aws s3 cp s3://rtdc.mdm.uploadarchive/RTDC4010/2016-09-11/ "%USERPROFILE%\AppData\Local\Temp\OnboardLogs"\RTDC4010\2016-09-11 --recursive &amp; "%USERPROFILE%\Documents\GitHub\mrs-test-scripts\Headless Mode &amp; Sideloading\WalkAndUnGZ.bat" "%USERPROFILE%\AppData\Local\Temp\OnboardLogs"\RTDC4010\2016-09-11 &amp; 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</v>
      </c>
      <c r="AF106" s="96" t="str">
        <f t="shared" si="95"/>
        <v>"C:\Program Files (x86)\AstroGrep\AstroGrep.exe" /spath="%USERPROFILE%\AppData\Local\Temp\OnboardLogs" /stypes="*4010*20160911*" /stext=" 22:.+((SYSTEM_STATE.+slice.+state.+changed )|(ment ac)|(system.+state.+changed )|(\|lc)|(penalty)|(\[timeout)|(PRM\|1\|D)|(kpr)|(kdp))" /e /r /s</v>
      </c>
      <c r="AG106" s="1" t="str">
        <f t="shared" si="82"/>
        <v>EC</v>
      </c>
      <c r="AH106" s="100" t="str">
        <f t="shared" si="63"/>
        <v>"%USERPROFILE%\Documents\GitHub\eaglep3\Utilities\RefineRTDCRunTimes.py" --tripid 194-11 --locoid 4010 --swversion DE.1.0.7.0 --startMP 204:233000 --initTime 2016-09-11T16:08:12 --startdatetime 2016-09-11T16:11:32 --delay 1 --endMP 204:136 --enddatetime 2016-09-11T16:52:36 --enforcementcount 1 &gt;&gt;C:\Users\stu\Documents\GitHub\eaglep3-reporting\EC\2016-09-11-refined-times.txt</v>
      </c>
      <c r="AI106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{"issue":{"subject":"","project_id":79,"tracker_id":40,"status_id":1,"priority_id":2,"assigned_to_id":23,"start_date":"2016-09-11","description":"","custom_fields":[{"id":1,"name":"Subdivision","value":"EC"},{"id":4,"name":"Milepost","value":"23.2864"},{"id":17,"name":"Train ID","value":"194-11"},{"id":16,"name":"Locomotive ID","value":"4010"},{"id":130,"name":"Impact","value":""},{"id":150,"name":"Time of Event (Mountain Time)","value":"16:52:36"},{"id":151,"name":"Denver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s="23" customFormat="1" x14ac:dyDescent="0.25">
      <c r="A107" s="39" t="s">
        <v>713</v>
      </c>
      <c r="B107" s="7"/>
      <c r="C107" s="24"/>
      <c r="D107" s="24"/>
      <c r="E107" s="15"/>
      <c r="F107" s="15"/>
      <c r="G107" s="7"/>
      <c r="H107" s="15"/>
      <c r="I107" s="15"/>
      <c r="J107" s="7"/>
      <c r="K107" s="121"/>
      <c r="L107" s="24"/>
      <c r="M107" s="6"/>
      <c r="N107" s="7"/>
      <c r="O107" s="7"/>
      <c r="P107" s="7">
        <v>1</v>
      </c>
      <c r="Q107" s="25"/>
      <c r="R107" s="25" t="s">
        <v>711</v>
      </c>
      <c r="S107" s="37">
        <f t="shared" ref="S107" si="100">SUM(U107:U107)/IF(AG107="EC",12,1)</f>
        <v>0</v>
      </c>
      <c r="T107" s="52" t="str">
        <f t="shared" si="80"/>
        <v>NorthBound</v>
      </c>
      <c r="U107" s="163"/>
      <c r="V107" s="106"/>
      <c r="W107" s="54"/>
      <c r="X107" s="168">
        <f t="shared" si="83"/>
        <v>1</v>
      </c>
      <c r="Y107" s="69"/>
      <c r="Z107" s="69"/>
      <c r="AA107" s="69"/>
      <c r="AB107" s="66"/>
      <c r="AC107" s="62"/>
      <c r="AD107" s="63" t="str">
        <f t="shared" si="81"/>
        <v>0195-11</v>
      </c>
      <c r="AE107" s="99"/>
      <c r="AF107" s="96"/>
      <c r="AG107" s="1" t="str">
        <f t="shared" si="82"/>
        <v>EC</v>
      </c>
      <c r="AH107" s="100"/>
      <c r="AI107" s="134"/>
      <c r="AJ107" s="55"/>
      <c r="AK107" s="55"/>
      <c r="AL107" s="55"/>
    </row>
    <row r="108" spans="1:38" x14ac:dyDescent="0.25">
      <c r="A108" s="39" t="s">
        <v>402</v>
      </c>
      <c r="B108" s="7">
        <v>4041</v>
      </c>
      <c r="C108" s="24" t="s">
        <v>108</v>
      </c>
      <c r="D108" s="24" t="s">
        <v>272</v>
      </c>
      <c r="E108" s="15">
        <v>42624.676608796297</v>
      </c>
      <c r="F108" s="15">
        <v>42624.684872685182</v>
      </c>
      <c r="G108" s="7">
        <v>1</v>
      </c>
      <c r="H108" s="15" t="s">
        <v>256</v>
      </c>
      <c r="I108" s="15">
        <v>42624.713599537034</v>
      </c>
      <c r="J108" s="7">
        <v>1</v>
      </c>
      <c r="K108" s="121" t="str">
        <f t="shared" si="79"/>
        <v>4041/4042</v>
      </c>
      <c r="L108" s="24" t="str">
        <f>VLOOKUP(A108,'Trips&amp;Operators'!$C$1:$E$10000,3,FALSE)</f>
        <v>STRICKLAND</v>
      </c>
      <c r="M108" s="6">
        <f t="shared" si="86"/>
        <v>2.8726851851388346E-2</v>
      </c>
      <c r="N108" s="7">
        <f t="shared" si="98"/>
        <v>41.366666665999219</v>
      </c>
      <c r="O108" s="7"/>
      <c r="P108" s="7"/>
      <c r="Q108" s="25"/>
      <c r="R108" s="25"/>
      <c r="S108" s="37">
        <f t="shared" si="88"/>
        <v>1</v>
      </c>
      <c r="T108" s="52" t="str">
        <f t="shared" si="80"/>
        <v>Southbound</v>
      </c>
      <c r="U108" s="163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15:14:19-0600',mode:absolute,to:'2016-09-11 18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08" s="54" t="str">
        <f t="shared" si="90"/>
        <v>N</v>
      </c>
      <c r="X108" s="168">
        <f t="shared" ref="X108:X109" si="101">VALUE(LEFT(AD108,4))-VALUE(LEFT(AD107,4))</f>
        <v>1</v>
      </c>
      <c r="Y108" s="69">
        <f t="shared" si="91"/>
        <v>23.2987</v>
      </c>
      <c r="Z108" s="69">
        <f t="shared" si="92"/>
        <v>1.5599999999999999E-2</v>
      </c>
      <c r="AA108" s="69">
        <f t="shared" si="93"/>
        <v>23.283100000000001</v>
      </c>
      <c r="AB108" s="66" t="str">
        <f>VLOOKUP(A108,Enforcements!$C$7:$K$21,8,0)</f>
        <v>Speed (6)</v>
      </c>
      <c r="AC108" s="62" t="str">
        <f>VLOOKUP(A108,Enforcements!$C$7:$E$21,3,0)</f>
        <v>PERMANENT SPEED RESTRICTION</v>
      </c>
      <c r="AD108" s="63" t="str">
        <f t="shared" si="81"/>
        <v>0196-11</v>
      </c>
      <c r="AE108" s="99" t="str">
        <f t="shared" si="94"/>
        <v>aws s3 cp s3://rtdc.mdm.uploadarchive/RTDC4041/2016-09-11/ "%USERPROFILE%\AppData\Local\Temp\OnboardLogs"\RTDC4041\2016-09-11 --recursive &amp; "%USERPROFILE%\Documents\GitHub\mrs-test-scripts\Headless Mode &amp; Sideloading\WalkAndUnGZ.bat" "%USERPROFILE%\AppData\Local\Temp\OnboardLogs"\RTDC4041\2016-09-11 &amp; 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</v>
      </c>
      <c r="AF108" s="96" t="str">
        <f t="shared" si="95"/>
        <v>"C:\Program Files (x86)\AstroGrep\AstroGrep.exe" /spath="%USERPROFILE%\AppData\Local\Temp\OnboardLogs" /stypes="*4041*20160911*" /stext=" 23:.+((SYSTEM_STATE.+slice.+state.+changed )|(ment ac)|(system.+state.+changed )|(\|lc)|(penalty)|(\[timeout)|(PRM\|1\|D)|(kpr)|(kdp))" /e /r /s</v>
      </c>
      <c r="AG108" s="1" t="str">
        <f t="shared" si="82"/>
        <v>EC</v>
      </c>
      <c r="AH108" s="100" t="str">
        <f t="shared" si="63"/>
        <v>"%USERPROFILE%\Documents\GitHub\eaglep3\Utilities\RefineRTDCRunTimes.py" --tripid 196-11 --locoid 4041 --swversion DE.1.0.7.0 --startMP 204:232987 --initTime 2016-09-11T16:14:19 --startdatetime 2016-09-11T16:26:13 --delay 1 --endMP 204:156 --enddatetime 2016-09-11T17:07:35 --enforcementcount 1 &gt;&gt;C:\Users\stu\Documents\GitHub\eaglep3-reporting\EC\2016-09-11-refined-times.txt</v>
      </c>
      <c r="AI108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{"issue":{"subject":"","project_id":79,"tracker_id":40,"status_id":1,"priority_id":2,"assigned_to_id":23,"start_date":"2016-09-11","description":"","custom_fields":[{"id":1,"name":"Subdivision","value":"EC"},{"id":4,"name":"Milepost","value":"23.2831"},{"id":17,"name":"Train ID","value":"196-11"},{"id":16,"name":"Locomotive ID","value":"4041"},{"id":130,"name":"Impact","value":""},{"id":150,"name":"Time of Event (Mountain Time)","value":"17:07:35"},{"id":151,"name":"Denver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x14ac:dyDescent="0.25">
      <c r="A109" s="39" t="s">
        <v>596</v>
      </c>
      <c r="B109" s="7">
        <v>4025</v>
      </c>
      <c r="C109" s="24" t="s">
        <v>108</v>
      </c>
      <c r="D109" s="24" t="s">
        <v>254</v>
      </c>
      <c r="E109" s="15">
        <v>42624.654745370368</v>
      </c>
      <c r="F109" s="15">
        <v>42624.656851851854</v>
      </c>
      <c r="G109" s="7">
        <v>1</v>
      </c>
      <c r="H109" s="15" t="s">
        <v>251</v>
      </c>
      <c r="I109" s="15">
        <v>42624.682476851849</v>
      </c>
      <c r="J109" s="7">
        <v>1</v>
      </c>
      <c r="K109" s="121" t="str">
        <f t="shared" si="79"/>
        <v>4025/4026</v>
      </c>
      <c r="L109" s="24" t="str">
        <f>VLOOKUP(A109,'Trips&amp;Operators'!$C$1:$E$10000,3,FALSE)</f>
        <v>CLARK</v>
      </c>
      <c r="M109" s="6">
        <f t="shared" si="86"/>
        <v>2.5624999994761311E-2</v>
      </c>
      <c r="N109" s="7">
        <f t="shared" si="98"/>
        <v>36.899999992456287</v>
      </c>
      <c r="O109" s="7"/>
      <c r="P109" s="7"/>
      <c r="Q109" s="25"/>
      <c r="R109" s="25"/>
      <c r="S109" s="37">
        <f t="shared" si="88"/>
        <v>1</v>
      </c>
      <c r="T109" s="52" t="str">
        <f t="shared" si="80"/>
        <v>NorthBound</v>
      </c>
      <c r="U109" s="163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14:42:50-0600',mode:absolute,to:'2016-09-11 17:22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09" s="54" t="str">
        <f t="shared" si="90"/>
        <v>N</v>
      </c>
      <c r="X109" s="168">
        <f t="shared" si="101"/>
        <v>1</v>
      </c>
      <c r="Y109" s="69">
        <f t="shared" si="91"/>
        <v>4.5100000000000001E-2</v>
      </c>
      <c r="Z109" s="69">
        <f t="shared" si="92"/>
        <v>23.329699999999999</v>
      </c>
      <c r="AA109" s="69">
        <f t="shared" si="93"/>
        <v>23.284599999999998</v>
      </c>
      <c r="AB109" s="66" t="e">
        <f>VLOOKUP(A109,Enforcements!$C$7:$K$21,8,0)</f>
        <v>#N/A</v>
      </c>
      <c r="AC109" s="62" t="e">
        <f>VLOOKUP(A109,Enforcements!$C$7:$E$21,3,0)</f>
        <v>#N/A</v>
      </c>
      <c r="AD109" s="63" t="str">
        <f t="shared" si="81"/>
        <v>0197-11</v>
      </c>
      <c r="AE109" s="99" t="str">
        <f t="shared" si="94"/>
        <v>aws s3 cp s3://rtdc.mdm.uploadarchive/RTDC4025/2016-09-11/ "%USERPROFILE%\AppData\Local\Temp\OnboardLogs"\RTDC4025\2016-09-11 --recursive &amp; "%USERPROFILE%\Documents\GitHub\mrs-test-scripts\Headless Mode &amp; Sideloading\WalkAndUnGZ.bat" "%USERPROFILE%\AppData\Local\Temp\OnboardLogs"\RTDC4025\2016-09-11 &amp; 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</v>
      </c>
      <c r="AF109" s="96" t="str">
        <f t="shared" si="95"/>
        <v>"C:\Program Files (x86)\AstroGrep\AstroGrep.exe" /spath="%USERPROFILE%\AppData\Local\Temp\OnboardLogs" /stypes="*4025*20160911*" /stext=" 22:.+((SYSTEM_STATE.+slice.+state.+changed )|(ment ac)|(system.+state.+changed )|(\|lc)|(penalty)|(\[timeout)|(PRM\|1\|D)|(kpr)|(kdp))" /e /r /s</v>
      </c>
      <c r="AG109" s="1" t="str">
        <f t="shared" si="82"/>
        <v>EC</v>
      </c>
      <c r="AH109" s="100" t="str">
        <f t="shared" si="63"/>
        <v>"%USERPROFILE%\Documents\GitHub\eaglep3\Utilities\RefineRTDCRunTimes.py" --tripid 197-11 --locoid 4025 --swversion DE.1.0.7.0 --startMP 204:451 --initTime 2016-09-11T15:42:50 --startdatetime 2016-09-11T15:45:52 --delay 1 --endMP 204:233297 --enddatetime 2016-09-11T16:22:46 --enforcementcount 1 &gt;&gt;C:\Users\stu\Documents\GitHub\eaglep3-reporting\EC\2016-09-11-refined-times.txt</v>
      </c>
      <c r="AI109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{"issue":{"subject":"","project_id":79,"tracker_id":40,"status_id":1,"priority_id":2,"assigned_to_id":23,"start_date":"2016-09-11","description":"","custom_fields":[{"id":1,"name":"Subdivision","value":"EC"},{"id":4,"name":"Milepost","value":"23.2846"},{"id":17,"name":"Train ID","value":"197-11"},{"id":16,"name":"Locomotive ID","value":"4025"},{"id":130,"name":"Impact","value":""},{"id":150,"name":"Time of Event (Mountain Time)","value":"16:22:46"},{"id":151,"name":"Denver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s="23" customFormat="1" x14ac:dyDescent="0.25">
      <c r="A110" s="39" t="s">
        <v>597</v>
      </c>
      <c r="B110" s="7">
        <v>4026</v>
      </c>
      <c r="C110" s="24" t="s">
        <v>108</v>
      </c>
      <c r="D110" s="24" t="s">
        <v>258</v>
      </c>
      <c r="E110" s="15">
        <v>42624.692615740743</v>
      </c>
      <c r="F110" s="15">
        <v>42624.695405092592</v>
      </c>
      <c r="G110" s="7">
        <v>1</v>
      </c>
      <c r="H110" s="15" t="s">
        <v>253</v>
      </c>
      <c r="I110" s="15">
        <v>42624.723032407404</v>
      </c>
      <c r="J110" s="7">
        <v>1</v>
      </c>
      <c r="K110" s="121" t="str">
        <f t="shared" si="79"/>
        <v>4025/4026</v>
      </c>
      <c r="L110" s="24" t="str">
        <f>VLOOKUP(A110,'Trips&amp;Operators'!$C$1:$E$10000,3,FALSE)</f>
        <v>CLARK</v>
      </c>
      <c r="M110" s="6">
        <f t="shared" si="86"/>
        <v>2.7627314811979886E-2</v>
      </c>
      <c r="N110" s="7">
        <f t="shared" si="98"/>
        <v>39.783333329251036</v>
      </c>
      <c r="O110" s="7"/>
      <c r="P110" s="7"/>
      <c r="Q110" s="25"/>
      <c r="R110" s="25"/>
      <c r="S110" s="37">
        <f t="shared" si="88"/>
        <v>1</v>
      </c>
      <c r="T110" s="52" t="str">
        <f t="shared" si="80"/>
        <v>Southbound</v>
      </c>
      <c r="U110" s="163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15:37:22-0600',mode:absolute,to:'2016-09-11 18:21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10" s="54" t="str">
        <f t="shared" si="90"/>
        <v>N</v>
      </c>
      <c r="X110" s="168">
        <f t="shared" ref="X110:X126" si="102">VALUE(LEFT(AD110,4))-VALUE(LEFT(AD109,4))</f>
        <v>1</v>
      </c>
      <c r="Y110" s="69">
        <f t="shared" ref="Y110:Y114" si="103">RIGHT(D110,LEN(D110)-4)/10000</f>
        <v>23.297699999999999</v>
      </c>
      <c r="Z110" s="69">
        <f t="shared" si="92"/>
        <v>1.34E-2</v>
      </c>
      <c r="AA110" s="69">
        <f t="shared" si="93"/>
        <v>23.284299999999998</v>
      </c>
      <c r="AB110" s="66" t="e">
        <f>VLOOKUP(A110,Enforcements!$C$7:$K$21,8,0)</f>
        <v>#N/A</v>
      </c>
      <c r="AC110" s="62" t="e">
        <f>VLOOKUP(A110,Enforcements!$C$7:$E$21,3,0)</f>
        <v>#N/A</v>
      </c>
      <c r="AD110" s="63" t="str">
        <f t="shared" si="81"/>
        <v>0198-11</v>
      </c>
      <c r="AE110" s="99" t="str">
        <f t="shared" si="94"/>
        <v>aws s3 cp s3://rtdc.mdm.uploadarchive/RTDC4026/2016-09-11/ "%USERPROFILE%\AppData\Local\Temp\OnboardLogs"\RTDC4026\2016-09-11 --recursive &amp; "%USERPROFILE%\Documents\GitHub\mrs-test-scripts\Headless Mode &amp; Sideloading\WalkAndUnGZ.bat" "%USERPROFILE%\AppData\Local\Temp\OnboardLogs"\RTDC4026\2016-09-11 &amp; 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</v>
      </c>
      <c r="AF110" s="96" t="str">
        <f t="shared" si="95"/>
        <v>"C:\Program Files (x86)\AstroGrep\AstroGrep.exe" /spath="%USERPROFILE%\AppData\Local\Temp\OnboardLogs" /stypes="*4026*20160911*" /stext=" 23:.+((SYSTEM_STATE.+slice.+state.+changed )|(ment ac)|(system.+state.+changed )|(\|lc)|(penalty)|(\[timeout)|(PRM\|1\|D)|(kpr)|(kdp))" /e /r /s</v>
      </c>
      <c r="AG110" s="1" t="str">
        <f t="shared" si="82"/>
        <v>EC</v>
      </c>
      <c r="AH110" s="100" t="str">
        <f t="shared" si="63"/>
        <v>"%USERPROFILE%\Documents\GitHub\eaglep3\Utilities\RefineRTDCRunTimes.py" --tripid 198-11 --locoid 4026 --swversion DE.1.0.7.0 --startMP 204:232977 --initTime 2016-09-11T16:37:22 --startdatetime 2016-09-11T16:41:23 --delay 1 --endMP 204:134 --enddatetime 2016-09-11T17:21:10 --enforcementcount 1 &gt;&gt;C:\Users\stu\Documents\GitHub\eaglep3-reporting\EC\2016-09-11-refined-times.txt</v>
      </c>
      <c r="AI110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{"issue":{"subject":"","project_id":79,"tracker_id":40,"status_id":1,"priority_id":2,"assigned_to_id":23,"start_date":"2016-09-11","description":"","custom_fields":[{"id":1,"name":"Subdivision","value":"EC"},{"id":4,"name":"Milepost","value":"23.2843"},{"id":17,"name":"Train ID","value":"198-11"},{"id":16,"name":"Locomotive ID","value":"4026"},{"id":130,"name":"Impact","value":""},{"id":150,"name":"Time of Event (Mountain Time)","value":"17:21:10"},{"id":151,"name":"Denver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x14ac:dyDescent="0.25">
      <c r="A111" s="39" t="s">
        <v>598</v>
      </c>
      <c r="B111" s="7">
        <v>4029</v>
      </c>
      <c r="C111" s="24" t="s">
        <v>108</v>
      </c>
      <c r="D111" s="24" t="s">
        <v>250</v>
      </c>
      <c r="E111" s="15">
        <v>42624.660428240742</v>
      </c>
      <c r="F111" s="15">
        <v>42624.666863425926</v>
      </c>
      <c r="G111" s="7">
        <v>1</v>
      </c>
      <c r="H111" s="15" t="s">
        <v>599</v>
      </c>
      <c r="I111" s="15">
        <v>42624.69189814815</v>
      </c>
      <c r="J111" s="7">
        <v>1</v>
      </c>
      <c r="K111" s="121" t="str">
        <f t="shared" si="79"/>
        <v>4029/4030</v>
      </c>
      <c r="L111" s="24" t="str">
        <f>VLOOKUP(A111,'Trips&amp;Operators'!$C$1:$E$10000,3,FALSE)</f>
        <v>SHOOK</v>
      </c>
      <c r="M111" s="6">
        <f t="shared" si="86"/>
        <v>2.5034722224518191E-2</v>
      </c>
      <c r="N111" s="7">
        <f t="shared" si="98"/>
        <v>36.050000003306195</v>
      </c>
      <c r="O111" s="7"/>
      <c r="P111" s="7"/>
      <c r="Q111" s="25"/>
      <c r="R111" s="25"/>
      <c r="S111" s="37">
        <f t="shared" si="88"/>
        <v>1</v>
      </c>
      <c r="T111" s="52" t="str">
        <f t="shared" si="80"/>
        <v>NorthBound</v>
      </c>
      <c r="U111" s="163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14:51:01-0600',mode:absolute,to:'2016-09-11 17:36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11" s="54" t="str">
        <f t="shared" si="90"/>
        <v>N</v>
      </c>
      <c r="X111" s="168">
        <f t="shared" si="102"/>
        <v>1</v>
      </c>
      <c r="Y111" s="69">
        <f t="shared" si="103"/>
        <v>4.3700000000000003E-2</v>
      </c>
      <c r="Z111" s="69">
        <f t="shared" si="92"/>
        <v>23.334700000000002</v>
      </c>
      <c r="AA111" s="69">
        <f t="shared" si="93"/>
        <v>23.291</v>
      </c>
      <c r="AB111" s="66" t="e">
        <f>VLOOKUP(A111,Enforcements!$C$7:$K$21,8,0)</f>
        <v>#N/A</v>
      </c>
      <c r="AC111" s="62" t="e">
        <f>VLOOKUP(A111,Enforcements!$C$7:$E$21,3,0)</f>
        <v>#N/A</v>
      </c>
      <c r="AD111" s="63" t="str">
        <f t="shared" si="81"/>
        <v>0199-11</v>
      </c>
      <c r="AE111" s="99" t="str">
        <f t="shared" si="94"/>
        <v>aws s3 cp s3://rtdc.mdm.uploadarchive/RTDC4029/2016-09-11/ "%USERPROFILE%\AppData\Local\Temp\OnboardLogs"\RTDC4029\2016-09-11 --recursive &amp; "%USERPROFILE%\Documents\GitHub\mrs-test-scripts\Headless Mode &amp; Sideloading\WalkAndUnGZ.bat" "%USERPROFILE%\AppData\Local\Temp\OnboardLogs"\RTDC4029\2016-09-11 &amp; aws s3 cp s3://rtdc.mdm.uploadarchive/RTDC4029/2016-09-12/ "%USERPROFILE%\AppData\Local\Temp\OnboardLogs"\RTDC4029\2016-09-12 --recursive &amp; "%USERPROFILE%\Documents\GitHub\mrs-test-scripts\Headless Mode &amp; Sideloading\WalkAndUnGZ.bat" "%USERPROFILE%\AppData\Local\Temp\OnboardLogs"\RTDC4029\2016-09-12</v>
      </c>
      <c r="AF111" s="96" t="str">
        <f t="shared" si="95"/>
        <v>"C:\Program Files (x86)\AstroGrep\AstroGrep.exe" /spath="%USERPROFILE%\AppData\Local\Temp\OnboardLogs" /stypes="*4029*20160911*" /stext=" 22:.+((SYSTEM_STATE.+slice.+state.+changed )|(ment ac)|(system.+state.+changed )|(\|lc)|(penalty)|(\[timeout)|(PRM\|1\|D)|(kpr)|(kdp))" /e /r /s</v>
      </c>
      <c r="AG111" s="1" t="str">
        <f t="shared" si="82"/>
        <v>EC</v>
      </c>
      <c r="AH111" s="100" t="str">
        <f t="shared" si="63"/>
        <v>"%USERPROFILE%\Documents\GitHub\eaglep3\Utilities\RefineRTDCRunTimes.py" --tripid 199-11 --locoid 4029 --swversion DE.1.0.7.0 --startMP 204:437 --initTime 2016-09-11T15:51:01 --startdatetime 2016-09-11T16:00:17 --delay 1 --endMP 204:233347 --enddatetime 2016-09-11T16:36:20 --enforcementcount 1 &gt;&gt;C:\Users\stu\Documents\GitHub\eaglep3-reporting\EC\2016-09-11-refined-times.txt</v>
      </c>
      <c r="AI111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{"issue":{"subject":"","project_id":79,"tracker_id":40,"status_id":1,"priority_id":2,"assigned_to_id":23,"start_date":"2016-09-11","description":"","custom_fields":[{"id":1,"name":"Subdivision","value":"EC"},{"id":4,"name":"Milepost","value":"23.291"},{"id":17,"name":"Train ID","value":"199-11"},{"id":16,"name":"Locomotive ID","value":"4029"},{"id":130,"name":"Impact","value":""},{"id":150,"name":"Time of Event (Mountain Time)","value":"16:36:20"},{"id":151,"name":"Denver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x14ac:dyDescent="0.25">
      <c r="A112" s="39" t="s">
        <v>600</v>
      </c>
      <c r="B112" s="7">
        <v>4030</v>
      </c>
      <c r="C112" s="24" t="s">
        <v>108</v>
      </c>
      <c r="D112" s="24" t="s">
        <v>354</v>
      </c>
      <c r="E112" s="15">
        <v>42624.699884259258</v>
      </c>
      <c r="F112" s="15">
        <v>42624.705787037034</v>
      </c>
      <c r="G112" s="7">
        <v>1</v>
      </c>
      <c r="H112" s="15" t="s">
        <v>289</v>
      </c>
      <c r="I112" s="15">
        <v>42624.731585648151</v>
      </c>
      <c r="J112" s="7">
        <v>1</v>
      </c>
      <c r="K112" s="121" t="str">
        <f t="shared" si="79"/>
        <v>4029/4030</v>
      </c>
      <c r="L112" s="24" t="str">
        <f>VLOOKUP(A112,'Trips&amp;Operators'!$C$1:$E$10000,3,FALSE)</f>
        <v>SHOOK</v>
      </c>
      <c r="M112" s="6">
        <f t="shared" si="86"/>
        <v>2.5798611117352266E-2</v>
      </c>
      <c r="N112" s="7">
        <f t="shared" si="98"/>
        <v>37.150000008987263</v>
      </c>
      <c r="O112" s="7"/>
      <c r="P112" s="7"/>
      <c r="Q112" s="25"/>
      <c r="R112" s="25"/>
      <c r="S112" s="37">
        <f t="shared" si="88"/>
        <v>1</v>
      </c>
      <c r="T112" s="52" t="str">
        <f t="shared" si="80"/>
        <v>Southbound</v>
      </c>
      <c r="U112" s="163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15:47:50-0600',mode:absolute,to:'2016-09-11 18:33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12" s="54" t="str">
        <f t="shared" si="90"/>
        <v>N</v>
      </c>
      <c r="X112" s="168">
        <f t="shared" si="102"/>
        <v>1</v>
      </c>
      <c r="Y112" s="69">
        <f t="shared" si="103"/>
        <v>23.3049</v>
      </c>
      <c r="Z112" s="69">
        <f t="shared" si="92"/>
        <v>1.41E-2</v>
      </c>
      <c r="AA112" s="69">
        <f t="shared" si="93"/>
        <v>23.290800000000001</v>
      </c>
      <c r="AB112" s="66" t="e">
        <f>VLOOKUP(A112,Enforcements!$C$7:$K$21,8,0)</f>
        <v>#N/A</v>
      </c>
      <c r="AC112" s="62" t="e">
        <f>VLOOKUP(A112,Enforcements!$C$7:$E$21,3,0)</f>
        <v>#N/A</v>
      </c>
      <c r="AD112" s="63" t="str">
        <f t="shared" si="81"/>
        <v>0200-11</v>
      </c>
      <c r="AE112" s="99" t="str">
        <f t="shared" si="94"/>
        <v>aws s3 cp s3://rtdc.mdm.uploadarchive/RTDC4030/2016-09-11/ "%USERPROFILE%\AppData\Local\Temp\OnboardLogs"\RTDC4030\2016-09-11 --recursive &amp; "%USERPROFILE%\Documents\GitHub\mrs-test-scripts\Headless Mode &amp; Sideloading\WalkAndUnGZ.bat" "%USERPROFILE%\AppData\Local\Temp\OnboardLogs"\RTDC4030\2016-09-11 &amp; aws s3 cp s3://rtdc.mdm.uploadarchive/RTDC4030/2016-09-12/ "%USERPROFILE%\AppData\Local\Temp\OnboardLogs"\RTDC4030\2016-09-12 --recursive &amp; "%USERPROFILE%\Documents\GitHub\mrs-test-scripts\Headless Mode &amp; Sideloading\WalkAndUnGZ.bat" "%USERPROFILE%\AppData\Local\Temp\OnboardLogs"\RTDC4030\2016-09-12</v>
      </c>
      <c r="AF112" s="96" t="str">
        <f t="shared" si="95"/>
        <v>"C:\Program Files (x86)\AstroGrep\AstroGrep.exe" /spath="%USERPROFILE%\AppData\Local\Temp\OnboardLogs" /stypes="*4030*20160911*" /stext=" 23:.+((SYSTEM_STATE.+slice.+state.+changed )|(ment ac)|(system.+state.+changed )|(\|lc)|(penalty)|(\[timeout)|(PRM\|1\|D)|(kpr)|(kdp))" /e /r /s</v>
      </c>
      <c r="AG112" s="1" t="str">
        <f t="shared" si="82"/>
        <v>EC</v>
      </c>
      <c r="AH112" s="100" t="str">
        <f t="shared" si="63"/>
        <v>"%USERPROFILE%\Documents\GitHub\eaglep3\Utilities\RefineRTDCRunTimes.py" --tripid 200-11 --locoid 4030 --swversion DE.1.0.7.0 --startMP 204:233049 --initTime 2016-09-11T16:47:50 --startdatetime 2016-09-11T16:56:20 --delay 1 --endMP 204:141 --enddatetime 2016-09-11T17:33:29 --enforcementcount 1 &gt;&gt;C:\Users\stu\Documents\GitHub\eaglep3-reporting\EC\2016-09-11-refined-times.txt</v>
      </c>
      <c r="AI112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{"issue":{"subject":"","project_id":79,"tracker_id":40,"status_id":1,"priority_id":2,"assigned_to_id":23,"start_date":"2016-09-11","description":"","custom_fields":[{"id":1,"name":"Subdivision","value":"EC"},{"id":4,"name":"Milepost","value":"23.2908"},{"id":17,"name":"Train ID","value":"200-11"},{"id":16,"name":"Locomotive ID","value":"4030"},{"id":130,"name":"Impact","value":""},{"id":150,"name":"Time of Event (Mountain Time)","value":"17:33:29"},{"id":151,"name":"Denver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x14ac:dyDescent="0.25">
      <c r="A113" s="39" t="s">
        <v>601</v>
      </c>
      <c r="B113" s="7">
        <v>4020</v>
      </c>
      <c r="C113" s="24" t="s">
        <v>108</v>
      </c>
      <c r="D113" s="24" t="s">
        <v>273</v>
      </c>
      <c r="E113" s="15">
        <v>42624.676030092596</v>
      </c>
      <c r="F113" s="15">
        <v>42624.677824074075</v>
      </c>
      <c r="G113" s="7">
        <v>1</v>
      </c>
      <c r="H113" s="15" t="s">
        <v>602</v>
      </c>
      <c r="I113" s="15">
        <v>42624.7028125</v>
      </c>
      <c r="J113" s="7">
        <v>1</v>
      </c>
      <c r="K113" s="121" t="str">
        <f t="shared" si="79"/>
        <v>4019/4020</v>
      </c>
      <c r="L113" s="24" t="str">
        <f>VLOOKUP(A113,'Trips&amp;Operators'!$C$1:$E$10000,3,FALSE)</f>
        <v>STEWART</v>
      </c>
      <c r="M113" s="6">
        <f t="shared" si="86"/>
        <v>2.4988425924675539E-2</v>
      </c>
      <c r="N113" s="7">
        <f t="shared" si="98"/>
        <v>35.983333331532776</v>
      </c>
      <c r="O113" s="7"/>
      <c r="P113" s="7"/>
      <c r="Q113" s="25"/>
      <c r="R113" s="25"/>
      <c r="S113" s="37">
        <f t="shared" si="88"/>
        <v>1</v>
      </c>
      <c r="T113" s="52" t="str">
        <f t="shared" si="80"/>
        <v>NorthBound</v>
      </c>
      <c r="U113" s="163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15:13:29-0600',mode:absolute,to:'2016-09-11 17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13" s="54" t="str">
        <f t="shared" si="90"/>
        <v>N</v>
      </c>
      <c r="X113" s="168">
        <f t="shared" si="102"/>
        <v>1</v>
      </c>
      <c r="Y113" s="69">
        <f t="shared" si="103"/>
        <v>4.7300000000000002E-2</v>
      </c>
      <c r="Z113" s="69">
        <f t="shared" si="92"/>
        <v>23.334299999999999</v>
      </c>
      <c r="AA113" s="69">
        <f t="shared" si="93"/>
        <v>23.286999999999999</v>
      </c>
      <c r="AB113" s="66" t="e">
        <f>VLOOKUP(A113,Enforcements!$C$7:$K$21,8,0)</f>
        <v>#N/A</v>
      </c>
      <c r="AC113" s="62" t="e">
        <f>VLOOKUP(A113,Enforcements!$C$7:$E$21,3,0)</f>
        <v>#N/A</v>
      </c>
      <c r="AD113" s="63" t="str">
        <f t="shared" si="81"/>
        <v>0201-11</v>
      </c>
      <c r="AE113" s="99" t="str">
        <f t="shared" si="94"/>
        <v>aws s3 cp s3://rtdc.mdm.uploadarchive/RTDC4020/2016-09-11/ "%USERPROFILE%\AppData\Local\Temp\OnboardLogs"\RTDC4020\2016-09-11 --recursive &amp; "%USERPROFILE%\Documents\GitHub\mrs-test-scripts\Headless Mode &amp; Sideloading\WalkAndUnGZ.bat" "%USERPROFILE%\AppData\Local\Temp\OnboardLogs"\RTDC4020\2016-09-11 &amp; 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</v>
      </c>
      <c r="AF113" s="96" t="str">
        <f t="shared" si="95"/>
        <v>"C:\Program Files (x86)\AstroGrep\AstroGrep.exe" /spath="%USERPROFILE%\AppData\Local\Temp\OnboardLogs" /stypes="*4020*20160911*" /stext=" 22:.+((SYSTEM_STATE.+slice.+state.+changed )|(ment ac)|(system.+state.+changed )|(\|lc)|(penalty)|(\[timeout)|(PRM\|1\|D)|(kpr)|(kdp))" /e /r /s</v>
      </c>
      <c r="AG113" s="1" t="str">
        <f t="shared" si="82"/>
        <v>EC</v>
      </c>
      <c r="AH113" s="100" t="str">
        <f t="shared" si="63"/>
        <v>"%USERPROFILE%\Documents\GitHub\eaglep3\Utilities\RefineRTDCRunTimes.py" --tripid 201-11 --locoid 4020 --swversion DE.1.0.7.0 --startMP 204:473 --initTime 2016-09-11T16:13:29 --startdatetime 2016-09-11T16:16:04 --delay 1 --endMP 204:233343 --enddatetime 2016-09-11T16:52:03 --enforcementcount 1 &gt;&gt;C:\Users\stu\Documents\GitHub\eaglep3-reporting\EC\2016-09-11-refined-times.txt</v>
      </c>
      <c r="AI113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{"issue":{"subject":"","project_id":79,"tracker_id":40,"status_id":1,"priority_id":2,"assigned_to_id":23,"start_date":"2016-09-11","description":"","custom_fields":[{"id":1,"name":"Subdivision","value":"EC"},{"id":4,"name":"Milepost","value":"23.287"},{"id":17,"name":"Train ID","value":"201-11"},{"id":16,"name":"Locomotive ID","value":"4020"},{"id":130,"name":"Impact","value":""},{"id":150,"name":"Time of Event (Mountain Time)","value":"16:52:03"},{"id":151,"name":"Denver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x14ac:dyDescent="0.25">
      <c r="A114" s="39" t="s">
        <v>603</v>
      </c>
      <c r="B114" s="7">
        <v>4019</v>
      </c>
      <c r="C114" s="24" t="s">
        <v>108</v>
      </c>
      <c r="D114" s="24" t="s">
        <v>604</v>
      </c>
      <c r="E114" s="15">
        <v>42624.714085648149</v>
      </c>
      <c r="F114" s="15">
        <v>42624.716331018521</v>
      </c>
      <c r="G114" s="7">
        <v>1</v>
      </c>
      <c r="H114" s="15" t="s">
        <v>228</v>
      </c>
      <c r="I114" s="15">
        <v>42624.742129629631</v>
      </c>
      <c r="J114" s="7">
        <v>1</v>
      </c>
      <c r="K114" s="121" t="str">
        <f t="shared" si="79"/>
        <v>4019/4020</v>
      </c>
      <c r="L114" s="24" t="str">
        <f>VLOOKUP(A114,'Trips&amp;Operators'!$C$1:$E$10000,3,FALSE)</f>
        <v>STEWART</v>
      </c>
      <c r="M114" s="6">
        <f t="shared" si="86"/>
        <v>2.5798611110076308E-2</v>
      </c>
      <c r="N114" s="7">
        <f t="shared" si="98"/>
        <v>37.149999998509884</v>
      </c>
      <c r="O114" s="7"/>
      <c r="P114" s="7"/>
      <c r="Q114" s="25"/>
      <c r="R114" s="25"/>
      <c r="S114" s="37">
        <f t="shared" si="88"/>
        <v>1</v>
      </c>
      <c r="T114" s="52" t="str">
        <f t="shared" si="80"/>
        <v>Southbound</v>
      </c>
      <c r="U114" s="163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16:08:17-0600',mode:absolute,to:'2016-09-11 18:48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14" s="54" t="str">
        <f t="shared" si="90"/>
        <v>N</v>
      </c>
      <c r="X114" s="168">
        <f t="shared" si="102"/>
        <v>1</v>
      </c>
      <c r="Y114" s="69">
        <f t="shared" si="103"/>
        <v>23.302299999999999</v>
      </c>
      <c r="Z114" s="69">
        <f t="shared" si="92"/>
        <v>1.49E-2</v>
      </c>
      <c r="AA114" s="69">
        <f t="shared" si="93"/>
        <v>23.287399999999998</v>
      </c>
      <c r="AB114" s="66" t="e">
        <f>VLOOKUP(A114,Enforcements!$C$7:$K$21,8,0)</f>
        <v>#N/A</v>
      </c>
      <c r="AC114" s="62" t="e">
        <f>VLOOKUP(A114,Enforcements!$C$7:$E$21,3,0)</f>
        <v>#N/A</v>
      </c>
      <c r="AD114" s="63" t="str">
        <f t="shared" si="81"/>
        <v>0202-11</v>
      </c>
      <c r="AE114" s="99" t="str">
        <f t="shared" si="94"/>
        <v>aws s3 cp s3://rtdc.mdm.uploadarchive/RTDC4019/2016-09-11/ "%USERPROFILE%\AppData\Local\Temp\OnboardLogs"\RTDC4019\2016-09-11 --recursive &amp; "%USERPROFILE%\Documents\GitHub\mrs-test-scripts\Headless Mode &amp; Sideloading\WalkAndUnGZ.bat" "%USERPROFILE%\AppData\Local\Temp\OnboardLogs"\RTDC4019\2016-09-11 &amp; 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</v>
      </c>
      <c r="AF114" s="96" t="str">
        <f t="shared" si="95"/>
        <v>"C:\Program Files (x86)\AstroGrep\AstroGrep.exe" /spath="%USERPROFILE%\AppData\Local\Temp\OnboardLogs" /stypes="*4019*20160911*" /stext=" 23:.+((SYSTEM_STATE.+slice.+state.+changed )|(ment ac)|(system.+state.+changed )|(\|lc)|(penalty)|(\[timeout)|(PRM\|1\|D)|(kpr)|(kdp))" /e /r /s</v>
      </c>
      <c r="AG114" s="1" t="str">
        <f t="shared" si="82"/>
        <v>EC</v>
      </c>
      <c r="AH114" s="100" t="str">
        <f t="shared" si="63"/>
        <v>"%USERPROFILE%\Documents\GitHub\eaglep3\Utilities\RefineRTDCRunTimes.py" --tripid 202-11 --locoid 4019 --swversion DE.1.0.7.0 --startMP 204:233023 --initTime 2016-09-11T17:08:17 --startdatetime 2016-09-11T17:11:31 --delay 1 --endMP 204:149 --enddatetime 2016-09-11T17:48:40 --enforcementcount 1 &gt;&gt;C:\Users\stu\Documents\GitHub\eaglep3-reporting\EC\2016-09-11-refined-times.txt</v>
      </c>
      <c r="AI114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{"issue":{"subject":"","project_id":79,"tracker_id":40,"status_id":1,"priority_id":2,"assigned_to_id":23,"start_date":"2016-09-11","description":"","custom_fields":[{"id":1,"name":"Subdivision","value":"EC"},{"id":4,"name":"Milepost","value":"23.2874"},{"id":17,"name":"Train ID","value":"202-11"},{"id":16,"name":"Locomotive ID","value":"4019"},{"id":130,"name":"Impact","value":""},{"id":150,"name":"Time of Event (Mountain Time)","value":"17:48:40"},{"id":151,"name":"Denver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605</v>
      </c>
      <c r="B115" s="7">
        <v>4018</v>
      </c>
      <c r="C115" s="24" t="s">
        <v>108</v>
      </c>
      <c r="D115" s="24" t="s">
        <v>239</v>
      </c>
      <c r="E115" s="15">
        <v>42624.682986111111</v>
      </c>
      <c r="F115" s="15">
        <v>42624.687916666669</v>
      </c>
      <c r="G115" s="7">
        <v>1</v>
      </c>
      <c r="H115" s="15" t="s">
        <v>606</v>
      </c>
      <c r="I115" s="15">
        <v>42624.713171296295</v>
      </c>
      <c r="J115" s="7">
        <v>1</v>
      </c>
      <c r="K115" s="121" t="str">
        <f t="shared" si="79"/>
        <v>4017/4018</v>
      </c>
      <c r="L115" s="24" t="str">
        <f>VLOOKUP(A115,'Trips&amp;Operators'!$C$1:$E$10000,3,FALSE)</f>
        <v>BARTLETT</v>
      </c>
      <c r="M115" s="6">
        <f t="shared" si="86"/>
        <v>2.5254629625123926E-2</v>
      </c>
      <c r="N115" s="7">
        <f t="shared" si="98"/>
        <v>36.366666660178453</v>
      </c>
      <c r="O115" s="7"/>
      <c r="P115" s="7"/>
      <c r="Q115" s="25"/>
      <c r="R115" s="25"/>
      <c r="S115" s="37">
        <f t="shared" si="88"/>
        <v>1</v>
      </c>
      <c r="T115" s="52" t="str">
        <f t="shared" si="80"/>
        <v>NorthBound</v>
      </c>
      <c r="U115" s="163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15:23:30-0600',mode:absolute,to:'2016-09-11 18:06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15" s="54" t="str">
        <f t="shared" si="90"/>
        <v>N</v>
      </c>
      <c r="X115" s="168">
        <f t="shared" si="102"/>
        <v>1</v>
      </c>
      <c r="Y115" s="69">
        <f t="shared" si="91"/>
        <v>4.53E-2</v>
      </c>
      <c r="Z115" s="69">
        <f t="shared" si="92"/>
        <v>23.3338</v>
      </c>
      <c r="AA115" s="69">
        <f t="shared" si="93"/>
        <v>23.288499999999999</v>
      </c>
      <c r="AB115" s="66" t="e">
        <f>VLOOKUP(A115,Enforcements!$C$7:$K$21,8,0)</f>
        <v>#N/A</v>
      </c>
      <c r="AC115" s="62" t="e">
        <f>VLOOKUP(A115,Enforcements!$C$7:$E$21,3,0)</f>
        <v>#N/A</v>
      </c>
      <c r="AD115" s="63" t="str">
        <f t="shared" si="81"/>
        <v>0203-11</v>
      </c>
      <c r="AE115" s="99" t="str">
        <f t="shared" si="94"/>
        <v>aws s3 cp s3://rtdc.mdm.uploadarchive/RTDC4018/2016-09-11/ "%USERPROFILE%\AppData\Local\Temp\OnboardLogs"\RTDC4018\2016-09-11 --recursive &amp; "%USERPROFILE%\Documents\GitHub\mrs-test-scripts\Headless Mode &amp; Sideloading\WalkAndUnGZ.bat" "%USERPROFILE%\AppData\Local\Temp\OnboardLogs"\RTDC4018\2016-09-11 &amp; aws s3 cp s3://rtdc.mdm.uploadarchive/RTDC4018/2016-09-12/ "%USERPROFILE%\AppData\Local\Temp\OnboardLogs"\RTDC4018\2016-09-12 --recursive &amp; "%USERPROFILE%\Documents\GitHub\mrs-test-scripts\Headless Mode &amp; Sideloading\WalkAndUnGZ.bat" "%USERPROFILE%\AppData\Local\Temp\OnboardLogs"\RTDC4018\2016-09-12</v>
      </c>
      <c r="AF115" s="96" t="str">
        <f t="shared" si="95"/>
        <v>"C:\Program Files (x86)\AstroGrep\AstroGrep.exe" /spath="%USERPROFILE%\AppData\Local\Temp\OnboardLogs" /stypes="*4018*20160911*" /stext=" 23:.+((SYSTEM_STATE.+slice.+state.+changed )|(ment ac)|(system.+state.+changed )|(\|lc)|(penalty)|(\[timeout)|(PRM\|1\|D)|(kpr)|(kdp))" /e /r /s</v>
      </c>
      <c r="AG115" s="1" t="str">
        <f t="shared" si="82"/>
        <v>EC</v>
      </c>
      <c r="AH115" s="100" t="str">
        <f t="shared" si="63"/>
        <v>"%USERPROFILE%\Documents\GitHub\eaglep3\Utilities\RefineRTDCRunTimes.py" --tripid 203-11 --locoid 4018 --swversion DE.1.0.7.0 --startMP 204:453 --initTime 2016-09-11T16:23:30 --startdatetime 2016-09-11T16:30:36 --delay 1 --endMP 204:233338 --enddatetime 2016-09-11T17:06:58 --enforcementcount 1 &gt;&gt;C:\Users\stu\Documents\GitHub\eaglep3-reporting\EC\2016-09-11-refined-times.txt</v>
      </c>
      <c r="AI115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{"issue":{"subject":"","project_id":79,"tracker_id":40,"status_id":1,"priority_id":2,"assigned_to_id":23,"start_date":"2016-09-11","description":"","custom_fields":[{"id":1,"name":"Subdivision","value":"EC"},{"id":4,"name":"Milepost","value":"23.2885"},{"id":17,"name":"Train ID","value":"203-11"},{"id":16,"name":"Locomotive ID","value":"4018"},{"id":130,"name":"Impact","value":""},{"id":150,"name":"Time of Event (Mountain Time)","value":"17:06:58"},{"id":151,"name":"Denver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607</v>
      </c>
      <c r="B116" s="7">
        <v>4017</v>
      </c>
      <c r="C116" s="24" t="s">
        <v>108</v>
      </c>
      <c r="D116" s="24" t="s">
        <v>608</v>
      </c>
      <c r="E116" s="15">
        <v>42624.715138888889</v>
      </c>
      <c r="F116" s="15">
        <v>42624.726689814815</v>
      </c>
      <c r="G116" s="7">
        <v>1</v>
      </c>
      <c r="H116" s="15" t="s">
        <v>609</v>
      </c>
      <c r="I116" s="15">
        <v>42624.753587962965</v>
      </c>
      <c r="J116" s="7">
        <v>1</v>
      </c>
      <c r="K116" s="121" t="str">
        <f t="shared" si="79"/>
        <v>4017/4018</v>
      </c>
      <c r="L116" s="24" t="str">
        <f>VLOOKUP(A116,'Trips&amp;Operators'!$C$1:$E$10000,3,FALSE)</f>
        <v>BARTLETT</v>
      </c>
      <c r="M116" s="6">
        <f t="shared" si="86"/>
        <v>2.6898148149484769E-2</v>
      </c>
      <c r="N116" s="7">
        <f t="shared" si="98"/>
        <v>38.733333335258067</v>
      </c>
      <c r="O116" s="7"/>
      <c r="P116" s="7"/>
      <c r="Q116" s="25"/>
      <c r="R116" s="25"/>
      <c r="S116" s="37">
        <f t="shared" si="88"/>
        <v>1</v>
      </c>
      <c r="T116" s="52" t="str">
        <f t="shared" si="80"/>
        <v>Southbound</v>
      </c>
      <c r="U116" s="163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16:09:48-0600',mode:absolute,to:'2016-09-11 19:05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16" s="54" t="str">
        <f t="shared" si="90"/>
        <v>N</v>
      </c>
      <c r="X116" s="168">
        <f t="shared" si="102"/>
        <v>1</v>
      </c>
      <c r="Y116" s="69">
        <f t="shared" si="91"/>
        <v>23.302499999999998</v>
      </c>
      <c r="Z116" s="69">
        <f t="shared" si="92"/>
        <v>1.7999999999999999E-2</v>
      </c>
      <c r="AA116" s="69">
        <f t="shared" si="93"/>
        <v>23.284499999999998</v>
      </c>
      <c r="AB116" s="66" t="e">
        <f>VLOOKUP(A116,Enforcements!$C$7:$K$21,8,0)</f>
        <v>#N/A</v>
      </c>
      <c r="AC116" s="62" t="e">
        <f>VLOOKUP(A116,Enforcements!$C$7:$E$21,3,0)</f>
        <v>#N/A</v>
      </c>
      <c r="AD116" s="63" t="str">
        <f t="shared" si="81"/>
        <v>0204-11</v>
      </c>
      <c r="AE116" s="99" t="str">
        <f t="shared" si="94"/>
        <v>aws s3 cp s3://rtdc.mdm.uploadarchive/RTDC4017/2016-09-11/ "%USERPROFILE%\AppData\Local\Temp\OnboardLogs"\RTDC4017\2016-09-11 --recursive &amp; "%USERPROFILE%\Documents\GitHub\mrs-test-scripts\Headless Mode &amp; Sideloading\WalkAndUnGZ.bat" "%USERPROFILE%\AppData\Local\Temp\OnboardLogs"\RTDC4017\2016-09-11 &amp; aws s3 cp s3://rtdc.mdm.uploadarchive/RTDC4017/2016-09-12/ "%USERPROFILE%\AppData\Local\Temp\OnboardLogs"\RTDC4017\2016-09-12 --recursive &amp; "%USERPROFILE%\Documents\GitHub\mrs-test-scripts\Headless Mode &amp; Sideloading\WalkAndUnGZ.bat" "%USERPROFILE%\AppData\Local\Temp\OnboardLogs"\RTDC4017\2016-09-12</v>
      </c>
      <c r="AF116" s="96" t="str">
        <f t="shared" si="95"/>
        <v>"C:\Program Files (x86)\AstroGrep\AstroGrep.exe" /spath="%USERPROFILE%\AppData\Local\Temp\OnboardLogs" /stypes="*4017*20160912*" /stext=" 00:.+((SYSTEM_STATE.+slice.+state.+changed )|(ment ac)|(system.+state.+changed )|(\|lc)|(penalty)|(\[timeout)|(PRM\|1\|D)|(kpr)|(kdp))" /e /r /s</v>
      </c>
      <c r="AG116" s="1" t="str">
        <f t="shared" si="82"/>
        <v>EC</v>
      </c>
      <c r="AH116" s="100" t="str">
        <f t="shared" si="63"/>
        <v>"%USERPROFILE%\Documents\GitHub\eaglep3\Utilities\RefineRTDCRunTimes.py" --tripid 204-11 --locoid 4017 --swversion DE.1.0.7.0 --startMP 204:233025 --initTime 2016-09-11T17:09:48 --startdatetime 2016-09-11T17:26:26 --delay 1 --endMP 204:180 --enddatetime 2016-09-11T18:05:10 --enforcementcount 1 &gt;&gt;C:\Users\stu\Documents\GitHub\eaglep3-reporting\EC\2016-09-11-refined-times.txt</v>
      </c>
      <c r="AI116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{"issue":{"subject":"","project_id":79,"tracker_id":40,"status_id":1,"priority_id":2,"assigned_to_id":23,"start_date":"2016-09-11","description":"","custom_fields":[{"id":1,"name":"Subdivision","value":"EC"},{"id":4,"name":"Milepost","value":"23.2845"},{"id":17,"name":"Train ID","value":"204-11"},{"id":16,"name":"Locomotive ID","value":"4017"},{"id":130,"name":"Impact","value":""},{"id":150,"name":"Time of Event (Mountain Time)","value":"18:05:10"},{"id":151,"name":"Denver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716</v>
      </c>
      <c r="B117" s="7"/>
      <c r="C117" s="24"/>
      <c r="D117" s="24"/>
      <c r="E117" s="15"/>
      <c r="F117" s="15"/>
      <c r="G117" s="7"/>
      <c r="H117" s="15"/>
      <c r="I117" s="15"/>
      <c r="J117" s="7"/>
      <c r="K117" s="121"/>
      <c r="L117" s="24"/>
      <c r="M117" s="6"/>
      <c r="N117" s="7"/>
      <c r="O117" s="7"/>
      <c r="P117" s="7">
        <v>1</v>
      </c>
      <c r="Q117" s="25"/>
      <c r="R117" s="25" t="s">
        <v>711</v>
      </c>
      <c r="S117" s="37">
        <f t="shared" si="88"/>
        <v>0</v>
      </c>
      <c r="T117" s="52" t="str">
        <f t="shared" si="80"/>
        <v>NorthBound</v>
      </c>
      <c r="U117" s="163"/>
      <c r="V117" s="106"/>
      <c r="W117" s="54"/>
      <c r="X117" s="168">
        <f t="shared" si="102"/>
        <v>1</v>
      </c>
      <c r="Y117" s="69"/>
      <c r="Z117" s="69"/>
      <c r="AA117" s="69"/>
      <c r="AB117" s="66"/>
      <c r="AC117" s="62"/>
      <c r="AD117" s="63" t="str">
        <f t="shared" si="81"/>
        <v>0205-11</v>
      </c>
      <c r="AE117" s="99"/>
      <c r="AF117" s="96"/>
      <c r="AG117" s="1" t="str">
        <f t="shared" si="82"/>
        <v>EC</v>
      </c>
      <c r="AH117" s="100"/>
      <c r="AI117" s="134"/>
      <c r="AJ117" s="55"/>
      <c r="AK117" s="55"/>
      <c r="AL117" s="55"/>
    </row>
    <row r="118" spans="1:38" x14ac:dyDescent="0.25">
      <c r="A118" s="39" t="s">
        <v>610</v>
      </c>
      <c r="B118" s="7">
        <v>4039</v>
      </c>
      <c r="C118" s="24" t="s">
        <v>108</v>
      </c>
      <c r="D118" s="24" t="s">
        <v>231</v>
      </c>
      <c r="E118" s="15">
        <v>42624.732025462959</v>
      </c>
      <c r="F118" s="15">
        <v>42624.737037037034</v>
      </c>
      <c r="G118" s="7">
        <v>1</v>
      </c>
      <c r="H118" s="15" t="s">
        <v>241</v>
      </c>
      <c r="I118" s="15">
        <v>42624.764768518522</v>
      </c>
      <c r="J118" s="7">
        <v>1</v>
      </c>
      <c r="K118" s="121" t="str">
        <f t="shared" si="79"/>
        <v>4039/4040</v>
      </c>
      <c r="L118" s="24" t="str">
        <f>VLOOKUP(A118,'Trips&amp;Operators'!$C$1:$E$10000,3,FALSE)</f>
        <v>BRUDER</v>
      </c>
      <c r="M118" s="6">
        <f t="shared" si="86"/>
        <v>2.7731481488444842E-2</v>
      </c>
      <c r="N118" s="7">
        <f t="shared" si="98"/>
        <v>39.933333343360573</v>
      </c>
      <c r="O118" s="7"/>
      <c r="P118" s="7"/>
      <c r="Q118" s="25"/>
      <c r="R118" s="25"/>
      <c r="S118" s="37">
        <f t="shared" si="88"/>
        <v>1</v>
      </c>
      <c r="T118" s="52" t="str">
        <f t="shared" si="80"/>
        <v>Southbound</v>
      </c>
      <c r="U118" s="163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16:34:07-0600',mode:absolute,to:'2016-09-11 19:21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18" s="54" t="str">
        <f t="shared" si="90"/>
        <v>N</v>
      </c>
      <c r="X118" s="168">
        <f t="shared" si="102"/>
        <v>1</v>
      </c>
      <c r="Y118" s="69">
        <f t="shared" si="91"/>
        <v>23.298200000000001</v>
      </c>
      <c r="Z118" s="69">
        <f t="shared" si="92"/>
        <v>1.4999999999999999E-2</v>
      </c>
      <c r="AA118" s="69">
        <f t="shared" si="93"/>
        <v>23.283200000000001</v>
      </c>
      <c r="AB118" s="66" t="e">
        <f>VLOOKUP(A118,Enforcements!$C$7:$K$21,8,0)</f>
        <v>#N/A</v>
      </c>
      <c r="AC118" s="62" t="e">
        <f>VLOOKUP(A118,Enforcements!$C$7:$E$21,3,0)</f>
        <v>#N/A</v>
      </c>
      <c r="AD118" s="63" t="str">
        <f t="shared" si="81"/>
        <v>0206-11</v>
      </c>
      <c r="AE118" s="99" t="str">
        <f t="shared" si="94"/>
        <v>aws s3 cp s3://rtdc.mdm.uploadarchive/RTDC4039/2016-09-11/ "%USERPROFILE%\AppData\Local\Temp\OnboardLogs"\RTDC4039\2016-09-11 --recursive &amp; "%USERPROFILE%\Documents\GitHub\mrs-test-scripts\Headless Mode &amp; Sideloading\WalkAndUnGZ.bat" "%USERPROFILE%\AppData\Local\Temp\OnboardLogs"\RTDC4039\2016-09-11 &amp; aws s3 cp s3://rtdc.mdm.uploadarchive/RTDC4039/2016-09-12/ "%USERPROFILE%\AppData\Local\Temp\OnboardLogs"\RTDC4039\2016-09-12 --recursive &amp; "%USERPROFILE%\Documents\GitHub\mrs-test-scripts\Headless Mode &amp; Sideloading\WalkAndUnGZ.bat" "%USERPROFILE%\AppData\Local\Temp\OnboardLogs"\RTDC4039\2016-09-12</v>
      </c>
      <c r="AF118" s="96" t="str">
        <f t="shared" si="95"/>
        <v>"C:\Program Files (x86)\AstroGrep\AstroGrep.exe" /spath="%USERPROFILE%\AppData\Local\Temp\OnboardLogs" /stypes="*4039*20160912*" /stext=" 00:.+((SYSTEM_STATE.+slice.+state.+changed )|(ment ac)|(system.+state.+changed )|(\|lc)|(penalty)|(\[timeout)|(PRM\|1\|D)|(kpr)|(kdp))" /e /r /s</v>
      </c>
      <c r="AG118" s="1" t="str">
        <f t="shared" si="82"/>
        <v>EC</v>
      </c>
      <c r="AH118" s="100" t="str">
        <f t="shared" si="63"/>
        <v>"%USERPROFILE%\Documents\GitHub\eaglep3\Utilities\RefineRTDCRunTimes.py" --tripid 206-11 --locoid 4039 --swversion DE.1.0.7.0 --startMP 204:232982 --initTime 2016-09-11T17:34:07 --startdatetime 2016-09-11T17:41:20 --delay 1 --endMP 204:150 --enddatetime 2016-09-11T18:21:16 --enforcementcount 1 &gt;&gt;C:\Users\stu\Documents\GitHub\eaglep3-reporting\EC\2016-09-11-refined-times.txt</v>
      </c>
      <c r="AI118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{"issue":{"subject":"","project_id":79,"tracker_id":40,"status_id":1,"priority_id":2,"assigned_to_id":23,"start_date":"2016-09-11","description":"","custom_fields":[{"id":1,"name":"Subdivision","value":"EC"},{"id":4,"name":"Milepost","value":"23.2832"},{"id":17,"name":"Train ID","value":"206-11"},{"id":16,"name":"Locomotive ID","value":"4039"},{"id":130,"name":"Impact","value":""},{"id":150,"name":"Time of Event (Mountain Time)","value":"18:21:16"},{"id":151,"name":"Denver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714</v>
      </c>
      <c r="B119" s="7"/>
      <c r="C119" s="24"/>
      <c r="D119" s="24"/>
      <c r="E119" s="15"/>
      <c r="F119" s="15"/>
      <c r="G119" s="7"/>
      <c r="H119" s="15"/>
      <c r="I119" s="15"/>
      <c r="J119" s="7"/>
      <c r="K119" s="121"/>
      <c r="L119" s="24"/>
      <c r="M119" s="6"/>
      <c r="N119" s="7"/>
      <c r="O119" s="7"/>
      <c r="P119" s="7">
        <v>1</v>
      </c>
      <c r="Q119" s="25"/>
      <c r="R119" s="25" t="s">
        <v>711</v>
      </c>
      <c r="S119" s="37">
        <f t="shared" ref="S119" si="104">SUM(U119:U119)/IF(AG119="EC",12,1)</f>
        <v>0</v>
      </c>
      <c r="T119" s="52" t="str">
        <f t="shared" si="80"/>
        <v>NorthBound</v>
      </c>
      <c r="U119" s="163"/>
      <c r="V119" s="106"/>
      <c r="W119" s="54"/>
      <c r="X119" s="168">
        <f t="shared" si="102"/>
        <v>1</v>
      </c>
      <c r="Y119" s="69"/>
      <c r="Z119" s="69"/>
      <c r="AA119" s="69"/>
      <c r="AB119" s="66"/>
      <c r="AC119" s="62"/>
      <c r="AD119" s="63" t="str">
        <f t="shared" si="81"/>
        <v>0207-11</v>
      </c>
      <c r="AE119" s="99"/>
      <c r="AF119" s="96"/>
      <c r="AG119" s="1" t="str">
        <f t="shared" si="82"/>
        <v>EC</v>
      </c>
      <c r="AH119" s="100"/>
      <c r="AI119" s="134"/>
      <c r="AJ119" s="55"/>
      <c r="AK119" s="55"/>
      <c r="AL119" s="55"/>
    </row>
    <row r="120" spans="1:38" s="23" customFormat="1" x14ac:dyDescent="0.25">
      <c r="A120" s="39" t="s">
        <v>611</v>
      </c>
      <c r="B120" s="7">
        <v>4010</v>
      </c>
      <c r="C120" s="24" t="s">
        <v>108</v>
      </c>
      <c r="D120" s="24" t="s">
        <v>278</v>
      </c>
      <c r="E120" s="15">
        <v>42624.743946759256</v>
      </c>
      <c r="F120" s="15">
        <v>42624.747453703705</v>
      </c>
      <c r="G120" s="7">
        <v>1</v>
      </c>
      <c r="H120" s="15" t="s">
        <v>248</v>
      </c>
      <c r="I120" s="15">
        <v>42624.777314814812</v>
      </c>
      <c r="J120" s="7">
        <v>1</v>
      </c>
      <c r="K120" s="121" t="str">
        <f t="shared" si="79"/>
        <v>4009/4010</v>
      </c>
      <c r="L120" s="24" t="str">
        <f>VLOOKUP(A120,'Trips&amp;Operators'!$C$1:$E$10000,3,FALSE)</f>
        <v>MOSES</v>
      </c>
      <c r="M120" s="6">
        <f t="shared" si="86"/>
        <v>2.9861111106583849E-2</v>
      </c>
      <c r="N120" s="7">
        <f t="shared" si="98"/>
        <v>42.999999993480742</v>
      </c>
      <c r="O120" s="7"/>
      <c r="P120" s="7"/>
      <c r="Q120" s="25"/>
      <c r="R120" s="25"/>
      <c r="S120" s="37">
        <f t="shared" si="88"/>
        <v>1</v>
      </c>
      <c r="T120" s="52" t="str">
        <f t="shared" si="80"/>
        <v>Southbound</v>
      </c>
      <c r="U120" s="163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16:51:17-0600',mode:absolute,to:'2016-09-11 19:39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20" s="54" t="str">
        <f t="shared" si="90"/>
        <v>N</v>
      </c>
      <c r="X120" s="168">
        <f t="shared" si="102"/>
        <v>1</v>
      </c>
      <c r="Y120" s="69">
        <f t="shared" si="91"/>
        <v>23.299299999999999</v>
      </c>
      <c r="Z120" s="69">
        <f t="shared" si="92"/>
        <v>1.4500000000000001E-2</v>
      </c>
      <c r="AA120" s="69">
        <f t="shared" si="93"/>
        <v>23.284799999999997</v>
      </c>
      <c r="AB120" s="66" t="e">
        <f>VLOOKUP(A120,Enforcements!$C$7:$K$21,8,0)</f>
        <v>#N/A</v>
      </c>
      <c r="AC120" s="62" t="e">
        <f>VLOOKUP(A120,Enforcements!$C$7:$E$21,3,0)</f>
        <v>#N/A</v>
      </c>
      <c r="AD120" s="63" t="str">
        <f t="shared" si="81"/>
        <v>0208-11</v>
      </c>
      <c r="AE120" s="99" t="str">
        <f t="shared" si="94"/>
        <v>aws s3 cp s3://rtdc.mdm.uploadarchive/RTDC4010/2016-09-11/ "%USERPROFILE%\AppData\Local\Temp\OnboardLogs"\RTDC4010\2016-09-11 --recursive &amp; "%USERPROFILE%\Documents\GitHub\mrs-test-scripts\Headless Mode &amp; Sideloading\WalkAndUnGZ.bat" "%USERPROFILE%\AppData\Local\Temp\OnboardLogs"\RTDC4010\2016-09-11 &amp; 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</v>
      </c>
      <c r="AF120" s="96" t="str">
        <f t="shared" si="95"/>
        <v>"C:\Program Files (x86)\AstroGrep\AstroGrep.exe" /spath="%USERPROFILE%\AppData\Local\Temp\OnboardLogs" /stypes="*4010*20160912*" /stext=" 00:.+((SYSTEM_STATE.+slice.+state.+changed )|(ment ac)|(system.+state.+changed )|(\|lc)|(penalty)|(\[timeout)|(PRM\|1\|D)|(kpr)|(kdp))" /e /r /s</v>
      </c>
      <c r="AG120" s="1" t="str">
        <f t="shared" si="82"/>
        <v>EC</v>
      </c>
      <c r="AH120" s="100" t="str">
        <f t="shared" si="63"/>
        <v>"%USERPROFILE%\Documents\GitHub\eaglep3\Utilities\RefineRTDCRunTimes.py" --tripid 208-11 --locoid 4010 --swversion DE.1.0.7.0 --startMP 204:232993 --initTime 2016-09-11T17:51:17 --startdatetime 2016-09-11T17:56:20 --delay 1 --endMP 204:145 --enddatetime 2016-09-11T18:39:20 --enforcementcount 1 &gt;&gt;C:\Users\stu\Documents\GitHub\eaglep3-reporting\EC\2016-09-11-refined-times.txt</v>
      </c>
      <c r="AI120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{"issue":{"subject":"","project_id":79,"tracker_id":40,"status_id":1,"priority_id":2,"assigned_to_id":23,"start_date":"2016-09-11","description":"","custom_fields":[{"id":1,"name":"Subdivision","value":"EC"},{"id":4,"name":"Milepost","value":"23.2848"},{"id":17,"name":"Train ID","value":"208-11"},{"id":16,"name":"Locomotive ID","value":"4010"},{"id":130,"name":"Impact","value":""},{"id":150,"name":"Time of Event (Mountain Time)","value":"18:39:20"},{"id":151,"name":"Denver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s="23" customFormat="1" x14ac:dyDescent="0.25">
      <c r="A121" s="39" t="s">
        <v>715</v>
      </c>
      <c r="B121" s="7"/>
      <c r="C121" s="24"/>
      <c r="D121" s="24"/>
      <c r="E121" s="15"/>
      <c r="F121" s="15"/>
      <c r="G121" s="7"/>
      <c r="H121" s="15"/>
      <c r="I121" s="15"/>
      <c r="J121" s="7"/>
      <c r="K121" s="121"/>
      <c r="L121" s="24"/>
      <c r="M121" s="6"/>
      <c r="N121" s="7"/>
      <c r="O121" s="7"/>
      <c r="P121" s="7">
        <v>1</v>
      </c>
      <c r="Q121" s="25"/>
      <c r="R121" s="25" t="s">
        <v>711</v>
      </c>
      <c r="S121" s="37">
        <f t="shared" ref="S121" si="105">SUM(U121:U121)/IF(AG121="EC",12,1)</f>
        <v>0</v>
      </c>
      <c r="T121" s="52" t="str">
        <f t="shared" si="80"/>
        <v>NorthBound</v>
      </c>
      <c r="U121" s="163"/>
      <c r="V121" s="106"/>
      <c r="W121" s="54"/>
      <c r="X121" s="168">
        <f t="shared" si="102"/>
        <v>1</v>
      </c>
      <c r="Y121" s="69"/>
      <c r="Z121" s="69"/>
      <c r="AA121" s="69"/>
      <c r="AB121" s="66"/>
      <c r="AC121" s="62"/>
      <c r="AD121" s="63" t="str">
        <f t="shared" si="81"/>
        <v>0209-11</v>
      </c>
      <c r="AE121" s="99"/>
      <c r="AF121" s="96"/>
      <c r="AG121" s="1" t="str">
        <f t="shared" si="82"/>
        <v>EC</v>
      </c>
      <c r="AH121" s="100"/>
      <c r="AI121" s="134"/>
      <c r="AJ121" s="55"/>
      <c r="AK121" s="55"/>
      <c r="AL121" s="55"/>
    </row>
    <row r="122" spans="1:38" x14ac:dyDescent="0.25">
      <c r="A122" s="39" t="s">
        <v>612</v>
      </c>
      <c r="B122" s="7">
        <v>4041</v>
      </c>
      <c r="C122" s="24" t="s">
        <v>108</v>
      </c>
      <c r="D122" s="24" t="s">
        <v>313</v>
      </c>
      <c r="E122" s="15">
        <v>42624.750393518516</v>
      </c>
      <c r="F122" s="15">
        <v>42624.757997685185</v>
      </c>
      <c r="G122" s="7">
        <v>1</v>
      </c>
      <c r="H122" s="15" t="s">
        <v>241</v>
      </c>
      <c r="I122" s="15">
        <v>42624.784571759257</v>
      </c>
      <c r="J122" s="7">
        <v>1</v>
      </c>
      <c r="K122" s="121" t="str">
        <f t="shared" si="79"/>
        <v>4041/4042</v>
      </c>
      <c r="L122" s="24" t="str">
        <f>VLOOKUP(A122,'Trips&amp;Operators'!$C$1:$E$10000,3,FALSE)</f>
        <v>LEVERE</v>
      </c>
      <c r="M122" s="6">
        <f t="shared" si="86"/>
        <v>2.6574074072414078E-2</v>
      </c>
      <c r="N122" s="7">
        <f t="shared" si="98"/>
        <v>38.266666664276272</v>
      </c>
      <c r="O122" s="7"/>
      <c r="P122" s="7"/>
      <c r="Q122" s="25"/>
      <c r="R122" s="25"/>
      <c r="S122" s="37">
        <f t="shared" si="88"/>
        <v>1</v>
      </c>
      <c r="T122" s="52" t="str">
        <f t="shared" si="80"/>
        <v>Southbound</v>
      </c>
      <c r="U122" s="163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17:00:34-0600',mode:absolute,to:'2016-09-11 19:49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22" s="54" t="str">
        <f t="shared" si="90"/>
        <v>N</v>
      </c>
      <c r="X122" s="168">
        <f t="shared" si="102"/>
        <v>1</v>
      </c>
      <c r="Y122" s="69">
        <f t="shared" si="91"/>
        <v>23.2988</v>
      </c>
      <c r="Z122" s="69">
        <f t="shared" si="92"/>
        <v>1.4999999999999999E-2</v>
      </c>
      <c r="AA122" s="69">
        <f t="shared" si="93"/>
        <v>23.283799999999999</v>
      </c>
      <c r="AB122" s="66" t="e">
        <f>VLOOKUP(A122,Enforcements!$C$7:$K$21,8,0)</f>
        <v>#N/A</v>
      </c>
      <c r="AC122" s="62" t="e">
        <f>VLOOKUP(A122,Enforcements!$C$7:$E$21,3,0)</f>
        <v>#N/A</v>
      </c>
      <c r="AD122" s="63" t="str">
        <f t="shared" si="81"/>
        <v>0210-11</v>
      </c>
      <c r="AE122" s="99" t="str">
        <f t="shared" si="94"/>
        <v>aws s3 cp s3://rtdc.mdm.uploadarchive/RTDC4041/2016-09-11/ "%USERPROFILE%\AppData\Local\Temp\OnboardLogs"\RTDC4041\2016-09-11 --recursive &amp; "%USERPROFILE%\Documents\GitHub\mrs-test-scripts\Headless Mode &amp; Sideloading\WalkAndUnGZ.bat" "%USERPROFILE%\AppData\Local\Temp\OnboardLogs"\RTDC4041\2016-09-11 &amp; 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</v>
      </c>
      <c r="AF122" s="96" t="str">
        <f t="shared" si="95"/>
        <v>"C:\Program Files (x86)\AstroGrep\AstroGrep.exe" /spath="%USERPROFILE%\AppData\Local\Temp\OnboardLogs" /stypes="*4041*20160912*" /stext=" 00:.+((SYSTEM_STATE.+slice.+state.+changed )|(ment ac)|(system.+state.+changed )|(\|lc)|(penalty)|(\[timeout)|(PRM\|1\|D)|(kpr)|(kdp))" /e /r /s</v>
      </c>
      <c r="AG122" s="1" t="str">
        <f t="shared" si="82"/>
        <v>EC</v>
      </c>
      <c r="AH122" s="100" t="str">
        <f t="shared" si="63"/>
        <v>"%USERPROFILE%\Documents\GitHub\eaglep3\Utilities\RefineRTDCRunTimes.py" --tripid 210-11 --locoid 4041 --swversion DE.1.0.7.0 --startMP 204:232988 --initTime 2016-09-11T18:00:34 --startdatetime 2016-09-11T18:11:31 --delay 1 --endMP 204:150 --enddatetime 2016-09-11T18:49:47 --enforcementcount 1 &gt;&gt;C:\Users\stu\Documents\GitHub\eaglep3-reporting\EC\2016-09-11-refined-times.txt</v>
      </c>
      <c r="AI122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{"issue":{"subject":"","project_id":79,"tracker_id":40,"status_id":1,"priority_id":2,"assigned_to_id":23,"start_date":"2016-09-11","description":"","custom_fields":[{"id":1,"name":"Subdivision","value":"EC"},{"id":4,"name":"Milepost","value":"23.2838"},{"id":17,"name":"Train ID","value":"210-11"},{"id":16,"name":"Locomotive ID","value":"4041"},{"id":130,"name":"Impact","value":""},{"id":150,"name":"Time of Event (Mountain Time)","value":"18:49:47"},{"id":151,"name":"Denver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613</v>
      </c>
      <c r="B123" s="7">
        <v>4025</v>
      </c>
      <c r="C123" s="24" t="s">
        <v>108</v>
      </c>
      <c r="D123" s="24" t="s">
        <v>614</v>
      </c>
      <c r="E123" s="15">
        <v>42624.725671296299</v>
      </c>
      <c r="F123" s="15">
        <v>42624.729363425926</v>
      </c>
      <c r="G123" s="7">
        <v>1</v>
      </c>
      <c r="H123" s="15" t="s">
        <v>282</v>
      </c>
      <c r="I123" s="15">
        <v>42624.757824074077</v>
      </c>
      <c r="J123" s="7">
        <v>1</v>
      </c>
      <c r="K123" s="121" t="str">
        <f t="shared" si="79"/>
        <v>4025/4026</v>
      </c>
      <c r="L123" s="24" t="str">
        <f>VLOOKUP(A123,'Trips&amp;Operators'!$C$1:$E$10000,3,FALSE)</f>
        <v>CLARK</v>
      </c>
      <c r="M123" s="6">
        <f t="shared" si="86"/>
        <v>2.846064815093996E-2</v>
      </c>
      <c r="N123" s="7">
        <f t="shared" si="98"/>
        <v>40.983333337353542</v>
      </c>
      <c r="O123" s="7"/>
      <c r="P123" s="7"/>
      <c r="Q123" s="25"/>
      <c r="R123" s="25"/>
      <c r="S123" s="37">
        <f t="shared" si="88"/>
        <v>1</v>
      </c>
      <c r="T123" s="52" t="str">
        <f t="shared" si="80"/>
        <v>NorthBound</v>
      </c>
      <c r="U123" s="163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16:24:58-0600',mode:absolute,to:'2016-09-11 19:11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23" s="54" t="str">
        <f t="shared" si="90"/>
        <v>N</v>
      </c>
      <c r="X123" s="168">
        <f t="shared" si="102"/>
        <v>1</v>
      </c>
      <c r="Y123" s="69">
        <f t="shared" si="91"/>
        <v>5.0900000000000001E-2</v>
      </c>
      <c r="Z123" s="69">
        <f t="shared" si="92"/>
        <v>23.332100000000001</v>
      </c>
      <c r="AA123" s="69">
        <f t="shared" si="93"/>
        <v>23.281200000000002</v>
      </c>
      <c r="AB123" s="66" t="e">
        <f>VLOOKUP(A123,Enforcements!$C$7:$K$21,8,0)</f>
        <v>#N/A</v>
      </c>
      <c r="AC123" s="62" t="e">
        <f>VLOOKUP(A123,Enforcements!$C$7:$E$21,3,0)</f>
        <v>#N/A</v>
      </c>
      <c r="AD123" s="63" t="str">
        <f t="shared" si="81"/>
        <v>0211-11</v>
      </c>
      <c r="AE123" s="99" t="str">
        <f t="shared" si="94"/>
        <v>aws s3 cp s3://rtdc.mdm.uploadarchive/RTDC4025/2016-09-11/ "%USERPROFILE%\AppData\Local\Temp\OnboardLogs"\RTDC4025\2016-09-11 --recursive &amp; "%USERPROFILE%\Documents\GitHub\mrs-test-scripts\Headless Mode &amp; Sideloading\WalkAndUnGZ.bat" "%USERPROFILE%\AppData\Local\Temp\OnboardLogs"\RTDC4025\2016-09-11 &amp; 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</v>
      </c>
      <c r="AF123" s="96" t="str">
        <f t="shared" si="95"/>
        <v>"C:\Program Files (x86)\AstroGrep\AstroGrep.exe" /spath="%USERPROFILE%\AppData\Local\Temp\OnboardLogs" /stypes="*4025*20160912*" /stext=" 00:.+((SYSTEM_STATE.+slice.+state.+changed )|(ment ac)|(system.+state.+changed )|(\|lc)|(penalty)|(\[timeout)|(PRM\|1\|D)|(kpr)|(kdp))" /e /r /s</v>
      </c>
      <c r="AG123" s="1" t="str">
        <f t="shared" si="82"/>
        <v>EC</v>
      </c>
      <c r="AH123" s="100" t="str">
        <f t="shared" si="63"/>
        <v>"%USERPROFILE%\Documents\GitHub\eaglep3\Utilities\RefineRTDCRunTimes.py" --tripid 211-11 --locoid 4025 --swversion DE.1.0.7.0 --startMP 204:509 --initTime 2016-09-11T17:24:58 --startdatetime 2016-09-11T17:30:17 --delay 1 --endMP 204:233321 --enddatetime 2016-09-11T18:11:16 --enforcementcount 1 &gt;&gt;C:\Users\stu\Documents\GitHub\eaglep3-reporting\EC\2016-09-11-refined-times.txt</v>
      </c>
      <c r="AI123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{"issue":{"subject":"","project_id":79,"tracker_id":40,"status_id":1,"priority_id":2,"assigned_to_id":23,"start_date":"2016-09-11","description":"","custom_fields":[{"id":1,"name":"Subdivision","value":"EC"},{"id":4,"name":"Milepost","value":"23.2812"},{"id":17,"name":"Train ID","value":"211-11"},{"id":16,"name":"Locomotive ID","value":"4025"},{"id":130,"name":"Impact","value":""},{"id":150,"name":"Time of Event (Mountain Time)","value":"18:11:16"},{"id":151,"name":"Denver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x14ac:dyDescent="0.25">
      <c r="A124" s="39" t="s">
        <v>615</v>
      </c>
      <c r="B124" s="7">
        <v>4026</v>
      </c>
      <c r="C124" s="24" t="s">
        <v>108</v>
      </c>
      <c r="D124" s="24" t="s">
        <v>346</v>
      </c>
      <c r="E124" s="15">
        <v>42624.764317129629</v>
      </c>
      <c r="F124" s="15">
        <v>42624.768240740741</v>
      </c>
      <c r="G124" s="7">
        <v>1</v>
      </c>
      <c r="H124" s="15" t="s">
        <v>268</v>
      </c>
      <c r="I124" s="15">
        <v>42624.794745370367</v>
      </c>
      <c r="J124" s="7">
        <v>1</v>
      </c>
      <c r="K124" s="121" t="str">
        <f t="shared" ref="K124:K156" si="106">IF(ISEVEN(B124),(B124-1)&amp;"/"&amp;B124,B124&amp;"/"&amp;(B124+1))</f>
        <v>4025/4026</v>
      </c>
      <c r="L124" s="24" t="str">
        <f>VLOOKUP(A124,'Trips&amp;Operators'!$C$1:$E$10000,3,FALSE)</f>
        <v>ROBINSON</v>
      </c>
      <c r="M124" s="6">
        <f t="shared" si="86"/>
        <v>2.6504629626288079E-2</v>
      </c>
      <c r="N124" s="7">
        <f t="shared" si="98"/>
        <v>38.166666661854833</v>
      </c>
      <c r="O124" s="7"/>
      <c r="P124" s="7"/>
      <c r="Q124" s="25"/>
      <c r="R124" s="25"/>
      <c r="S124" s="37">
        <f t="shared" si="88"/>
        <v>1</v>
      </c>
      <c r="T124" s="52" t="str">
        <f t="shared" ref="T124:T156" si="107">IF(ISEVEN(LEFT(AD124,4)),"Southbound","NorthBound")</f>
        <v>Southbound</v>
      </c>
      <c r="U124" s="163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17:20:37-0600',mode:absolute,to:'2016-09-11 20:04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24" s="54" t="str">
        <f t="shared" si="90"/>
        <v>N</v>
      </c>
      <c r="X124" s="168">
        <f t="shared" si="102"/>
        <v>1</v>
      </c>
      <c r="Y124" s="69">
        <f t="shared" si="91"/>
        <v>23.3002</v>
      </c>
      <c r="Z124" s="69">
        <f t="shared" si="92"/>
        <v>1.3899999999999999E-2</v>
      </c>
      <c r="AA124" s="69">
        <f t="shared" si="93"/>
        <v>23.286300000000001</v>
      </c>
      <c r="AB124" s="66" t="e">
        <f>VLOOKUP(A124,Enforcements!$C$7:$K$21,8,0)</f>
        <v>#N/A</v>
      </c>
      <c r="AC124" s="62" t="e">
        <f>VLOOKUP(A124,Enforcements!$C$7:$E$21,3,0)</f>
        <v>#N/A</v>
      </c>
      <c r="AD124" s="63" t="str">
        <f t="shared" ref="AD124:AD156" si="108">IF(LEN(A124)=6,"0"&amp;A124,A124)</f>
        <v>0212-11</v>
      </c>
      <c r="AE124" s="99" t="str">
        <f t="shared" si="94"/>
        <v>aws s3 cp s3://rtdc.mdm.uploadarchive/RTDC4026/2016-09-11/ "%USERPROFILE%\AppData\Local\Temp\OnboardLogs"\RTDC4026\2016-09-11 --recursive &amp; "%USERPROFILE%\Documents\GitHub\mrs-test-scripts\Headless Mode &amp; Sideloading\WalkAndUnGZ.bat" "%USERPROFILE%\AppData\Local\Temp\OnboardLogs"\RTDC4026\2016-09-11 &amp; 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</v>
      </c>
      <c r="AF124" s="96" t="str">
        <f t="shared" si="95"/>
        <v>"C:\Program Files (x86)\AstroGrep\AstroGrep.exe" /spath="%USERPROFILE%\AppData\Local\Temp\OnboardLogs" /stypes="*4026*20160912*" /stext=" 01:.+((SYSTEM_STATE.+slice.+state.+changed )|(ment ac)|(system.+state.+changed )|(\|lc)|(penalty)|(\[timeout)|(PRM\|1\|D)|(kpr)|(kdp))" /e /r /s</v>
      </c>
      <c r="AG124" s="1" t="str">
        <f t="shared" ref="AG124:AG156" si="109">IFERROR(IF(VALUE(LEFT(AD124,2))&lt;=2,"EC",IF(OR(VALUE(LEFT(AD124,2))=8,VALUE(LEFT(AD124,2))=18),"NW","Other")),"Other")</f>
        <v>EC</v>
      </c>
      <c r="AH124" s="100" t="str">
        <f t="shared" si="63"/>
        <v>"%USERPROFILE%\Documents\GitHub\eaglep3\Utilities\RefineRTDCRunTimes.py" --tripid 212-11 --locoid 4026 --swversion DE.1.0.7.0 --startMP 204:233002 --initTime 2016-09-11T18:20:37 --startdatetime 2016-09-11T18:26:16 --delay 1 --endMP 204:139 --enddatetime 2016-09-11T19:04:26 --enforcementcount 1 &gt;&gt;C:\Users\stu\Documents\GitHub\eaglep3-reporting\EC\2016-09-11-refined-times.txt</v>
      </c>
      <c r="AI124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{"issue":{"subject":"","project_id":79,"tracker_id":40,"status_id":1,"priority_id":2,"assigned_to_id":23,"start_date":"2016-09-11","description":"","custom_fields":[{"id":1,"name":"Subdivision","value":"EC"},{"id":4,"name":"Milepost","value":"23.2863"},{"id":17,"name":"Train ID","value":"212-11"},{"id":16,"name":"Locomotive ID","value":"4026"},{"id":130,"name":"Impact","value":""},{"id":150,"name":"Time of Event (Mountain Time)","value":"19:04:26"},{"id":151,"name":"Denver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616</v>
      </c>
      <c r="B125" s="7">
        <v>4029</v>
      </c>
      <c r="C125" s="24" t="s">
        <v>108</v>
      </c>
      <c r="D125" s="24" t="s">
        <v>462</v>
      </c>
      <c r="E125" s="15">
        <v>42624.733703703707</v>
      </c>
      <c r="F125" s="15">
        <v>42624.73982638889</v>
      </c>
      <c r="G125" s="7">
        <v>1</v>
      </c>
      <c r="H125" s="15" t="s">
        <v>617</v>
      </c>
      <c r="I125" s="15">
        <v>42624.764374999999</v>
      </c>
      <c r="J125" s="7">
        <v>1</v>
      </c>
      <c r="K125" s="121" t="str">
        <f t="shared" si="106"/>
        <v>4029/4030</v>
      </c>
      <c r="L125" s="24" t="str">
        <f>VLOOKUP(A125,'Trips&amp;Operators'!$C$1:$E$10000,3,FALSE)</f>
        <v>OUN</v>
      </c>
      <c r="M125" s="6">
        <f t="shared" si="86"/>
        <v>2.4548611108912155E-2</v>
      </c>
      <c r="N125" s="7">
        <f t="shared" si="98"/>
        <v>35.349999996833503</v>
      </c>
      <c r="O125" s="7"/>
      <c r="P125" s="7"/>
      <c r="Q125" s="25"/>
      <c r="R125" s="25"/>
      <c r="S125" s="37">
        <f t="shared" si="88"/>
        <v>1</v>
      </c>
      <c r="T125" s="52" t="str">
        <f t="shared" si="107"/>
        <v>NorthBound</v>
      </c>
      <c r="U125" s="163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16:36:32-0600',mode:absolute,to:'2016-09-11 19:20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25" s="54" t="str">
        <f t="shared" si="90"/>
        <v>N</v>
      </c>
      <c r="X125" s="168">
        <f t="shared" si="102"/>
        <v>1</v>
      </c>
      <c r="Y125" s="69">
        <f t="shared" si="91"/>
        <v>4.3999999999999997E-2</v>
      </c>
      <c r="Z125" s="69">
        <f t="shared" si="92"/>
        <v>23.331600000000002</v>
      </c>
      <c r="AA125" s="69">
        <f t="shared" si="93"/>
        <v>23.287600000000001</v>
      </c>
      <c r="AB125" s="66" t="e">
        <f>VLOOKUP(A125,Enforcements!$C$7:$K$21,8,0)</f>
        <v>#N/A</v>
      </c>
      <c r="AC125" s="62" t="e">
        <f>VLOOKUP(A125,Enforcements!$C$7:$E$21,3,0)</f>
        <v>#N/A</v>
      </c>
      <c r="AD125" s="63" t="str">
        <f t="shared" si="108"/>
        <v>0213-11</v>
      </c>
      <c r="AE125" s="99" t="str">
        <f t="shared" si="94"/>
        <v>aws s3 cp s3://rtdc.mdm.uploadarchive/RTDC4029/2016-09-11/ "%USERPROFILE%\AppData\Local\Temp\OnboardLogs"\RTDC4029\2016-09-11 --recursive &amp; "%USERPROFILE%\Documents\GitHub\mrs-test-scripts\Headless Mode &amp; Sideloading\WalkAndUnGZ.bat" "%USERPROFILE%\AppData\Local\Temp\OnboardLogs"\RTDC4029\2016-09-11 &amp; aws s3 cp s3://rtdc.mdm.uploadarchive/RTDC4029/2016-09-12/ "%USERPROFILE%\AppData\Local\Temp\OnboardLogs"\RTDC4029\2016-09-12 --recursive &amp; "%USERPROFILE%\Documents\GitHub\mrs-test-scripts\Headless Mode &amp; Sideloading\WalkAndUnGZ.bat" "%USERPROFILE%\AppData\Local\Temp\OnboardLogs"\RTDC4029\2016-09-12</v>
      </c>
      <c r="AF125" s="96" t="str">
        <f t="shared" si="95"/>
        <v>"C:\Program Files (x86)\AstroGrep\AstroGrep.exe" /spath="%USERPROFILE%\AppData\Local\Temp\OnboardLogs" /stypes="*4029*20160912*" /stext=" 00:.+((SYSTEM_STATE.+slice.+state.+changed )|(ment ac)|(system.+state.+changed )|(\|lc)|(penalty)|(\[timeout)|(PRM\|1\|D)|(kpr)|(kdp))" /e /r /s</v>
      </c>
      <c r="AG125" s="1" t="str">
        <f t="shared" si="109"/>
        <v>EC</v>
      </c>
      <c r="AH125" s="100" t="str">
        <f t="shared" si="63"/>
        <v>"%USERPROFILE%\Documents\GitHub\eaglep3\Utilities\RefineRTDCRunTimes.py" --tripid 213-11 --locoid 4029 --swversion DE.1.0.7.0 --startMP 204:440 --initTime 2016-09-11T17:36:32 --startdatetime 2016-09-11T17:45:21 --delay 1 --endMP 204:233316 --enddatetime 2016-09-11T18:20:42 --enforcementcount 1 &gt;&gt;C:\Users\stu\Documents\GitHub\eaglep3-reporting\EC\2016-09-11-refined-times.txt</v>
      </c>
      <c r="AI125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{"issue":{"subject":"","project_id":79,"tracker_id":40,"status_id":1,"priority_id":2,"assigned_to_id":23,"start_date":"2016-09-11","description":"","custom_fields":[{"id":1,"name":"Subdivision","value":"EC"},{"id":4,"name":"Milepost","value":"23.2876"},{"id":17,"name":"Train ID","value":"213-11"},{"id":16,"name":"Locomotive ID","value":"4029"},{"id":130,"name":"Impact","value":""},{"id":150,"name":"Time of Event (Mountain Time)","value":"18:20:42"},{"id":151,"name":"Denver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618</v>
      </c>
      <c r="B126" s="7">
        <v>4030</v>
      </c>
      <c r="C126" s="24" t="s">
        <v>108</v>
      </c>
      <c r="D126" s="24" t="s">
        <v>237</v>
      </c>
      <c r="E126" s="15">
        <v>42624.77484953704</v>
      </c>
      <c r="F126" s="15">
        <v>42624.778703703705</v>
      </c>
      <c r="G126" s="7">
        <v>1</v>
      </c>
      <c r="H126" s="15" t="s">
        <v>228</v>
      </c>
      <c r="I126" s="15">
        <v>42624.805474537039</v>
      </c>
      <c r="J126" s="7">
        <v>1</v>
      </c>
      <c r="K126" s="121" t="str">
        <f t="shared" si="106"/>
        <v>4029/4030</v>
      </c>
      <c r="L126" s="24" t="str">
        <f>VLOOKUP(A126,'Trips&amp;Operators'!$C$1:$E$10000,3,FALSE)</f>
        <v>OUN</v>
      </c>
      <c r="M126" s="6">
        <f t="shared" si="86"/>
        <v>2.6770833334012423E-2</v>
      </c>
      <c r="N126" s="7">
        <f t="shared" si="98"/>
        <v>38.550000000977889</v>
      </c>
      <c r="O126" s="7"/>
      <c r="P126" s="7"/>
      <c r="Q126" s="25"/>
      <c r="R126" s="25"/>
      <c r="S126" s="37">
        <f t="shared" si="88"/>
        <v>1</v>
      </c>
      <c r="T126" s="52" t="str">
        <f t="shared" si="107"/>
        <v>Southbound</v>
      </c>
      <c r="U126" s="163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17:35:47-0600',mode:absolute,to:'2016-09-11 20:19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26" s="54" t="str">
        <f t="shared" si="90"/>
        <v>N</v>
      </c>
      <c r="X126" s="168">
        <f t="shared" si="102"/>
        <v>1</v>
      </c>
      <c r="Y126" s="69">
        <f t="shared" si="91"/>
        <v>23.298999999999999</v>
      </c>
      <c r="Z126" s="69">
        <f t="shared" si="92"/>
        <v>1.49E-2</v>
      </c>
      <c r="AA126" s="69">
        <f t="shared" si="93"/>
        <v>23.284099999999999</v>
      </c>
      <c r="AB126" s="66" t="e">
        <f>VLOOKUP(A126,Enforcements!$C$7:$K$21,8,0)</f>
        <v>#N/A</v>
      </c>
      <c r="AC126" s="62" t="e">
        <f>VLOOKUP(A126,Enforcements!$C$7:$E$21,3,0)</f>
        <v>#N/A</v>
      </c>
      <c r="AD126" s="63" t="str">
        <f t="shared" si="108"/>
        <v>0214-11</v>
      </c>
      <c r="AE126" s="99" t="str">
        <f t="shared" si="94"/>
        <v>aws s3 cp s3://rtdc.mdm.uploadarchive/RTDC4030/2016-09-11/ "%USERPROFILE%\AppData\Local\Temp\OnboardLogs"\RTDC4030\2016-09-11 --recursive &amp; "%USERPROFILE%\Documents\GitHub\mrs-test-scripts\Headless Mode &amp; Sideloading\WalkAndUnGZ.bat" "%USERPROFILE%\AppData\Local\Temp\OnboardLogs"\RTDC4030\2016-09-11 &amp; aws s3 cp s3://rtdc.mdm.uploadarchive/RTDC4030/2016-09-12/ "%USERPROFILE%\AppData\Local\Temp\OnboardLogs"\RTDC4030\2016-09-12 --recursive &amp; "%USERPROFILE%\Documents\GitHub\mrs-test-scripts\Headless Mode &amp; Sideloading\WalkAndUnGZ.bat" "%USERPROFILE%\AppData\Local\Temp\OnboardLogs"\RTDC4030\2016-09-12</v>
      </c>
      <c r="AF126" s="96" t="str">
        <f t="shared" si="95"/>
        <v>"C:\Program Files (x86)\AstroGrep\AstroGrep.exe" /spath="%USERPROFILE%\AppData\Local\Temp\OnboardLogs" /stypes="*4030*20160912*" /stext=" 01:.+((SYSTEM_STATE.+slice.+state.+changed )|(ment ac)|(system.+state.+changed )|(\|lc)|(penalty)|(\[timeout)|(PRM\|1\|D)|(kpr)|(kdp))" /e /r /s</v>
      </c>
      <c r="AG126" s="1" t="str">
        <f t="shared" si="109"/>
        <v>EC</v>
      </c>
      <c r="AH126" s="100" t="str">
        <f t="shared" si="63"/>
        <v>"%USERPROFILE%\Documents\GitHub\eaglep3\Utilities\RefineRTDCRunTimes.py" --tripid 214-11 --locoid 4030 --swversion DE.1.0.7.0 --startMP 204:232990 --initTime 2016-09-11T18:35:47 --startdatetime 2016-09-11T18:41:20 --delay 1 --endMP 204:149 --enddatetime 2016-09-11T19:19:53 --enforcementcount 1 &gt;&gt;C:\Users\stu\Documents\GitHub\eaglep3-reporting\EC\2016-09-11-refined-times.txt</v>
      </c>
      <c r="AI126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{"issue":{"subject":"","project_id":79,"tracker_id":40,"status_id":1,"priority_id":2,"assigned_to_id":23,"start_date":"2016-09-11","description":"","custom_fields":[{"id":1,"name":"Subdivision","value":"EC"},{"id":4,"name":"Milepost","value":"23.2841"},{"id":17,"name":"Train ID","value":"214-11"},{"id":16,"name":"Locomotive ID","value":"4030"},{"id":130,"name":"Impact","value":""},{"id":150,"name":"Time of Event (Mountain Time)","value":"19:19:53"},{"id":151,"name":"Denver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408</v>
      </c>
      <c r="B127" s="7">
        <v>4020</v>
      </c>
      <c r="C127" s="24" t="s">
        <v>108</v>
      </c>
      <c r="D127" s="24" t="s">
        <v>359</v>
      </c>
      <c r="E127" s="15">
        <v>42624.744768518518</v>
      </c>
      <c r="F127" s="15">
        <v>42624.750219907408</v>
      </c>
      <c r="G127" s="7">
        <v>1</v>
      </c>
      <c r="H127" s="15" t="s">
        <v>619</v>
      </c>
      <c r="I127" s="15">
        <v>42624.775381944448</v>
      </c>
      <c r="J127" s="7">
        <v>1</v>
      </c>
      <c r="K127" s="121" t="str">
        <f t="shared" si="106"/>
        <v>4019/4020</v>
      </c>
      <c r="L127" s="24" t="str">
        <f>VLOOKUP(A127,'Trips&amp;Operators'!$C$1:$E$10000,3,FALSE)</f>
        <v>SHOOK</v>
      </c>
      <c r="M127" s="6">
        <f t="shared" si="86"/>
        <v>2.5162037039990537E-2</v>
      </c>
      <c r="N127" s="7">
        <f t="shared" si="98"/>
        <v>36.233333337586373</v>
      </c>
      <c r="O127" s="7"/>
      <c r="P127" s="7"/>
      <c r="Q127" s="25"/>
      <c r="R127" s="25"/>
      <c r="S127" s="37">
        <f t="shared" si="88"/>
        <v>1</v>
      </c>
      <c r="T127" s="52" t="str">
        <f t="shared" si="107"/>
        <v>NorthBound</v>
      </c>
      <c r="U127" s="163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16:52:28-0600',mode:absolute,to:'2016-09-11 19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27" s="54" t="str">
        <f t="shared" si="90"/>
        <v>N</v>
      </c>
      <c r="X127" s="168">
        <f t="shared" ref="X127:X142" si="110">VALUE(LEFT(AD127,4))-VALUE(LEFT(AD126,4))</f>
        <v>1</v>
      </c>
      <c r="Y127" s="69">
        <f t="shared" si="91"/>
        <v>4.4900000000000002E-2</v>
      </c>
      <c r="Z127" s="69">
        <f t="shared" si="92"/>
        <v>23.339700000000001</v>
      </c>
      <c r="AA127" s="69">
        <f t="shared" si="93"/>
        <v>23.294800000000002</v>
      </c>
      <c r="AB127" s="66" t="str">
        <f>VLOOKUP(A127,Enforcements!$C$7:$K$21,8,0)</f>
        <v>Speed (6)</v>
      </c>
      <c r="AC127" s="62" t="str">
        <f>VLOOKUP(A127,Enforcements!$C$7:$E$21,3,0)</f>
        <v>PERMANENT SPEED RESTRICTION</v>
      </c>
      <c r="AD127" s="63" t="str">
        <f t="shared" si="108"/>
        <v>0215-11</v>
      </c>
      <c r="AE127" s="99" t="str">
        <f t="shared" si="94"/>
        <v>aws s3 cp s3://rtdc.mdm.uploadarchive/RTDC4020/2016-09-11/ "%USERPROFILE%\AppData\Local\Temp\OnboardLogs"\RTDC4020\2016-09-11 --recursive &amp; "%USERPROFILE%\Documents\GitHub\mrs-test-scripts\Headless Mode &amp; Sideloading\WalkAndUnGZ.bat" "%USERPROFILE%\AppData\Local\Temp\OnboardLogs"\RTDC4020\2016-09-11 &amp; 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</v>
      </c>
      <c r="AF127" s="96" t="str">
        <f t="shared" si="95"/>
        <v>"C:\Program Files (x86)\AstroGrep\AstroGrep.exe" /spath="%USERPROFILE%\AppData\Local\Temp\OnboardLogs" /stypes="*4020*20160912*" /stext=" 00:.+((SYSTEM_STATE.+slice.+state.+changed )|(ment ac)|(system.+state.+changed )|(\|lc)|(penalty)|(\[timeout)|(PRM\|1\|D)|(kpr)|(kdp))" /e /r /s</v>
      </c>
      <c r="AG127" s="1" t="str">
        <f t="shared" si="109"/>
        <v>EC</v>
      </c>
      <c r="AH127" s="100" t="str">
        <f t="shared" si="63"/>
        <v>"%USERPROFILE%\Documents\GitHub\eaglep3\Utilities\RefineRTDCRunTimes.py" --tripid 215-11 --locoid 4020 --swversion DE.1.0.7.0 --startMP 204:449 --initTime 2016-09-11T17:52:28 --startdatetime 2016-09-11T18:00:19 --delay 1 --endMP 204:233397 --enddatetime 2016-09-11T18:36:33 --enforcementcount 1 &gt;&gt;C:\Users\stu\Documents\GitHub\eaglep3-reporting\EC\2016-09-11-refined-times.txt</v>
      </c>
      <c r="AI127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{"issue":{"subject":"","project_id":79,"tracker_id":40,"status_id":1,"priority_id":2,"assigned_to_id":23,"start_date":"2016-09-11","description":"","custom_fields":[{"id":1,"name":"Subdivision","value":"EC"},{"id":4,"name":"Milepost","value":"23.2948"},{"id":17,"name":"Train ID","value":"215-11"},{"id":16,"name":"Locomotive ID","value":"4020"},{"id":130,"name":"Impact","value":""},{"id":150,"name":"Time of Event (Mountain Time)","value":"18:36:33"},{"id":151,"name":"Denver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620</v>
      </c>
      <c r="B128" s="7">
        <v>4019</v>
      </c>
      <c r="C128" s="24" t="s">
        <v>108</v>
      </c>
      <c r="D128" s="24" t="s">
        <v>354</v>
      </c>
      <c r="E128" s="15">
        <v>42624.783310185187</v>
      </c>
      <c r="F128" s="15">
        <v>42624.789143518516</v>
      </c>
      <c r="G128" s="7">
        <v>2</v>
      </c>
      <c r="H128" s="15" t="s">
        <v>244</v>
      </c>
      <c r="I128" s="15">
        <v>42624.815023148149</v>
      </c>
      <c r="J128" s="7">
        <v>1</v>
      </c>
      <c r="K128" s="121" t="str">
        <f t="shared" si="106"/>
        <v>4019/4020</v>
      </c>
      <c r="L128" s="24" t="str">
        <f>VLOOKUP(A128,'Trips&amp;Operators'!$C$1:$E$10000,3,FALSE)</f>
        <v>SHOOK</v>
      </c>
      <c r="M128" s="6">
        <f t="shared" ref="M128:M159" si="111">I128-F128</f>
        <v>2.587962963298196E-2</v>
      </c>
      <c r="N128" s="7">
        <f t="shared" si="98"/>
        <v>37.266666671494022</v>
      </c>
      <c r="O128" s="7"/>
      <c r="P128" s="7"/>
      <c r="Q128" s="25"/>
      <c r="R128" s="25"/>
      <c r="S128" s="37">
        <f t="shared" ref="S128:S159" si="112">SUM(U128:U128)/IF(AG128="EC",12,1)</f>
        <v>1</v>
      </c>
      <c r="T128" s="52" t="str">
        <f t="shared" si="107"/>
        <v>Southbound</v>
      </c>
      <c r="U128" s="163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 t="shared" ref="V128:V159" si="113">"https://search-rtdc-monitor-bjffxe2xuh6vdkpspy63sjmuny.us-east-1.es.amazonaws.com/_plugin/kibana/#/discover/Steve-Slow-Train-Analysis-(2080s-and-2083s)?_g=(refreshInterval:(display:Off,section:0,value:0),time:(from:'"&amp;TEXT(E128-1/24,"yyyy-MM-DD hh:mm:ss")&amp;"-0600',mode:absolute,to:'"&amp;TEXT(I128+1/24,"yyyy-MM-DD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128&amp;"%22')),sort:!(Time,asc))"</f>
        <v>https://search-rtdc-monitor-bjffxe2xuh6vdkpspy63sjmuny.us-east-1.es.amazonaws.com/_plugin/kibana/#/discover/Steve-Slow-Train-Analysis-(2080s-and-2083s)?_g=(refreshInterval:(display:Off,section:0,value:0),time:(from:'2016-09-11 17:47:58-0600',mode:absolute,to:'2016-09-11 20:33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28" s="54" t="str">
        <f t="shared" ref="W128:W155" si="114">IF(AA128&lt;IF(AG128="EC",23,5.65),"Y","N")</f>
        <v>N</v>
      </c>
      <c r="X128" s="168">
        <f t="shared" si="110"/>
        <v>1</v>
      </c>
      <c r="Y128" s="69">
        <f t="shared" ref="Y128:Y159" si="115">RIGHT(D128,LEN(D128)-4)/10000</f>
        <v>23.3049</v>
      </c>
      <c r="Z128" s="69">
        <f t="shared" ref="Z128:Z159" si="116">RIGHT(H128,LEN(H128)-4)/10000</f>
        <v>1.52E-2</v>
      </c>
      <c r="AA128" s="69">
        <f t="shared" ref="AA128:AA159" si="117">ABS(Z128-Y128)</f>
        <v>23.2897</v>
      </c>
      <c r="AB128" s="66" t="e">
        <f>VLOOKUP(A128,Enforcements!$C$7:$K$21,8,0)</f>
        <v>#N/A</v>
      </c>
      <c r="AC128" s="62" t="e">
        <f>VLOOKUP(A128,Enforcements!$C$7:$E$21,3,0)</f>
        <v>#N/A</v>
      </c>
      <c r="AD128" s="63" t="str">
        <f t="shared" si="108"/>
        <v>0216-11</v>
      </c>
      <c r="AE128" s="99" t="str">
        <f t="shared" ref="AE128:AE159" si="118">"aws s3 cp "&amp;s3_bucket&amp;"/RTDC"&amp;B128&amp;"/"&amp;TEXT(F128,"YYYY-MM-DD")&amp;"/ "&amp;search_path&amp;"\RTDC"&amp;B128&amp;"\"&amp;TEXT(F128,"YYYY-MM-DD")&amp;" --recursive &amp; """&amp;walkandungz&amp;""" "&amp;search_path&amp;"\RTDC"&amp;B128&amp;"\"&amp;TEXT(F128,"YYYY-MM-DD")
&amp;" &amp; "&amp;"aws s3 cp "&amp;s3_bucket&amp;"/RTDC"&amp;B128&amp;"/"&amp;TEXT(F128+1,"YYYY-MM-DD")&amp;"/ "&amp;search_path&amp;"\RTDC"&amp;B128&amp;"\"&amp;TEXT(F128+1,"YYYY-MM-DD")&amp;" --recursive &amp; """&amp;walkandungz&amp;""" "&amp;search_path&amp;"\RTDC"&amp;B128&amp;"\"&amp;TEXT(F128+1,"YYYY-MM-DD")</f>
        <v>aws s3 cp s3://rtdc.mdm.uploadarchive/RTDC4019/2016-09-11/ "%USERPROFILE%\AppData\Local\Temp\OnboardLogs"\RTDC4019\2016-09-11 --recursive &amp; "%USERPROFILE%\Documents\GitHub\mrs-test-scripts\Headless Mode &amp; Sideloading\WalkAndUnGZ.bat" "%USERPROFILE%\AppData\Local\Temp\OnboardLogs"\RTDC4019\2016-09-11 &amp; 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</v>
      </c>
      <c r="AF128" s="96" t="str">
        <f t="shared" ref="AF128:AF159" si="119">astrogrep_path&amp;" /spath="&amp;search_path&amp;" /stypes=""*"&amp;B128&amp;"*"&amp;TEXT(I128-utc_offset/24,"YYYYMMDD")&amp;"*"" /stext="" "&amp;TEXT(I128-utc_offset/24,"HH")&amp;search_regexp&amp;""" /e /r /s"</f>
        <v>"C:\Program Files (x86)\AstroGrep\AstroGrep.exe" /spath="%USERPROFILE%\AppData\Local\Temp\OnboardLogs" /stypes="*4019*20160912*" /stext=" 01:.+((SYSTEM_STATE.+slice.+state.+changed )|(ment ac)|(system.+state.+changed )|(\|lc)|(penalty)|(\[timeout)|(PRM\|1\|D)|(kpr)|(kdp))" /e /r /s</v>
      </c>
      <c r="AG128" s="1" t="str">
        <f t="shared" si="109"/>
        <v>EC</v>
      </c>
      <c r="AH128" s="100" t="str">
        <f t="shared" si="63"/>
        <v>"%USERPROFILE%\Documents\GitHub\eaglep3\Utilities\RefineRTDCRunTimes.py" --tripid 216-11 --locoid 4019 --swversion DE.1.0.7.0 --startMP 204:233049 --initTime 2016-09-11T18:47:58 --startdatetime 2016-09-11T18:56:22 --delay 2 --endMP 204:152 --enddatetime 2016-09-11T19:33:38 --enforcementcount 1 &gt;&gt;C:\Users\stu\Documents\GitHub\eaglep3-reporting\EC\2016-09-11-refined-times.txt</v>
      </c>
      <c r="AI128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{"issue":{"subject":"","project_id":79,"tracker_id":40,"status_id":1,"priority_id":2,"assigned_to_id":23,"start_date":"2016-09-11","description":"","custom_fields":[{"id":1,"name":"Subdivision","value":"EC"},{"id":4,"name":"Milepost","value":"23.2897"},{"id":17,"name":"Train ID","value":"216-11"},{"id":16,"name":"Locomotive ID","value":"4019"},{"id":130,"name":"Impact","value":""},{"id":150,"name":"Time of Event (Mountain Time)","value":"19:33:38"},{"id":151,"name":"Denver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621</v>
      </c>
      <c r="B129" s="7">
        <v>4018</v>
      </c>
      <c r="C129" s="24" t="s">
        <v>108</v>
      </c>
      <c r="D129" s="24" t="s">
        <v>344</v>
      </c>
      <c r="E129" s="15">
        <v>42624.756145833337</v>
      </c>
      <c r="F129" s="15">
        <v>42624.760567129626</v>
      </c>
      <c r="G129" s="7">
        <v>1</v>
      </c>
      <c r="H129" s="15" t="s">
        <v>259</v>
      </c>
      <c r="I129" s="15">
        <v>42624.785277777781</v>
      </c>
      <c r="J129" s="7">
        <v>1</v>
      </c>
      <c r="K129" s="121" t="str">
        <f t="shared" si="106"/>
        <v>4017/4018</v>
      </c>
      <c r="L129" s="24" t="str">
        <f>VLOOKUP(A129,'Trips&amp;Operators'!$C$1:$E$10000,3,FALSE)</f>
        <v>NEWELL</v>
      </c>
      <c r="M129" s="6">
        <f t="shared" si="111"/>
        <v>2.4710648154723458E-2</v>
      </c>
      <c r="N129" s="7">
        <f t="shared" si="98"/>
        <v>35.58333334280178</v>
      </c>
      <c r="O129" s="7"/>
      <c r="P129" s="7"/>
      <c r="Q129" s="25"/>
      <c r="R129" s="25"/>
      <c r="S129" s="37">
        <f t="shared" si="112"/>
        <v>1</v>
      </c>
      <c r="T129" s="52" t="str">
        <f t="shared" si="107"/>
        <v>NorthBound</v>
      </c>
      <c r="U129" s="163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17:08:51-0600',mode:absolute,to:'2016-09-11 19:50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29" s="54" t="str">
        <f t="shared" si="114"/>
        <v>N</v>
      </c>
      <c r="X129" s="168">
        <f t="shared" si="110"/>
        <v>1</v>
      </c>
      <c r="Y129" s="69">
        <f t="shared" si="115"/>
        <v>4.6899999999999997E-2</v>
      </c>
      <c r="Z129" s="69">
        <f t="shared" si="116"/>
        <v>23.331199999999999</v>
      </c>
      <c r="AA129" s="69">
        <f t="shared" si="117"/>
        <v>23.284299999999998</v>
      </c>
      <c r="AB129" s="66" t="e">
        <f>VLOOKUP(A129,Enforcements!$C$7:$K$21,8,0)</f>
        <v>#N/A</v>
      </c>
      <c r="AC129" s="62" t="e">
        <f>VLOOKUP(A129,Enforcements!$C$7:$E$21,3,0)</f>
        <v>#N/A</v>
      </c>
      <c r="AD129" s="63" t="str">
        <f t="shared" si="108"/>
        <v>0217-11</v>
      </c>
      <c r="AE129" s="99" t="str">
        <f t="shared" si="118"/>
        <v>aws s3 cp s3://rtdc.mdm.uploadarchive/RTDC4018/2016-09-11/ "%USERPROFILE%\AppData\Local\Temp\OnboardLogs"\RTDC4018\2016-09-11 --recursive &amp; "%USERPROFILE%\Documents\GitHub\mrs-test-scripts\Headless Mode &amp; Sideloading\WalkAndUnGZ.bat" "%USERPROFILE%\AppData\Local\Temp\OnboardLogs"\RTDC4018\2016-09-11 &amp; aws s3 cp s3://rtdc.mdm.uploadarchive/RTDC4018/2016-09-12/ "%USERPROFILE%\AppData\Local\Temp\OnboardLogs"\RTDC4018\2016-09-12 --recursive &amp; "%USERPROFILE%\Documents\GitHub\mrs-test-scripts\Headless Mode &amp; Sideloading\WalkAndUnGZ.bat" "%USERPROFILE%\AppData\Local\Temp\OnboardLogs"\RTDC4018\2016-09-12</v>
      </c>
      <c r="AF129" s="96" t="str">
        <f t="shared" si="119"/>
        <v>"C:\Program Files (x86)\AstroGrep\AstroGrep.exe" /spath="%USERPROFILE%\AppData\Local\Temp\OnboardLogs" /stypes="*4018*20160912*" /stext=" 00:.+((SYSTEM_STATE.+slice.+state.+changed )|(ment ac)|(system.+state.+changed )|(\|lc)|(penalty)|(\[timeout)|(PRM\|1\|D)|(kpr)|(kdp))" /e /r /s</v>
      </c>
      <c r="AG129" s="1" t="str">
        <f t="shared" si="109"/>
        <v>EC</v>
      </c>
      <c r="AH129" s="100" t="str">
        <f t="shared" si="63"/>
        <v>"%USERPROFILE%\Documents\GitHub\eaglep3\Utilities\RefineRTDCRunTimes.py" --tripid 217-11 --locoid 4018 --swversion DE.1.0.7.0 --startMP 204:469 --initTime 2016-09-11T18:08:51 --startdatetime 2016-09-11T18:15:13 --delay 1 --endMP 204:233312 --enddatetime 2016-09-11T18:50:48 --enforcementcount 1 &gt;&gt;C:\Users\stu\Documents\GitHub\eaglep3-reporting\EC\2016-09-11-refined-times.txt</v>
      </c>
      <c r="AI129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{"issue":{"subject":"","project_id":79,"tracker_id":40,"status_id":1,"priority_id":2,"assigned_to_id":23,"start_date":"2016-09-11","description":"","custom_fields":[{"id":1,"name":"Subdivision","value":"EC"},{"id":4,"name":"Milepost","value":"23.2843"},{"id":17,"name":"Train ID","value":"217-11"},{"id":16,"name":"Locomotive ID","value":"4018"},{"id":130,"name":"Impact","value":""},{"id":150,"name":"Time of Event (Mountain Time)","value":"18:50:48"},{"id":151,"name":"Denver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622</v>
      </c>
      <c r="B130" s="7">
        <v>4017</v>
      </c>
      <c r="C130" s="24" t="s">
        <v>108</v>
      </c>
      <c r="D130" s="24" t="s">
        <v>246</v>
      </c>
      <c r="E130" s="15">
        <v>42624.787604166668</v>
      </c>
      <c r="F130" s="15">
        <v>42624.799618055556</v>
      </c>
      <c r="G130" s="7">
        <v>1</v>
      </c>
      <c r="H130" s="15" t="s">
        <v>268</v>
      </c>
      <c r="I130" s="15">
        <v>42624.826307870368</v>
      </c>
      <c r="J130" s="7">
        <v>1</v>
      </c>
      <c r="K130" s="121" t="str">
        <f t="shared" si="106"/>
        <v>4017/4018</v>
      </c>
      <c r="L130" s="24" t="str">
        <f>VLOOKUP(A130,'Trips&amp;Operators'!$C$1:$E$10000,3,FALSE)</f>
        <v>NEWELL</v>
      </c>
      <c r="M130" s="6">
        <f t="shared" si="111"/>
        <v>2.6689814811106771E-2</v>
      </c>
      <c r="N130" s="7">
        <f t="shared" si="98"/>
        <v>38.433333327993751</v>
      </c>
      <c r="O130" s="7"/>
      <c r="P130" s="7"/>
      <c r="Q130" s="25"/>
      <c r="R130" s="25"/>
      <c r="S130" s="37">
        <f t="shared" si="112"/>
        <v>1</v>
      </c>
      <c r="T130" s="52" t="str">
        <f t="shared" si="107"/>
        <v>Southbound</v>
      </c>
      <c r="U130" s="163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17:54:09-0600',mode:absolute,to:'2016-09-11 20:49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30" s="54" t="str">
        <f t="shared" si="114"/>
        <v>N</v>
      </c>
      <c r="X130" s="168">
        <f t="shared" si="110"/>
        <v>1</v>
      </c>
      <c r="Y130" s="69">
        <f t="shared" si="115"/>
        <v>23.299600000000002</v>
      </c>
      <c r="Z130" s="69">
        <f t="shared" si="116"/>
        <v>1.3899999999999999E-2</v>
      </c>
      <c r="AA130" s="69">
        <f t="shared" si="117"/>
        <v>23.285700000000002</v>
      </c>
      <c r="AB130" s="66" t="e">
        <f>VLOOKUP(A130,Enforcements!$C$7:$K$21,8,0)</f>
        <v>#N/A</v>
      </c>
      <c r="AC130" s="62" t="e">
        <f>VLOOKUP(A130,Enforcements!$C$7:$E$21,3,0)</f>
        <v>#N/A</v>
      </c>
      <c r="AD130" s="63" t="str">
        <f t="shared" si="108"/>
        <v>0218-11</v>
      </c>
      <c r="AE130" s="99" t="str">
        <f t="shared" si="118"/>
        <v>aws s3 cp s3://rtdc.mdm.uploadarchive/RTDC4017/2016-09-11/ "%USERPROFILE%\AppData\Local\Temp\OnboardLogs"\RTDC4017\2016-09-11 --recursive &amp; "%USERPROFILE%\Documents\GitHub\mrs-test-scripts\Headless Mode &amp; Sideloading\WalkAndUnGZ.bat" "%USERPROFILE%\AppData\Local\Temp\OnboardLogs"\RTDC4017\2016-09-11 &amp; aws s3 cp s3://rtdc.mdm.uploadarchive/RTDC4017/2016-09-12/ "%USERPROFILE%\AppData\Local\Temp\OnboardLogs"\RTDC4017\2016-09-12 --recursive &amp; "%USERPROFILE%\Documents\GitHub\mrs-test-scripts\Headless Mode &amp; Sideloading\WalkAndUnGZ.bat" "%USERPROFILE%\AppData\Local\Temp\OnboardLogs"\RTDC4017\2016-09-12</v>
      </c>
      <c r="AF130" s="96" t="str">
        <f t="shared" si="119"/>
        <v>"C:\Program Files (x86)\AstroGrep\AstroGrep.exe" /spath="%USERPROFILE%\AppData\Local\Temp\OnboardLogs" /stypes="*4017*20160912*" /stext=" 01:.+((SYSTEM_STATE.+slice.+state.+changed )|(ment ac)|(system.+state.+changed )|(\|lc)|(penalty)|(\[timeout)|(PRM\|1\|D)|(kpr)|(kdp))" /e /r /s</v>
      </c>
      <c r="AG130" s="1" t="str">
        <f t="shared" si="109"/>
        <v>EC</v>
      </c>
      <c r="AH130" s="100" t="str">
        <f t="shared" si="63"/>
        <v>"%USERPROFILE%\Documents\GitHub\eaglep3\Utilities\RefineRTDCRunTimes.py" --tripid 218-11 --locoid 4017 --swversion DE.1.0.7.0 --startMP 204:232996 --initTime 2016-09-11T18:54:09 --startdatetime 2016-09-11T19:11:27 --delay 1 --endMP 204:139 --enddatetime 2016-09-11T19:49:53 --enforcementcount 1 &gt;&gt;C:\Users\stu\Documents\GitHub\eaglep3-reporting\EC\2016-09-11-refined-times.txt</v>
      </c>
      <c r="AI130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{"issue":{"subject":"","project_id":79,"tracker_id":40,"status_id":1,"priority_id":2,"assigned_to_id":23,"start_date":"2016-09-11","description":"","custom_fields":[{"id":1,"name":"Subdivision","value":"EC"},{"id":4,"name":"Milepost","value":"23.2857"},{"id":17,"name":"Train ID","value":"218-11"},{"id":16,"name":"Locomotive ID","value":"4017"},{"id":130,"name":"Impact","value":""},{"id":150,"name":"Time of Event (Mountain Time)","value":"19:49:53"},{"id":151,"name":"Denver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s="23" customFormat="1" x14ac:dyDescent="0.25">
      <c r="A131" s="39" t="s">
        <v>717</v>
      </c>
      <c r="B131" s="7"/>
      <c r="C131" s="24"/>
      <c r="D131" s="24"/>
      <c r="E131" s="15"/>
      <c r="F131" s="15"/>
      <c r="G131" s="7"/>
      <c r="H131" s="15"/>
      <c r="I131" s="15"/>
      <c r="J131" s="7"/>
      <c r="K131" s="121"/>
      <c r="L131" s="24"/>
      <c r="M131" s="6"/>
      <c r="N131" s="7"/>
      <c r="O131" s="7"/>
      <c r="P131" s="7">
        <v>1</v>
      </c>
      <c r="Q131" s="25"/>
      <c r="R131" s="25" t="s">
        <v>711</v>
      </c>
      <c r="S131" s="37">
        <f t="shared" si="112"/>
        <v>0</v>
      </c>
      <c r="T131" s="52" t="str">
        <f t="shared" si="107"/>
        <v>NorthBound</v>
      </c>
      <c r="U131" s="163"/>
      <c r="V131" s="106"/>
      <c r="W131" s="54"/>
      <c r="X131" s="168">
        <f t="shared" si="110"/>
        <v>1</v>
      </c>
      <c r="Y131" s="69"/>
      <c r="Z131" s="69"/>
      <c r="AA131" s="69"/>
      <c r="AB131" s="66"/>
      <c r="AC131" s="62"/>
      <c r="AD131" s="63" t="str">
        <f t="shared" si="108"/>
        <v>0219-11</v>
      </c>
      <c r="AE131" s="99"/>
      <c r="AF131" s="96"/>
      <c r="AG131" s="1" t="str">
        <f t="shared" si="109"/>
        <v>EC</v>
      </c>
      <c r="AH131" s="100"/>
      <c r="AI131" s="134"/>
      <c r="AJ131" s="55"/>
      <c r="AK131" s="55"/>
      <c r="AL131" s="55"/>
    </row>
    <row r="132" spans="1:38" x14ac:dyDescent="0.25">
      <c r="A132" s="39" t="s">
        <v>409</v>
      </c>
      <c r="B132" s="7">
        <v>4039</v>
      </c>
      <c r="C132" s="24" t="s">
        <v>108</v>
      </c>
      <c r="D132" s="24" t="s">
        <v>315</v>
      </c>
      <c r="E132" s="15">
        <v>42624.809027777781</v>
      </c>
      <c r="F132" s="15">
        <v>42624.810358796298</v>
      </c>
      <c r="G132" s="7">
        <v>1</v>
      </c>
      <c r="H132" s="15" t="s">
        <v>623</v>
      </c>
      <c r="I132" s="15">
        <v>42624.837731481479</v>
      </c>
      <c r="J132" s="7">
        <v>1</v>
      </c>
      <c r="K132" s="121" t="str">
        <f t="shared" si="106"/>
        <v>4039/4040</v>
      </c>
      <c r="L132" s="24" t="str">
        <f>VLOOKUP(A132,'Trips&amp;Operators'!$C$1:$E$10000,3,FALSE)</f>
        <v>CHANDLER</v>
      </c>
      <c r="M132" s="6">
        <f t="shared" si="111"/>
        <v>2.7372685181035195E-2</v>
      </c>
      <c r="N132" s="7">
        <f t="shared" si="98"/>
        <v>39.41666666069068</v>
      </c>
      <c r="O132" s="7"/>
      <c r="P132" s="7"/>
      <c r="Q132" s="25"/>
      <c r="R132" s="25"/>
      <c r="S132" s="37">
        <f t="shared" si="112"/>
        <v>1</v>
      </c>
      <c r="T132" s="52" t="str">
        <f t="shared" si="107"/>
        <v>Southbound</v>
      </c>
      <c r="U132" s="163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18:25:00-0600',mode:absolute,to:'2016-09-11 21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32" s="54" t="str">
        <f t="shared" si="114"/>
        <v>N</v>
      </c>
      <c r="X132" s="168">
        <f t="shared" si="110"/>
        <v>1</v>
      </c>
      <c r="Y132" s="69">
        <f t="shared" si="115"/>
        <v>23.300599999999999</v>
      </c>
      <c r="Z132" s="69">
        <f t="shared" si="116"/>
        <v>1.9199999999999998E-2</v>
      </c>
      <c r="AA132" s="69">
        <f t="shared" si="117"/>
        <v>23.281399999999998</v>
      </c>
      <c r="AB132" s="66" t="e">
        <f>VLOOKUP(A132,Enforcements!$C$7:$K$21,8,0)</f>
        <v>#N/A</v>
      </c>
      <c r="AC132" s="62" t="e">
        <f>VLOOKUP(A132,Enforcements!$C$7:$E$21,3,0)</f>
        <v>#N/A</v>
      </c>
      <c r="AD132" s="63" t="str">
        <f t="shared" si="108"/>
        <v>0220-11</v>
      </c>
      <c r="AE132" s="99" t="str">
        <f t="shared" si="118"/>
        <v>aws s3 cp s3://rtdc.mdm.uploadarchive/RTDC4039/2016-09-11/ "%USERPROFILE%\AppData\Local\Temp\OnboardLogs"\RTDC4039\2016-09-11 --recursive &amp; "%USERPROFILE%\Documents\GitHub\mrs-test-scripts\Headless Mode &amp; Sideloading\WalkAndUnGZ.bat" "%USERPROFILE%\AppData\Local\Temp\OnboardLogs"\RTDC4039\2016-09-11 &amp; aws s3 cp s3://rtdc.mdm.uploadarchive/RTDC4039/2016-09-12/ "%USERPROFILE%\AppData\Local\Temp\OnboardLogs"\RTDC4039\2016-09-12 --recursive &amp; "%USERPROFILE%\Documents\GitHub\mrs-test-scripts\Headless Mode &amp; Sideloading\WalkAndUnGZ.bat" "%USERPROFILE%\AppData\Local\Temp\OnboardLogs"\RTDC4039\2016-09-12</v>
      </c>
      <c r="AF132" s="96" t="str">
        <f t="shared" si="119"/>
        <v>"C:\Program Files (x86)\AstroGrep\AstroGrep.exe" /spath="%USERPROFILE%\AppData\Local\Temp\OnboardLogs" /stypes="*4039*20160912*" /stext=" 02:.+((SYSTEM_STATE.+slice.+state.+changed )|(ment ac)|(system.+state.+changed )|(\|lc)|(penalty)|(\[timeout)|(PRM\|1\|D)|(kpr)|(kdp))" /e /r /s</v>
      </c>
      <c r="AG132" s="1" t="str">
        <f t="shared" si="109"/>
        <v>EC</v>
      </c>
      <c r="AH132" s="100" t="str">
        <f t="shared" si="63"/>
        <v>"%USERPROFILE%\Documents\GitHub\eaglep3\Utilities\RefineRTDCRunTimes.py" --tripid 220-11 --locoid 4039 --swversion DE.1.0.7.0 --startMP 204:233006 --initTime 2016-09-11T19:25:00 --startdatetime 2016-09-11T19:26:55 --delay 1 --endMP 204:192 --enddatetime 2016-09-11T20:06:20 --enforcementcount 1 &gt;&gt;C:\Users\stu\Documents\GitHub\eaglep3-reporting\EC\2016-09-11-refined-times.txt</v>
      </c>
      <c r="AI132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{"issue":{"subject":"","project_id":79,"tracker_id":40,"status_id":1,"priority_id":2,"assigned_to_id":23,"start_date":"2016-09-11","description":"","custom_fields":[{"id":1,"name":"Subdivision","value":"EC"},{"id":4,"name":"Milepost","value":"23.2814"},{"id":17,"name":"Train ID","value":"220-11"},{"id":16,"name":"Locomotive ID","value":"4039"},{"id":130,"name":"Impact","value":""},{"id":150,"name":"Time of Event (Mountain Time)","value":"20:06:20"},{"id":151,"name":"Denver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s="23" customFormat="1" x14ac:dyDescent="0.25">
      <c r="A133" s="39" t="s">
        <v>624</v>
      </c>
      <c r="B133" s="7">
        <v>4042</v>
      </c>
      <c r="C133" s="24" t="s">
        <v>108</v>
      </c>
      <c r="D133" s="24" t="s">
        <v>273</v>
      </c>
      <c r="E133" s="15">
        <v>42624.787673611114</v>
      </c>
      <c r="F133" s="15">
        <v>42624.791898148149</v>
      </c>
      <c r="G133" s="7">
        <v>1</v>
      </c>
      <c r="H133" s="15" t="s">
        <v>475</v>
      </c>
      <c r="I133" s="15">
        <v>42624.818402777775</v>
      </c>
      <c r="J133" s="7">
        <v>1</v>
      </c>
      <c r="K133" s="121" t="str">
        <f t="shared" si="106"/>
        <v>4041/4042</v>
      </c>
      <c r="L133" s="24" t="str">
        <f>VLOOKUP(A133,'Trips&amp;Operators'!$C$1:$E$10000,3,FALSE)</f>
        <v>LEVERE</v>
      </c>
      <c r="M133" s="6">
        <f t="shared" si="111"/>
        <v>2.6504629626288079E-2</v>
      </c>
      <c r="N133" s="7">
        <f t="shared" si="98"/>
        <v>38.166666661854833</v>
      </c>
      <c r="O133" s="7"/>
      <c r="P133" s="7"/>
      <c r="Q133" s="25"/>
      <c r="R133" s="25"/>
      <c r="S133" s="37">
        <f t="shared" si="112"/>
        <v>1</v>
      </c>
      <c r="T133" s="52" t="str">
        <f t="shared" si="107"/>
        <v>NorthBound</v>
      </c>
      <c r="U133" s="163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17:54:15-0600',mode:absolute,to:'2016-09-11 20:38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33" s="54" t="str">
        <f t="shared" si="114"/>
        <v>N</v>
      </c>
      <c r="X133" s="168">
        <f t="shared" si="110"/>
        <v>1</v>
      </c>
      <c r="Y133" s="69">
        <f t="shared" si="115"/>
        <v>4.7300000000000002E-2</v>
      </c>
      <c r="Z133" s="69">
        <f t="shared" si="116"/>
        <v>23.329799999999999</v>
      </c>
      <c r="AA133" s="69">
        <f t="shared" si="117"/>
        <v>23.282499999999999</v>
      </c>
      <c r="AB133" s="66" t="e">
        <f>VLOOKUP(A133,Enforcements!$C$7:$K$21,8,0)</f>
        <v>#N/A</v>
      </c>
      <c r="AC133" s="62" t="e">
        <f>VLOOKUP(A133,Enforcements!$C$7:$E$21,3,0)</f>
        <v>#N/A</v>
      </c>
      <c r="AD133" s="63" t="str">
        <f t="shared" si="108"/>
        <v>0221-11</v>
      </c>
      <c r="AE133" s="99" t="str">
        <f t="shared" si="118"/>
        <v>aws s3 cp s3://rtdc.mdm.uploadarchive/RTDC4042/2016-09-11/ "%USERPROFILE%\AppData\Local\Temp\OnboardLogs"\RTDC4042\2016-09-11 --recursive &amp; "%USERPROFILE%\Documents\GitHub\mrs-test-scripts\Headless Mode &amp; Sideloading\WalkAndUnGZ.bat" "%USERPROFILE%\AppData\Local\Temp\OnboardLogs"\RTDC4042\2016-09-11 &amp; 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</v>
      </c>
      <c r="AF133" s="96" t="str">
        <f t="shared" si="119"/>
        <v>"C:\Program Files (x86)\AstroGrep\AstroGrep.exe" /spath="%USERPROFILE%\AppData\Local\Temp\OnboardLogs" /stypes="*4042*20160912*" /stext=" 01:.+((SYSTEM_STATE.+slice.+state.+changed )|(ment ac)|(system.+state.+changed )|(\|lc)|(penalty)|(\[timeout)|(PRM\|1\|D)|(kpr)|(kdp))" /e /r /s</v>
      </c>
      <c r="AG133" s="1" t="str">
        <f t="shared" si="109"/>
        <v>EC</v>
      </c>
      <c r="AH133" s="100" t="str">
        <f t="shared" si="63"/>
        <v>"%USERPROFILE%\Documents\GitHub\eaglep3\Utilities\RefineRTDCRunTimes.py" --tripid 221-11 --locoid 4042 --swversion DE.1.0.7.0 --startMP 204:473 --initTime 2016-09-11T18:54:15 --startdatetime 2016-09-11T19:00:20 --delay 1 --endMP 204:233298 --enddatetime 2016-09-11T19:38:30 --enforcementcount 1 &gt;&gt;C:\Users\stu\Documents\GitHub\eaglep3-reporting\EC\2016-09-11-refined-times.txt</v>
      </c>
      <c r="AI133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{"issue":{"subject":"","project_id":79,"tracker_id":40,"status_id":1,"priority_id":2,"assigned_to_id":23,"start_date":"2016-09-11","description":"","custom_fields":[{"id":1,"name":"Subdivision","value":"EC"},{"id":4,"name":"Milepost","value":"23.2825"},{"id":17,"name":"Train ID","value":"221-11"},{"id":16,"name":"Locomotive ID","value":"4042"},{"id":130,"name":"Impact","value":""},{"id":150,"name":"Time of Event (Mountain Time)","value":"19:38:30"},{"id":151,"name":"Denver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s="23" customFormat="1" x14ac:dyDescent="0.25">
      <c r="A134" s="39" t="s">
        <v>625</v>
      </c>
      <c r="B134" s="7">
        <v>4041</v>
      </c>
      <c r="C134" s="24" t="s">
        <v>108</v>
      </c>
      <c r="D134" s="24" t="s">
        <v>626</v>
      </c>
      <c r="E134" s="15">
        <v>42624.824328703704</v>
      </c>
      <c r="F134" s="15">
        <v>42624.830775462964</v>
      </c>
      <c r="G134" s="7">
        <v>1</v>
      </c>
      <c r="H134" s="15" t="s">
        <v>627</v>
      </c>
      <c r="I134" s="15">
        <v>42624.859571759262</v>
      </c>
      <c r="J134" s="7">
        <v>1</v>
      </c>
      <c r="K134" s="121" t="str">
        <f t="shared" si="106"/>
        <v>4041/4042</v>
      </c>
      <c r="L134" s="24" t="str">
        <f>VLOOKUP(A134,'Trips&amp;Operators'!$C$1:$E$10000,3,FALSE)</f>
        <v>LEVERE</v>
      </c>
      <c r="M134" s="6">
        <f t="shared" si="111"/>
        <v>2.8796296297514345E-2</v>
      </c>
      <c r="N134" s="7">
        <f t="shared" si="98"/>
        <v>41.466666668420658</v>
      </c>
      <c r="O134" s="7"/>
      <c r="P134" s="7"/>
      <c r="Q134" s="25"/>
      <c r="R134" s="25"/>
      <c r="S134" s="37">
        <f t="shared" si="112"/>
        <v>1</v>
      </c>
      <c r="T134" s="52" t="str">
        <f t="shared" si="107"/>
        <v>Southbound</v>
      </c>
      <c r="U134" s="163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18:47:02-0600',mode:absolute,to:'2016-09-11 21:37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34" s="54" t="str">
        <f t="shared" si="114"/>
        <v>N</v>
      </c>
      <c r="X134" s="168">
        <f t="shared" si="110"/>
        <v>1</v>
      </c>
      <c r="Y134" s="69">
        <f t="shared" si="115"/>
        <v>23.297899999999998</v>
      </c>
      <c r="Z134" s="69">
        <f t="shared" si="116"/>
        <v>1.67E-2</v>
      </c>
      <c r="AA134" s="69">
        <f t="shared" si="117"/>
        <v>23.281199999999998</v>
      </c>
      <c r="AB134" s="66" t="e">
        <f>VLOOKUP(A134,Enforcements!$C$7:$K$21,8,0)</f>
        <v>#N/A</v>
      </c>
      <c r="AC134" s="62" t="e">
        <f>VLOOKUP(A134,Enforcements!$C$7:$E$21,3,0)</f>
        <v>#N/A</v>
      </c>
      <c r="AD134" s="63" t="str">
        <f t="shared" si="108"/>
        <v>0222-11</v>
      </c>
      <c r="AE134" s="99" t="str">
        <f t="shared" si="118"/>
        <v>aws s3 cp s3://rtdc.mdm.uploadarchive/RTDC4041/2016-09-11/ "%USERPROFILE%\AppData\Local\Temp\OnboardLogs"\RTDC4041\2016-09-11 --recursive &amp; "%USERPROFILE%\Documents\GitHub\mrs-test-scripts\Headless Mode &amp; Sideloading\WalkAndUnGZ.bat" "%USERPROFILE%\AppData\Local\Temp\OnboardLogs"\RTDC4041\2016-09-11 &amp; 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</v>
      </c>
      <c r="AF134" s="96" t="str">
        <f t="shared" si="119"/>
        <v>"C:\Program Files (x86)\AstroGrep\AstroGrep.exe" /spath="%USERPROFILE%\AppData\Local\Temp\OnboardLogs" /stypes="*4041*20160912*" /stext=" 02:.+((SYSTEM_STATE.+slice.+state.+changed )|(ment ac)|(system.+state.+changed )|(\|lc)|(penalty)|(\[timeout)|(PRM\|1\|D)|(kpr)|(kdp))" /e /r /s</v>
      </c>
      <c r="AG134" s="1" t="str">
        <f t="shared" si="109"/>
        <v>EC</v>
      </c>
      <c r="AH134" s="100" t="str">
        <f t="shared" si="63"/>
        <v>"%USERPROFILE%\Documents\GitHub\eaglep3\Utilities\RefineRTDCRunTimes.py" --tripid 222-11 --locoid 4041 --swversion DE.1.0.7.0 --startMP 204:232979 --initTime 2016-09-11T19:47:02 --startdatetime 2016-09-11T19:56:19 --delay 1 --endMP 204:167 --enddatetime 2016-09-11T20:37:47 --enforcementcount 1 &gt;&gt;C:\Users\stu\Documents\GitHub\eaglep3-reporting\EC\2016-09-11-refined-times.txt</v>
      </c>
      <c r="AI134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{"issue":{"subject":"","project_id":79,"tracker_id":40,"status_id":1,"priority_id":2,"assigned_to_id":23,"start_date":"2016-09-11","description":"","custom_fields":[{"id":1,"name":"Subdivision","value":"EC"},{"id":4,"name":"Milepost","value":"23.2812"},{"id":17,"name":"Train ID","value":"222-11"},{"id":16,"name":"Locomotive ID","value":"4041"},{"id":130,"name":"Impact","value":""},{"id":150,"name":"Time of Event (Mountain Time)","value":"20:37:47"},{"id":151,"name":"Denver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x14ac:dyDescent="0.25">
      <c r="A135" s="39" t="s">
        <v>628</v>
      </c>
      <c r="B135" s="7">
        <v>4029</v>
      </c>
      <c r="C135" s="24" t="s">
        <v>108</v>
      </c>
      <c r="D135" s="24" t="s">
        <v>247</v>
      </c>
      <c r="E135" s="15">
        <v>42624.807557870372</v>
      </c>
      <c r="F135" s="15">
        <v>42624.812743055554</v>
      </c>
      <c r="G135" s="7">
        <v>1</v>
      </c>
      <c r="H135" s="15" t="s">
        <v>466</v>
      </c>
      <c r="I135" s="15">
        <v>42624.83871527778</v>
      </c>
      <c r="J135" s="7">
        <v>1</v>
      </c>
      <c r="K135" s="121" t="str">
        <f t="shared" si="106"/>
        <v>4029/4030</v>
      </c>
      <c r="L135" s="24" t="str">
        <f>VLOOKUP(A135,'Trips&amp;Operators'!$C$1:$E$10000,3,FALSE)</f>
        <v>OUN</v>
      </c>
      <c r="M135" s="6">
        <f t="shared" si="111"/>
        <v>2.5972222225391306E-2</v>
      </c>
      <c r="N135" s="7">
        <f t="shared" si="98"/>
        <v>37.400000004563481</v>
      </c>
      <c r="O135" s="7"/>
      <c r="P135" s="7"/>
      <c r="Q135" s="25"/>
      <c r="R135" s="25"/>
      <c r="S135" s="37">
        <f t="shared" si="112"/>
        <v>1</v>
      </c>
      <c r="T135" s="52" t="str">
        <f t="shared" si="107"/>
        <v>NorthBound</v>
      </c>
      <c r="U135" s="163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18:22:53-0600',mode:absolute,to:'2016-09-11 21:07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35" s="54" t="str">
        <f t="shared" si="114"/>
        <v>N</v>
      </c>
      <c r="X135" s="168">
        <f t="shared" si="110"/>
        <v>1</v>
      </c>
      <c r="Y135" s="69">
        <f t="shared" si="115"/>
        <v>4.5699999999999998E-2</v>
      </c>
      <c r="Z135" s="69">
        <f t="shared" si="116"/>
        <v>23.326599999999999</v>
      </c>
      <c r="AA135" s="69">
        <f t="shared" si="117"/>
        <v>23.280899999999999</v>
      </c>
      <c r="AB135" s="66" t="e">
        <f>VLOOKUP(A135,Enforcements!$C$7:$K$21,8,0)</f>
        <v>#N/A</v>
      </c>
      <c r="AC135" s="62" t="e">
        <f>VLOOKUP(A135,Enforcements!$C$7:$E$21,3,0)</f>
        <v>#N/A</v>
      </c>
      <c r="AD135" s="63" t="str">
        <f t="shared" si="108"/>
        <v>0223-11</v>
      </c>
      <c r="AE135" s="99" t="str">
        <f t="shared" si="118"/>
        <v>aws s3 cp s3://rtdc.mdm.uploadarchive/RTDC4029/2016-09-11/ "%USERPROFILE%\AppData\Local\Temp\OnboardLogs"\RTDC4029\2016-09-11 --recursive &amp; "%USERPROFILE%\Documents\GitHub\mrs-test-scripts\Headless Mode &amp; Sideloading\WalkAndUnGZ.bat" "%USERPROFILE%\AppData\Local\Temp\OnboardLogs"\RTDC4029\2016-09-11 &amp; aws s3 cp s3://rtdc.mdm.uploadarchive/RTDC4029/2016-09-12/ "%USERPROFILE%\AppData\Local\Temp\OnboardLogs"\RTDC4029\2016-09-12 --recursive &amp; "%USERPROFILE%\Documents\GitHub\mrs-test-scripts\Headless Mode &amp; Sideloading\WalkAndUnGZ.bat" "%USERPROFILE%\AppData\Local\Temp\OnboardLogs"\RTDC4029\2016-09-12</v>
      </c>
      <c r="AF135" s="96" t="str">
        <f t="shared" si="119"/>
        <v>"C:\Program Files (x86)\AstroGrep\AstroGrep.exe" /spath="%USERPROFILE%\AppData\Local\Temp\OnboardLogs" /stypes="*4029*20160912*" /stext=" 02:.+((SYSTEM_STATE.+slice.+state.+changed )|(ment ac)|(system.+state.+changed )|(\|lc)|(penalty)|(\[timeout)|(PRM\|1\|D)|(kpr)|(kdp))" /e /r /s</v>
      </c>
      <c r="AG135" s="1" t="str">
        <f t="shared" si="109"/>
        <v>EC</v>
      </c>
      <c r="AH135" s="100" t="str">
        <f t="shared" si="63"/>
        <v>"%USERPROFILE%\Documents\GitHub\eaglep3\Utilities\RefineRTDCRunTimes.py" --tripid 223-11 --locoid 4029 --swversion DE.1.0.7.0 --startMP 204:457 --initTime 2016-09-11T19:22:53 --startdatetime 2016-09-11T19:30:21 --delay 1 --endMP 204:233266 --enddatetime 2016-09-11T20:07:45 --enforcementcount 1 &gt;&gt;C:\Users\stu\Documents\GitHub\eaglep3-reporting\EC\2016-09-11-refined-times.txt</v>
      </c>
      <c r="AI135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{"issue":{"subject":"","project_id":79,"tracker_id":40,"status_id":1,"priority_id":2,"assigned_to_id":23,"start_date":"2016-09-11","description":"","custom_fields":[{"id":1,"name":"Subdivision","value":"EC"},{"id":4,"name":"Milepost","value":"23.2809"},{"id":17,"name":"Train ID","value":"223-11"},{"id":16,"name":"Locomotive ID","value":"4029"},{"id":130,"name":"Impact","value":""},{"id":150,"name":"Time of Event (Mountain Time)","value":"20:07:45"},{"id":151,"name":"Denver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s="23" customFormat="1" x14ac:dyDescent="0.25">
      <c r="A136" s="39" t="s">
        <v>629</v>
      </c>
      <c r="B136" s="7">
        <v>4030</v>
      </c>
      <c r="C136" s="24" t="s">
        <v>108</v>
      </c>
      <c r="D136" s="24" t="s">
        <v>237</v>
      </c>
      <c r="E136" s="15">
        <v>42624.847824074073</v>
      </c>
      <c r="F136" s="15">
        <v>42624.8518287037</v>
      </c>
      <c r="G136" s="7">
        <v>1</v>
      </c>
      <c r="H136" s="15" t="s">
        <v>630</v>
      </c>
      <c r="I136" s="15">
        <v>42624.878344907411</v>
      </c>
      <c r="J136" s="7">
        <v>1</v>
      </c>
      <c r="K136" s="121" t="str">
        <f t="shared" si="106"/>
        <v>4029/4030</v>
      </c>
      <c r="L136" s="24" t="str">
        <f>VLOOKUP(A136,'Trips&amp;Operators'!$C$1:$E$10000,3,FALSE)</f>
        <v>OUN</v>
      </c>
      <c r="M136" s="6">
        <f t="shared" si="111"/>
        <v>2.6516203710343689E-2</v>
      </c>
      <c r="N136" s="7">
        <f t="shared" si="98"/>
        <v>38.183333342894912</v>
      </c>
      <c r="O136" s="7"/>
      <c r="P136" s="7"/>
      <c r="Q136" s="25"/>
      <c r="R136" s="25"/>
      <c r="S136" s="37">
        <f t="shared" si="112"/>
        <v>1</v>
      </c>
      <c r="T136" s="52" t="str">
        <f t="shared" si="107"/>
        <v>Southbound</v>
      </c>
      <c r="U136" s="163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19:20:52-0600',mode:absolute,to:'2016-09-11 22:04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36" s="54" t="str">
        <f t="shared" si="114"/>
        <v>N</v>
      </c>
      <c r="X136" s="168">
        <f t="shared" si="110"/>
        <v>1</v>
      </c>
      <c r="Y136" s="69">
        <f t="shared" si="115"/>
        <v>23.298999999999999</v>
      </c>
      <c r="Z136" s="69">
        <f t="shared" si="116"/>
        <v>1.1900000000000001E-2</v>
      </c>
      <c r="AA136" s="69">
        <f t="shared" si="117"/>
        <v>23.287099999999999</v>
      </c>
      <c r="AB136" s="66" t="e">
        <f>VLOOKUP(A136,Enforcements!$C$7:$K$21,8,0)</f>
        <v>#N/A</v>
      </c>
      <c r="AC136" s="62" t="e">
        <f>VLOOKUP(A136,Enforcements!$C$7:$E$21,3,0)</f>
        <v>#N/A</v>
      </c>
      <c r="AD136" s="63" t="str">
        <f t="shared" si="108"/>
        <v>0224-11</v>
      </c>
      <c r="AE136" s="99" t="str">
        <f t="shared" si="118"/>
        <v>aws s3 cp s3://rtdc.mdm.uploadarchive/RTDC4030/2016-09-11/ "%USERPROFILE%\AppData\Local\Temp\OnboardLogs"\RTDC4030\2016-09-11 --recursive &amp; "%USERPROFILE%\Documents\GitHub\mrs-test-scripts\Headless Mode &amp; Sideloading\WalkAndUnGZ.bat" "%USERPROFILE%\AppData\Local\Temp\OnboardLogs"\RTDC4030\2016-09-11 &amp; aws s3 cp s3://rtdc.mdm.uploadarchive/RTDC4030/2016-09-12/ "%USERPROFILE%\AppData\Local\Temp\OnboardLogs"\RTDC4030\2016-09-12 --recursive &amp; "%USERPROFILE%\Documents\GitHub\mrs-test-scripts\Headless Mode &amp; Sideloading\WalkAndUnGZ.bat" "%USERPROFILE%\AppData\Local\Temp\OnboardLogs"\RTDC4030\2016-09-12</v>
      </c>
      <c r="AF136" s="96" t="str">
        <f t="shared" si="119"/>
        <v>"C:\Program Files (x86)\AstroGrep\AstroGrep.exe" /spath="%USERPROFILE%\AppData\Local\Temp\OnboardLogs" /stypes="*4030*20160912*" /stext=" 03:.+((SYSTEM_STATE.+slice.+state.+changed )|(ment ac)|(system.+state.+changed )|(\|lc)|(penalty)|(\[timeout)|(PRM\|1\|D)|(kpr)|(kdp))" /e /r /s</v>
      </c>
      <c r="AG136" s="1" t="str">
        <f t="shared" si="109"/>
        <v>EC</v>
      </c>
      <c r="AH136" s="100" t="str">
        <f t="shared" si="63"/>
        <v>"%USERPROFILE%\Documents\GitHub\eaglep3\Utilities\RefineRTDCRunTimes.py" --tripid 224-11 --locoid 4030 --swversion DE.1.0.7.0 --startMP 204:232990 --initTime 2016-09-11T20:20:52 --startdatetime 2016-09-11T20:26:38 --delay 1 --endMP 204:119 --enddatetime 2016-09-11T21:04:49 --enforcementcount 1 &gt;&gt;C:\Users\stu\Documents\GitHub\eaglep3-reporting\EC\2016-09-11-refined-times.txt</v>
      </c>
      <c r="AI136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{"issue":{"subject":"","project_id":79,"tracker_id":40,"status_id":1,"priority_id":2,"assigned_to_id":23,"start_date":"2016-09-11","description":"","custom_fields":[{"id":1,"name":"Subdivision","value":"EC"},{"id":4,"name":"Milepost","value":"23.2871"},{"id":17,"name":"Train ID","value":"224-11"},{"id":16,"name":"Locomotive ID","value":"4030"},{"id":130,"name":"Impact","value":""},{"id":150,"name":"Time of Event (Mountain Time)","value":"21:04:49"},{"id":151,"name":"Denver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x14ac:dyDescent="0.25">
      <c r="A137" s="39" t="s">
        <v>631</v>
      </c>
      <c r="B137" s="7">
        <v>4018</v>
      </c>
      <c r="C137" s="24" t="s">
        <v>108</v>
      </c>
      <c r="D137" s="24" t="s">
        <v>353</v>
      </c>
      <c r="E137" s="15">
        <v>42624.828217592592</v>
      </c>
      <c r="F137" s="15">
        <v>42624.83357638889</v>
      </c>
      <c r="G137" s="7">
        <v>1</v>
      </c>
      <c r="H137" s="15" t="s">
        <v>236</v>
      </c>
      <c r="I137" s="15">
        <v>42624.857604166667</v>
      </c>
      <c r="J137" s="7">
        <v>1</v>
      </c>
      <c r="K137" s="121" t="str">
        <f t="shared" si="106"/>
        <v>4017/4018</v>
      </c>
      <c r="L137" s="24" t="str">
        <f>VLOOKUP(A137,'Trips&amp;Operators'!$C$1:$E$10000,3,FALSE)</f>
        <v>NEWELL</v>
      </c>
      <c r="M137" s="6">
        <f t="shared" si="111"/>
        <v>2.4027777777519077E-2</v>
      </c>
      <c r="N137" s="7">
        <f t="shared" si="98"/>
        <v>34.599999999627471</v>
      </c>
      <c r="O137" s="7"/>
      <c r="P137" s="7"/>
      <c r="Q137" s="25"/>
      <c r="R137" s="25"/>
      <c r="S137" s="37">
        <f t="shared" si="112"/>
        <v>1</v>
      </c>
      <c r="T137" s="52" t="str">
        <f t="shared" si="107"/>
        <v>NorthBound</v>
      </c>
      <c r="U137" s="163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18:52:38-0600',mode:absolute,to:'2016-09-11 21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37" s="54" t="str">
        <f t="shared" si="114"/>
        <v>N</v>
      </c>
      <c r="X137" s="168">
        <f t="shared" si="110"/>
        <v>1</v>
      </c>
      <c r="Y137" s="69">
        <f t="shared" si="115"/>
        <v>4.4400000000000002E-2</v>
      </c>
      <c r="Z137" s="69">
        <f t="shared" si="116"/>
        <v>23.330500000000001</v>
      </c>
      <c r="AA137" s="69">
        <f t="shared" si="117"/>
        <v>23.286100000000001</v>
      </c>
      <c r="AB137" s="66" t="e">
        <f>VLOOKUP(A137,Enforcements!$C$7:$K$21,8,0)</f>
        <v>#N/A</v>
      </c>
      <c r="AC137" s="62" t="e">
        <f>VLOOKUP(A137,Enforcements!$C$7:$E$21,3,0)</f>
        <v>#N/A</v>
      </c>
      <c r="AD137" s="63" t="str">
        <f t="shared" si="108"/>
        <v>0225-11</v>
      </c>
      <c r="AE137" s="99" t="str">
        <f t="shared" si="118"/>
        <v>aws s3 cp s3://rtdc.mdm.uploadarchive/RTDC4018/2016-09-11/ "%USERPROFILE%\AppData\Local\Temp\OnboardLogs"\RTDC4018\2016-09-11 --recursive &amp; "%USERPROFILE%\Documents\GitHub\mrs-test-scripts\Headless Mode &amp; Sideloading\WalkAndUnGZ.bat" "%USERPROFILE%\AppData\Local\Temp\OnboardLogs"\RTDC4018\2016-09-11 &amp; aws s3 cp s3://rtdc.mdm.uploadarchive/RTDC4018/2016-09-12/ "%USERPROFILE%\AppData\Local\Temp\OnboardLogs"\RTDC4018\2016-09-12 --recursive &amp; "%USERPROFILE%\Documents\GitHub\mrs-test-scripts\Headless Mode &amp; Sideloading\WalkAndUnGZ.bat" "%USERPROFILE%\AppData\Local\Temp\OnboardLogs"\RTDC4018\2016-09-12</v>
      </c>
      <c r="AF137" s="96" t="str">
        <f t="shared" si="119"/>
        <v>"C:\Program Files (x86)\AstroGrep\AstroGrep.exe" /spath="%USERPROFILE%\AppData\Local\Temp\OnboardLogs" /stypes="*4018*20160912*" /stext=" 02:.+((SYSTEM_STATE.+slice.+state.+changed )|(ment ac)|(system.+state.+changed )|(\|lc)|(penalty)|(\[timeout)|(PRM\|1\|D)|(kpr)|(kdp))" /e /r /s</v>
      </c>
      <c r="AG137" s="1" t="str">
        <f t="shared" si="109"/>
        <v>EC</v>
      </c>
      <c r="AH137" s="100" t="str">
        <f t="shared" si="63"/>
        <v>"%USERPROFILE%\Documents\GitHub\eaglep3\Utilities\RefineRTDCRunTimes.py" --tripid 225-11 --locoid 4018 --swversion DE.1.0.7.0 --startMP 204:444 --initTime 2016-09-11T19:52:38 --startdatetime 2016-09-11T20:00:21 --delay 1 --endMP 204:233305 --enddatetime 2016-09-11T20:34:57 --enforcementcount 1 &gt;&gt;C:\Users\stu\Documents\GitHub\eaglep3-reporting\EC\2016-09-11-refined-times.txt</v>
      </c>
      <c r="AI137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{"issue":{"subject":"","project_id":79,"tracker_id":40,"status_id":1,"priority_id":2,"assigned_to_id":23,"start_date":"2016-09-11","description":"","custom_fields":[{"id":1,"name":"Subdivision","value":"EC"},{"id":4,"name":"Milepost","value":"23.2861"},{"id":17,"name":"Train ID","value":"225-11"},{"id":16,"name":"Locomotive ID","value":"4018"},{"id":130,"name":"Impact","value":""},{"id":150,"name":"Time of Event (Mountain Time)","value":"20:34:57"},{"id":151,"name":"Denver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s="23" customFormat="1" x14ac:dyDescent="0.25">
      <c r="A138" s="39" t="s">
        <v>632</v>
      </c>
      <c r="B138" s="7">
        <v>4017</v>
      </c>
      <c r="C138" s="24" t="s">
        <v>108</v>
      </c>
      <c r="D138" s="24" t="s">
        <v>237</v>
      </c>
      <c r="E138" s="15">
        <v>42624.865601851852</v>
      </c>
      <c r="F138" s="15">
        <v>42624.872407407405</v>
      </c>
      <c r="G138" s="7">
        <v>1</v>
      </c>
      <c r="H138" s="15" t="s">
        <v>241</v>
      </c>
      <c r="I138" s="15">
        <v>42624.898796296293</v>
      </c>
      <c r="J138" s="7">
        <v>1</v>
      </c>
      <c r="K138" s="121" t="str">
        <f t="shared" si="106"/>
        <v>4017/4018</v>
      </c>
      <c r="L138" s="24" t="str">
        <f>VLOOKUP(A138,'Trips&amp;Operators'!$C$1:$E$10000,3,FALSE)</f>
        <v>NEWELL</v>
      </c>
      <c r="M138" s="6">
        <f t="shared" si="111"/>
        <v>2.6388888887595385E-2</v>
      </c>
      <c r="N138" s="7">
        <f t="shared" si="98"/>
        <v>37.999999998137355</v>
      </c>
      <c r="O138" s="7"/>
      <c r="P138" s="7"/>
      <c r="Q138" s="25"/>
      <c r="R138" s="25"/>
      <c r="S138" s="37">
        <f t="shared" si="112"/>
        <v>1</v>
      </c>
      <c r="T138" s="52" t="str">
        <f t="shared" si="107"/>
        <v>Southbound</v>
      </c>
      <c r="U138" s="163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19:46:28-0600',mode:absolute,to:'2016-09-11 22:34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38" s="54" t="str">
        <f t="shared" si="114"/>
        <v>N</v>
      </c>
      <c r="X138" s="168">
        <f t="shared" si="110"/>
        <v>1</v>
      </c>
      <c r="Y138" s="69">
        <f t="shared" si="115"/>
        <v>23.298999999999999</v>
      </c>
      <c r="Z138" s="69">
        <f t="shared" si="116"/>
        <v>1.4999999999999999E-2</v>
      </c>
      <c r="AA138" s="69">
        <f t="shared" si="117"/>
        <v>23.283999999999999</v>
      </c>
      <c r="AB138" s="66" t="e">
        <f>VLOOKUP(A138,Enforcements!$C$7:$K$21,8,0)</f>
        <v>#N/A</v>
      </c>
      <c r="AC138" s="62" t="e">
        <f>VLOOKUP(A138,Enforcements!$C$7:$E$21,3,0)</f>
        <v>#N/A</v>
      </c>
      <c r="AD138" s="63" t="str">
        <f t="shared" si="108"/>
        <v>0226-11</v>
      </c>
      <c r="AE138" s="99" t="str">
        <f t="shared" si="118"/>
        <v>aws s3 cp s3://rtdc.mdm.uploadarchive/RTDC4017/2016-09-11/ "%USERPROFILE%\AppData\Local\Temp\OnboardLogs"\RTDC4017\2016-09-11 --recursive &amp; "%USERPROFILE%\Documents\GitHub\mrs-test-scripts\Headless Mode &amp; Sideloading\WalkAndUnGZ.bat" "%USERPROFILE%\AppData\Local\Temp\OnboardLogs"\RTDC4017\2016-09-11 &amp; aws s3 cp s3://rtdc.mdm.uploadarchive/RTDC4017/2016-09-12/ "%USERPROFILE%\AppData\Local\Temp\OnboardLogs"\RTDC4017\2016-09-12 --recursive &amp; "%USERPROFILE%\Documents\GitHub\mrs-test-scripts\Headless Mode &amp; Sideloading\WalkAndUnGZ.bat" "%USERPROFILE%\AppData\Local\Temp\OnboardLogs"\RTDC4017\2016-09-12</v>
      </c>
      <c r="AF138" s="96" t="str">
        <f t="shared" si="119"/>
        <v>"C:\Program Files (x86)\AstroGrep\AstroGrep.exe" /spath="%USERPROFILE%\AppData\Local\Temp\OnboardLogs" /stypes="*4017*20160912*" /stext=" 03:.+((SYSTEM_STATE.+slice.+state.+changed )|(ment ac)|(system.+state.+changed )|(\|lc)|(penalty)|(\[timeout)|(PRM\|1\|D)|(kpr)|(kdp))" /e /r /s</v>
      </c>
      <c r="AG138" s="1" t="str">
        <f t="shared" si="109"/>
        <v>EC</v>
      </c>
      <c r="AH138" s="100" t="str">
        <f t="shared" si="63"/>
        <v>"%USERPROFILE%\Documents\GitHub\eaglep3\Utilities\RefineRTDCRunTimes.py" --tripid 226-11 --locoid 4017 --swversion DE.1.0.7.0 --startMP 204:232990 --initTime 2016-09-11T20:46:28 --startdatetime 2016-09-11T20:56:16 --delay 1 --endMP 204:150 --enddatetime 2016-09-11T21:34:16 --enforcementcount 1 &gt;&gt;C:\Users\stu\Documents\GitHub\eaglep3-reporting\EC\2016-09-11-refined-times.txt</v>
      </c>
      <c r="AI138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{"issue":{"subject":"","project_id":79,"tracker_id":40,"status_id":1,"priority_id":2,"assigned_to_id":23,"start_date":"2016-09-11","description":"","custom_fields":[{"id":1,"name":"Subdivision","value":"EC"},{"id":4,"name":"Milepost","value":"23.284"},{"id":17,"name":"Train ID","value":"226-11"},{"id":16,"name":"Locomotive ID","value":"4017"},{"id":130,"name":"Impact","value":""},{"id":150,"name":"Time of Event (Mountain Time)","value":"21:34:16"},{"id":151,"name":"Denver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s="23" customFormat="1" x14ac:dyDescent="0.25">
      <c r="A139" s="39" t="s">
        <v>633</v>
      </c>
      <c r="B139" s="7">
        <v>4040</v>
      </c>
      <c r="C139" s="24" t="s">
        <v>108</v>
      </c>
      <c r="D139" s="24" t="s">
        <v>634</v>
      </c>
      <c r="E139" s="15">
        <v>42624.85297453704</v>
      </c>
      <c r="F139" s="15">
        <v>42624.854490740741</v>
      </c>
      <c r="G139" s="7">
        <v>1</v>
      </c>
      <c r="H139" s="15" t="s">
        <v>635</v>
      </c>
      <c r="I139" s="15">
        <v>42624.880011574074</v>
      </c>
      <c r="J139" s="7">
        <v>1</v>
      </c>
      <c r="K139" s="121" t="str">
        <f t="shared" si="106"/>
        <v>4039/4040</v>
      </c>
      <c r="L139" s="24" t="str">
        <f>VLOOKUP(A139,'Trips&amp;Operators'!$C$1:$E$10000,3,FALSE)</f>
        <v>CHANDLER</v>
      </c>
      <c r="M139" s="6">
        <f t="shared" si="111"/>
        <v>2.5520833332848269E-2</v>
      </c>
      <c r="N139" s="7">
        <f t="shared" si="98"/>
        <v>36.749999999301508</v>
      </c>
      <c r="O139" s="7"/>
      <c r="P139" s="7"/>
      <c r="Q139" s="25"/>
      <c r="R139" s="25"/>
      <c r="S139" s="37">
        <f t="shared" si="112"/>
        <v>1</v>
      </c>
      <c r="T139" s="52" t="str">
        <f t="shared" si="107"/>
        <v>NorthBound</v>
      </c>
      <c r="U139" s="163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19:28:17-0600',mode:absolute,to:'2016-09-11 22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39" s="54" t="str">
        <f t="shared" si="114"/>
        <v>N</v>
      </c>
      <c r="X139" s="168">
        <f t="shared" si="110"/>
        <v>1</v>
      </c>
      <c r="Y139" s="69">
        <f t="shared" si="115"/>
        <v>4.8599999999999997E-2</v>
      </c>
      <c r="Z139" s="69">
        <f t="shared" si="116"/>
        <v>23.328900000000001</v>
      </c>
      <c r="AA139" s="69">
        <f t="shared" si="117"/>
        <v>23.2803</v>
      </c>
      <c r="AB139" s="66" t="e">
        <f>VLOOKUP(A139,Enforcements!$C$7:$K$21,8,0)</f>
        <v>#N/A</v>
      </c>
      <c r="AC139" s="62" t="e">
        <f>VLOOKUP(A139,Enforcements!$C$7:$E$21,3,0)</f>
        <v>#N/A</v>
      </c>
      <c r="AD139" s="63" t="str">
        <f t="shared" si="108"/>
        <v>0227-11</v>
      </c>
      <c r="AE139" s="99" t="str">
        <f t="shared" si="118"/>
        <v>aws s3 cp s3://rtdc.mdm.uploadarchive/RTDC4040/2016-09-11/ "%USERPROFILE%\AppData\Local\Temp\OnboardLogs"\RTDC4040\2016-09-11 --recursive &amp; "%USERPROFILE%\Documents\GitHub\mrs-test-scripts\Headless Mode &amp; Sideloading\WalkAndUnGZ.bat" "%USERPROFILE%\AppData\Local\Temp\OnboardLogs"\RTDC4040\2016-09-11 &amp; aws s3 cp s3://rtdc.mdm.uploadarchive/RTDC4040/2016-09-12/ "%USERPROFILE%\AppData\Local\Temp\OnboardLogs"\RTDC4040\2016-09-12 --recursive &amp; "%USERPROFILE%\Documents\GitHub\mrs-test-scripts\Headless Mode &amp; Sideloading\WalkAndUnGZ.bat" "%USERPROFILE%\AppData\Local\Temp\OnboardLogs"\RTDC4040\2016-09-12</v>
      </c>
      <c r="AF139" s="96" t="str">
        <f t="shared" si="119"/>
        <v>"C:\Program Files (x86)\AstroGrep\AstroGrep.exe" /spath="%USERPROFILE%\AppData\Local\Temp\OnboardLogs" /stypes="*4040*20160912*" /stext=" 03:.+((SYSTEM_STATE.+slice.+state.+changed )|(ment ac)|(system.+state.+changed )|(\|lc)|(penalty)|(\[timeout)|(PRM\|1\|D)|(kpr)|(kdp))" /e /r /s</v>
      </c>
      <c r="AG139" s="1" t="str">
        <f t="shared" si="109"/>
        <v>EC</v>
      </c>
      <c r="AH139" s="100" t="str">
        <f t="shared" si="63"/>
        <v>"%USERPROFILE%\Documents\GitHub\eaglep3\Utilities\RefineRTDCRunTimes.py" --tripid 227-11 --locoid 4040 --swversion DE.1.0.7.0 --startMP 204:486 --initTime 2016-09-11T20:28:17 --startdatetime 2016-09-11T20:30:28 --delay 1 --endMP 204:233289 --enddatetime 2016-09-11T21:07:13 --enforcementcount 1 &gt;&gt;C:\Users\stu\Documents\GitHub\eaglep3-reporting\EC\2016-09-11-refined-times.txt</v>
      </c>
      <c r="AI139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{"issue":{"subject":"","project_id":79,"tracker_id":40,"status_id":1,"priority_id":2,"assigned_to_id":23,"start_date":"2016-09-11","description":"","custom_fields":[{"id":1,"name":"Subdivision","value":"EC"},{"id":4,"name":"Milepost","value":"23.2803"},{"id":17,"name":"Train ID","value":"227-11"},{"id":16,"name":"Locomotive ID","value":"4040"},{"id":130,"name":"Impact","value":""},{"id":150,"name":"Time of Event (Mountain Time)","value":"21:07:13"},{"id":151,"name":"Denver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s="23" customFormat="1" x14ac:dyDescent="0.25">
      <c r="A140" s="39" t="s">
        <v>636</v>
      </c>
      <c r="B140" s="7">
        <v>4039</v>
      </c>
      <c r="C140" s="24" t="s">
        <v>108</v>
      </c>
      <c r="D140" s="24" t="s">
        <v>281</v>
      </c>
      <c r="E140" s="15">
        <v>42624.891967592594</v>
      </c>
      <c r="F140" s="15">
        <v>42624.893483796295</v>
      </c>
      <c r="G140" s="7">
        <v>1</v>
      </c>
      <c r="H140" s="15" t="s">
        <v>235</v>
      </c>
      <c r="I140" s="15">
        <v>42624.9215625</v>
      </c>
      <c r="J140" s="7">
        <v>1</v>
      </c>
      <c r="K140" s="121" t="str">
        <f t="shared" si="106"/>
        <v>4039/4040</v>
      </c>
      <c r="L140" s="24" t="str">
        <f>VLOOKUP(A140,'Trips&amp;Operators'!$C$1:$E$10000,3,FALSE)</f>
        <v>CHANDLER</v>
      </c>
      <c r="M140" s="6">
        <f t="shared" si="111"/>
        <v>2.8078703704522923E-2</v>
      </c>
      <c r="N140" s="7">
        <f t="shared" si="98"/>
        <v>40.433333334513009</v>
      </c>
      <c r="O140" s="7"/>
      <c r="P140" s="7"/>
      <c r="Q140" s="25"/>
      <c r="R140" s="25"/>
      <c r="S140" s="37">
        <f t="shared" si="112"/>
        <v>1</v>
      </c>
      <c r="T140" s="52" t="str">
        <f t="shared" si="107"/>
        <v>Southbound</v>
      </c>
      <c r="U140" s="163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20:24:26-0600',mode:absolute,to:'2016-09-11 23:07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40" s="54" t="str">
        <f t="shared" si="114"/>
        <v>N</v>
      </c>
      <c r="X140" s="168">
        <f t="shared" si="110"/>
        <v>1</v>
      </c>
      <c r="Y140" s="69">
        <f t="shared" si="115"/>
        <v>23.296900000000001</v>
      </c>
      <c r="Z140" s="69">
        <f t="shared" si="116"/>
        <v>1.5800000000000002E-2</v>
      </c>
      <c r="AA140" s="69">
        <f t="shared" si="117"/>
        <v>23.281100000000002</v>
      </c>
      <c r="AB140" s="66" t="e">
        <f>VLOOKUP(A140,Enforcements!$C$7:$K$21,8,0)</f>
        <v>#N/A</v>
      </c>
      <c r="AC140" s="62" t="e">
        <f>VLOOKUP(A140,Enforcements!$C$7:$E$21,3,0)</f>
        <v>#N/A</v>
      </c>
      <c r="AD140" s="63" t="str">
        <f t="shared" si="108"/>
        <v>0228-11</v>
      </c>
      <c r="AE140" s="99" t="str">
        <f t="shared" si="118"/>
        <v>aws s3 cp s3://rtdc.mdm.uploadarchive/RTDC4039/2016-09-11/ "%USERPROFILE%\AppData\Local\Temp\OnboardLogs"\RTDC4039\2016-09-11 --recursive &amp; "%USERPROFILE%\Documents\GitHub\mrs-test-scripts\Headless Mode &amp; Sideloading\WalkAndUnGZ.bat" "%USERPROFILE%\AppData\Local\Temp\OnboardLogs"\RTDC4039\2016-09-11 &amp; aws s3 cp s3://rtdc.mdm.uploadarchive/RTDC4039/2016-09-12/ "%USERPROFILE%\AppData\Local\Temp\OnboardLogs"\RTDC4039\2016-09-12 --recursive &amp; "%USERPROFILE%\Documents\GitHub\mrs-test-scripts\Headless Mode &amp; Sideloading\WalkAndUnGZ.bat" "%USERPROFILE%\AppData\Local\Temp\OnboardLogs"\RTDC4039\2016-09-12</v>
      </c>
      <c r="AF140" s="96" t="str">
        <f t="shared" si="119"/>
        <v>"C:\Program Files (x86)\AstroGrep\AstroGrep.exe" /spath="%USERPROFILE%\AppData\Local\Temp\OnboardLogs" /stypes="*4039*20160912*" /stext=" 04:.+((SYSTEM_STATE.+slice.+state.+changed )|(ment ac)|(system.+state.+changed )|(\|lc)|(penalty)|(\[timeout)|(PRM\|1\|D)|(kpr)|(kdp))" /e /r /s</v>
      </c>
      <c r="AG140" s="1" t="str">
        <f t="shared" si="109"/>
        <v>EC</v>
      </c>
      <c r="AH140" s="100" t="str">
        <f t="shared" si="63"/>
        <v>"%USERPROFILE%\Documents\GitHub\eaglep3\Utilities\RefineRTDCRunTimes.py" --tripid 228-11 --locoid 4039 --swversion DE.1.0.7.0 --startMP 204:232969 --initTime 2016-09-11T21:24:26 --startdatetime 2016-09-11T21:26:37 --delay 1 --endMP 204:158 --enddatetime 2016-09-11T22:07:03 --enforcementcount 1 &gt;&gt;C:\Users\stu\Documents\GitHub\eaglep3-reporting\EC\2016-09-11-refined-times.txt</v>
      </c>
      <c r="AI140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{"issue":{"subject":"","project_id":79,"tracker_id":40,"status_id":1,"priority_id":2,"assigned_to_id":23,"start_date":"2016-09-11","description":"","custom_fields":[{"id":1,"name":"Subdivision","value":"EC"},{"id":4,"name":"Milepost","value":"23.2811"},{"id":17,"name":"Train ID","value":"228-11"},{"id":16,"name":"Locomotive ID","value":"4039"},{"id":130,"name":"Impact","value":""},{"id":150,"name":"Time of Event (Mountain Time)","value":"22:07:03"},{"id":151,"name":"Denver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x14ac:dyDescent="0.25">
      <c r="A141" s="39" t="s">
        <v>637</v>
      </c>
      <c r="B141" s="7">
        <v>4042</v>
      </c>
      <c r="C141" s="24" t="s">
        <v>108</v>
      </c>
      <c r="D141" s="24" t="s">
        <v>343</v>
      </c>
      <c r="E141" s="15">
        <v>42624.868356481478</v>
      </c>
      <c r="F141" s="15">
        <v>42624.8753125</v>
      </c>
      <c r="G141" s="7">
        <v>1</v>
      </c>
      <c r="H141" s="15" t="s">
        <v>349</v>
      </c>
      <c r="I141" s="15">
        <v>42624.902037037034</v>
      </c>
      <c r="J141" s="7">
        <v>1</v>
      </c>
      <c r="K141" s="121" t="str">
        <f t="shared" si="106"/>
        <v>4041/4042</v>
      </c>
      <c r="L141" s="24" t="str">
        <f>VLOOKUP(A141,'Trips&amp;Operators'!$C$1:$E$10000,3,FALSE)</f>
        <v>LEVERE</v>
      </c>
      <c r="M141" s="6">
        <f t="shared" si="111"/>
        <v>2.6724537034169771E-2</v>
      </c>
      <c r="N141" s="7">
        <f t="shared" ref="N141:N172" si="120">24*60*SUM($M141:$M141)</f>
        <v>38.48333332920447</v>
      </c>
      <c r="O141" s="7"/>
      <c r="P141" s="7"/>
      <c r="Q141" s="25"/>
      <c r="R141" s="25"/>
      <c r="S141" s="37">
        <f t="shared" si="112"/>
        <v>1</v>
      </c>
      <c r="T141" s="52" t="str">
        <f t="shared" si="107"/>
        <v>NorthBound</v>
      </c>
      <c r="U141" s="163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19:50:26-0600',mode:absolute,to:'2016-09-11 22:38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41" s="54" t="str">
        <f t="shared" si="114"/>
        <v>N</v>
      </c>
      <c r="X141" s="168">
        <f t="shared" si="110"/>
        <v>1</v>
      </c>
      <c r="Y141" s="69">
        <f t="shared" si="115"/>
        <v>4.7800000000000002E-2</v>
      </c>
      <c r="Z141" s="69">
        <f t="shared" si="116"/>
        <v>23.328600000000002</v>
      </c>
      <c r="AA141" s="69">
        <f t="shared" si="117"/>
        <v>23.280800000000003</v>
      </c>
      <c r="AB141" s="66" t="e">
        <f>VLOOKUP(A141,Enforcements!$C$7:$K$21,8,0)</f>
        <v>#N/A</v>
      </c>
      <c r="AC141" s="62" t="e">
        <f>VLOOKUP(A141,Enforcements!$C$7:$E$21,3,0)</f>
        <v>#N/A</v>
      </c>
      <c r="AD141" s="63" t="str">
        <f t="shared" si="108"/>
        <v>0229-11</v>
      </c>
      <c r="AE141" s="99" t="str">
        <f t="shared" si="118"/>
        <v>aws s3 cp s3://rtdc.mdm.uploadarchive/RTDC4042/2016-09-11/ "%USERPROFILE%\AppData\Local\Temp\OnboardLogs"\RTDC4042\2016-09-11 --recursive &amp; "%USERPROFILE%\Documents\GitHub\mrs-test-scripts\Headless Mode &amp; Sideloading\WalkAndUnGZ.bat" "%USERPROFILE%\AppData\Local\Temp\OnboardLogs"\RTDC4042\2016-09-11 &amp; 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</v>
      </c>
      <c r="AF141" s="96" t="str">
        <f t="shared" si="119"/>
        <v>"C:\Program Files (x86)\AstroGrep\AstroGrep.exe" /spath="%USERPROFILE%\AppData\Local\Temp\OnboardLogs" /stypes="*4042*20160912*" /stext=" 03:.+((SYSTEM_STATE.+slice.+state.+changed )|(ment ac)|(system.+state.+changed )|(\|lc)|(penalty)|(\[timeout)|(PRM\|1\|D)|(kpr)|(kdp))" /e /r /s</v>
      </c>
      <c r="AG141" s="1" t="str">
        <f t="shared" si="109"/>
        <v>EC</v>
      </c>
      <c r="AH141" s="100" t="str">
        <f t="shared" si="63"/>
        <v>"%USERPROFILE%\Documents\GitHub\eaglep3\Utilities\RefineRTDCRunTimes.py" --tripid 229-11 --locoid 4042 --swversion DE.1.0.7.0 --startMP 204:478 --initTime 2016-09-11T20:50:26 --startdatetime 2016-09-11T21:00:27 --delay 1 --endMP 204:233286 --enddatetime 2016-09-11T21:38:56 --enforcementcount 1 &gt;&gt;C:\Users\stu\Documents\GitHub\eaglep3-reporting\EC\2016-09-11-refined-times.txt</v>
      </c>
      <c r="AI141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{"issue":{"subject":"","project_id":79,"tracker_id":40,"status_id":1,"priority_id":2,"assigned_to_id":23,"start_date":"2016-09-11","description":"","custom_fields":[{"id":1,"name":"Subdivision","value":"EC"},{"id":4,"name":"Milepost","value":"23.2808"},{"id":17,"name":"Train ID","value":"229-11"},{"id":16,"name":"Locomotive ID","value":"4042"},{"id":130,"name":"Impact","value":""},{"id":150,"name":"Time of Event (Mountain Time)","value":"21:38:56"},{"id":151,"name":"Denver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x14ac:dyDescent="0.25">
      <c r="A142" s="39" t="s">
        <v>638</v>
      </c>
      <c r="B142" s="7">
        <v>4041</v>
      </c>
      <c r="C142" s="24" t="s">
        <v>108</v>
      </c>
      <c r="D142" s="24" t="s">
        <v>309</v>
      </c>
      <c r="E142" s="15">
        <v>42624.907546296294</v>
      </c>
      <c r="F142" s="15">
        <v>42624.914120370369</v>
      </c>
      <c r="G142" s="7">
        <v>6</v>
      </c>
      <c r="H142" s="15" t="s">
        <v>241</v>
      </c>
      <c r="I142" s="15">
        <v>42624.942314814813</v>
      </c>
      <c r="J142" s="7">
        <v>1</v>
      </c>
      <c r="K142" s="121" t="str">
        <f t="shared" si="106"/>
        <v>4041/4042</v>
      </c>
      <c r="L142" s="24" t="str">
        <f>VLOOKUP(A142,'Trips&amp;Operators'!$C$1:$E$10000,3,FALSE)</f>
        <v>LEVERE</v>
      </c>
      <c r="M142" s="6">
        <f t="shared" si="111"/>
        <v>2.8194444443215616E-2</v>
      </c>
      <c r="N142" s="7">
        <f t="shared" si="120"/>
        <v>40.599999998230487</v>
      </c>
      <c r="O142" s="7"/>
      <c r="P142" s="7"/>
      <c r="Q142" s="25"/>
      <c r="R142" s="25"/>
      <c r="S142" s="37">
        <f t="shared" si="112"/>
        <v>1</v>
      </c>
      <c r="T142" s="52" t="str">
        <f t="shared" si="107"/>
        <v>Southbound</v>
      </c>
      <c r="U142" s="163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20:46:52-0600',mode:absolute,to:'2016-09-11 23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42" s="54" t="str">
        <f t="shared" si="114"/>
        <v>N</v>
      </c>
      <c r="X142" s="168">
        <f t="shared" si="110"/>
        <v>1</v>
      </c>
      <c r="Y142" s="69">
        <f t="shared" si="115"/>
        <v>23.296500000000002</v>
      </c>
      <c r="Z142" s="69">
        <f t="shared" si="116"/>
        <v>1.4999999999999999E-2</v>
      </c>
      <c r="AA142" s="69">
        <f t="shared" si="117"/>
        <v>23.281500000000001</v>
      </c>
      <c r="AB142" s="66" t="e">
        <f>VLOOKUP(A142,Enforcements!$C$7:$K$21,8,0)</f>
        <v>#N/A</v>
      </c>
      <c r="AC142" s="62" t="e">
        <f>VLOOKUP(A142,Enforcements!$C$7:$E$21,3,0)</f>
        <v>#N/A</v>
      </c>
      <c r="AD142" s="63" t="str">
        <f t="shared" si="108"/>
        <v>0230-11</v>
      </c>
      <c r="AE142" s="99" t="str">
        <f t="shared" si="118"/>
        <v>aws s3 cp s3://rtdc.mdm.uploadarchive/RTDC4041/2016-09-11/ "%USERPROFILE%\AppData\Local\Temp\OnboardLogs"\RTDC4041\2016-09-11 --recursive &amp; "%USERPROFILE%\Documents\GitHub\mrs-test-scripts\Headless Mode &amp; Sideloading\WalkAndUnGZ.bat" "%USERPROFILE%\AppData\Local\Temp\OnboardLogs"\RTDC4041\2016-09-11 &amp; 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</v>
      </c>
      <c r="AF142" s="96" t="str">
        <f t="shared" si="119"/>
        <v>"C:\Program Files (x86)\AstroGrep\AstroGrep.exe" /spath="%USERPROFILE%\AppData\Local\Temp\OnboardLogs" /stypes="*4041*20160912*" /stext=" 04:.+((SYSTEM_STATE.+slice.+state.+changed )|(ment ac)|(system.+state.+changed )|(\|lc)|(penalty)|(\[timeout)|(PRM\|1\|D)|(kpr)|(kdp))" /e /r /s</v>
      </c>
      <c r="AG142" s="1" t="str">
        <f t="shared" si="109"/>
        <v>EC</v>
      </c>
      <c r="AH142" s="100" t="str">
        <f t="shared" si="63"/>
        <v>"%USERPROFILE%\Documents\GitHub\eaglep3\Utilities\RefineRTDCRunTimes.py" --tripid 230-11 --locoid 4041 --swversion DE.1.0.7.0 --startMP 204:232965 --initTime 2016-09-11T21:46:52 --startdatetime 2016-09-11T21:56:20 --delay 6 --endMP 204:150 --enddatetime 2016-09-11T22:36:56 --enforcementcount 1 &gt;&gt;C:\Users\stu\Documents\GitHub\eaglep3-reporting\EC\2016-09-11-refined-times.txt</v>
      </c>
      <c r="AI142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{"issue":{"subject":"","project_id":79,"tracker_id":40,"status_id":1,"priority_id":2,"assigned_to_id":23,"start_date":"2016-09-11","description":"","custom_fields":[{"id":1,"name":"Subdivision","value":"EC"},{"id":4,"name":"Milepost","value":"23.2815"},{"id":17,"name":"Train ID","value":"230-11"},{"id":16,"name":"Locomotive ID","value":"4041"},{"id":130,"name":"Impact","value":""},{"id":150,"name":"Time of Event (Mountain Time)","value":"22:36:56"},{"id":151,"name":"Denver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x14ac:dyDescent="0.25">
      <c r="A143" s="39" t="s">
        <v>639</v>
      </c>
      <c r="B143" s="7">
        <v>4029</v>
      </c>
      <c r="C143" s="24" t="s">
        <v>108</v>
      </c>
      <c r="D143" s="24" t="s">
        <v>270</v>
      </c>
      <c r="E143" s="15">
        <v>42624.890057870369</v>
      </c>
      <c r="F143" s="15">
        <v>42624.896099537036</v>
      </c>
      <c r="G143" s="7">
        <v>1</v>
      </c>
      <c r="H143" s="15" t="s">
        <v>640</v>
      </c>
      <c r="I143" s="15">
        <v>42624.921805555554</v>
      </c>
      <c r="J143" s="7">
        <v>1</v>
      </c>
      <c r="K143" s="121" t="str">
        <f t="shared" si="106"/>
        <v>4029/4030</v>
      </c>
      <c r="L143" s="24" t="str">
        <f>VLOOKUP(A143,'Trips&amp;Operators'!$C$1:$E$10000,3,FALSE)</f>
        <v>OUN</v>
      </c>
      <c r="M143" s="6">
        <f t="shared" si="111"/>
        <v>2.5706018517666962E-2</v>
      </c>
      <c r="N143" s="7">
        <f t="shared" si="120"/>
        <v>37.016666665440425</v>
      </c>
      <c r="O143" s="7"/>
      <c r="P143" s="7"/>
      <c r="Q143" s="25"/>
      <c r="R143" s="25"/>
      <c r="S143" s="37">
        <f t="shared" si="112"/>
        <v>1</v>
      </c>
      <c r="T143" s="52" t="str">
        <f t="shared" si="107"/>
        <v>NorthBound</v>
      </c>
      <c r="U143" s="163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20:21:41-0600',mode:absolute,to:'2016-09-11 23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43" s="54" t="str">
        <f t="shared" si="114"/>
        <v>N</v>
      </c>
      <c r="X143" s="168">
        <f t="shared" ref="X143:X167" si="121">VALUE(LEFT(AD143,4))-VALUE(LEFT(AD142,4))</f>
        <v>1</v>
      </c>
      <c r="Y143" s="69">
        <f t="shared" si="115"/>
        <v>4.7699999999999999E-2</v>
      </c>
      <c r="Z143" s="69">
        <f t="shared" si="116"/>
        <v>23.3322</v>
      </c>
      <c r="AA143" s="69">
        <f t="shared" si="117"/>
        <v>23.284500000000001</v>
      </c>
      <c r="AB143" s="66" t="e">
        <f>VLOOKUP(A143,Enforcements!$C$7:$K$21,8,0)</f>
        <v>#N/A</v>
      </c>
      <c r="AC143" s="62" t="e">
        <f>VLOOKUP(A143,Enforcements!$C$7:$E$21,3,0)</f>
        <v>#N/A</v>
      </c>
      <c r="AD143" s="63" t="str">
        <f t="shared" si="108"/>
        <v>0231-11</v>
      </c>
      <c r="AE143" s="99" t="str">
        <f t="shared" si="118"/>
        <v>aws s3 cp s3://rtdc.mdm.uploadarchive/RTDC4029/2016-09-11/ "%USERPROFILE%\AppData\Local\Temp\OnboardLogs"\RTDC4029\2016-09-11 --recursive &amp; "%USERPROFILE%\Documents\GitHub\mrs-test-scripts\Headless Mode &amp; Sideloading\WalkAndUnGZ.bat" "%USERPROFILE%\AppData\Local\Temp\OnboardLogs"\RTDC4029\2016-09-11 &amp; aws s3 cp s3://rtdc.mdm.uploadarchive/RTDC4029/2016-09-12/ "%USERPROFILE%\AppData\Local\Temp\OnboardLogs"\RTDC4029\2016-09-12 --recursive &amp; "%USERPROFILE%\Documents\GitHub\mrs-test-scripts\Headless Mode &amp; Sideloading\WalkAndUnGZ.bat" "%USERPROFILE%\AppData\Local\Temp\OnboardLogs"\RTDC4029\2016-09-12</v>
      </c>
      <c r="AF143" s="96" t="str">
        <f t="shared" si="119"/>
        <v>"C:\Program Files (x86)\AstroGrep\AstroGrep.exe" /spath="%USERPROFILE%\AppData\Local\Temp\OnboardLogs" /stypes="*4029*20160912*" /stext=" 04:.+((SYSTEM_STATE.+slice.+state.+changed )|(ment ac)|(system.+state.+changed )|(\|lc)|(penalty)|(\[timeout)|(PRM\|1\|D)|(kpr)|(kdp))" /e /r /s</v>
      </c>
      <c r="AG143" s="1" t="str">
        <f t="shared" si="109"/>
        <v>EC</v>
      </c>
      <c r="AH143" s="100" t="str">
        <f t="shared" si="63"/>
        <v>"%USERPROFILE%\Documents\GitHub\eaglep3\Utilities\RefineRTDCRunTimes.py" --tripid 231-11 --locoid 4029 --swversion DE.1.0.7.0 --startMP 204:477 --initTime 2016-09-11T21:21:41 --startdatetime 2016-09-11T21:30:23 --delay 1 --endMP 204:233322 --enddatetime 2016-09-11T22:07:24 --enforcementcount 1 &gt;&gt;C:\Users\stu\Documents\GitHub\eaglep3-reporting\EC\2016-09-11-refined-times.txt</v>
      </c>
      <c r="AI143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{"issue":{"subject":"","project_id":79,"tracker_id":40,"status_id":1,"priority_id":2,"assigned_to_id":23,"start_date":"2016-09-11","description":"","custom_fields":[{"id":1,"name":"Subdivision","value":"EC"},{"id":4,"name":"Milepost","value":"23.2845"},{"id":17,"name":"Train ID","value":"231-11"},{"id":16,"name":"Locomotive ID","value":"4029"},{"id":130,"name":"Impact","value":""},{"id":150,"name":"Time of Event (Mountain Time)","value":"22:07:24"},{"id":151,"name":"Denver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s="23" customFormat="1" x14ac:dyDescent="0.25">
      <c r="A144" s="39" t="s">
        <v>641</v>
      </c>
      <c r="B144" s="7">
        <v>4030</v>
      </c>
      <c r="C144" s="24" t="s">
        <v>108</v>
      </c>
      <c r="D144" s="24" t="s">
        <v>342</v>
      </c>
      <c r="E144" s="15">
        <v>42624.929791666669</v>
      </c>
      <c r="F144" s="15">
        <v>42624.935057870367</v>
      </c>
      <c r="G144" s="7">
        <v>1</v>
      </c>
      <c r="H144" s="15" t="s">
        <v>238</v>
      </c>
      <c r="I144" s="15">
        <v>42624.961921296293</v>
      </c>
      <c r="J144" s="7">
        <v>1</v>
      </c>
      <c r="K144" s="121" t="str">
        <f t="shared" si="106"/>
        <v>4029/4030</v>
      </c>
      <c r="L144" s="24" t="str">
        <f>VLOOKUP(A144,'Trips&amp;Operators'!$C$1:$E$10000,3,FALSE)</f>
        <v>OUN</v>
      </c>
      <c r="M144" s="6">
        <f t="shared" si="111"/>
        <v>2.6863425926421769E-2</v>
      </c>
      <c r="N144" s="7">
        <f t="shared" si="120"/>
        <v>38.683333334047347</v>
      </c>
      <c r="O144" s="7"/>
      <c r="P144" s="7"/>
      <c r="Q144" s="25"/>
      <c r="R144" s="25"/>
      <c r="S144" s="37">
        <f t="shared" si="112"/>
        <v>1</v>
      </c>
      <c r="T144" s="52" t="str">
        <f t="shared" si="107"/>
        <v>Southbound</v>
      </c>
      <c r="U144" s="163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21:18:54-0600',mode:absolute,to:'2016-09-12 00:05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44" s="54" t="str">
        <f t="shared" si="114"/>
        <v>N</v>
      </c>
      <c r="X144" s="168">
        <f t="shared" si="121"/>
        <v>1</v>
      </c>
      <c r="Y144" s="69">
        <f t="shared" si="115"/>
        <v>23.299199999999999</v>
      </c>
      <c r="Z144" s="69">
        <f t="shared" si="116"/>
        <v>1.47E-2</v>
      </c>
      <c r="AA144" s="69">
        <f t="shared" si="117"/>
        <v>23.284499999999998</v>
      </c>
      <c r="AB144" s="66" t="e">
        <f>VLOOKUP(A144,Enforcements!$C$7:$K$21,8,0)</f>
        <v>#N/A</v>
      </c>
      <c r="AC144" s="62" t="e">
        <f>VLOOKUP(A144,Enforcements!$C$7:$E$21,3,0)</f>
        <v>#N/A</v>
      </c>
      <c r="AD144" s="63" t="str">
        <f t="shared" si="108"/>
        <v>0232-11</v>
      </c>
      <c r="AE144" s="99" t="str">
        <f t="shared" si="118"/>
        <v>aws s3 cp s3://rtdc.mdm.uploadarchive/RTDC4030/2016-09-11/ "%USERPROFILE%\AppData\Local\Temp\OnboardLogs"\RTDC4030\2016-09-11 --recursive &amp; "%USERPROFILE%\Documents\GitHub\mrs-test-scripts\Headless Mode &amp; Sideloading\WalkAndUnGZ.bat" "%USERPROFILE%\AppData\Local\Temp\OnboardLogs"\RTDC4030\2016-09-11 &amp; aws s3 cp s3://rtdc.mdm.uploadarchive/RTDC4030/2016-09-12/ "%USERPROFILE%\AppData\Local\Temp\OnboardLogs"\RTDC4030\2016-09-12 --recursive &amp; "%USERPROFILE%\Documents\GitHub\mrs-test-scripts\Headless Mode &amp; Sideloading\WalkAndUnGZ.bat" "%USERPROFILE%\AppData\Local\Temp\OnboardLogs"\RTDC4030\2016-09-12</v>
      </c>
      <c r="AF144" s="96" t="str">
        <f t="shared" si="119"/>
        <v>"C:\Program Files (x86)\AstroGrep\AstroGrep.exe" /spath="%USERPROFILE%\AppData\Local\Temp\OnboardLogs" /stypes="*4030*20160912*" /stext=" 05:.+((SYSTEM_STATE.+slice.+state.+changed )|(ment ac)|(system.+state.+changed )|(\|lc)|(penalty)|(\[timeout)|(PRM\|1\|D)|(kpr)|(kdp))" /e /r /s</v>
      </c>
      <c r="AG144" s="1" t="str">
        <f t="shared" si="109"/>
        <v>EC</v>
      </c>
      <c r="AH144" s="100" t="str">
        <f t="shared" si="63"/>
        <v>"%USERPROFILE%\Documents\GitHub\eaglep3\Utilities\RefineRTDCRunTimes.py" --tripid 232-11 --locoid 4030 --swversion DE.1.0.7.0 --startMP 204:232992 --initTime 2016-09-11T22:18:54 --startdatetime 2016-09-11T22:26:29 --delay 1 --endMP 204:147 --enddatetime 2016-09-11T23:05:10 --enforcementcount 1 &gt;&gt;C:\Users\stu\Documents\GitHub\eaglep3-reporting\EC\2016-09-11-refined-times.txt</v>
      </c>
      <c r="AI144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{"issue":{"subject":"","project_id":79,"tracker_id":40,"status_id":1,"priority_id":2,"assigned_to_id":23,"start_date":"2016-09-11","description":"","custom_fields":[{"id":1,"name":"Subdivision","value":"EC"},{"id":4,"name":"Milepost","value":"23.2845"},{"id":17,"name":"Train ID","value":"232-11"},{"id":16,"name":"Locomotive ID","value":"4030"},{"id":130,"name":"Impact","value":""},{"id":150,"name":"Time of Event (Mountain Time)","value":"23:05:10"},{"id":151,"name":"Denver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642</v>
      </c>
      <c r="B145" s="7">
        <v>4018</v>
      </c>
      <c r="C145" s="24" t="s">
        <v>108</v>
      </c>
      <c r="D145" s="24" t="s">
        <v>245</v>
      </c>
      <c r="E145" s="15">
        <v>42624.900555555556</v>
      </c>
      <c r="F145" s="15">
        <v>42624.916886574072</v>
      </c>
      <c r="G145" s="7">
        <v>1</v>
      </c>
      <c r="H145" s="15" t="s">
        <v>640</v>
      </c>
      <c r="I145" s="15">
        <v>42624.940891203703</v>
      </c>
      <c r="J145" s="7">
        <v>1</v>
      </c>
      <c r="K145" s="121" t="str">
        <f t="shared" si="106"/>
        <v>4017/4018</v>
      </c>
      <c r="L145" s="24" t="str">
        <f>VLOOKUP(A145,'Trips&amp;Operators'!$C$1:$E$10000,3,FALSE)</f>
        <v>NEWELL</v>
      </c>
      <c r="M145" s="6">
        <f t="shared" si="111"/>
        <v>2.400462963123573E-2</v>
      </c>
      <c r="N145" s="7">
        <f t="shared" si="120"/>
        <v>34.566666668979451</v>
      </c>
      <c r="O145" s="7"/>
      <c r="P145" s="7"/>
      <c r="Q145" s="25"/>
      <c r="R145" s="25"/>
      <c r="S145" s="37">
        <f t="shared" si="112"/>
        <v>1</v>
      </c>
      <c r="T145" s="52" t="str">
        <f t="shared" si="107"/>
        <v>NorthBound</v>
      </c>
      <c r="U145" s="163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20:36:48-0600',mode:absolute,to:'2016-09-11 23:34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45" s="54" t="str">
        <f t="shared" si="114"/>
        <v>N</v>
      </c>
      <c r="X145" s="168">
        <f t="shared" si="121"/>
        <v>1</v>
      </c>
      <c r="Y145" s="69">
        <f t="shared" si="115"/>
        <v>4.3799999999999999E-2</v>
      </c>
      <c r="Z145" s="69">
        <f t="shared" si="116"/>
        <v>23.3322</v>
      </c>
      <c r="AA145" s="69">
        <f t="shared" si="117"/>
        <v>23.288399999999999</v>
      </c>
      <c r="AB145" s="66" t="e">
        <f>VLOOKUP(A145,Enforcements!$C$7:$K$21,8,0)</f>
        <v>#N/A</v>
      </c>
      <c r="AC145" s="62" t="e">
        <f>VLOOKUP(A145,Enforcements!$C$7:$E$21,3,0)</f>
        <v>#N/A</v>
      </c>
      <c r="AD145" s="63" t="str">
        <f t="shared" si="108"/>
        <v>0233-11</v>
      </c>
      <c r="AE145" s="99" t="str">
        <f t="shared" si="118"/>
        <v>aws s3 cp s3://rtdc.mdm.uploadarchive/RTDC4018/2016-09-11/ "%USERPROFILE%\AppData\Local\Temp\OnboardLogs"\RTDC4018\2016-09-11 --recursive &amp; "%USERPROFILE%\Documents\GitHub\mrs-test-scripts\Headless Mode &amp; Sideloading\WalkAndUnGZ.bat" "%USERPROFILE%\AppData\Local\Temp\OnboardLogs"\RTDC4018\2016-09-11 &amp; aws s3 cp s3://rtdc.mdm.uploadarchive/RTDC4018/2016-09-12/ "%USERPROFILE%\AppData\Local\Temp\OnboardLogs"\RTDC4018\2016-09-12 --recursive &amp; "%USERPROFILE%\Documents\GitHub\mrs-test-scripts\Headless Mode &amp; Sideloading\WalkAndUnGZ.bat" "%USERPROFILE%\AppData\Local\Temp\OnboardLogs"\RTDC4018\2016-09-12</v>
      </c>
      <c r="AF145" s="96" t="str">
        <f t="shared" si="119"/>
        <v>"C:\Program Files (x86)\AstroGrep\AstroGrep.exe" /spath="%USERPROFILE%\AppData\Local\Temp\OnboardLogs" /stypes="*4018*20160912*" /stext=" 04:.+((SYSTEM_STATE.+slice.+state.+changed )|(ment ac)|(system.+state.+changed )|(\|lc)|(penalty)|(\[timeout)|(PRM\|1\|D)|(kpr)|(kdp))" /e /r /s</v>
      </c>
      <c r="AG145" s="1" t="str">
        <f t="shared" si="109"/>
        <v>EC</v>
      </c>
      <c r="AH145" s="100" t="str">
        <f t="shared" si="63"/>
        <v>"%USERPROFILE%\Documents\GitHub\eaglep3\Utilities\RefineRTDCRunTimes.py" --tripid 233-11 --locoid 4018 --swversion DE.1.0.7.0 --startMP 204:438 --initTime 2016-09-11T21:36:48 --startdatetime 2016-09-11T22:00:19 --delay 1 --endMP 204:233322 --enddatetime 2016-09-11T22:34:53 --enforcementcount 1 &gt;&gt;C:\Users\stu\Documents\GitHub\eaglep3-reporting\EC\2016-09-11-refined-times.txt</v>
      </c>
      <c r="AI145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{"issue":{"subject":"","project_id":79,"tracker_id":40,"status_id":1,"priority_id":2,"assigned_to_id":23,"start_date":"2016-09-11","description":"","custom_fields":[{"id":1,"name":"Subdivision","value":"EC"},{"id":4,"name":"Milepost","value":"23.2884"},{"id":17,"name":"Train ID","value":"233-11"},{"id":16,"name":"Locomotive ID","value":"4018"},{"id":130,"name":"Impact","value":""},{"id":150,"name":"Time of Event (Mountain Time)","value":"22:34:53"},{"id":151,"name":"Denver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s="23" customFormat="1" x14ac:dyDescent="0.25">
      <c r="A146" s="39" t="s">
        <v>643</v>
      </c>
      <c r="B146" s="7">
        <v>4017</v>
      </c>
      <c r="C146" s="24" t="s">
        <v>108</v>
      </c>
      <c r="D146" s="24" t="s">
        <v>317</v>
      </c>
      <c r="E146" s="15">
        <v>42624.942870370367</v>
      </c>
      <c r="F146" s="15">
        <v>42624.955833333333</v>
      </c>
      <c r="G146" s="7">
        <v>1</v>
      </c>
      <c r="H146" s="15" t="s">
        <v>248</v>
      </c>
      <c r="I146" s="15">
        <v>42624.981828703705</v>
      </c>
      <c r="J146" s="7">
        <v>1</v>
      </c>
      <c r="K146" s="121" t="str">
        <f t="shared" si="106"/>
        <v>4017/4018</v>
      </c>
      <c r="L146" s="24" t="str">
        <f>VLOOKUP(A146,'Trips&amp;Operators'!$C$1:$E$10000,3,FALSE)</f>
        <v>NEWELL</v>
      </c>
      <c r="M146" s="6">
        <f t="shared" si="111"/>
        <v>2.5995370371674653E-2</v>
      </c>
      <c r="N146" s="7">
        <f t="shared" si="120"/>
        <v>37.433333335211501</v>
      </c>
      <c r="O146" s="7"/>
      <c r="P146" s="7"/>
      <c r="Q146" s="25"/>
      <c r="R146" s="25"/>
      <c r="S146" s="37">
        <f t="shared" si="112"/>
        <v>1</v>
      </c>
      <c r="T146" s="52" t="str">
        <f t="shared" si="107"/>
        <v>Southbound</v>
      </c>
      <c r="U146" s="163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21:37:44-0600',mode:absolute,to:'2016-09-12 00:33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46" s="54" t="str">
        <f t="shared" si="114"/>
        <v>N</v>
      </c>
      <c r="X146" s="168">
        <f t="shared" si="121"/>
        <v>1</v>
      </c>
      <c r="Y146" s="69">
        <f t="shared" si="115"/>
        <v>23.299399999999999</v>
      </c>
      <c r="Z146" s="69">
        <f t="shared" si="116"/>
        <v>1.4500000000000001E-2</v>
      </c>
      <c r="AA146" s="69">
        <f t="shared" si="117"/>
        <v>23.284899999999997</v>
      </c>
      <c r="AB146" s="66" t="e">
        <f>VLOOKUP(A146,Enforcements!$C$7:$K$21,8,0)</f>
        <v>#N/A</v>
      </c>
      <c r="AC146" s="62" t="e">
        <f>VLOOKUP(A146,Enforcements!$C$7:$E$21,3,0)</f>
        <v>#N/A</v>
      </c>
      <c r="AD146" s="63" t="str">
        <f t="shared" si="108"/>
        <v>0234-11</v>
      </c>
      <c r="AE146" s="99" t="str">
        <f t="shared" si="118"/>
        <v>aws s3 cp s3://rtdc.mdm.uploadarchive/RTDC4017/2016-09-11/ "%USERPROFILE%\AppData\Local\Temp\OnboardLogs"\RTDC4017\2016-09-11 --recursive &amp; "%USERPROFILE%\Documents\GitHub\mrs-test-scripts\Headless Mode &amp; Sideloading\WalkAndUnGZ.bat" "%USERPROFILE%\AppData\Local\Temp\OnboardLogs"\RTDC4017\2016-09-11 &amp; aws s3 cp s3://rtdc.mdm.uploadarchive/RTDC4017/2016-09-12/ "%USERPROFILE%\AppData\Local\Temp\OnboardLogs"\RTDC4017\2016-09-12 --recursive &amp; "%USERPROFILE%\Documents\GitHub\mrs-test-scripts\Headless Mode &amp; Sideloading\WalkAndUnGZ.bat" "%USERPROFILE%\AppData\Local\Temp\OnboardLogs"\RTDC4017\2016-09-12</v>
      </c>
      <c r="AF146" s="96" t="str">
        <f t="shared" si="119"/>
        <v>"C:\Program Files (x86)\AstroGrep\AstroGrep.exe" /spath="%USERPROFILE%\AppData\Local\Temp\OnboardLogs" /stypes="*4017*20160912*" /stext=" 05:.+((SYSTEM_STATE.+slice.+state.+changed )|(ment ac)|(system.+state.+changed )|(\|lc)|(penalty)|(\[timeout)|(PRM\|1\|D)|(kpr)|(kdp))" /e /r /s</v>
      </c>
      <c r="AG146" s="1" t="str">
        <f t="shared" si="109"/>
        <v>EC</v>
      </c>
      <c r="AH146" s="100" t="str">
        <f t="shared" si="63"/>
        <v>"%USERPROFILE%\Documents\GitHub\eaglep3\Utilities\RefineRTDCRunTimes.py" --tripid 234-11 --locoid 4017 --swversion DE.1.0.7.0 --startMP 204:232994 --initTime 2016-09-11T22:37:44 --startdatetime 2016-09-11T22:56:24 --delay 1 --endMP 204:145 --enddatetime 2016-09-11T23:33:50 --enforcementcount 1 &gt;&gt;C:\Users\stu\Documents\GitHub\eaglep3-reporting\EC\2016-09-11-refined-times.txt</v>
      </c>
      <c r="AI146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{"issue":{"subject":"","project_id":79,"tracker_id":40,"status_id":1,"priority_id":2,"assigned_to_id":23,"start_date":"2016-09-11","description":"","custom_fields":[{"id":1,"name":"Subdivision","value":"EC"},{"id":4,"name":"Milepost","value":"23.2849"},{"id":17,"name":"Train ID","value":"234-11"},{"id":16,"name":"Locomotive ID","value":"4017"},{"id":130,"name":"Impact","value":""},{"id":150,"name":"Time of Event (Mountain Time)","value":"23:33:50"},{"id":151,"name":"Denver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s="23" customFormat="1" x14ac:dyDescent="0.25">
      <c r="A147" s="39" t="s">
        <v>644</v>
      </c>
      <c r="B147" s="7">
        <v>4040</v>
      </c>
      <c r="C147" s="24" t="s">
        <v>108</v>
      </c>
      <c r="D147" s="24" t="s">
        <v>343</v>
      </c>
      <c r="E147" s="15">
        <v>42624.936585648145</v>
      </c>
      <c r="F147" s="15">
        <v>42624.937789351854</v>
      </c>
      <c r="G147" s="7">
        <v>1</v>
      </c>
      <c r="H147" s="15" t="s">
        <v>645</v>
      </c>
      <c r="I147" s="15">
        <v>42624.962442129632</v>
      </c>
      <c r="J147" s="7">
        <v>1</v>
      </c>
      <c r="K147" s="121" t="str">
        <f t="shared" si="106"/>
        <v>4039/4040</v>
      </c>
      <c r="L147" s="24" t="str">
        <f>VLOOKUP(A147,'Trips&amp;Operators'!$C$1:$E$10000,3,FALSE)</f>
        <v>CHANDLER</v>
      </c>
      <c r="M147" s="6">
        <f t="shared" si="111"/>
        <v>2.4652777778101154E-2</v>
      </c>
      <c r="N147" s="7">
        <f t="shared" si="120"/>
        <v>35.500000000465661</v>
      </c>
      <c r="O147" s="7"/>
      <c r="P147" s="7"/>
      <c r="Q147" s="25"/>
      <c r="R147" s="25"/>
      <c r="S147" s="37">
        <f t="shared" si="112"/>
        <v>1</v>
      </c>
      <c r="T147" s="52" t="str">
        <f t="shared" si="107"/>
        <v>NorthBound</v>
      </c>
      <c r="U147" s="163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21:28:41-0600',mode:absolute,to:'2016-09-12 00:05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47" s="54" t="str">
        <f t="shared" si="114"/>
        <v>N</v>
      </c>
      <c r="X147" s="168">
        <f t="shared" si="121"/>
        <v>1</v>
      </c>
      <c r="Y147" s="69">
        <f t="shared" si="115"/>
        <v>4.7800000000000002E-2</v>
      </c>
      <c r="Z147" s="69">
        <f t="shared" si="116"/>
        <v>23.327999999999999</v>
      </c>
      <c r="AA147" s="69">
        <f t="shared" si="117"/>
        <v>23.280200000000001</v>
      </c>
      <c r="AB147" s="66" t="e">
        <f>VLOOKUP(A147,Enforcements!$C$7:$K$21,8,0)</f>
        <v>#N/A</v>
      </c>
      <c r="AC147" s="62" t="e">
        <f>VLOOKUP(A147,Enforcements!$C$7:$E$21,3,0)</f>
        <v>#N/A</v>
      </c>
      <c r="AD147" s="63" t="str">
        <f t="shared" si="108"/>
        <v>0235-11</v>
      </c>
      <c r="AE147" s="99" t="str">
        <f t="shared" si="118"/>
        <v>aws s3 cp s3://rtdc.mdm.uploadarchive/RTDC4040/2016-09-11/ "%USERPROFILE%\AppData\Local\Temp\OnboardLogs"\RTDC4040\2016-09-11 --recursive &amp; "%USERPROFILE%\Documents\GitHub\mrs-test-scripts\Headless Mode &amp; Sideloading\WalkAndUnGZ.bat" "%USERPROFILE%\AppData\Local\Temp\OnboardLogs"\RTDC4040\2016-09-11 &amp; aws s3 cp s3://rtdc.mdm.uploadarchive/RTDC4040/2016-09-12/ "%USERPROFILE%\AppData\Local\Temp\OnboardLogs"\RTDC4040\2016-09-12 --recursive &amp; "%USERPROFILE%\Documents\GitHub\mrs-test-scripts\Headless Mode &amp; Sideloading\WalkAndUnGZ.bat" "%USERPROFILE%\AppData\Local\Temp\OnboardLogs"\RTDC4040\2016-09-12</v>
      </c>
      <c r="AF147" s="96" t="str">
        <f t="shared" si="119"/>
        <v>"C:\Program Files (x86)\AstroGrep\AstroGrep.exe" /spath="%USERPROFILE%\AppData\Local\Temp\OnboardLogs" /stypes="*4040*20160912*" /stext=" 05:.+((SYSTEM_STATE.+slice.+state.+changed )|(ment ac)|(system.+state.+changed )|(\|lc)|(penalty)|(\[timeout)|(PRM\|1\|D)|(kpr)|(kdp))" /e /r /s</v>
      </c>
      <c r="AG147" s="1" t="str">
        <f t="shared" si="109"/>
        <v>EC</v>
      </c>
      <c r="AH147" s="100" t="str">
        <f t="shared" si="63"/>
        <v>"%USERPROFILE%\Documents\GitHub\eaglep3\Utilities\RefineRTDCRunTimes.py" --tripid 235-11 --locoid 4040 --swversion DE.1.0.7.0 --startMP 204:478 --initTime 2016-09-11T22:28:41 --startdatetime 2016-09-11T22:30:25 --delay 1 --endMP 204:233280 --enddatetime 2016-09-11T23:05:55 --enforcementcount 1 &gt;&gt;C:\Users\stu\Documents\GitHub\eaglep3-reporting\EC\2016-09-11-refined-times.txt</v>
      </c>
      <c r="AI147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{"issue":{"subject":"","project_id":79,"tracker_id":40,"status_id":1,"priority_id":2,"assigned_to_id":23,"start_date":"2016-09-11","description":"","custom_fields":[{"id":1,"name":"Subdivision","value":"EC"},{"id":4,"name":"Milepost","value":"23.2802"},{"id":17,"name":"Train ID","value":"235-11"},{"id":16,"name":"Locomotive ID","value":"4040"},{"id":130,"name":"Impact","value":""},{"id":150,"name":"Time of Event (Mountain Time)","value":"23:05:55"},{"id":151,"name":"Denver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s="23" customFormat="1" x14ac:dyDescent="0.25">
      <c r="A148" s="39" t="s">
        <v>646</v>
      </c>
      <c r="B148" s="7">
        <v>4039</v>
      </c>
      <c r="C148" s="24" t="s">
        <v>108</v>
      </c>
      <c r="D148" s="24" t="s">
        <v>311</v>
      </c>
      <c r="E148" s="15">
        <v>42624.973726851851</v>
      </c>
      <c r="F148" s="15">
        <v>42624.9768287037</v>
      </c>
      <c r="G148" s="7">
        <v>1</v>
      </c>
      <c r="H148" s="15" t="s">
        <v>647</v>
      </c>
      <c r="I148" s="15">
        <v>42625.004305555558</v>
      </c>
      <c r="J148" s="7">
        <v>1</v>
      </c>
      <c r="K148" s="121" t="str">
        <f t="shared" si="106"/>
        <v>4039/4040</v>
      </c>
      <c r="L148" s="24" t="str">
        <f>VLOOKUP(A148,'Trips&amp;Operators'!$C$1:$E$10000,3,FALSE)</f>
        <v>CHANDLER</v>
      </c>
      <c r="M148" s="6">
        <f t="shared" si="111"/>
        <v>2.7476851857500151E-2</v>
      </c>
      <c r="N148" s="7">
        <f t="shared" si="120"/>
        <v>39.566666674800217</v>
      </c>
      <c r="O148" s="7"/>
      <c r="P148" s="7"/>
      <c r="Q148" s="25"/>
      <c r="R148" s="25"/>
      <c r="S148" s="37">
        <f t="shared" si="112"/>
        <v>1</v>
      </c>
      <c r="T148" s="52" t="str">
        <f t="shared" si="107"/>
        <v>Southbound</v>
      </c>
      <c r="U148" s="163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22:22:10-0600',mode:absolute,to:'2016-09-12 01:06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48" s="54" t="str">
        <f t="shared" si="114"/>
        <v>N</v>
      </c>
      <c r="X148" s="168">
        <f t="shared" si="121"/>
        <v>1</v>
      </c>
      <c r="Y148" s="69">
        <f t="shared" si="115"/>
        <v>23.297499999999999</v>
      </c>
      <c r="Z148" s="69">
        <f t="shared" si="116"/>
        <v>1.9400000000000001E-2</v>
      </c>
      <c r="AA148" s="69">
        <f t="shared" si="117"/>
        <v>23.278099999999998</v>
      </c>
      <c r="AB148" s="66" t="e">
        <f>VLOOKUP(A148,Enforcements!$C$7:$K$21,8,0)</f>
        <v>#N/A</v>
      </c>
      <c r="AC148" s="62" t="e">
        <f>VLOOKUP(A148,Enforcements!$C$7:$E$21,3,0)</f>
        <v>#N/A</v>
      </c>
      <c r="AD148" s="63" t="str">
        <f t="shared" si="108"/>
        <v>0236-11</v>
      </c>
      <c r="AE148" s="99" t="str">
        <f t="shared" si="118"/>
        <v>aws s3 cp s3://rtdc.mdm.uploadarchive/RTDC4039/2016-09-11/ "%USERPROFILE%\AppData\Local\Temp\OnboardLogs"\RTDC4039\2016-09-11 --recursive &amp; "%USERPROFILE%\Documents\GitHub\mrs-test-scripts\Headless Mode &amp; Sideloading\WalkAndUnGZ.bat" "%USERPROFILE%\AppData\Local\Temp\OnboardLogs"\RTDC4039\2016-09-11 &amp; aws s3 cp s3://rtdc.mdm.uploadarchive/RTDC4039/2016-09-12/ "%USERPROFILE%\AppData\Local\Temp\OnboardLogs"\RTDC4039\2016-09-12 --recursive &amp; "%USERPROFILE%\Documents\GitHub\mrs-test-scripts\Headless Mode &amp; Sideloading\WalkAndUnGZ.bat" "%USERPROFILE%\AppData\Local\Temp\OnboardLogs"\RTDC4039\2016-09-12</v>
      </c>
      <c r="AF148" s="96" t="str">
        <f t="shared" si="119"/>
        <v>"C:\Program Files (x86)\AstroGrep\AstroGrep.exe" /spath="%USERPROFILE%\AppData\Local\Temp\OnboardLogs" /stypes="*4039*20160912*" /stext=" 06:.+((SYSTEM_STATE.+slice.+state.+changed )|(ment ac)|(system.+state.+changed )|(\|lc)|(penalty)|(\[timeout)|(PRM\|1\|D)|(kpr)|(kdp))" /e /r /s</v>
      </c>
      <c r="AG148" s="1" t="str">
        <f t="shared" si="109"/>
        <v>EC</v>
      </c>
      <c r="AH148" s="100" t="str">
        <f t="shared" si="63"/>
        <v>"%USERPROFILE%\Documents\GitHub\eaglep3\Utilities\RefineRTDCRunTimes.py" --tripid 236-11 --locoid 4039 --swversion DE.1.0.7.0 --startMP 204:232975 --initTime 2016-09-11T23:22:10 --startdatetime 2016-09-11T23:26:38 --delay 1 --endMP 204:194 --enddatetime 2016-09-12T00:06:12 --enforcementcount 1 &gt;&gt;C:\Users\stu\Documents\GitHub\eaglep3-reporting\EC\2016-09-11-refined-times.txt</v>
      </c>
      <c r="AI148" s="134" t="str">
        <f t="shared" si="64"/>
        <v>echo {"issue":{"subject":"","project_id":79,"tracker_id":40,"status_id":1,"priority_id":2,"assigned_to_id":23,"start_date":"2016-09-12","description":"","custom_fields":[{"id":1,"name":"Subdivision","value":"EC"},{"id":4,"name":"Milepost","value":"23.2781"},{"id":17,"name":"Train ID","value":"236-11"},{"id":16,"name":"Locomotive ID","value":"4039"},{"id":130,"name":"Impact","value":""},{"id":150,"name":"Time of Event (Mountain Time)","value":"00:06:12"},{"id":151,"name":"Denver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s="23" customFormat="1" x14ac:dyDescent="0.25">
      <c r="A149" s="39" t="s">
        <v>648</v>
      </c>
      <c r="B149" s="7">
        <v>4042</v>
      </c>
      <c r="C149" s="24" t="s">
        <v>108</v>
      </c>
      <c r="D149" s="24" t="s">
        <v>257</v>
      </c>
      <c r="E149" s="15">
        <v>42624.952106481483</v>
      </c>
      <c r="F149" s="15">
        <v>42624.958518518521</v>
      </c>
      <c r="G149" s="7">
        <v>1</v>
      </c>
      <c r="H149" s="15" t="s">
        <v>349</v>
      </c>
      <c r="I149" s="15">
        <v>42624.984456018516</v>
      </c>
      <c r="J149" s="7">
        <v>1</v>
      </c>
      <c r="K149" s="121" t="str">
        <f t="shared" si="106"/>
        <v>4041/4042</v>
      </c>
      <c r="L149" s="24" t="str">
        <f>VLOOKUP(A149,'Trips&amp;Operators'!$C$1:$E$10000,3,FALSE)</f>
        <v>LEVERE</v>
      </c>
      <c r="M149" s="6">
        <f t="shared" si="111"/>
        <v>2.5937499995052349E-2</v>
      </c>
      <c r="N149" s="7">
        <f t="shared" si="120"/>
        <v>37.349999992875382</v>
      </c>
      <c r="O149" s="7"/>
      <c r="P149" s="7"/>
      <c r="Q149" s="25"/>
      <c r="R149" s="25"/>
      <c r="S149" s="37">
        <f t="shared" si="112"/>
        <v>1</v>
      </c>
      <c r="T149" s="52" t="str">
        <f t="shared" si="107"/>
        <v>NorthBound</v>
      </c>
      <c r="U149" s="163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21:51:02-0600',mode:absolute,to:'2016-09-12 00:37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49" s="54" t="str">
        <f t="shared" si="114"/>
        <v>N</v>
      </c>
      <c r="X149" s="168">
        <f t="shared" si="121"/>
        <v>1</v>
      </c>
      <c r="Y149" s="69">
        <f t="shared" si="115"/>
        <v>4.5499999999999999E-2</v>
      </c>
      <c r="Z149" s="69">
        <f t="shared" si="116"/>
        <v>23.328600000000002</v>
      </c>
      <c r="AA149" s="69">
        <f t="shared" si="117"/>
        <v>23.283100000000001</v>
      </c>
      <c r="AB149" s="66" t="e">
        <f>VLOOKUP(A149,Enforcements!$C$7:$K$21,8,0)</f>
        <v>#N/A</v>
      </c>
      <c r="AC149" s="62" t="e">
        <f>VLOOKUP(A149,Enforcements!$C$7:$E$21,3,0)</f>
        <v>#N/A</v>
      </c>
      <c r="AD149" s="63" t="str">
        <f t="shared" si="108"/>
        <v>0237-11</v>
      </c>
      <c r="AE149" s="99" t="str">
        <f t="shared" si="118"/>
        <v>aws s3 cp s3://rtdc.mdm.uploadarchive/RTDC4042/2016-09-11/ "%USERPROFILE%\AppData\Local\Temp\OnboardLogs"\RTDC4042\2016-09-11 --recursive &amp; "%USERPROFILE%\Documents\GitHub\mrs-test-scripts\Headless Mode &amp; Sideloading\WalkAndUnGZ.bat" "%USERPROFILE%\AppData\Local\Temp\OnboardLogs"\RTDC4042\2016-09-11 &amp; 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</v>
      </c>
      <c r="AF149" s="96" t="str">
        <f t="shared" si="119"/>
        <v>"C:\Program Files (x86)\AstroGrep\AstroGrep.exe" /spath="%USERPROFILE%\AppData\Local\Temp\OnboardLogs" /stypes="*4042*20160912*" /stext=" 05:.+((SYSTEM_STATE.+slice.+state.+changed )|(ment ac)|(system.+state.+changed )|(\|lc)|(penalty)|(\[timeout)|(PRM\|1\|D)|(kpr)|(kdp))" /e /r /s</v>
      </c>
      <c r="AG149" s="1" t="str">
        <f t="shared" si="109"/>
        <v>EC</v>
      </c>
      <c r="AH149" s="100" t="str">
        <f t="shared" si="63"/>
        <v>"%USERPROFILE%\Documents\GitHub\eaglep3\Utilities\RefineRTDCRunTimes.py" --tripid 237-11 --locoid 4042 --swversion DE.1.0.7.0 --startMP 204:455 --initTime 2016-09-11T22:51:02 --startdatetime 2016-09-11T23:00:16 --delay 1 --endMP 204:233286 --enddatetime 2016-09-11T23:37:37 --enforcementcount 1 &gt;&gt;C:\Users\stu\Documents\GitHub\eaglep3-reporting\EC\2016-09-11-refined-times.txt</v>
      </c>
      <c r="AI149" s="134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{"issue":{"subject":"","project_id":79,"tracker_id":40,"status_id":1,"priority_id":2,"assigned_to_id":23,"start_date":"2016-09-11","description":"","custom_fields":[{"id":1,"name":"Subdivision","value":"EC"},{"id":4,"name":"Milepost","value":"23.2831"},{"id":17,"name":"Train ID","value":"237-11"},{"id":16,"name":"Locomotive ID","value":"4042"},{"id":130,"name":"Impact","value":""},{"id":150,"name":"Time of Event (Mountain Time)","value":"23:37:37"},{"id":151,"name":"Denver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s="23" customFormat="1" x14ac:dyDescent="0.25">
      <c r="A150" s="39" t="s">
        <v>649</v>
      </c>
      <c r="B150" s="7">
        <v>4041</v>
      </c>
      <c r="C150" s="24" t="s">
        <v>108</v>
      </c>
      <c r="D150" s="24" t="s">
        <v>316</v>
      </c>
      <c r="E150" s="15">
        <v>42624.992303240739</v>
      </c>
      <c r="F150" s="15">
        <v>42624.997430555559</v>
      </c>
      <c r="G150" s="7">
        <v>1</v>
      </c>
      <c r="H150" s="15" t="s">
        <v>248</v>
      </c>
      <c r="I150" s="15">
        <v>42625.024756944447</v>
      </c>
      <c r="J150" s="7">
        <v>1</v>
      </c>
      <c r="K150" s="121" t="str">
        <f t="shared" si="106"/>
        <v>4041/4042</v>
      </c>
      <c r="L150" s="24" t="str">
        <f>VLOOKUP(A150,'Trips&amp;Operators'!$C$1:$E$10000,3,FALSE)</f>
        <v>LEVERE</v>
      </c>
      <c r="M150" s="6">
        <f t="shared" si="111"/>
        <v>2.73263888884685E-2</v>
      </c>
      <c r="N150" s="7">
        <f t="shared" si="120"/>
        <v>39.34999999939464</v>
      </c>
      <c r="O150" s="7"/>
      <c r="P150" s="7"/>
      <c r="Q150" s="25"/>
      <c r="R150" s="25"/>
      <c r="S150" s="37">
        <f t="shared" si="112"/>
        <v>1</v>
      </c>
      <c r="T150" s="52" t="str">
        <f t="shared" si="107"/>
        <v>Southbound</v>
      </c>
      <c r="U150" s="163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22:48:55-0600',mode:absolute,to:'2016-09-12 01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50" s="54" t="str">
        <f t="shared" si="114"/>
        <v>N</v>
      </c>
      <c r="X150" s="168">
        <f t="shared" si="121"/>
        <v>1</v>
      </c>
      <c r="Y150" s="69">
        <f t="shared" si="115"/>
        <v>23.297999999999998</v>
      </c>
      <c r="Z150" s="69">
        <f t="shared" si="116"/>
        <v>1.4500000000000001E-2</v>
      </c>
      <c r="AA150" s="69">
        <f t="shared" si="117"/>
        <v>23.283499999999997</v>
      </c>
      <c r="AB150" s="66" t="e">
        <f>VLOOKUP(A150,Enforcements!$C$7:$K$21,8,0)</f>
        <v>#N/A</v>
      </c>
      <c r="AC150" s="62" t="e">
        <f>VLOOKUP(A150,Enforcements!$C$7:$E$21,3,0)</f>
        <v>#N/A</v>
      </c>
      <c r="AD150" s="63" t="str">
        <f t="shared" si="108"/>
        <v>0238-11</v>
      </c>
      <c r="AE150" s="99" t="str">
        <f t="shared" si="118"/>
        <v>aws s3 cp s3://rtdc.mdm.uploadarchive/RTDC4041/2016-09-11/ "%USERPROFILE%\AppData\Local\Temp\OnboardLogs"\RTDC4041\2016-09-11 --recursive &amp; "%USERPROFILE%\Documents\GitHub\mrs-test-scripts\Headless Mode &amp; Sideloading\WalkAndUnGZ.bat" "%USERPROFILE%\AppData\Local\Temp\OnboardLogs"\RTDC4041\2016-09-11 &amp; 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</v>
      </c>
      <c r="AF150" s="96" t="str">
        <f t="shared" si="119"/>
        <v>"C:\Program Files (x86)\AstroGrep\AstroGrep.exe" /spath="%USERPROFILE%\AppData\Local\Temp\OnboardLogs" /stypes="*4041*20160912*" /stext=" 06:.+((SYSTEM_STATE.+slice.+state.+changed )|(ment ac)|(system.+state.+changed )|(\|lc)|(penalty)|(\[timeout)|(PRM\|1\|D)|(kpr)|(kdp))" /e /r /s</v>
      </c>
      <c r="AG150" s="1" t="str">
        <f t="shared" si="109"/>
        <v>EC</v>
      </c>
      <c r="AH150" s="100" t="str">
        <f t="shared" si="63"/>
        <v>"%USERPROFILE%\Documents\GitHub\eaglep3\Utilities\RefineRTDCRunTimes.py" --tripid 238-11 --locoid 4041 --swversion DE.1.0.7.0 --startMP 204:232980 --initTime 2016-09-11T23:48:55 --startdatetime 2016-09-11T23:56:18 --delay 1 --endMP 204:145 --enddatetime 2016-09-12T00:35:39 --enforcementcount 1 &gt;&gt;C:\Users\stu\Documents\GitHub\eaglep3-reporting\EC\2016-09-11-refined-times.txt</v>
      </c>
      <c r="AI150" s="134" t="str">
        <f t="shared" si="64"/>
        <v>echo {"issue":{"subject":"","project_id":79,"tracker_id":40,"status_id":1,"priority_id":2,"assigned_to_id":23,"start_date":"2016-09-12","description":"","custom_fields":[{"id":1,"name":"Subdivision","value":"EC"},{"id":4,"name":"Milepost","value":"23.2835"},{"id":17,"name":"Train ID","value":"238-11"},{"id":16,"name":"Locomotive ID","value":"4041"},{"id":130,"name":"Impact","value":""},{"id":150,"name":"Time of Event (Mountain Time)","value":"00:35:39"},{"id":151,"name":"Denver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s="23" customFormat="1" x14ac:dyDescent="0.25">
      <c r="A151" s="39" t="s">
        <v>650</v>
      </c>
      <c r="B151" s="7">
        <v>4029</v>
      </c>
      <c r="C151" s="24" t="s">
        <v>108</v>
      </c>
      <c r="D151" s="24" t="s">
        <v>245</v>
      </c>
      <c r="E151" s="15">
        <v>42624.970439814817</v>
      </c>
      <c r="F151" s="15">
        <v>42624.979386574072</v>
      </c>
      <c r="G151" s="7">
        <v>1</v>
      </c>
      <c r="H151" s="15" t="s">
        <v>236</v>
      </c>
      <c r="I151" s="15">
        <v>42625.004328703704</v>
      </c>
      <c r="J151" s="7">
        <v>1</v>
      </c>
      <c r="K151" s="121" t="str">
        <f t="shared" si="106"/>
        <v>4029/4030</v>
      </c>
      <c r="L151" s="24" t="str">
        <f>VLOOKUP(A151,'Trips&amp;Operators'!$C$1:$E$10000,3,FALSE)</f>
        <v>OUN</v>
      </c>
      <c r="M151" s="6">
        <f t="shared" si="111"/>
        <v>2.4942129632108845E-2</v>
      </c>
      <c r="N151" s="7">
        <f t="shared" si="120"/>
        <v>35.916666670236737</v>
      </c>
      <c r="O151" s="7"/>
      <c r="P151" s="7"/>
      <c r="Q151" s="25"/>
      <c r="R151" s="25"/>
      <c r="S151" s="37">
        <f t="shared" si="112"/>
        <v>1</v>
      </c>
      <c r="T151" s="52" t="str">
        <f t="shared" si="107"/>
        <v>NorthBound</v>
      </c>
      <c r="U151" s="163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22:17:26-0600',mode:absolute,to:'2016-09-12 01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51" s="54" t="str">
        <f t="shared" si="114"/>
        <v>N</v>
      </c>
      <c r="X151" s="168">
        <f t="shared" si="121"/>
        <v>1</v>
      </c>
      <c r="Y151" s="69">
        <f t="shared" si="115"/>
        <v>4.3799999999999999E-2</v>
      </c>
      <c r="Z151" s="69">
        <f t="shared" si="116"/>
        <v>23.330500000000001</v>
      </c>
      <c r="AA151" s="69">
        <f t="shared" si="117"/>
        <v>23.2867</v>
      </c>
      <c r="AB151" s="66" t="e">
        <f>VLOOKUP(A151,Enforcements!$C$7:$K$21,8,0)</f>
        <v>#N/A</v>
      </c>
      <c r="AC151" s="62" t="e">
        <f>VLOOKUP(A151,Enforcements!$C$7:$E$21,3,0)</f>
        <v>#N/A</v>
      </c>
      <c r="AD151" s="63" t="str">
        <f t="shared" si="108"/>
        <v>0239-11</v>
      </c>
      <c r="AE151" s="99" t="str">
        <f t="shared" si="118"/>
        <v>aws s3 cp s3://rtdc.mdm.uploadarchive/RTDC4029/2016-09-11/ "%USERPROFILE%\AppData\Local\Temp\OnboardLogs"\RTDC4029\2016-09-11 --recursive &amp; "%USERPROFILE%\Documents\GitHub\mrs-test-scripts\Headless Mode &amp; Sideloading\WalkAndUnGZ.bat" "%USERPROFILE%\AppData\Local\Temp\OnboardLogs"\RTDC4029\2016-09-11 &amp; aws s3 cp s3://rtdc.mdm.uploadarchive/RTDC4029/2016-09-12/ "%USERPROFILE%\AppData\Local\Temp\OnboardLogs"\RTDC4029\2016-09-12 --recursive &amp; "%USERPROFILE%\Documents\GitHub\mrs-test-scripts\Headless Mode &amp; Sideloading\WalkAndUnGZ.bat" "%USERPROFILE%\AppData\Local\Temp\OnboardLogs"\RTDC4029\2016-09-12</v>
      </c>
      <c r="AF151" s="96" t="str">
        <f t="shared" si="119"/>
        <v>"C:\Program Files (x86)\AstroGrep\AstroGrep.exe" /spath="%USERPROFILE%\AppData\Local\Temp\OnboardLogs" /stypes="*4029*20160912*" /stext=" 06:.+((SYSTEM_STATE.+slice.+state.+changed )|(ment ac)|(system.+state.+changed )|(\|lc)|(penalty)|(\[timeout)|(PRM\|1\|D)|(kpr)|(kdp))" /e /r /s</v>
      </c>
      <c r="AG151" s="1" t="str">
        <f t="shared" si="109"/>
        <v>EC</v>
      </c>
      <c r="AH151" s="100" t="str">
        <f t="shared" si="63"/>
        <v>"%USERPROFILE%\Documents\GitHub\eaglep3\Utilities\RefineRTDCRunTimes.py" --tripid 239-11 --locoid 4029 --swversion DE.1.0.7.0 --startMP 204:438 --initTime 2016-09-11T23:17:26 --startdatetime 2016-09-11T23:30:19 --delay 1 --endMP 204:233305 --enddatetime 2016-09-12T00:06:14 --enforcementcount 1 &gt;&gt;C:\Users\stu\Documents\GitHub\eaglep3-reporting\EC\2016-09-11-refined-times.txt</v>
      </c>
      <c r="AI151" s="134" t="str">
        <f t="shared" si="64"/>
        <v>echo {"issue":{"subject":"","project_id":79,"tracker_id":40,"status_id":1,"priority_id":2,"assigned_to_id":23,"start_date":"2016-09-12","description":"","custom_fields":[{"id":1,"name":"Subdivision","value":"EC"},{"id":4,"name":"Milepost","value":"23.2867"},{"id":17,"name":"Train ID","value":"239-11"},{"id":16,"name":"Locomotive ID","value":"4029"},{"id":130,"name":"Impact","value":""},{"id":150,"name":"Time of Event (Mountain Time)","value":"00:06:14"},{"id":151,"name":"Denver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410</v>
      </c>
      <c r="B152" s="7">
        <v>4030</v>
      </c>
      <c r="C152" s="24" t="s">
        <v>108</v>
      </c>
      <c r="D152" s="24" t="s">
        <v>279</v>
      </c>
      <c r="E152" s="15">
        <v>42625.013298611113</v>
      </c>
      <c r="F152" s="15">
        <v>42625.018321759257</v>
      </c>
      <c r="G152" s="7">
        <v>1</v>
      </c>
      <c r="H152" s="15" t="s">
        <v>627</v>
      </c>
      <c r="I152" s="15">
        <v>42625.045034722221</v>
      </c>
      <c r="J152" s="7">
        <v>1</v>
      </c>
      <c r="K152" s="121" t="str">
        <f t="shared" si="106"/>
        <v>4029/4030</v>
      </c>
      <c r="L152" s="24" t="str">
        <f>VLOOKUP(A152,'Trips&amp;Operators'!$C$1:$E$10000,3,FALSE)</f>
        <v>OUN</v>
      </c>
      <c r="M152" s="6">
        <f t="shared" si="111"/>
        <v>2.6712962964666076E-2</v>
      </c>
      <c r="N152" s="7">
        <f t="shared" si="120"/>
        <v>38.466666669119149</v>
      </c>
      <c r="O152" s="7"/>
      <c r="P152" s="7"/>
      <c r="Q152" s="25"/>
      <c r="R152" s="25"/>
      <c r="S152" s="37">
        <f t="shared" si="112"/>
        <v>1</v>
      </c>
      <c r="T152" s="52" t="str">
        <f t="shared" si="107"/>
        <v>Southbound</v>
      </c>
      <c r="U152" s="163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23:19:09-0600',mode:absolute,to:'2016-09-12 02:04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52" s="54" t="str">
        <f t="shared" si="114"/>
        <v>N</v>
      </c>
      <c r="X152" s="168">
        <f t="shared" si="121"/>
        <v>1</v>
      </c>
      <c r="Y152" s="69">
        <f t="shared" si="115"/>
        <v>23.298400000000001</v>
      </c>
      <c r="Z152" s="69">
        <f t="shared" si="116"/>
        <v>1.67E-2</v>
      </c>
      <c r="AA152" s="69">
        <f t="shared" si="117"/>
        <v>23.281700000000001</v>
      </c>
      <c r="AB152" s="66" t="e">
        <f>VLOOKUP(A152,Enforcements!$C$7:$K$21,8,0)</f>
        <v>#N/A</v>
      </c>
      <c r="AC152" s="62" t="e">
        <f>VLOOKUP(A152,Enforcements!$C$7:$E$21,3,0)</f>
        <v>#N/A</v>
      </c>
      <c r="AD152" s="63" t="str">
        <f t="shared" si="108"/>
        <v>0240-11</v>
      </c>
      <c r="AE152" s="99" t="str">
        <f t="shared" si="118"/>
        <v>aws s3 cp s3://rtdc.mdm.uploadarchive/RTDC4030/2016-09-12/ "%USERPROFILE%\AppData\Local\Temp\OnboardLogs"\RTDC4030\2016-09-12 --recursive &amp; "%USERPROFILE%\Documents\GitHub\mrs-test-scripts\Headless Mode &amp; Sideloading\WalkAndUnGZ.bat" "%USERPROFILE%\AppData\Local\Temp\OnboardLogs"\RTDC4030\2016-09-12 &amp; aws s3 cp s3://rtdc.mdm.uploadarchive/RTDC4030/2016-09-13/ "%USERPROFILE%\AppData\Local\Temp\OnboardLogs"\RTDC4030\2016-09-13 --recursive &amp; "%USERPROFILE%\Documents\GitHub\mrs-test-scripts\Headless Mode &amp; Sideloading\WalkAndUnGZ.bat" "%USERPROFILE%\AppData\Local\Temp\OnboardLogs"\RTDC4030\2016-09-13</v>
      </c>
      <c r="AF152" s="96" t="str">
        <f t="shared" si="119"/>
        <v>"C:\Program Files (x86)\AstroGrep\AstroGrep.exe" /spath="%USERPROFILE%\AppData\Local\Temp\OnboardLogs" /stypes="*4030*20160912*" /stext=" 07:.+((SYSTEM_STATE.+slice.+state.+changed )|(ment ac)|(system.+state.+changed )|(\|lc)|(penalty)|(\[timeout)|(PRM\|1\|D)|(kpr)|(kdp))" /e /r /s</v>
      </c>
      <c r="AG152" s="1" t="str">
        <f t="shared" si="109"/>
        <v>EC</v>
      </c>
      <c r="AH152" s="100" t="str">
        <f t="shared" si="63"/>
        <v>"%USERPROFILE%\Documents\GitHub\eaglep3\Utilities\RefineRTDCRunTimes.py" --tripid 240-11 --locoid 4030 --swversion DE.1.0.7.0 --startMP 204:232984 --initTime 2016-09-12T00:19:09 --startdatetime 2016-09-12T00:26:23 --delay 1 --endMP 204:167 --enddatetime 2016-09-12T01:04:51 --enforcementcount 1 &gt;&gt;C:\Users\stu\Documents\GitHub\eaglep3-reporting\EC\2016-09-11-refined-times.txt</v>
      </c>
      <c r="AI152" s="134" t="str">
        <f t="shared" si="64"/>
        <v>echo {"issue":{"subject":"","project_id":79,"tracker_id":40,"status_id":1,"priority_id":2,"assigned_to_id":23,"start_date":"2016-09-12","description":"","custom_fields":[{"id":1,"name":"Subdivision","value":"EC"},{"id":4,"name":"Milepost","value":"23.2817"},{"id":17,"name":"Train ID","value":"240-11"},{"id":16,"name":"Locomotive ID","value":"4030"},{"id":130,"name":"Impact","value":""},{"id":150,"name":"Time of Event (Mountain Time)","value":"01:04:51"},{"id":151,"name":"Denver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651</v>
      </c>
      <c r="B153" s="7">
        <v>4018</v>
      </c>
      <c r="C153" s="24" t="s">
        <v>108</v>
      </c>
      <c r="D153" s="24" t="s">
        <v>249</v>
      </c>
      <c r="E153" s="15">
        <v>42624.983611111114</v>
      </c>
      <c r="F153" s="15">
        <v>42625.000150462962</v>
      </c>
      <c r="G153" s="7">
        <v>1</v>
      </c>
      <c r="H153" s="15" t="s">
        <v>275</v>
      </c>
      <c r="I153" s="15">
        <v>42625.024236111109</v>
      </c>
      <c r="J153" s="7">
        <v>1</v>
      </c>
      <c r="K153" s="121" t="str">
        <f t="shared" si="106"/>
        <v>4017/4018</v>
      </c>
      <c r="L153" s="24" t="str">
        <f>VLOOKUP(A153,'Trips&amp;Operators'!$C$1:$E$10000,3,FALSE)</f>
        <v>NEWELL</v>
      </c>
      <c r="M153" s="6">
        <f t="shared" si="111"/>
        <v>2.4085648146865424E-2</v>
      </c>
      <c r="N153" s="7">
        <f t="shared" si="120"/>
        <v>34.68333333148621</v>
      </c>
      <c r="O153" s="7"/>
      <c r="P153" s="7"/>
      <c r="Q153" s="25"/>
      <c r="R153" s="25"/>
      <c r="S153" s="37">
        <f t="shared" si="112"/>
        <v>1</v>
      </c>
      <c r="T153" s="52" t="str">
        <f t="shared" si="107"/>
        <v>NorthBound</v>
      </c>
      <c r="U153" s="163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22:36:24-0600',mode:absolute,to:'2016-09-12 01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53" s="54" t="str">
        <f t="shared" si="114"/>
        <v>N</v>
      </c>
      <c r="X153" s="168">
        <f t="shared" si="121"/>
        <v>1</v>
      </c>
      <c r="Y153" s="69">
        <f t="shared" si="115"/>
        <v>4.4699999999999997E-2</v>
      </c>
      <c r="Z153" s="69">
        <f t="shared" si="116"/>
        <v>23.332000000000001</v>
      </c>
      <c r="AA153" s="69">
        <f t="shared" si="117"/>
        <v>23.287300000000002</v>
      </c>
      <c r="AB153" s="66" t="e">
        <f>VLOOKUP(A153,Enforcements!$C$7:$K$21,8,0)</f>
        <v>#N/A</v>
      </c>
      <c r="AC153" s="62" t="e">
        <f>VLOOKUP(A153,Enforcements!$C$7:$E$21,3,0)</f>
        <v>#N/A</v>
      </c>
      <c r="AD153" s="63" t="str">
        <f t="shared" si="108"/>
        <v>0241-11</v>
      </c>
      <c r="AE153" s="99" t="str">
        <f t="shared" si="118"/>
        <v>aws s3 cp s3://rtdc.mdm.uploadarchive/RTDC4018/2016-09-12/ "%USERPROFILE%\AppData\Local\Temp\OnboardLogs"\RTDC4018\2016-09-12 --recursive &amp; "%USERPROFILE%\Documents\GitHub\mrs-test-scripts\Headless Mode &amp; Sideloading\WalkAndUnGZ.bat" "%USERPROFILE%\AppData\Local\Temp\OnboardLogs"\RTDC4018\2016-09-12 &amp; aws s3 cp s3://rtdc.mdm.uploadarchive/RTDC4018/2016-09-13/ "%USERPROFILE%\AppData\Local\Temp\OnboardLogs"\RTDC4018\2016-09-13 --recursive &amp; "%USERPROFILE%\Documents\GitHub\mrs-test-scripts\Headless Mode &amp; Sideloading\WalkAndUnGZ.bat" "%USERPROFILE%\AppData\Local\Temp\OnboardLogs"\RTDC4018\2016-09-13</v>
      </c>
      <c r="AF153" s="96" t="str">
        <f t="shared" si="119"/>
        <v>"C:\Program Files (x86)\AstroGrep\AstroGrep.exe" /spath="%USERPROFILE%\AppData\Local\Temp\OnboardLogs" /stypes="*4018*20160912*" /stext=" 06:.+((SYSTEM_STATE.+slice.+state.+changed )|(ment ac)|(system.+state.+changed )|(\|lc)|(penalty)|(\[timeout)|(PRM\|1\|D)|(kpr)|(kdp))" /e /r /s</v>
      </c>
      <c r="AG153" s="1" t="str">
        <f t="shared" si="109"/>
        <v>EC</v>
      </c>
      <c r="AH153" s="100" t="str">
        <f t="shared" ref="AH153:AH202" si="122">refinertdcruntimes&amp;" --tripid "&amp;A153&amp;" --locoid "&amp;B153&amp;" --swversion "&amp;C153&amp;" --startMP "&amp;D153&amp;" --initTime "&amp;TEXT(E153,"yyyy-mm-ddTHH:MM:SS")&amp;" --startdatetime "&amp;TEXT(F153,"yyyy-mm-ddTHH:MM:SS")&amp;" --delay "&amp;G153&amp;" --endMP "&amp;H153&amp;" --enddatetime "&amp;TEXT(I153,"yyyy-mm-ddTHH:MM:SS")&amp;" --enforcementcount "&amp;J153&amp;IF(outputrefinedruntimes," &gt;&gt;"&amp;RefinedRTDCRunTimesOutputFile,"")</f>
        <v>"%USERPROFILE%\Documents\GitHub\eaglep3\Utilities\RefineRTDCRunTimes.py" --tripid 241-11 --locoid 4018 --swversion DE.1.0.7.0 --startMP 204:447 --initTime 2016-09-11T23:36:24 --startdatetime 2016-09-12T00:00:13 --delay 1 --endMP 204:233320 --enddatetime 2016-09-12T00:34:54 --enforcementcount 1 &gt;&gt;C:\Users\stu\Documents\GitHub\eaglep3-reporting\EC\2016-09-11-refined-times.txt</v>
      </c>
      <c r="AI153" s="134" t="str">
        <f t="shared" ref="AI153:AI202" si="123">"echo {""issue"":{""subject"":"""&amp;R153&amp;""",""project_id"":79,""tracker_id"":40,""status_id"":"&amp;redmine_status&amp;",""priority_id"":"&amp;redmine_priority&amp;",""assigned_to_id"":"&amp;redmine_assignee&amp;",""start_date"":"""&amp;TEXT(I153,"YYYY-mm-dd")&amp;""",""description"":"""&amp;AJ153&amp;""",""custom_fields"":[{""id"":1,""name"":""Subdivision"",""value"":"""&amp;AG153&amp;"""},{""id"":4,""name"":""Milepost"",""value"":"""&amp;AA153&amp;"""},{""id"":17,""name"":""Train ID"",""value"":"""&amp;A153&amp;"""},{""id"":16,""name"":""Locomotive ID"",""value"":"""&amp;B153&amp;"""},{""id"":130,""name"":""Impact"",""value"":"""&amp;AK153&amp;"""},{""id"":150,""name"":""Time of Event (Mountain Time)"",""value"":"""&amp;TEXT(I153,"hh:mm:ss")&amp;"""},{""id"":151,""name"":""Denver Issue ID"",""value"":"""&amp;"""},{""id"":178,""name"":""Operational Impact"",""value"":"""&amp;redmine_op_impact&amp;"""},{""id"":179,""name"":""Denver Segment Assigned"",""value"":"""&amp;AL153&amp;"""}]}}"&amp;"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{"issue":{"subject":"","project_id":79,"tracker_id":40,"status_id":1,"priority_id":2,"assigned_to_id":23,"start_date":"2016-09-12","description":"","custom_fields":[{"id":1,"name":"Subdivision","value":"EC"},{"id":4,"name":"Milepost","value":"23.2873"},{"id":17,"name":"Train ID","value":"241-11"},{"id":16,"name":"Locomotive ID","value":"4018"},{"id":130,"name":"Impact","value":""},{"id":150,"name":"Time of Event (Mountain Time)","value":"00:34:54"},{"id":151,"name":"Denver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s="23" customFormat="1" x14ac:dyDescent="0.25">
      <c r="A154" s="39" t="s">
        <v>652</v>
      </c>
      <c r="B154" s="7">
        <v>4017</v>
      </c>
      <c r="C154" s="24" t="s">
        <v>108</v>
      </c>
      <c r="D154" s="24" t="s">
        <v>246</v>
      </c>
      <c r="E154" s="15">
        <v>42625.02579861111</v>
      </c>
      <c r="F154" s="15">
        <v>42625.039085648146</v>
      </c>
      <c r="G154" s="7">
        <v>1</v>
      </c>
      <c r="H154" s="15" t="s">
        <v>268</v>
      </c>
      <c r="I154" s="15">
        <v>42625.065057870372</v>
      </c>
      <c r="J154" s="7">
        <v>1</v>
      </c>
      <c r="K154" s="121" t="str">
        <f t="shared" si="106"/>
        <v>4017/4018</v>
      </c>
      <c r="L154" s="24" t="str">
        <f>VLOOKUP(A154,'Trips&amp;Operators'!$C$1:$E$10000,3,FALSE)</f>
        <v>NEWELL</v>
      </c>
      <c r="M154" s="6">
        <f t="shared" si="111"/>
        <v>2.5972222225391306E-2</v>
      </c>
      <c r="N154" s="7">
        <f t="shared" si="120"/>
        <v>37.400000004563481</v>
      </c>
      <c r="O154" s="7"/>
      <c r="P154" s="7"/>
      <c r="Q154" s="25"/>
      <c r="R154" s="25"/>
      <c r="S154" s="37">
        <f t="shared" si="112"/>
        <v>1</v>
      </c>
      <c r="T154" s="52" t="str">
        <f t="shared" si="107"/>
        <v>Southbound</v>
      </c>
      <c r="U154" s="163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23:37:09-0600',mode:absolute,to:'2016-09-12 02:33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54" s="54" t="str">
        <f t="shared" si="114"/>
        <v>N</v>
      </c>
      <c r="X154" s="168">
        <f t="shared" si="121"/>
        <v>1</v>
      </c>
      <c r="Y154" s="69">
        <f t="shared" si="115"/>
        <v>23.299600000000002</v>
      </c>
      <c r="Z154" s="69">
        <f t="shared" si="116"/>
        <v>1.3899999999999999E-2</v>
      </c>
      <c r="AA154" s="69">
        <f t="shared" si="117"/>
        <v>23.285700000000002</v>
      </c>
      <c r="AB154" s="66" t="e">
        <f>VLOOKUP(A154,Enforcements!$C$7:$K$21,8,0)</f>
        <v>#N/A</v>
      </c>
      <c r="AC154" s="62" t="e">
        <f>VLOOKUP(A154,Enforcements!$C$7:$E$21,3,0)</f>
        <v>#N/A</v>
      </c>
      <c r="AD154" s="63" t="str">
        <f t="shared" si="108"/>
        <v>0242-11</v>
      </c>
      <c r="AE154" s="99" t="str">
        <f t="shared" si="118"/>
        <v>aws s3 cp s3://rtdc.mdm.uploadarchive/RTDC4017/2016-09-12/ "%USERPROFILE%\AppData\Local\Temp\OnboardLogs"\RTDC4017\2016-09-12 --recursive &amp; "%USERPROFILE%\Documents\GitHub\mrs-test-scripts\Headless Mode &amp; Sideloading\WalkAndUnGZ.bat" "%USERPROFILE%\AppData\Local\Temp\OnboardLogs"\RTDC4017\2016-09-12 &amp; aws s3 cp s3://rtdc.mdm.uploadarchive/RTDC4017/2016-09-13/ "%USERPROFILE%\AppData\Local\Temp\OnboardLogs"\RTDC4017\2016-09-13 --recursive &amp; "%USERPROFILE%\Documents\GitHub\mrs-test-scripts\Headless Mode &amp; Sideloading\WalkAndUnGZ.bat" "%USERPROFILE%\AppData\Local\Temp\OnboardLogs"\RTDC4017\2016-09-13</v>
      </c>
      <c r="AF154" s="96" t="str">
        <f t="shared" si="119"/>
        <v>"C:\Program Files (x86)\AstroGrep\AstroGrep.exe" /spath="%USERPROFILE%\AppData\Local\Temp\OnboardLogs" /stypes="*4017*20160912*" /stext=" 07:.+((SYSTEM_STATE.+slice.+state.+changed )|(ment ac)|(system.+state.+changed )|(\|lc)|(penalty)|(\[timeout)|(PRM\|1\|D)|(kpr)|(kdp))" /e /r /s</v>
      </c>
      <c r="AG154" s="1" t="str">
        <f t="shared" si="109"/>
        <v>EC</v>
      </c>
      <c r="AH154" s="100" t="str">
        <f t="shared" si="122"/>
        <v>"%USERPROFILE%\Documents\GitHub\eaglep3\Utilities\RefineRTDCRunTimes.py" --tripid 242-11 --locoid 4017 --swversion DE.1.0.7.0 --startMP 204:232996 --initTime 2016-09-12T00:37:09 --startdatetime 2016-09-12T00:56:17 --delay 1 --endMP 204:139 --enddatetime 2016-09-12T01:33:41 --enforcementcount 1 &gt;&gt;C:\Users\stu\Documents\GitHub\eaglep3-reporting\EC\2016-09-11-refined-times.txt</v>
      </c>
      <c r="AI154" s="134" t="str">
        <f t="shared" si="123"/>
        <v>echo {"issue":{"subject":"","project_id":79,"tracker_id":40,"status_id":1,"priority_id":2,"assigned_to_id":23,"start_date":"2016-09-12","description":"","custom_fields":[{"id":1,"name":"Subdivision","value":"EC"},{"id":4,"name":"Milepost","value":"23.2857"},{"id":17,"name":"Train ID","value":"242-11"},{"id":16,"name":"Locomotive ID","value":"4017"},{"id":130,"name":"Impact","value":""},{"id":150,"name":"Time of Event (Mountain Time)","value":"01:33:41"},{"id":151,"name":"Denver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x14ac:dyDescent="0.25">
      <c r="A155" s="39" t="s">
        <v>653</v>
      </c>
      <c r="B155" s="7">
        <v>4040</v>
      </c>
      <c r="C155" s="24" t="s">
        <v>108</v>
      </c>
      <c r="D155" s="24" t="s">
        <v>360</v>
      </c>
      <c r="E155" s="15">
        <v>42625.019456018519</v>
      </c>
      <c r="F155" s="15">
        <v>42625.021087962959</v>
      </c>
      <c r="G155" s="7">
        <v>1</v>
      </c>
      <c r="H155" s="15" t="s">
        <v>617</v>
      </c>
      <c r="I155" s="15">
        <v>42625.046157407407</v>
      </c>
      <c r="J155" s="7">
        <v>1</v>
      </c>
      <c r="K155" s="121" t="str">
        <f t="shared" si="106"/>
        <v>4039/4040</v>
      </c>
      <c r="L155" s="24" t="str">
        <f>VLOOKUP(A155,'Trips&amp;Operators'!$C$1:$E$10000,3,FALSE)</f>
        <v>CHANDLER</v>
      </c>
      <c r="M155" s="6">
        <f t="shared" si="111"/>
        <v>2.5069444447581191E-2</v>
      </c>
      <c r="N155" s="7">
        <f t="shared" si="120"/>
        <v>36.100000004516914</v>
      </c>
      <c r="O155" s="7"/>
      <c r="P155" s="7"/>
      <c r="Q155" s="25"/>
      <c r="R155" s="25"/>
      <c r="S155" s="37">
        <f t="shared" si="112"/>
        <v>1</v>
      </c>
      <c r="T155" s="52" t="str">
        <f t="shared" si="107"/>
        <v>NorthBound</v>
      </c>
      <c r="U155" s="163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23:28:01-0600',mode:absolute,to:'2016-09-12 02:06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55" s="54" t="str">
        <f t="shared" si="114"/>
        <v>N</v>
      </c>
      <c r="X155" s="168">
        <f t="shared" si="121"/>
        <v>1</v>
      </c>
      <c r="Y155" s="69">
        <f t="shared" si="115"/>
        <v>4.8399999999999999E-2</v>
      </c>
      <c r="Z155" s="69">
        <f t="shared" si="116"/>
        <v>23.331600000000002</v>
      </c>
      <c r="AA155" s="69">
        <f t="shared" si="117"/>
        <v>23.283200000000001</v>
      </c>
      <c r="AB155" s="66" t="e">
        <f>VLOOKUP(A155,Enforcements!$C$7:$K$21,8,0)</f>
        <v>#N/A</v>
      </c>
      <c r="AC155" s="62" t="e">
        <f>VLOOKUP(A155,Enforcements!$C$7:$E$21,3,0)</f>
        <v>#N/A</v>
      </c>
      <c r="AD155" s="63" t="str">
        <f t="shared" si="108"/>
        <v>0243-11</v>
      </c>
      <c r="AE155" s="99" t="str">
        <f t="shared" si="118"/>
        <v>aws s3 cp s3://rtdc.mdm.uploadarchive/RTDC4040/2016-09-12/ "%USERPROFILE%\AppData\Local\Temp\OnboardLogs"\RTDC4040\2016-09-12 --recursive &amp; "%USERPROFILE%\Documents\GitHub\mrs-test-scripts\Headless Mode &amp; Sideloading\WalkAndUnGZ.bat" "%USERPROFILE%\AppData\Local\Temp\OnboardLogs"\RTDC4040\2016-09-12 &amp; aws s3 cp s3://rtdc.mdm.uploadarchive/RTDC4040/2016-09-13/ "%USERPROFILE%\AppData\Local\Temp\OnboardLogs"\RTDC4040\2016-09-13 --recursive &amp; "%USERPROFILE%\Documents\GitHub\mrs-test-scripts\Headless Mode &amp; Sideloading\WalkAndUnGZ.bat" "%USERPROFILE%\AppData\Local\Temp\OnboardLogs"\RTDC4040\2016-09-13</v>
      </c>
      <c r="AF155" s="96" t="str">
        <f t="shared" si="119"/>
        <v>"C:\Program Files (x86)\AstroGrep\AstroGrep.exe" /spath="%USERPROFILE%\AppData\Local\Temp\OnboardLogs" /stypes="*4040*20160912*" /stext=" 07:.+((SYSTEM_STATE.+slice.+state.+changed )|(ment ac)|(system.+state.+changed )|(\|lc)|(penalty)|(\[timeout)|(PRM\|1\|D)|(kpr)|(kdp))" /e /r /s</v>
      </c>
      <c r="AG155" s="1" t="str">
        <f t="shared" si="109"/>
        <v>EC</v>
      </c>
      <c r="AH155" s="100" t="str">
        <f t="shared" si="122"/>
        <v>"%USERPROFILE%\Documents\GitHub\eaglep3\Utilities\RefineRTDCRunTimes.py" --tripid 243-11 --locoid 4040 --swversion DE.1.0.7.0 --startMP 204:484 --initTime 2016-09-12T00:28:01 --startdatetime 2016-09-12T00:30:22 --delay 1 --endMP 204:233316 --enddatetime 2016-09-12T01:06:28 --enforcementcount 1 &gt;&gt;C:\Users\stu\Documents\GitHub\eaglep3-reporting\EC\2016-09-11-refined-times.txt</v>
      </c>
      <c r="AI155" s="134" t="str">
        <f t="shared" si="123"/>
        <v>echo {"issue":{"subject":"","project_id":79,"tracker_id":40,"status_id":1,"priority_id":2,"assigned_to_id":23,"start_date":"2016-09-12","description":"","custom_fields":[{"id":1,"name":"Subdivision","value":"EC"},{"id":4,"name":"Milepost","value":"23.2832"},{"id":17,"name":"Train ID","value":"243-11"},{"id":16,"name":"Locomotive ID","value":"4040"},{"id":130,"name":"Impact","value":""},{"id":150,"name":"Time of Event (Mountain Time)","value":"01:06:28"},{"id":151,"name":"Denver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654</v>
      </c>
      <c r="B156" s="7">
        <v>4039</v>
      </c>
      <c r="C156" s="24" t="s">
        <v>108</v>
      </c>
      <c r="D156" s="24" t="s">
        <v>258</v>
      </c>
      <c r="E156" s="15">
        <v>42625.057870370372</v>
      </c>
      <c r="F156" s="15">
        <v>42625.059988425928</v>
      </c>
      <c r="G156" s="7">
        <v>1</v>
      </c>
      <c r="H156" s="15" t="s">
        <v>655</v>
      </c>
      <c r="I156" s="15">
        <v>42625.087106481478</v>
      </c>
      <c r="J156" s="7">
        <v>1</v>
      </c>
      <c r="K156" s="121" t="str">
        <f t="shared" si="106"/>
        <v>4039/4040</v>
      </c>
      <c r="L156" s="24" t="str">
        <f>VLOOKUP(A156,'Trips&amp;Operators'!$C$1:$E$10000,3,FALSE)</f>
        <v>CHANDLER</v>
      </c>
      <c r="M156" s="6">
        <f t="shared" si="111"/>
        <v>2.7118055550090503E-2</v>
      </c>
      <c r="N156" s="7">
        <f t="shared" si="120"/>
        <v>39.049999992130324</v>
      </c>
      <c r="O156" s="7"/>
      <c r="P156" s="7"/>
      <c r="Q156" s="25"/>
      <c r="R156" s="25"/>
      <c r="S156" s="37">
        <f t="shared" si="112"/>
        <v>1</v>
      </c>
      <c r="T156" s="52" t="str">
        <f t="shared" si="107"/>
        <v>Southbound</v>
      </c>
      <c r="U156" s="163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https://search-rtdc-monitor-bjffxe2xuh6vdkpspy63sjmuny.us-east-1.es.amazonaws.com/_plugin/kibana/#/discover/Steve-Slow-Train-Analysis-(2080s-and-2083s)?_g=(refreshInterval:(display:Off,section:0,value:0),time:(from:'2016-09-12 00:23:20-0600',mode:absolute,to:'2016-09-12 03:05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56" s="54" t="str">
        <f t="shared" ref="W156:W162" si="124">IF(AA156&lt;IF(AG156="EC",23,5.65),"Y","N")</f>
        <v>N</v>
      </c>
      <c r="X156" s="168">
        <f t="shared" ref="X156:X162" si="125">VALUE(LEFT(AD156,4))-VALUE(LEFT(AD155,4))</f>
        <v>1</v>
      </c>
      <c r="Y156" s="69">
        <f t="shared" si="115"/>
        <v>23.297699999999999</v>
      </c>
      <c r="Z156" s="69">
        <f t="shared" si="116"/>
        <v>1.6899999999999998E-2</v>
      </c>
      <c r="AA156" s="69">
        <f t="shared" si="117"/>
        <v>23.280799999999999</v>
      </c>
      <c r="AB156" s="66" t="e">
        <f>VLOOKUP(A156,Enforcements!$C$7:$K$21,8,0)</f>
        <v>#N/A</v>
      </c>
      <c r="AC156" s="62" t="e">
        <f>VLOOKUP(A156,Enforcements!$C$7:$E$21,3,0)</f>
        <v>#N/A</v>
      </c>
      <c r="AD156" s="63" t="str">
        <f t="shared" si="108"/>
        <v>0244-11</v>
      </c>
      <c r="AE156" s="99" t="str">
        <f t="shared" si="118"/>
        <v>aws s3 cp s3://rtdc.mdm.uploadarchive/RTDC4039/2016-09-12/ "%USERPROFILE%\AppData\Local\Temp\OnboardLogs"\RTDC4039\2016-09-12 --recursive &amp; "%USERPROFILE%\Documents\GitHub\mrs-test-scripts\Headless Mode &amp; Sideloading\WalkAndUnGZ.bat" "%USERPROFILE%\AppData\Local\Temp\OnboardLogs"\RTDC4039\2016-09-12 &amp; aws s3 cp s3://rtdc.mdm.uploadarchive/RTDC4039/2016-09-13/ "%USERPROFILE%\AppData\Local\Temp\OnboardLogs"\RTDC4039\2016-09-13 --recursive &amp; "%USERPROFILE%\Documents\GitHub\mrs-test-scripts\Headless Mode &amp; Sideloading\WalkAndUnGZ.bat" "%USERPROFILE%\AppData\Local\Temp\OnboardLogs"\RTDC4039\2016-09-13</v>
      </c>
      <c r="AF156" s="96" t="str">
        <f t="shared" si="119"/>
        <v>"C:\Program Files (x86)\AstroGrep\AstroGrep.exe" /spath="%USERPROFILE%\AppData\Local\Temp\OnboardLogs" /stypes="*4039*20160912*" /stext=" 08:.+((SYSTEM_STATE.+slice.+state.+changed )|(ment ac)|(system.+state.+changed )|(\|lc)|(penalty)|(\[timeout)|(PRM\|1\|D)|(kpr)|(kdp))" /e /r /s</v>
      </c>
      <c r="AG156" s="1" t="str">
        <f t="shared" si="109"/>
        <v>EC</v>
      </c>
      <c r="AH156" s="100" t="str">
        <f t="shared" si="122"/>
        <v>"%USERPROFILE%\Documents\GitHub\eaglep3\Utilities\RefineRTDCRunTimes.py" --tripid 244-11 --locoid 4039 --swversion DE.1.0.7.0 --startMP 204:232977 --initTime 2016-09-12T01:23:20 --startdatetime 2016-09-12T01:26:23 --delay 1 --endMP 204:169 --enddatetime 2016-09-12T02:05:26 --enforcementcount 1 &gt;&gt;C:\Users\stu\Documents\GitHub\eaglep3-reporting\EC\2016-09-11-refined-times.txt</v>
      </c>
      <c r="AI156" s="134" t="str">
        <f t="shared" si="123"/>
        <v>echo {"issue":{"subject":"","project_id":79,"tracker_id":40,"status_id":1,"priority_id":2,"assigned_to_id":23,"start_date":"2016-09-12","description":"","custom_fields":[{"id":1,"name":"Subdivision","value":"EC"},{"id":4,"name":"Milepost","value":"23.2808"},{"id":17,"name":"Train ID","value":"244-11"},{"id":16,"name":"Locomotive ID","value":"4039"},{"id":130,"name":"Impact","value":""},{"id":150,"name":"Time of Event (Mountain Time)","value":"02:05:26"},{"id":151,"name":"Denver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381</v>
      </c>
      <c r="B157" s="7">
        <v>4001</v>
      </c>
      <c r="C157" s="24" t="s">
        <v>108</v>
      </c>
      <c r="D157" s="24" t="s">
        <v>506</v>
      </c>
      <c r="E157" s="15">
        <v>42624.238958333335</v>
      </c>
      <c r="F157" s="15">
        <v>42624.240034722221</v>
      </c>
      <c r="G157" s="7">
        <v>1</v>
      </c>
      <c r="H157" s="15" t="s">
        <v>341</v>
      </c>
      <c r="I157" s="15">
        <v>42624.249872685185</v>
      </c>
      <c r="J157" s="7">
        <v>1</v>
      </c>
      <c r="K157" s="121" t="str">
        <f t="shared" ref="K157:K188" si="126">IF(ISEVEN(B157),(B157-1)&amp;"/"&amp;B157,B157&amp;"/"&amp;(B157+1))</f>
        <v>4001/4002</v>
      </c>
      <c r="L157" s="24" t="str">
        <f>VLOOKUP(A157,'Trips&amp;Operators'!$C$1:$E$10000,3,FALSE)</f>
        <v>STARKS</v>
      </c>
      <c r="M157" s="6">
        <f t="shared" si="111"/>
        <v>9.8379629635019228E-3</v>
      </c>
      <c r="N157" s="7">
        <f t="shared" si="120"/>
        <v>14.166666667442769</v>
      </c>
      <c r="O157" s="7"/>
      <c r="P157" s="7"/>
      <c r="Q157" s="25"/>
      <c r="R157" s="25"/>
      <c r="S157" s="37">
        <f t="shared" si="112"/>
        <v>1</v>
      </c>
      <c r="T157" s="52" t="str">
        <f t="shared" ref="T157:T188" si="127">IF(ISEVEN(LEFT(AD157,4)),"Southbound","NorthBound")</f>
        <v>Southbound</v>
      </c>
      <c r="U157" s="163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04:44:06-0600',mode:absolute,to:'2016-09-11 06:59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57" s="54" t="str">
        <f t="shared" si="124"/>
        <v>N</v>
      </c>
      <c r="X157" s="168">
        <f t="shared" si="125"/>
        <v>1556</v>
      </c>
      <c r="Y157" s="69">
        <f t="shared" si="115"/>
        <v>5.8639999999999999</v>
      </c>
      <c r="Z157" s="69">
        <f t="shared" si="116"/>
        <v>7.2400000000000006E-2</v>
      </c>
      <c r="AA157" s="69">
        <f t="shared" si="117"/>
        <v>5.7915999999999999</v>
      </c>
      <c r="AB157" s="66" t="e">
        <f>VLOOKUP(A157,Enforcements!$C$7:$K$21,8,0)</f>
        <v>#N/A</v>
      </c>
      <c r="AC157" s="62" t="e">
        <f>VLOOKUP(A157,Enforcements!$C$7:$E$21,3,0)</f>
        <v>#N/A</v>
      </c>
      <c r="AD157" s="63" t="str">
        <f t="shared" ref="AD157:AD188" si="128">IF(LEN(A157)=6,"0"&amp;A157,A157)</f>
        <v>1800-11</v>
      </c>
      <c r="AE157" s="99" t="str">
        <f t="shared" si="118"/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AF157" s="96" t="str">
        <f t="shared" si="119"/>
        <v>"C:\Program Files (x86)\AstroGrep\AstroGrep.exe" /spath="%USERPROFILE%\AppData\Local\Temp\OnboardLogs" /stypes="*4001*20160911*" /stext=" 11:.+((SYSTEM_STATE.+slice.+state.+changed )|(ment ac)|(system.+state.+changed )|(\|lc)|(penalty)|(\[timeout)|(PRM\|1\|D)|(kpr)|(kdp))" /e /r /s</v>
      </c>
      <c r="AG157" s="1" t="str">
        <f t="shared" ref="AG157:AG188" si="129">IFERROR(IF(VALUE(LEFT(AD157,2))&lt;=2,"EC",IF(OR(VALUE(LEFT(AD157,2))=8,VALUE(LEFT(AD157,2))=18),"NW","Other")),"Other")</f>
        <v>NW</v>
      </c>
      <c r="AH157" s="100" t="str">
        <f t="shared" si="122"/>
        <v>"%USERPROFILE%\Documents\GitHub\eaglep3\Utilities\RefineRTDCRunTimes.py" --tripid 1800-11 --locoid 4001 --swversion DE.1.0.7.0 --startMP 300:58640 --initTime 2016-09-11T05:44:06 --startdatetime 2016-09-11T05:45:39 --delay 1 --endMP 204:724 --enddatetime 2016-09-11T05:59:49 --enforcementcount 1 &gt;&gt;C:\Users\stu\Documents\GitHub\eaglep3-reporting\EC\2016-09-11-refined-times.txt</v>
      </c>
      <c r="AI157" s="134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{"issue":{"subject":"","project_id":79,"tracker_id":40,"status_id":1,"priority_id":2,"assigned_to_id":23,"start_date":"2016-09-11","description":"","custom_fields":[{"id":1,"name":"Subdivision","value":"NW"},{"id":4,"name":"Milepost","value":"5.7916"},{"id":17,"name":"Train ID","value":"1800-11"},{"id":16,"name":"Locomotive ID","value":"4001"},{"id":130,"name":"Impact","value":""},{"id":150,"name":"Time of Event (Mountain Time)","value":"05:59:49"},{"id":151,"name":"Denver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x14ac:dyDescent="0.25">
      <c r="A158" s="39" t="s">
        <v>507</v>
      </c>
      <c r="B158" s="7">
        <v>4002</v>
      </c>
      <c r="C158" s="24" t="s">
        <v>108</v>
      </c>
      <c r="D158" s="24" t="s">
        <v>508</v>
      </c>
      <c r="E158" s="15">
        <v>42624.255509259259</v>
      </c>
      <c r="F158" s="15">
        <v>42624.264745370368</v>
      </c>
      <c r="G158" s="7">
        <v>2</v>
      </c>
      <c r="H158" s="15" t="s">
        <v>509</v>
      </c>
      <c r="I158" s="15">
        <v>42624.274189814816</v>
      </c>
      <c r="J158" s="7">
        <v>1</v>
      </c>
      <c r="K158" s="121" t="str">
        <f t="shared" si="126"/>
        <v>4001/4002</v>
      </c>
      <c r="L158" s="24" t="str">
        <f>VLOOKUP(A158,'Trips&amp;Operators'!$C$1:$E$10000,3,FALSE)</f>
        <v>STARKS</v>
      </c>
      <c r="M158" s="6">
        <f t="shared" si="111"/>
        <v>9.4444444475811906E-3</v>
      </c>
      <c r="N158" s="7">
        <f t="shared" si="120"/>
        <v>13.600000004516914</v>
      </c>
      <c r="O158" s="7"/>
      <c r="P158" s="7"/>
      <c r="Q158" s="25"/>
      <c r="R158" s="25"/>
      <c r="S158" s="37">
        <f t="shared" si="112"/>
        <v>1</v>
      </c>
      <c r="T158" s="52" t="str">
        <f t="shared" si="127"/>
        <v>NorthBound</v>
      </c>
      <c r="U158" s="163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05:07:56-0600',mode:absolute,to:'2016-09-11 07:34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58" s="54" t="str">
        <f t="shared" si="124"/>
        <v>N</v>
      </c>
      <c r="X158" s="168">
        <f t="shared" si="125"/>
        <v>1</v>
      </c>
      <c r="Y158" s="69">
        <f t="shared" si="115"/>
        <v>0.1027</v>
      </c>
      <c r="Z158" s="69">
        <f t="shared" si="116"/>
        <v>5.8933</v>
      </c>
      <c r="AA158" s="69">
        <f t="shared" si="117"/>
        <v>5.7906000000000004</v>
      </c>
      <c r="AB158" s="66" t="e">
        <f>VLOOKUP(A158,Enforcements!$C$7:$K$21,8,0)</f>
        <v>#N/A</v>
      </c>
      <c r="AC158" s="62" t="e">
        <f>VLOOKUP(A158,Enforcements!$C$7:$E$21,3,0)</f>
        <v>#N/A</v>
      </c>
      <c r="AD158" s="63" t="str">
        <f t="shared" si="128"/>
        <v>1801-11</v>
      </c>
      <c r="AE158" s="99" t="str">
        <f t="shared" si="118"/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AF158" s="96" t="str">
        <f t="shared" si="119"/>
        <v>"C:\Program Files (x86)\AstroGrep\AstroGrep.exe" /spath="%USERPROFILE%\AppData\Local\Temp\OnboardLogs" /stypes="*4002*20160911*" /stext=" 12:.+((SYSTEM_STATE.+slice.+state.+changed )|(ment ac)|(system.+state.+changed )|(\|lc)|(penalty)|(\[timeout)|(PRM\|1\|D)|(kpr)|(kdp))" /e /r /s</v>
      </c>
      <c r="AG158" s="1" t="str">
        <f t="shared" si="129"/>
        <v>NW</v>
      </c>
      <c r="AH158" s="100" t="str">
        <f t="shared" si="122"/>
        <v>"%USERPROFILE%\Documents\GitHub\eaglep3\Utilities\RefineRTDCRunTimes.py" --tripid 1801-11 --locoid 4002 --swversion DE.1.0.7.0 --startMP 204:1027 --initTime 2016-09-11T06:07:56 --startdatetime 2016-09-11T06:21:14 --delay 2 --endMP 300:58933 --enddatetime 2016-09-11T06:34:50 --enforcementcount 1 &gt;&gt;C:\Users\stu\Documents\GitHub\eaglep3-reporting\EC\2016-09-11-refined-times.txt</v>
      </c>
      <c r="AI158" s="134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{"issue":{"subject":"","project_id":79,"tracker_id":40,"status_id":1,"priority_id":2,"assigned_to_id":23,"start_date":"2016-09-11","description":"","custom_fields":[{"id":1,"name":"Subdivision","value":"NW"},{"id":4,"name":"Milepost","value":"5.7906"},{"id":17,"name":"Train ID","value":"1801-11"},{"id":16,"name":"Locomotive ID","value":"4002"},{"id":130,"name":"Impact","value":""},{"id":150,"name":"Time of Event (Mountain Time)","value":"06:34:50"},{"id":151,"name":"Denver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s="23" customFormat="1" x14ac:dyDescent="0.25">
      <c r="A159" s="39" t="s">
        <v>510</v>
      </c>
      <c r="B159" s="7">
        <v>4001</v>
      </c>
      <c r="C159" s="24" t="s">
        <v>108</v>
      </c>
      <c r="D159" s="24" t="s">
        <v>324</v>
      </c>
      <c r="E159" s="15">
        <v>42624.275659722225</v>
      </c>
      <c r="F159" s="15">
        <v>42624.276817129627</v>
      </c>
      <c r="G159" s="7">
        <v>0</v>
      </c>
      <c r="H159" s="15" t="s">
        <v>423</v>
      </c>
      <c r="I159" s="15">
        <v>42624.288310185184</v>
      </c>
      <c r="J159" s="7">
        <v>1</v>
      </c>
      <c r="K159" s="121" t="str">
        <f t="shared" si="126"/>
        <v>4001/4002</v>
      </c>
      <c r="L159" s="24" t="str">
        <f>VLOOKUP(A159,'Trips&amp;Operators'!$C$1:$E$10000,3,FALSE)</f>
        <v>STARKS</v>
      </c>
      <c r="M159" s="6">
        <f t="shared" si="111"/>
        <v>1.1493055557366461E-2</v>
      </c>
      <c r="N159" s="7">
        <f t="shared" si="120"/>
        <v>16.550000002607703</v>
      </c>
      <c r="O159" s="7"/>
      <c r="P159" s="7"/>
      <c r="Q159" s="25"/>
      <c r="R159" s="25"/>
      <c r="S159" s="37">
        <f t="shared" si="112"/>
        <v>1</v>
      </c>
      <c r="T159" s="52" t="str">
        <f t="shared" si="127"/>
        <v>Southbound</v>
      </c>
      <c r="U159" s="163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05:36:57-0600',mode:absolute,to:'2016-09-11 07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59" s="54" t="str">
        <f t="shared" si="124"/>
        <v>N</v>
      </c>
      <c r="X159" s="168">
        <f t="shared" si="125"/>
        <v>1</v>
      </c>
      <c r="Y159" s="69">
        <f t="shared" si="115"/>
        <v>5.8620999999999999</v>
      </c>
      <c r="Z159" s="69">
        <f t="shared" si="116"/>
        <v>7.2599999999999998E-2</v>
      </c>
      <c r="AA159" s="69">
        <f t="shared" si="117"/>
        <v>5.7895000000000003</v>
      </c>
      <c r="AB159" s="66" t="e">
        <f>VLOOKUP(A159,Enforcements!$C$7:$K$21,8,0)</f>
        <v>#N/A</v>
      </c>
      <c r="AC159" s="62" t="e">
        <f>VLOOKUP(A159,Enforcements!$C$7:$E$21,3,0)</f>
        <v>#N/A</v>
      </c>
      <c r="AD159" s="63" t="str">
        <f t="shared" si="128"/>
        <v>1802-11</v>
      </c>
      <c r="AE159" s="99" t="str">
        <f t="shared" si="118"/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AF159" s="96" t="str">
        <f t="shared" si="119"/>
        <v>"C:\Program Files (x86)\AstroGrep\AstroGrep.exe" /spath="%USERPROFILE%\AppData\Local\Temp\OnboardLogs" /stypes="*4001*20160911*" /stext=" 12:.+((SYSTEM_STATE.+slice.+state.+changed )|(ment ac)|(system.+state.+changed )|(\|lc)|(penalty)|(\[timeout)|(PRM\|1\|D)|(kpr)|(kdp))" /e /r /s</v>
      </c>
      <c r="AG159" s="1" t="str">
        <f t="shared" si="129"/>
        <v>NW</v>
      </c>
      <c r="AH159" s="100" t="str">
        <f t="shared" si="122"/>
        <v>"%USERPROFILE%\Documents\GitHub\eaglep3\Utilities\RefineRTDCRunTimes.py" --tripid 1802-11 --locoid 4001 --swversion DE.1.0.7.0 --startMP 300:58621 --initTime 2016-09-11T06:36:57 --startdatetime 2016-09-11T06:38:37 --delay 0 --endMP 204:726 --enddatetime 2016-09-11T06:55:10 --enforcementcount 1 &gt;&gt;C:\Users\stu\Documents\GitHub\eaglep3-reporting\EC\2016-09-11-refined-times.txt</v>
      </c>
      <c r="AI159" s="134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{"issue":{"subject":"","project_id":79,"tracker_id":40,"status_id":1,"priority_id":2,"assigned_to_id":23,"start_date":"2016-09-11","description":"","custom_fields":[{"id":1,"name":"Subdivision","value":"NW"},{"id":4,"name":"Milepost","value":"5.7895"},{"id":17,"name":"Train ID","value":"1802-11"},{"id":16,"name":"Locomotive ID","value":"4001"},{"id":130,"name":"Impact","value":""},{"id":150,"name":"Time of Event (Mountain Time)","value":"06:55:10"},{"id":151,"name":"Denver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s="23" customFormat="1" x14ac:dyDescent="0.25">
      <c r="A160" s="39" t="s">
        <v>387</v>
      </c>
      <c r="B160" s="7">
        <v>4002</v>
      </c>
      <c r="C160" s="24" t="s">
        <v>108</v>
      </c>
      <c r="D160" s="24" t="s">
        <v>511</v>
      </c>
      <c r="E160" s="15">
        <v>42624.303483796299</v>
      </c>
      <c r="F160" s="15">
        <v>42624.30641203704</v>
      </c>
      <c r="G160" s="7">
        <v>1</v>
      </c>
      <c r="H160" s="15" t="s">
        <v>509</v>
      </c>
      <c r="I160" s="15">
        <v>42624.316435185188</v>
      </c>
      <c r="J160" s="7">
        <v>1</v>
      </c>
      <c r="K160" s="121" t="str">
        <f t="shared" si="126"/>
        <v>4001/4002</v>
      </c>
      <c r="L160" s="24" t="str">
        <f>VLOOKUP(A160,'Trips&amp;Operators'!$C$1:$E$10000,3,FALSE)</f>
        <v>STARKS</v>
      </c>
      <c r="M160" s="6">
        <f t="shared" ref="M160:M192" si="130">I160-F160</f>
        <v>1.0023148148320615E-2</v>
      </c>
      <c r="N160" s="7">
        <f t="shared" si="120"/>
        <v>14.433333333581686</v>
      </c>
      <c r="O160" s="7"/>
      <c r="P160" s="7"/>
      <c r="Q160" s="25"/>
      <c r="R160" s="25"/>
      <c r="S160" s="37">
        <f t="shared" ref="S160:S192" si="131">SUM(U160:U160)/IF(AG160="EC",12,1)</f>
        <v>1</v>
      </c>
      <c r="T160" s="52" t="str">
        <f t="shared" si="127"/>
        <v>NorthBound</v>
      </c>
      <c r="U160" s="163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6" t="str">
        <f t="shared" ref="V160:V192" si="132">"https://search-rtdc-monitor-bjffxe2xuh6vdkpspy63sjmuny.us-east-1.es.amazonaws.com/_plugin/kibana/#/discover/Steve-Slow-Train-Analysis-(2080s-and-2083s)?_g=(refreshInterval:(display:Off,section:0,value:0),time:(from:'"&amp;TEXT(E160-1/24,"yyyy-MM-DD hh:mm:ss")&amp;"-0600',mode:absolute,to:'"&amp;TEXT(I160+1/24,"yyyy-MM-DD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160&amp;"%22')),sort:!(Time,asc))"</f>
        <v>https://search-rtdc-monitor-bjffxe2xuh6vdkpspy63sjmuny.us-east-1.es.amazonaws.com/_plugin/kibana/#/discover/Steve-Slow-Train-Analysis-(2080s-and-2083s)?_g=(refreshInterval:(display:Off,section:0,value:0),time:(from:'2016-09-11 06:17:01-0600',mode:absolute,to:'2016-09-11 08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60" s="54" t="str">
        <f t="shared" si="124"/>
        <v>N</v>
      </c>
      <c r="X160" s="168">
        <f t="shared" si="125"/>
        <v>1</v>
      </c>
      <c r="Y160" s="69">
        <f t="shared" ref="Y160:Y192" si="133">RIGHT(D160,LEN(D160)-4)/10000</f>
        <v>0.1007</v>
      </c>
      <c r="Z160" s="69">
        <f t="shared" ref="Z160:Z192" si="134">RIGHT(H160,LEN(H160)-4)/10000</f>
        <v>5.8933</v>
      </c>
      <c r="AA160" s="69">
        <f t="shared" ref="AA160:AA192" si="135">ABS(Z160-Y160)</f>
        <v>5.7926000000000002</v>
      </c>
      <c r="AB160" s="66" t="e">
        <f>VLOOKUP(A160,Enforcements!$C$7:$K$21,8,0)</f>
        <v>#N/A</v>
      </c>
      <c r="AC160" s="62" t="e">
        <f>VLOOKUP(A160,Enforcements!$C$7:$E$21,3,0)</f>
        <v>#N/A</v>
      </c>
      <c r="AD160" s="63" t="str">
        <f t="shared" si="128"/>
        <v>1803-11</v>
      </c>
      <c r="AE160" s="99" t="str">
        <f t="shared" ref="AE160:AE192" si="136">"aws s3 cp "&amp;s3_bucket&amp;"/RTDC"&amp;B160&amp;"/"&amp;TEXT(F160,"YYYY-MM-DD")&amp;"/ "&amp;search_path&amp;"\RTDC"&amp;B160&amp;"\"&amp;TEXT(F160,"YYYY-MM-DD")&amp;" --recursive &amp; """&amp;walkandungz&amp;""" "&amp;search_path&amp;"\RTDC"&amp;B160&amp;"\"&amp;TEXT(F160,"YYYY-MM-DD")
&amp;" &amp; "&amp;"aws s3 cp "&amp;s3_bucket&amp;"/RTDC"&amp;B160&amp;"/"&amp;TEXT(F160+1,"YYYY-MM-DD")&amp;"/ "&amp;search_path&amp;"\RTDC"&amp;B160&amp;"\"&amp;TEXT(F160+1,"YYYY-MM-DD")&amp;" --recursive &amp; """&amp;walkandungz&amp;""" "&amp;search_path&amp;"\RTDC"&amp;B160&amp;"\"&amp;TEXT(F160+1,"YYYY-MM-DD")</f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AF160" s="96" t="str">
        <f t="shared" ref="AF160:AF192" si="137">astrogrep_path&amp;" /spath="&amp;search_path&amp;" /stypes=""*"&amp;B160&amp;"*"&amp;TEXT(I160-utc_offset/24,"YYYYMMDD")&amp;"*"" /stext="" "&amp;TEXT(I160-utc_offset/24,"HH")&amp;search_regexp&amp;""" /e /r /s"</f>
        <v>"C:\Program Files (x86)\AstroGrep\AstroGrep.exe" /spath="%USERPROFILE%\AppData\Local\Temp\OnboardLogs" /stypes="*4002*20160911*" /stext=" 13:.+((SYSTEM_STATE.+slice.+state.+changed )|(ment ac)|(system.+state.+changed )|(\|lc)|(penalty)|(\[timeout)|(PRM\|1\|D)|(kpr)|(kdp))" /e /r /s</v>
      </c>
      <c r="AG160" s="1" t="str">
        <f t="shared" si="129"/>
        <v>NW</v>
      </c>
      <c r="AH160" s="100" t="str">
        <f t="shared" si="122"/>
        <v>"%USERPROFILE%\Documents\GitHub\eaglep3\Utilities\RefineRTDCRunTimes.py" --tripid 1803-11 --locoid 4002 --swversion DE.1.0.7.0 --startMP 204:1007 --initTime 2016-09-11T07:17:01 --startdatetime 2016-09-11T07:21:14 --delay 1 --endMP 300:58933 --enddatetime 2016-09-11T07:35:40 --enforcementcount 1 &gt;&gt;C:\Users\stu\Documents\GitHub\eaglep3-reporting\EC\2016-09-11-refined-times.txt</v>
      </c>
      <c r="AI160" s="134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{"issue":{"subject":"","project_id":79,"tracker_id":40,"status_id":1,"priority_id":2,"assigned_to_id":23,"start_date":"2016-09-11","description":"","custom_fields":[{"id":1,"name":"Subdivision","value":"NW"},{"id":4,"name":"Milepost","value":"5.7926"},{"id":17,"name":"Train ID","value":"1803-11"},{"id":16,"name":"Locomotive ID","value":"4002"},{"id":130,"name":"Impact","value":""},{"id":150,"name":"Time of Event (Mountain Time)","value":"07:35:40"},{"id":151,"name":"Denver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s="23" customFormat="1" x14ac:dyDescent="0.25">
      <c r="A161" s="39" t="s">
        <v>512</v>
      </c>
      <c r="B161" s="7">
        <v>4001</v>
      </c>
      <c r="C161" s="24" t="s">
        <v>108</v>
      </c>
      <c r="D161" s="24" t="s">
        <v>260</v>
      </c>
      <c r="E161" s="15">
        <v>42624.318124999998</v>
      </c>
      <c r="F161" s="15">
        <v>42624.319664351853</v>
      </c>
      <c r="G161" s="7">
        <v>1</v>
      </c>
      <c r="H161" s="15" t="s">
        <v>513</v>
      </c>
      <c r="I161" s="15">
        <v>42624.329988425925</v>
      </c>
      <c r="J161" s="7">
        <v>1</v>
      </c>
      <c r="K161" s="121" t="str">
        <f t="shared" si="126"/>
        <v>4001/4002</v>
      </c>
      <c r="L161" s="24" t="str">
        <f>VLOOKUP(A161,'Trips&amp;Operators'!$C$1:$E$10000,3,FALSE)</f>
        <v>STARKS</v>
      </c>
      <c r="M161" s="6">
        <f t="shared" si="130"/>
        <v>1.0324074071832001E-2</v>
      </c>
      <c r="N161" s="7">
        <f t="shared" si="120"/>
        <v>14.866666663438082</v>
      </c>
      <c r="O161" s="7"/>
      <c r="P161" s="7"/>
      <c r="Q161" s="25"/>
      <c r="R161" s="25"/>
      <c r="S161" s="37">
        <f t="shared" si="131"/>
        <v>1</v>
      </c>
      <c r="T161" s="52" t="str">
        <f t="shared" si="127"/>
        <v>Southbound</v>
      </c>
      <c r="U161" s="163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06:38:06-0600',mode:absolute,to:'2016-09-11 08:55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61" s="54" t="str">
        <f t="shared" si="124"/>
        <v>N</v>
      </c>
      <c r="X161" s="168">
        <f t="shared" si="125"/>
        <v>1</v>
      </c>
      <c r="Y161" s="69">
        <f t="shared" si="133"/>
        <v>5.8615000000000004</v>
      </c>
      <c r="Z161" s="69">
        <f t="shared" si="134"/>
        <v>7.1499999999999994E-2</v>
      </c>
      <c r="AA161" s="69">
        <f t="shared" si="135"/>
        <v>5.79</v>
      </c>
      <c r="AB161" s="66" t="e">
        <f>VLOOKUP(A161,Enforcements!$C$7:$K$21,8,0)</f>
        <v>#N/A</v>
      </c>
      <c r="AC161" s="62" t="e">
        <f>VLOOKUP(A161,Enforcements!$C$7:$E$21,3,0)</f>
        <v>#N/A</v>
      </c>
      <c r="AD161" s="63" t="str">
        <f t="shared" si="128"/>
        <v>1804-11</v>
      </c>
      <c r="AE161" s="99" t="str">
        <f t="shared" si="136"/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AF161" s="96" t="str">
        <f t="shared" si="137"/>
        <v>"C:\Program Files (x86)\AstroGrep\AstroGrep.exe" /spath="%USERPROFILE%\AppData\Local\Temp\OnboardLogs" /stypes="*4001*20160911*" /stext=" 13:.+((SYSTEM_STATE.+slice.+state.+changed )|(ment ac)|(system.+state.+changed )|(\|lc)|(penalty)|(\[timeout)|(PRM\|1\|D)|(kpr)|(kdp))" /e /r /s</v>
      </c>
      <c r="AG161" s="1" t="str">
        <f t="shared" si="129"/>
        <v>NW</v>
      </c>
      <c r="AH161" s="100" t="str">
        <f t="shared" si="122"/>
        <v>"%USERPROFILE%\Documents\GitHub\eaglep3\Utilities\RefineRTDCRunTimes.py" --tripid 1804-11 --locoid 4001 --swversion DE.1.0.7.0 --startMP 300:58615 --initTime 2016-09-11T07:38:06 --startdatetime 2016-09-11T07:40:19 --delay 1 --endMP 204:715 --enddatetime 2016-09-11T07:55:11 --enforcementcount 1 &gt;&gt;C:\Users\stu\Documents\GitHub\eaglep3-reporting\EC\2016-09-11-refined-times.txt</v>
      </c>
      <c r="AI161" s="134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{"issue":{"subject":"","project_id":79,"tracker_id":40,"status_id":1,"priority_id":2,"assigned_to_id":23,"start_date":"2016-09-11","description":"","custom_fields":[{"id":1,"name":"Subdivision","value":"NW"},{"id":4,"name":"Milepost","value":"5.79"},{"id":17,"name":"Train ID","value":"1804-11"},{"id":16,"name":"Locomotive ID","value":"4001"},{"id":130,"name":"Impact","value":""},{"id":150,"name":"Time of Event (Mountain Time)","value":"07:55:11"},{"id":151,"name":"Denver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x14ac:dyDescent="0.25">
      <c r="A162" s="39" t="s">
        <v>514</v>
      </c>
      <c r="B162" s="7">
        <v>4002</v>
      </c>
      <c r="C162" s="24" t="s">
        <v>108</v>
      </c>
      <c r="D162" s="24" t="s">
        <v>515</v>
      </c>
      <c r="E162" s="15">
        <v>42624.345196759263</v>
      </c>
      <c r="F162" s="15">
        <v>42624.34820601852</v>
      </c>
      <c r="G162" s="7">
        <v>0</v>
      </c>
      <c r="H162" s="15" t="s">
        <v>357</v>
      </c>
      <c r="I162" s="15">
        <v>42624.357662037037</v>
      </c>
      <c r="J162" s="7">
        <v>1</v>
      </c>
      <c r="K162" s="121" t="str">
        <f t="shared" si="126"/>
        <v>4001/4002</v>
      </c>
      <c r="L162" s="24" t="str">
        <f>VLOOKUP(A162,'Trips&amp;Operators'!$C$1:$E$10000,3,FALSE)</f>
        <v>STARKS</v>
      </c>
      <c r="M162" s="6">
        <f t="shared" si="130"/>
        <v>9.4560185170848854E-3</v>
      </c>
      <c r="N162" s="7">
        <f t="shared" si="120"/>
        <v>13.616666664602235</v>
      </c>
      <c r="O162" s="7"/>
      <c r="P162" s="7"/>
      <c r="Q162" s="25"/>
      <c r="R162" s="25"/>
      <c r="S162" s="37">
        <f t="shared" si="131"/>
        <v>1</v>
      </c>
      <c r="T162" s="52" t="str">
        <f t="shared" si="127"/>
        <v>NorthBound</v>
      </c>
      <c r="U162" s="163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07:17:05-0600',mode:absolute,to:'2016-09-11 09:35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62" s="54" t="str">
        <f t="shared" si="124"/>
        <v>N</v>
      </c>
      <c r="X162" s="168">
        <f t="shared" si="125"/>
        <v>1</v>
      </c>
      <c r="Y162" s="69">
        <f t="shared" si="133"/>
        <v>0.10059999999999999</v>
      </c>
      <c r="Z162" s="69">
        <f t="shared" si="134"/>
        <v>5.8944000000000001</v>
      </c>
      <c r="AA162" s="69">
        <f t="shared" si="135"/>
        <v>5.7938000000000001</v>
      </c>
      <c r="AB162" s="66" t="e">
        <f>VLOOKUP(A162,Enforcements!$C$7:$K$21,8,0)</f>
        <v>#N/A</v>
      </c>
      <c r="AC162" s="62" t="e">
        <f>VLOOKUP(A162,Enforcements!$C$7:$E$21,3,0)</f>
        <v>#N/A</v>
      </c>
      <c r="AD162" s="63" t="str">
        <f t="shared" si="128"/>
        <v>1805-11</v>
      </c>
      <c r="AE162" s="99" t="str">
        <f t="shared" si="136"/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AF162" s="96" t="str">
        <f t="shared" si="137"/>
        <v>"C:\Program Files (x86)\AstroGrep\AstroGrep.exe" /spath="%USERPROFILE%\AppData\Local\Temp\OnboardLogs" /stypes="*4002*20160911*" /stext=" 14:.+((SYSTEM_STATE.+slice.+state.+changed )|(ment ac)|(system.+state.+changed )|(\|lc)|(penalty)|(\[timeout)|(PRM\|1\|D)|(kpr)|(kdp))" /e /r /s</v>
      </c>
      <c r="AG162" s="1" t="str">
        <f t="shared" si="129"/>
        <v>NW</v>
      </c>
      <c r="AH162" s="100" t="str">
        <f t="shared" si="122"/>
        <v>"%USERPROFILE%\Documents\GitHub\eaglep3\Utilities\RefineRTDCRunTimes.py" --tripid 1805-11 --locoid 4002 --swversion DE.1.0.7.0 --startMP 204:1006 --initTime 2016-09-11T08:17:05 --startdatetime 2016-09-11T08:21:25 --delay 0 --endMP 300:58944 --enddatetime 2016-09-11T08:35:02 --enforcementcount 1 &gt;&gt;C:\Users\stu\Documents\GitHub\eaglep3-reporting\EC\2016-09-11-refined-times.txt</v>
      </c>
      <c r="AI162" s="134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{"issue":{"subject":"","project_id":79,"tracker_id":40,"status_id":1,"priority_id":2,"assigned_to_id":23,"start_date":"2016-09-11","description":"","custom_fields":[{"id":1,"name":"Subdivision","value":"NW"},{"id":4,"name":"Milepost","value":"5.7938"},{"id":17,"name":"Train ID","value":"1805-11"},{"id":16,"name":"Locomotive ID","value":"4002"},{"id":130,"name":"Impact","value":""},{"id":150,"name":"Time of Event (Mountain Time)","value":"08:35:02"},{"id":151,"name":"Denver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516</v>
      </c>
      <c r="B163" s="7">
        <v>4001</v>
      </c>
      <c r="C163" s="24" t="s">
        <v>108</v>
      </c>
      <c r="D163" s="24" t="s">
        <v>517</v>
      </c>
      <c r="E163" s="15">
        <v>42624.35900462963</v>
      </c>
      <c r="F163" s="15">
        <v>42624.360335648147</v>
      </c>
      <c r="G163" s="7">
        <v>1</v>
      </c>
      <c r="H163" s="15" t="s">
        <v>518</v>
      </c>
      <c r="I163" s="15">
        <v>42624.371620370373</v>
      </c>
      <c r="J163" s="7">
        <v>1</v>
      </c>
      <c r="K163" s="121" t="str">
        <f t="shared" si="126"/>
        <v>4001/4002</v>
      </c>
      <c r="L163" s="24" t="str">
        <f>VLOOKUP(A163,'Trips&amp;Operators'!$C$1:$E$10000,3,FALSE)</f>
        <v>STARKS</v>
      </c>
      <c r="M163" s="6">
        <f t="shared" si="130"/>
        <v>1.1284722226264421E-2</v>
      </c>
      <c r="N163" s="7">
        <f t="shared" si="120"/>
        <v>16.250000005820766</v>
      </c>
      <c r="O163" s="7"/>
      <c r="P163" s="7"/>
      <c r="Q163" s="25"/>
      <c r="R163" s="25"/>
      <c r="S163" s="37">
        <f t="shared" si="131"/>
        <v>1</v>
      </c>
      <c r="T163" s="52" t="str">
        <f t="shared" si="127"/>
        <v>Southbound</v>
      </c>
      <c r="U163" s="163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07:36:58-0600',mode:absolute,to:'2016-09-11 09:55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63" s="54" t="str">
        <f t="shared" ref="W163:W192" si="138">IF(AA163&lt;IF(AG163="EC",23,5.65),"Y","N")</f>
        <v>N</v>
      </c>
      <c r="X163" s="168">
        <f t="shared" si="121"/>
        <v>1</v>
      </c>
      <c r="Y163" s="69">
        <f t="shared" si="133"/>
        <v>5.8623000000000003</v>
      </c>
      <c r="Z163" s="69">
        <f t="shared" si="134"/>
        <v>7.1900000000000006E-2</v>
      </c>
      <c r="AA163" s="69">
        <f t="shared" si="135"/>
        <v>5.7904</v>
      </c>
      <c r="AB163" s="66" t="e">
        <f>VLOOKUP(A163,Enforcements!$C$7:$K$21,8,0)</f>
        <v>#N/A</v>
      </c>
      <c r="AC163" s="62" t="e">
        <f>VLOOKUP(A163,Enforcements!$C$7:$E$21,3,0)</f>
        <v>#N/A</v>
      </c>
      <c r="AD163" s="63" t="str">
        <f t="shared" si="128"/>
        <v>1806-11</v>
      </c>
      <c r="AE163" s="99" t="str">
        <f t="shared" si="136"/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AF163" s="96" t="str">
        <f t="shared" si="137"/>
        <v>"C:\Program Files (x86)\AstroGrep\AstroGrep.exe" /spath="%USERPROFILE%\AppData\Local\Temp\OnboardLogs" /stypes="*4001*20160911*" /stext=" 14:.+((SYSTEM_STATE.+slice.+state.+changed )|(ment ac)|(system.+state.+changed )|(\|lc)|(penalty)|(\[timeout)|(PRM\|1\|D)|(kpr)|(kdp))" /e /r /s</v>
      </c>
      <c r="AG163" s="1" t="str">
        <f t="shared" si="129"/>
        <v>NW</v>
      </c>
      <c r="AH163" s="100" t="str">
        <f t="shared" si="122"/>
        <v>"%USERPROFILE%\Documents\GitHub\eaglep3\Utilities\RefineRTDCRunTimes.py" --tripid 1806-11 --locoid 4001 --swversion DE.1.0.7.0 --startMP 300:58623 --initTime 2016-09-11T08:36:58 --startdatetime 2016-09-11T08:38:53 --delay 1 --endMP 204:719 --enddatetime 2016-09-11T08:55:08 --enforcementcount 1 &gt;&gt;C:\Users\stu\Documents\GitHub\eaglep3-reporting\EC\2016-09-11-refined-times.txt</v>
      </c>
      <c r="AI163" s="134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{"issue":{"subject":"","project_id":79,"tracker_id":40,"status_id":1,"priority_id":2,"assigned_to_id":23,"start_date":"2016-09-11","description":"","custom_fields":[{"id":1,"name":"Subdivision","value":"NW"},{"id":4,"name":"Milepost","value":"5.7904"},{"id":17,"name":"Train ID","value":"1806-11"},{"id":16,"name":"Locomotive ID","value":"4001"},{"id":130,"name":"Impact","value":""},{"id":150,"name":"Time of Event (Mountain Time)","value":"08:55:08"},{"id":151,"name":"Denver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519</v>
      </c>
      <c r="B164" s="7">
        <v>4002</v>
      </c>
      <c r="C164" s="24" t="s">
        <v>108</v>
      </c>
      <c r="D164" s="24" t="s">
        <v>520</v>
      </c>
      <c r="E164" s="15">
        <v>42624.387476851851</v>
      </c>
      <c r="F164" s="15">
        <v>42624.403379629628</v>
      </c>
      <c r="G164" s="7">
        <v>1</v>
      </c>
      <c r="H164" s="15" t="s">
        <v>521</v>
      </c>
      <c r="I164" s="15">
        <v>42624.413553240738</v>
      </c>
      <c r="J164" s="7">
        <v>1</v>
      </c>
      <c r="K164" s="121" t="str">
        <f t="shared" si="126"/>
        <v>4001/4002</v>
      </c>
      <c r="L164" s="24" t="str">
        <f>VLOOKUP(A164,'Trips&amp;Operators'!$C$1:$E$10000,3,FALSE)</f>
        <v>STARKS</v>
      </c>
      <c r="M164" s="6">
        <f t="shared" si="130"/>
        <v>1.0173611110076308E-2</v>
      </c>
      <c r="N164" s="7">
        <f t="shared" si="120"/>
        <v>14.649999998509884</v>
      </c>
      <c r="O164" s="7"/>
      <c r="P164" s="7"/>
      <c r="Q164" s="25"/>
      <c r="R164" s="25"/>
      <c r="S164" s="37">
        <f t="shared" si="131"/>
        <v>1</v>
      </c>
      <c r="T164" s="52" t="str">
        <f t="shared" si="127"/>
        <v>NorthBound</v>
      </c>
      <c r="U164" s="163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08:17:58-0600',mode:absolute,to:'2016-09-11 10:55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64" s="54" t="str">
        <f t="shared" si="138"/>
        <v>N</v>
      </c>
      <c r="X164" s="168">
        <f t="shared" si="121"/>
        <v>1</v>
      </c>
      <c r="Y164" s="69">
        <f t="shared" si="133"/>
        <v>0.1</v>
      </c>
      <c r="Z164" s="69">
        <f t="shared" si="134"/>
        <v>5.8929</v>
      </c>
      <c r="AA164" s="69">
        <f t="shared" si="135"/>
        <v>5.7929000000000004</v>
      </c>
      <c r="AB164" s="66" t="e">
        <f>VLOOKUP(A164,Enforcements!$C$7:$K$21,8,0)</f>
        <v>#N/A</v>
      </c>
      <c r="AC164" s="62" t="e">
        <f>VLOOKUP(A164,Enforcements!$C$7:$E$21,3,0)</f>
        <v>#N/A</v>
      </c>
      <c r="AD164" s="63" t="str">
        <f t="shared" si="128"/>
        <v>1807-11</v>
      </c>
      <c r="AE164" s="99" t="str">
        <f t="shared" si="136"/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AF164" s="96" t="str">
        <f t="shared" si="137"/>
        <v>"C:\Program Files (x86)\AstroGrep\AstroGrep.exe" /spath="%USERPROFILE%\AppData\Local\Temp\OnboardLogs" /stypes="*4002*20160911*" /stext=" 15:.+((SYSTEM_STATE.+slice.+state.+changed )|(ment ac)|(system.+state.+changed )|(\|lc)|(penalty)|(\[timeout)|(PRM\|1\|D)|(kpr)|(kdp))" /e /r /s</v>
      </c>
      <c r="AG164" s="1" t="str">
        <f t="shared" si="129"/>
        <v>NW</v>
      </c>
      <c r="AH164" s="100" t="str">
        <f t="shared" si="122"/>
        <v>"%USERPROFILE%\Documents\GitHub\eaglep3\Utilities\RefineRTDCRunTimes.py" --tripid 1807-11 --locoid 4002 --swversion DE.1.0.7.0 --startMP 204:1000 --initTime 2016-09-11T09:17:58 --startdatetime 2016-09-11T09:40:52 --delay 1 --endMP 300:58929 --enddatetime 2016-09-11T09:55:31 --enforcementcount 1 &gt;&gt;C:\Users\stu\Documents\GitHub\eaglep3-reporting\EC\2016-09-11-refined-times.txt</v>
      </c>
      <c r="AI164" s="134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{"issue":{"subject":"","project_id":79,"tracker_id":40,"status_id":1,"priority_id":2,"assigned_to_id":23,"start_date":"2016-09-11","description":"","custom_fields":[{"id":1,"name":"Subdivision","value":"NW"},{"id":4,"name":"Milepost","value":"5.7929"},{"id":17,"name":"Train ID","value":"1807-11"},{"id":16,"name":"Locomotive ID","value":"4002"},{"id":130,"name":"Impact","value":""},{"id":150,"name":"Time of Event (Mountain Time)","value":"09:55:31"},{"id":151,"name":"Denver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x14ac:dyDescent="0.25">
      <c r="A165" s="39" t="s">
        <v>522</v>
      </c>
      <c r="B165" s="7">
        <v>4001</v>
      </c>
      <c r="C165" s="24" t="s">
        <v>108</v>
      </c>
      <c r="D165" s="24" t="s">
        <v>523</v>
      </c>
      <c r="E165" s="15">
        <v>42624.402291666665</v>
      </c>
      <c r="F165" s="15">
        <v>42624.403379629628</v>
      </c>
      <c r="G165" s="7">
        <v>1</v>
      </c>
      <c r="H165" s="15" t="s">
        <v>518</v>
      </c>
      <c r="I165" s="15">
        <v>42624.413553240738</v>
      </c>
      <c r="J165" s="7">
        <v>1</v>
      </c>
      <c r="K165" s="121" t="str">
        <f t="shared" si="126"/>
        <v>4001/4002</v>
      </c>
      <c r="L165" s="24" t="str">
        <f>VLOOKUP(A165,'Trips&amp;Operators'!$C$1:$E$10000,3,FALSE)</f>
        <v>STARKS</v>
      </c>
      <c r="M165" s="6">
        <f t="shared" si="130"/>
        <v>1.0173611110076308E-2</v>
      </c>
      <c r="N165" s="7">
        <f t="shared" si="120"/>
        <v>14.649999998509884</v>
      </c>
      <c r="O165" s="7"/>
      <c r="P165" s="7"/>
      <c r="Q165" s="25"/>
      <c r="R165" s="25"/>
      <c r="S165" s="37">
        <f t="shared" si="131"/>
        <v>1</v>
      </c>
      <c r="T165" s="52" t="str">
        <f t="shared" si="127"/>
        <v>Southbound</v>
      </c>
      <c r="U165" s="163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08:39:18-0600',mode:absolute,to:'2016-09-11 10:55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65" s="54" t="str">
        <f t="shared" si="138"/>
        <v>N</v>
      </c>
      <c r="X165" s="168">
        <f t="shared" si="121"/>
        <v>1</v>
      </c>
      <c r="Y165" s="69">
        <f t="shared" si="133"/>
        <v>5.8619000000000003</v>
      </c>
      <c r="Z165" s="69">
        <f t="shared" si="134"/>
        <v>7.1900000000000006E-2</v>
      </c>
      <c r="AA165" s="69">
        <f t="shared" si="135"/>
        <v>5.79</v>
      </c>
      <c r="AB165" s="66" t="e">
        <f>VLOOKUP(A165,Enforcements!$C$7:$K$21,8,0)</f>
        <v>#N/A</v>
      </c>
      <c r="AC165" s="62" t="e">
        <f>VLOOKUP(A165,Enforcements!$C$7:$E$21,3,0)</f>
        <v>#N/A</v>
      </c>
      <c r="AD165" s="63" t="str">
        <f t="shared" si="128"/>
        <v>1808-11</v>
      </c>
      <c r="AE165" s="99" t="str">
        <f t="shared" si="136"/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AF165" s="96" t="str">
        <f t="shared" si="137"/>
        <v>"C:\Program Files (x86)\AstroGrep\AstroGrep.exe" /spath="%USERPROFILE%\AppData\Local\Temp\OnboardLogs" /stypes="*4001*20160911*" /stext=" 15:.+((SYSTEM_STATE.+slice.+state.+changed )|(ment ac)|(system.+state.+changed )|(\|lc)|(penalty)|(\[timeout)|(PRM\|1\|D)|(kpr)|(kdp))" /e /r /s</v>
      </c>
      <c r="AG165" s="1" t="str">
        <f t="shared" si="129"/>
        <v>NW</v>
      </c>
      <c r="AH165" s="100" t="str">
        <f t="shared" si="122"/>
        <v>"%USERPROFILE%\Documents\GitHub\eaglep3\Utilities\RefineRTDCRunTimes.py" --tripid 1808-11 --locoid 4001 --swversion DE.1.0.7.0 --startMP 300:58619 --initTime 2016-09-11T09:39:18 --startdatetime 2016-09-11T09:40:52 --delay 1 --endMP 204:719 --enddatetime 2016-09-11T09:55:31 --enforcementcount 1 &gt;&gt;C:\Users\stu\Documents\GitHub\eaglep3-reporting\EC\2016-09-11-refined-times.txt</v>
      </c>
      <c r="AI165" s="134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{"issue":{"subject":"","project_id":79,"tracker_id":40,"status_id":1,"priority_id":2,"assigned_to_id":23,"start_date":"2016-09-11","description":"","custom_fields":[{"id":1,"name":"Subdivision","value":"NW"},{"id":4,"name":"Milepost","value":"5.79"},{"id":17,"name":"Train ID","value":"1808-11"},{"id":16,"name":"Locomotive ID","value":"4001"},{"id":130,"name":"Impact","value":""},{"id":150,"name":"Time of Event (Mountain Time)","value":"09:55:31"},{"id":151,"name":"Denver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x14ac:dyDescent="0.25">
      <c r="A166" s="39" t="s">
        <v>524</v>
      </c>
      <c r="B166" s="7">
        <v>4002</v>
      </c>
      <c r="C166" s="24" t="s">
        <v>108</v>
      </c>
      <c r="D166" s="24" t="s">
        <v>525</v>
      </c>
      <c r="E166" s="15">
        <v>42624.423402777778</v>
      </c>
      <c r="F166" s="15">
        <v>42624.43141203704</v>
      </c>
      <c r="G166" s="7">
        <v>1</v>
      </c>
      <c r="H166" s="15" t="s">
        <v>325</v>
      </c>
      <c r="I166" s="15">
        <v>42624.440694444442</v>
      </c>
      <c r="J166" s="7">
        <v>1</v>
      </c>
      <c r="K166" s="121" t="str">
        <f t="shared" si="126"/>
        <v>4001/4002</v>
      </c>
      <c r="L166" s="24" t="str">
        <f>VLOOKUP(A166,'Trips&amp;Operators'!$C$1:$E$10000,3,FALSE)</f>
        <v>STARKS</v>
      </c>
      <c r="M166" s="6">
        <f t="shared" si="130"/>
        <v>9.2824074017698877E-3</v>
      </c>
      <c r="N166" s="7">
        <f t="shared" si="120"/>
        <v>13.366666658548638</v>
      </c>
      <c r="O166" s="7"/>
      <c r="P166" s="7"/>
      <c r="Q166" s="25"/>
      <c r="R166" s="25"/>
      <c r="S166" s="37">
        <f t="shared" si="131"/>
        <v>1</v>
      </c>
      <c r="T166" s="52" t="str">
        <f t="shared" si="127"/>
        <v>NorthBound</v>
      </c>
      <c r="U166" s="163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09:09:42-0600',mode:absolute,to:'2016-09-11 11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66" s="54" t="str">
        <f t="shared" si="138"/>
        <v>N</v>
      </c>
      <c r="X166" s="168">
        <f t="shared" si="121"/>
        <v>1</v>
      </c>
      <c r="Y166" s="69">
        <f t="shared" si="133"/>
        <v>9.9299999999999999E-2</v>
      </c>
      <c r="Z166" s="69">
        <f t="shared" si="134"/>
        <v>5.8935000000000004</v>
      </c>
      <c r="AA166" s="69">
        <f t="shared" si="135"/>
        <v>5.7942</v>
      </c>
      <c r="AB166" s="66" t="e">
        <f>VLOOKUP(A166,Enforcements!$C$7:$K$21,8,0)</f>
        <v>#N/A</v>
      </c>
      <c r="AC166" s="62" t="e">
        <f>VLOOKUP(A166,Enforcements!$C$7:$E$21,3,0)</f>
        <v>#N/A</v>
      </c>
      <c r="AD166" s="63" t="str">
        <f t="shared" si="128"/>
        <v>1809-11</v>
      </c>
      <c r="AE166" s="99" t="str">
        <f t="shared" si="136"/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AF166" s="96" t="str">
        <f t="shared" si="137"/>
        <v>"C:\Program Files (x86)\AstroGrep\AstroGrep.exe" /spath="%USERPROFILE%\AppData\Local\Temp\OnboardLogs" /stypes="*4002*20160911*" /stext=" 16:.+((SYSTEM_STATE.+slice.+state.+changed )|(ment ac)|(system.+state.+changed )|(\|lc)|(penalty)|(\[timeout)|(PRM\|1\|D)|(kpr)|(kdp))" /e /r /s</v>
      </c>
      <c r="AG166" s="1" t="str">
        <f t="shared" si="129"/>
        <v>NW</v>
      </c>
      <c r="AH166" s="100" t="str">
        <f t="shared" si="122"/>
        <v>"%USERPROFILE%\Documents\GitHub\eaglep3\Utilities\RefineRTDCRunTimes.py" --tripid 1809-11 --locoid 4002 --swversion DE.1.0.7.0 --startMP 204:993 --initTime 2016-09-11T10:09:42 --startdatetime 2016-09-11T10:21:14 --delay 1 --endMP 300:58935 --enddatetime 2016-09-11T10:34:36 --enforcementcount 1 &gt;&gt;C:\Users\stu\Documents\GitHub\eaglep3-reporting\EC\2016-09-11-refined-times.txt</v>
      </c>
      <c r="AI166" s="134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{"issue":{"subject":"","project_id":79,"tracker_id":40,"status_id":1,"priority_id":2,"assigned_to_id":23,"start_date":"2016-09-11","description":"","custom_fields":[{"id":1,"name":"Subdivision","value":"NW"},{"id":4,"name":"Milepost","value":"5.7942"},{"id":17,"name":"Train ID","value":"1809-11"},{"id":16,"name":"Locomotive ID","value":"4002"},{"id":130,"name":"Impact","value":""},{"id":150,"name":"Time of Event (Mountain Time)","value":"10:34:36"},{"id":151,"name":"Denver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s="23" customFormat="1" x14ac:dyDescent="0.25">
      <c r="A167" s="39" t="s">
        <v>395</v>
      </c>
      <c r="B167" s="7">
        <v>4001</v>
      </c>
      <c r="C167" s="24" t="s">
        <v>108</v>
      </c>
      <c r="D167" s="24" t="s">
        <v>526</v>
      </c>
      <c r="E167" s="15">
        <v>42624.441678240742</v>
      </c>
      <c r="F167" s="15">
        <v>42624.442962962959</v>
      </c>
      <c r="G167" s="7">
        <v>1</v>
      </c>
      <c r="H167" s="15" t="s">
        <v>527</v>
      </c>
      <c r="I167" s="15">
        <v>42624.454814814817</v>
      </c>
      <c r="J167" s="7">
        <v>1</v>
      </c>
      <c r="K167" s="121" t="str">
        <f t="shared" si="126"/>
        <v>4001/4002</v>
      </c>
      <c r="L167" s="24" t="str">
        <f>VLOOKUP(A167,'Trips&amp;Operators'!$C$1:$E$10000,3,FALSE)</f>
        <v>STARKS</v>
      </c>
      <c r="M167" s="6">
        <f t="shared" si="130"/>
        <v>1.1851851857500151E-2</v>
      </c>
      <c r="N167" s="7">
        <f t="shared" si="120"/>
        <v>17.066666674800217</v>
      </c>
      <c r="O167" s="7"/>
      <c r="P167" s="7"/>
      <c r="Q167" s="25"/>
      <c r="R167" s="25"/>
      <c r="S167" s="37">
        <f t="shared" si="131"/>
        <v>1</v>
      </c>
      <c r="T167" s="52" t="str">
        <f t="shared" si="127"/>
        <v>Southbound</v>
      </c>
      <c r="U167" s="163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09:36:01-0600',mode:absolute,to:'2016-09-11 11:54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67" s="54" t="str">
        <f t="shared" si="138"/>
        <v>N</v>
      </c>
      <c r="X167" s="168">
        <f t="shared" si="121"/>
        <v>1</v>
      </c>
      <c r="Y167" s="69">
        <f t="shared" si="133"/>
        <v>5.8625999999999996</v>
      </c>
      <c r="Z167" s="69">
        <f t="shared" si="134"/>
        <v>8.6699999999999999E-2</v>
      </c>
      <c r="AA167" s="69">
        <f t="shared" si="135"/>
        <v>5.7759</v>
      </c>
      <c r="AB167" s="66" t="e">
        <f>VLOOKUP(A167,Enforcements!$C$7:$K$21,8,0)</f>
        <v>#N/A</v>
      </c>
      <c r="AC167" s="62" t="e">
        <f>VLOOKUP(A167,Enforcements!$C$7:$E$21,3,0)</f>
        <v>#N/A</v>
      </c>
      <c r="AD167" s="63" t="str">
        <f t="shared" si="128"/>
        <v>1810-11</v>
      </c>
      <c r="AE167" s="99" t="str">
        <f t="shared" si="136"/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AF167" s="96" t="str">
        <f t="shared" si="137"/>
        <v>"C:\Program Files (x86)\AstroGrep\AstroGrep.exe" /spath="%USERPROFILE%\AppData\Local\Temp\OnboardLogs" /stypes="*4001*20160911*" /stext=" 16:.+((SYSTEM_STATE.+slice.+state.+changed )|(ment ac)|(system.+state.+changed )|(\|lc)|(penalty)|(\[timeout)|(PRM\|1\|D)|(kpr)|(kdp))" /e /r /s</v>
      </c>
      <c r="AG167" s="1" t="str">
        <f t="shared" si="129"/>
        <v>NW</v>
      </c>
      <c r="AH167" s="100" t="str">
        <f t="shared" si="122"/>
        <v>"%USERPROFILE%\Documents\GitHub\eaglep3\Utilities\RefineRTDCRunTimes.py" --tripid 1810-11 --locoid 4001 --swversion DE.1.0.7.0 --startMP 300:58626 --initTime 2016-09-11T10:36:01 --startdatetime 2016-09-11T10:37:52 --delay 1 --endMP 204:867 --enddatetime 2016-09-11T10:54:56 --enforcementcount 1 &gt;&gt;C:\Users\stu\Documents\GitHub\eaglep3-reporting\EC\2016-09-11-refined-times.txt</v>
      </c>
      <c r="AI167" s="134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{"issue":{"subject":"","project_id":79,"tracker_id":40,"status_id":1,"priority_id":2,"assigned_to_id":23,"start_date":"2016-09-11","description":"","custom_fields":[{"id":1,"name":"Subdivision","value":"NW"},{"id":4,"name":"Milepost","value":"5.7759"},{"id":17,"name":"Train ID","value":"1810-11"},{"id":16,"name":"Locomotive ID","value":"4001"},{"id":130,"name":"Impact","value":""},{"id":150,"name":"Time of Event (Mountain Time)","value":"10:54:56"},{"id":151,"name":"Denver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x14ac:dyDescent="0.25">
      <c r="A168" s="39" t="s">
        <v>528</v>
      </c>
      <c r="B168" s="7">
        <v>4002</v>
      </c>
      <c r="C168" s="24" t="s">
        <v>108</v>
      </c>
      <c r="D168" s="24" t="s">
        <v>529</v>
      </c>
      <c r="E168" s="15">
        <v>42624.456979166665</v>
      </c>
      <c r="F168" s="15">
        <v>42624.473067129627</v>
      </c>
      <c r="G168" s="7">
        <v>0</v>
      </c>
      <c r="H168" s="15" t="s">
        <v>530</v>
      </c>
      <c r="I168" s="15">
        <v>42624.482175925928</v>
      </c>
      <c r="J168" s="7">
        <v>1</v>
      </c>
      <c r="K168" s="121" t="str">
        <f t="shared" si="126"/>
        <v>4001/4002</v>
      </c>
      <c r="L168" s="24" t="str">
        <f>VLOOKUP(A168,'Trips&amp;Operators'!$C$1:$E$10000,3,FALSE)</f>
        <v>STARKS</v>
      </c>
      <c r="M168" s="6">
        <f t="shared" si="130"/>
        <v>9.1087963010068052E-3</v>
      </c>
      <c r="N168" s="7">
        <f t="shared" si="120"/>
        <v>13.116666673449799</v>
      </c>
      <c r="O168" s="7"/>
      <c r="P168" s="7"/>
      <c r="Q168" s="25"/>
      <c r="R168" s="25"/>
      <c r="S168" s="37">
        <f t="shared" si="131"/>
        <v>1</v>
      </c>
      <c r="T168" s="52" t="str">
        <f t="shared" si="127"/>
        <v>NorthBound</v>
      </c>
      <c r="U168" s="163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09:58:03-0600',mode:absolute,to:'2016-09-11 12:34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68" s="54" t="str">
        <f t="shared" si="138"/>
        <v>N</v>
      </c>
      <c r="X168" s="168">
        <f t="shared" ref="X168:X179" si="139">VALUE(LEFT(AD168,4))-VALUE(LEFT(AD167,4))</f>
        <v>1</v>
      </c>
      <c r="Y168" s="69">
        <f t="shared" si="133"/>
        <v>0.1158</v>
      </c>
      <c r="Z168" s="69">
        <f t="shared" si="134"/>
        <v>5.8943000000000003</v>
      </c>
      <c r="AA168" s="69">
        <f t="shared" si="135"/>
        <v>5.7785000000000002</v>
      </c>
      <c r="AB168" s="66" t="e">
        <f>VLOOKUP(A168,Enforcements!$C$7:$K$21,8,0)</f>
        <v>#N/A</v>
      </c>
      <c r="AC168" s="62" t="e">
        <f>VLOOKUP(A168,Enforcements!$C$7:$E$21,3,0)</f>
        <v>#N/A</v>
      </c>
      <c r="AD168" s="63" t="str">
        <f t="shared" si="128"/>
        <v>1811-11</v>
      </c>
      <c r="AE168" s="99" t="str">
        <f t="shared" si="136"/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AF168" s="96" t="str">
        <f t="shared" si="137"/>
        <v>"C:\Program Files (x86)\AstroGrep\AstroGrep.exe" /spath="%USERPROFILE%\AppData\Local\Temp\OnboardLogs" /stypes="*4002*20160911*" /stext=" 17:.+((SYSTEM_STATE.+slice.+state.+changed )|(ment ac)|(system.+state.+changed )|(\|lc)|(penalty)|(\[timeout)|(PRM\|1\|D)|(kpr)|(kdp))" /e /r /s</v>
      </c>
      <c r="AG168" s="1" t="str">
        <f t="shared" si="129"/>
        <v>NW</v>
      </c>
      <c r="AH168" s="100" t="str">
        <f t="shared" si="122"/>
        <v>"%USERPROFILE%\Documents\GitHub\eaglep3\Utilities\RefineRTDCRunTimes.py" --tripid 1811-11 --locoid 4002 --swversion DE.1.0.7.0 --startMP 204:1158 --initTime 2016-09-11T10:58:03 --startdatetime 2016-09-11T11:21:13 --delay 0 --endMP 300:58943 --enddatetime 2016-09-11T11:34:20 --enforcementcount 1 &gt;&gt;C:\Users\stu\Documents\GitHub\eaglep3-reporting\EC\2016-09-11-refined-times.txt</v>
      </c>
      <c r="AI168" s="134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{"issue":{"subject":"","project_id":79,"tracker_id":40,"status_id":1,"priority_id":2,"assigned_to_id":23,"start_date":"2016-09-11","description":"","custom_fields":[{"id":1,"name":"Subdivision","value":"NW"},{"id":4,"name":"Milepost","value":"5.7785"},{"id":17,"name":"Train ID","value":"1811-11"},{"id":16,"name":"Locomotive ID","value":"4002"},{"id":130,"name":"Impact","value":""},{"id":150,"name":"Time of Event (Mountain Time)","value":"11:34:20"},{"id":151,"name":"Denver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s="23" customFormat="1" x14ac:dyDescent="0.25">
      <c r="A169" s="39" t="s">
        <v>531</v>
      </c>
      <c r="B169" s="7">
        <v>4001</v>
      </c>
      <c r="C169" s="24" t="s">
        <v>108</v>
      </c>
      <c r="D169" s="24" t="s">
        <v>532</v>
      </c>
      <c r="E169" s="15">
        <v>42624.483217592591</v>
      </c>
      <c r="F169" s="15">
        <v>42624.514745370368</v>
      </c>
      <c r="G169" s="7">
        <v>1</v>
      </c>
      <c r="H169" s="15" t="s">
        <v>533</v>
      </c>
      <c r="I169" s="15">
        <v>42624.524201388886</v>
      </c>
      <c r="J169" s="7">
        <v>1</v>
      </c>
      <c r="K169" s="121" t="str">
        <f t="shared" si="126"/>
        <v>4001/4002</v>
      </c>
      <c r="L169" s="24" t="str">
        <f>VLOOKUP(A169,'Trips&amp;Operators'!$C$1:$E$10000,3,FALSE)</f>
        <v>STARKS</v>
      </c>
      <c r="M169" s="6">
        <f t="shared" si="130"/>
        <v>9.4560185170848854E-3</v>
      </c>
      <c r="N169" s="7">
        <f t="shared" si="120"/>
        <v>13.616666664602235</v>
      </c>
      <c r="O169" s="7"/>
      <c r="P169" s="7"/>
      <c r="Q169" s="25"/>
      <c r="R169" s="25"/>
      <c r="S169" s="37">
        <f t="shared" si="131"/>
        <v>1</v>
      </c>
      <c r="T169" s="52" t="str">
        <f t="shared" si="127"/>
        <v>Southbound</v>
      </c>
      <c r="U169" s="163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10:35:50-0600',mode:absolute,to:'2016-09-11 13:34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69" s="54" t="str">
        <f t="shared" si="138"/>
        <v>N</v>
      </c>
      <c r="X169" s="168">
        <f t="shared" si="139"/>
        <v>1</v>
      </c>
      <c r="Y169" s="69">
        <f t="shared" si="133"/>
        <v>5.8630000000000004</v>
      </c>
      <c r="Z169" s="69">
        <f t="shared" si="134"/>
        <v>7.1199999999999999E-2</v>
      </c>
      <c r="AA169" s="69">
        <f t="shared" si="135"/>
        <v>5.7918000000000003</v>
      </c>
      <c r="AB169" s="66" t="e">
        <f>VLOOKUP(A169,Enforcements!$C$7:$K$21,8,0)</f>
        <v>#N/A</v>
      </c>
      <c r="AC169" s="62" t="e">
        <f>VLOOKUP(A169,Enforcements!$C$7:$E$21,3,0)</f>
        <v>#N/A</v>
      </c>
      <c r="AD169" s="63" t="str">
        <f t="shared" si="128"/>
        <v>1812-11</v>
      </c>
      <c r="AE169" s="99" t="str">
        <f t="shared" si="136"/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AF169" s="96" t="str">
        <f t="shared" si="137"/>
        <v>"C:\Program Files (x86)\AstroGrep\AstroGrep.exe" /spath="%USERPROFILE%\AppData\Local\Temp\OnboardLogs" /stypes="*4001*20160911*" /stext=" 18:.+((SYSTEM_STATE.+slice.+state.+changed )|(ment ac)|(system.+state.+changed )|(\|lc)|(penalty)|(\[timeout)|(PRM\|1\|D)|(kpr)|(kdp))" /e /r /s</v>
      </c>
      <c r="AG169" s="1" t="str">
        <f t="shared" si="129"/>
        <v>NW</v>
      </c>
      <c r="AH169" s="100" t="str">
        <f t="shared" si="122"/>
        <v>"%USERPROFILE%\Documents\GitHub\eaglep3\Utilities\RefineRTDCRunTimes.py" --tripid 1812-11 --locoid 4001 --swversion DE.1.0.7.0 --startMP 300:58630 --initTime 2016-09-11T11:35:50 --startdatetime 2016-09-11T12:21:14 --delay 1 --endMP 204:712 --enddatetime 2016-09-11T12:34:51 --enforcementcount 1 &gt;&gt;C:\Users\stu\Documents\GitHub\eaglep3-reporting\EC\2016-09-11-refined-times.txt</v>
      </c>
      <c r="AI169" s="134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{"issue":{"subject":"","project_id":79,"tracker_id":40,"status_id":1,"priority_id":2,"assigned_to_id":23,"start_date":"2016-09-11","description":"","custom_fields":[{"id":1,"name":"Subdivision","value":"NW"},{"id":4,"name":"Milepost","value":"5.7918"},{"id":17,"name":"Train ID","value":"1812-11"},{"id":16,"name":"Locomotive ID","value":"4001"},{"id":130,"name":"Impact","value":""},{"id":150,"name":"Time of Event (Mountain Time)","value":"12:34:51"},{"id":151,"name":"Denver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s="23" customFormat="1" x14ac:dyDescent="0.25">
      <c r="A170" s="39" t="s">
        <v>534</v>
      </c>
      <c r="B170" s="7">
        <v>4002</v>
      </c>
      <c r="C170" s="24" t="s">
        <v>108</v>
      </c>
      <c r="D170" s="24" t="s">
        <v>535</v>
      </c>
      <c r="E170" s="15">
        <v>42624.510925925926</v>
      </c>
      <c r="F170" s="15">
        <v>42624.514745370368</v>
      </c>
      <c r="G170" s="7">
        <v>1</v>
      </c>
      <c r="H170" s="15" t="s">
        <v>536</v>
      </c>
      <c r="I170" s="15">
        <v>42624.524201388886</v>
      </c>
      <c r="J170" s="7">
        <v>1</v>
      </c>
      <c r="K170" s="121" t="str">
        <f t="shared" si="126"/>
        <v>4001/4002</v>
      </c>
      <c r="L170" s="24" t="str">
        <f>VLOOKUP(A170,'Trips&amp;Operators'!$C$1:$E$10000,3,FALSE)</f>
        <v>STARKS</v>
      </c>
      <c r="M170" s="6">
        <f t="shared" si="130"/>
        <v>9.4560185170848854E-3</v>
      </c>
      <c r="N170" s="7">
        <f t="shared" si="120"/>
        <v>13.616666664602235</v>
      </c>
      <c r="O170" s="7"/>
      <c r="P170" s="7"/>
      <c r="Q170" s="25"/>
      <c r="R170" s="25"/>
      <c r="S170" s="37">
        <f t="shared" si="131"/>
        <v>1</v>
      </c>
      <c r="T170" s="52" t="str">
        <f t="shared" si="127"/>
        <v>NorthBound</v>
      </c>
      <c r="U170" s="163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11:15:44-0600',mode:absolute,to:'2016-09-11 13:34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70" s="54" t="str">
        <f t="shared" si="138"/>
        <v>N</v>
      </c>
      <c r="X170" s="168">
        <f t="shared" si="139"/>
        <v>1</v>
      </c>
      <c r="Y170" s="69">
        <f t="shared" si="133"/>
        <v>0.1002</v>
      </c>
      <c r="Z170" s="69">
        <f t="shared" si="134"/>
        <v>5.8948</v>
      </c>
      <c r="AA170" s="69">
        <f t="shared" si="135"/>
        <v>5.7946</v>
      </c>
      <c r="AB170" s="66" t="e">
        <f>VLOOKUP(A170,Enforcements!$C$7:$K$21,8,0)</f>
        <v>#N/A</v>
      </c>
      <c r="AC170" s="62" t="e">
        <f>VLOOKUP(A170,Enforcements!$C$7:$E$21,3,0)</f>
        <v>#N/A</v>
      </c>
      <c r="AD170" s="63" t="str">
        <f t="shared" si="128"/>
        <v>1813-11</v>
      </c>
      <c r="AE170" s="99" t="str">
        <f t="shared" si="136"/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AF170" s="96" t="str">
        <f t="shared" si="137"/>
        <v>"C:\Program Files (x86)\AstroGrep\AstroGrep.exe" /spath="%USERPROFILE%\AppData\Local\Temp\OnboardLogs" /stypes="*4002*20160911*" /stext=" 18:.+((SYSTEM_STATE.+slice.+state.+changed )|(ment ac)|(system.+state.+changed )|(\|lc)|(penalty)|(\[timeout)|(PRM\|1\|D)|(kpr)|(kdp))" /e /r /s</v>
      </c>
      <c r="AG170" s="1" t="str">
        <f t="shared" si="129"/>
        <v>NW</v>
      </c>
      <c r="AH170" s="100" t="str">
        <f t="shared" si="122"/>
        <v>"%USERPROFILE%\Documents\GitHub\eaglep3\Utilities\RefineRTDCRunTimes.py" --tripid 1813-11 --locoid 4002 --swversion DE.1.0.7.0 --startMP 204:1002 --initTime 2016-09-11T12:15:44 --startdatetime 2016-09-11T12:21:14 --delay 1 --endMP 300:58948 --enddatetime 2016-09-11T12:34:51 --enforcementcount 1 &gt;&gt;C:\Users\stu\Documents\GitHub\eaglep3-reporting\EC\2016-09-11-refined-times.txt</v>
      </c>
      <c r="AI170" s="134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{"issue":{"subject":"","project_id":79,"tracker_id":40,"status_id":1,"priority_id":2,"assigned_to_id":23,"start_date":"2016-09-11","description":"","custom_fields":[{"id":1,"name":"Subdivision","value":"NW"},{"id":4,"name":"Milepost","value":"5.7946"},{"id":17,"name":"Train ID","value":"1813-11"},{"id":16,"name":"Locomotive ID","value":"4002"},{"id":130,"name":"Impact","value":""},{"id":150,"name":"Time of Event (Mountain Time)","value":"12:34:51"},{"id":151,"name":"Denver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s="23" customFormat="1" x14ac:dyDescent="0.25">
      <c r="A171" s="39" t="s">
        <v>718</v>
      </c>
      <c r="B171" s="7"/>
      <c r="C171" s="24"/>
      <c r="D171" s="24"/>
      <c r="E171" s="15"/>
      <c r="F171" s="15"/>
      <c r="G171" s="7"/>
      <c r="H171" s="15"/>
      <c r="I171" s="15"/>
      <c r="J171" s="7"/>
      <c r="K171" s="121"/>
      <c r="L171" s="24"/>
      <c r="M171" s="6"/>
      <c r="N171" s="7"/>
      <c r="O171" s="7"/>
      <c r="P171" s="7">
        <v>1</v>
      </c>
      <c r="Q171" s="25"/>
      <c r="R171" s="25" t="s">
        <v>711</v>
      </c>
      <c r="S171" s="37">
        <f t="shared" si="131"/>
        <v>0</v>
      </c>
      <c r="T171" s="52" t="str">
        <f t="shared" si="127"/>
        <v>Southbound</v>
      </c>
      <c r="U171" s="163"/>
      <c r="V171" s="106"/>
      <c r="W171" s="54"/>
      <c r="X171" s="168">
        <f t="shared" si="139"/>
        <v>1</v>
      </c>
      <c r="Y171" s="69"/>
      <c r="Z171" s="69"/>
      <c r="AA171" s="69"/>
      <c r="AB171" s="66"/>
      <c r="AC171" s="62"/>
      <c r="AD171" s="63" t="str">
        <f t="shared" si="128"/>
        <v>1814-11</v>
      </c>
      <c r="AE171" s="99"/>
      <c r="AF171" s="96"/>
      <c r="AG171" s="1" t="str">
        <f t="shared" si="129"/>
        <v>NW</v>
      </c>
      <c r="AH171" s="100"/>
      <c r="AI171" s="134"/>
      <c r="AJ171" s="55"/>
      <c r="AK171" s="55"/>
      <c r="AL171" s="55"/>
    </row>
    <row r="172" spans="1:38" s="23" customFormat="1" x14ac:dyDescent="0.25">
      <c r="A172" s="39" t="s">
        <v>537</v>
      </c>
      <c r="B172" s="7">
        <v>4002</v>
      </c>
      <c r="C172" s="24" t="s">
        <v>108</v>
      </c>
      <c r="D172" s="24" t="s">
        <v>538</v>
      </c>
      <c r="E172" s="15">
        <v>42624.551840277774</v>
      </c>
      <c r="F172" s="15">
        <v>42624.55641203704</v>
      </c>
      <c r="G172" s="7">
        <v>0</v>
      </c>
      <c r="H172" s="15" t="s">
        <v>530</v>
      </c>
      <c r="I172" s="15">
        <v>42624.566296296296</v>
      </c>
      <c r="J172" s="7">
        <v>1</v>
      </c>
      <c r="K172" s="121" t="str">
        <f t="shared" si="126"/>
        <v>4001/4002</v>
      </c>
      <c r="L172" s="24" t="str">
        <f>VLOOKUP(A172,'Trips&amp;Operators'!$C$1:$E$10000,3,FALSE)</f>
        <v>STARKS</v>
      </c>
      <c r="M172" s="6">
        <f t="shared" si="130"/>
        <v>9.8842592560686171E-3</v>
      </c>
      <c r="N172" s="7">
        <f t="shared" si="120"/>
        <v>14.233333328738809</v>
      </c>
      <c r="O172" s="7"/>
      <c r="P172" s="7"/>
      <c r="Q172" s="25"/>
      <c r="R172" s="25"/>
      <c r="S172" s="37">
        <f t="shared" si="131"/>
        <v>1</v>
      </c>
      <c r="T172" s="52" t="str">
        <f t="shared" si="127"/>
        <v>NorthBound</v>
      </c>
      <c r="U172" s="163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12:14:39-0600',mode:absolute,to:'2016-09-11 14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72" s="54" t="str">
        <f t="shared" si="138"/>
        <v>N</v>
      </c>
      <c r="X172" s="168">
        <f t="shared" si="139"/>
        <v>1</v>
      </c>
      <c r="Y172" s="69">
        <f t="shared" si="133"/>
        <v>0.1014</v>
      </c>
      <c r="Z172" s="69">
        <f t="shared" si="134"/>
        <v>5.8943000000000003</v>
      </c>
      <c r="AA172" s="69">
        <f t="shared" si="135"/>
        <v>5.7929000000000004</v>
      </c>
      <c r="AB172" s="66" t="e">
        <f>VLOOKUP(A172,Enforcements!$C$7:$K$21,8,0)</f>
        <v>#N/A</v>
      </c>
      <c r="AC172" s="62" t="e">
        <f>VLOOKUP(A172,Enforcements!$C$7:$E$21,3,0)</f>
        <v>#N/A</v>
      </c>
      <c r="AD172" s="63" t="str">
        <f t="shared" si="128"/>
        <v>1815-11</v>
      </c>
      <c r="AE172" s="99" t="str">
        <f t="shared" si="136"/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AF172" s="96" t="str">
        <f t="shared" si="137"/>
        <v>"C:\Program Files (x86)\AstroGrep\AstroGrep.exe" /spath="%USERPROFILE%\AppData\Local\Temp\OnboardLogs" /stypes="*4002*20160911*" /stext=" 19:.+((SYSTEM_STATE.+slice.+state.+changed )|(ment ac)|(system.+state.+changed )|(\|lc)|(penalty)|(\[timeout)|(PRM\|1\|D)|(kpr)|(kdp))" /e /r /s</v>
      </c>
      <c r="AG172" s="1" t="str">
        <f t="shared" si="129"/>
        <v>NW</v>
      </c>
      <c r="AH172" s="100" t="str">
        <f t="shared" si="122"/>
        <v>"%USERPROFILE%\Documents\GitHub\eaglep3\Utilities\RefineRTDCRunTimes.py" --tripid 1815-11 --locoid 4002 --swversion DE.1.0.7.0 --startMP 204:1014 --initTime 2016-09-11T13:14:39 --startdatetime 2016-09-11T13:21:14 --delay 0 --endMP 300:58943 --enddatetime 2016-09-11T13:35:28 --enforcementcount 1 &gt;&gt;C:\Users\stu\Documents\GitHub\eaglep3-reporting\EC\2016-09-11-refined-times.txt</v>
      </c>
      <c r="AI172" s="134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{"issue":{"subject":"","project_id":79,"tracker_id":40,"status_id":1,"priority_id":2,"assigned_to_id":23,"start_date":"2016-09-11","description":"","custom_fields":[{"id":1,"name":"Subdivision","value":"NW"},{"id":4,"name":"Milepost","value":"5.7929"},{"id":17,"name":"Train ID","value":"1815-11"},{"id":16,"name":"Locomotive ID","value":"4002"},{"id":130,"name":"Impact","value":""},{"id":150,"name":"Time of Event (Mountain Time)","value":"13:35:28"},{"id":151,"name":"Denver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x14ac:dyDescent="0.25">
      <c r="A173" s="39" t="s">
        <v>539</v>
      </c>
      <c r="B173" s="7">
        <v>4001</v>
      </c>
      <c r="C173" s="24" t="s">
        <v>108</v>
      </c>
      <c r="D173" s="24" t="s">
        <v>517</v>
      </c>
      <c r="E173" s="15">
        <v>42624.567187499997</v>
      </c>
      <c r="F173" s="15">
        <v>42624.568344907406</v>
      </c>
      <c r="G173" s="7">
        <v>1</v>
      </c>
      <c r="H173" s="15" t="s">
        <v>356</v>
      </c>
      <c r="I173" s="15">
        <v>42624.579606481479</v>
      </c>
      <c r="J173" s="7">
        <v>1</v>
      </c>
      <c r="K173" s="121" t="str">
        <f t="shared" si="126"/>
        <v>4001/4002</v>
      </c>
      <c r="L173" s="24" t="str">
        <f>VLOOKUP(A173,'Trips&amp;Operators'!$C$1:$E$10000,3,FALSE)</f>
        <v>STARKS</v>
      </c>
      <c r="M173" s="6">
        <f t="shared" si="130"/>
        <v>1.1261574072705116E-2</v>
      </c>
      <c r="N173" s="7">
        <f t="shared" ref="N173:N202" si="140">24*60*SUM($M173:$M173)</f>
        <v>16.216666664695367</v>
      </c>
      <c r="O173" s="7"/>
      <c r="P173" s="7"/>
      <c r="Q173" s="25"/>
      <c r="R173" s="25"/>
      <c r="S173" s="37">
        <f t="shared" si="131"/>
        <v>1</v>
      </c>
      <c r="T173" s="52" t="str">
        <f t="shared" si="127"/>
        <v>Southbound</v>
      </c>
      <c r="U173" s="163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12:36:45-0600',mode:absolute,to:'2016-09-11 14:54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73" s="54" t="str">
        <f t="shared" si="138"/>
        <v>N</v>
      </c>
      <c r="X173" s="168">
        <f t="shared" si="139"/>
        <v>1</v>
      </c>
      <c r="Y173" s="69">
        <f t="shared" si="133"/>
        <v>5.8623000000000003</v>
      </c>
      <c r="Z173" s="69">
        <f t="shared" si="134"/>
        <v>8.4500000000000006E-2</v>
      </c>
      <c r="AA173" s="69">
        <f t="shared" si="135"/>
        <v>5.7778</v>
      </c>
      <c r="AB173" s="66" t="e">
        <f>VLOOKUP(A173,Enforcements!$C$7:$K$21,8,0)</f>
        <v>#N/A</v>
      </c>
      <c r="AC173" s="62" t="e">
        <f>VLOOKUP(A173,Enforcements!$C$7:$E$21,3,0)</f>
        <v>#N/A</v>
      </c>
      <c r="AD173" s="63" t="str">
        <f t="shared" si="128"/>
        <v>1816-11</v>
      </c>
      <c r="AE173" s="99" t="str">
        <f t="shared" si="136"/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AF173" s="96" t="str">
        <f t="shared" si="137"/>
        <v>"C:\Program Files (x86)\AstroGrep\AstroGrep.exe" /spath="%USERPROFILE%\AppData\Local\Temp\OnboardLogs" /stypes="*4001*20160911*" /stext=" 19:.+((SYSTEM_STATE.+slice.+state.+changed )|(ment ac)|(system.+state.+changed )|(\|lc)|(penalty)|(\[timeout)|(PRM\|1\|D)|(kpr)|(kdp))" /e /r /s</v>
      </c>
      <c r="AG173" s="1" t="str">
        <f t="shared" si="129"/>
        <v>NW</v>
      </c>
      <c r="AH173" s="100" t="str">
        <f t="shared" si="122"/>
        <v>"%USERPROFILE%\Documents\GitHub\eaglep3\Utilities\RefineRTDCRunTimes.py" --tripid 1816-11 --locoid 4001 --swversion DE.1.0.7.0 --startMP 300:58623 --initTime 2016-09-11T13:36:45 --startdatetime 2016-09-11T13:38:25 --delay 1 --endMP 204:845 --enddatetime 2016-09-11T13:54:38 --enforcementcount 1 &gt;&gt;C:\Users\stu\Documents\GitHub\eaglep3-reporting\EC\2016-09-11-refined-times.txt</v>
      </c>
      <c r="AI173" s="134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{"issue":{"subject":"","project_id":79,"tracker_id":40,"status_id":1,"priority_id":2,"assigned_to_id":23,"start_date":"2016-09-11","description":"","custom_fields":[{"id":1,"name":"Subdivision","value":"NW"},{"id":4,"name":"Milepost","value":"5.7778"},{"id":17,"name":"Train ID","value":"1816-11"},{"id":16,"name":"Locomotive ID","value":"4001"},{"id":130,"name":"Impact","value":""},{"id":150,"name":"Time of Event (Mountain Time)","value":"13:54:38"},{"id":151,"name":"Denver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s="23" customFormat="1" x14ac:dyDescent="0.25">
      <c r="A174" s="39" t="s">
        <v>398</v>
      </c>
      <c r="B174" s="7">
        <v>4002</v>
      </c>
      <c r="C174" s="24" t="s">
        <v>108</v>
      </c>
      <c r="D174" s="24" t="s">
        <v>540</v>
      </c>
      <c r="E174" s="15">
        <v>42624.589097222219</v>
      </c>
      <c r="F174" s="15">
        <v>42624.598344907405</v>
      </c>
      <c r="G174" s="7">
        <v>7</v>
      </c>
      <c r="H174" s="15" t="s">
        <v>541</v>
      </c>
      <c r="I174" s="15">
        <v>42624.606793981482</v>
      </c>
      <c r="J174" s="7">
        <v>1</v>
      </c>
      <c r="K174" s="121" t="str">
        <f t="shared" si="126"/>
        <v>4001/4002</v>
      </c>
      <c r="L174" s="24" t="str">
        <f>VLOOKUP(A174,'Trips&amp;Operators'!$C$1:$E$10000,3,FALSE)</f>
        <v>ADANE</v>
      </c>
      <c r="M174" s="6">
        <f t="shared" si="130"/>
        <v>8.449074077361729E-3</v>
      </c>
      <c r="N174" s="7">
        <f t="shared" si="140"/>
        <v>12.16666667140089</v>
      </c>
      <c r="O174" s="7"/>
      <c r="P174" s="7"/>
      <c r="Q174" s="25"/>
      <c r="R174" s="25"/>
      <c r="S174" s="37">
        <f t="shared" si="131"/>
        <v>1</v>
      </c>
      <c r="T174" s="52" t="str">
        <f t="shared" si="127"/>
        <v>NorthBound</v>
      </c>
      <c r="U174" s="163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13:08:18-0600',mode:absolute,to:'2016-09-11 15:33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74" s="54" t="str">
        <f t="shared" si="138"/>
        <v>Y</v>
      </c>
      <c r="X174" s="168">
        <f t="shared" si="139"/>
        <v>1</v>
      </c>
      <c r="Y174" s="69">
        <f t="shared" si="133"/>
        <v>0.114</v>
      </c>
      <c r="Z174" s="69">
        <f t="shared" si="134"/>
        <v>5.7605000000000004</v>
      </c>
      <c r="AA174" s="69">
        <f t="shared" si="135"/>
        <v>5.6465000000000005</v>
      </c>
      <c r="AB174" s="66" t="e">
        <f>VLOOKUP(A174,Enforcements!$C$7:$K$21,8,0)</f>
        <v>#N/A</v>
      </c>
      <c r="AC174" s="62" t="e">
        <f>VLOOKUP(A174,Enforcements!$C$7:$E$21,3,0)</f>
        <v>#N/A</v>
      </c>
      <c r="AD174" s="63" t="str">
        <f t="shared" si="128"/>
        <v>1817-11</v>
      </c>
      <c r="AE174" s="99" t="str">
        <f t="shared" si="136"/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AF174" s="96" t="str">
        <f t="shared" si="137"/>
        <v>"C:\Program Files (x86)\AstroGrep\AstroGrep.exe" /spath="%USERPROFILE%\AppData\Local\Temp\OnboardLogs" /stypes="*4002*20160911*" /stext=" 20:.+((SYSTEM_STATE.+slice.+state.+changed )|(ment ac)|(system.+state.+changed )|(\|lc)|(penalty)|(\[timeout)|(PRM\|1\|D)|(kpr)|(kdp))" /e /r /s</v>
      </c>
      <c r="AG174" s="1" t="str">
        <f t="shared" si="129"/>
        <v>NW</v>
      </c>
      <c r="AH174" s="100" t="str">
        <f t="shared" si="122"/>
        <v>"%USERPROFILE%\Documents\GitHub\eaglep3\Utilities\RefineRTDCRunTimes.py" --tripid 1817-11 --locoid 4002 --swversion DE.1.0.7.0 --startMP 204:1140 --initTime 2016-09-11T14:08:18 --startdatetime 2016-09-11T14:21:37 --delay 7 --endMP 300:57605 --enddatetime 2016-09-11T14:33:47 --enforcementcount 1 &gt;&gt;C:\Users\stu\Documents\GitHub\eaglep3-reporting\EC\2016-09-11-refined-times.txt</v>
      </c>
      <c r="AI174" s="134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{"issue":{"subject":"","project_id":79,"tracker_id":40,"status_id":1,"priority_id":2,"assigned_to_id":23,"start_date":"2016-09-11","description":"","custom_fields":[{"id":1,"name":"Subdivision","value":"NW"},{"id":4,"name":"Milepost","value":"5.6465"},{"id":17,"name":"Train ID","value":"1817-11"},{"id":16,"name":"Locomotive ID","value":"4002"},{"id":130,"name":"Impact","value":""},{"id":150,"name":"Time of Event (Mountain Time)","value":"14:33:47"},{"id":151,"name":"Denver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s="23" customFormat="1" x14ac:dyDescent="0.25">
      <c r="A175" s="39" t="s">
        <v>399</v>
      </c>
      <c r="B175" s="7">
        <v>4001</v>
      </c>
      <c r="C175" s="24" t="s">
        <v>108</v>
      </c>
      <c r="D175" s="24" t="s">
        <v>324</v>
      </c>
      <c r="E175" s="15">
        <v>42624.609375</v>
      </c>
      <c r="F175" s="15">
        <v>42624.611018518517</v>
      </c>
      <c r="G175" s="7">
        <v>1</v>
      </c>
      <c r="H175" s="15" t="s">
        <v>542</v>
      </c>
      <c r="I175" s="15">
        <v>42624.621388888889</v>
      </c>
      <c r="J175" s="7">
        <v>1</v>
      </c>
      <c r="K175" s="121" t="str">
        <f t="shared" si="126"/>
        <v>4001/4002</v>
      </c>
      <c r="L175" s="24" t="str">
        <f>VLOOKUP(A175,'Trips&amp;Operators'!$C$1:$E$10000,3,FALSE)</f>
        <v>ADANE</v>
      </c>
      <c r="M175" s="6">
        <f t="shared" si="130"/>
        <v>1.0370370371674653E-2</v>
      </c>
      <c r="N175" s="7">
        <f t="shared" si="140"/>
        <v>14.933333335211501</v>
      </c>
      <c r="O175" s="7"/>
      <c r="P175" s="7"/>
      <c r="Q175" s="25"/>
      <c r="R175" s="25"/>
      <c r="S175" s="37">
        <f t="shared" si="131"/>
        <v>1</v>
      </c>
      <c r="T175" s="52" t="str">
        <f t="shared" si="127"/>
        <v>Southbound</v>
      </c>
      <c r="U175" s="163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13:37:30-0600',mode:absolute,to:'2016-09-11 15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75" s="54" t="str">
        <f t="shared" si="138"/>
        <v>N</v>
      </c>
      <c r="X175" s="168">
        <f t="shared" si="139"/>
        <v>1</v>
      </c>
      <c r="Y175" s="69">
        <f t="shared" si="133"/>
        <v>5.8620999999999999</v>
      </c>
      <c r="Z175" s="69">
        <f t="shared" si="134"/>
        <v>6.6799999999999998E-2</v>
      </c>
      <c r="AA175" s="69">
        <f t="shared" si="135"/>
        <v>5.7953000000000001</v>
      </c>
      <c r="AB175" s="66" t="e">
        <f>VLOOKUP(A175,Enforcements!$C$7:$K$21,8,0)</f>
        <v>#N/A</v>
      </c>
      <c r="AC175" s="62" t="e">
        <f>VLOOKUP(A175,Enforcements!$C$7:$E$21,3,0)</f>
        <v>#N/A</v>
      </c>
      <c r="AD175" s="63" t="str">
        <f t="shared" si="128"/>
        <v>1818-11</v>
      </c>
      <c r="AE175" s="99" t="str">
        <f t="shared" si="136"/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AF175" s="96" t="str">
        <f t="shared" si="137"/>
        <v>"C:\Program Files (x86)\AstroGrep\AstroGrep.exe" /spath="%USERPROFILE%\AppData\Local\Temp\OnboardLogs" /stypes="*4001*20160911*" /stext=" 20:.+((SYSTEM_STATE.+slice.+state.+changed )|(ment ac)|(system.+state.+changed )|(\|lc)|(penalty)|(\[timeout)|(PRM\|1\|D)|(kpr)|(kdp))" /e /r /s</v>
      </c>
      <c r="AG175" s="1" t="str">
        <f t="shared" si="129"/>
        <v>NW</v>
      </c>
      <c r="AH175" s="100" t="str">
        <f t="shared" si="122"/>
        <v>"%USERPROFILE%\Documents\GitHub\eaglep3\Utilities\RefineRTDCRunTimes.py" --tripid 1818-11 --locoid 4001 --swversion DE.1.0.7.0 --startMP 300:58621 --initTime 2016-09-11T14:37:30 --startdatetime 2016-09-11T14:39:52 --delay 1 --endMP 204:668 --enddatetime 2016-09-11T14:54:48 --enforcementcount 1 &gt;&gt;C:\Users\stu\Documents\GitHub\eaglep3-reporting\EC\2016-09-11-refined-times.txt</v>
      </c>
      <c r="AI175" s="134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{"issue":{"subject":"","project_id":79,"tracker_id":40,"status_id":1,"priority_id":2,"assigned_to_id":23,"start_date":"2016-09-11","description":"","custom_fields":[{"id":1,"name":"Subdivision","value":"NW"},{"id":4,"name":"Milepost","value":"5.7953"},{"id":17,"name":"Train ID","value":"1818-11"},{"id":16,"name":"Locomotive ID","value":"4001"},{"id":130,"name":"Impact","value":""},{"id":150,"name":"Time of Event (Mountain Time)","value":"14:54:48"},{"id":151,"name":"Denver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s="23" customFormat="1" x14ac:dyDescent="0.25">
      <c r="A176" s="39" t="s">
        <v>543</v>
      </c>
      <c r="B176" s="7">
        <v>4002</v>
      </c>
      <c r="C176" s="24" t="s">
        <v>108</v>
      </c>
      <c r="D176" s="24" t="s">
        <v>544</v>
      </c>
      <c r="E176" s="15">
        <v>42624.638124999998</v>
      </c>
      <c r="F176" s="15">
        <v>42624.640567129631</v>
      </c>
      <c r="G176" s="7">
        <v>2</v>
      </c>
      <c r="H176" s="15" t="s">
        <v>545</v>
      </c>
      <c r="I176" s="15">
        <v>42624.650069444448</v>
      </c>
      <c r="J176" s="7">
        <v>1</v>
      </c>
      <c r="K176" s="121" t="str">
        <f t="shared" si="126"/>
        <v>4001/4002</v>
      </c>
      <c r="L176" s="24" t="str">
        <f>VLOOKUP(A176,'Trips&amp;Operators'!$C$1:$E$10000,3,FALSE)</f>
        <v>STAMBAUGH</v>
      </c>
      <c r="M176" s="6">
        <f t="shared" si="130"/>
        <v>9.5023148169275373E-3</v>
      </c>
      <c r="N176" s="7">
        <f t="shared" si="140"/>
        <v>13.683333336375654</v>
      </c>
      <c r="O176" s="7"/>
      <c r="P176" s="7"/>
      <c r="Q176" s="25"/>
      <c r="R176" s="25"/>
      <c r="S176" s="37">
        <f t="shared" si="131"/>
        <v>1</v>
      </c>
      <c r="T176" s="52" t="str">
        <f t="shared" si="127"/>
        <v>NorthBound</v>
      </c>
      <c r="U176" s="163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14:18:54-0600',mode:absolute,to:'2016-09-11 16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76" s="54" t="str">
        <f t="shared" si="138"/>
        <v>N</v>
      </c>
      <c r="X176" s="168">
        <f t="shared" si="139"/>
        <v>1</v>
      </c>
      <c r="Y176" s="69">
        <f t="shared" si="133"/>
        <v>9.5699999999999993E-2</v>
      </c>
      <c r="Z176" s="69">
        <f t="shared" si="134"/>
        <v>5.8996000000000004</v>
      </c>
      <c r="AA176" s="69">
        <f t="shared" si="135"/>
        <v>5.8039000000000005</v>
      </c>
      <c r="AB176" s="66" t="e">
        <f>VLOOKUP(A176,Enforcements!$C$7:$K$21,8,0)</f>
        <v>#N/A</v>
      </c>
      <c r="AC176" s="62" t="e">
        <f>VLOOKUP(A176,Enforcements!$C$7:$E$21,3,0)</f>
        <v>#N/A</v>
      </c>
      <c r="AD176" s="63" t="str">
        <f t="shared" si="128"/>
        <v>1819-11</v>
      </c>
      <c r="AE176" s="99" t="str">
        <f t="shared" si="136"/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AF176" s="96" t="str">
        <f t="shared" si="137"/>
        <v>"C:\Program Files (x86)\AstroGrep\AstroGrep.exe" /spath="%USERPROFILE%\AppData\Local\Temp\OnboardLogs" /stypes="*4002*20160911*" /stext=" 21:.+((SYSTEM_STATE.+slice.+state.+changed )|(ment ac)|(system.+state.+changed )|(\|lc)|(penalty)|(\[timeout)|(PRM\|1\|D)|(kpr)|(kdp))" /e /r /s</v>
      </c>
      <c r="AG176" s="1" t="str">
        <f t="shared" si="129"/>
        <v>NW</v>
      </c>
      <c r="AH176" s="100" t="str">
        <f t="shared" si="122"/>
        <v>"%USERPROFILE%\Documents\GitHub\eaglep3\Utilities\RefineRTDCRunTimes.py" --tripid 1819-11 --locoid 4002 --swversion DE.1.0.7.0 --startMP 204:957 --initTime 2016-09-11T15:18:54 --startdatetime 2016-09-11T15:22:25 --delay 2 --endMP 300:58996 --enddatetime 2016-09-11T15:36:06 --enforcementcount 1 &gt;&gt;C:\Users\stu\Documents\GitHub\eaglep3-reporting\EC\2016-09-11-refined-times.txt</v>
      </c>
      <c r="AI176" s="134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{"issue":{"subject":"","project_id":79,"tracker_id":40,"status_id":1,"priority_id":2,"assigned_to_id":23,"start_date":"2016-09-11","description":"","custom_fields":[{"id":1,"name":"Subdivision","value":"NW"},{"id":4,"name":"Milepost","value":"5.8039"},{"id":17,"name":"Train ID","value":"1819-11"},{"id":16,"name":"Locomotive ID","value":"4002"},{"id":130,"name":"Impact","value":""},{"id":150,"name":"Time of Event (Mountain Time)","value":"15:36:06"},{"id":151,"name":"Denver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s="23" customFormat="1" x14ac:dyDescent="0.25">
      <c r="A177" s="39" t="s">
        <v>401</v>
      </c>
      <c r="B177" s="7">
        <v>4001</v>
      </c>
      <c r="C177" s="24" t="s">
        <v>108</v>
      </c>
      <c r="D177" s="24" t="s">
        <v>547</v>
      </c>
      <c r="E177" s="15">
        <v>42624.652060185188</v>
      </c>
      <c r="F177" s="15">
        <v>42624.654039351852</v>
      </c>
      <c r="G177" s="7">
        <v>1</v>
      </c>
      <c r="H177" s="15" t="s">
        <v>548</v>
      </c>
      <c r="I177" s="15">
        <v>42624.662789351853</v>
      </c>
      <c r="J177" s="7">
        <v>1</v>
      </c>
      <c r="K177" s="121" t="str">
        <f t="shared" si="126"/>
        <v>4001/4002</v>
      </c>
      <c r="L177" s="24" t="str">
        <f>VLOOKUP(A177,'Trips&amp;Operators'!$C$1:$E$10000,3,FALSE)</f>
        <v>STAMBAUGH</v>
      </c>
      <c r="M177" s="6">
        <f t="shared" si="130"/>
        <v>8.7500000008731149E-3</v>
      </c>
      <c r="N177" s="7">
        <f t="shared" si="140"/>
        <v>12.600000001257285</v>
      </c>
      <c r="O177" s="7"/>
      <c r="P177" s="7"/>
      <c r="Q177" s="25"/>
      <c r="R177" s="25"/>
      <c r="S177" s="37">
        <f t="shared" si="131"/>
        <v>1</v>
      </c>
      <c r="T177" s="52" t="str">
        <f t="shared" si="127"/>
        <v>Southbound</v>
      </c>
      <c r="U177" s="163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14:38:58-0600',mode:absolute,to:'2016-09-11 16:54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77" s="54" t="str">
        <f t="shared" si="138"/>
        <v>N</v>
      </c>
      <c r="X177" s="168">
        <f t="shared" si="139"/>
        <v>1</v>
      </c>
      <c r="Y177" s="69">
        <f t="shared" si="133"/>
        <v>5.8676000000000004</v>
      </c>
      <c r="Z177" s="69">
        <f t="shared" si="134"/>
        <v>6.8699999999999997E-2</v>
      </c>
      <c r="AA177" s="69">
        <f t="shared" si="135"/>
        <v>5.7989000000000006</v>
      </c>
      <c r="AB177" s="66" t="e">
        <f>VLOOKUP(A177,Enforcements!$C$7:$K$21,8,0)</f>
        <v>#N/A</v>
      </c>
      <c r="AC177" s="62" t="e">
        <f>VLOOKUP(A177,Enforcements!$C$7:$E$21,3,0)</f>
        <v>#N/A</v>
      </c>
      <c r="AD177" s="63" t="str">
        <f t="shared" si="128"/>
        <v>1820-11</v>
      </c>
      <c r="AE177" s="99" t="str">
        <f t="shared" si="136"/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AF177" s="96" t="str">
        <f t="shared" si="137"/>
        <v>"C:\Program Files (x86)\AstroGrep\AstroGrep.exe" /spath="%USERPROFILE%\AppData\Local\Temp\OnboardLogs" /stypes="*4001*20160911*" /stext=" 21:.+((SYSTEM_STATE.+slice.+state.+changed )|(ment ac)|(system.+state.+changed )|(\|lc)|(penalty)|(\[timeout)|(PRM\|1\|D)|(kpr)|(kdp))" /e /r /s</v>
      </c>
      <c r="AG177" s="1" t="str">
        <f t="shared" si="129"/>
        <v>NW</v>
      </c>
      <c r="AH177" s="100" t="str">
        <f t="shared" si="122"/>
        <v>"%USERPROFILE%\Documents\GitHub\eaglep3\Utilities\RefineRTDCRunTimes.py" --tripid 1820-11 --locoid 4001 --swversion DE.1.0.7.0 --startMP 300:58676 --initTime 2016-09-11T15:38:58 --startdatetime 2016-09-11T15:41:49 --delay 1 --endMP 204:687 --enddatetime 2016-09-11T15:54:25 --enforcementcount 1 &gt;&gt;C:\Users\stu\Documents\GitHub\eaglep3-reporting\EC\2016-09-11-refined-times.txt</v>
      </c>
      <c r="AI177" s="134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{"issue":{"subject":"","project_id":79,"tracker_id":40,"status_id":1,"priority_id":2,"assigned_to_id":23,"start_date":"2016-09-11","description":"","custom_fields":[{"id":1,"name":"Subdivision","value":"NW"},{"id":4,"name":"Milepost","value":"5.7989"},{"id":17,"name":"Train ID","value":"1820-11"},{"id":16,"name":"Locomotive ID","value":"4001"},{"id":130,"name":"Impact","value":""},{"id":150,"name":"Time of Event (Mountain Time)","value":"15:54:25"},{"id":151,"name":"Denver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s="23" customFormat="1" x14ac:dyDescent="0.25">
      <c r="A178" s="39" t="s">
        <v>403</v>
      </c>
      <c r="B178" s="7">
        <v>4002</v>
      </c>
      <c r="C178" s="24" t="s">
        <v>108</v>
      </c>
      <c r="D178" s="24" t="s">
        <v>549</v>
      </c>
      <c r="E178" s="15">
        <v>42624.664525462962</v>
      </c>
      <c r="F178" s="15">
        <v>42624.681990740741</v>
      </c>
      <c r="G178" s="7">
        <v>1</v>
      </c>
      <c r="H178" s="15" t="s">
        <v>550</v>
      </c>
      <c r="I178" s="15">
        <v>42624.692245370374</v>
      </c>
      <c r="J178" s="7">
        <v>1</v>
      </c>
      <c r="K178" s="121" t="str">
        <f t="shared" si="126"/>
        <v>4001/4002</v>
      </c>
      <c r="L178" s="24" t="str">
        <f>VLOOKUP(A178,'Trips&amp;Operators'!$C$1:$E$10000,3,FALSE)</f>
        <v>STAMBAUGH</v>
      </c>
      <c r="M178" s="6">
        <f t="shared" si="130"/>
        <v>1.025462963298196E-2</v>
      </c>
      <c r="N178" s="7">
        <f t="shared" si="140"/>
        <v>14.766666671494022</v>
      </c>
      <c r="O178" s="7"/>
      <c r="P178" s="7"/>
      <c r="Q178" s="25"/>
      <c r="R178" s="25"/>
      <c r="S178" s="37">
        <f t="shared" si="131"/>
        <v>1</v>
      </c>
      <c r="T178" s="52" t="str">
        <f t="shared" si="127"/>
        <v>NorthBound</v>
      </c>
      <c r="U178" s="163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14:56:55-0600',mode:absolute,to:'2016-09-11 17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78" s="54" t="str">
        <f t="shared" si="138"/>
        <v>N</v>
      </c>
      <c r="X178" s="168">
        <f t="shared" si="139"/>
        <v>1</v>
      </c>
      <c r="Y178" s="69">
        <f t="shared" si="133"/>
        <v>9.74E-2</v>
      </c>
      <c r="Z178" s="69">
        <f t="shared" si="134"/>
        <v>5.8987999999999996</v>
      </c>
      <c r="AA178" s="69">
        <f t="shared" si="135"/>
        <v>5.8013999999999992</v>
      </c>
      <c r="AB178" s="66" t="e">
        <f>VLOOKUP(A178,Enforcements!$C$7:$K$21,8,0)</f>
        <v>#N/A</v>
      </c>
      <c r="AC178" s="62" t="e">
        <f>VLOOKUP(A178,Enforcements!$C$7:$E$21,3,0)</f>
        <v>#N/A</v>
      </c>
      <c r="AD178" s="63" t="str">
        <f t="shared" si="128"/>
        <v>1821-11</v>
      </c>
      <c r="AE178" s="99" t="str">
        <f t="shared" si="136"/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AF178" s="96" t="str">
        <f t="shared" si="137"/>
        <v>"C:\Program Files (x86)\AstroGrep\AstroGrep.exe" /spath="%USERPROFILE%\AppData\Local\Temp\OnboardLogs" /stypes="*4002*20160911*" /stext=" 22:.+((SYSTEM_STATE.+slice.+state.+changed )|(ment ac)|(system.+state.+changed )|(\|lc)|(penalty)|(\[timeout)|(PRM\|1\|D)|(kpr)|(kdp))" /e /r /s</v>
      </c>
      <c r="AG178" s="1" t="str">
        <f t="shared" si="129"/>
        <v>NW</v>
      </c>
      <c r="AH178" s="100" t="str">
        <f t="shared" si="122"/>
        <v>"%USERPROFILE%\Documents\GitHub\eaglep3\Utilities\RefineRTDCRunTimes.py" --tripid 1821-11 --locoid 4002 --swversion DE.1.0.7.0 --startMP 204:974 --initTime 2016-09-11T15:56:55 --startdatetime 2016-09-11T16:22:04 --delay 1 --endMP 300:58988 --enddatetime 2016-09-11T16:36:50 --enforcementcount 1 &gt;&gt;C:\Users\stu\Documents\GitHub\eaglep3-reporting\EC\2016-09-11-refined-times.txt</v>
      </c>
      <c r="AI178" s="134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{"issue":{"subject":"","project_id":79,"tracker_id":40,"status_id":1,"priority_id":2,"assigned_to_id":23,"start_date":"2016-09-11","description":"","custom_fields":[{"id":1,"name":"Subdivision","value":"NW"},{"id":4,"name":"Milepost","value":"5.8014"},{"id":17,"name":"Train ID","value":"1821-11"},{"id":16,"name":"Locomotive ID","value":"4002"},{"id":130,"name":"Impact","value":""},{"id":150,"name":"Time of Event (Mountain Time)","value":"16:36:50"},{"id":151,"name":"Denver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s="23" customFormat="1" x14ac:dyDescent="0.25">
      <c r="A179" s="39" t="s">
        <v>405</v>
      </c>
      <c r="B179" s="7">
        <v>4001</v>
      </c>
      <c r="C179" s="24" t="s">
        <v>108</v>
      </c>
      <c r="D179" s="24" t="s">
        <v>551</v>
      </c>
      <c r="E179" s="15">
        <v>42624.693506944444</v>
      </c>
      <c r="F179" s="15">
        <v>42624.694791666669</v>
      </c>
      <c r="G179" s="7">
        <v>1</v>
      </c>
      <c r="H179" s="15" t="s">
        <v>552</v>
      </c>
      <c r="I179" s="15">
        <v>42624.705023148148</v>
      </c>
      <c r="J179" s="7">
        <v>1</v>
      </c>
      <c r="K179" s="121" t="str">
        <f t="shared" si="126"/>
        <v>4001/4002</v>
      </c>
      <c r="L179" s="24" t="str">
        <f>VLOOKUP(A179,'Trips&amp;Operators'!$C$1:$E$10000,3,FALSE)</f>
        <v>STAMBAUGH</v>
      </c>
      <c r="M179" s="6">
        <f t="shared" si="130"/>
        <v>1.0231481479422655E-2</v>
      </c>
      <c r="N179" s="7">
        <f t="shared" si="140"/>
        <v>14.733333330368623</v>
      </c>
      <c r="O179" s="7"/>
      <c r="P179" s="7"/>
      <c r="Q179" s="25"/>
      <c r="R179" s="25"/>
      <c r="S179" s="37">
        <f t="shared" si="131"/>
        <v>1</v>
      </c>
      <c r="T179" s="52" t="str">
        <f t="shared" si="127"/>
        <v>Southbound</v>
      </c>
      <c r="U179" s="163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15:38:39-0600',mode:absolute,to:'2016-09-11 17:55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79" s="54" t="str">
        <f t="shared" si="138"/>
        <v>N</v>
      </c>
      <c r="X179" s="168">
        <f t="shared" si="139"/>
        <v>1</v>
      </c>
      <c r="Y179" s="69">
        <f t="shared" si="133"/>
        <v>5.867</v>
      </c>
      <c r="Z179" s="69">
        <f t="shared" si="134"/>
        <v>6.4500000000000002E-2</v>
      </c>
      <c r="AA179" s="69">
        <f t="shared" si="135"/>
        <v>5.8025000000000002</v>
      </c>
      <c r="AB179" s="66" t="e">
        <f>VLOOKUP(A179,Enforcements!$C$7:$K$21,8,0)</f>
        <v>#N/A</v>
      </c>
      <c r="AC179" s="62" t="e">
        <f>VLOOKUP(A179,Enforcements!$C$7:$E$21,3,0)</f>
        <v>#N/A</v>
      </c>
      <c r="AD179" s="63" t="str">
        <f t="shared" si="128"/>
        <v>1822-11</v>
      </c>
      <c r="AE179" s="99" t="str">
        <f t="shared" si="136"/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AF179" s="96" t="str">
        <f t="shared" si="137"/>
        <v>"C:\Program Files (x86)\AstroGrep\AstroGrep.exe" /spath="%USERPROFILE%\AppData\Local\Temp\OnboardLogs" /stypes="*4001*20160911*" /stext=" 22:.+((SYSTEM_STATE.+slice.+state.+changed )|(ment ac)|(system.+state.+changed )|(\|lc)|(penalty)|(\[timeout)|(PRM\|1\|D)|(kpr)|(kdp))" /e /r /s</v>
      </c>
      <c r="AG179" s="1" t="str">
        <f t="shared" si="129"/>
        <v>NW</v>
      </c>
      <c r="AH179" s="100" t="str">
        <f t="shared" si="122"/>
        <v>"%USERPROFILE%\Documents\GitHub\eaglep3\Utilities\RefineRTDCRunTimes.py" --tripid 1822-11 --locoid 4001 --swversion DE.1.0.7.0 --startMP 300:58670 --initTime 2016-09-11T16:38:39 --startdatetime 2016-09-11T16:40:30 --delay 1 --endMP 204:645 --enddatetime 2016-09-11T16:55:14 --enforcementcount 1 &gt;&gt;C:\Users\stu\Documents\GitHub\eaglep3-reporting\EC\2016-09-11-refined-times.txt</v>
      </c>
      <c r="AI179" s="134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{"issue":{"subject":"","project_id":79,"tracker_id":40,"status_id":1,"priority_id":2,"assigned_to_id":23,"start_date":"2016-09-11","description":"","custom_fields":[{"id":1,"name":"Subdivision","value":"NW"},{"id":4,"name":"Milepost","value":"5.8025"},{"id":17,"name":"Train ID","value":"1822-11"},{"id":16,"name":"Locomotive ID","value":"4001"},{"id":130,"name":"Impact","value":""},{"id":150,"name":"Time of Event (Mountain Time)","value":"16:55:14"},{"id":151,"name":"Denver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x14ac:dyDescent="0.25">
      <c r="A180" s="39" t="s">
        <v>406</v>
      </c>
      <c r="B180" s="7">
        <v>4002</v>
      </c>
      <c r="C180" s="24" t="s">
        <v>108</v>
      </c>
      <c r="D180" s="24" t="s">
        <v>553</v>
      </c>
      <c r="E180" s="15">
        <v>42624.707118055558</v>
      </c>
      <c r="F180" s="15">
        <v>42624.736076388886</v>
      </c>
      <c r="G180" s="7">
        <v>0</v>
      </c>
      <c r="H180" s="15" t="s">
        <v>545</v>
      </c>
      <c r="I180" s="15">
        <v>42624.746365740742</v>
      </c>
      <c r="J180" s="7">
        <v>1</v>
      </c>
      <c r="K180" s="121" t="str">
        <f t="shared" si="126"/>
        <v>4001/4002</v>
      </c>
      <c r="L180" s="24" t="str">
        <f>VLOOKUP(A180,'Trips&amp;Operators'!$C$1:$E$10000,3,FALSE)</f>
        <v>STAMBAUGH</v>
      </c>
      <c r="M180" s="6">
        <f t="shared" si="130"/>
        <v>1.0289351856044959E-2</v>
      </c>
      <c r="N180" s="7">
        <f t="shared" si="140"/>
        <v>14.816666672704741</v>
      </c>
      <c r="O180" s="7"/>
      <c r="P180" s="7"/>
      <c r="Q180" s="25"/>
      <c r="R180" s="25"/>
      <c r="S180" s="37">
        <f t="shared" si="131"/>
        <v>1</v>
      </c>
      <c r="T180" s="52" t="str">
        <f t="shared" si="127"/>
        <v>NorthBound</v>
      </c>
      <c r="U180" s="163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15:58:15-0600',mode:absolute,to:'2016-09-11 18:54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80" s="54" t="str">
        <f t="shared" si="138"/>
        <v>N</v>
      </c>
      <c r="X180" s="168">
        <f t="shared" ref="X180:X202" si="141">VALUE(LEFT(AD180,4))-VALUE(LEFT(AD179,4))</f>
        <v>1</v>
      </c>
      <c r="Y180" s="69">
        <f t="shared" si="133"/>
        <v>9.3600000000000003E-2</v>
      </c>
      <c r="Z180" s="69">
        <f t="shared" si="134"/>
        <v>5.8996000000000004</v>
      </c>
      <c r="AA180" s="69">
        <f t="shared" si="135"/>
        <v>5.806</v>
      </c>
      <c r="AB180" s="66" t="e">
        <f>VLOOKUP(A180,Enforcements!$C$7:$K$21,8,0)</f>
        <v>#N/A</v>
      </c>
      <c r="AC180" s="62" t="e">
        <f>VLOOKUP(A180,Enforcements!$C$7:$E$21,3,0)</f>
        <v>#N/A</v>
      </c>
      <c r="AD180" s="63" t="str">
        <f t="shared" si="128"/>
        <v>1823-11</v>
      </c>
      <c r="AE180" s="99" t="str">
        <f t="shared" si="136"/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AF180" s="96" t="str">
        <f t="shared" si="137"/>
        <v>"C:\Program Files (x86)\AstroGrep\AstroGrep.exe" /spath="%USERPROFILE%\AppData\Local\Temp\OnboardLogs" /stypes="*4002*20160911*" /stext=" 23:.+((SYSTEM_STATE.+slice.+state.+changed )|(ment ac)|(system.+state.+changed )|(\|lc)|(penalty)|(\[timeout)|(PRM\|1\|D)|(kpr)|(kdp))" /e /r /s</v>
      </c>
      <c r="AG180" s="1" t="str">
        <f t="shared" si="129"/>
        <v>NW</v>
      </c>
      <c r="AH180" s="100" t="str">
        <f t="shared" si="122"/>
        <v>"%USERPROFILE%\Documents\GitHub\eaglep3\Utilities\RefineRTDCRunTimes.py" --tripid 1823-11 --locoid 4002 --swversion DE.1.0.7.0 --startMP 204:936 --initTime 2016-09-11T16:58:15 --startdatetime 2016-09-11T17:39:57 --delay 0 --endMP 300:58996 --enddatetime 2016-09-11T17:54:46 --enforcementcount 1 &gt;&gt;C:\Users\stu\Documents\GitHub\eaglep3-reporting\EC\2016-09-11-refined-times.txt</v>
      </c>
      <c r="AI180" s="134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{"issue":{"subject":"","project_id":79,"tracker_id":40,"status_id":1,"priority_id":2,"assigned_to_id":23,"start_date":"2016-09-11","description":"","custom_fields":[{"id":1,"name":"Subdivision","value":"NW"},{"id":4,"name":"Milepost","value":"5.806"},{"id":17,"name":"Train ID","value":"1823-11"},{"id":16,"name":"Locomotive ID","value":"4002"},{"id":130,"name":"Impact","value":""},{"id":150,"name":"Time of Event (Mountain Time)","value":"17:54:46"},{"id":151,"name":"Denver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x14ac:dyDescent="0.25">
      <c r="A181" s="39" t="s">
        <v>407</v>
      </c>
      <c r="B181" s="7">
        <v>4001</v>
      </c>
      <c r="C181" s="24" t="s">
        <v>108</v>
      </c>
      <c r="D181" s="24" t="s">
        <v>554</v>
      </c>
      <c r="E181" s="15">
        <v>42624.734560185185</v>
      </c>
      <c r="F181" s="15">
        <v>42624.736076388886</v>
      </c>
      <c r="G181" s="7">
        <v>1</v>
      </c>
      <c r="H181" s="15" t="s">
        <v>555</v>
      </c>
      <c r="I181" s="15">
        <v>42624.746365740742</v>
      </c>
      <c r="J181" s="7">
        <v>1</v>
      </c>
      <c r="K181" s="121" t="str">
        <f t="shared" si="126"/>
        <v>4001/4002</v>
      </c>
      <c r="L181" s="24" t="str">
        <f>VLOOKUP(A181,'Trips&amp;Operators'!$C$1:$E$10000,3,FALSE)</f>
        <v>STAMBAUGH</v>
      </c>
      <c r="M181" s="6">
        <f t="shared" si="130"/>
        <v>1.0289351856044959E-2</v>
      </c>
      <c r="N181" s="7">
        <f t="shared" si="140"/>
        <v>14.816666672704741</v>
      </c>
      <c r="O181" s="7"/>
      <c r="P181" s="7"/>
      <c r="Q181" s="25"/>
      <c r="R181" s="25"/>
      <c r="S181" s="37">
        <f t="shared" si="131"/>
        <v>1</v>
      </c>
      <c r="T181" s="52" t="str">
        <f t="shared" si="127"/>
        <v>Southbound</v>
      </c>
      <c r="U181" s="163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16:37:46-0600',mode:absolute,to:'2016-09-11 18:54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81" s="54" t="str">
        <f t="shared" si="138"/>
        <v>N</v>
      </c>
      <c r="X181" s="168">
        <f t="shared" si="141"/>
        <v>1</v>
      </c>
      <c r="Y181" s="69">
        <f t="shared" si="133"/>
        <v>5.8678999999999997</v>
      </c>
      <c r="Z181" s="69">
        <f t="shared" si="134"/>
        <v>7.0800000000000002E-2</v>
      </c>
      <c r="AA181" s="69">
        <f t="shared" si="135"/>
        <v>5.7970999999999995</v>
      </c>
      <c r="AB181" s="66" t="e">
        <f>VLOOKUP(A181,Enforcements!$C$7:$K$21,8,0)</f>
        <v>#N/A</v>
      </c>
      <c r="AC181" s="62" t="e">
        <f>VLOOKUP(A181,Enforcements!$C$7:$E$21,3,0)</f>
        <v>#N/A</v>
      </c>
      <c r="AD181" s="63" t="str">
        <f t="shared" si="128"/>
        <v>1824-11</v>
      </c>
      <c r="AE181" s="99" t="str">
        <f t="shared" si="136"/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AF181" s="96" t="str">
        <f t="shared" si="137"/>
        <v>"C:\Program Files (x86)\AstroGrep\AstroGrep.exe" /spath="%USERPROFILE%\AppData\Local\Temp\OnboardLogs" /stypes="*4001*20160911*" /stext=" 23:.+((SYSTEM_STATE.+slice.+state.+changed )|(ment ac)|(system.+state.+changed )|(\|lc)|(penalty)|(\[timeout)|(PRM\|1\|D)|(kpr)|(kdp))" /e /r /s</v>
      </c>
      <c r="AG181" s="1" t="str">
        <f t="shared" si="129"/>
        <v>NW</v>
      </c>
      <c r="AH181" s="100" t="str">
        <f t="shared" si="122"/>
        <v>"%USERPROFILE%\Documents\GitHub\eaglep3\Utilities\RefineRTDCRunTimes.py" --tripid 1824-11 --locoid 4001 --swversion DE.1.0.7.0 --startMP 300:58679 --initTime 2016-09-11T17:37:46 --startdatetime 2016-09-11T17:39:57 --delay 1 --endMP 204:708 --enddatetime 2016-09-11T17:54:46 --enforcementcount 1 &gt;&gt;C:\Users\stu\Documents\GitHub\eaglep3-reporting\EC\2016-09-11-refined-times.txt</v>
      </c>
      <c r="AI181" s="134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{"issue":{"subject":"","project_id":79,"tracker_id":40,"status_id":1,"priority_id":2,"assigned_to_id":23,"start_date":"2016-09-11","description":"","custom_fields":[{"id":1,"name":"Subdivision","value":"NW"},{"id":4,"name":"Milepost","value":"5.7971"},{"id":17,"name":"Train ID","value":"1824-11"},{"id":16,"name":"Locomotive ID","value":"4001"},{"id":130,"name":"Impact","value":""},{"id":150,"name":"Time of Event (Mountain Time)","value":"17:54:46"},{"id":151,"name":"Denver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s="23" customFormat="1" x14ac:dyDescent="0.25">
      <c r="A182" s="39" t="s">
        <v>556</v>
      </c>
      <c r="B182" s="7">
        <v>4002</v>
      </c>
      <c r="C182" s="24" t="s">
        <v>108</v>
      </c>
      <c r="D182" s="24" t="s">
        <v>557</v>
      </c>
      <c r="E182" s="15">
        <v>42624.755960648145</v>
      </c>
      <c r="F182" s="15">
        <v>42624.764988425923</v>
      </c>
      <c r="G182" s="7">
        <v>1</v>
      </c>
      <c r="H182" s="15" t="s">
        <v>558</v>
      </c>
      <c r="I182" s="15">
        <v>42624.775520833333</v>
      </c>
      <c r="J182" s="7">
        <v>1</v>
      </c>
      <c r="K182" s="121" t="str">
        <f t="shared" si="126"/>
        <v>4001/4002</v>
      </c>
      <c r="L182" s="24" t="str">
        <f>VLOOKUP(A182,'Trips&amp;Operators'!$C$1:$E$10000,3,FALSE)</f>
        <v>SWANSON</v>
      </c>
      <c r="M182" s="6">
        <f t="shared" si="130"/>
        <v>1.0532407410209998E-2</v>
      </c>
      <c r="N182" s="7">
        <f t="shared" si="140"/>
        <v>15.166666670702398</v>
      </c>
      <c r="O182" s="7"/>
      <c r="P182" s="7"/>
      <c r="Q182" s="25"/>
      <c r="R182" s="25"/>
      <c r="S182" s="37">
        <f t="shared" si="131"/>
        <v>1</v>
      </c>
      <c r="T182" s="52" t="str">
        <f t="shared" si="127"/>
        <v>NorthBound</v>
      </c>
      <c r="U182" s="163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17:08:35-0600',mode:absolute,to:'2016-09-11 19:36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82" s="54" t="str">
        <f t="shared" si="138"/>
        <v>N</v>
      </c>
      <c r="X182" s="168">
        <f t="shared" si="141"/>
        <v>1</v>
      </c>
      <c r="Y182" s="69">
        <f t="shared" si="133"/>
        <v>9.9500000000000005E-2</v>
      </c>
      <c r="Z182" s="69">
        <f t="shared" si="134"/>
        <v>5.8979999999999997</v>
      </c>
      <c r="AA182" s="69">
        <f t="shared" si="135"/>
        <v>5.7984999999999998</v>
      </c>
      <c r="AB182" s="66" t="e">
        <f>VLOOKUP(A182,Enforcements!$C$7:$K$21,8,0)</f>
        <v>#N/A</v>
      </c>
      <c r="AC182" s="62" t="e">
        <f>VLOOKUP(A182,Enforcements!$C$7:$E$21,3,0)</f>
        <v>#N/A</v>
      </c>
      <c r="AD182" s="63" t="str">
        <f t="shared" si="128"/>
        <v>1825-11</v>
      </c>
      <c r="AE182" s="99" t="str">
        <f t="shared" si="136"/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AF182" s="96" t="str">
        <f t="shared" si="137"/>
        <v>"C:\Program Files (x86)\AstroGrep\AstroGrep.exe" /spath="%USERPROFILE%\AppData\Local\Temp\OnboardLogs" /stypes="*4002*20160912*" /stext=" 00:.+((SYSTEM_STATE.+slice.+state.+changed )|(ment ac)|(system.+state.+changed )|(\|lc)|(penalty)|(\[timeout)|(PRM\|1\|D)|(kpr)|(kdp))" /e /r /s</v>
      </c>
      <c r="AG182" s="1" t="str">
        <f t="shared" si="129"/>
        <v>NW</v>
      </c>
      <c r="AH182" s="100" t="str">
        <f t="shared" si="122"/>
        <v>"%USERPROFILE%\Documents\GitHub\eaglep3\Utilities\RefineRTDCRunTimes.py" --tripid 1825-11 --locoid 4002 --swversion DE.1.0.7.0 --startMP 204:995 --initTime 2016-09-11T18:08:35 --startdatetime 2016-09-11T18:21:35 --delay 1 --endMP 300:58980 --enddatetime 2016-09-11T18:36:45 --enforcementcount 1 &gt;&gt;C:\Users\stu\Documents\GitHub\eaglep3-reporting\EC\2016-09-11-refined-times.txt</v>
      </c>
      <c r="AI182" s="134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{"issue":{"subject":"","project_id":79,"tracker_id":40,"status_id":1,"priority_id":2,"assigned_to_id":23,"start_date":"2016-09-11","description":"","custom_fields":[{"id":1,"name":"Subdivision","value":"NW"},{"id":4,"name":"Milepost","value":"5.7985"},{"id":17,"name":"Train ID","value":"1825-11"},{"id":16,"name":"Locomotive ID","value":"4002"},{"id":130,"name":"Impact","value":""},{"id":150,"name":"Time of Event (Mountain Time)","value":"18:36:45"},{"id":151,"name":"Denver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s="23" customFormat="1" x14ac:dyDescent="0.25">
      <c r="A183" s="39" t="s">
        <v>559</v>
      </c>
      <c r="B183" s="7">
        <v>4001</v>
      </c>
      <c r="C183" s="24" t="s">
        <v>108</v>
      </c>
      <c r="D183" s="24" t="s">
        <v>560</v>
      </c>
      <c r="E183" s="15">
        <v>42624.776724537034</v>
      </c>
      <c r="F183" s="15">
        <v>42624.77847222222</v>
      </c>
      <c r="G183" s="7">
        <v>1</v>
      </c>
      <c r="H183" s="15" t="s">
        <v>542</v>
      </c>
      <c r="I183" s="15">
        <v>42624.790567129632</v>
      </c>
      <c r="J183" s="7">
        <v>1</v>
      </c>
      <c r="K183" s="121" t="str">
        <f t="shared" si="126"/>
        <v>4001/4002</v>
      </c>
      <c r="L183" s="24" t="str">
        <f>VLOOKUP(A183,'Trips&amp;Operators'!$C$1:$E$10000,3,FALSE)</f>
        <v>SWANSON</v>
      </c>
      <c r="M183" s="6">
        <f t="shared" si="130"/>
        <v>1.209490741166519E-2</v>
      </c>
      <c r="N183" s="7">
        <f t="shared" si="140"/>
        <v>17.416666672797874</v>
      </c>
      <c r="O183" s="7"/>
      <c r="P183" s="7"/>
      <c r="Q183" s="25"/>
      <c r="R183" s="25"/>
      <c r="S183" s="37">
        <f t="shared" si="131"/>
        <v>1</v>
      </c>
      <c r="T183" s="52" t="str">
        <f t="shared" si="127"/>
        <v>Southbound</v>
      </c>
      <c r="U183" s="163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17:38:29-0600',mode:absolute,to:'2016-09-11 19:58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83" s="54" t="str">
        <f t="shared" si="138"/>
        <v>N</v>
      </c>
      <c r="X183" s="168">
        <f t="shared" si="141"/>
        <v>1</v>
      </c>
      <c r="Y183" s="69">
        <f t="shared" si="133"/>
        <v>5.8661000000000003</v>
      </c>
      <c r="Z183" s="69">
        <f t="shared" si="134"/>
        <v>6.6799999999999998E-2</v>
      </c>
      <c r="AA183" s="69">
        <f t="shared" si="135"/>
        <v>5.7993000000000006</v>
      </c>
      <c r="AB183" s="66" t="e">
        <f>VLOOKUP(A183,Enforcements!$C$7:$K$21,8,0)</f>
        <v>#N/A</v>
      </c>
      <c r="AC183" s="62" t="e">
        <f>VLOOKUP(A183,Enforcements!$C$7:$E$21,3,0)</f>
        <v>#N/A</v>
      </c>
      <c r="AD183" s="63" t="str">
        <f t="shared" si="128"/>
        <v>1826-11</v>
      </c>
      <c r="AE183" s="99" t="str">
        <f t="shared" si="136"/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AF183" s="96" t="str">
        <f t="shared" si="137"/>
        <v>"C:\Program Files (x86)\AstroGrep\AstroGrep.exe" /spath="%USERPROFILE%\AppData\Local\Temp\OnboardLogs" /stypes="*4001*20160912*" /stext=" 00:.+((SYSTEM_STATE.+slice.+state.+changed )|(ment ac)|(system.+state.+changed )|(\|lc)|(penalty)|(\[timeout)|(PRM\|1\|D)|(kpr)|(kdp))" /e /r /s</v>
      </c>
      <c r="AG183" s="1" t="str">
        <f t="shared" si="129"/>
        <v>NW</v>
      </c>
      <c r="AH183" s="100" t="str">
        <f t="shared" si="122"/>
        <v>"%USERPROFILE%\Documents\GitHub\eaglep3\Utilities\RefineRTDCRunTimes.py" --tripid 1826-11 --locoid 4001 --swversion DE.1.0.7.0 --startMP 300:58661 --initTime 2016-09-11T18:38:29 --startdatetime 2016-09-11T18:41:00 --delay 1 --endMP 204:668 --enddatetime 2016-09-11T18:58:25 --enforcementcount 1 &gt;&gt;C:\Users\stu\Documents\GitHub\eaglep3-reporting\EC\2016-09-11-refined-times.txt</v>
      </c>
      <c r="AI183" s="134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{"issue":{"subject":"","project_id":79,"tracker_id":40,"status_id":1,"priority_id":2,"assigned_to_id":23,"start_date":"2016-09-11","description":"","custom_fields":[{"id":1,"name":"Subdivision","value":"NW"},{"id":4,"name":"Milepost","value":"5.7993"},{"id":17,"name":"Train ID","value":"1826-11"},{"id":16,"name":"Locomotive ID","value":"4001"},{"id":130,"name":"Impact","value":""},{"id":150,"name":"Time of Event (Mountain Time)","value":"18:58:25"},{"id":151,"name":"Denver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s="23" customFormat="1" x14ac:dyDescent="0.25">
      <c r="A184" s="39" t="s">
        <v>561</v>
      </c>
      <c r="B184" s="7">
        <v>4002</v>
      </c>
      <c r="C184" s="24" t="s">
        <v>108</v>
      </c>
      <c r="D184" s="24" t="s">
        <v>562</v>
      </c>
      <c r="E184" s="15">
        <v>42624.792511574073</v>
      </c>
      <c r="F184" s="15">
        <v>42624.806851851848</v>
      </c>
      <c r="G184" s="7">
        <v>1</v>
      </c>
      <c r="H184" s="15" t="s">
        <v>536</v>
      </c>
      <c r="I184" s="15">
        <v>42624.816874999997</v>
      </c>
      <c r="J184" s="7">
        <v>1</v>
      </c>
      <c r="K184" s="121" t="str">
        <f t="shared" si="126"/>
        <v>4001/4002</v>
      </c>
      <c r="L184" s="24" t="str">
        <f>VLOOKUP(A184,'Trips&amp;Operators'!$C$1:$E$10000,3,FALSE)</f>
        <v>SWANSON</v>
      </c>
      <c r="M184" s="6">
        <f t="shared" si="130"/>
        <v>1.0023148148320615E-2</v>
      </c>
      <c r="N184" s="7">
        <f t="shared" si="140"/>
        <v>14.433333333581686</v>
      </c>
      <c r="O184" s="7"/>
      <c r="P184" s="7"/>
      <c r="Q184" s="25"/>
      <c r="R184" s="25"/>
      <c r="S184" s="37">
        <f t="shared" si="131"/>
        <v>1</v>
      </c>
      <c r="T184" s="52" t="str">
        <f t="shared" si="127"/>
        <v>NorthBound</v>
      </c>
      <c r="U184" s="163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18:01:13-0600',mode:absolute,to:'2016-09-11 20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84" s="54" t="str">
        <f t="shared" si="138"/>
        <v>N</v>
      </c>
      <c r="X184" s="168">
        <f t="shared" si="141"/>
        <v>1</v>
      </c>
      <c r="Y184" s="69">
        <f t="shared" si="133"/>
        <v>9.6199999999999994E-2</v>
      </c>
      <c r="Z184" s="69">
        <f t="shared" si="134"/>
        <v>5.8948</v>
      </c>
      <c r="AA184" s="69">
        <f t="shared" si="135"/>
        <v>5.7986000000000004</v>
      </c>
      <c r="AB184" s="66" t="e">
        <f>VLOOKUP(A184,Enforcements!$C$7:$K$21,8,0)</f>
        <v>#N/A</v>
      </c>
      <c r="AC184" s="62" t="e">
        <f>VLOOKUP(A184,Enforcements!$C$7:$E$21,3,0)</f>
        <v>#N/A</v>
      </c>
      <c r="AD184" s="63" t="str">
        <f t="shared" si="128"/>
        <v>1827-11</v>
      </c>
      <c r="AE184" s="99" t="str">
        <f t="shared" si="136"/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AF184" s="96" t="str">
        <f t="shared" si="137"/>
        <v>"C:\Program Files (x86)\AstroGrep\AstroGrep.exe" /spath="%USERPROFILE%\AppData\Local\Temp\OnboardLogs" /stypes="*4002*20160912*" /stext=" 01:.+((SYSTEM_STATE.+slice.+state.+changed )|(ment ac)|(system.+state.+changed )|(\|lc)|(penalty)|(\[timeout)|(PRM\|1\|D)|(kpr)|(kdp))" /e /r /s</v>
      </c>
      <c r="AG184" s="1" t="str">
        <f t="shared" si="129"/>
        <v>NW</v>
      </c>
      <c r="AH184" s="100" t="str">
        <f t="shared" si="122"/>
        <v>"%USERPROFILE%\Documents\GitHub\eaglep3\Utilities\RefineRTDCRunTimes.py" --tripid 1827-11 --locoid 4002 --swversion DE.1.0.7.0 --startMP 204:962 --initTime 2016-09-11T19:01:13 --startdatetime 2016-09-11T19:21:52 --delay 1 --endMP 300:58948 --enddatetime 2016-09-11T19:36:18 --enforcementcount 1 &gt;&gt;C:\Users\stu\Documents\GitHub\eaglep3-reporting\EC\2016-09-11-refined-times.txt</v>
      </c>
      <c r="AI184" s="134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{"issue":{"subject":"","project_id":79,"tracker_id":40,"status_id":1,"priority_id":2,"assigned_to_id":23,"start_date":"2016-09-11","description":"","custom_fields":[{"id":1,"name":"Subdivision","value":"NW"},{"id":4,"name":"Milepost","value":"5.7986"},{"id":17,"name":"Train ID","value":"1827-11"},{"id":16,"name":"Locomotive ID","value":"4002"},{"id":130,"name":"Impact","value":""},{"id":150,"name":"Time of Event (Mountain Time)","value":"19:36:18"},{"id":151,"name":"Denver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x14ac:dyDescent="0.25">
      <c r="A185" s="39" t="s">
        <v>563</v>
      </c>
      <c r="B185" s="7">
        <v>4001</v>
      </c>
      <c r="C185" s="24" t="s">
        <v>108</v>
      </c>
      <c r="D185" s="24" t="s">
        <v>355</v>
      </c>
      <c r="E185" s="15">
        <v>42624.817997685182</v>
      </c>
      <c r="F185" s="15">
        <v>42624.819444444445</v>
      </c>
      <c r="G185" s="7">
        <v>1</v>
      </c>
      <c r="H185" s="15" t="s">
        <v>564</v>
      </c>
      <c r="I185" s="15">
        <v>42624.829988425925</v>
      </c>
      <c r="J185" s="7">
        <v>1</v>
      </c>
      <c r="K185" s="121" t="str">
        <f t="shared" si="126"/>
        <v>4001/4002</v>
      </c>
      <c r="L185" s="24" t="str">
        <f>VLOOKUP(A185,'Trips&amp;Operators'!$C$1:$E$10000,3,FALSE)</f>
        <v>SWANSON</v>
      </c>
      <c r="M185" s="6">
        <f t="shared" si="130"/>
        <v>1.0543981479713693E-2</v>
      </c>
      <c r="N185" s="7">
        <f t="shared" si="140"/>
        <v>15.183333330787718</v>
      </c>
      <c r="O185" s="7"/>
      <c r="P185" s="7"/>
      <c r="Q185" s="25"/>
      <c r="R185" s="25"/>
      <c r="S185" s="37">
        <f t="shared" si="131"/>
        <v>1</v>
      </c>
      <c r="T185" s="52" t="str">
        <f t="shared" si="127"/>
        <v>Southbound</v>
      </c>
      <c r="U185" s="163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18:37:55-0600',mode:absolute,to:'2016-09-11 20:55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85" s="54" t="str">
        <f t="shared" si="138"/>
        <v>N</v>
      </c>
      <c r="X185" s="168">
        <f t="shared" si="141"/>
        <v>1</v>
      </c>
      <c r="Y185" s="69">
        <f t="shared" si="133"/>
        <v>5.8632</v>
      </c>
      <c r="Z185" s="69">
        <f t="shared" si="134"/>
        <v>6.54E-2</v>
      </c>
      <c r="AA185" s="69">
        <f t="shared" si="135"/>
        <v>5.7977999999999996</v>
      </c>
      <c r="AB185" s="66" t="e">
        <f>VLOOKUP(A185,Enforcements!$C$7:$K$21,8,0)</f>
        <v>#N/A</v>
      </c>
      <c r="AC185" s="62" t="e">
        <f>VLOOKUP(A185,Enforcements!$C$7:$E$21,3,0)</f>
        <v>#N/A</v>
      </c>
      <c r="AD185" s="63" t="str">
        <f t="shared" si="128"/>
        <v>1828-11</v>
      </c>
      <c r="AE185" s="99" t="str">
        <f t="shared" si="136"/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AF185" s="96" t="str">
        <f t="shared" si="137"/>
        <v>"C:\Program Files (x86)\AstroGrep\AstroGrep.exe" /spath="%USERPROFILE%\AppData\Local\Temp\OnboardLogs" /stypes="*4001*20160912*" /stext=" 01:.+((SYSTEM_STATE.+slice.+state.+changed )|(ment ac)|(system.+state.+changed )|(\|lc)|(penalty)|(\[timeout)|(PRM\|1\|D)|(kpr)|(kdp))" /e /r /s</v>
      </c>
      <c r="AG185" s="1" t="str">
        <f t="shared" si="129"/>
        <v>NW</v>
      </c>
      <c r="AH185" s="100" t="str">
        <f t="shared" si="122"/>
        <v>"%USERPROFILE%\Documents\GitHub\eaglep3\Utilities\RefineRTDCRunTimes.py" --tripid 1828-11 --locoid 4001 --swversion DE.1.0.7.0 --startMP 300:58632 --initTime 2016-09-11T19:37:55 --startdatetime 2016-09-11T19:40:00 --delay 1 --endMP 204:654 --enddatetime 2016-09-11T19:55:11 --enforcementcount 1 &gt;&gt;C:\Users\stu\Documents\GitHub\eaglep3-reporting\EC\2016-09-11-refined-times.txt</v>
      </c>
      <c r="AI185" s="134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{"issue":{"subject":"","project_id":79,"tracker_id":40,"status_id":1,"priority_id":2,"assigned_to_id":23,"start_date":"2016-09-11","description":"","custom_fields":[{"id":1,"name":"Subdivision","value":"NW"},{"id":4,"name":"Milepost","value":"5.7978"},{"id":17,"name":"Train ID","value":"1828-11"},{"id":16,"name":"Locomotive ID","value":"4001"},{"id":130,"name":"Impact","value":""},{"id":150,"name":"Time of Event (Mountain Time)","value":"19:55:11"},{"id":151,"name":"Denver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565</v>
      </c>
      <c r="B186" s="7">
        <v>4002</v>
      </c>
      <c r="C186" s="24" t="s">
        <v>108</v>
      </c>
      <c r="D186" s="24" t="s">
        <v>566</v>
      </c>
      <c r="E186" s="15">
        <v>42624.831875000003</v>
      </c>
      <c r="F186" s="15">
        <v>42624.848194444443</v>
      </c>
      <c r="G186" s="7">
        <v>1</v>
      </c>
      <c r="H186" s="15" t="s">
        <v>530</v>
      </c>
      <c r="I186" s="15">
        <v>42624.858425925922</v>
      </c>
      <c r="J186" s="7">
        <v>1</v>
      </c>
      <c r="K186" s="121" t="str">
        <f t="shared" si="126"/>
        <v>4001/4002</v>
      </c>
      <c r="L186" s="24" t="str">
        <f>VLOOKUP(A186,'Trips&amp;Operators'!$C$1:$E$10000,3,FALSE)</f>
        <v>SWANSON</v>
      </c>
      <c r="M186" s="6">
        <f t="shared" si="130"/>
        <v>1.0231481479422655E-2</v>
      </c>
      <c r="N186" s="7">
        <f t="shared" si="140"/>
        <v>14.733333330368623</v>
      </c>
      <c r="O186" s="7"/>
      <c r="P186" s="7"/>
      <c r="Q186" s="25"/>
      <c r="R186" s="25"/>
      <c r="S186" s="37">
        <f t="shared" si="131"/>
        <v>1</v>
      </c>
      <c r="T186" s="52" t="str">
        <f t="shared" si="127"/>
        <v>NorthBound</v>
      </c>
      <c r="U186" s="163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18:57:54-0600',mode:absolute,to:'2016-09-11 21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86" s="54" t="str">
        <f t="shared" si="138"/>
        <v>N</v>
      </c>
      <c r="X186" s="168">
        <f t="shared" si="141"/>
        <v>1</v>
      </c>
      <c r="Y186" s="69">
        <f t="shared" si="133"/>
        <v>9.5100000000000004E-2</v>
      </c>
      <c r="Z186" s="69">
        <f t="shared" si="134"/>
        <v>5.8943000000000003</v>
      </c>
      <c r="AA186" s="69">
        <f t="shared" si="135"/>
        <v>5.7991999999999999</v>
      </c>
      <c r="AB186" s="66" t="e">
        <f>VLOOKUP(A186,Enforcements!$C$7:$K$21,8,0)</f>
        <v>#N/A</v>
      </c>
      <c r="AC186" s="62" t="e">
        <f>VLOOKUP(A186,Enforcements!$C$7:$E$21,3,0)</f>
        <v>#N/A</v>
      </c>
      <c r="AD186" s="63" t="str">
        <f t="shared" si="128"/>
        <v>1829-11</v>
      </c>
      <c r="AE186" s="99" t="str">
        <f t="shared" si="136"/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AF186" s="96" t="str">
        <f t="shared" si="137"/>
        <v>"C:\Program Files (x86)\AstroGrep\AstroGrep.exe" /spath="%USERPROFILE%\AppData\Local\Temp\OnboardLogs" /stypes="*4002*20160912*" /stext=" 02:.+((SYSTEM_STATE.+slice.+state.+changed )|(ment ac)|(system.+state.+changed )|(\|lc)|(penalty)|(\[timeout)|(PRM\|1\|D)|(kpr)|(kdp))" /e /r /s</v>
      </c>
      <c r="AG186" s="1" t="str">
        <f t="shared" si="129"/>
        <v>NW</v>
      </c>
      <c r="AH186" s="100" t="str">
        <f t="shared" si="122"/>
        <v>"%USERPROFILE%\Documents\GitHub\eaglep3\Utilities\RefineRTDCRunTimes.py" --tripid 1829-11 --locoid 4002 --swversion DE.1.0.7.0 --startMP 204:951 --initTime 2016-09-11T19:57:54 --startdatetime 2016-09-11T20:21:24 --delay 1 --endMP 300:58943 --enddatetime 2016-09-11T20:36:08 --enforcementcount 1 &gt;&gt;C:\Users\stu\Documents\GitHub\eaglep3-reporting\EC\2016-09-11-refined-times.txt</v>
      </c>
      <c r="AI186" s="134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{"issue":{"subject":"","project_id":79,"tracker_id":40,"status_id":1,"priority_id":2,"assigned_to_id":23,"start_date":"2016-09-11","description":"","custom_fields":[{"id":1,"name":"Subdivision","value":"NW"},{"id":4,"name":"Milepost","value":"5.7992"},{"id":17,"name":"Train ID","value":"1829-11"},{"id":16,"name":"Locomotive ID","value":"4002"},{"id":130,"name":"Impact","value":""},{"id":150,"name":"Time of Event (Mountain Time)","value":"20:36:08"},{"id":151,"name":"Denver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x14ac:dyDescent="0.25">
      <c r="A187" s="39" t="s">
        <v>569</v>
      </c>
      <c r="B187" s="7">
        <v>4001</v>
      </c>
      <c r="C187" s="24" t="s">
        <v>108</v>
      </c>
      <c r="D187" s="24" t="s">
        <v>570</v>
      </c>
      <c r="E187" s="15">
        <v>42624.860081018516</v>
      </c>
      <c r="F187" s="15">
        <v>42624.861875000002</v>
      </c>
      <c r="G187" s="7">
        <v>1</v>
      </c>
      <c r="H187" s="15" t="s">
        <v>571</v>
      </c>
      <c r="I187" s="15">
        <v>42624.871562499997</v>
      </c>
      <c r="J187" s="7">
        <v>1</v>
      </c>
      <c r="K187" s="121" t="str">
        <f t="shared" si="126"/>
        <v>4001/4002</v>
      </c>
      <c r="L187" s="24" t="str">
        <f>VLOOKUP(A187,'Trips&amp;Operators'!$C$1:$E$10000,3,FALSE)</f>
        <v>SWANSON</v>
      </c>
      <c r="M187" s="6">
        <f t="shared" si="130"/>
        <v>9.6874999944702722E-3</v>
      </c>
      <c r="N187" s="7">
        <f t="shared" si="140"/>
        <v>13.949999992037192</v>
      </c>
      <c r="O187" s="7"/>
      <c r="P187" s="7"/>
      <c r="Q187" s="25"/>
      <c r="R187" s="25"/>
      <c r="S187" s="37">
        <f t="shared" si="131"/>
        <v>1</v>
      </c>
      <c r="T187" s="52" t="str">
        <f t="shared" si="127"/>
        <v>Southbound</v>
      </c>
      <c r="U187" s="163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19:38:31-0600',mode:absolute,to:'2016-09-11 21:55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87" s="54" t="str">
        <f t="shared" si="138"/>
        <v>N</v>
      </c>
      <c r="X187" s="168">
        <f t="shared" si="141"/>
        <v>1</v>
      </c>
      <c r="Y187" s="69">
        <f t="shared" si="133"/>
        <v>5.8628</v>
      </c>
      <c r="Z187" s="69">
        <f t="shared" si="134"/>
        <v>6.8500000000000005E-2</v>
      </c>
      <c r="AA187" s="69">
        <f t="shared" si="135"/>
        <v>5.7942999999999998</v>
      </c>
      <c r="AB187" s="66" t="e">
        <f>VLOOKUP(A187,Enforcements!$C$7:$K$21,8,0)</f>
        <v>#N/A</v>
      </c>
      <c r="AC187" s="62" t="e">
        <f>VLOOKUP(A187,Enforcements!$C$7:$E$21,3,0)</f>
        <v>#N/A</v>
      </c>
      <c r="AD187" s="63" t="str">
        <f t="shared" si="128"/>
        <v>1830-11</v>
      </c>
      <c r="AE187" s="99" t="str">
        <f t="shared" si="136"/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AF187" s="96" t="str">
        <f t="shared" si="137"/>
        <v>"C:\Program Files (x86)\AstroGrep\AstroGrep.exe" /spath="%USERPROFILE%\AppData\Local\Temp\OnboardLogs" /stypes="*4001*20160912*" /stext=" 02:.+((SYSTEM_STATE.+slice.+state.+changed )|(ment ac)|(system.+state.+changed )|(\|lc)|(penalty)|(\[timeout)|(PRM\|1\|D)|(kpr)|(kdp))" /e /r /s</v>
      </c>
      <c r="AG187" s="1" t="str">
        <f t="shared" si="129"/>
        <v>NW</v>
      </c>
      <c r="AH187" s="100" t="str">
        <f t="shared" si="122"/>
        <v>"%USERPROFILE%\Documents\GitHub\eaglep3\Utilities\RefineRTDCRunTimes.py" --tripid 1830-11 --locoid 4001 --swversion DE.1.0.7.0 --startMP 300:58628 --initTime 2016-09-11T20:38:31 --startdatetime 2016-09-11T20:41:06 --delay 1 --endMP 204:685 --enddatetime 2016-09-11T20:55:03 --enforcementcount 1 &gt;&gt;C:\Users\stu\Documents\GitHub\eaglep3-reporting\EC\2016-09-11-refined-times.txt</v>
      </c>
      <c r="AI187" s="134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{"issue":{"subject":"","project_id":79,"tracker_id":40,"status_id":1,"priority_id":2,"assigned_to_id":23,"start_date":"2016-09-11","description":"","custom_fields":[{"id":1,"name":"Subdivision","value":"NW"},{"id":4,"name":"Milepost","value":"5.7943"},{"id":17,"name":"Train ID","value":"1830-11"},{"id":16,"name":"Locomotive ID","value":"4001"},{"id":130,"name":"Impact","value":""},{"id":150,"name":"Time of Event (Mountain Time)","value":"20:55:03"},{"id":151,"name":"Denver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x14ac:dyDescent="0.25">
      <c r="A188" s="39" t="s">
        <v>572</v>
      </c>
      <c r="B188" s="7">
        <v>4002</v>
      </c>
      <c r="C188" s="24" t="s">
        <v>108</v>
      </c>
      <c r="D188" s="24" t="s">
        <v>573</v>
      </c>
      <c r="E188" s="15">
        <v>42624.873344907406</v>
      </c>
      <c r="F188" s="15">
        <v>42624.889918981484</v>
      </c>
      <c r="G188" s="7">
        <v>1</v>
      </c>
      <c r="H188" s="15" t="s">
        <v>574</v>
      </c>
      <c r="I188" s="15">
        <v>42624.9</v>
      </c>
      <c r="J188" s="7">
        <v>1</v>
      </c>
      <c r="K188" s="121" t="str">
        <f t="shared" si="126"/>
        <v>4001/4002</v>
      </c>
      <c r="L188" s="24" t="str">
        <f>VLOOKUP(A188,'Trips&amp;Operators'!$C$1:$E$10000,3,FALSE)</f>
        <v>SWANSON</v>
      </c>
      <c r="M188" s="6">
        <f t="shared" si="130"/>
        <v>1.0081018517666962E-2</v>
      </c>
      <c r="N188" s="7">
        <f t="shared" si="140"/>
        <v>14.516666665440425</v>
      </c>
      <c r="O188" s="7"/>
      <c r="P188" s="7"/>
      <c r="Q188" s="25"/>
      <c r="R188" s="25"/>
      <c r="S188" s="37">
        <f t="shared" si="131"/>
        <v>1</v>
      </c>
      <c r="T188" s="52" t="str">
        <f t="shared" si="127"/>
        <v>NorthBound</v>
      </c>
      <c r="U188" s="163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19:57:37-0600',mode:absolute,to:'2016-09-11 22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88" s="54" t="str">
        <f t="shared" si="138"/>
        <v>N</v>
      </c>
      <c r="X188" s="168">
        <f t="shared" si="141"/>
        <v>1</v>
      </c>
      <c r="Y188" s="69">
        <f t="shared" si="133"/>
        <v>9.4100000000000003E-2</v>
      </c>
      <c r="Z188" s="69">
        <f t="shared" si="134"/>
        <v>5.8936999999999999</v>
      </c>
      <c r="AA188" s="69">
        <f t="shared" si="135"/>
        <v>5.7995999999999999</v>
      </c>
      <c r="AB188" s="66" t="e">
        <f>VLOOKUP(A188,Enforcements!$C$7:$K$21,8,0)</f>
        <v>#N/A</v>
      </c>
      <c r="AC188" s="62" t="e">
        <f>VLOOKUP(A188,Enforcements!$C$7:$E$21,3,0)</f>
        <v>#N/A</v>
      </c>
      <c r="AD188" s="63" t="str">
        <f t="shared" si="128"/>
        <v>1831-11</v>
      </c>
      <c r="AE188" s="99" t="str">
        <f t="shared" si="136"/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AF188" s="96" t="str">
        <f t="shared" si="137"/>
        <v>"C:\Program Files (x86)\AstroGrep\AstroGrep.exe" /spath="%USERPROFILE%\AppData\Local\Temp\OnboardLogs" /stypes="*4002*20160912*" /stext=" 03:.+((SYSTEM_STATE.+slice.+state.+changed )|(ment ac)|(system.+state.+changed )|(\|lc)|(penalty)|(\[timeout)|(PRM\|1\|D)|(kpr)|(kdp))" /e /r /s</v>
      </c>
      <c r="AG188" s="1" t="str">
        <f t="shared" si="129"/>
        <v>NW</v>
      </c>
      <c r="AH188" s="100" t="str">
        <f t="shared" si="122"/>
        <v>"%USERPROFILE%\Documents\GitHub\eaglep3\Utilities\RefineRTDCRunTimes.py" --tripid 1831-11 --locoid 4002 --swversion DE.1.0.7.0 --startMP 204:941 --initTime 2016-09-11T20:57:37 --startdatetime 2016-09-11T21:21:29 --delay 1 --endMP 300:58937 --enddatetime 2016-09-11T21:36:00 --enforcementcount 1 &gt;&gt;C:\Users\stu\Documents\GitHub\eaglep3-reporting\EC\2016-09-11-refined-times.txt</v>
      </c>
      <c r="AI188" s="134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{"issue":{"subject":"","project_id":79,"tracker_id":40,"status_id":1,"priority_id":2,"assigned_to_id":23,"start_date":"2016-09-11","description":"","custom_fields":[{"id":1,"name":"Subdivision","value":"NW"},{"id":4,"name":"Milepost","value":"5.7996"},{"id":17,"name":"Train ID","value":"1831-11"},{"id":16,"name":"Locomotive ID","value":"4002"},{"id":130,"name":"Impact","value":""},{"id":150,"name":"Time of Event (Mountain Time)","value":"21:36:00"},{"id":151,"name":"Denver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x14ac:dyDescent="0.25">
      <c r="A189" s="39" t="s">
        <v>575</v>
      </c>
      <c r="B189" s="7">
        <v>4001</v>
      </c>
      <c r="C189" s="24" t="s">
        <v>108</v>
      </c>
      <c r="D189" s="24" t="s">
        <v>523</v>
      </c>
      <c r="E189" s="15">
        <v>42624.901250000003</v>
      </c>
      <c r="F189" s="15">
        <v>42624.902592592596</v>
      </c>
      <c r="G189" s="7">
        <v>1</v>
      </c>
      <c r="H189" s="15" t="s">
        <v>576</v>
      </c>
      <c r="I189" s="15">
        <v>42624.91337962963</v>
      </c>
      <c r="J189" s="7">
        <v>1</v>
      </c>
      <c r="K189" s="121" t="str">
        <f t="shared" ref="K189:K202" si="142">IF(ISEVEN(B189),(B189-1)&amp;"/"&amp;B189,B189&amp;"/"&amp;(B189+1))</f>
        <v>4001/4002</v>
      </c>
      <c r="L189" s="24" t="str">
        <f>VLOOKUP(A189,'Trips&amp;Operators'!$C$1:$E$10000,3,FALSE)</f>
        <v>SWANSON</v>
      </c>
      <c r="M189" s="6">
        <f t="shared" si="130"/>
        <v>1.0787037033878732E-2</v>
      </c>
      <c r="N189" s="7">
        <f t="shared" si="140"/>
        <v>15.533333328785375</v>
      </c>
      <c r="O189" s="7"/>
      <c r="P189" s="7"/>
      <c r="Q189" s="25"/>
      <c r="R189" s="25"/>
      <c r="S189" s="37">
        <f t="shared" si="131"/>
        <v>1</v>
      </c>
      <c r="T189" s="52" t="str">
        <f t="shared" ref="T189:T202" si="143">IF(ISEVEN(LEFT(AD189,4)),"Southbound","NorthBound")</f>
        <v>Southbound</v>
      </c>
      <c r="U189" s="163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20:37:48-0600',mode:absolute,to:'2016-09-11 22:55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89" s="54" t="str">
        <f t="shared" si="138"/>
        <v>N</v>
      </c>
      <c r="X189" s="168">
        <f t="shared" si="141"/>
        <v>1</v>
      </c>
      <c r="Y189" s="69">
        <f t="shared" si="133"/>
        <v>5.8619000000000003</v>
      </c>
      <c r="Z189" s="69">
        <f t="shared" si="134"/>
        <v>6.7299999999999999E-2</v>
      </c>
      <c r="AA189" s="69">
        <f t="shared" si="135"/>
        <v>5.7946</v>
      </c>
      <c r="AB189" s="66" t="e">
        <f>VLOOKUP(A189,Enforcements!$C$7:$K$21,8,0)</f>
        <v>#N/A</v>
      </c>
      <c r="AC189" s="62" t="e">
        <f>VLOOKUP(A189,Enforcements!$C$7:$E$21,3,0)</f>
        <v>#N/A</v>
      </c>
      <c r="AD189" s="63" t="str">
        <f t="shared" ref="AD189:AD202" si="144">IF(LEN(A189)=6,"0"&amp;A189,A189)</f>
        <v>1832-11</v>
      </c>
      <c r="AE189" s="99" t="str">
        <f t="shared" si="136"/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AF189" s="96" t="str">
        <f t="shared" si="137"/>
        <v>"C:\Program Files (x86)\AstroGrep\AstroGrep.exe" /spath="%USERPROFILE%\AppData\Local\Temp\OnboardLogs" /stypes="*4001*20160912*" /stext=" 03:.+((SYSTEM_STATE.+slice.+state.+changed )|(ment ac)|(system.+state.+changed )|(\|lc)|(penalty)|(\[timeout)|(PRM\|1\|D)|(kpr)|(kdp))" /e /r /s</v>
      </c>
      <c r="AG189" s="1" t="str">
        <f t="shared" ref="AG189:AG202" si="145">IFERROR(IF(VALUE(LEFT(AD189,2))&lt;=2,"EC",IF(OR(VALUE(LEFT(AD189,2))=8,VALUE(LEFT(AD189,2))=18),"NW","Other")),"Other")</f>
        <v>NW</v>
      </c>
      <c r="AH189" s="100" t="str">
        <f t="shared" si="122"/>
        <v>"%USERPROFILE%\Documents\GitHub\eaglep3\Utilities\RefineRTDCRunTimes.py" --tripid 1832-11 --locoid 4001 --swversion DE.1.0.7.0 --startMP 300:58619 --initTime 2016-09-11T21:37:48 --startdatetime 2016-09-11T21:39:44 --delay 1 --endMP 204:673 --enddatetime 2016-09-11T21:55:16 --enforcementcount 1 &gt;&gt;C:\Users\stu\Documents\GitHub\eaglep3-reporting\EC\2016-09-11-refined-times.txt</v>
      </c>
      <c r="AI189" s="134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{"issue":{"subject":"","project_id":79,"tracker_id":40,"status_id":1,"priority_id":2,"assigned_to_id":23,"start_date":"2016-09-11","description":"","custom_fields":[{"id":1,"name":"Subdivision","value":"NW"},{"id":4,"name":"Milepost","value":"5.7946"},{"id":17,"name":"Train ID","value":"1832-11"},{"id":16,"name":"Locomotive ID","value":"4001"},{"id":130,"name":"Impact","value":""},{"id":150,"name":"Time of Event (Mountain Time)","value":"21:55:16"},{"id":151,"name":"Denver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s="23" customFormat="1" x14ac:dyDescent="0.25">
      <c r="A190" s="39" t="s">
        <v>577</v>
      </c>
      <c r="B190" s="7">
        <v>4002</v>
      </c>
      <c r="C190" s="24" t="s">
        <v>108</v>
      </c>
      <c r="D190" s="24" t="s">
        <v>326</v>
      </c>
      <c r="E190" s="15">
        <v>42624.916319444441</v>
      </c>
      <c r="F190" s="15">
        <v>42624.931504629632</v>
      </c>
      <c r="G190" s="7">
        <v>1</v>
      </c>
      <c r="H190" s="15" t="s">
        <v>578</v>
      </c>
      <c r="I190" s="15">
        <v>42624.94153935185</v>
      </c>
      <c r="J190" s="7">
        <v>1</v>
      </c>
      <c r="K190" s="121" t="str">
        <f t="shared" si="142"/>
        <v>4001/4002</v>
      </c>
      <c r="L190" s="24" t="str">
        <f>VLOOKUP(A190,'Trips&amp;Operators'!$C$1:$E$10000,3,FALSE)</f>
        <v>SWANSON</v>
      </c>
      <c r="M190" s="6">
        <f t="shared" si="130"/>
        <v>1.003472221782431E-2</v>
      </c>
      <c r="N190" s="7">
        <f t="shared" si="140"/>
        <v>14.449999993667006</v>
      </c>
      <c r="O190" s="7"/>
      <c r="P190" s="7"/>
      <c r="Q190" s="25"/>
      <c r="R190" s="25"/>
      <c r="S190" s="37">
        <f t="shared" si="131"/>
        <v>1</v>
      </c>
      <c r="T190" s="52" t="str">
        <f t="shared" si="143"/>
        <v>NorthBound</v>
      </c>
      <c r="U190" s="163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20:59:30-0600',mode:absolute,to:'2016-09-11 23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90" s="54" t="str">
        <f t="shared" si="138"/>
        <v>N</v>
      </c>
      <c r="X190" s="168">
        <f t="shared" si="141"/>
        <v>1</v>
      </c>
      <c r="Y190" s="69">
        <f t="shared" si="133"/>
        <v>9.5799999999999996E-2</v>
      </c>
      <c r="Z190" s="69">
        <f t="shared" si="134"/>
        <v>5.8956</v>
      </c>
      <c r="AA190" s="69">
        <f t="shared" si="135"/>
        <v>5.7998000000000003</v>
      </c>
      <c r="AB190" s="66" t="e">
        <f>VLOOKUP(A190,Enforcements!$C$7:$K$21,8,0)</f>
        <v>#N/A</v>
      </c>
      <c r="AC190" s="62" t="e">
        <f>VLOOKUP(A190,Enforcements!$C$7:$E$21,3,0)</f>
        <v>#N/A</v>
      </c>
      <c r="AD190" s="63" t="str">
        <f t="shared" si="144"/>
        <v>1833-11</v>
      </c>
      <c r="AE190" s="99" t="str">
        <f t="shared" si="136"/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AF190" s="96" t="str">
        <f t="shared" si="137"/>
        <v>"C:\Program Files (x86)\AstroGrep\AstroGrep.exe" /spath="%USERPROFILE%\AppData\Local\Temp\OnboardLogs" /stypes="*4002*20160912*" /stext=" 04:.+((SYSTEM_STATE.+slice.+state.+changed )|(ment ac)|(system.+state.+changed )|(\|lc)|(penalty)|(\[timeout)|(PRM\|1\|D)|(kpr)|(kdp))" /e /r /s</v>
      </c>
      <c r="AG190" s="1" t="str">
        <f t="shared" si="145"/>
        <v>NW</v>
      </c>
      <c r="AH190" s="100" t="str">
        <f t="shared" si="122"/>
        <v>"%USERPROFILE%\Documents\GitHub\eaglep3\Utilities\RefineRTDCRunTimes.py" --tripid 1833-11 --locoid 4002 --swversion DE.1.0.7.0 --startMP 204:958 --initTime 2016-09-11T21:59:30 --startdatetime 2016-09-11T22:21:22 --delay 1 --endMP 300:58956 --enddatetime 2016-09-11T22:35:49 --enforcementcount 1 &gt;&gt;C:\Users\stu\Documents\GitHub\eaglep3-reporting\EC\2016-09-11-refined-times.txt</v>
      </c>
      <c r="AI190" s="134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{"issue":{"subject":"","project_id":79,"tracker_id":40,"status_id":1,"priority_id":2,"assigned_to_id":23,"start_date":"2016-09-11","description":"","custom_fields":[{"id":1,"name":"Subdivision","value":"NW"},{"id":4,"name":"Milepost","value":"5.7998"},{"id":17,"name":"Train ID","value":"1833-11"},{"id":16,"name":"Locomotive ID","value":"4002"},{"id":130,"name":"Impact","value":""},{"id":150,"name":"Time of Event (Mountain Time)","value":"22:35:49"},{"id":151,"name":"Denver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656</v>
      </c>
      <c r="B191" s="7">
        <v>4009</v>
      </c>
      <c r="C191" s="24" t="s">
        <v>108</v>
      </c>
      <c r="D191" s="24" t="s">
        <v>249</v>
      </c>
      <c r="E191" s="15">
        <v>42624.779282407406</v>
      </c>
      <c r="F191" s="15">
        <v>25568.958333333332</v>
      </c>
      <c r="G191" s="7">
        <v>1</v>
      </c>
      <c r="H191" s="15" t="s">
        <v>657</v>
      </c>
      <c r="I191" s="15">
        <v>25568.958333333332</v>
      </c>
      <c r="J191" s="7">
        <v>1</v>
      </c>
      <c r="K191" s="121" t="str">
        <f t="shared" si="142"/>
        <v>4009/4010</v>
      </c>
      <c r="L191" s="24" t="str">
        <f>VLOOKUP(A191,'Trips&amp;Operators'!$C$1:$E$10000,3,FALSE)</f>
        <v>MOSES</v>
      </c>
      <c r="M191" s="6">
        <f t="shared" si="130"/>
        <v>0</v>
      </c>
      <c r="N191" s="7">
        <f t="shared" si="140"/>
        <v>0</v>
      </c>
      <c r="O191" s="7"/>
      <c r="P191" s="7"/>
      <c r="Q191" s="25"/>
      <c r="R191" s="25"/>
      <c r="S191" s="37">
        <f t="shared" si="131"/>
        <v>1</v>
      </c>
      <c r="T191" s="52" t="str">
        <f t="shared" si="143"/>
        <v>NorthBound</v>
      </c>
      <c r="U191" s="163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17:42:10-0600',mode:absolute,to:'1970-01-01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91" s="54" t="str">
        <f t="shared" si="138"/>
        <v>Y</v>
      </c>
      <c r="X191" s="168">
        <f t="shared" si="141"/>
        <v>-1530</v>
      </c>
      <c r="Y191" s="69">
        <f t="shared" si="133"/>
        <v>4.4699999999999997E-2</v>
      </c>
      <c r="Z191" s="69">
        <f t="shared" si="134"/>
        <v>2.331</v>
      </c>
      <c r="AA191" s="69">
        <f t="shared" si="135"/>
        <v>2.2862999999999998</v>
      </c>
      <c r="AB191" s="66" t="e">
        <f>VLOOKUP(A191,Enforcements!$C$7:$K$21,8,0)</f>
        <v>#N/A</v>
      </c>
      <c r="AC191" s="62" t="e">
        <f>VLOOKUP(A191,Enforcements!$C$7:$E$21,3,0)</f>
        <v>#N/A</v>
      </c>
      <c r="AD191" s="63" t="str">
        <f t="shared" si="144"/>
        <v>0303-11</v>
      </c>
      <c r="AE191" s="99" t="str">
        <f t="shared" si="136"/>
        <v>aws s3 cp s3://rtdc.mdm.uploadarchive/RTDC4009/1969-12-31/ "%USERPROFILE%\AppData\Local\Temp\OnboardLogs"\RTDC4009\1969-12-31 --recursive &amp; "%USERPROFILE%\Documents\GitHub\mrs-test-scripts\Headless Mode &amp; Sideloading\WalkAndUnGZ.bat" "%USERPROFILE%\AppData\Local\Temp\OnboardLogs"\RTDC4009\1969-12-31 &amp; aws s3 cp s3://rtdc.mdm.uploadarchive/RTDC4009/1970-01-01/ "%USERPROFILE%\AppData\Local\Temp\OnboardLogs"\RTDC4009\1970-01-01 --recursive &amp; "%USERPROFILE%\Documents\GitHub\mrs-test-scripts\Headless Mode &amp; Sideloading\WalkAndUnGZ.bat" "%USERPROFILE%\AppData\Local\Temp\OnboardLogs"\RTDC4009\1970-01-01</v>
      </c>
      <c r="AF191" s="96" t="str">
        <f t="shared" si="137"/>
        <v>"C:\Program Files (x86)\AstroGrep\AstroGrep.exe" /spath="%USERPROFILE%\AppData\Local\Temp\OnboardLogs" /stypes="*4009*19700101*" /stext=" 05:.+((SYSTEM_STATE.+slice.+state.+changed )|(ment ac)|(system.+state.+changed )|(\|lc)|(penalty)|(\[timeout)|(PRM\|1\|D)|(kpr)|(kdp))" /e /r /s</v>
      </c>
      <c r="AG191" s="1" t="str">
        <f t="shared" si="145"/>
        <v>Other</v>
      </c>
      <c r="AH191" s="100" t="str">
        <f t="shared" si="122"/>
        <v>"%USERPROFILE%\Documents\GitHub\eaglep3\Utilities\RefineRTDCRunTimes.py" --tripid 303-11 --locoid 4009 --swversion DE.1.0.7.0 --startMP 204:447 --initTime 2016-09-11T18:42:10 --startdatetime 1969-12-31T23:00:00 --delay 1 --endMP 300:23310 --enddatetime 1969-12-31T23:00:00 --enforcementcount 1 &gt;&gt;C:\Users\stu\Documents\GitHub\eaglep3-reporting\EC\2016-09-11-refined-times.txt</v>
      </c>
      <c r="AI191" s="134" t="str">
        <f t="shared" si="123"/>
        <v>echo {"issue":{"subject":"","project_id":79,"tracker_id":40,"status_id":1,"priority_id":2,"assigned_to_id":23,"start_date":"1969-12-31","description":"","custom_fields":[{"id":1,"name":"Subdivision","value":"Other"},{"id":4,"name":"Milepost","value":"2.2863"},{"id":17,"name":"Train ID","value":"303-11"},{"id":16,"name":"Locomotive ID","value":"4009"},{"id":130,"name":"Impact","value":""},{"id":150,"name":"Time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658</v>
      </c>
      <c r="B192" s="7">
        <v>4025</v>
      </c>
      <c r="C192" s="24" t="s">
        <v>108</v>
      </c>
      <c r="D192" s="24" t="s">
        <v>249</v>
      </c>
      <c r="E192" s="15">
        <v>42624.7966087963</v>
      </c>
      <c r="F192" s="15">
        <v>25568.958333333332</v>
      </c>
      <c r="G192" s="7">
        <v>1</v>
      </c>
      <c r="H192" s="15" t="s">
        <v>659</v>
      </c>
      <c r="I192" s="15">
        <v>25568.958333333332</v>
      </c>
      <c r="J192" s="7">
        <v>1</v>
      </c>
      <c r="K192" s="121" t="str">
        <f t="shared" si="142"/>
        <v>4025/4026</v>
      </c>
      <c r="L192" s="24" t="str">
        <f>VLOOKUP(A192,'Trips&amp;Operators'!$C$1:$E$10000,3,FALSE)</f>
        <v>CLARK</v>
      </c>
      <c r="M192" s="6">
        <f t="shared" si="130"/>
        <v>0</v>
      </c>
      <c r="N192" s="7">
        <f t="shared" si="140"/>
        <v>0</v>
      </c>
      <c r="O192" s="7"/>
      <c r="P192" s="7"/>
      <c r="Q192" s="25"/>
      <c r="R192" s="25"/>
      <c r="S192" s="37">
        <f t="shared" si="131"/>
        <v>1</v>
      </c>
      <c r="T192" s="52" t="str">
        <f t="shared" si="143"/>
        <v>NorthBound</v>
      </c>
      <c r="U192" s="163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18:07:07-0600',mode:absolute,to:'1970-01-01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92" s="54" t="str">
        <f t="shared" si="138"/>
        <v>Y</v>
      </c>
      <c r="X192" s="168">
        <f t="shared" si="141"/>
        <v>2</v>
      </c>
      <c r="Y192" s="69">
        <f t="shared" si="133"/>
        <v>4.4699999999999997E-2</v>
      </c>
      <c r="Z192" s="69">
        <f t="shared" si="134"/>
        <v>2.3298999999999999</v>
      </c>
      <c r="AA192" s="69">
        <f t="shared" si="135"/>
        <v>2.2851999999999997</v>
      </c>
      <c r="AB192" s="66" t="e">
        <f>VLOOKUP(A192,Enforcements!$C$7:$K$21,8,0)</f>
        <v>#N/A</v>
      </c>
      <c r="AC192" s="62" t="e">
        <f>VLOOKUP(A192,Enforcements!$C$7:$E$21,3,0)</f>
        <v>#N/A</v>
      </c>
      <c r="AD192" s="63" t="str">
        <f t="shared" si="144"/>
        <v>0305-11</v>
      </c>
      <c r="AE192" s="99" t="str">
        <f t="shared" si="136"/>
        <v>aws s3 cp s3://rtdc.mdm.uploadarchive/RTDC4025/1969-12-31/ "%USERPROFILE%\AppData\Local\Temp\OnboardLogs"\RTDC4025\1969-12-31 --recursive &amp; "%USERPROFILE%\Documents\GitHub\mrs-test-scripts\Headless Mode &amp; Sideloading\WalkAndUnGZ.bat" "%USERPROFILE%\AppData\Local\Temp\OnboardLogs"\RTDC4025\1969-12-31 &amp; aws s3 cp s3://rtdc.mdm.uploadarchive/RTDC4025/1970-01-01/ "%USERPROFILE%\AppData\Local\Temp\OnboardLogs"\RTDC4025\1970-01-01 --recursive &amp; "%USERPROFILE%\Documents\GitHub\mrs-test-scripts\Headless Mode &amp; Sideloading\WalkAndUnGZ.bat" "%USERPROFILE%\AppData\Local\Temp\OnboardLogs"\RTDC4025\1970-01-01</v>
      </c>
      <c r="AF192" s="96" t="str">
        <f t="shared" si="137"/>
        <v>"C:\Program Files (x86)\AstroGrep\AstroGrep.exe" /spath="%USERPROFILE%\AppData\Local\Temp\OnboardLogs" /stypes="*4025*19700101*" /stext=" 05:.+((SYSTEM_STATE.+slice.+state.+changed )|(ment ac)|(system.+state.+changed )|(\|lc)|(penalty)|(\[timeout)|(PRM\|1\|D)|(kpr)|(kdp))" /e /r /s</v>
      </c>
      <c r="AG192" s="1" t="str">
        <f t="shared" si="145"/>
        <v>Other</v>
      </c>
      <c r="AH192" s="100" t="str">
        <f t="shared" si="122"/>
        <v>"%USERPROFILE%\Documents\GitHub\eaglep3\Utilities\RefineRTDCRunTimes.py" --tripid 305-11 --locoid 4025 --swversion DE.1.0.7.0 --startMP 204:447 --initTime 2016-09-11T19:07:07 --startdatetime 1969-12-31T23:00:00 --delay 1 --endMP 300:23299 --enddatetime 1969-12-31T23:00:00 --enforcementcount 1 &gt;&gt;C:\Users\stu\Documents\GitHub\eaglep3-reporting\EC\2016-09-11-refined-times.txt</v>
      </c>
      <c r="AI192" s="134" t="str">
        <f t="shared" si="123"/>
        <v>echo {"issue":{"subject":"","project_id":79,"tracker_id":40,"status_id":1,"priority_id":2,"assigned_to_id":23,"start_date":"1969-12-31","description":"","custom_fields":[{"id":1,"name":"Subdivision","value":"Other"},{"id":4,"name":"Milepost","value":"2.2852"},{"id":17,"name":"Train ID","value":"305-11"},{"id":16,"name":"Locomotive ID","value":"4025"},{"id":130,"name":"Impact","value":""},{"id":150,"name":"Time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660</v>
      </c>
      <c r="B193" s="7">
        <v>4020</v>
      </c>
      <c r="C193" s="24" t="s">
        <v>108</v>
      </c>
      <c r="D193" s="24" t="s">
        <v>252</v>
      </c>
      <c r="E193" s="15">
        <v>42624.816747685189</v>
      </c>
      <c r="F193" s="15">
        <v>25568.958333333332</v>
      </c>
      <c r="G193" s="7">
        <v>1</v>
      </c>
      <c r="H193" s="15" t="s">
        <v>661</v>
      </c>
      <c r="I193" s="15">
        <v>25568.958333333332</v>
      </c>
      <c r="J193" s="7">
        <v>1</v>
      </c>
      <c r="K193" s="121" t="str">
        <f t="shared" si="142"/>
        <v>4019/4020</v>
      </c>
      <c r="L193" s="24" t="str">
        <f>VLOOKUP(A193,'Trips&amp;Operators'!$C$1:$E$10000,3,FALSE)</f>
        <v>SHOOK</v>
      </c>
      <c r="M193" s="6">
        <f t="shared" ref="M193:M202" si="146">I193-F193</f>
        <v>0</v>
      </c>
      <c r="N193" s="7">
        <f t="shared" si="140"/>
        <v>0</v>
      </c>
      <c r="O193" s="7"/>
      <c r="P193" s="7"/>
      <c r="Q193" s="25"/>
      <c r="R193" s="25"/>
      <c r="S193" s="37">
        <f t="shared" ref="S193:S202" si="147">SUM(U193:U193)/IF(AG193="EC",12,1)</f>
        <v>1</v>
      </c>
      <c r="T193" s="52" t="str">
        <f t="shared" si="143"/>
        <v>NorthBound</v>
      </c>
      <c r="U193" s="163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 t="shared" ref="V193:V202" si="148">"https://search-rtdc-monitor-bjffxe2xuh6vdkpspy63sjmuny.us-east-1.es.amazonaws.com/_plugin/kibana/#/discover/Steve-Slow-Train-Analysis-(2080s-and-2083s)?_g=(refreshInterval:(display:Off,section:0,value:0),time:(from:'"&amp;TEXT(E193-1/24,"yyyy-MM-DD hh:mm:ss")&amp;"-0600',mode:absolute,to:'"&amp;TEXT(I193+1/24,"yyyy-MM-DD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193&amp;"%22')),sort:!(Time,asc))"</f>
        <v>https://search-rtdc-monitor-bjffxe2xuh6vdkpspy63sjmuny.us-east-1.es.amazonaws.com/_plugin/kibana/#/discover/Steve-Slow-Train-Analysis-(2080s-and-2083s)?_g=(refreshInterval:(display:Off,section:0,value:0),time:(from:'2016-09-11 18:36:07-0600',mode:absolute,to:'1970-01-01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93" s="54" t="str">
        <f t="shared" ref="W193:W202" si="149">IF(AA193&lt;IF(AG193="EC",23,5.65),"Y","N")</f>
        <v>Y</v>
      </c>
      <c r="X193" s="168">
        <f t="shared" si="141"/>
        <v>2</v>
      </c>
      <c r="Y193" s="69">
        <f t="shared" ref="Y193:Y202" si="150">RIGHT(D193,LEN(D193)-4)/10000</f>
        <v>4.6600000000000003E-2</v>
      </c>
      <c r="Z193" s="69">
        <f t="shared" ref="Z193:Z202" si="151">RIGHT(H193,LEN(H193)-4)/10000</f>
        <v>2.3294999999999999</v>
      </c>
      <c r="AA193" s="69">
        <f t="shared" ref="AA193:AA202" si="152">ABS(Z193-Y193)</f>
        <v>2.2828999999999997</v>
      </c>
      <c r="AB193" s="66" t="e">
        <f>VLOOKUP(A193,Enforcements!$C$7:$K$21,8,0)</f>
        <v>#N/A</v>
      </c>
      <c r="AC193" s="62" t="e">
        <f>VLOOKUP(A193,Enforcements!$C$7:$E$21,3,0)</f>
        <v>#N/A</v>
      </c>
      <c r="AD193" s="63" t="str">
        <f t="shared" si="144"/>
        <v>0307-11</v>
      </c>
      <c r="AE193" s="99" t="str">
        <f t="shared" ref="AE193:AE202" si="153">"aws s3 cp "&amp;s3_bucket&amp;"/RTDC"&amp;B193&amp;"/"&amp;TEXT(F193,"YYYY-MM-DD")&amp;"/ "&amp;search_path&amp;"\RTDC"&amp;B193&amp;"\"&amp;TEXT(F193,"YYYY-MM-DD")&amp;" --recursive &amp; """&amp;walkandungz&amp;""" "&amp;search_path&amp;"\RTDC"&amp;B193&amp;"\"&amp;TEXT(F193,"YYYY-MM-DD")
&amp;" &amp; "&amp;"aws s3 cp "&amp;s3_bucket&amp;"/RTDC"&amp;B193&amp;"/"&amp;TEXT(F193+1,"YYYY-MM-DD")&amp;"/ "&amp;search_path&amp;"\RTDC"&amp;B193&amp;"\"&amp;TEXT(F193+1,"YYYY-MM-DD")&amp;" --recursive &amp; """&amp;walkandungz&amp;""" "&amp;search_path&amp;"\RTDC"&amp;B193&amp;"\"&amp;TEXT(F193+1,"YYYY-MM-DD")</f>
        <v>aws s3 cp s3://rtdc.mdm.uploadarchive/RTDC4020/1969-12-31/ "%USERPROFILE%\AppData\Local\Temp\OnboardLogs"\RTDC4020\1969-12-31 --recursive &amp; "%USERPROFILE%\Documents\GitHub\mrs-test-scripts\Headless Mode &amp; Sideloading\WalkAndUnGZ.bat" "%USERPROFILE%\AppData\Local\Temp\OnboardLogs"\RTDC4020\1969-12-31 &amp; aws s3 cp s3://rtdc.mdm.uploadarchive/RTDC4020/1970-01-01/ "%USERPROFILE%\AppData\Local\Temp\OnboardLogs"\RTDC4020\1970-01-01 --recursive &amp; "%USERPROFILE%\Documents\GitHub\mrs-test-scripts\Headless Mode &amp; Sideloading\WalkAndUnGZ.bat" "%USERPROFILE%\AppData\Local\Temp\OnboardLogs"\RTDC4020\1970-01-01</v>
      </c>
      <c r="AF193" s="96" t="str">
        <f t="shared" ref="AF193:AF202" si="154">astrogrep_path&amp;" /spath="&amp;search_path&amp;" /stypes=""*"&amp;B193&amp;"*"&amp;TEXT(I193-utc_offset/24,"YYYYMMDD")&amp;"*"" /stext="" "&amp;TEXT(I193-utc_offset/24,"HH")&amp;search_regexp&amp;""" /e /r /s"</f>
        <v>"C:\Program Files (x86)\AstroGrep\AstroGrep.exe" /spath="%USERPROFILE%\AppData\Local\Temp\OnboardLogs" /stypes="*4020*19700101*" /stext=" 05:.+((SYSTEM_STATE.+slice.+state.+changed )|(ment ac)|(system.+state.+changed )|(\|lc)|(penalty)|(\[timeout)|(PRM\|1\|D)|(kpr)|(kdp))" /e /r /s</v>
      </c>
      <c r="AG193" s="1" t="str">
        <f t="shared" si="145"/>
        <v>Other</v>
      </c>
      <c r="AH193" s="100" t="str">
        <f t="shared" si="122"/>
        <v>"%USERPROFILE%\Documents\GitHub\eaglep3\Utilities\RefineRTDCRunTimes.py" --tripid 307-11 --locoid 4020 --swversion DE.1.0.7.0 --startMP 204:466 --initTime 2016-09-11T19:36:07 --startdatetime 1969-12-31T23:00:00 --delay 1 --endMP 300:23295 --enddatetime 1969-12-31T23:00:00 --enforcementcount 1 &gt;&gt;C:\Users\stu\Documents\GitHub\eaglep3-reporting\EC\2016-09-11-refined-times.txt</v>
      </c>
      <c r="AI193" s="134" t="str">
        <f t="shared" si="123"/>
        <v>echo {"issue":{"subject":"","project_id":79,"tracker_id":40,"status_id":1,"priority_id":2,"assigned_to_id":23,"start_date":"1969-12-31","description":"","custom_fields":[{"id":1,"name":"Subdivision","value":"Other"},{"id":4,"name":"Milepost","value":"2.2829"},{"id":17,"name":"Train ID","value":"307-11"},{"id":16,"name":"Locomotive ID","value":"4020"},{"id":130,"name":"Impact","value":""},{"id":150,"name":"Time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662</v>
      </c>
      <c r="B194" s="7">
        <v>4042</v>
      </c>
      <c r="C194" s="24" t="s">
        <v>108</v>
      </c>
      <c r="D194" s="24" t="s">
        <v>273</v>
      </c>
      <c r="E194" s="15">
        <v>42625.029189814813</v>
      </c>
      <c r="F194" s="15">
        <v>42625.030613425923</v>
      </c>
      <c r="G194" s="7">
        <v>1</v>
      </c>
      <c r="H194" s="15" t="s">
        <v>663</v>
      </c>
      <c r="I194" s="15">
        <v>42625.036909722221</v>
      </c>
      <c r="J194" s="7">
        <v>1</v>
      </c>
      <c r="K194" s="121" t="str">
        <f t="shared" si="142"/>
        <v>4041/4042</v>
      </c>
      <c r="L194" s="24" t="str">
        <f>VLOOKUP(A194,'Trips&amp;Operators'!$C$1:$E$10000,3,FALSE)</f>
        <v>LEVERE</v>
      </c>
      <c r="M194" s="6">
        <f t="shared" si="146"/>
        <v>6.2962962983874604E-3</v>
      </c>
      <c r="N194" s="7">
        <f t="shared" si="140"/>
        <v>9.066666669677943</v>
      </c>
      <c r="O194" s="7"/>
      <c r="P194" s="7"/>
      <c r="Q194" s="25"/>
      <c r="R194" s="25"/>
      <c r="S194" s="37">
        <f t="shared" si="147"/>
        <v>1</v>
      </c>
      <c r="T194" s="52" t="str">
        <f t="shared" si="143"/>
        <v>NorthBound</v>
      </c>
      <c r="U194" s="163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 t="shared" si="148"/>
        <v>https://search-rtdc-monitor-bjffxe2xuh6vdkpspy63sjmuny.us-east-1.es.amazonaws.com/_plugin/kibana/#/discover/Steve-Slow-Train-Analysis-(2080s-and-2083s)?_g=(refreshInterval:(display:Off,section:0,value:0),time:(from:'2016-09-11 23:42:02-0600',mode:absolute,to:'2016-09-12 01:53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94" s="54" t="str">
        <f t="shared" si="149"/>
        <v>Y</v>
      </c>
      <c r="X194" s="168">
        <f t="shared" si="141"/>
        <v>2</v>
      </c>
      <c r="Y194" s="69">
        <f t="shared" si="150"/>
        <v>4.7300000000000002E-2</v>
      </c>
      <c r="Z194" s="69">
        <f t="shared" si="151"/>
        <v>2.2812000000000001</v>
      </c>
      <c r="AA194" s="69">
        <f t="shared" si="152"/>
        <v>2.2339000000000002</v>
      </c>
      <c r="AB194" s="66" t="e">
        <f>VLOOKUP(A194,Enforcements!$C$7:$K$21,8,0)</f>
        <v>#N/A</v>
      </c>
      <c r="AC194" s="62" t="e">
        <f>VLOOKUP(A194,Enforcements!$C$7:$E$21,3,0)</f>
        <v>#N/A</v>
      </c>
      <c r="AD194" s="63" t="str">
        <f t="shared" si="144"/>
        <v>0309-11</v>
      </c>
      <c r="AE194" s="99" t="str">
        <f t="shared" si="153"/>
        <v>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 &amp; 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</v>
      </c>
      <c r="AF194" s="96" t="str">
        <f t="shared" si="154"/>
        <v>"C:\Program Files (x86)\AstroGrep\AstroGrep.exe" /spath="%USERPROFILE%\AppData\Local\Temp\OnboardLogs" /stypes="*4042*20160912*" /stext=" 06:.+((SYSTEM_STATE.+slice.+state.+changed )|(ment ac)|(system.+state.+changed )|(\|lc)|(penalty)|(\[timeout)|(PRM\|1\|D)|(kpr)|(kdp))" /e /r /s</v>
      </c>
      <c r="AG194" s="1" t="str">
        <f t="shared" si="145"/>
        <v>Other</v>
      </c>
      <c r="AH194" s="100" t="str">
        <f t="shared" si="122"/>
        <v>"%USERPROFILE%\Documents\GitHub\eaglep3\Utilities\RefineRTDCRunTimes.py" --tripid 309-11 --locoid 4042 --swversion DE.1.0.7.0 --startMP 204:473 --initTime 2016-09-12T00:42:02 --startdatetime 2016-09-12T00:44:05 --delay 1 --endMP 300:22812 --enddatetime 2016-09-12T00:53:09 --enforcementcount 1 &gt;&gt;C:\Users\stu\Documents\GitHub\eaglep3-reporting\EC\2016-09-11-refined-times.txt</v>
      </c>
      <c r="AI194" s="134" t="str">
        <f t="shared" si="123"/>
        <v>echo {"issue":{"subject":"","project_id":79,"tracker_id":40,"status_id":1,"priority_id":2,"assigned_to_id":23,"start_date":"2016-09-12","description":"","custom_fields":[{"id":1,"name":"Subdivision","value":"Other"},{"id":4,"name":"Milepost","value":"2.2339"},{"id":17,"name":"Train ID","value":"309-11"},{"id":16,"name":"Locomotive ID","value":"4042"},{"id":130,"name":"Impact","value":""},{"id":150,"name":"Time of Event (Mountain Time)","value":"00:53:09"},{"id":151,"name":"Denver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x14ac:dyDescent="0.25">
      <c r="A195" s="39" t="s">
        <v>664</v>
      </c>
      <c r="B195" s="7">
        <v>4029</v>
      </c>
      <c r="C195" s="24" t="s">
        <v>108</v>
      </c>
      <c r="D195" s="24" t="s">
        <v>273</v>
      </c>
      <c r="E195" s="15">
        <v>42625.048726851855</v>
      </c>
      <c r="F195" s="15">
        <v>25568.958333333332</v>
      </c>
      <c r="G195" s="7">
        <v>1</v>
      </c>
      <c r="H195" s="15" t="s">
        <v>665</v>
      </c>
      <c r="I195" s="15">
        <v>25568.958333333332</v>
      </c>
      <c r="J195" s="7">
        <v>1</v>
      </c>
      <c r="K195" s="121" t="str">
        <f t="shared" si="142"/>
        <v>4029/4030</v>
      </c>
      <c r="L195" s="24" t="str">
        <f>VLOOKUP(A195,'Trips&amp;Operators'!$C$1:$E$10000,3,FALSE)</f>
        <v>OUN</v>
      </c>
      <c r="M195" s="6">
        <f t="shared" si="146"/>
        <v>0</v>
      </c>
      <c r="N195" s="7">
        <f t="shared" si="140"/>
        <v>0</v>
      </c>
      <c r="O195" s="7"/>
      <c r="P195" s="7"/>
      <c r="Q195" s="25"/>
      <c r="R195" s="25"/>
      <c r="S195" s="37">
        <f t="shared" si="147"/>
        <v>1</v>
      </c>
      <c r="T195" s="52" t="str">
        <f t="shared" si="143"/>
        <v>NorthBound</v>
      </c>
      <c r="U195" s="163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 t="shared" si="148"/>
        <v>https://search-rtdc-monitor-bjffxe2xuh6vdkpspy63sjmuny.us-east-1.es.amazonaws.com/_plugin/kibana/#/discover/Steve-Slow-Train-Analysis-(2080s-and-2083s)?_g=(refreshInterval:(display:Off,section:0,value:0),time:(from:'2016-09-12 00:10:10-0600',mode:absolute,to:'1970-01-01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95" s="54" t="str">
        <f t="shared" si="149"/>
        <v>Y</v>
      </c>
      <c r="X195" s="168">
        <f t="shared" si="141"/>
        <v>2</v>
      </c>
      <c r="Y195" s="69">
        <f t="shared" si="150"/>
        <v>4.7300000000000002E-2</v>
      </c>
      <c r="Z195" s="69">
        <f t="shared" si="151"/>
        <v>2.3300999999999998</v>
      </c>
      <c r="AA195" s="69">
        <f t="shared" si="152"/>
        <v>2.2827999999999999</v>
      </c>
      <c r="AB195" s="66" t="e">
        <f>VLOOKUP(A195,Enforcements!$C$7:$K$21,8,0)</f>
        <v>#N/A</v>
      </c>
      <c r="AC195" s="62" t="e">
        <f>VLOOKUP(A195,Enforcements!$C$7:$E$21,3,0)</f>
        <v>#N/A</v>
      </c>
      <c r="AD195" s="63" t="str">
        <f t="shared" si="144"/>
        <v>0311-11</v>
      </c>
      <c r="AE195" s="99" t="str">
        <f t="shared" si="153"/>
        <v>aws s3 cp s3://rtdc.mdm.uploadarchive/RTDC4029/1969-12-31/ "%USERPROFILE%\AppData\Local\Temp\OnboardLogs"\RTDC4029\1969-12-31 --recursive &amp; "%USERPROFILE%\Documents\GitHub\mrs-test-scripts\Headless Mode &amp; Sideloading\WalkAndUnGZ.bat" "%USERPROFILE%\AppData\Local\Temp\OnboardLogs"\RTDC4029\1969-12-31 &amp; aws s3 cp s3://rtdc.mdm.uploadarchive/RTDC4029/1970-01-01/ "%USERPROFILE%\AppData\Local\Temp\OnboardLogs"\RTDC4029\1970-01-01 --recursive &amp; "%USERPROFILE%\Documents\GitHub\mrs-test-scripts\Headless Mode &amp; Sideloading\WalkAndUnGZ.bat" "%USERPROFILE%\AppData\Local\Temp\OnboardLogs"\RTDC4029\1970-01-01</v>
      </c>
      <c r="AF195" s="96" t="str">
        <f t="shared" si="154"/>
        <v>"C:\Program Files (x86)\AstroGrep\AstroGrep.exe" /spath="%USERPROFILE%\AppData\Local\Temp\OnboardLogs" /stypes="*4029*19700101*" /stext=" 05:.+((SYSTEM_STATE.+slice.+state.+changed )|(ment ac)|(system.+state.+changed )|(\|lc)|(penalty)|(\[timeout)|(PRM\|1\|D)|(kpr)|(kdp))" /e /r /s</v>
      </c>
      <c r="AG195" s="1" t="str">
        <f t="shared" si="145"/>
        <v>Other</v>
      </c>
      <c r="AH195" s="100" t="str">
        <f t="shared" si="122"/>
        <v>"%USERPROFILE%\Documents\GitHub\eaglep3\Utilities\RefineRTDCRunTimes.py" --tripid 311-11 --locoid 4029 --swversion DE.1.0.7.0 --startMP 204:473 --initTime 2016-09-12T01:10:10 --startdatetime 1969-12-31T23:00:00 --delay 1 --endMP 300:23301 --enddatetime 1969-12-31T23:00:00 --enforcementcount 1 &gt;&gt;C:\Users\stu\Documents\GitHub\eaglep3-reporting\EC\2016-09-11-refined-times.txt</v>
      </c>
      <c r="AI195" s="134" t="str">
        <f t="shared" si="123"/>
        <v>echo {"issue":{"subject":"","project_id":79,"tracker_id":40,"status_id":1,"priority_id":2,"assigned_to_id":23,"start_date":"1969-12-31","description":"","custom_fields":[{"id":1,"name":"Subdivision","value":"Other"},{"id":4,"name":"Milepost","value":"2.2828"},{"id":17,"name":"Train ID","value":"311-11"},{"id":16,"name":"Locomotive ID","value":"4029"},{"id":130,"name":"Impact","value":""},{"id":150,"name":"Time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x14ac:dyDescent="0.25">
      <c r="A196" s="39" t="s">
        <v>367</v>
      </c>
      <c r="B196" s="7">
        <v>4014</v>
      </c>
      <c r="C196" s="24" t="s">
        <v>108</v>
      </c>
      <c r="D196" s="24" t="s">
        <v>276</v>
      </c>
      <c r="E196" s="15">
        <v>42624.08871527778</v>
      </c>
      <c r="F196" s="15">
        <v>25568.958333333332</v>
      </c>
      <c r="G196" s="7">
        <v>1</v>
      </c>
      <c r="H196" s="15" t="s">
        <v>368</v>
      </c>
      <c r="I196" s="15">
        <v>25568.958333333332</v>
      </c>
      <c r="J196" s="7">
        <v>1</v>
      </c>
      <c r="K196" s="121" t="str">
        <f t="shared" si="142"/>
        <v>4013/4014</v>
      </c>
      <c r="L196" s="24" t="str">
        <f>VLOOKUP(A196,'Trips&amp;Operators'!$C$1:$E$10000,3,FALSE)</f>
        <v>SWANSON</v>
      </c>
      <c r="M196" s="6">
        <f t="shared" si="146"/>
        <v>0</v>
      </c>
      <c r="N196" s="7">
        <f t="shared" si="140"/>
        <v>0</v>
      </c>
      <c r="O196" s="7"/>
      <c r="P196" s="7"/>
      <c r="Q196" s="25"/>
      <c r="R196" s="25"/>
      <c r="S196" s="37">
        <f t="shared" si="147"/>
        <v>1</v>
      </c>
      <c r="T196" s="52" t="str">
        <f t="shared" si="143"/>
        <v>NorthBound</v>
      </c>
      <c r="U196" s="163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 t="shared" si="148"/>
        <v>https://search-rtdc-monitor-bjffxe2xuh6vdkpspy63sjmuny.us-east-1.es.amazonaws.com/_plugin/kibana/#/discover/Steve-Slow-Train-Analysis-(2080s-and-2083s)?_g=(refreshInterval:(display:Off,section:0,value:0),time:(from:'2016-09-11 01:07:45-0600',mode:absolute,to:'1970-01-01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96" s="54" t="str">
        <f t="shared" si="149"/>
        <v>Y</v>
      </c>
      <c r="X196" s="168">
        <f t="shared" si="141"/>
        <v>2</v>
      </c>
      <c r="Y196" s="69">
        <f t="shared" si="150"/>
        <v>4.6399999999999997E-2</v>
      </c>
      <c r="Z196" s="69">
        <f t="shared" si="151"/>
        <v>2.3304</v>
      </c>
      <c r="AA196" s="69">
        <f t="shared" si="152"/>
        <v>2.2839999999999998</v>
      </c>
      <c r="AB196" s="66" t="e">
        <f>VLOOKUP(A196,Enforcements!$C$7:$K$21,8,0)</f>
        <v>#N/A</v>
      </c>
      <c r="AC196" s="62" t="e">
        <f>VLOOKUP(A196,Enforcements!$C$7:$E$21,3,0)</f>
        <v>#N/A</v>
      </c>
      <c r="AD196" s="63" t="str">
        <f t="shared" si="144"/>
        <v>0313-10</v>
      </c>
      <c r="AE196" s="99" t="str">
        <f t="shared" si="153"/>
        <v>aws s3 cp s3://rtdc.mdm.uploadarchive/RTDC4014/1969-12-31/ "%USERPROFILE%\AppData\Local\Temp\OnboardLogs"\RTDC4014\1969-12-31 --recursive &amp; "%USERPROFILE%\Documents\GitHub\mrs-test-scripts\Headless Mode &amp; Sideloading\WalkAndUnGZ.bat" "%USERPROFILE%\AppData\Local\Temp\OnboardLogs"\RTDC4014\1969-12-31 &amp; aws s3 cp s3://rtdc.mdm.uploadarchive/RTDC4014/1970-01-01/ "%USERPROFILE%\AppData\Local\Temp\OnboardLogs"\RTDC4014\1970-01-01 --recursive &amp; "%USERPROFILE%\Documents\GitHub\mrs-test-scripts\Headless Mode &amp; Sideloading\WalkAndUnGZ.bat" "%USERPROFILE%\AppData\Local\Temp\OnboardLogs"\RTDC4014\1970-01-01</v>
      </c>
      <c r="AF196" s="96" t="str">
        <f t="shared" si="154"/>
        <v>"C:\Program Files (x86)\AstroGrep\AstroGrep.exe" /spath="%USERPROFILE%\AppData\Local\Temp\OnboardLogs" /stypes="*4014*19700101*" /stext=" 05:.+((SYSTEM_STATE.+slice.+state.+changed )|(ment ac)|(system.+state.+changed )|(\|lc)|(penalty)|(\[timeout)|(PRM\|1\|D)|(kpr)|(kdp))" /e /r /s</v>
      </c>
      <c r="AG196" s="1" t="str">
        <f t="shared" si="145"/>
        <v>Other</v>
      </c>
      <c r="AH196" s="100" t="str">
        <f t="shared" si="122"/>
        <v>"%USERPROFILE%\Documents\GitHub\eaglep3\Utilities\RefineRTDCRunTimes.py" --tripid 313-10 --locoid 4014 --swversion DE.1.0.7.0 --startMP 204:464 --initTime 2016-09-11T02:07:45 --startdatetime 1969-12-31T23:00:00 --delay 1 --endMP 300:23304 --enddatetime 1969-12-31T23:00:00 --enforcementcount 1 &gt;&gt;C:\Users\stu\Documents\GitHub\eaglep3-reporting\EC\2016-09-11-refined-times.txt</v>
      </c>
      <c r="AI196" s="134" t="str">
        <f t="shared" si="123"/>
        <v>echo {"issue":{"subject":"","project_id":79,"tracker_id":40,"status_id":1,"priority_id":2,"assigned_to_id":23,"start_date":"1969-12-31","description":"","custom_fields":[{"id":1,"name":"Subdivision","value":"Other"},{"id":4,"name":"Milepost","value":"2.284"},{"id":17,"name":"Train ID","value":"313-10"},{"id":16,"name":"Locomotive ID","value":"4014"},{"id":130,"name":"Impact","value":""},{"id":150,"name":"Time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x14ac:dyDescent="0.25">
      <c r="A197" s="39" t="s">
        <v>666</v>
      </c>
      <c r="B197" s="7">
        <v>4018</v>
      </c>
      <c r="C197" s="24" t="s">
        <v>108</v>
      </c>
      <c r="D197" s="24" t="s">
        <v>249</v>
      </c>
      <c r="E197" s="15">
        <v>42625.067129629628</v>
      </c>
      <c r="F197" s="15">
        <v>25568.958333333332</v>
      </c>
      <c r="G197" s="7">
        <v>1</v>
      </c>
      <c r="H197" s="15" t="s">
        <v>667</v>
      </c>
      <c r="I197" s="15">
        <v>25568.958333333332</v>
      </c>
      <c r="J197" s="7">
        <v>1</v>
      </c>
      <c r="K197" s="121" t="str">
        <f t="shared" si="142"/>
        <v>4017/4018</v>
      </c>
      <c r="L197" s="24" t="str">
        <f>VLOOKUP(A197,'Trips&amp;Operators'!$C$1:$E$10000,3,FALSE)</f>
        <v>NEWELL</v>
      </c>
      <c r="M197" s="6">
        <f t="shared" si="146"/>
        <v>0</v>
      </c>
      <c r="N197" s="7">
        <f t="shared" si="140"/>
        <v>0</v>
      </c>
      <c r="O197" s="7"/>
      <c r="P197" s="7"/>
      <c r="Q197" s="25"/>
      <c r="R197" s="25"/>
      <c r="S197" s="37">
        <f t="shared" si="147"/>
        <v>1</v>
      </c>
      <c r="T197" s="52" t="str">
        <f t="shared" si="143"/>
        <v>NorthBound</v>
      </c>
      <c r="U197" s="163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 t="shared" si="148"/>
        <v>https://search-rtdc-monitor-bjffxe2xuh6vdkpspy63sjmuny.us-east-1.es.amazonaws.com/_plugin/kibana/#/discover/Steve-Slow-Train-Analysis-(2080s-and-2083s)?_g=(refreshInterval:(display:Off,section:0,value:0),time:(from:'2016-09-12 00:36:40-0600',mode:absolute,to:'1970-01-01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97" s="54" t="str">
        <f t="shared" si="149"/>
        <v>Y</v>
      </c>
      <c r="X197" s="168">
        <f t="shared" si="141"/>
        <v>0</v>
      </c>
      <c r="Y197" s="69">
        <f t="shared" si="150"/>
        <v>4.4699999999999997E-2</v>
      </c>
      <c r="Z197" s="69">
        <f t="shared" si="151"/>
        <v>2.3001999999999998</v>
      </c>
      <c r="AA197" s="69">
        <f t="shared" si="152"/>
        <v>2.2554999999999996</v>
      </c>
      <c r="AB197" s="66" t="e">
        <f>VLOOKUP(A197,Enforcements!$C$7:$K$21,8,0)</f>
        <v>#N/A</v>
      </c>
      <c r="AC197" s="62" t="e">
        <f>VLOOKUP(A197,Enforcements!$C$7:$E$21,3,0)</f>
        <v>#N/A</v>
      </c>
      <c r="AD197" s="63" t="str">
        <f t="shared" si="144"/>
        <v>0313-11</v>
      </c>
      <c r="AE197" s="99" t="str">
        <f t="shared" si="153"/>
        <v>aws s3 cp s3://rtdc.mdm.uploadarchive/RTDC4018/1969-12-31/ "%USERPROFILE%\AppData\Local\Temp\OnboardLogs"\RTDC4018\1969-12-31 --recursive &amp; "%USERPROFILE%\Documents\GitHub\mrs-test-scripts\Headless Mode &amp; Sideloading\WalkAndUnGZ.bat" "%USERPROFILE%\AppData\Local\Temp\OnboardLogs"\RTDC4018\1969-12-31 &amp; aws s3 cp s3://rtdc.mdm.uploadarchive/RTDC4018/1970-01-01/ "%USERPROFILE%\AppData\Local\Temp\OnboardLogs"\RTDC4018\1970-01-01 --recursive &amp; "%USERPROFILE%\Documents\GitHub\mrs-test-scripts\Headless Mode &amp; Sideloading\WalkAndUnGZ.bat" "%USERPROFILE%\AppData\Local\Temp\OnboardLogs"\RTDC4018\1970-01-01</v>
      </c>
      <c r="AF197" s="96" t="str">
        <f t="shared" si="154"/>
        <v>"C:\Program Files (x86)\AstroGrep\AstroGrep.exe" /spath="%USERPROFILE%\AppData\Local\Temp\OnboardLogs" /stypes="*4018*19700101*" /stext=" 05:.+((SYSTEM_STATE.+slice.+state.+changed )|(ment ac)|(system.+state.+changed )|(\|lc)|(penalty)|(\[timeout)|(PRM\|1\|D)|(kpr)|(kdp))" /e /r /s</v>
      </c>
      <c r="AG197" s="1" t="str">
        <f t="shared" si="145"/>
        <v>Other</v>
      </c>
      <c r="AH197" s="100" t="str">
        <f t="shared" si="122"/>
        <v>"%USERPROFILE%\Documents\GitHub\eaglep3\Utilities\RefineRTDCRunTimes.py" --tripid 313-11 --locoid 4018 --swversion DE.1.0.7.0 --startMP 204:447 --initTime 2016-09-12T01:36:40 --startdatetime 1969-12-31T23:00:00 --delay 1 --endMP 300:23002 --enddatetime 1969-12-31T23:00:00 --enforcementcount 1 &gt;&gt;C:\Users\stu\Documents\GitHub\eaglep3-reporting\EC\2016-09-11-refined-times.txt</v>
      </c>
      <c r="AI197" s="134" t="str">
        <f t="shared" si="123"/>
        <v>echo {"issue":{"subject":"","project_id":79,"tracker_id":40,"status_id":1,"priority_id":2,"assigned_to_id":23,"start_date":"1969-12-31","description":"","custom_fields":[{"id":1,"name":"Subdivision","value":"Other"},{"id":4,"name":"Milepost","value":"2.2555"},{"id":17,"name":"Train ID","value":"313-11"},{"id":16,"name":"Locomotive ID","value":"4018"},{"id":130,"name":"Impact","value":""},{"id":150,"name":"Time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s="23" customFormat="1" x14ac:dyDescent="0.25">
      <c r="A198" s="39" t="s">
        <v>668</v>
      </c>
      <c r="B198" s="7">
        <v>4040</v>
      </c>
      <c r="C198" s="24" t="s">
        <v>108</v>
      </c>
      <c r="D198" s="24" t="s">
        <v>669</v>
      </c>
      <c r="E198" s="15">
        <v>42625.089525462965</v>
      </c>
      <c r="F198" s="15">
        <v>42625.090937499997</v>
      </c>
      <c r="G198" s="7">
        <v>1</v>
      </c>
      <c r="H198" s="15" t="s">
        <v>670</v>
      </c>
      <c r="I198" s="15">
        <v>42625.097256944442</v>
      </c>
      <c r="J198" s="7">
        <v>1</v>
      </c>
      <c r="K198" s="121" t="str">
        <f t="shared" si="142"/>
        <v>4039/4040</v>
      </c>
      <c r="L198" s="24" t="str">
        <f>VLOOKUP(A198,'Trips&amp;Operators'!$C$1:$E$10000,3,FALSE)</f>
        <v>CHANDLER</v>
      </c>
      <c r="M198" s="6">
        <f t="shared" si="146"/>
        <v>6.3194444446708076E-3</v>
      </c>
      <c r="N198" s="7">
        <f t="shared" si="140"/>
        <v>9.1000000003259629</v>
      </c>
      <c r="O198" s="7"/>
      <c r="P198" s="7"/>
      <c r="Q198" s="25"/>
      <c r="R198" s="25"/>
      <c r="S198" s="37">
        <f t="shared" si="147"/>
        <v>1</v>
      </c>
      <c r="T198" s="52" t="str">
        <f t="shared" si="143"/>
        <v>NorthBound</v>
      </c>
      <c r="U198" s="163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 t="shared" si="148"/>
        <v>https://search-rtdc-monitor-bjffxe2xuh6vdkpspy63sjmuny.us-east-1.es.amazonaws.com/_plugin/kibana/#/discover/Steve-Slow-Train-Analysis-(2080s-and-2083s)?_g=(refreshInterval:(display:Off,section:0,value:0),time:(from:'2016-09-12 01:08:55-0600',mode:absolute,to:'2016-09-12 03:20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98" s="54" t="str">
        <f t="shared" si="149"/>
        <v>Y</v>
      </c>
      <c r="X198" s="168">
        <f t="shared" si="141"/>
        <v>2</v>
      </c>
      <c r="Y198" s="69">
        <f t="shared" si="150"/>
        <v>4.7500000000000001E-2</v>
      </c>
      <c r="Z198" s="69">
        <f t="shared" si="151"/>
        <v>2.2862</v>
      </c>
      <c r="AA198" s="69">
        <f t="shared" si="152"/>
        <v>2.2387000000000001</v>
      </c>
      <c r="AB198" s="66" t="e">
        <f>VLOOKUP(A198,Enforcements!$C$7:$K$21,8,0)</f>
        <v>#N/A</v>
      </c>
      <c r="AC198" s="62" t="e">
        <f>VLOOKUP(A198,Enforcements!$C$7:$E$21,3,0)</f>
        <v>#N/A</v>
      </c>
      <c r="AD198" s="63" t="str">
        <f t="shared" si="144"/>
        <v>0315-11</v>
      </c>
      <c r="AE198" s="99" t="str">
        <f t="shared" si="153"/>
        <v>aws s3 cp s3://rtdc.mdm.uploadarchive/RTDC4040/2016-09-12/ "%USERPROFILE%\AppData\Local\Temp\OnboardLogs"\RTDC4040\2016-09-12 --recursive &amp; "%USERPROFILE%\Documents\GitHub\mrs-test-scripts\Headless Mode &amp; Sideloading\WalkAndUnGZ.bat" "%USERPROFILE%\AppData\Local\Temp\OnboardLogs"\RTDC4040\2016-09-12 &amp; aws s3 cp s3://rtdc.mdm.uploadarchive/RTDC4040/2016-09-13/ "%USERPROFILE%\AppData\Local\Temp\OnboardLogs"\RTDC4040\2016-09-13 --recursive &amp; "%USERPROFILE%\Documents\GitHub\mrs-test-scripts\Headless Mode &amp; Sideloading\WalkAndUnGZ.bat" "%USERPROFILE%\AppData\Local\Temp\OnboardLogs"\RTDC4040\2016-09-13</v>
      </c>
      <c r="AF198" s="96" t="str">
        <f t="shared" si="154"/>
        <v>"C:\Program Files (x86)\AstroGrep\AstroGrep.exe" /spath="%USERPROFILE%\AppData\Local\Temp\OnboardLogs" /stypes="*4040*20160912*" /stext=" 08:.+((SYSTEM_STATE.+slice.+state.+changed )|(ment ac)|(system.+state.+changed )|(\|lc)|(penalty)|(\[timeout)|(PRM\|1\|D)|(kpr)|(kdp))" /e /r /s</v>
      </c>
      <c r="AG198" s="1" t="str">
        <f t="shared" si="145"/>
        <v>Other</v>
      </c>
      <c r="AH198" s="100" t="str">
        <f t="shared" si="122"/>
        <v>"%USERPROFILE%\Documents\GitHub\eaglep3\Utilities\RefineRTDCRunTimes.py" --tripid 315-11 --locoid 4040 --swversion DE.1.0.7.0 --startMP 204:475 --initTime 2016-09-12T02:08:55 --startdatetime 2016-09-12T02:10:57 --delay 1 --endMP 300:22862 --enddatetime 2016-09-12T02:20:03 --enforcementcount 1 &gt;&gt;C:\Users\stu\Documents\GitHub\eaglep3-reporting\EC\2016-09-11-refined-times.txt</v>
      </c>
      <c r="AI198" s="134" t="str">
        <f t="shared" si="123"/>
        <v>echo {"issue":{"subject":"","project_id":79,"tracker_id":40,"status_id":1,"priority_id":2,"assigned_to_id":23,"start_date":"2016-09-12","description":"","custom_fields":[{"id":1,"name":"Subdivision","value":"Other"},{"id":4,"name":"Milepost","value":"2.2387"},{"id":17,"name":"Train ID","value":"315-11"},{"id":16,"name":"Locomotive ID","value":"4040"},{"id":130,"name":"Impact","value":""},{"id":150,"name":"Time of Event (Mountain Time)","value":"02:20:03"},{"id":151,"name":"Denver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x14ac:dyDescent="0.25">
      <c r="A199" s="39" t="s">
        <v>592</v>
      </c>
      <c r="B199" s="7">
        <v>4001</v>
      </c>
      <c r="C199" s="24" t="s">
        <v>108</v>
      </c>
      <c r="D199" s="24" t="s">
        <v>593</v>
      </c>
      <c r="E199" s="15">
        <v>42624.943043981482</v>
      </c>
      <c r="F199" s="15">
        <v>42624.944594907407</v>
      </c>
      <c r="G199" s="7">
        <v>1</v>
      </c>
      <c r="H199" s="15" t="s">
        <v>594</v>
      </c>
      <c r="I199" s="15">
        <v>42624.949236111112</v>
      </c>
      <c r="J199" s="7">
        <v>1</v>
      </c>
      <c r="K199" s="121" t="str">
        <f t="shared" si="142"/>
        <v>4001/4002</v>
      </c>
      <c r="L199" s="24" t="str">
        <f>VLOOKUP(A199,'Trips&amp;Operators'!$C$1:$E$10000,3,FALSE)</f>
        <v>SWANSON</v>
      </c>
      <c r="M199" s="6">
        <f t="shared" si="146"/>
        <v>4.6412037045229226E-3</v>
      </c>
      <c r="N199" s="7">
        <f t="shared" si="140"/>
        <v>6.6833333345130086</v>
      </c>
      <c r="O199" s="7"/>
      <c r="P199" s="7"/>
      <c r="Q199" s="25"/>
      <c r="R199" s="25"/>
      <c r="S199" s="37">
        <f t="shared" si="147"/>
        <v>0</v>
      </c>
      <c r="T199" s="52" t="str">
        <f t="shared" si="143"/>
        <v>Southbound</v>
      </c>
      <c r="U199" s="163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0</v>
      </c>
      <c r="V199" s="106" t="str">
        <f t="shared" si="148"/>
        <v>https://search-rtdc-monitor-bjffxe2xuh6vdkpspy63sjmuny.us-east-1.es.amazonaws.com/_plugin/kibana/#/discover/Steve-Slow-Train-Analysis-(2080s-and-2083s)?_g=(refreshInterval:(display:Off,section:0,value:0),time:(from:'2016-09-11 21:37:59-0600',mode:absolute,to:'2016-09-11 23:46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99" s="54" t="str">
        <f t="shared" si="149"/>
        <v>Y</v>
      </c>
      <c r="X199" s="168">
        <f t="shared" si="141"/>
        <v>1587</v>
      </c>
      <c r="Y199" s="69">
        <f t="shared" si="150"/>
        <v>5.8635999999999999</v>
      </c>
      <c r="Z199" s="69">
        <f t="shared" si="151"/>
        <v>2.1389999999999998</v>
      </c>
      <c r="AA199" s="69">
        <f t="shared" si="152"/>
        <v>3.7246000000000001</v>
      </c>
      <c r="AB199" s="66" t="e">
        <f>VLOOKUP(A199,Enforcements!$C$7:$K$21,8,0)</f>
        <v>#N/A</v>
      </c>
      <c r="AC199" s="62" t="e">
        <f>VLOOKUP(A199,Enforcements!$C$7:$E$21,3,0)</f>
        <v>#N/A</v>
      </c>
      <c r="AD199" s="63" t="str">
        <f t="shared" si="144"/>
        <v>1902-11</v>
      </c>
      <c r="AE199" s="99" t="str">
        <f t="shared" si="153"/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AF199" s="96" t="str">
        <f t="shared" si="154"/>
        <v>"C:\Program Files (x86)\AstroGrep\AstroGrep.exe" /spath="%USERPROFILE%\AppData\Local\Temp\OnboardLogs" /stypes="*4001*20160912*" /stext=" 04:.+((SYSTEM_STATE.+slice.+state.+changed )|(ment ac)|(system.+state.+changed )|(\|lc)|(penalty)|(\[timeout)|(PRM\|1\|D)|(kpr)|(kdp))" /e /r /s</v>
      </c>
      <c r="AG199" s="1" t="str">
        <f t="shared" si="145"/>
        <v>Other</v>
      </c>
      <c r="AH199" s="100" t="str">
        <f t="shared" si="122"/>
        <v>"%USERPROFILE%\Documents\GitHub\eaglep3\Utilities\RefineRTDCRunTimes.py" --tripid 1902-11 --locoid 4001 --swversion DE.1.0.7.0 --startMP 300:58636 --initTime 2016-09-11T22:37:59 --startdatetime 2016-09-11T22:40:13 --delay 1 --endMP 300:21390 --enddatetime 2016-09-11T22:46:54 --enforcementcount 1 &gt;&gt;C:\Users\stu\Documents\GitHub\eaglep3-reporting\EC\2016-09-11-refined-times.txt</v>
      </c>
      <c r="AI199" s="134" t="str">
        <f t="shared" si="123"/>
        <v>echo {"issue":{"subject":"","project_id":79,"tracker_id":40,"status_id":1,"priority_id":2,"assigned_to_id":23,"start_date":"2016-09-11","description":"","custom_fields":[{"id":1,"name":"Subdivision","value":"Other"},{"id":4,"name":"Milepost","value":"3.7246"},{"id":17,"name":"Train ID","value":"1902-11"},{"id":16,"name":"Locomotive ID","value":"4001"},{"id":130,"name":"Impact","value":""},{"id":150,"name":"Time of Event (Mountain Time)","value":"22:46:54"},{"id":151,"name":"Denver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s="23" customFormat="1" x14ac:dyDescent="0.25">
      <c r="A200" s="39" t="s">
        <v>671</v>
      </c>
      <c r="B200" s="7">
        <v>4016</v>
      </c>
      <c r="C200" s="24" t="s">
        <v>108</v>
      </c>
      <c r="D200" s="24" t="s">
        <v>340</v>
      </c>
      <c r="E200" s="15">
        <v>42624.561064814814</v>
      </c>
      <c r="F200" s="15">
        <v>42624.614895833336</v>
      </c>
      <c r="G200" s="7">
        <v>1</v>
      </c>
      <c r="H200" s="15" t="s">
        <v>672</v>
      </c>
      <c r="I200" s="15">
        <v>42624.640300925923</v>
      </c>
      <c r="J200" s="7">
        <v>1</v>
      </c>
      <c r="K200" s="121" t="str">
        <f t="shared" si="142"/>
        <v>4015/4016</v>
      </c>
      <c r="L200" s="24" t="str">
        <f>VLOOKUP(A200,'Trips&amp;Operators'!$C$1:$E$10000,3,FALSE)</f>
        <v>STAMBAUGH</v>
      </c>
      <c r="M200" s="6">
        <f t="shared" si="146"/>
        <v>2.5405092586879618E-2</v>
      </c>
      <c r="N200" s="7">
        <f t="shared" si="140"/>
        <v>36.583333325106651</v>
      </c>
      <c r="O200" s="7"/>
      <c r="P200" s="7"/>
      <c r="Q200" s="25"/>
      <c r="R200" s="25"/>
      <c r="S200" s="37">
        <f t="shared" si="147"/>
        <v>0</v>
      </c>
      <c r="T200" s="52" t="e">
        <f t="shared" si="143"/>
        <v>#VALUE!</v>
      </c>
      <c r="U200" s="163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106" t="str">
        <f t="shared" si="148"/>
        <v>https://search-rtdc-monitor-bjffxe2xuh6vdkpspy63sjmuny.us-east-1.es.amazonaws.com/_plugin/kibana/#/discover/Steve-Slow-Train-Analysis-(2080s-and-2083s)?_g=(refreshInterval:(display:Off,section:0,value:0),time:(from:'2016-09-11 12:27:56-0600',mode:absolute,to:'2016-09-11 16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200" s="54" t="str">
        <f t="shared" si="149"/>
        <v>Y</v>
      </c>
      <c r="X200" s="168" t="e">
        <f t="shared" si="141"/>
        <v>#VALUE!</v>
      </c>
      <c r="Y200" s="69">
        <f t="shared" si="150"/>
        <v>0.1169</v>
      </c>
      <c r="Z200" s="69">
        <f t="shared" si="151"/>
        <v>0.1171</v>
      </c>
      <c r="AA200" s="69">
        <f t="shared" si="152"/>
        <v>1.9999999999999185E-4</v>
      </c>
      <c r="AB200" s="66" t="e">
        <f>VLOOKUP(A200,Enforcements!$C$7:$K$21,8,0)</f>
        <v>#N/A</v>
      </c>
      <c r="AC200" s="62" t="e">
        <f>VLOOKUP(A200,Enforcements!$C$7:$E$21,3,0)</f>
        <v>#N/A</v>
      </c>
      <c r="AD200" s="63" t="str">
        <f t="shared" si="144"/>
        <v>52-11</v>
      </c>
      <c r="AE200" s="99" t="str">
        <f t="shared" si="153"/>
        <v>aws s3 cp s3://rtdc.mdm.uploadarchive/RTDC4016/2016-09-11/ "%USERPROFILE%\AppData\Local\Temp\OnboardLogs"\RTDC4016\2016-09-11 --recursive &amp; "%USERPROFILE%\Documents\GitHub\mrs-test-scripts\Headless Mode &amp; Sideloading\WalkAndUnGZ.bat" "%USERPROFILE%\AppData\Local\Temp\OnboardLogs"\RTDC4016\2016-09-11 &amp; aws s3 cp s3://rtdc.mdm.uploadarchive/RTDC4016/2016-09-12/ "%USERPROFILE%\AppData\Local\Temp\OnboardLogs"\RTDC4016\2016-09-12 --recursive &amp; "%USERPROFILE%\Documents\GitHub\mrs-test-scripts\Headless Mode &amp; Sideloading\WalkAndUnGZ.bat" "%USERPROFILE%\AppData\Local\Temp\OnboardLogs"\RTDC4016\2016-09-12</v>
      </c>
      <c r="AF200" s="96" t="str">
        <f t="shared" si="154"/>
        <v>"C:\Program Files (x86)\AstroGrep\AstroGrep.exe" /spath="%USERPROFILE%\AppData\Local\Temp\OnboardLogs" /stypes="*4016*20160911*" /stext=" 21:.+((SYSTEM_STATE.+slice.+state.+changed )|(ment ac)|(system.+state.+changed )|(\|lc)|(penalty)|(\[timeout)|(PRM\|1\|D)|(kpr)|(kdp))" /e /r /s</v>
      </c>
      <c r="AG200" s="1" t="str">
        <f t="shared" si="145"/>
        <v>Other</v>
      </c>
      <c r="AH200" s="100" t="str">
        <f t="shared" si="122"/>
        <v>"%USERPROFILE%\Documents\GitHub\eaglep3\Utilities\RefineRTDCRunTimes.py" --tripid 52-11 --locoid 4016 --swversion DE.1.0.7.0 --startMP 204:1169 --initTime 2016-09-11T13:27:56 --startdatetime 2016-09-11T14:45:27 --delay 1 --endMP 204:1171 --enddatetime 2016-09-11T15:22:02 --enforcementcount 1 &gt;&gt;C:\Users\stu\Documents\GitHub\eaglep3-reporting\EC\2016-09-11-refined-times.txt</v>
      </c>
      <c r="AI200" s="134" t="str">
        <f t="shared" si="123"/>
        <v>echo {"issue":{"subject":"","project_id":79,"tracker_id":40,"status_id":1,"priority_id":2,"assigned_to_id":23,"start_date":"2016-09-11","description":"","custom_fields":[{"id":1,"name":"Subdivision","value":"Other"},{"id":4,"name":"Milepost","value":"0.000199999999999992"},{"id":17,"name":"Train ID","value":"52-11"},{"id":16,"name":"Locomotive ID","value":"4016"},{"id":130,"name":"Impact","value":""},{"id":150,"name":"Time of Event (Mountain Time)","value":"15:22:02"},{"id":151,"name":"Denver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s="23" customFormat="1" x14ac:dyDescent="0.25">
      <c r="A201" s="39" t="s">
        <v>671</v>
      </c>
      <c r="B201" s="7">
        <v>4017</v>
      </c>
      <c r="C201" s="24" t="s">
        <v>108</v>
      </c>
      <c r="D201" s="24" t="s">
        <v>673</v>
      </c>
      <c r="E201" s="15">
        <v>42624.563599537039</v>
      </c>
      <c r="F201" s="15">
        <v>42624.614895833336</v>
      </c>
      <c r="G201" s="7">
        <v>1</v>
      </c>
      <c r="H201" s="15" t="s">
        <v>674</v>
      </c>
      <c r="I201" s="15">
        <v>42624.640300925923</v>
      </c>
      <c r="J201" s="7">
        <v>1</v>
      </c>
      <c r="K201" s="121" t="str">
        <f t="shared" si="142"/>
        <v>4017/4018</v>
      </c>
      <c r="L201" s="24" t="str">
        <f>VLOOKUP(A201,'Trips&amp;Operators'!$C$1:$E$10000,3,FALSE)</f>
        <v>STAMBAUGH</v>
      </c>
      <c r="M201" s="6">
        <f t="shared" si="146"/>
        <v>2.5405092586879618E-2</v>
      </c>
      <c r="N201" s="7">
        <f t="shared" si="140"/>
        <v>36.583333325106651</v>
      </c>
      <c r="O201" s="7"/>
      <c r="P201" s="7"/>
      <c r="Q201" s="25"/>
      <c r="R201" s="25"/>
      <c r="S201" s="37">
        <f t="shared" si="147"/>
        <v>0</v>
      </c>
      <c r="T201" s="52" t="e">
        <f t="shared" si="143"/>
        <v>#VALUE!</v>
      </c>
      <c r="U201" s="163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106" t="str">
        <f t="shared" si="148"/>
        <v>https://search-rtdc-monitor-bjffxe2xuh6vdkpspy63sjmuny.us-east-1.es.amazonaws.com/_plugin/kibana/#/discover/Steve-Slow-Train-Analysis-(2080s-and-2083s)?_g=(refreshInterval:(display:Off,section:0,value:0),time:(from:'2016-09-11 12:31:35-0600',mode:absolute,to:'2016-09-11 16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201" s="54" t="str">
        <f t="shared" si="149"/>
        <v>Y</v>
      </c>
      <c r="X201" s="168" t="e">
        <f t="shared" si="141"/>
        <v>#VALUE!</v>
      </c>
      <c r="Y201" s="69">
        <f t="shared" si="150"/>
        <v>0.1164</v>
      </c>
      <c r="Z201" s="69">
        <f t="shared" si="151"/>
        <v>0.1162</v>
      </c>
      <c r="AA201" s="69">
        <f t="shared" si="152"/>
        <v>2.0000000000000573E-4</v>
      </c>
      <c r="AB201" s="66" t="e">
        <f>VLOOKUP(A201,Enforcements!$C$7:$K$21,8,0)</f>
        <v>#N/A</v>
      </c>
      <c r="AC201" s="62" t="e">
        <f>VLOOKUP(A201,Enforcements!$C$7:$E$21,3,0)</f>
        <v>#N/A</v>
      </c>
      <c r="AD201" s="63" t="str">
        <f t="shared" si="144"/>
        <v>52-11</v>
      </c>
      <c r="AE201" s="99" t="str">
        <f t="shared" si="153"/>
        <v>aws s3 cp s3://rtdc.mdm.uploadarchive/RTDC4017/2016-09-11/ "%USERPROFILE%\AppData\Local\Temp\OnboardLogs"\RTDC4017\2016-09-11 --recursive &amp; "%USERPROFILE%\Documents\GitHub\mrs-test-scripts\Headless Mode &amp; Sideloading\WalkAndUnGZ.bat" "%USERPROFILE%\AppData\Local\Temp\OnboardLogs"\RTDC4017\2016-09-11 &amp; aws s3 cp s3://rtdc.mdm.uploadarchive/RTDC4017/2016-09-12/ "%USERPROFILE%\AppData\Local\Temp\OnboardLogs"\RTDC4017\2016-09-12 --recursive &amp; "%USERPROFILE%\Documents\GitHub\mrs-test-scripts\Headless Mode &amp; Sideloading\WalkAndUnGZ.bat" "%USERPROFILE%\AppData\Local\Temp\OnboardLogs"\RTDC4017\2016-09-12</v>
      </c>
      <c r="AF201" s="96" t="str">
        <f t="shared" si="154"/>
        <v>"C:\Program Files (x86)\AstroGrep\AstroGrep.exe" /spath="%USERPROFILE%\AppData\Local\Temp\OnboardLogs" /stypes="*4017*20160911*" /stext=" 21:.+((SYSTEM_STATE.+slice.+state.+changed )|(ment ac)|(system.+state.+changed )|(\|lc)|(penalty)|(\[timeout)|(PRM\|1\|D)|(kpr)|(kdp))" /e /r /s</v>
      </c>
      <c r="AG201" s="1" t="str">
        <f t="shared" si="145"/>
        <v>Other</v>
      </c>
      <c r="AH201" s="100" t="str">
        <f t="shared" si="122"/>
        <v>"%USERPROFILE%\Documents\GitHub\eaglep3\Utilities\RefineRTDCRunTimes.py" --tripid 52-11 --locoid 4017 --swversion DE.1.0.7.0 --startMP 204:1164 --initTime 2016-09-11T13:31:35 --startdatetime 2016-09-11T14:45:27 --delay 1 --endMP 204:1162 --enddatetime 2016-09-11T15:22:02 --enforcementcount 1 &gt;&gt;C:\Users\stu\Documents\GitHub\eaglep3-reporting\EC\2016-09-11-refined-times.txt</v>
      </c>
      <c r="AI201" s="134" t="str">
        <f t="shared" si="123"/>
        <v>echo {"issue":{"subject":"","project_id":79,"tracker_id":40,"status_id":1,"priority_id":2,"assigned_to_id":23,"start_date":"2016-09-11","description":"","custom_fields":[{"id":1,"name":"Subdivision","value":"Other"},{"id":4,"name":"Milepost","value":"0.000200000000000006"},{"id":17,"name":"Train ID","value":"52-11"},{"id":16,"name":"Locomotive ID","value":"4017"},{"id":130,"name":"Impact","value":""},{"id":150,"name":"Time of Event (Mountain Time)","value":"15:22:02"},{"id":151,"name":"Denver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s="23" customFormat="1" x14ac:dyDescent="0.25">
      <c r="A202" s="39" t="s">
        <v>671</v>
      </c>
      <c r="B202" s="7">
        <v>4018</v>
      </c>
      <c r="C202" s="24" t="s">
        <v>108</v>
      </c>
      <c r="D202" s="24" t="s">
        <v>675</v>
      </c>
      <c r="E202" s="15">
        <v>42624.567719907405</v>
      </c>
      <c r="F202" s="15">
        <v>42624.614895833336</v>
      </c>
      <c r="G202" s="7">
        <v>1</v>
      </c>
      <c r="H202" s="15" t="s">
        <v>676</v>
      </c>
      <c r="I202" s="15">
        <v>42624.640300925923</v>
      </c>
      <c r="J202" s="7">
        <v>1</v>
      </c>
      <c r="K202" s="121" t="str">
        <f t="shared" si="142"/>
        <v>4017/4018</v>
      </c>
      <c r="L202" s="24" t="str">
        <f>VLOOKUP(A202,'Trips&amp;Operators'!$C$1:$E$10000,3,FALSE)</f>
        <v>STAMBAUGH</v>
      </c>
      <c r="M202" s="6">
        <f t="shared" si="146"/>
        <v>2.5405092586879618E-2</v>
      </c>
      <c r="N202" s="7">
        <f t="shared" si="140"/>
        <v>36.583333325106651</v>
      </c>
      <c r="O202" s="7"/>
      <c r="P202" s="7"/>
      <c r="Q202" s="25"/>
      <c r="R202" s="25"/>
      <c r="S202" s="37">
        <f t="shared" si="147"/>
        <v>0</v>
      </c>
      <c r="T202" s="52" t="e">
        <f t="shared" si="143"/>
        <v>#VALUE!</v>
      </c>
      <c r="U202" s="163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106" t="str">
        <f t="shared" si="148"/>
        <v>https://search-rtdc-monitor-bjffxe2xuh6vdkpspy63sjmuny.us-east-1.es.amazonaws.com/_plugin/kibana/#/discover/Steve-Slow-Train-Analysis-(2080s-and-2083s)?_g=(refreshInterval:(display:Off,section:0,value:0),time:(from:'2016-09-11 12:37:31-0600',mode:absolute,to:'2016-09-11 16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202" s="54" t="str">
        <f t="shared" si="149"/>
        <v>Y</v>
      </c>
      <c r="X202" s="168" t="e">
        <f t="shared" si="141"/>
        <v>#VALUE!</v>
      </c>
      <c r="Y202" s="69">
        <f t="shared" si="150"/>
        <v>0.14829999999999999</v>
      </c>
      <c r="Z202" s="69">
        <f t="shared" si="151"/>
        <v>0.14729999999999999</v>
      </c>
      <c r="AA202" s="69">
        <f t="shared" si="152"/>
        <v>1.0000000000000009E-3</v>
      </c>
      <c r="AB202" s="66" t="e">
        <f>VLOOKUP(A202,Enforcements!$C$7:$K$21,8,0)</f>
        <v>#N/A</v>
      </c>
      <c r="AC202" s="62" t="e">
        <f>VLOOKUP(A202,Enforcements!$C$7:$E$21,3,0)</f>
        <v>#N/A</v>
      </c>
      <c r="AD202" s="63" t="str">
        <f t="shared" si="144"/>
        <v>52-11</v>
      </c>
      <c r="AE202" s="99" t="str">
        <f t="shared" si="153"/>
        <v>aws s3 cp s3://rtdc.mdm.uploadarchive/RTDC4018/2016-09-11/ "%USERPROFILE%\AppData\Local\Temp\OnboardLogs"\RTDC4018\2016-09-11 --recursive &amp; "%USERPROFILE%\Documents\GitHub\mrs-test-scripts\Headless Mode &amp; Sideloading\WalkAndUnGZ.bat" "%USERPROFILE%\AppData\Local\Temp\OnboardLogs"\RTDC4018\2016-09-11 &amp; aws s3 cp s3://rtdc.mdm.uploadarchive/RTDC4018/2016-09-12/ "%USERPROFILE%\AppData\Local\Temp\OnboardLogs"\RTDC4018\2016-09-12 --recursive &amp; "%USERPROFILE%\Documents\GitHub\mrs-test-scripts\Headless Mode &amp; Sideloading\WalkAndUnGZ.bat" "%USERPROFILE%\AppData\Local\Temp\OnboardLogs"\RTDC4018\2016-09-12</v>
      </c>
      <c r="AF202" s="96" t="str">
        <f t="shared" si="154"/>
        <v>"C:\Program Files (x86)\AstroGrep\AstroGrep.exe" /spath="%USERPROFILE%\AppData\Local\Temp\OnboardLogs" /stypes="*4018*20160911*" /stext=" 21:.+((SYSTEM_STATE.+slice.+state.+changed )|(ment ac)|(system.+state.+changed )|(\|lc)|(penalty)|(\[timeout)|(PRM\|1\|D)|(kpr)|(kdp))" /e /r /s</v>
      </c>
      <c r="AG202" s="1" t="str">
        <f t="shared" si="145"/>
        <v>Other</v>
      </c>
      <c r="AH202" s="100" t="str">
        <f t="shared" si="122"/>
        <v>"%USERPROFILE%\Documents\GitHub\eaglep3\Utilities\RefineRTDCRunTimes.py" --tripid 52-11 --locoid 4018 --swversion DE.1.0.7.0 --startMP 204:1483 --initTime 2016-09-11T13:37:31 --startdatetime 2016-09-11T14:45:27 --delay 1 --endMP 204:1473 --enddatetime 2016-09-11T15:22:02 --enforcementcount 1 &gt;&gt;C:\Users\stu\Documents\GitHub\eaglep3-reporting\EC\2016-09-11-refined-times.txt</v>
      </c>
      <c r="AI202" s="134" t="str">
        <f t="shared" si="123"/>
        <v>echo {"issue":{"subject":"","project_id":79,"tracker_id":40,"status_id":1,"priority_id":2,"assigned_to_id":23,"start_date":"2016-09-11","description":"","custom_fields":[{"id":1,"name":"Subdivision","value":"Other"},{"id":4,"name":"Milepost","value":"0.001"},{"id":17,"name":"Train ID","value":"52-11"},{"id":16,"name":"Locomotive ID","value":"4018"},{"id":130,"name":"Impact","value":""},{"id":150,"name":"Time of Event (Mountain Time)","value":"15:22:02"},{"id":151,"name":"Denver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/>
      <c r="B203" s="7"/>
      <c r="C203" s="24"/>
      <c r="D203" s="24"/>
      <c r="E203" s="15"/>
      <c r="F203" s="15"/>
      <c r="G203" s="7"/>
      <c r="H203" s="15"/>
      <c r="I203" s="15"/>
      <c r="J203" s="7"/>
      <c r="K203" s="121"/>
      <c r="L203" s="24"/>
      <c r="M203" s="6"/>
      <c r="N203" s="7"/>
      <c r="O203" s="7"/>
      <c r="P203" s="7"/>
      <c r="Q203" s="25"/>
      <c r="R203" s="25"/>
      <c r="S203" s="37"/>
      <c r="T203" s="52"/>
      <c r="U203" s="163"/>
      <c r="V203" s="106"/>
      <c r="W203" s="54"/>
      <c r="X203" s="168"/>
      <c r="Y203" s="69"/>
      <c r="Z203" s="69"/>
      <c r="AA203" s="69"/>
      <c r="AB203" s="66"/>
      <c r="AC203" s="62"/>
      <c r="AD203" s="63"/>
      <c r="AE203" s="99"/>
      <c r="AF203" s="96"/>
      <c r="AG203" s="1"/>
      <c r="AI203" s="134"/>
      <c r="AJ203" s="55"/>
      <c r="AK203" s="55"/>
      <c r="AL203" s="55"/>
    </row>
    <row r="204" spans="1:38" x14ac:dyDescent="0.25">
      <c r="A204" s="39"/>
      <c r="B204" s="7"/>
      <c r="C204" s="24"/>
      <c r="D204" s="24"/>
      <c r="E204" s="15"/>
      <c r="F204" s="15"/>
      <c r="G204" s="7"/>
      <c r="H204" s="15"/>
      <c r="I204" s="15"/>
      <c r="J204" s="7"/>
      <c r="K204" s="121"/>
      <c r="L204" s="24"/>
      <c r="M204" s="6"/>
      <c r="N204" s="7"/>
      <c r="O204" s="7"/>
      <c r="P204" s="7"/>
      <c r="Q204" s="25"/>
      <c r="R204" s="25"/>
      <c r="S204" s="37"/>
      <c r="T204" s="52"/>
      <c r="U204" s="163"/>
      <c r="V204" s="106"/>
      <c r="W204" s="54"/>
      <c r="X204" s="168"/>
      <c r="Y204" s="69"/>
      <c r="Z204" s="69"/>
      <c r="AA204" s="69"/>
      <c r="AB204" s="66"/>
      <c r="AC204" s="62"/>
      <c r="AD204" s="63"/>
      <c r="AE204" s="99"/>
      <c r="AF204" s="96"/>
      <c r="AG204" s="1"/>
      <c r="AI204" s="134"/>
      <c r="AJ204" s="55"/>
      <c r="AK204" s="55"/>
      <c r="AL204" s="55"/>
    </row>
    <row r="205" spans="1:38" s="23" customFormat="1" x14ac:dyDescent="0.25">
      <c r="A205" s="39"/>
      <c r="B205" s="7"/>
      <c r="C205" s="24"/>
      <c r="D205" s="24"/>
      <c r="E205" s="15"/>
      <c r="F205" s="15"/>
      <c r="G205" s="7"/>
      <c r="H205" s="15"/>
      <c r="I205" s="15"/>
      <c r="J205" s="7"/>
      <c r="K205" s="121"/>
      <c r="L205" s="24"/>
      <c r="M205" s="6"/>
      <c r="N205" s="7"/>
      <c r="O205" s="7"/>
      <c r="P205" s="7"/>
      <c r="Q205" s="25"/>
      <c r="R205" s="25"/>
      <c r="S205" s="37"/>
      <c r="T205" s="52"/>
      <c r="U205" s="163"/>
      <c r="V205" s="106"/>
      <c r="W205" s="54"/>
      <c r="X205" s="168"/>
      <c r="Y205" s="69"/>
      <c r="Z205" s="69"/>
      <c r="AA205" s="69"/>
      <c r="AB205" s="66"/>
      <c r="AC205" s="62"/>
      <c r="AD205" s="63"/>
      <c r="AE205" s="99"/>
      <c r="AF205" s="96"/>
      <c r="AG205" s="1"/>
      <c r="AH205" s="100"/>
      <c r="AI205" s="134"/>
      <c r="AJ205" s="55"/>
      <c r="AK205" s="55"/>
      <c r="AL205" s="55"/>
    </row>
    <row r="206" spans="1:38" x14ac:dyDescent="0.25">
      <c r="A206" s="39"/>
      <c r="B206" s="7"/>
      <c r="C206" s="24"/>
      <c r="D206" s="24"/>
      <c r="E206" s="15"/>
      <c r="F206" s="15"/>
      <c r="G206" s="7"/>
      <c r="H206" s="15"/>
      <c r="I206" s="15"/>
      <c r="J206" s="7"/>
      <c r="K206" s="121"/>
      <c r="L206" s="24"/>
      <c r="M206" s="6"/>
      <c r="N206" s="7"/>
      <c r="O206" s="7"/>
      <c r="P206" s="7"/>
      <c r="Q206" s="25"/>
      <c r="R206" s="25"/>
      <c r="S206" s="37"/>
      <c r="T206" s="52"/>
      <c r="U206" s="163"/>
      <c r="V206" s="106"/>
      <c r="W206" s="54"/>
      <c r="X206" s="168"/>
      <c r="Y206" s="69"/>
      <c r="Z206" s="69"/>
      <c r="AA206" s="69"/>
      <c r="AB206" s="66"/>
      <c r="AC206" s="62"/>
      <c r="AD206" s="63"/>
      <c r="AE206" s="99"/>
      <c r="AF206" s="96"/>
      <c r="AG206" s="1"/>
      <c r="AI206" s="134"/>
      <c r="AJ206" s="55"/>
      <c r="AK206" s="55"/>
      <c r="AL206" s="55"/>
    </row>
    <row r="207" spans="1:38" x14ac:dyDescent="0.25">
      <c r="A207" s="39"/>
      <c r="B207" s="7"/>
      <c r="C207" s="24"/>
      <c r="D207" s="24"/>
      <c r="E207" s="15"/>
      <c r="F207" s="15"/>
      <c r="G207" s="7"/>
      <c r="H207" s="15"/>
      <c r="I207" s="15"/>
      <c r="J207" s="7"/>
      <c r="K207" s="121"/>
      <c r="L207" s="24"/>
      <c r="M207" s="6"/>
      <c r="N207" s="7"/>
      <c r="O207" s="7"/>
      <c r="P207" s="7"/>
      <c r="Q207" s="25"/>
      <c r="R207" s="25"/>
      <c r="S207" s="37"/>
      <c r="T207" s="52"/>
      <c r="U207" s="163"/>
      <c r="V207" s="106"/>
      <c r="W207" s="54"/>
      <c r="X207" s="168"/>
      <c r="Y207" s="69"/>
      <c r="Z207" s="69"/>
      <c r="AA207" s="69"/>
      <c r="AB207" s="66"/>
      <c r="AC207" s="62"/>
      <c r="AD207" s="63"/>
      <c r="AE207" s="99"/>
      <c r="AF207" s="96"/>
      <c r="AG207" s="1"/>
      <c r="AI207" s="134"/>
      <c r="AJ207" s="55"/>
      <c r="AK207" s="55"/>
      <c r="AL207" s="55"/>
    </row>
    <row r="208" spans="1:38" s="23" customFormat="1" x14ac:dyDescent="0.25">
      <c r="A208" s="39"/>
      <c r="B208" s="7"/>
      <c r="C208" s="24"/>
      <c r="D208" s="24"/>
      <c r="E208" s="15"/>
      <c r="F208" s="15"/>
      <c r="G208" s="7"/>
      <c r="H208" s="15"/>
      <c r="I208" s="15"/>
      <c r="J208" s="7"/>
      <c r="K208" s="121"/>
      <c r="L208" s="24"/>
      <c r="M208" s="6"/>
      <c r="N208" s="7"/>
      <c r="O208" s="7"/>
      <c r="P208" s="7"/>
      <c r="Q208" s="25"/>
      <c r="R208" s="25"/>
      <c r="S208" s="37"/>
      <c r="T208" s="52"/>
      <c r="U208" s="163"/>
      <c r="V208" s="106"/>
      <c r="W208" s="54"/>
      <c r="X208" s="168"/>
      <c r="Y208" s="69"/>
      <c r="Z208" s="69"/>
      <c r="AA208" s="69"/>
      <c r="AB208" s="66"/>
      <c r="AC208" s="62"/>
      <c r="AD208" s="63"/>
      <c r="AE208" s="99"/>
      <c r="AF208" s="96"/>
      <c r="AG208" s="1"/>
      <c r="AH208" s="100"/>
      <c r="AI208" s="134"/>
      <c r="AJ208" s="55"/>
      <c r="AK208" s="55"/>
      <c r="AL208" s="55"/>
    </row>
    <row r="209" spans="1:38" s="23" customFormat="1" x14ac:dyDescent="0.25">
      <c r="A209" s="39"/>
      <c r="B209" s="7"/>
      <c r="C209" s="24"/>
      <c r="D209" s="24"/>
      <c r="E209" s="15"/>
      <c r="F209" s="15"/>
      <c r="G209" s="7"/>
      <c r="H209" s="15"/>
      <c r="I209" s="15"/>
      <c r="J209" s="7"/>
      <c r="K209" s="121"/>
      <c r="L209" s="24"/>
      <c r="M209" s="6"/>
      <c r="N209" s="7"/>
      <c r="O209" s="7"/>
      <c r="P209" s="7"/>
      <c r="Q209" s="25"/>
      <c r="R209" s="25"/>
      <c r="S209" s="37"/>
      <c r="T209" s="52"/>
      <c r="U209" s="163"/>
      <c r="V209" s="106"/>
      <c r="W209" s="54"/>
      <c r="X209" s="168"/>
      <c r="Y209" s="69"/>
      <c r="Z209" s="69"/>
      <c r="AA209" s="69"/>
      <c r="AB209" s="66"/>
      <c r="AC209" s="62"/>
      <c r="AD209" s="63"/>
      <c r="AE209" s="99"/>
      <c r="AF209" s="96"/>
      <c r="AG209" s="1"/>
      <c r="AH209" s="100"/>
      <c r="AI209" s="134"/>
      <c r="AJ209" s="55"/>
      <c r="AK209" s="55"/>
      <c r="AL209" s="55"/>
    </row>
    <row r="210" spans="1:38" x14ac:dyDescent="0.25">
      <c r="A210" s="39"/>
      <c r="B210" s="7"/>
      <c r="C210" s="24"/>
      <c r="D210" s="24"/>
      <c r="E210" s="15"/>
      <c r="F210" s="15"/>
      <c r="G210" s="7"/>
      <c r="H210" s="15"/>
      <c r="I210" s="15"/>
      <c r="J210" s="7"/>
      <c r="K210" s="121"/>
      <c r="L210" s="24"/>
      <c r="M210" s="6"/>
      <c r="N210" s="7"/>
      <c r="O210" s="7"/>
      <c r="P210" s="7"/>
      <c r="Q210" s="25"/>
      <c r="R210" s="25"/>
      <c r="S210" s="37"/>
      <c r="T210" s="52"/>
      <c r="U210" s="163"/>
      <c r="V210" s="106"/>
      <c r="W210" s="54"/>
      <c r="X210" s="168"/>
      <c r="Y210" s="69"/>
      <c r="Z210" s="69"/>
      <c r="AA210" s="69"/>
      <c r="AB210" s="66"/>
      <c r="AC210" s="62"/>
      <c r="AD210" s="63"/>
      <c r="AE210" s="99"/>
      <c r="AF210" s="96"/>
      <c r="AG210" s="1"/>
      <c r="AI210" s="134"/>
      <c r="AJ210" s="55"/>
      <c r="AK210" s="55"/>
      <c r="AL210" s="55"/>
    </row>
    <row r="211" spans="1:38" x14ac:dyDescent="0.25">
      <c r="A211" s="39"/>
      <c r="B211" s="7"/>
      <c r="C211" s="24"/>
      <c r="D211" s="24"/>
      <c r="E211" s="15"/>
      <c r="F211" s="15"/>
      <c r="G211" s="7"/>
      <c r="H211" s="15"/>
      <c r="I211" s="15"/>
      <c r="J211" s="7"/>
      <c r="K211" s="121"/>
      <c r="L211" s="24"/>
      <c r="M211" s="6"/>
      <c r="N211" s="7"/>
      <c r="O211" s="7"/>
      <c r="P211" s="7"/>
      <c r="Q211" s="25"/>
      <c r="R211" s="25"/>
      <c r="S211" s="37"/>
      <c r="T211" s="52"/>
      <c r="U211" s="163"/>
      <c r="V211" s="106"/>
      <c r="W211" s="54"/>
      <c r="X211" s="168"/>
      <c r="Y211" s="69"/>
      <c r="Z211" s="69"/>
      <c r="AA211" s="69"/>
      <c r="AB211" s="66"/>
      <c r="AC211" s="62"/>
      <c r="AD211" s="63"/>
      <c r="AE211" s="99"/>
      <c r="AF211" s="96"/>
      <c r="AG211" s="1"/>
      <c r="AI211" s="134"/>
      <c r="AJ211" s="55"/>
      <c r="AK211" s="55"/>
      <c r="AL211" s="55"/>
    </row>
    <row r="212" spans="1:38" x14ac:dyDescent="0.25">
      <c r="A212" s="39"/>
      <c r="B212" s="7"/>
      <c r="C212" s="24"/>
      <c r="D212" s="24"/>
      <c r="E212" s="15"/>
      <c r="F212" s="15"/>
      <c r="G212" s="7"/>
      <c r="H212" s="15"/>
      <c r="I212" s="15"/>
      <c r="J212" s="7"/>
      <c r="K212" s="121"/>
      <c r="L212" s="24"/>
      <c r="M212" s="6"/>
      <c r="N212" s="7"/>
      <c r="O212" s="7"/>
      <c r="P212" s="7"/>
      <c r="Q212" s="25"/>
      <c r="R212" s="25"/>
      <c r="S212" s="37"/>
      <c r="T212" s="52"/>
      <c r="U212" s="163"/>
      <c r="V212" s="106"/>
      <c r="W212" s="54"/>
      <c r="X212" s="168"/>
      <c r="Y212" s="69"/>
      <c r="Z212" s="69"/>
      <c r="AA212" s="69"/>
      <c r="AB212" s="66"/>
      <c r="AC212" s="62"/>
      <c r="AD212" s="63"/>
      <c r="AE212" s="99"/>
      <c r="AF212" s="96"/>
      <c r="AG212" s="1"/>
      <c r="AI212" s="134"/>
      <c r="AJ212" s="55"/>
      <c r="AK212" s="55"/>
      <c r="AL212" s="55"/>
    </row>
    <row r="213" spans="1:38" s="23" customFormat="1" x14ac:dyDescent="0.25">
      <c r="A213" s="39"/>
      <c r="B213" s="7"/>
      <c r="C213" s="24"/>
      <c r="D213" s="24"/>
      <c r="E213" s="15"/>
      <c r="F213" s="15"/>
      <c r="G213" s="7"/>
      <c r="H213" s="15"/>
      <c r="I213" s="15"/>
      <c r="J213" s="7"/>
      <c r="K213" s="121"/>
      <c r="L213" s="24"/>
      <c r="M213" s="6"/>
      <c r="N213" s="7"/>
      <c r="O213" s="7"/>
      <c r="P213" s="7"/>
      <c r="Q213" s="25"/>
      <c r="R213" s="25"/>
      <c r="S213" s="37"/>
      <c r="T213" s="52"/>
      <c r="U213" s="163"/>
      <c r="V213" s="106"/>
      <c r="W213" s="54"/>
      <c r="X213" s="168"/>
      <c r="Y213" s="69"/>
      <c r="Z213" s="69"/>
      <c r="AA213" s="69"/>
      <c r="AB213" s="66"/>
      <c r="AC213" s="62"/>
      <c r="AD213" s="63"/>
      <c r="AE213" s="99"/>
      <c r="AF213" s="96"/>
      <c r="AG213" s="1"/>
      <c r="AH213" s="100"/>
      <c r="AI213" s="134"/>
      <c r="AJ213" s="55"/>
      <c r="AK213" s="55"/>
      <c r="AL213" s="55"/>
    </row>
    <row r="214" spans="1:38" x14ac:dyDescent="0.25">
      <c r="A214" s="39"/>
      <c r="B214" s="7"/>
      <c r="C214" s="24"/>
      <c r="D214" s="24"/>
      <c r="E214" s="15"/>
      <c r="F214" s="15"/>
      <c r="G214" s="7"/>
      <c r="H214" s="15"/>
      <c r="I214" s="15"/>
      <c r="J214" s="7"/>
      <c r="K214" s="121"/>
      <c r="L214" s="24"/>
      <c r="M214" s="6"/>
      <c r="N214" s="7"/>
      <c r="O214" s="7"/>
      <c r="P214" s="7"/>
      <c r="Q214" s="25"/>
      <c r="R214" s="25"/>
      <c r="S214" s="37"/>
      <c r="T214" s="52"/>
      <c r="U214" s="163"/>
      <c r="V214" s="106"/>
      <c r="W214" s="54"/>
      <c r="X214" s="168"/>
      <c r="Y214" s="69"/>
      <c r="Z214" s="69"/>
      <c r="AA214" s="69"/>
      <c r="AB214" s="66"/>
      <c r="AC214" s="62"/>
      <c r="AD214" s="63"/>
      <c r="AE214" s="99"/>
      <c r="AF214" s="96"/>
      <c r="AG214" s="1"/>
      <c r="AI214" s="134"/>
      <c r="AJ214" s="55"/>
      <c r="AK214" s="55"/>
      <c r="AL214" s="55"/>
    </row>
    <row r="215" spans="1:38" x14ac:dyDescent="0.25">
      <c r="A215" s="39"/>
      <c r="B215" s="7"/>
      <c r="C215" s="24"/>
      <c r="D215" s="24"/>
      <c r="E215" s="15"/>
      <c r="F215" s="15"/>
      <c r="G215" s="7"/>
      <c r="H215" s="15"/>
      <c r="I215" s="15"/>
      <c r="J215" s="7"/>
      <c r="K215" s="121"/>
      <c r="L215" s="24"/>
      <c r="M215" s="6"/>
      <c r="N215" s="7"/>
      <c r="O215" s="7"/>
      <c r="P215" s="7"/>
      <c r="Q215" s="25"/>
      <c r="R215" s="25"/>
      <c r="S215" s="37"/>
      <c r="T215" s="52"/>
      <c r="U215" s="163"/>
      <c r="V215" s="106"/>
      <c r="W215" s="54"/>
      <c r="X215" s="168"/>
      <c r="Y215" s="69"/>
      <c r="Z215" s="69"/>
      <c r="AA215" s="69"/>
      <c r="AB215" s="66"/>
      <c r="AC215" s="62"/>
      <c r="AD215" s="63"/>
      <c r="AE215" s="99"/>
      <c r="AF215" s="96"/>
      <c r="AG215" s="1"/>
      <c r="AI215" s="134"/>
      <c r="AJ215" s="55"/>
      <c r="AK215" s="55"/>
      <c r="AL215" s="55"/>
    </row>
    <row r="216" spans="1:38" x14ac:dyDescent="0.25">
      <c r="A216" s="39"/>
      <c r="B216" s="7"/>
      <c r="C216" s="24"/>
      <c r="D216" s="24"/>
      <c r="E216" s="15"/>
      <c r="F216" s="15"/>
      <c r="G216" s="7"/>
      <c r="H216" s="15"/>
      <c r="I216" s="15"/>
      <c r="J216" s="7"/>
      <c r="K216" s="121"/>
      <c r="L216" s="24"/>
      <c r="M216" s="6"/>
      <c r="N216" s="7"/>
      <c r="O216" s="7"/>
      <c r="P216" s="7"/>
      <c r="Q216" s="25"/>
      <c r="R216" s="25"/>
      <c r="S216" s="37"/>
      <c r="T216" s="52"/>
      <c r="U216" s="163"/>
      <c r="V216" s="106"/>
      <c r="W216" s="54"/>
      <c r="X216" s="168"/>
      <c r="Y216" s="69"/>
      <c r="Z216" s="69"/>
      <c r="AA216" s="69"/>
      <c r="AB216" s="66"/>
      <c r="AC216" s="62"/>
      <c r="AD216" s="63"/>
      <c r="AE216" s="99"/>
      <c r="AF216" s="96"/>
      <c r="AG216" s="1"/>
      <c r="AI216" s="134"/>
      <c r="AJ216" s="55"/>
      <c r="AK216" s="55"/>
      <c r="AL216" s="55"/>
    </row>
    <row r="217" spans="1:38" x14ac:dyDescent="0.25">
      <c r="A217" s="39"/>
      <c r="B217" s="7"/>
      <c r="C217" s="24"/>
      <c r="D217" s="24"/>
      <c r="E217" s="15"/>
      <c r="F217" s="15"/>
      <c r="G217" s="7"/>
      <c r="H217" s="15"/>
      <c r="I217" s="15"/>
      <c r="J217" s="7"/>
      <c r="K217" s="121"/>
      <c r="L217" s="24"/>
      <c r="M217" s="6"/>
      <c r="N217" s="7"/>
      <c r="O217" s="7"/>
      <c r="P217" s="7"/>
      <c r="Q217" s="25"/>
      <c r="R217" s="25"/>
      <c r="S217" s="37"/>
      <c r="T217" s="52"/>
      <c r="U217" s="163"/>
      <c r="V217" s="106"/>
      <c r="W217" s="54"/>
      <c r="X217" s="168"/>
      <c r="Y217" s="69"/>
      <c r="Z217" s="69"/>
      <c r="AA217" s="69"/>
      <c r="AB217" s="66"/>
      <c r="AC217" s="62"/>
      <c r="AD217" s="63"/>
      <c r="AE217" s="99"/>
      <c r="AF217" s="96"/>
      <c r="AG217" s="1"/>
      <c r="AI217" s="134"/>
      <c r="AJ217" s="55"/>
      <c r="AK217" s="55"/>
      <c r="AL217" s="55"/>
    </row>
    <row r="218" spans="1:38" x14ac:dyDescent="0.25">
      <c r="A218" s="39"/>
      <c r="B218" s="7"/>
      <c r="C218" s="24"/>
      <c r="D218" s="24"/>
      <c r="E218" s="15"/>
      <c r="F218" s="15"/>
      <c r="G218" s="7"/>
      <c r="H218" s="15"/>
      <c r="I218" s="15"/>
      <c r="J218" s="7"/>
      <c r="K218" s="121"/>
      <c r="L218" s="24"/>
      <c r="M218" s="6"/>
      <c r="N218" s="7"/>
      <c r="O218" s="7"/>
      <c r="P218" s="7"/>
      <c r="Q218" s="25"/>
      <c r="R218" s="25"/>
      <c r="S218" s="37"/>
      <c r="T218" s="52"/>
      <c r="U218" s="163"/>
      <c r="V218" s="106"/>
      <c r="W218" s="54"/>
      <c r="X218" s="168"/>
      <c r="Y218" s="69"/>
      <c r="Z218" s="69"/>
      <c r="AA218" s="69"/>
      <c r="AB218" s="66"/>
      <c r="AC218" s="62"/>
      <c r="AD218" s="63"/>
      <c r="AE218" s="99"/>
      <c r="AF218" s="96"/>
      <c r="AG218" s="1"/>
      <c r="AI218" s="134"/>
      <c r="AJ218" s="55"/>
      <c r="AK218" s="55"/>
      <c r="AL218" s="55"/>
    </row>
    <row r="219" spans="1:38" x14ac:dyDescent="0.25">
      <c r="A219" s="39"/>
      <c r="B219" s="7"/>
      <c r="C219" s="24"/>
      <c r="D219" s="24"/>
      <c r="E219" s="15"/>
      <c r="F219" s="15"/>
      <c r="G219" s="7"/>
      <c r="H219" s="15"/>
      <c r="I219" s="15"/>
      <c r="J219" s="7"/>
      <c r="K219" s="121"/>
      <c r="L219" s="24"/>
      <c r="M219" s="6"/>
      <c r="N219" s="7"/>
      <c r="O219" s="7"/>
      <c r="P219" s="7"/>
      <c r="Q219" s="25"/>
      <c r="R219" s="25"/>
      <c r="S219" s="37"/>
      <c r="T219" s="52"/>
      <c r="U219" s="163"/>
      <c r="V219" s="106"/>
      <c r="W219" s="54"/>
      <c r="X219" s="168"/>
      <c r="Y219" s="69"/>
      <c r="Z219" s="69"/>
      <c r="AA219" s="69"/>
      <c r="AB219" s="66"/>
      <c r="AC219" s="62"/>
      <c r="AD219" s="63"/>
      <c r="AE219" s="99"/>
      <c r="AF219" s="96"/>
      <c r="AG219" s="1"/>
      <c r="AI219" s="134"/>
      <c r="AJ219" s="55"/>
      <c r="AK219" s="55"/>
      <c r="AL219" s="55"/>
    </row>
    <row r="220" spans="1:38" x14ac:dyDescent="0.25">
      <c r="A220" s="39"/>
      <c r="B220" s="7"/>
      <c r="C220" s="24"/>
      <c r="D220" s="24"/>
      <c r="E220" s="15"/>
      <c r="F220" s="15"/>
      <c r="G220" s="7"/>
      <c r="H220" s="15"/>
      <c r="I220" s="15"/>
      <c r="J220" s="7"/>
      <c r="K220" s="121"/>
      <c r="L220" s="24"/>
      <c r="M220" s="6"/>
      <c r="N220" s="7"/>
      <c r="O220" s="7"/>
      <c r="P220" s="7"/>
      <c r="Q220" s="25"/>
      <c r="R220" s="25"/>
      <c r="S220" s="37"/>
      <c r="T220" s="52"/>
      <c r="U220" s="163"/>
      <c r="V220" s="106"/>
      <c r="W220" s="54"/>
      <c r="X220" s="168"/>
      <c r="Y220" s="69"/>
      <c r="Z220" s="69"/>
      <c r="AA220" s="69"/>
      <c r="AB220" s="66"/>
      <c r="AC220" s="62"/>
      <c r="AD220" s="63"/>
      <c r="AE220" s="99"/>
      <c r="AF220" s="96"/>
      <c r="AG220" s="1"/>
      <c r="AI220" s="134"/>
      <c r="AJ220" s="55"/>
      <c r="AK220" s="55"/>
      <c r="AL220" s="55"/>
    </row>
    <row r="221" spans="1:38" x14ac:dyDescent="0.25">
      <c r="A221" s="39"/>
      <c r="B221" s="7"/>
      <c r="C221" s="24"/>
      <c r="D221" s="24"/>
      <c r="E221" s="15"/>
      <c r="F221" s="15"/>
      <c r="G221" s="7"/>
      <c r="H221" s="15"/>
      <c r="I221" s="15"/>
      <c r="J221" s="7"/>
      <c r="K221" s="121"/>
      <c r="L221" s="24"/>
      <c r="M221" s="6"/>
      <c r="N221" s="7"/>
      <c r="O221" s="7"/>
      <c r="P221" s="7"/>
      <c r="Q221" s="25"/>
      <c r="R221" s="25"/>
      <c r="S221" s="37"/>
      <c r="T221" s="52"/>
      <c r="U221" s="163"/>
      <c r="V221" s="106"/>
      <c r="W221" s="54"/>
      <c r="X221" s="168"/>
      <c r="Y221" s="69"/>
      <c r="Z221" s="69"/>
      <c r="AA221" s="69"/>
      <c r="AB221" s="66"/>
      <c r="AC221" s="62"/>
      <c r="AD221" s="63"/>
      <c r="AE221" s="99"/>
      <c r="AF221" s="96"/>
      <c r="AG221" s="1"/>
      <c r="AI221" s="134"/>
      <c r="AJ221" s="55"/>
      <c r="AK221" s="55"/>
      <c r="AL221" s="55"/>
    </row>
    <row r="222" spans="1:38" x14ac:dyDescent="0.25">
      <c r="A222" s="39"/>
      <c r="B222" s="7"/>
      <c r="C222" s="24"/>
      <c r="D222" s="24"/>
      <c r="E222" s="15"/>
      <c r="F222" s="15"/>
      <c r="G222" s="7"/>
      <c r="H222" s="15"/>
      <c r="I222" s="15"/>
      <c r="J222" s="7"/>
      <c r="K222" s="121"/>
      <c r="L222" s="24"/>
      <c r="M222" s="6"/>
      <c r="N222" s="7"/>
      <c r="O222" s="7"/>
      <c r="P222" s="7"/>
      <c r="Q222" s="25"/>
      <c r="R222" s="25"/>
      <c r="S222" s="37"/>
      <c r="T222" s="52"/>
      <c r="U222" s="163"/>
      <c r="V222" s="106"/>
      <c r="W222" s="54"/>
      <c r="X222" s="168"/>
      <c r="Y222" s="69"/>
      <c r="Z222" s="69"/>
      <c r="AA222" s="69"/>
      <c r="AB222" s="66"/>
      <c r="AC222" s="62"/>
      <c r="AD222" s="63"/>
      <c r="AE222" s="99"/>
      <c r="AF222" s="96"/>
      <c r="AG222" s="1"/>
      <c r="AI222" s="134"/>
      <c r="AJ222" s="55"/>
      <c r="AK222" s="55"/>
      <c r="AL222" s="55"/>
    </row>
    <row r="223" spans="1:38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21"/>
      <c r="L223" s="24"/>
      <c r="M223" s="6"/>
      <c r="N223" s="7"/>
      <c r="O223" s="7"/>
      <c r="P223" s="7"/>
      <c r="Q223" s="25"/>
      <c r="R223" s="25"/>
      <c r="S223" s="37"/>
      <c r="T223" s="52"/>
      <c r="U223" s="163"/>
      <c r="V223" s="106"/>
      <c r="W223" s="54"/>
      <c r="X223" s="168"/>
      <c r="Y223" s="69"/>
      <c r="Z223" s="69"/>
      <c r="AA223" s="69"/>
      <c r="AB223" s="66"/>
      <c r="AC223" s="62"/>
      <c r="AD223" s="63"/>
      <c r="AE223" s="99"/>
      <c r="AF223" s="96"/>
      <c r="AG223" s="1"/>
      <c r="AI223" s="134"/>
      <c r="AJ223" s="55"/>
      <c r="AK223" s="55"/>
      <c r="AL223" s="55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21"/>
      <c r="L224" s="24"/>
      <c r="M224" s="6"/>
      <c r="N224" s="7"/>
      <c r="O224" s="7"/>
      <c r="P224" s="7"/>
      <c r="Q224" s="25"/>
      <c r="R224" s="25"/>
      <c r="S224" s="37"/>
      <c r="T224" s="52"/>
      <c r="U224" s="163"/>
      <c r="V224" s="106"/>
      <c r="W224" s="54"/>
      <c r="X224" s="168"/>
      <c r="Y224" s="69"/>
      <c r="Z224" s="69"/>
      <c r="AA224" s="69"/>
      <c r="AB224" s="66"/>
      <c r="AC224" s="62"/>
      <c r="AD224" s="63"/>
      <c r="AE224" s="99"/>
      <c r="AF224" s="96"/>
      <c r="AG224" s="1"/>
      <c r="AI224" s="134"/>
      <c r="AJ224" s="55"/>
      <c r="AK224" s="55"/>
      <c r="AL224" s="55"/>
    </row>
    <row r="225" spans="1:38" s="23" customFormat="1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21"/>
      <c r="L225" s="24"/>
      <c r="M225" s="6"/>
      <c r="N225" s="7"/>
      <c r="O225" s="7"/>
      <c r="P225" s="7"/>
      <c r="Q225" s="25"/>
      <c r="R225" s="25"/>
      <c r="S225" s="37"/>
      <c r="T225" s="52"/>
      <c r="U225" s="163"/>
      <c r="V225" s="106"/>
      <c r="W225" s="54"/>
      <c r="X225" s="168"/>
      <c r="Y225" s="69"/>
      <c r="Z225" s="69"/>
      <c r="AA225" s="69"/>
      <c r="AB225" s="66"/>
      <c r="AC225" s="62"/>
      <c r="AD225" s="63"/>
      <c r="AE225" s="99"/>
      <c r="AF225" s="96"/>
      <c r="AG225" s="1"/>
      <c r="AH225" s="100"/>
      <c r="AI225" s="134"/>
      <c r="AJ225" s="55"/>
      <c r="AK225" s="55"/>
      <c r="AL225" s="55"/>
    </row>
    <row r="226" spans="1:38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21"/>
      <c r="L226" s="24"/>
      <c r="M226" s="6"/>
      <c r="N226" s="7"/>
      <c r="O226" s="7"/>
      <c r="P226" s="7"/>
      <c r="Q226" s="25"/>
      <c r="R226" s="25"/>
      <c r="S226" s="37"/>
      <c r="T226" s="52"/>
      <c r="U226" s="163"/>
      <c r="V226" s="106"/>
      <c r="W226" s="54"/>
      <c r="X226" s="168"/>
      <c r="Y226" s="69"/>
      <c r="Z226" s="69"/>
      <c r="AA226" s="69"/>
      <c r="AB226" s="66"/>
      <c r="AC226" s="62"/>
      <c r="AD226" s="63"/>
      <c r="AE226" s="99"/>
      <c r="AF226" s="96"/>
      <c r="AG226" s="1"/>
      <c r="AI226" s="134"/>
      <c r="AJ226" s="55"/>
      <c r="AK226" s="55"/>
      <c r="AL226" s="55"/>
    </row>
    <row r="227" spans="1:38" s="23" customFormat="1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21"/>
      <c r="L227" s="24"/>
      <c r="M227" s="6"/>
      <c r="N227" s="7"/>
      <c r="O227" s="7"/>
      <c r="P227" s="7"/>
      <c r="Q227" s="25"/>
      <c r="R227" s="25"/>
      <c r="S227" s="37"/>
      <c r="T227" s="52"/>
      <c r="U227" s="163"/>
      <c r="V227" s="106"/>
      <c r="W227" s="54"/>
      <c r="X227" s="168"/>
      <c r="Y227" s="69"/>
      <c r="Z227" s="69"/>
      <c r="AA227" s="69"/>
      <c r="AB227" s="66"/>
      <c r="AC227" s="62"/>
      <c r="AD227" s="63"/>
      <c r="AE227" s="99"/>
      <c r="AF227" s="96"/>
      <c r="AG227" s="1"/>
      <c r="AH227" s="100"/>
      <c r="AI227" s="134"/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21"/>
      <c r="L228" s="24"/>
      <c r="M228" s="6"/>
      <c r="N228" s="7"/>
      <c r="O228" s="7"/>
      <c r="P228" s="7"/>
      <c r="Q228" s="25"/>
      <c r="R228" s="25"/>
      <c r="S228" s="37"/>
      <c r="T228" s="52"/>
      <c r="U228" s="163"/>
      <c r="V228" s="106"/>
      <c r="W228" s="54"/>
      <c r="X228" s="168"/>
      <c r="Y228" s="69"/>
      <c r="Z228" s="69"/>
      <c r="AA228" s="69"/>
      <c r="AB228" s="66"/>
      <c r="AC228" s="62"/>
      <c r="AD228" s="63"/>
      <c r="AE228" s="99"/>
      <c r="AF228" s="96"/>
      <c r="AG228" s="1"/>
      <c r="AI228" s="134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21"/>
      <c r="L229" s="24"/>
      <c r="M229" s="6"/>
      <c r="N229" s="7"/>
      <c r="O229" s="7"/>
      <c r="P229" s="7"/>
      <c r="Q229" s="25"/>
      <c r="R229" s="25"/>
      <c r="S229" s="37"/>
      <c r="T229" s="52"/>
      <c r="U229" s="163"/>
      <c r="V229" s="106"/>
      <c r="W229" s="54"/>
      <c r="X229" s="168"/>
      <c r="Y229" s="69"/>
      <c r="Z229" s="69"/>
      <c r="AA229" s="69"/>
      <c r="AB229" s="66"/>
      <c r="AC229" s="62"/>
      <c r="AD229" s="63"/>
      <c r="AE229" s="99"/>
      <c r="AF229" s="96"/>
      <c r="AG229" s="1"/>
      <c r="AI229" s="134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21"/>
      <c r="L230" s="24"/>
      <c r="M230" s="6"/>
      <c r="N230" s="7"/>
      <c r="O230" s="7"/>
      <c r="P230" s="7"/>
      <c r="Q230" s="25"/>
      <c r="R230" s="25"/>
      <c r="S230" s="37"/>
      <c r="T230" s="52"/>
      <c r="U230" s="163"/>
      <c r="V230" s="106"/>
      <c r="W230" s="54"/>
      <c r="X230" s="168"/>
      <c r="Y230" s="69"/>
      <c r="Z230" s="69"/>
      <c r="AA230" s="69"/>
      <c r="AB230" s="66"/>
      <c r="AC230" s="62"/>
      <c r="AD230" s="63"/>
      <c r="AE230" s="99"/>
      <c r="AF230" s="96"/>
      <c r="AG230" s="1"/>
      <c r="AI230" s="134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21"/>
      <c r="L231" s="24"/>
      <c r="M231" s="6"/>
      <c r="N231" s="7"/>
      <c r="O231" s="7"/>
      <c r="P231" s="7"/>
      <c r="Q231" s="25"/>
      <c r="R231" s="25"/>
      <c r="S231" s="37"/>
      <c r="T231" s="52"/>
      <c r="U231" s="163"/>
      <c r="V231" s="106"/>
      <c r="W231" s="54"/>
      <c r="X231" s="168"/>
      <c r="Y231" s="69"/>
      <c r="Z231" s="69"/>
      <c r="AA231" s="69"/>
      <c r="AB231" s="66"/>
      <c r="AC231" s="62"/>
      <c r="AD231" s="63"/>
      <c r="AE231" s="99"/>
      <c r="AF231" s="96"/>
      <c r="AG231" s="1"/>
      <c r="AI231" s="134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21"/>
      <c r="L232" s="24"/>
      <c r="M232" s="6"/>
      <c r="N232" s="7"/>
      <c r="O232" s="7"/>
      <c r="P232" s="7"/>
      <c r="Q232" s="25"/>
      <c r="R232" s="25"/>
      <c r="S232" s="37"/>
      <c r="T232" s="52"/>
      <c r="U232" s="163"/>
      <c r="V232" s="106"/>
      <c r="W232" s="54"/>
      <c r="X232" s="168"/>
      <c r="Y232" s="69"/>
      <c r="Z232" s="69"/>
      <c r="AA232" s="69"/>
      <c r="AB232" s="66"/>
      <c r="AC232" s="62"/>
      <c r="AD232" s="63"/>
      <c r="AE232" s="99"/>
      <c r="AF232" s="96"/>
      <c r="AG232" s="1"/>
      <c r="AI232" s="134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21"/>
      <c r="L233" s="24"/>
      <c r="M233" s="6"/>
      <c r="N233" s="7"/>
      <c r="O233" s="7"/>
      <c r="P233" s="7"/>
      <c r="Q233" s="25"/>
      <c r="R233" s="25"/>
      <c r="S233" s="37"/>
      <c r="T233" s="52"/>
      <c r="U233" s="163"/>
      <c r="V233" s="106"/>
      <c r="W233" s="54"/>
      <c r="X233" s="168"/>
      <c r="Y233" s="69"/>
      <c r="Z233" s="69"/>
      <c r="AA233" s="69"/>
      <c r="AB233" s="66"/>
      <c r="AC233" s="62"/>
      <c r="AD233" s="63"/>
      <c r="AE233" s="99"/>
      <c r="AF233" s="96"/>
      <c r="AG233" s="1"/>
      <c r="AI233" s="134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21"/>
      <c r="L234" s="24"/>
      <c r="M234" s="6"/>
      <c r="N234" s="7"/>
      <c r="O234" s="7"/>
      <c r="P234" s="7"/>
      <c r="Q234" s="25"/>
      <c r="R234" s="25"/>
      <c r="S234" s="37"/>
      <c r="T234" s="52"/>
      <c r="U234" s="163"/>
      <c r="V234" s="106"/>
      <c r="W234" s="54"/>
      <c r="X234" s="168"/>
      <c r="Y234" s="69"/>
      <c r="Z234" s="69"/>
      <c r="AA234" s="69"/>
      <c r="AB234" s="66"/>
      <c r="AC234" s="62"/>
      <c r="AD234" s="63"/>
      <c r="AE234" s="99"/>
      <c r="AF234" s="96"/>
      <c r="AG234" s="1"/>
      <c r="AI234" s="134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21"/>
      <c r="L235" s="24"/>
      <c r="M235" s="6"/>
      <c r="N235" s="7"/>
      <c r="O235" s="7"/>
      <c r="P235" s="7"/>
      <c r="Q235" s="25"/>
      <c r="R235" s="25"/>
      <c r="S235" s="37"/>
      <c r="T235" s="52"/>
      <c r="U235" s="163"/>
      <c r="V235" s="106"/>
      <c r="W235" s="54"/>
      <c r="X235" s="168"/>
      <c r="Y235" s="69"/>
      <c r="Z235" s="69"/>
      <c r="AA235" s="69"/>
      <c r="AB235" s="66"/>
      <c r="AC235" s="62"/>
      <c r="AD235" s="63"/>
      <c r="AE235" s="99"/>
      <c r="AF235" s="96"/>
      <c r="AG235" s="1"/>
      <c r="AI235" s="134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21"/>
      <c r="L236" s="24"/>
      <c r="M236" s="6"/>
      <c r="N236" s="7"/>
      <c r="O236" s="7"/>
      <c r="P236" s="7"/>
      <c r="Q236" s="25"/>
      <c r="R236" s="25"/>
      <c r="S236" s="37"/>
      <c r="T236" s="52"/>
      <c r="U236" s="163"/>
      <c r="V236" s="106"/>
      <c r="W236" s="54"/>
      <c r="X236" s="168"/>
      <c r="Y236" s="69"/>
      <c r="Z236" s="69"/>
      <c r="AA236" s="69"/>
      <c r="AB236" s="66"/>
      <c r="AC236" s="62"/>
      <c r="AD236" s="63"/>
      <c r="AE236" s="99"/>
      <c r="AF236" s="96"/>
      <c r="AG236" s="1"/>
      <c r="AI236" s="134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21"/>
      <c r="L237" s="24"/>
      <c r="M237" s="6"/>
      <c r="N237" s="7"/>
      <c r="O237" s="7"/>
      <c r="P237" s="7"/>
      <c r="Q237" s="25"/>
      <c r="R237" s="25"/>
      <c r="S237" s="37"/>
      <c r="T237" s="52"/>
      <c r="U237" s="163"/>
      <c r="V237" s="106"/>
      <c r="W237" s="54"/>
      <c r="X237" s="168"/>
      <c r="Y237" s="69"/>
      <c r="Z237" s="69"/>
      <c r="AA237" s="69"/>
      <c r="AB237" s="66"/>
      <c r="AC237" s="62"/>
      <c r="AD237" s="63"/>
      <c r="AE237" s="99"/>
      <c r="AF237" s="96"/>
      <c r="AG237" s="1"/>
      <c r="AI237" s="134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21"/>
      <c r="L238" s="24"/>
      <c r="M238" s="6"/>
      <c r="N238" s="7"/>
      <c r="O238" s="7"/>
      <c r="P238" s="7"/>
      <c r="Q238" s="25"/>
      <c r="R238" s="25"/>
      <c r="S238" s="37"/>
      <c r="T238" s="52"/>
      <c r="U238" s="163"/>
      <c r="V238" s="106"/>
      <c r="W238" s="54"/>
      <c r="X238" s="168"/>
      <c r="Y238" s="69"/>
      <c r="Z238" s="69"/>
      <c r="AA238" s="69"/>
      <c r="AB238" s="66"/>
      <c r="AC238" s="62"/>
      <c r="AD238" s="63"/>
      <c r="AE238" s="99"/>
      <c r="AF238" s="96"/>
      <c r="AG238" s="1"/>
      <c r="AI238" s="134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21"/>
      <c r="L239" s="24"/>
      <c r="M239" s="6"/>
      <c r="N239" s="7"/>
      <c r="O239" s="7"/>
      <c r="P239" s="7"/>
      <c r="Q239" s="25"/>
      <c r="R239" s="25"/>
      <c r="S239" s="37"/>
      <c r="T239" s="52"/>
      <c r="U239" s="163"/>
      <c r="V239" s="106"/>
      <c r="W239" s="54"/>
      <c r="X239" s="168"/>
      <c r="Y239" s="69"/>
      <c r="Z239" s="69"/>
      <c r="AA239" s="69"/>
      <c r="AB239" s="66"/>
      <c r="AC239" s="62"/>
      <c r="AD239" s="63"/>
      <c r="AE239" s="99"/>
      <c r="AF239" s="96"/>
      <c r="AG239" s="1"/>
      <c r="AI239" s="134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21"/>
      <c r="L240" s="24"/>
      <c r="M240" s="6"/>
      <c r="N240" s="7"/>
      <c r="O240" s="7"/>
      <c r="P240" s="7"/>
      <c r="Q240" s="25"/>
      <c r="R240" s="25"/>
      <c r="S240" s="37"/>
      <c r="T240" s="52"/>
      <c r="U240" s="163"/>
      <c r="V240" s="106"/>
      <c r="W240" s="54"/>
      <c r="X240" s="168"/>
      <c r="Y240" s="69"/>
      <c r="Z240" s="69"/>
      <c r="AA240" s="69"/>
      <c r="AB240" s="66"/>
      <c r="AC240" s="62"/>
      <c r="AD240" s="63"/>
      <c r="AE240" s="99"/>
      <c r="AF240" s="96"/>
      <c r="AG240" s="1"/>
      <c r="AI240" s="134"/>
      <c r="AJ240" s="55"/>
      <c r="AK240" s="55"/>
      <c r="AL240" s="55"/>
    </row>
    <row r="241" spans="1:38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21"/>
      <c r="L241" s="24"/>
      <c r="M241" s="6"/>
      <c r="N241" s="7"/>
      <c r="O241" s="7"/>
      <c r="P241" s="7"/>
      <c r="Q241" s="25"/>
      <c r="R241" s="25"/>
      <c r="S241" s="37"/>
      <c r="T241" s="52"/>
      <c r="U241" s="163"/>
      <c r="V241" s="106"/>
      <c r="W241" s="54"/>
      <c r="X241" s="168"/>
      <c r="Y241" s="69"/>
      <c r="Z241" s="69"/>
      <c r="AA241" s="69"/>
      <c r="AB241" s="66"/>
      <c r="AC241" s="62"/>
      <c r="AD241" s="63"/>
      <c r="AE241" s="99"/>
      <c r="AF241" s="96"/>
      <c r="AG241" s="1"/>
      <c r="AI241" s="134"/>
      <c r="AJ241" s="55"/>
      <c r="AK241" s="55"/>
      <c r="AL241" s="55"/>
    </row>
    <row r="242" spans="1:38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21"/>
      <c r="L242" s="24"/>
      <c r="M242" s="6"/>
      <c r="N242" s="7"/>
      <c r="O242" s="7"/>
      <c r="P242" s="7"/>
      <c r="Q242" s="25"/>
      <c r="R242" s="25"/>
      <c r="S242" s="37"/>
      <c r="T242" s="52"/>
      <c r="U242" s="163"/>
      <c r="V242" s="106"/>
      <c r="W242" s="54"/>
      <c r="X242" s="168"/>
      <c r="Y242" s="69"/>
      <c r="Z242" s="69"/>
      <c r="AA242" s="69"/>
      <c r="AB242" s="66"/>
      <c r="AC242" s="62"/>
      <c r="AD242" s="63"/>
      <c r="AE242" s="99"/>
      <c r="AF242" s="96"/>
      <c r="AG242" s="1"/>
      <c r="AI242" s="134"/>
      <c r="AJ242" s="55"/>
      <c r="AK242" s="55"/>
      <c r="AL242" s="55"/>
    </row>
    <row r="243" spans="1:38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21"/>
      <c r="L243" s="24"/>
      <c r="M243" s="6"/>
      <c r="N243" s="7"/>
      <c r="O243" s="7"/>
      <c r="P243" s="7"/>
      <c r="Q243" s="25"/>
      <c r="R243" s="25"/>
      <c r="S243" s="37"/>
      <c r="T243" s="52"/>
      <c r="U243" s="163"/>
      <c r="V243" s="106"/>
      <c r="W243" s="54"/>
      <c r="X243" s="168"/>
      <c r="Y243" s="69"/>
      <c r="Z243" s="69"/>
      <c r="AA243" s="69"/>
      <c r="AB243" s="66"/>
      <c r="AC243" s="62"/>
      <c r="AD243" s="63"/>
      <c r="AE243" s="99"/>
      <c r="AF243" s="96"/>
      <c r="AG243" s="1"/>
      <c r="AI243" s="134"/>
      <c r="AJ243" s="55"/>
      <c r="AK243" s="55"/>
      <c r="AL243" s="55"/>
    </row>
    <row r="244" spans="1:38" x14ac:dyDescent="0.25">
      <c r="A244" s="39"/>
      <c r="B244" s="7"/>
      <c r="C244" s="24"/>
      <c r="D244" s="24"/>
      <c r="E244" s="15"/>
      <c r="F244" s="15"/>
      <c r="G244" s="7"/>
      <c r="H244" s="15"/>
      <c r="I244" s="15"/>
      <c r="J244" s="7"/>
      <c r="K244" s="121"/>
      <c r="L244" s="24"/>
      <c r="M244" s="6"/>
      <c r="N244" s="7"/>
      <c r="O244" s="7"/>
      <c r="P244" s="7"/>
      <c r="Q244" s="25"/>
      <c r="R244" s="25"/>
      <c r="S244" s="37"/>
      <c r="T244" s="52"/>
      <c r="U244" s="163"/>
      <c r="V244" s="106"/>
      <c r="W244" s="54"/>
      <c r="X244" s="168"/>
      <c r="Y244" s="69"/>
      <c r="Z244" s="69"/>
      <c r="AA244" s="69"/>
      <c r="AB244" s="66"/>
      <c r="AC244" s="62"/>
      <c r="AD244" s="63"/>
      <c r="AE244" s="99"/>
      <c r="AF244" s="96"/>
      <c r="AG244" s="1"/>
      <c r="AI244" s="134"/>
      <c r="AJ244" s="55"/>
      <c r="AK244" s="55"/>
      <c r="AL244" s="55"/>
    </row>
    <row r="245" spans="1:38" x14ac:dyDescent="0.25">
      <c r="A245" s="39"/>
      <c r="B245" s="7"/>
      <c r="C245" s="24"/>
      <c r="D245" s="24"/>
      <c r="E245" s="15"/>
      <c r="F245" s="15"/>
      <c r="G245" s="7"/>
      <c r="H245" s="15"/>
      <c r="I245" s="15"/>
      <c r="J245" s="7"/>
      <c r="K245" s="121"/>
      <c r="L245" s="24"/>
      <c r="M245" s="6"/>
      <c r="N245" s="7"/>
      <c r="O245" s="7"/>
      <c r="P245" s="7"/>
      <c r="Q245" s="25"/>
      <c r="R245" s="25"/>
      <c r="S245" s="37"/>
      <c r="T245" s="52"/>
      <c r="U245" s="163"/>
      <c r="V245" s="106"/>
      <c r="W245" s="54"/>
      <c r="X245" s="168"/>
      <c r="Y245" s="69"/>
      <c r="Z245" s="69"/>
      <c r="AA245" s="69"/>
      <c r="AB245" s="66"/>
      <c r="AC245" s="62"/>
      <c r="AD245" s="63"/>
      <c r="AE245" s="99"/>
      <c r="AF245" s="96"/>
      <c r="AG245" s="1"/>
      <c r="AI245" s="134"/>
      <c r="AJ245" s="55"/>
      <c r="AK245" s="55"/>
      <c r="AL245" s="55"/>
    </row>
    <row r="246" spans="1:38" x14ac:dyDescent="0.25">
      <c r="A246" s="39"/>
      <c r="B246" s="7"/>
      <c r="C246" s="24"/>
      <c r="D246" s="24"/>
      <c r="E246" s="15"/>
      <c r="F246" s="15"/>
      <c r="G246" s="7"/>
      <c r="H246" s="15"/>
      <c r="I246" s="15"/>
      <c r="J246" s="7"/>
      <c r="K246" s="121"/>
      <c r="L246" s="24"/>
      <c r="M246" s="6"/>
      <c r="N246" s="7"/>
      <c r="O246" s="7"/>
      <c r="P246" s="7"/>
      <c r="Q246" s="25"/>
      <c r="R246" s="25"/>
      <c r="S246" s="37"/>
      <c r="T246" s="52"/>
      <c r="U246" s="163"/>
      <c r="V246" s="106"/>
      <c r="W246" s="54"/>
      <c r="X246" s="168"/>
      <c r="Y246" s="69"/>
      <c r="Z246" s="69"/>
      <c r="AA246" s="69"/>
      <c r="AB246" s="66"/>
      <c r="AC246" s="62"/>
      <c r="AD246" s="63"/>
      <c r="AE246" s="99"/>
      <c r="AF246" s="96"/>
      <c r="AG246" s="1"/>
      <c r="AI246" s="134"/>
      <c r="AJ246" s="55"/>
      <c r="AK246" s="55"/>
      <c r="AL246" s="55"/>
    </row>
    <row r="247" spans="1:38" x14ac:dyDescent="0.25">
      <c r="A247" s="39"/>
      <c r="B247" s="7"/>
      <c r="C247" s="24"/>
      <c r="D247" s="24"/>
      <c r="E247" s="15"/>
      <c r="F247" s="15"/>
      <c r="G247" s="7"/>
      <c r="H247" s="15"/>
      <c r="I247" s="15"/>
      <c r="J247" s="7"/>
      <c r="K247" s="121"/>
      <c r="L247" s="24"/>
      <c r="M247" s="6"/>
      <c r="N247" s="7"/>
      <c r="O247" s="7"/>
      <c r="P247" s="7"/>
      <c r="Q247" s="25"/>
      <c r="R247" s="25"/>
      <c r="S247" s="37"/>
      <c r="T247" s="52"/>
      <c r="U247" s="163"/>
      <c r="V247" s="106"/>
      <c r="W247" s="54"/>
      <c r="X247" s="168"/>
      <c r="Y247" s="69"/>
      <c r="Z247" s="69"/>
      <c r="AA247" s="69"/>
      <c r="AB247" s="66"/>
      <c r="AC247" s="62"/>
      <c r="AD247" s="63"/>
      <c r="AE247" s="99"/>
      <c r="AF247" s="96"/>
      <c r="AG247" s="1"/>
      <c r="AI247" s="134"/>
      <c r="AJ247" s="55"/>
      <c r="AK247" s="55"/>
      <c r="AL247" s="55"/>
    </row>
    <row r="248" spans="1:38" x14ac:dyDescent="0.25">
      <c r="A248" s="39"/>
      <c r="B248" s="7"/>
      <c r="C248" s="24"/>
      <c r="D248" s="24"/>
      <c r="E248" s="15"/>
      <c r="F248" s="15"/>
      <c r="G248" s="7"/>
      <c r="H248" s="15"/>
      <c r="I248" s="15"/>
      <c r="J248" s="7"/>
      <c r="K248" s="121"/>
      <c r="L248" s="24"/>
      <c r="M248" s="6"/>
      <c r="N248" s="7"/>
      <c r="O248" s="7"/>
      <c r="P248" s="7"/>
      <c r="Q248" s="25"/>
      <c r="R248" s="25"/>
      <c r="S248" s="37"/>
      <c r="T248" s="52"/>
      <c r="U248" s="163"/>
      <c r="V248" s="106"/>
      <c r="W248" s="54"/>
      <c r="X248" s="168"/>
      <c r="Y248" s="69"/>
      <c r="Z248" s="69"/>
      <c r="AA248" s="69"/>
      <c r="AB248" s="66"/>
      <c r="AC248" s="62"/>
      <c r="AD248" s="63"/>
      <c r="AE248" s="99"/>
      <c r="AF248" s="96"/>
      <c r="AG248" s="1"/>
      <c r="AI248" s="134"/>
      <c r="AJ248" s="55"/>
      <c r="AK248" s="55"/>
      <c r="AL248" s="55"/>
    </row>
    <row r="249" spans="1:38" x14ac:dyDescent="0.25">
      <c r="A249" s="39"/>
      <c r="B249" s="7"/>
      <c r="C249" s="24"/>
      <c r="D249" s="24"/>
      <c r="E249" s="15"/>
      <c r="F249" s="15"/>
      <c r="G249" s="7"/>
      <c r="H249" s="15"/>
      <c r="I249" s="15"/>
      <c r="J249" s="7"/>
      <c r="K249" s="121"/>
      <c r="L249" s="24"/>
      <c r="M249" s="6"/>
      <c r="N249" s="7"/>
      <c r="O249" s="7"/>
      <c r="P249" s="7"/>
      <c r="Q249" s="25"/>
      <c r="R249" s="25"/>
      <c r="S249" s="37"/>
      <c r="T249" s="52"/>
      <c r="U249" s="163"/>
      <c r="V249" s="106"/>
      <c r="W249" s="54"/>
      <c r="X249" s="168"/>
      <c r="Y249" s="69"/>
      <c r="Z249" s="69"/>
      <c r="AA249" s="69"/>
      <c r="AB249" s="66"/>
      <c r="AC249" s="62"/>
      <c r="AD249" s="63"/>
      <c r="AE249" s="99"/>
      <c r="AF249" s="96"/>
      <c r="AG249" s="1"/>
      <c r="AI249" s="134"/>
      <c r="AJ249" s="55"/>
      <c r="AK249" s="55"/>
      <c r="AL249" s="55"/>
    </row>
    <row r="250" spans="1:38" x14ac:dyDescent="0.25">
      <c r="A250" s="39"/>
      <c r="B250" s="7"/>
      <c r="C250" s="24"/>
      <c r="D250" s="24"/>
      <c r="E250" s="15"/>
      <c r="F250" s="15"/>
      <c r="G250" s="7"/>
      <c r="H250" s="15"/>
      <c r="I250" s="15"/>
      <c r="J250" s="7"/>
      <c r="K250" s="121"/>
      <c r="L250" s="24"/>
      <c r="M250" s="6"/>
      <c r="N250" s="7"/>
      <c r="O250" s="7"/>
      <c r="P250" s="7"/>
      <c r="Q250" s="25"/>
      <c r="R250" s="25"/>
      <c r="S250" s="37"/>
      <c r="T250" s="52"/>
      <c r="U250" s="163"/>
      <c r="V250" s="106"/>
      <c r="W250" s="54"/>
      <c r="X250" s="168"/>
      <c r="Y250" s="69"/>
      <c r="Z250" s="69"/>
      <c r="AA250" s="69"/>
      <c r="AB250" s="66"/>
      <c r="AC250" s="62"/>
      <c r="AD250" s="63"/>
      <c r="AE250" s="99"/>
      <c r="AF250" s="96"/>
      <c r="AG250" s="1"/>
      <c r="AI250" s="134"/>
      <c r="AJ250" s="55"/>
      <c r="AK250" s="55"/>
      <c r="AL250" s="55"/>
    </row>
    <row r="251" spans="1:38" x14ac:dyDescent="0.25">
      <c r="A251" s="39"/>
      <c r="B251" s="7"/>
      <c r="C251" s="24"/>
      <c r="D251" s="24"/>
      <c r="E251" s="15"/>
      <c r="F251" s="15"/>
      <c r="G251" s="7"/>
      <c r="H251" s="15"/>
      <c r="I251" s="15"/>
      <c r="J251" s="7"/>
      <c r="K251" s="121"/>
      <c r="L251" s="24"/>
      <c r="M251" s="6"/>
      <c r="N251" s="7"/>
      <c r="O251" s="7"/>
      <c r="P251" s="7"/>
      <c r="Q251" s="25"/>
      <c r="R251" s="25"/>
      <c r="S251" s="37"/>
      <c r="T251" s="52"/>
      <c r="U251" s="163"/>
      <c r="V251" s="106"/>
      <c r="W251" s="54"/>
      <c r="X251" s="168"/>
      <c r="Y251" s="69"/>
      <c r="Z251" s="69"/>
      <c r="AA251" s="69"/>
      <c r="AB251" s="66"/>
      <c r="AC251" s="62"/>
      <c r="AD251" s="63"/>
      <c r="AE251" s="99"/>
      <c r="AF251" s="96"/>
      <c r="AG251" s="1"/>
      <c r="AI251" s="134"/>
      <c r="AJ251" s="55"/>
      <c r="AK251" s="55"/>
      <c r="AL251" s="55"/>
    </row>
    <row r="252" spans="1:38" x14ac:dyDescent="0.25">
      <c r="A252" s="39"/>
      <c r="B252" s="7"/>
      <c r="C252" s="24"/>
      <c r="D252" s="24"/>
      <c r="E252" s="15"/>
      <c r="F252" s="15"/>
      <c r="G252" s="7"/>
      <c r="H252" s="15"/>
      <c r="I252" s="15"/>
      <c r="J252" s="7"/>
      <c r="K252" s="121"/>
      <c r="L252" s="24"/>
      <c r="M252" s="6"/>
      <c r="N252" s="7"/>
      <c r="O252" s="7"/>
      <c r="P252" s="7"/>
      <c r="Q252" s="25"/>
      <c r="R252" s="25"/>
      <c r="S252" s="37"/>
      <c r="T252" s="52"/>
      <c r="U252" s="163"/>
      <c r="V252" s="106"/>
      <c r="W252" s="54"/>
      <c r="X252" s="168"/>
      <c r="Y252" s="69"/>
      <c r="Z252" s="69"/>
      <c r="AA252" s="69"/>
      <c r="AB252" s="66"/>
      <c r="AC252" s="62"/>
      <c r="AD252" s="63"/>
      <c r="AE252" s="99"/>
      <c r="AF252" s="96"/>
      <c r="AG252" s="1"/>
      <c r="AI252" s="134"/>
      <c r="AJ252" s="55"/>
      <c r="AK252" s="55"/>
      <c r="AL252" s="55"/>
    </row>
    <row r="253" spans="1:38" x14ac:dyDescent="0.25">
      <c r="A253" s="39"/>
      <c r="B253" s="7"/>
      <c r="C253" s="24"/>
      <c r="D253" s="24"/>
      <c r="E253" s="15"/>
      <c r="F253" s="15"/>
      <c r="G253" s="7"/>
      <c r="H253" s="15"/>
      <c r="I253" s="15"/>
      <c r="J253" s="7"/>
      <c r="K253" s="121"/>
      <c r="L253" s="24"/>
      <c r="M253" s="6"/>
      <c r="N253" s="7"/>
      <c r="O253" s="7"/>
      <c r="P253" s="7"/>
      <c r="Q253" s="25"/>
      <c r="R253" s="25"/>
      <c r="S253" s="37"/>
      <c r="T253" s="52"/>
      <c r="U253" s="163"/>
      <c r="V253" s="106"/>
      <c r="W253" s="54"/>
      <c r="X253" s="168"/>
      <c r="Y253" s="69"/>
      <c r="Z253" s="69"/>
      <c r="AA253" s="69"/>
      <c r="AB253" s="66"/>
      <c r="AC253" s="62"/>
      <c r="AD253" s="63"/>
      <c r="AE253" s="99"/>
      <c r="AF253" s="96"/>
      <c r="AG253" s="1"/>
      <c r="AI253" s="134"/>
      <c r="AJ253" s="55"/>
      <c r="AK253" s="55"/>
      <c r="AL253" s="55"/>
    </row>
    <row r="254" spans="1:38" x14ac:dyDescent="0.25">
      <c r="A254" s="39"/>
      <c r="B254" s="7"/>
      <c r="C254" s="24"/>
      <c r="D254" s="24"/>
      <c r="E254" s="15"/>
      <c r="F254" s="15"/>
      <c r="G254" s="7"/>
      <c r="H254" s="15"/>
      <c r="I254" s="15"/>
      <c r="J254" s="7"/>
      <c r="K254" s="121"/>
      <c r="L254" s="24"/>
      <c r="M254" s="6"/>
      <c r="N254" s="7"/>
      <c r="O254" s="7"/>
      <c r="P254" s="7"/>
      <c r="Q254" s="25"/>
      <c r="R254" s="25"/>
      <c r="S254" s="37"/>
      <c r="T254" s="52"/>
      <c r="U254" s="163"/>
      <c r="V254" s="106"/>
      <c r="W254" s="54"/>
      <c r="X254" s="168"/>
      <c r="Y254" s="69"/>
      <c r="Z254" s="69"/>
      <c r="AA254" s="69"/>
      <c r="AB254" s="66"/>
      <c r="AC254" s="62"/>
      <c r="AD254" s="63"/>
      <c r="AE254" s="99"/>
      <c r="AF254" s="96"/>
      <c r="AG254" s="1"/>
      <c r="AI254" s="134"/>
      <c r="AJ254" s="55"/>
      <c r="AK254" s="55"/>
      <c r="AL254" s="55"/>
    </row>
    <row r="255" spans="1:38" x14ac:dyDescent="0.25">
      <c r="A255" s="39"/>
      <c r="B255" s="7"/>
      <c r="C255" s="24"/>
      <c r="D255" s="24"/>
      <c r="E255" s="15"/>
      <c r="F255" s="15"/>
      <c r="G255" s="7"/>
      <c r="H255" s="15"/>
      <c r="I255" s="15"/>
      <c r="J255" s="7"/>
      <c r="K255" s="121"/>
      <c r="L255" s="24"/>
      <c r="M255" s="6"/>
      <c r="N255" s="7"/>
      <c r="O255" s="7"/>
      <c r="P255" s="7"/>
      <c r="Q255" s="25"/>
      <c r="R255" s="25"/>
      <c r="S255" s="37"/>
      <c r="T255" s="52"/>
      <c r="U255" s="163"/>
      <c r="V255" s="106"/>
      <c r="W255" s="54"/>
      <c r="X255" s="168"/>
      <c r="Y255" s="69"/>
      <c r="Z255" s="69"/>
      <c r="AA255" s="69"/>
      <c r="AB255" s="66"/>
      <c r="AC255" s="62"/>
      <c r="AD255" s="63"/>
      <c r="AE255" s="99"/>
      <c r="AF255" s="96"/>
      <c r="AG255" s="1"/>
      <c r="AI255" s="134"/>
      <c r="AJ255" s="55"/>
      <c r="AK255" s="55"/>
      <c r="AL255" s="55"/>
    </row>
    <row r="256" spans="1:38" x14ac:dyDescent="0.25">
      <c r="A256" s="39"/>
      <c r="B256" s="7"/>
      <c r="C256" s="24"/>
      <c r="D256" s="24"/>
      <c r="E256" s="15"/>
      <c r="F256" s="15"/>
      <c r="G256" s="7"/>
      <c r="H256" s="15"/>
      <c r="I256" s="15"/>
      <c r="J256" s="7"/>
      <c r="K256" s="121"/>
      <c r="L256" s="24"/>
      <c r="M256" s="6"/>
      <c r="N256" s="7"/>
      <c r="O256" s="7"/>
      <c r="P256" s="7"/>
      <c r="Q256" s="25"/>
      <c r="R256" s="25"/>
      <c r="S256" s="37"/>
      <c r="T256" s="52"/>
      <c r="U256" s="163"/>
      <c r="V256" s="106"/>
      <c r="W256" s="54"/>
      <c r="X256" s="168"/>
      <c r="Y256" s="69"/>
      <c r="Z256" s="69"/>
      <c r="AA256" s="69"/>
      <c r="AB256" s="66"/>
      <c r="AC256" s="62"/>
      <c r="AD256" s="63"/>
      <c r="AE256" s="99"/>
      <c r="AF256" s="96"/>
      <c r="AG256" s="1"/>
      <c r="AI256" s="134"/>
      <c r="AJ256" s="55"/>
      <c r="AK256" s="55"/>
      <c r="AL256" s="55"/>
    </row>
    <row r="257" spans="1:38" x14ac:dyDescent="0.25">
      <c r="A257" s="39"/>
      <c r="B257" s="7"/>
      <c r="C257" s="24"/>
      <c r="D257" s="24"/>
      <c r="E257" s="15"/>
      <c r="F257" s="15"/>
      <c r="G257" s="7"/>
      <c r="H257" s="15"/>
      <c r="I257" s="15"/>
      <c r="J257" s="7"/>
      <c r="K257" s="121"/>
      <c r="L257" s="24"/>
      <c r="M257" s="6"/>
      <c r="N257" s="7"/>
      <c r="O257" s="7"/>
      <c r="P257" s="7"/>
      <c r="Q257" s="25"/>
      <c r="R257" s="25"/>
      <c r="S257" s="37"/>
      <c r="T257" s="52"/>
      <c r="U257" s="163"/>
      <c r="V257" s="106"/>
      <c r="W257" s="54"/>
      <c r="X257" s="168"/>
      <c r="Y257" s="69"/>
      <c r="Z257" s="69"/>
      <c r="AA257" s="69"/>
      <c r="AB257" s="66"/>
      <c r="AC257" s="62"/>
      <c r="AD257" s="63"/>
      <c r="AE257" s="99"/>
      <c r="AF257" s="96"/>
      <c r="AG257" s="1"/>
      <c r="AI257" s="134"/>
      <c r="AJ257" s="55"/>
      <c r="AK257" s="55"/>
      <c r="AL257" s="55"/>
    </row>
    <row r="258" spans="1:38" x14ac:dyDescent="0.25">
      <c r="A258" s="39"/>
      <c r="B258" s="7"/>
      <c r="C258" s="24"/>
      <c r="D258" s="24"/>
      <c r="E258" s="15"/>
      <c r="F258" s="15"/>
      <c r="G258" s="7"/>
      <c r="H258" s="15"/>
      <c r="I258" s="15"/>
      <c r="J258" s="7"/>
      <c r="K258" s="121"/>
      <c r="L258" s="24"/>
      <c r="M258" s="6"/>
      <c r="N258" s="7"/>
      <c r="O258" s="7"/>
      <c r="P258" s="7"/>
      <c r="Q258" s="25"/>
      <c r="R258" s="25"/>
      <c r="S258" s="37"/>
      <c r="T258" s="52"/>
      <c r="U258" s="163"/>
      <c r="V258" s="106"/>
      <c r="W258" s="54"/>
      <c r="X258" s="168"/>
      <c r="Y258" s="69"/>
      <c r="Z258" s="69"/>
      <c r="AA258" s="69"/>
      <c r="AB258" s="66"/>
      <c r="AC258" s="62"/>
      <c r="AD258" s="63"/>
      <c r="AE258" s="99"/>
      <c r="AF258" s="96"/>
      <c r="AG258" s="1"/>
      <c r="AI258" s="134"/>
      <c r="AJ258" s="55"/>
      <c r="AK258" s="55"/>
      <c r="AL258" s="55"/>
    </row>
    <row r="259" spans="1:38" x14ac:dyDescent="0.25">
      <c r="A259" s="39"/>
      <c r="B259" s="7"/>
      <c r="C259" s="24"/>
      <c r="D259" s="24"/>
      <c r="E259" s="15"/>
      <c r="F259" s="15"/>
      <c r="G259" s="7"/>
      <c r="H259" s="15"/>
      <c r="I259" s="15"/>
      <c r="J259" s="7"/>
      <c r="K259" s="121"/>
      <c r="L259" s="24"/>
      <c r="M259" s="6"/>
      <c r="N259" s="7"/>
      <c r="O259" s="7"/>
      <c r="P259" s="7"/>
      <c r="Q259" s="25"/>
      <c r="R259" s="25"/>
      <c r="S259" s="37"/>
      <c r="T259" s="52"/>
      <c r="U259" s="163"/>
      <c r="V259" s="106"/>
      <c r="W259" s="54"/>
      <c r="X259" s="168"/>
      <c r="Y259" s="69"/>
      <c r="Z259" s="69"/>
      <c r="AA259" s="69"/>
      <c r="AB259" s="66"/>
      <c r="AC259" s="62"/>
      <c r="AD259" s="63"/>
      <c r="AE259" s="99"/>
      <c r="AF259" s="96"/>
      <c r="AG259" s="1"/>
      <c r="AI259" s="134"/>
      <c r="AJ259" s="55"/>
      <c r="AK259" s="55"/>
      <c r="AL259" s="55"/>
    </row>
    <row r="260" spans="1:38" x14ac:dyDescent="0.25">
      <c r="A260" s="39"/>
      <c r="B260" s="7"/>
      <c r="C260" s="24"/>
      <c r="D260" s="24"/>
      <c r="E260" s="15"/>
      <c r="F260" s="15"/>
      <c r="G260" s="7"/>
      <c r="H260" s="15"/>
      <c r="I260" s="15"/>
      <c r="J260" s="7"/>
      <c r="K260" s="121"/>
      <c r="L260" s="24"/>
      <c r="M260" s="6"/>
      <c r="N260" s="7"/>
      <c r="O260" s="7"/>
      <c r="P260" s="7"/>
      <c r="Q260" s="25"/>
      <c r="R260" s="25"/>
      <c r="S260" s="37"/>
      <c r="T260" s="52"/>
      <c r="U260" s="163"/>
      <c r="V260" s="106"/>
      <c r="W260" s="54"/>
      <c r="X260" s="168"/>
      <c r="Y260" s="69"/>
      <c r="Z260" s="69"/>
      <c r="AA260" s="69"/>
      <c r="AB260" s="66"/>
      <c r="AC260" s="62"/>
      <c r="AD260" s="63"/>
      <c r="AE260" s="99"/>
      <c r="AF260" s="96"/>
      <c r="AG260" s="1"/>
      <c r="AI260" s="134"/>
      <c r="AJ260" s="55"/>
      <c r="AK260" s="55"/>
      <c r="AL260" s="55"/>
    </row>
    <row r="261" spans="1:38" x14ac:dyDescent="0.25">
      <c r="A261" s="39"/>
      <c r="B261" s="7"/>
      <c r="C261" s="24"/>
      <c r="D261" s="24"/>
      <c r="E261" s="15"/>
      <c r="F261" s="15"/>
      <c r="G261" s="7"/>
      <c r="H261" s="15"/>
      <c r="I261" s="15"/>
      <c r="J261" s="7"/>
      <c r="K261" s="121"/>
      <c r="L261" s="24"/>
      <c r="M261" s="6"/>
      <c r="N261" s="7"/>
      <c r="O261" s="7"/>
      <c r="P261" s="7"/>
      <c r="Q261" s="25"/>
      <c r="R261" s="25"/>
      <c r="S261" s="37"/>
      <c r="T261" s="52"/>
      <c r="U261" s="163"/>
      <c r="V261" s="106"/>
      <c r="W261" s="54"/>
      <c r="X261" s="168"/>
      <c r="Y261" s="69"/>
      <c r="Z261" s="69"/>
      <c r="AA261" s="69"/>
      <c r="AB261" s="66"/>
      <c r="AC261" s="62"/>
      <c r="AD261" s="63"/>
      <c r="AE261" s="99"/>
      <c r="AF261" s="96"/>
      <c r="AG261" s="1"/>
      <c r="AI261" s="134"/>
      <c r="AJ261" s="55"/>
      <c r="AK261" s="55"/>
      <c r="AL261" s="55"/>
    </row>
    <row r="262" spans="1:38" x14ac:dyDescent="0.25">
      <c r="A262" s="39"/>
      <c r="B262" s="7"/>
      <c r="C262" s="24"/>
      <c r="D262" s="24"/>
      <c r="E262" s="15"/>
      <c r="F262" s="15"/>
      <c r="G262" s="7"/>
      <c r="H262" s="15"/>
      <c r="I262" s="15"/>
      <c r="J262" s="7"/>
      <c r="K262" s="121"/>
      <c r="L262" s="24"/>
      <c r="M262" s="6"/>
      <c r="N262" s="7"/>
      <c r="O262" s="7"/>
      <c r="P262" s="7"/>
      <c r="Q262" s="25"/>
      <c r="R262" s="25"/>
      <c r="S262" s="37"/>
      <c r="T262" s="52"/>
      <c r="U262" s="163"/>
      <c r="V262" s="106"/>
      <c r="W262" s="54"/>
      <c r="X262" s="168"/>
      <c r="Y262" s="69"/>
      <c r="Z262" s="69"/>
      <c r="AA262" s="69"/>
      <c r="AB262" s="66"/>
      <c r="AC262" s="62"/>
      <c r="AD262" s="63"/>
      <c r="AE262" s="99"/>
      <c r="AF262" s="96"/>
      <c r="AG262" s="1"/>
      <c r="AI262" s="134"/>
      <c r="AJ262" s="55"/>
      <c r="AK262" s="55"/>
      <c r="AL262" s="55"/>
    </row>
    <row r="263" spans="1:38" x14ac:dyDescent="0.25">
      <c r="A263" s="39"/>
      <c r="B263" s="7"/>
      <c r="C263" s="24"/>
      <c r="D263" s="24"/>
      <c r="E263" s="15"/>
      <c r="F263" s="15"/>
      <c r="G263" s="7"/>
      <c r="H263" s="15"/>
      <c r="I263" s="15"/>
      <c r="J263" s="7"/>
      <c r="K263" s="121"/>
      <c r="L263" s="24"/>
      <c r="M263" s="6"/>
      <c r="N263" s="7"/>
      <c r="O263" s="7"/>
      <c r="P263" s="7"/>
      <c r="Q263" s="25"/>
      <c r="R263" s="25"/>
      <c r="S263" s="37"/>
      <c r="T263" s="52"/>
      <c r="U263" s="163"/>
      <c r="V263" s="106"/>
      <c r="W263" s="54"/>
      <c r="X263" s="168"/>
      <c r="Y263" s="69"/>
      <c r="Z263" s="69"/>
      <c r="AA263" s="69"/>
      <c r="AB263" s="66"/>
      <c r="AC263" s="62"/>
      <c r="AD263" s="63"/>
      <c r="AE263" s="99"/>
      <c r="AF263" s="96"/>
      <c r="AG263" s="1"/>
      <c r="AI263" s="134"/>
      <c r="AJ263" s="55"/>
      <c r="AK263" s="55"/>
      <c r="AL263" s="55"/>
    </row>
    <row r="264" spans="1:38" x14ac:dyDescent="0.25">
      <c r="A264" s="39"/>
      <c r="B264" s="7"/>
      <c r="C264" s="24"/>
      <c r="D264" s="24"/>
      <c r="E264" s="15"/>
      <c r="F264" s="15"/>
      <c r="G264" s="7"/>
      <c r="H264" s="15"/>
      <c r="I264" s="15"/>
      <c r="J264" s="7"/>
      <c r="K264" s="121"/>
      <c r="L264" s="24"/>
      <c r="M264" s="6"/>
      <c r="N264" s="7"/>
      <c r="O264" s="7"/>
      <c r="P264" s="7"/>
      <c r="Q264" s="25"/>
      <c r="R264" s="25"/>
      <c r="S264" s="37"/>
      <c r="T264" s="52"/>
      <c r="U264" s="163"/>
      <c r="V264" s="106"/>
      <c r="W264" s="54"/>
      <c r="X264" s="168"/>
      <c r="Y264" s="69"/>
      <c r="Z264" s="69"/>
      <c r="AA264" s="69"/>
      <c r="AB264" s="66"/>
      <c r="AC264" s="62"/>
      <c r="AD264" s="63"/>
      <c r="AE264" s="99"/>
      <c r="AF264" s="96"/>
      <c r="AG264" s="1"/>
      <c r="AI264" s="134"/>
      <c r="AJ264" s="55"/>
      <c r="AK264" s="55"/>
      <c r="AL264" s="55"/>
    </row>
    <row r="265" spans="1:38" x14ac:dyDescent="0.25">
      <c r="A265" s="39"/>
      <c r="B265" s="7"/>
      <c r="C265" s="24"/>
      <c r="D265" s="24"/>
      <c r="E265" s="15"/>
      <c r="F265" s="15"/>
      <c r="G265" s="7"/>
      <c r="H265" s="15"/>
      <c r="I265" s="15"/>
      <c r="J265" s="7"/>
      <c r="K265" s="121"/>
      <c r="L265" s="24"/>
      <c r="M265" s="6"/>
      <c r="N265" s="7"/>
      <c r="O265" s="7"/>
      <c r="P265" s="7"/>
      <c r="Q265" s="25"/>
      <c r="R265" s="25"/>
      <c r="S265" s="37"/>
      <c r="T265" s="52"/>
      <c r="U265" s="163"/>
      <c r="V265" s="106"/>
      <c r="W265" s="54"/>
      <c r="X265" s="168"/>
      <c r="Y265" s="69"/>
      <c r="Z265" s="69"/>
      <c r="AA265" s="69"/>
      <c r="AB265" s="66"/>
      <c r="AC265" s="62"/>
      <c r="AD265" s="63"/>
      <c r="AE265" s="99"/>
      <c r="AF265" s="96"/>
      <c r="AG265" s="1"/>
      <c r="AI265" s="134"/>
      <c r="AJ265" s="55"/>
      <c r="AK265" s="55"/>
      <c r="AL265" s="55"/>
    </row>
    <row r="266" spans="1:38" x14ac:dyDescent="0.25">
      <c r="A266" s="39"/>
      <c r="B266" s="7"/>
      <c r="C266" s="24"/>
      <c r="D266" s="24"/>
      <c r="E266" s="15"/>
      <c r="F266" s="15"/>
      <c r="G266" s="7"/>
      <c r="H266" s="15"/>
      <c r="I266" s="15"/>
      <c r="J266" s="7"/>
      <c r="K266" s="121"/>
      <c r="L266" s="24"/>
      <c r="M266" s="6"/>
      <c r="N266" s="7"/>
      <c r="O266" s="7"/>
      <c r="P266" s="7"/>
      <c r="Q266" s="25"/>
      <c r="R266" s="25"/>
      <c r="S266" s="37"/>
      <c r="T266" s="52"/>
      <c r="U266" s="163"/>
      <c r="V266" s="106"/>
      <c r="W266" s="54"/>
      <c r="X266" s="168"/>
      <c r="Y266" s="69"/>
      <c r="Z266" s="69"/>
      <c r="AA266" s="69"/>
      <c r="AB266" s="66"/>
      <c r="AC266" s="62"/>
      <c r="AD266" s="63"/>
      <c r="AE266" s="99"/>
      <c r="AF266" s="96"/>
      <c r="AG266" s="1"/>
      <c r="AI266" s="134"/>
      <c r="AJ266" s="55"/>
      <c r="AK266" s="55"/>
      <c r="AL266" s="55"/>
    </row>
    <row r="267" spans="1:38" x14ac:dyDescent="0.25">
      <c r="A267" s="39"/>
      <c r="B267" s="7"/>
      <c r="C267" s="24"/>
      <c r="D267" s="24"/>
      <c r="E267" s="15"/>
      <c r="F267" s="15"/>
      <c r="G267" s="7"/>
      <c r="H267" s="15"/>
      <c r="I267" s="15"/>
      <c r="J267" s="7"/>
      <c r="K267" s="121"/>
      <c r="L267" s="24"/>
      <c r="M267" s="6"/>
      <c r="N267" s="7"/>
      <c r="O267" s="7"/>
      <c r="P267" s="7"/>
      <c r="Q267" s="25"/>
      <c r="R267" s="25"/>
      <c r="S267" s="37"/>
      <c r="T267" s="52"/>
      <c r="U267" s="163"/>
      <c r="V267" s="106"/>
      <c r="W267" s="54"/>
      <c r="X267" s="168"/>
      <c r="Y267" s="69"/>
      <c r="Z267" s="69"/>
      <c r="AA267" s="69"/>
      <c r="AB267" s="66"/>
      <c r="AC267" s="62"/>
      <c r="AD267" s="63"/>
      <c r="AE267" s="99"/>
      <c r="AF267" s="96"/>
      <c r="AG267" s="1"/>
      <c r="AI267" s="134"/>
      <c r="AJ267" s="55"/>
      <c r="AK267" s="55"/>
      <c r="AL267" s="55"/>
    </row>
    <row r="268" spans="1:38" x14ac:dyDescent="0.25">
      <c r="A268" s="39"/>
      <c r="B268" s="7"/>
      <c r="C268" s="24"/>
      <c r="D268" s="24"/>
      <c r="E268" s="15"/>
      <c r="F268" s="15"/>
      <c r="G268" s="7"/>
      <c r="H268" s="15"/>
      <c r="I268" s="15"/>
      <c r="J268" s="7"/>
      <c r="K268" s="121"/>
      <c r="L268" s="24"/>
      <c r="M268" s="6"/>
      <c r="N268" s="7"/>
      <c r="O268" s="7"/>
      <c r="P268" s="7"/>
      <c r="Q268" s="25"/>
      <c r="R268" s="25"/>
      <c r="S268" s="37"/>
      <c r="T268" s="52"/>
      <c r="U268" s="163"/>
      <c r="V268" s="106"/>
      <c r="W268" s="54"/>
      <c r="X268" s="168"/>
      <c r="Y268" s="69"/>
      <c r="Z268" s="69"/>
      <c r="AA268" s="69"/>
      <c r="AB268" s="66"/>
      <c r="AC268" s="62"/>
      <c r="AD268" s="63"/>
      <c r="AE268" s="99"/>
      <c r="AF268" s="96"/>
      <c r="AG268" s="1"/>
      <c r="AI268" s="134"/>
      <c r="AJ268" s="55"/>
      <c r="AK268" s="55"/>
      <c r="AL268" s="55"/>
    </row>
    <row r="269" spans="1:38" x14ac:dyDescent="0.25">
      <c r="A269" s="39"/>
      <c r="B269" s="7"/>
      <c r="C269" s="24"/>
      <c r="D269" s="24"/>
      <c r="E269" s="15"/>
      <c r="F269" s="15"/>
      <c r="G269" s="7"/>
      <c r="H269" s="15"/>
      <c r="I269" s="15"/>
      <c r="J269" s="7"/>
      <c r="K269" s="121"/>
      <c r="L269" s="24"/>
      <c r="M269" s="6"/>
      <c r="N269" s="7"/>
      <c r="O269" s="7"/>
      <c r="P269" s="7"/>
      <c r="Q269" s="25"/>
      <c r="R269" s="25"/>
      <c r="S269" s="37"/>
      <c r="T269" s="52"/>
      <c r="U269" s="163"/>
      <c r="V269" s="106"/>
      <c r="W269" s="54"/>
      <c r="X269" s="168"/>
      <c r="Y269" s="69"/>
      <c r="Z269" s="69"/>
      <c r="AA269" s="69"/>
      <c r="AB269" s="66"/>
      <c r="AC269" s="62"/>
      <c r="AD269" s="63"/>
      <c r="AE269" s="99"/>
      <c r="AF269" s="96"/>
      <c r="AG269" s="1"/>
      <c r="AI269" s="134"/>
      <c r="AJ269" s="55"/>
      <c r="AK269" s="55"/>
      <c r="AL269" s="55"/>
    </row>
  </sheetData>
  <autoFilter ref="A12:AG269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9" priority="283" operator="equal">
      <formula>"Y"</formula>
    </cfRule>
  </conditionalFormatting>
  <conditionalFormatting sqref="X13:X1048576">
    <cfRule type="cellIs" dxfId="8" priority="266" operator="greaterThan">
      <formula>1</formula>
    </cfRule>
  </conditionalFormatting>
  <conditionalFormatting sqref="X12:X1048576">
    <cfRule type="cellIs" dxfId="7" priority="263" operator="equal">
      <formula>0</formula>
    </cfRule>
  </conditionalFormatting>
  <conditionalFormatting sqref="A13:S269">
    <cfRule type="expression" dxfId="6" priority="259">
      <formula>$O13&gt;0</formula>
    </cfRule>
  </conditionalFormatting>
  <conditionalFormatting sqref="A13:S269">
    <cfRule type="expression" dxfId="5" priority="258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3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57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A203:S269 S13:S202 A13:Q202</xm:sqref>
        </x14:conditionalFormatting>
        <x14:conditionalFormatting xmlns:xm="http://schemas.microsoft.com/office/excel/2006/main">
          <x14:cfRule type="expression" priority="22" id="{D6615568-1DBD-4E1C-8A52-5CCBB5015DB9}">
            <xm:f>IF($AG13="EC",$N13&gt;'[Train Runs and Enforcements 2016-09-09.xlsm]Variables'!#REF!,$N13&gt;'[Train Runs and Enforcements 2016-09-09.xlsm]Variables'!#REF!)</xm:f>
            <x14:dxf>
              <fill>
                <patternFill>
                  <bgColor theme="5" tint="0.79998168889431442"/>
                </patternFill>
              </fill>
            </x14:dxf>
          </x14:cfRule>
          <xm:sqref>R13:R202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AK13:AK269</xm:sqref>
        </x14:dataValidation>
        <x14:dataValidation type="list" allowBlank="1" showInputMessage="1" showErrorMessage="1">
          <x14:formula1>
            <xm:f>'Redmine List Values'!$C$2:$C$13</xm:f>
          </x14:formula1>
          <xm:sqref>AL13:AL269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72"/>
  <sheetViews>
    <sheetView tabSelected="1" topLeftCell="A2" workbookViewId="0">
      <selection activeCell="P21" sqref="P21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21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61" customWidth="1"/>
    <col min="16" max="16" width="30.7109375" customWidth="1"/>
    <col min="17" max="17" width="5" hidden="1" customWidth="1"/>
    <col min="18" max="18" width="5.5703125" style="97" customWidth="1"/>
    <col min="19" max="19" width="4.42578125" style="109" customWidth="1"/>
    <col min="20" max="20" width="6" style="94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</cols>
  <sheetData>
    <row r="1" spans="1:28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61"/>
      <c r="R1" s="97"/>
      <c r="S1" s="109"/>
      <c r="T1" s="94"/>
      <c r="V1" s="50"/>
    </row>
    <row r="2" spans="1:28" s="23" customFormat="1" x14ac:dyDescent="0.25">
      <c r="A2" s="8"/>
      <c r="F2" s="2"/>
      <c r="G2" s="2"/>
      <c r="H2" s="2"/>
      <c r="I2" s="2"/>
      <c r="K2" s="2"/>
      <c r="L2" s="147" t="s">
        <v>87</v>
      </c>
      <c r="M2" s="151"/>
      <c r="N2" s="122"/>
      <c r="O2" s="171">
        <f>COUNTIF($O$7:$O$401,"=Y")</f>
        <v>4</v>
      </c>
      <c r="P2" s="123"/>
      <c r="R2" s="97"/>
      <c r="S2" s="109"/>
      <c r="T2" s="94"/>
      <c r="V2" s="50"/>
    </row>
    <row r="3" spans="1:28" s="23" customFormat="1" ht="15.75" thickBot="1" x14ac:dyDescent="0.3">
      <c r="A3" s="8"/>
      <c r="F3" s="2"/>
      <c r="G3" s="2"/>
      <c r="H3" s="2"/>
      <c r="I3" s="2"/>
      <c r="K3" s="2"/>
      <c r="L3" s="148" t="s">
        <v>88</v>
      </c>
      <c r="M3" s="152"/>
      <c r="N3" s="124"/>
      <c r="O3" s="172">
        <f>COUNTA($O$7:$O$401)-O2</f>
        <v>32</v>
      </c>
      <c r="P3" s="123"/>
      <c r="R3" s="97"/>
      <c r="S3" s="109"/>
      <c r="T3" s="94"/>
      <c r="V3" s="50"/>
    </row>
    <row r="4" spans="1:28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61"/>
      <c r="R4" s="97"/>
      <c r="S4" s="109"/>
      <c r="T4" s="94"/>
      <c r="V4" s="50"/>
    </row>
    <row r="5" spans="1:28" s="11" customFormat="1" ht="15" customHeight="1" x14ac:dyDescent="0.25">
      <c r="A5" s="175" t="str">
        <f>"Eagle P3 Braking Events - "&amp;TEXT(Variables!$A$2,"YYYY-mm-dd")</f>
        <v>Eagle P3 Braking Events - 2016-09-11</v>
      </c>
      <c r="B5" s="17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2"/>
      <c r="R5" s="107"/>
      <c r="S5" s="110"/>
      <c r="T5" s="112"/>
      <c r="V5" s="51"/>
    </row>
    <row r="6" spans="1:28" s="146" customFormat="1" ht="69.75" customHeight="1" x14ac:dyDescent="0.2">
      <c r="A6" s="135" t="s">
        <v>38</v>
      </c>
      <c r="B6" s="136" t="s">
        <v>37</v>
      </c>
      <c r="C6" s="136" t="s">
        <v>36</v>
      </c>
      <c r="D6" s="136" t="s">
        <v>35</v>
      </c>
      <c r="E6" s="136" t="s">
        <v>34</v>
      </c>
      <c r="F6" s="137" t="s">
        <v>33</v>
      </c>
      <c r="G6" s="137" t="s">
        <v>32</v>
      </c>
      <c r="H6" s="137" t="s">
        <v>31</v>
      </c>
      <c r="I6" s="137" t="s">
        <v>188</v>
      </c>
      <c r="J6" s="136" t="s">
        <v>30</v>
      </c>
      <c r="K6" s="137" t="s">
        <v>29</v>
      </c>
      <c r="L6" s="149" t="s">
        <v>28</v>
      </c>
      <c r="M6" s="137" t="s">
        <v>189</v>
      </c>
      <c r="N6" s="138" t="s">
        <v>47</v>
      </c>
      <c r="O6" s="173" t="s">
        <v>27</v>
      </c>
      <c r="P6" s="136" t="s">
        <v>24</v>
      </c>
      <c r="Q6" s="139"/>
      <c r="R6" s="140" t="s">
        <v>97</v>
      </c>
      <c r="S6" s="141" t="s">
        <v>61</v>
      </c>
      <c r="T6" s="142" t="s">
        <v>96</v>
      </c>
      <c r="U6" s="136" t="s">
        <v>91</v>
      </c>
      <c r="V6" s="143" t="s">
        <v>92</v>
      </c>
      <c r="W6" s="139" t="s">
        <v>104</v>
      </c>
      <c r="X6" s="139" t="s">
        <v>105</v>
      </c>
      <c r="Y6" s="144" t="s">
        <v>166</v>
      </c>
      <c r="Z6" s="145" t="s">
        <v>167</v>
      </c>
      <c r="AA6" s="145" t="s">
        <v>139</v>
      </c>
      <c r="AB6" s="145" t="s">
        <v>168</v>
      </c>
    </row>
    <row r="7" spans="1:28" s="1" customFormat="1" x14ac:dyDescent="0.25">
      <c r="A7" s="38">
        <v>42624.260335648149</v>
      </c>
      <c r="B7" s="33" t="s">
        <v>185</v>
      </c>
      <c r="C7" s="33" t="s">
        <v>383</v>
      </c>
      <c r="D7" s="33" t="s">
        <v>49</v>
      </c>
      <c r="E7" s="33" t="s">
        <v>174</v>
      </c>
      <c r="F7" s="49">
        <v>320</v>
      </c>
      <c r="G7" s="49">
        <v>403</v>
      </c>
      <c r="H7" s="49">
        <v>35267</v>
      </c>
      <c r="I7" s="49">
        <v>34084</v>
      </c>
      <c r="J7" s="33" t="s">
        <v>173</v>
      </c>
      <c r="K7" s="49">
        <v>33257</v>
      </c>
      <c r="L7" s="150" t="s">
        <v>53</v>
      </c>
      <c r="M7" s="153">
        <f>CONVERT((I7-K7)/10000,"mi","ft")*IF(L7="Increasing Mileposts (1)",-1,1)</f>
        <v>436.65600000000001</v>
      </c>
      <c r="N7" s="92" t="str">
        <f>VLOOKUP(C7,'Trips&amp;Operators'!$C$1:$E$99999,3,FALSE)</f>
        <v>MALAVE</v>
      </c>
      <c r="O7" s="174" t="s">
        <v>86</v>
      </c>
      <c r="P7" s="10" t="s">
        <v>721</v>
      </c>
      <c r="Q7" s="33"/>
      <c r="R7" s="108" t="str">
        <f>VLOOKUP(C7,'Train Runs'!$A$13:$AE$10032,31,0)</f>
        <v>aws s3 cp s3://rtdc.mdm.uploadarchive/RTDC4010/2016-09-11/ "%USERPROFILE%\AppData\Local\Temp\OnboardLogs"\RTDC4010\2016-09-11 --recursive &amp; "%USERPROFILE%\Documents\GitHub\mrs-test-scripts\Headless Mode &amp; Sideloading\WalkAndUnGZ.bat" "%USERPROFILE%\AppData\Local\Temp\OnboardLogs"\RTDC4010\2016-09-11 &amp; 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</v>
      </c>
      <c r="S7" s="111" t="str">
        <f>VLOOKUP(C7,'Train Runs'!$A$13:$AE$10032,22,0)</f>
        <v>https://search-rtdc-monitor-bjffxe2xuh6vdkpspy63sjmuny.us-east-1.es.amazonaws.com/_plugin/kibana/#/discover/Steve-Slow-Train-Analysis-(2080s-and-2083s)?_g=(refreshInterval:(display:Off,section:0,value:0),time:(from:'2016-09-11 04:37:53-0600',mode:absolute,to:'2016-09-11 07:25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7" s="113" t="str">
        <f t="shared" ref="T7:T42" si="0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/stypes="*4010*201609111*" /stext=" 12:.+((SYSTEM_STATE.+slice.+state.+changed )|(ment ac)|(system.+state.+changed )|(\|lc)|(penalty)|(\[timeout)|(PRM\|1\|D)|(kpr)|(kdp))" /e /r /s</v>
      </c>
      <c r="U7" s="9" t="str">
        <f t="shared" ref="U7:U42" si="1">MID(B7,13,4)</f>
        <v>4010</v>
      </c>
      <c r="V7" s="38">
        <f t="shared" ref="V7:V42" si="2">A7+6/24</f>
        <v>42624.510335648149</v>
      </c>
      <c r="W7" s="52" t="str">
        <f t="shared" ref="W7:W42" si="3">IF(VALUE(LEFT(IF(LEN(C7)=6,"0"&amp;C7,C7),2))&lt;=2,"EC",IF(OR(VALUE(LEFT(IF(LEN(C7)=6,"0"&amp;C7,C7),2))=8,VALUE(LEFT(IF(LEN(C7)=6,"0"&amp;C7,C7),2))=18),"NW","Other"))</f>
        <v>EC</v>
      </c>
      <c r="X7" s="52" t="str">
        <f t="shared" ref="X7:X42" si="4">IF(AND(E7="TRACK WARRANT AUTHORITY",G7&lt;10),"OMIT","KEEP")</f>
        <v>KEEP</v>
      </c>
      <c r="Y7" s="134" t="str">
        <f t="shared" ref="Y7:Y42" si="5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arrival","project_id":79,"tracker_id":40,"status_id":1,"priority_id":2,"assigned_to_id":23,"start_date":"2016-09-11","description":"","custom_fields":[{"id":1,"name":"Subdivision","value":"EC"},{"id":4,"name":"Milepost","value":"3.3257"},{"id":17,"name":"Train ID","value":"110-11"},{"id":16,"name":"Locomotive ID","value":"4010"},{"id":130,"name":"Impact","value":""},{"id":150,"name":"Time of Event (Mountain Time)","value":"06:14:53"},{"id":151,"name":"Denver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55"/>
    </row>
    <row r="8" spans="1:28" s="1" customFormat="1" x14ac:dyDescent="0.25">
      <c r="A8" s="38">
        <v>42624.413310185184</v>
      </c>
      <c r="B8" s="33" t="s">
        <v>184</v>
      </c>
      <c r="C8" s="33" t="s">
        <v>392</v>
      </c>
      <c r="D8" s="33" t="s">
        <v>49</v>
      </c>
      <c r="E8" s="33" t="s">
        <v>174</v>
      </c>
      <c r="F8" s="49">
        <v>0</v>
      </c>
      <c r="G8" s="49">
        <v>112</v>
      </c>
      <c r="H8" s="49">
        <v>54182</v>
      </c>
      <c r="I8" s="49">
        <v>53940</v>
      </c>
      <c r="J8" s="33" t="s">
        <v>173</v>
      </c>
      <c r="K8" s="49">
        <v>53277</v>
      </c>
      <c r="L8" s="150" t="s">
        <v>53</v>
      </c>
      <c r="M8" s="153">
        <f>CONVERT((I8-K8)/10000,"mi","ft")*IF(L8="Increasing Mileposts (1)",-1,1)</f>
        <v>350.06400000000002</v>
      </c>
      <c r="N8" s="92" t="str">
        <f>VLOOKUP(C8,'Trips&amp;Operators'!$C$1:$E$99999,3,FALSE)</f>
        <v>STRICKLAND</v>
      </c>
      <c r="O8" s="174" t="s">
        <v>86</v>
      </c>
      <c r="P8" s="10" t="s">
        <v>722</v>
      </c>
      <c r="Q8" s="33"/>
      <c r="R8" s="108" t="str">
        <f>VLOOKUP(C8,'Train Runs'!$A$13:$AE$10032,31,0)</f>
        <v>aws s3 cp s3://rtdc.mdm.uploadarchive/RTDC4041/2016-09-11/ "%USERPROFILE%\AppData\Local\Temp\OnboardLogs"\RTDC4041\2016-09-11 --recursive &amp; "%USERPROFILE%\Documents\GitHub\mrs-test-scripts\Headless Mode &amp; Sideloading\WalkAndUnGZ.bat" "%USERPROFILE%\AppData\Local\Temp\OnboardLogs"\RTDC4041\2016-09-11 &amp; 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</v>
      </c>
      <c r="S8" s="111" t="str">
        <f>VLOOKUP(C8,'Train Runs'!$A$13:$AE$10032,22,0)</f>
        <v>https://search-rtdc-monitor-bjffxe2xuh6vdkpspy63sjmuny.us-east-1.es.amazonaws.com/_plugin/kibana/#/discover/Steve-Slow-Train-Analysis-(2080s-and-2083s)?_g=(refreshInterval:(display:Off,section:0,value:0),time:(from:'2016-09-11 08:18:46-0600',mode:absolute,to:'2016-09-11 11:09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8" s="113" t="str">
        <f t="shared" si="0"/>
        <v>"C:\Program Files (x86)\AstroGrep\AstroGrep.exe" /spath="%USERPROFILE%\AppData\Local\Temp\OnboardLogs" /stypes="*4041*201609111*" /stext=" 15:.+((SYSTEM_STATE.+slice.+state.+changed )|(ment ac)|(system.+state.+changed )|(\|lc)|(penalty)|(\[timeout)|(PRM\|1\|D)|(kpr)|(kdp))" /e /r /s</v>
      </c>
      <c r="U8" s="9" t="str">
        <f t="shared" si="1"/>
        <v>4041</v>
      </c>
      <c r="V8" s="38">
        <f t="shared" si="2"/>
        <v>42624.663310185184</v>
      </c>
      <c r="W8" s="52" t="str">
        <f t="shared" si="3"/>
        <v>EC</v>
      </c>
      <c r="X8" s="52" t="str">
        <f t="shared" si="4"/>
        <v>KEEP</v>
      </c>
      <c r="Y8" s="134" t="str">
        <f t="shared" si="5"/>
        <v>echo {"issue":{"subject":"Form C","project_id":79,"tracker_id":40,"status_id":1,"priority_id":2,"assigned_to_id":23,"start_date":"2016-09-11","description":"","custom_fields":[{"id":1,"name":"Subdivision","value":"EC"},{"id":4,"name":"Milepost","value":"5.3277"},{"id":17,"name":"Train ID","value":"140-11"},{"id":16,"name":"Locomotive ID","value":"4041"},{"id":130,"name":"Impact","value":""},{"id":150,"name":"Time of Event (Mountain Time)","value":"09:55:10"},{"id":151,"name":"Denver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55"/>
    </row>
    <row r="9" spans="1:28" s="1" customFormat="1" x14ac:dyDescent="0.25">
      <c r="A9" s="38">
        <v>42624.422118055554</v>
      </c>
      <c r="B9" s="33" t="s">
        <v>179</v>
      </c>
      <c r="C9" s="33" t="s">
        <v>393</v>
      </c>
      <c r="D9" s="33" t="s">
        <v>49</v>
      </c>
      <c r="E9" s="33" t="s">
        <v>174</v>
      </c>
      <c r="F9" s="49">
        <v>0</v>
      </c>
      <c r="G9" s="49">
        <v>170</v>
      </c>
      <c r="H9" s="49">
        <v>53795</v>
      </c>
      <c r="I9" s="49">
        <v>53635</v>
      </c>
      <c r="J9" s="33" t="s">
        <v>173</v>
      </c>
      <c r="K9" s="49">
        <v>53277</v>
      </c>
      <c r="L9" s="150" t="s">
        <v>53</v>
      </c>
      <c r="M9" s="153">
        <f>CONVERT((I9-K9)/10000,"mi","ft")*IF(L9="Increasing Mileposts (1)",-1,1)</f>
        <v>189.024</v>
      </c>
      <c r="N9" s="92" t="str">
        <f>VLOOKUP(C9,'Trips&amp;Operators'!$C$1:$E$99999,3,FALSE)</f>
        <v>KILLION</v>
      </c>
      <c r="O9" s="174" t="s">
        <v>86</v>
      </c>
      <c r="P9" s="10" t="s">
        <v>722</v>
      </c>
      <c r="Q9" s="33"/>
      <c r="R9" s="108" t="str">
        <f>VLOOKUP(C9,'Train Runs'!$A$13:$AE$10032,31,0)</f>
        <v>aws s3 cp s3://rtdc.mdm.uploadarchive/RTDC4026/2016-09-11/ "%USERPROFILE%\AppData\Local\Temp\OnboardLogs"\RTDC4026\2016-09-11 --recursive &amp; "%USERPROFILE%\Documents\GitHub\mrs-test-scripts\Headless Mode &amp; Sideloading\WalkAndUnGZ.bat" "%USERPROFILE%\AppData\Local\Temp\OnboardLogs"\RTDC4026\2016-09-11 &amp; 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</v>
      </c>
      <c r="S9" s="111" t="str">
        <f>VLOOKUP(C9,'Train Runs'!$A$13:$AE$10032,22,0)</f>
        <v>https://search-rtdc-monitor-bjffxe2xuh6vdkpspy63sjmuny.us-east-1.es.amazonaws.com/_plugin/kibana/#/discover/Steve-Slow-Train-Analysis-(2080s-and-2083s)?_g=(refreshInterval:(display:Off,section:0,value:0),time:(from:'2016-09-11 08:29:52-0600',mode:absolute,to:'2016-09-11 11:22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9" s="113" t="str">
        <f t="shared" si="0"/>
        <v>"C:\Program Files (x86)\AstroGrep\AstroGrep.exe" /spath="%USERPROFILE%\AppData\Local\Temp\OnboardLogs" /stypes="*4026*201609111*" /stext=" 16:.+((SYSTEM_STATE.+slice.+state.+changed )|(ment ac)|(system.+state.+changed )|(\|lc)|(penalty)|(\[timeout)|(PRM\|1\|D)|(kpr)|(kdp))" /e /r /s</v>
      </c>
      <c r="U9" s="9" t="str">
        <f t="shared" si="1"/>
        <v>4026</v>
      </c>
      <c r="V9" s="38">
        <f t="shared" si="2"/>
        <v>42624.672118055554</v>
      </c>
      <c r="W9" s="52" t="str">
        <f t="shared" si="3"/>
        <v>EC</v>
      </c>
      <c r="X9" s="52" t="str">
        <f t="shared" si="4"/>
        <v>KEEP</v>
      </c>
      <c r="Y9" s="134" t="str">
        <f t="shared" si="5"/>
        <v>echo {"issue":{"subject":"Form C","project_id":79,"tracker_id":40,"status_id":1,"priority_id":2,"assigned_to_id":23,"start_date":"2016-09-11","description":"","custom_fields":[{"id":1,"name":"Subdivision","value":"EC"},{"id":4,"name":"Milepost","value":"5.3277"},{"id":17,"name":"Train ID","value":"142-11"},{"id":16,"name":"Locomotive ID","value":"4026"},{"id":130,"name":"Impact","value":""},{"id":150,"name":"Time of Event (Mountain Time)","value":"10:07:51"},{"id":151,"name":"Denver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55"/>
    </row>
    <row r="10" spans="1:28" s="1" customFormat="1" x14ac:dyDescent="0.25">
      <c r="A10" s="38">
        <v>42624.261562500003</v>
      </c>
      <c r="B10" s="33" t="s">
        <v>184</v>
      </c>
      <c r="C10" s="33" t="s">
        <v>384</v>
      </c>
      <c r="D10" s="33" t="s">
        <v>49</v>
      </c>
      <c r="E10" s="33" t="s">
        <v>174</v>
      </c>
      <c r="F10" s="49">
        <v>0</v>
      </c>
      <c r="G10" s="49">
        <v>407</v>
      </c>
      <c r="H10" s="49">
        <v>109292</v>
      </c>
      <c r="I10" s="49">
        <v>108697</v>
      </c>
      <c r="J10" s="33" t="s">
        <v>173</v>
      </c>
      <c r="K10" s="49">
        <v>109135</v>
      </c>
      <c r="L10" s="150" t="s">
        <v>53</v>
      </c>
      <c r="M10" s="153">
        <f>CONVERT((I10-K10)/10000,"mi","ft")*IF(L10="Increasing Mileposts (1)",-1,1)</f>
        <v>-231.26400000000001</v>
      </c>
      <c r="N10" s="92" t="str">
        <f>VLOOKUP(C10,'Trips&amp;Operators'!$C$1:$E$99999,3,FALSE)</f>
        <v>STRICKLAND</v>
      </c>
      <c r="O10" s="174" t="s">
        <v>86</v>
      </c>
      <c r="P10" s="10" t="s">
        <v>721</v>
      </c>
      <c r="Q10" s="33"/>
      <c r="R10" s="108" t="str">
        <f>VLOOKUP(C10,'Train Runs'!$A$13:$AE$10032,31,0)</f>
        <v>aws s3 cp s3://rtdc.mdm.uploadarchive/RTDC4041/2016-09-11/ "%USERPROFILE%\AppData\Local\Temp\OnboardLogs"\RTDC4041\2016-09-11 --recursive &amp; "%USERPROFILE%\Documents\GitHub\mrs-test-scripts\Headless Mode &amp; Sideloading\WalkAndUnGZ.bat" "%USERPROFILE%\AppData\Local\Temp\OnboardLogs"\RTDC4041\2016-09-11 &amp; 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</v>
      </c>
      <c r="S10" s="111" t="str">
        <f>VLOOKUP(C10,'Train Runs'!$A$13:$AE$10032,22,0)</f>
        <v>https://search-rtdc-monitor-bjffxe2xuh6vdkpspy63sjmuny.us-east-1.es.amazonaws.com/_plugin/kibana/#/discover/Steve-Slow-Train-Analysis-(2080s-and-2083s)?_g=(refreshInterval:(display:Off,section:0,value:0),time:(from:'2016-09-11 04:51:53-0600',mode:absolute,to:'2016-09-11 07:34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10" s="113" t="str">
        <f t="shared" si="0"/>
        <v>"C:\Program Files (x86)\AstroGrep\AstroGrep.exe" /spath="%USERPROFILE%\AppData\Local\Temp\OnboardLogs" /stypes="*4041*201609111*" /stext=" 12:.+((SYSTEM_STATE.+slice.+state.+changed )|(ment ac)|(system.+state.+changed )|(\|lc)|(penalty)|(\[timeout)|(PRM\|1\|D)|(kpr)|(kdp))" /e /r /s</v>
      </c>
      <c r="U10" s="9" t="str">
        <f t="shared" si="1"/>
        <v>4041</v>
      </c>
      <c r="V10" s="38">
        <f t="shared" si="2"/>
        <v>42624.511562500003</v>
      </c>
      <c r="W10" s="52" t="str">
        <f t="shared" si="3"/>
        <v>EC</v>
      </c>
      <c r="X10" s="52" t="str">
        <f t="shared" si="4"/>
        <v>KEEP</v>
      </c>
      <c r="Y10" s="134" t="str">
        <f t="shared" si="5"/>
        <v>echo {"issue":{"subject":"Early arrival","project_id":79,"tracker_id":40,"status_id":1,"priority_id":2,"assigned_to_id":23,"start_date":"2016-09-11","description":"","custom_fields":[{"id":1,"name":"Subdivision","value":"EC"},{"id":4,"name":"Milepost","value":"10.9135"},{"id":17,"name":"Train ID","value":"112-11"},{"id":16,"name":"Locomotive ID","value":"4041"},{"id":130,"name":"Impact","value":""},{"id":150,"name":"Time of Event (Mountain Time)","value":"06:16:39"},{"id":151,"name":"Denver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55"/>
    </row>
    <row r="11" spans="1:28" s="1" customFormat="1" x14ac:dyDescent="0.25">
      <c r="A11" s="38">
        <v>42624.427905092591</v>
      </c>
      <c r="B11" s="33" t="s">
        <v>186</v>
      </c>
      <c r="C11" s="33" t="s">
        <v>394</v>
      </c>
      <c r="D11" s="33" t="s">
        <v>106</v>
      </c>
      <c r="E11" s="33" t="s">
        <v>56</v>
      </c>
      <c r="F11" s="49">
        <v>150</v>
      </c>
      <c r="G11" s="49">
        <v>207</v>
      </c>
      <c r="H11" s="49">
        <v>1962</v>
      </c>
      <c r="I11" s="49">
        <v>2294</v>
      </c>
      <c r="J11" s="33" t="s">
        <v>57</v>
      </c>
      <c r="K11" s="49">
        <v>0</v>
      </c>
      <c r="L11" s="150" t="s">
        <v>52</v>
      </c>
      <c r="M11" s="153">
        <f>CONVERT((I11-K11)/10000,"mi","ft")*IF(L11="Increasing Mileposts (1)",-1,1)</f>
        <v>-1211.232</v>
      </c>
      <c r="N11" s="92" t="str">
        <f>VLOOKUP(C11,'Trips&amp;Operators'!$C$1:$E$99999,3,FALSE)</f>
        <v>STRICKLAND</v>
      </c>
      <c r="O11" s="174" t="s">
        <v>86</v>
      </c>
      <c r="P11" s="10"/>
      <c r="Q11" s="33"/>
      <c r="R11" s="108" t="str">
        <f>VLOOKUP(C11,'Train Runs'!$A$13:$AE$10032,31,0)</f>
        <v>aws s3 cp s3://rtdc.mdm.uploadarchive/RTDC4042/2016-09-11/ "%USERPROFILE%\AppData\Local\Temp\OnboardLogs"\RTDC4042\2016-09-11 --recursive &amp; "%USERPROFILE%\Documents\GitHub\mrs-test-scripts\Headless Mode &amp; Sideloading\WalkAndUnGZ.bat" "%USERPROFILE%\AppData\Local\Temp\OnboardLogs"\RTDC4042\2016-09-11 &amp; 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</v>
      </c>
      <c r="S11" s="111" t="str">
        <f>VLOOKUP(C11,'Train Runs'!$A$13:$AE$10032,22,0)</f>
        <v>https://search-rtdc-monitor-bjffxe2xuh6vdkpspy63sjmuny.us-east-1.es.amazonaws.com/_plugin/kibana/#/discover/Steve-Slow-Train-Analysis-(2080s-and-2083s)?_g=(refreshInterval:(display:Off,section:0,value:0),time:(from:'2016-09-11 09:11:20-0600',mode:absolute,to:'2016-09-11 11:53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T11" s="113" t="str">
        <f t="shared" si="0"/>
        <v>"C:\Program Files (x86)\AstroGrep\AstroGrep.exe" /spath="%USERPROFILE%\AppData\Local\Temp\OnboardLogs" /stypes="*4042*201609111*" /stext=" 16:.+((SYSTEM_STATE.+slice.+state.+changed )|(ment ac)|(system.+state.+changed )|(\|lc)|(penalty)|(\[timeout)|(PRM\|1\|D)|(kpr)|(kdp))" /e /r /s</v>
      </c>
      <c r="U11" s="9" t="str">
        <f t="shared" si="1"/>
        <v>4042</v>
      </c>
      <c r="V11" s="38">
        <f t="shared" si="2"/>
        <v>42624.677905092591</v>
      </c>
      <c r="W11" s="52" t="str">
        <f t="shared" si="3"/>
        <v>EC</v>
      </c>
      <c r="X11" s="52" t="str">
        <f t="shared" si="4"/>
        <v>KEEP</v>
      </c>
      <c r="Y11" s="134" t="str">
        <f t="shared" si="5"/>
        <v>echo {"issue":{"subject":"","project_id":79,"tracker_id":40,"status_id":1,"priority_id":2,"assigned_to_id":23,"start_date":"2016-09-11","description":"","custom_fields":[{"id":1,"name":"Subdivision","value":"EC"},{"id":4,"name":"Milepost","value":"0"},{"id":17,"name":"Train ID","value":"153-11"},{"id":16,"name":"Locomotive ID","value":"4042"},{"id":130,"name":"Impact","value":""},{"id":150,"name":"Time of Event (Mountain Time)","value":"10:16:11"},{"id":151,"name":"Denver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55"/>
    </row>
    <row r="12" spans="1:28" s="1" customFormat="1" x14ac:dyDescent="0.25">
      <c r="A12" s="38">
        <v>42624.75273148148</v>
      </c>
      <c r="B12" s="33" t="s">
        <v>170</v>
      </c>
      <c r="C12" s="33" t="s">
        <v>408</v>
      </c>
      <c r="D12" s="33" t="s">
        <v>49</v>
      </c>
      <c r="E12" s="33" t="s">
        <v>56</v>
      </c>
      <c r="F12" s="49">
        <v>400</v>
      </c>
      <c r="G12" s="49">
        <v>562</v>
      </c>
      <c r="H12" s="49">
        <v>14619</v>
      </c>
      <c r="I12" s="49">
        <v>17624</v>
      </c>
      <c r="J12" s="33" t="s">
        <v>57</v>
      </c>
      <c r="K12" s="49">
        <v>17867</v>
      </c>
      <c r="L12" s="150" t="s">
        <v>52</v>
      </c>
      <c r="M12" s="153"/>
      <c r="N12" s="92" t="str">
        <f>VLOOKUP(C12,'Trips&amp;Operators'!$C$1:$E$99999,3,FALSE)</f>
        <v>SHOOK</v>
      </c>
      <c r="O12" s="174" t="s">
        <v>86</v>
      </c>
      <c r="P12" s="10"/>
      <c r="Q12" s="33"/>
      <c r="R12" s="108" t="str">
        <f>VLOOKUP(C12,'Train Runs'!$A$13:$AE$10032,31,0)</f>
        <v>aws s3 cp s3://rtdc.mdm.uploadarchive/RTDC4020/2016-09-11/ "%USERPROFILE%\AppData\Local\Temp\OnboardLogs"\RTDC4020\2016-09-11 --recursive &amp; "%USERPROFILE%\Documents\GitHub\mrs-test-scripts\Headless Mode &amp; Sideloading\WalkAndUnGZ.bat" "%USERPROFILE%\AppData\Local\Temp\OnboardLogs"\RTDC4020\2016-09-11 &amp; 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</v>
      </c>
      <c r="S12" s="111" t="str">
        <f>VLOOKUP(C12,'Train Runs'!$A$13:$AE$10032,22,0)</f>
        <v>https://search-rtdc-monitor-bjffxe2xuh6vdkpspy63sjmuny.us-east-1.es.amazonaws.com/_plugin/kibana/#/discover/Steve-Slow-Train-Analysis-(2080s-and-2083s)?_g=(refreshInterval:(display:Off,section:0,value:0),time:(from:'2016-09-11 16:52:28-0600',mode:absolute,to:'2016-09-11 19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12" s="113" t="str">
        <f t="shared" si="0"/>
        <v>"C:\Program Files (x86)\AstroGrep\AstroGrep.exe" /spath="%USERPROFILE%\AppData\Local\Temp\OnboardLogs" /stypes="*4020*201609120*" /stext=" 00:.+((SYSTEM_STATE.+slice.+state.+changed )|(ment ac)|(system.+state.+changed )|(\|lc)|(penalty)|(\[timeout)|(PRM\|1\|D)|(kpr)|(kdp))" /e /r /s</v>
      </c>
      <c r="U12" s="9" t="str">
        <f t="shared" si="1"/>
        <v>4020</v>
      </c>
      <c r="V12" s="38">
        <f t="shared" si="2"/>
        <v>42625.00273148148</v>
      </c>
      <c r="W12" s="52" t="str">
        <f t="shared" si="3"/>
        <v>EC</v>
      </c>
      <c r="X12" s="52" t="str">
        <f t="shared" si="4"/>
        <v>KEEP</v>
      </c>
      <c r="Y12" s="134" t="str">
        <f t="shared" si="5"/>
        <v>echo {"issue":{"subject":"","project_id":79,"tracker_id":40,"status_id":1,"priority_id":2,"assigned_to_id":23,"start_date":"2016-09-11","description":"","custom_fields":[{"id":1,"name":"Subdivision","value":"EC"},{"id":4,"name":"Milepost","value":"1.7867"},{"id":17,"name":"Train ID","value":"215-11"},{"id":16,"name":"Locomotive ID","value":"4020"},{"id":130,"name":"Impact","value":""},{"id":150,"name":"Time of Event (Mountain Time)","value":"18:03:56"},{"id":151,"name":"Denver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55"/>
    </row>
    <row r="13" spans="1:28" s="1" customFormat="1" x14ac:dyDescent="0.25">
      <c r="A13" s="38">
        <v>42624.47378472222</v>
      </c>
      <c r="B13" s="33" t="s">
        <v>184</v>
      </c>
      <c r="C13" s="33" t="s">
        <v>396</v>
      </c>
      <c r="D13" s="33" t="s">
        <v>49</v>
      </c>
      <c r="E13" s="33" t="s">
        <v>56</v>
      </c>
      <c r="F13" s="49">
        <v>450</v>
      </c>
      <c r="G13" s="49">
        <v>563</v>
      </c>
      <c r="H13" s="49">
        <v>158385</v>
      </c>
      <c r="I13" s="49">
        <v>155890</v>
      </c>
      <c r="J13" s="33" t="s">
        <v>57</v>
      </c>
      <c r="K13" s="49">
        <v>156300</v>
      </c>
      <c r="L13" s="150" t="s">
        <v>53</v>
      </c>
      <c r="M13" s="153">
        <f t="shared" ref="M13:M25" si="6">CONVERT((I13-K13)/10000,"mi","ft")*IF(L13="Increasing Mileposts (1)",-1,1)</f>
        <v>-216.48</v>
      </c>
      <c r="N13" s="92" t="str">
        <f>VLOOKUP(C13,'Trips&amp;Operators'!$C$1:$E$99999,3,FALSE)</f>
        <v>STRICKLAND</v>
      </c>
      <c r="O13" s="174" t="s">
        <v>86</v>
      </c>
      <c r="P13" s="10"/>
      <c r="Q13" s="33"/>
      <c r="R13" s="108" t="str">
        <f>VLOOKUP(C13,'Train Runs'!$A$13:$AE$10032,31,0)</f>
        <v>aws s3 cp s3://rtdc.mdm.uploadarchive/RTDC4041/2016-09-11/ "%USERPROFILE%\AppData\Local\Temp\OnboardLogs"\RTDC4041\2016-09-11 --recursive &amp; "%USERPROFILE%\Documents\GitHub\mrs-test-scripts\Headless Mode &amp; Sideloading\WalkAndUnGZ.bat" "%USERPROFILE%\AppData\Local\Temp\OnboardLogs"\RTDC4041\2016-09-11 &amp; 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</v>
      </c>
      <c r="S13" s="111" t="str">
        <f>VLOOKUP(C13,'Train Runs'!$A$13:$AE$10032,22,0)</f>
        <v>https://search-rtdc-monitor-bjffxe2xuh6vdkpspy63sjmuny.us-east-1.es.amazonaws.com/_plugin/kibana/#/discover/Steve-Slow-Train-Analysis-(2080s-and-2083s)?_g=(refreshInterval:(display:Off,section:0,value:0),time:(from:'2016-09-11 10:03:43-0600',mode:absolute,to:'2016-09-11 12:54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13" s="113" t="str">
        <f t="shared" si="0"/>
        <v>"C:\Program Files (x86)\AstroGrep\AstroGrep.exe" /spath="%USERPROFILE%\AppData\Local\Temp\OnboardLogs" /stypes="*4041*201609111*" /stext=" 17:.+((SYSTEM_STATE.+slice.+state.+changed )|(ment ac)|(system.+state.+changed )|(\|lc)|(penalty)|(\[timeout)|(PRM\|1\|D)|(kpr)|(kdp))" /e /r /s</v>
      </c>
      <c r="U13" s="9" t="str">
        <f t="shared" si="1"/>
        <v>4041</v>
      </c>
      <c r="V13" s="38">
        <f t="shared" si="2"/>
        <v>42624.72378472222</v>
      </c>
      <c r="W13" s="52" t="str">
        <f t="shared" si="3"/>
        <v>EC</v>
      </c>
      <c r="X13" s="52" t="str">
        <f t="shared" si="4"/>
        <v>KEEP</v>
      </c>
      <c r="Y13" s="134" t="str">
        <f t="shared" si="5"/>
        <v>echo {"issue":{"subject":"","project_id":79,"tracker_id":40,"status_id":1,"priority_id":2,"assigned_to_id":23,"start_date":"2016-09-11","description":"","custom_fields":[{"id":1,"name":"Subdivision","value":"EC"},{"id":4,"name":"Milepost","value":"15.63"},{"id":17,"name":"Train ID","value":"154-11"},{"id":16,"name":"Locomotive ID","value":"4041"},{"id":130,"name":"Impact","value":""},{"id":150,"name":"Time of Event (Mountain Time)","value":"11:22:15"},{"id":151,"name":"Denver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55"/>
    </row>
    <row r="14" spans="1:28" s="1" customFormat="1" x14ac:dyDescent="0.25">
      <c r="A14" s="38">
        <v>42624.692488425928</v>
      </c>
      <c r="B14" s="33" t="s">
        <v>184</v>
      </c>
      <c r="C14" s="33" t="s">
        <v>402</v>
      </c>
      <c r="D14" s="33" t="s">
        <v>49</v>
      </c>
      <c r="E14" s="33" t="s">
        <v>56</v>
      </c>
      <c r="F14" s="49">
        <v>450</v>
      </c>
      <c r="G14" s="49">
        <v>508</v>
      </c>
      <c r="H14" s="49">
        <v>158181</v>
      </c>
      <c r="I14" s="49">
        <v>156173</v>
      </c>
      <c r="J14" s="33" t="s">
        <v>57</v>
      </c>
      <c r="K14" s="49">
        <v>156300</v>
      </c>
      <c r="L14" s="150" t="s">
        <v>53</v>
      </c>
      <c r="M14" s="153">
        <f t="shared" si="6"/>
        <v>-67.055999999999997</v>
      </c>
      <c r="N14" s="92" t="str">
        <f>VLOOKUP(C14,'Trips&amp;Operators'!$C$1:$E$99999,3,FALSE)</f>
        <v>STRICKLAND</v>
      </c>
      <c r="O14" s="174" t="s">
        <v>86</v>
      </c>
      <c r="P14" s="10"/>
      <c r="Q14" s="33"/>
      <c r="R14" s="108" t="str">
        <f>VLOOKUP(C14,'Train Runs'!$A$13:$AE$10032,31,0)</f>
        <v>aws s3 cp s3://rtdc.mdm.uploadarchive/RTDC4041/2016-09-11/ "%USERPROFILE%\AppData\Local\Temp\OnboardLogs"\RTDC4041\2016-09-11 --recursive &amp; "%USERPROFILE%\Documents\GitHub\mrs-test-scripts\Headless Mode &amp; Sideloading\WalkAndUnGZ.bat" "%USERPROFILE%\AppData\Local\Temp\OnboardLogs"\RTDC4041\2016-09-11 &amp; 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</v>
      </c>
      <c r="S14" s="111" t="str">
        <f>VLOOKUP(C14,'Train Runs'!$A$13:$AE$10032,22,0)</f>
        <v>https://search-rtdc-monitor-bjffxe2xuh6vdkpspy63sjmuny.us-east-1.es.amazonaws.com/_plugin/kibana/#/discover/Steve-Slow-Train-Analysis-(2080s-and-2083s)?_g=(refreshInterval:(display:Off,section:0,value:0),time:(from:'2016-09-11 15:14:19-0600',mode:absolute,to:'2016-09-11 18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14" s="113" t="str">
        <f t="shared" si="0"/>
        <v>"C:\Program Files (x86)\AstroGrep\AstroGrep.exe" /spath="%USERPROFILE%\AppData\Local\Temp\OnboardLogs" /stypes="*4041*201609112*" /stext=" 22:.+((SYSTEM_STATE.+slice.+state.+changed )|(ment ac)|(system.+state.+changed )|(\|lc)|(penalty)|(\[timeout)|(PRM\|1\|D)|(kpr)|(kdp))" /e /r /s</v>
      </c>
      <c r="U14" s="9" t="str">
        <f t="shared" si="1"/>
        <v>4041</v>
      </c>
      <c r="V14" s="38">
        <f t="shared" si="2"/>
        <v>42624.942488425928</v>
      </c>
      <c r="W14" s="52" t="str">
        <f t="shared" si="3"/>
        <v>EC</v>
      </c>
      <c r="X14" s="52" t="str">
        <f t="shared" si="4"/>
        <v>KEEP</v>
      </c>
      <c r="Y14" s="134" t="str">
        <f t="shared" si="5"/>
        <v>echo {"issue":{"subject":"","project_id":79,"tracker_id":40,"status_id":1,"priority_id":2,"assigned_to_id":23,"start_date":"2016-09-11","description":"","custom_fields":[{"id":1,"name":"Subdivision","value":"EC"},{"id":4,"name":"Milepost","value":"15.63"},{"id":17,"name":"Train ID","value":"196-11"},{"id":16,"name":"Locomotive ID","value":"4041"},{"id":130,"name":"Impact","value":""},{"id":150,"name":"Time of Event (Mountain Time)","value":"16:37:11"},{"id":151,"name":"Denver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55"/>
    </row>
    <row r="15" spans="1:28" s="1" customFormat="1" x14ac:dyDescent="0.25">
      <c r="A15" s="38">
        <v>42624.310671296298</v>
      </c>
      <c r="B15" s="33" t="s">
        <v>186</v>
      </c>
      <c r="C15" s="33" t="s">
        <v>386</v>
      </c>
      <c r="D15" s="33" t="s">
        <v>106</v>
      </c>
      <c r="E15" s="33" t="s">
        <v>56</v>
      </c>
      <c r="F15" s="49">
        <v>600</v>
      </c>
      <c r="G15" s="49">
        <v>654</v>
      </c>
      <c r="H15" s="49">
        <v>187626</v>
      </c>
      <c r="I15" s="49">
        <v>190553</v>
      </c>
      <c r="J15" s="33" t="s">
        <v>57</v>
      </c>
      <c r="K15" s="49">
        <v>183829</v>
      </c>
      <c r="L15" s="150" t="s">
        <v>52</v>
      </c>
      <c r="M15" s="153">
        <f t="shared" si="6"/>
        <v>-3550.2719999999999</v>
      </c>
      <c r="N15" s="92" t="str">
        <f>VLOOKUP(C15,'Trips&amp;Operators'!$C$1:$E$99999,3,FALSE)</f>
        <v>STRICKLAND</v>
      </c>
      <c r="O15" s="174" t="s">
        <v>86</v>
      </c>
      <c r="P15" s="10"/>
      <c r="Q15" s="33"/>
      <c r="R15" s="108" t="str">
        <f>VLOOKUP(C15,'Train Runs'!$A$13:$AE$10032,31,0)</f>
        <v>aws s3 cp s3://rtdc.mdm.uploadarchive/RTDC4042/2016-09-11/ "%USERPROFILE%\AppData\Local\Temp\OnboardLogs"\RTDC4042\2016-09-11 --recursive &amp; "%USERPROFILE%\Documents\GitHub\mrs-test-scripts\Headless Mode &amp; Sideloading\WalkAndUnGZ.bat" "%USERPROFILE%\AppData\Local\Temp\OnboardLogs"\RTDC4042\2016-09-11 &amp; 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</v>
      </c>
      <c r="S15" s="111" t="str">
        <f>VLOOKUP(C15,'Train Runs'!$A$13:$AE$10032,22,0)</f>
        <v>https://search-rtdc-monitor-bjffxe2xuh6vdkpspy63sjmuny.us-east-1.es.amazonaws.com/_plugin/kibana/#/discover/Steve-Slow-Train-Analysis-(2080s-and-2083s)?_g=(refreshInterval:(display:Off,section:0,value:0),time:(from:'2016-09-11 05:54:02-0600',mode:absolute,to:'2016-09-11 08:34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T15" s="113" t="str">
        <f t="shared" si="0"/>
        <v>"C:\Program Files (x86)\AstroGrep\AstroGrep.exe" /spath="%USERPROFILE%\AppData\Local\Temp\OnboardLogs" /stypes="*4042*201609111*" /stext=" 13:.+((SYSTEM_STATE.+slice.+state.+changed )|(ment ac)|(system.+state.+changed )|(\|lc)|(penalty)|(\[timeout)|(PRM\|1\|D)|(kpr)|(kdp))" /e /r /s</v>
      </c>
      <c r="U15" s="9" t="str">
        <f t="shared" si="1"/>
        <v>4042</v>
      </c>
      <c r="V15" s="38">
        <f t="shared" si="2"/>
        <v>42624.560671296298</v>
      </c>
      <c r="W15" s="52" t="str">
        <f t="shared" si="3"/>
        <v>EC</v>
      </c>
      <c r="X15" s="52" t="str">
        <f t="shared" si="4"/>
        <v>KEEP</v>
      </c>
      <c r="Y15" s="134" t="str">
        <f t="shared" si="5"/>
        <v>echo {"issue":{"subject":"","project_id":79,"tracker_id":40,"status_id":1,"priority_id":2,"assigned_to_id":23,"start_date":"2016-09-11","description":"","custom_fields":[{"id":1,"name":"Subdivision","value":"EC"},{"id":4,"name":"Milepost","value":"18.3829"},{"id":17,"name":"Train ID","value":"125-11"},{"id":16,"name":"Locomotive ID","value":"4042"},{"id":130,"name":"Impact","value":""},{"id":150,"name":"Time of Event (Mountain Time)","value":"07:27:22"},{"id":151,"name":"Denver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55"/>
    </row>
    <row r="16" spans="1:28" s="1" customFormat="1" x14ac:dyDescent="0.25">
      <c r="A16" s="38">
        <v>42624.243946759256</v>
      </c>
      <c r="B16" s="33" t="s">
        <v>263</v>
      </c>
      <c r="C16" s="33" t="s">
        <v>382</v>
      </c>
      <c r="D16" s="33" t="s">
        <v>49</v>
      </c>
      <c r="E16" s="33" t="s">
        <v>54</v>
      </c>
      <c r="F16" s="49">
        <v>0</v>
      </c>
      <c r="G16" s="49">
        <v>104</v>
      </c>
      <c r="H16" s="49">
        <v>3110</v>
      </c>
      <c r="I16" s="49">
        <v>3061</v>
      </c>
      <c r="J16" s="33" t="s">
        <v>55</v>
      </c>
      <c r="K16" s="49">
        <v>2822</v>
      </c>
      <c r="L16" s="150" t="s">
        <v>53</v>
      </c>
      <c r="M16" s="153">
        <f t="shared" si="6"/>
        <v>126.19199999999999</v>
      </c>
      <c r="N16" s="92" t="str">
        <f>VLOOKUP(C16,'Trips&amp;Operators'!$C$1:$E$99999,3,FALSE)</f>
        <v>MAELZER</v>
      </c>
      <c r="O16" s="174" t="s">
        <v>177</v>
      </c>
      <c r="P16" s="10" t="s">
        <v>725</v>
      </c>
      <c r="Q16" s="33"/>
      <c r="R16" s="108" t="str">
        <f>VLOOKUP(C16,'Train Runs'!$A$13:$AE$10032,31,0)</f>
        <v>aws s3 cp s3://rtdc.mdm.uploadarchive/RTDC4017/2016-09-11/ "%USERPROFILE%\AppData\Local\Temp\OnboardLogs"\RTDC4017\2016-09-11 --recursive &amp; "%USERPROFILE%\Documents\GitHub\mrs-test-scripts\Headless Mode &amp; Sideloading\WalkAndUnGZ.bat" "%USERPROFILE%\AppData\Local\Temp\OnboardLogs"\RTDC4017\2016-09-11 &amp; aws s3 cp s3://rtdc.mdm.uploadarchive/RTDC4017/2016-09-12/ "%USERPROFILE%\AppData\Local\Temp\OnboardLogs"\RTDC4017\2016-09-12 --recursive &amp; "%USERPROFILE%\Documents\GitHub\mrs-test-scripts\Headless Mode &amp; Sideloading\WalkAndUnGZ.bat" "%USERPROFILE%\AppData\Local\Temp\OnboardLogs"\RTDC4017\2016-09-12</v>
      </c>
      <c r="S16" s="111" t="str">
        <f>VLOOKUP(C16,'Train Runs'!$A$13:$AE$10032,22,0)</f>
        <v>https://search-rtdc-monitor-bjffxe2xuh6vdkpspy63sjmuny.us-east-1.es.amazonaws.com/_plugin/kibana/#/discover/Steve-Slow-Train-Analysis-(2080s-and-2083s)?_g=(refreshInterval:(display:Off,section:0,value:0),time:(from:'2016-09-11 04:06:18-0600',mode:absolute,to:'2016-09-11 06:51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16" s="113" t="str">
        <f t="shared" si="0"/>
        <v>"C:\Program Files (x86)\AstroGrep\AstroGrep.exe" /spath="%USERPROFILE%\AppData\Local\Temp\OnboardLogs" /stypes="*4017*201609111*" /stext=" 11:.+((SYSTEM_STATE.+slice.+state.+changed )|(ment ac)|(system.+state.+changed )|(\|lc)|(penalty)|(\[timeout)|(PRM\|1\|D)|(kpr)|(kdp))" /e /r /s</v>
      </c>
      <c r="U16" s="9" t="str">
        <f t="shared" si="1"/>
        <v>4017</v>
      </c>
      <c r="V16" s="38">
        <f t="shared" si="2"/>
        <v>42624.493946759256</v>
      </c>
      <c r="W16" s="52" t="str">
        <f t="shared" si="3"/>
        <v>EC</v>
      </c>
      <c r="X16" s="52" t="str">
        <f t="shared" si="4"/>
        <v>KEEP</v>
      </c>
      <c r="Y16" s="134" t="str">
        <f t="shared" si="5"/>
        <v>echo {"issue":{"subject":"DUS Switch 5 out of correspondence","project_id":79,"tracker_id":40,"status_id":1,"priority_id":2,"assigned_to_id":23,"start_date":"2016-09-11","description":"","custom_fields":[{"id":1,"name":"Subdivision","value":"EC"},{"id":4,"name":"Milepost","value":"0.2822"},{"id":17,"name":"Train ID","value":"106-11"},{"id":16,"name":"Locomotive ID","value":"4017"},{"id":130,"name":"Impact","value":""},{"id":150,"name":"Time of Event (Mountain Time)","value":"05:51:17"},{"id":151,"name":"Denver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55"/>
    </row>
    <row r="17" spans="1:28" s="1" customFormat="1" x14ac:dyDescent="0.25">
      <c r="A17" s="38">
        <v>42624.28229166667</v>
      </c>
      <c r="B17" s="33" t="s">
        <v>179</v>
      </c>
      <c r="C17" s="33" t="s">
        <v>385</v>
      </c>
      <c r="D17" s="33" t="s">
        <v>49</v>
      </c>
      <c r="E17" s="33" t="s">
        <v>54</v>
      </c>
      <c r="F17" s="49">
        <v>0</v>
      </c>
      <c r="G17" s="49">
        <v>62</v>
      </c>
      <c r="H17" s="49">
        <v>20809</v>
      </c>
      <c r="I17" s="49">
        <v>20726</v>
      </c>
      <c r="J17" s="33" t="s">
        <v>55</v>
      </c>
      <c r="K17" s="49">
        <v>20632</v>
      </c>
      <c r="L17" s="150" t="s">
        <v>53</v>
      </c>
      <c r="M17" s="153">
        <f t="shared" si="6"/>
        <v>49.631999999999998</v>
      </c>
      <c r="N17" s="92" t="str">
        <f>VLOOKUP(C17,'Trips&amp;Operators'!$C$1:$E$99999,3,FALSE)</f>
        <v>KILLION</v>
      </c>
      <c r="O17" s="174" t="s">
        <v>177</v>
      </c>
      <c r="P17" s="10" t="s">
        <v>709</v>
      </c>
      <c r="Q17" s="33"/>
      <c r="R17" s="108" t="str">
        <f>VLOOKUP(C17,'Train Runs'!$A$13:$AE$10032,31,0)</f>
        <v>aws s3 cp s3://rtdc.mdm.uploadarchive/RTDC4026/2016-09-11/ "%USERPROFILE%\AppData\Local\Temp\OnboardLogs"\RTDC4026\2016-09-11 --recursive &amp; "%USERPROFILE%\Documents\GitHub\mrs-test-scripts\Headless Mode &amp; Sideloading\WalkAndUnGZ.bat" "%USERPROFILE%\AppData\Local\Temp\OnboardLogs"\RTDC4026\2016-09-11 &amp; 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</v>
      </c>
      <c r="S17" s="111" t="str">
        <f>VLOOKUP(C17,'Train Runs'!$A$13:$AE$10032,22,0)</f>
        <v>https://search-rtdc-monitor-bjffxe2xuh6vdkpspy63sjmuny.us-east-1.es.amazonaws.com/_plugin/kibana/#/discover/Steve-Slow-Train-Analysis-(2080s-and-2083s)?_g=(refreshInterval:(display:Off,section:0,value:0),time:(from:'2016-09-11 05:03:48-0600',mode:absolute,to:'2016-09-11 07:46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17" s="113" t="str">
        <f t="shared" si="0"/>
        <v>"C:\Program Files (x86)\AstroGrep\AstroGrep.exe" /spath="%USERPROFILE%\AppData\Local\Temp\OnboardLogs" /stypes="*4026*201609111*" /stext=" 12:.+((SYSTEM_STATE.+slice.+state.+changed )|(ment ac)|(system.+state.+changed )|(\|lc)|(penalty)|(\[timeout)|(PRM\|1\|D)|(kpr)|(kdp))" /e /r /s</v>
      </c>
      <c r="U17" s="9" t="str">
        <f t="shared" si="1"/>
        <v>4026</v>
      </c>
      <c r="V17" s="38">
        <f t="shared" si="2"/>
        <v>42624.53229166667</v>
      </c>
      <c r="W17" s="52" t="str">
        <f t="shared" si="3"/>
        <v>EC</v>
      </c>
      <c r="X17" s="52" t="str">
        <f t="shared" si="4"/>
        <v>KEEP</v>
      </c>
      <c r="Y17" s="134" t="str">
        <f t="shared" si="5"/>
        <v>echo {"issue":{"subject":"EC0206RH 28-2T 2S dropped from 270 to STOP &amp; PROCEED","project_id":79,"tracker_id":40,"status_id":1,"priority_id":2,"assigned_to_id":23,"start_date":"2016-09-11","description":"","custom_fields":[{"id":1,"name":"Subdivision","value":"EC"},{"id":4,"name":"Milepost","value":"2.0632"},{"id":17,"name":"Train ID","value":"114-11"},{"id":16,"name":"Locomotive ID","value":"4026"},{"id":130,"name":"Impact","value":""},{"id":150,"name":"Time of Event (Mountain Time)","value":"06:46:30"},{"id":151,"name":"Denver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55"/>
    </row>
    <row r="18" spans="1:28" s="1" customFormat="1" x14ac:dyDescent="0.25">
      <c r="A18" s="38">
        <v>42624.662453703706</v>
      </c>
      <c r="B18" s="33" t="s">
        <v>169</v>
      </c>
      <c r="C18" s="33" t="s">
        <v>400</v>
      </c>
      <c r="D18" s="33" t="s">
        <v>49</v>
      </c>
      <c r="E18" s="33" t="s">
        <v>54</v>
      </c>
      <c r="F18" s="49">
        <v>0</v>
      </c>
      <c r="G18" s="49">
        <v>584</v>
      </c>
      <c r="H18" s="49">
        <v>39947</v>
      </c>
      <c r="I18" s="49">
        <v>37948</v>
      </c>
      <c r="J18" s="33" t="s">
        <v>55</v>
      </c>
      <c r="K18" s="49">
        <v>38656</v>
      </c>
      <c r="L18" s="150" t="s">
        <v>53</v>
      </c>
      <c r="M18" s="153">
        <f t="shared" si="6"/>
        <v>-373.82400000000001</v>
      </c>
      <c r="N18" s="92" t="str">
        <f>VLOOKUP(C18,'Trips&amp;Operators'!$C$1:$E$99999,3,FALSE)</f>
        <v>STEWART</v>
      </c>
      <c r="O18" s="174" t="s">
        <v>177</v>
      </c>
      <c r="P18" s="10" t="s">
        <v>183</v>
      </c>
      <c r="Q18" s="33"/>
      <c r="R18" s="108" t="str">
        <f>VLOOKUP(C18,'Train Runs'!$A$13:$AE$10032,31,0)</f>
        <v>aws s3 cp s3://rtdc.mdm.uploadarchive/RTDC4019/2016-09-11/ "%USERPROFILE%\AppData\Local\Temp\OnboardLogs"\RTDC4019\2016-09-11 --recursive &amp; "%USERPROFILE%\Documents\GitHub\mrs-test-scripts\Headless Mode &amp; Sideloading\WalkAndUnGZ.bat" "%USERPROFILE%\AppData\Local\Temp\OnboardLogs"\RTDC4019\2016-09-11 &amp; 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</v>
      </c>
      <c r="S18" s="111" t="str">
        <f>VLOOKUP(C18,'Train Runs'!$A$13:$AE$10032,22,0)</f>
        <v>https://search-rtdc-monitor-bjffxe2xuh6vdkpspy63sjmuny.us-east-1.es.amazonaws.com/_plugin/kibana/#/discover/Steve-Slow-Train-Analysis-(2080s-and-2083s)?_g=(refreshInterval:(display:Off,section:0,value:0),time:(from:'2016-09-11 14:22:29-0600',mode:absolute,to:'2016-09-11 16:53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18" s="113" t="str">
        <f t="shared" si="0"/>
        <v>"C:\Program Files (x86)\AstroGrep\AstroGrep.exe" /spath="%USERPROFILE%\AppData\Local\Temp\OnboardLogs" /stypes="*4019*201609112*" /stext=" 21:.+((SYSTEM_STATE.+slice.+state.+changed )|(ment ac)|(system.+state.+changed )|(\|lc)|(penalty)|(\[timeout)|(PRM\|1\|D)|(kpr)|(kdp))" /e /r /s</v>
      </c>
      <c r="U18" s="9" t="str">
        <f t="shared" si="1"/>
        <v>4019</v>
      </c>
      <c r="V18" s="38">
        <f t="shared" si="2"/>
        <v>42624.912453703706</v>
      </c>
      <c r="W18" s="52" t="str">
        <f t="shared" si="3"/>
        <v>EC</v>
      </c>
      <c r="X18" s="52" t="str">
        <f t="shared" si="4"/>
        <v>KEEP</v>
      </c>
      <c r="Y18" s="134" t="str">
        <f t="shared" si="5"/>
        <v>echo {"issue":{"subject":"Wi-MAX outage","project_id":79,"tracker_id":40,"status_id":1,"priority_id":2,"assigned_to_id":23,"start_date":"2016-09-11","description":"","custom_fields":[{"id":1,"name":"Subdivision","value":"EC"},{"id":4,"name":"Milepost","value":"3.8656"},{"id":17,"name":"Train ID","value":"188-11"},{"id":16,"name":"Locomotive ID","value":"4019"},{"id":130,"name":"Impact","value":""},{"id":150,"name":"Time of Event (Mountain Time)","value":"15:53:56"},{"id":151,"name":"Denver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55"/>
    </row>
    <row r="19" spans="1:28" s="1" customFormat="1" x14ac:dyDescent="0.25">
      <c r="A19" s="38">
        <v>42624.392314814817</v>
      </c>
      <c r="B19" s="33" t="s">
        <v>185</v>
      </c>
      <c r="C19" s="33" t="s">
        <v>391</v>
      </c>
      <c r="D19" s="33" t="s">
        <v>49</v>
      </c>
      <c r="E19" s="33" t="s">
        <v>54</v>
      </c>
      <c r="F19" s="49">
        <v>0</v>
      </c>
      <c r="G19" s="49">
        <v>369</v>
      </c>
      <c r="H19" s="49">
        <v>129246</v>
      </c>
      <c r="I19" s="49">
        <v>128247</v>
      </c>
      <c r="J19" s="33" t="s">
        <v>55</v>
      </c>
      <c r="K19" s="49">
        <v>127587</v>
      </c>
      <c r="L19" s="150" t="s">
        <v>53</v>
      </c>
      <c r="M19" s="153">
        <f t="shared" si="6"/>
        <v>348.48</v>
      </c>
      <c r="N19" s="92" t="str">
        <f>VLOOKUP(C19,'Trips&amp;Operators'!$C$1:$E$99999,3,FALSE)</f>
        <v>MALAVE</v>
      </c>
      <c r="O19" s="174" t="s">
        <v>86</v>
      </c>
      <c r="P19" s="10" t="s">
        <v>724</v>
      </c>
      <c r="Q19" s="33"/>
      <c r="R19" s="108" t="str">
        <f>VLOOKUP(C19,'Train Runs'!$A$13:$AE$10032,31,0)</f>
        <v>aws s3 cp s3://rtdc.mdm.uploadarchive/RTDC4010/2016-09-11/ "%USERPROFILE%\AppData\Local\Temp\OnboardLogs"\RTDC4010\2016-09-11 --recursive &amp; "%USERPROFILE%\Documents\GitHub\mrs-test-scripts\Headless Mode &amp; Sideloading\WalkAndUnGZ.bat" "%USERPROFILE%\AppData\Local\Temp\OnboardLogs"\RTDC4010\2016-09-11 &amp; 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</v>
      </c>
      <c r="S19" s="111" t="str">
        <f>VLOOKUP(C19,'Train Runs'!$A$13:$AE$10032,22,0)</f>
        <v>https://search-rtdc-monitor-bjffxe2xuh6vdkpspy63sjmuny.us-east-1.es.amazonaws.com/_plugin/kibana/#/discover/Steve-Slow-Train-Analysis-(2080s-and-2083s)?_g=(refreshInterval:(display:Off,section:0,value:0),time:(from:'2016-09-11 08:09:09-0600',mode:absolute,to:'2016-09-11 10:55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19" s="113" t="str">
        <f t="shared" si="0"/>
        <v>"C:\Program Files (x86)\AstroGrep\AstroGrep.exe" /spath="%USERPROFILE%\AppData\Local\Temp\OnboardLogs" /stypes="*4010*201609111*" /stext=" 15:.+((SYSTEM_STATE.+slice.+state.+changed )|(ment ac)|(system.+state.+changed )|(\|lc)|(penalty)|(\[timeout)|(PRM\|1\|D)|(kpr)|(kdp))" /e /r /s</v>
      </c>
      <c r="U19" s="9" t="str">
        <f t="shared" si="1"/>
        <v>4010</v>
      </c>
      <c r="V19" s="38">
        <f t="shared" si="2"/>
        <v>42624.642314814817</v>
      </c>
      <c r="W19" s="52" t="str">
        <f t="shared" si="3"/>
        <v>EC</v>
      </c>
      <c r="X19" s="52" t="str">
        <f t="shared" si="4"/>
        <v>KEEP</v>
      </c>
      <c r="Y19" s="134" t="str">
        <f t="shared" si="5"/>
        <v>echo {"issue":{"subject":"40th 4S STOP, cleared shortly","project_id":79,"tracker_id":40,"status_id":1,"priority_id":2,"assigned_to_id":23,"start_date":"2016-09-11","description":"","custom_fields":[{"id":1,"name":"Subdivision","value":"EC"},{"id":4,"name":"Milepost","value":"12.7587"},{"id":17,"name":"Train ID","value":"138-11"},{"id":16,"name":"Locomotive ID","value":"4010"},{"id":130,"name":"Impact","value":""},{"id":150,"name":"Time of Event (Mountain Time)","value":"09:24:56"},{"id":151,"name":"Denver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55"/>
    </row>
    <row r="20" spans="1:28" s="1" customFormat="1" x14ac:dyDescent="0.25">
      <c r="A20" s="38">
        <v>42624.688194444447</v>
      </c>
      <c r="B20" s="33" t="s">
        <v>184</v>
      </c>
      <c r="C20" s="33" t="s">
        <v>402</v>
      </c>
      <c r="D20" s="33" t="s">
        <v>49</v>
      </c>
      <c r="E20" s="33" t="s">
        <v>54</v>
      </c>
      <c r="F20" s="49">
        <v>0</v>
      </c>
      <c r="G20" s="49">
        <v>525</v>
      </c>
      <c r="H20" s="49">
        <v>195403</v>
      </c>
      <c r="I20" s="49">
        <v>193706</v>
      </c>
      <c r="J20" s="33" t="s">
        <v>55</v>
      </c>
      <c r="K20" s="49">
        <v>191723</v>
      </c>
      <c r="L20" s="150" t="s">
        <v>53</v>
      </c>
      <c r="M20" s="153">
        <f t="shared" si="6"/>
        <v>1047.0239999999999</v>
      </c>
      <c r="N20" s="92" t="str">
        <f>VLOOKUP(C20,'Trips&amp;Operators'!$C$1:$E$99999,3,FALSE)</f>
        <v>STRICKLAND</v>
      </c>
      <c r="O20" s="174" t="s">
        <v>86</v>
      </c>
      <c r="P20" s="10" t="s">
        <v>723</v>
      </c>
      <c r="Q20" s="33"/>
      <c r="R20" s="108" t="str">
        <f>VLOOKUP(C20,'Train Runs'!$A$13:$AE$10032,31,0)</f>
        <v>aws s3 cp s3://rtdc.mdm.uploadarchive/RTDC4041/2016-09-11/ "%USERPROFILE%\AppData\Local\Temp\OnboardLogs"\RTDC4041\2016-09-11 --recursive &amp; "%USERPROFILE%\Documents\GitHub\mrs-test-scripts\Headless Mode &amp; Sideloading\WalkAndUnGZ.bat" "%USERPROFILE%\AppData\Local\Temp\OnboardLogs"\RTDC4041\2016-09-11 &amp; 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</v>
      </c>
      <c r="S20" s="111" t="str">
        <f>VLOOKUP(C20,'Train Runs'!$A$13:$AE$10032,22,0)</f>
        <v>https://search-rtdc-monitor-bjffxe2xuh6vdkpspy63sjmuny.us-east-1.es.amazonaws.com/_plugin/kibana/#/discover/Steve-Slow-Train-Analysis-(2080s-and-2083s)?_g=(refreshInterval:(display:Off,section:0,value:0),time:(from:'2016-09-11 15:14:19-0600',mode:absolute,to:'2016-09-11 18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20" s="113" t="str">
        <f t="shared" si="0"/>
        <v>"C:\Program Files (x86)\AstroGrep\AstroGrep.exe" /spath="%USERPROFILE%\AppData\Local\Temp\OnboardLogs" /stypes="*4041*201609112*" /stext=" 22:.+((SYSTEM_STATE.+slice.+state.+changed )|(ment ac)|(system.+state.+changed )|(\|lc)|(penalty)|(\[timeout)|(PRM\|1\|D)|(kpr)|(kdp))" /e /r /s</v>
      </c>
      <c r="U20" s="9" t="str">
        <f t="shared" si="1"/>
        <v>4041</v>
      </c>
      <c r="V20" s="38">
        <f t="shared" si="2"/>
        <v>42624.938194444447</v>
      </c>
      <c r="W20" s="52" t="str">
        <f t="shared" si="3"/>
        <v>EC</v>
      </c>
      <c r="X20" s="52" t="str">
        <f t="shared" si="4"/>
        <v>KEEP</v>
      </c>
      <c r="Y20" s="134" t="str">
        <f t="shared" si="5"/>
        <v>echo {"issue":{"subject":"Pena 4S STOP, cleared shortly","project_id":79,"tracker_id":40,"status_id":1,"priority_id":2,"assigned_to_id":23,"start_date":"2016-09-11","description":"","custom_fields":[{"id":1,"name":"Subdivision","value":"EC"},{"id":4,"name":"Milepost","value":"19.1723"},{"id":17,"name":"Train ID","value":"196-11"},{"id":16,"name":"Locomotive ID","value":"4041"},{"id":130,"name":"Impact","value":""},{"id":150,"name":"Time of Event (Mountain Time)","value":"16:31:00"},{"id":151,"name":"Denver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55"/>
    </row>
    <row r="21" spans="1:28" s="1" customFormat="1" x14ac:dyDescent="0.25">
      <c r="A21" s="38">
        <v>42624.219965277778</v>
      </c>
      <c r="B21" s="33" t="s">
        <v>178</v>
      </c>
      <c r="C21" s="33" t="s">
        <v>380</v>
      </c>
      <c r="D21" s="33" t="s">
        <v>106</v>
      </c>
      <c r="E21" s="33" t="s">
        <v>327</v>
      </c>
      <c r="F21" s="49">
        <v>0</v>
      </c>
      <c r="G21" s="49">
        <v>167</v>
      </c>
      <c r="H21" s="49">
        <v>1727</v>
      </c>
      <c r="I21" s="49">
        <v>2044</v>
      </c>
      <c r="J21" s="33" t="s">
        <v>328</v>
      </c>
      <c r="K21" s="49">
        <v>1692</v>
      </c>
      <c r="L21" s="150" t="s">
        <v>52</v>
      </c>
      <c r="M21" s="153">
        <f t="shared" si="6"/>
        <v>-185.85599999999999</v>
      </c>
      <c r="N21" s="92" t="str">
        <f>VLOOKUP(C21,'Trips&amp;Operators'!$C$1:$E$99999,3,FALSE)</f>
        <v>KILLION</v>
      </c>
      <c r="O21" s="174" t="s">
        <v>177</v>
      </c>
      <c r="P21" s="10" t="s">
        <v>183</v>
      </c>
      <c r="Q21" s="33"/>
      <c r="R21" s="108" t="str">
        <f>VLOOKUP(C21,'Train Runs'!$A$13:$AE$10032,31,0)</f>
        <v>aws s3 cp s3://rtdc.mdm.uploadarchive/RTDC4025/2016-09-11/ "%USERPROFILE%\AppData\Local\Temp\OnboardLogs"\RTDC4025\2016-09-11 --recursive &amp; "%USERPROFILE%\Documents\GitHub\mrs-test-scripts\Headless Mode &amp; Sideloading\WalkAndUnGZ.bat" "%USERPROFILE%\AppData\Local\Temp\OnboardLogs"\RTDC4025\2016-09-11 &amp; 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</v>
      </c>
      <c r="S21" s="111" t="str">
        <f>VLOOKUP(C21,'Train Runs'!$A$13:$AE$10032,22,0)</f>
        <v>https://search-rtdc-monitor-bjffxe2xuh6vdkpspy63sjmuny.us-east-1.es.amazonaws.com/_plugin/kibana/#/discover/Steve-Slow-Train-Analysis-(2080s-and-2083s)?_g=(refreshInterval:(display:Off,section:0,value:0),time:(from:'2016-09-11 03:55:14-0600',mode:absolute,to:'2016-09-11 06:54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21" s="113" t="str">
        <f t="shared" si="0"/>
        <v>"C:\Program Files (x86)\AstroGrep\AstroGrep.exe" /spath="%USERPROFILE%\AppData\Local\Temp\OnboardLogs" /stypes="*4025*201609111*" /stext=" 11:.+((SYSTEM_STATE.+slice.+state.+changed )|(ment ac)|(system.+state.+changed )|(\|lc)|(penalty)|(\[timeout)|(PRM\|1\|D)|(kpr)|(kdp))" /e /r /s</v>
      </c>
      <c r="U21" s="9" t="str">
        <f t="shared" si="1"/>
        <v>4025</v>
      </c>
      <c r="V21" s="38">
        <f t="shared" si="2"/>
        <v>42624.469965277778</v>
      </c>
      <c r="W21" s="52" t="str">
        <f t="shared" si="3"/>
        <v>EC</v>
      </c>
      <c r="X21" s="52" t="str">
        <f t="shared" si="4"/>
        <v>KEEP</v>
      </c>
      <c r="Y21" s="134" t="str">
        <f t="shared" si="5"/>
        <v>echo {"issue":{"subject":"Wi-MAX outage","project_id":79,"tracker_id":40,"status_id":1,"priority_id":2,"assigned_to_id":23,"start_date":"2016-09-11","description":"","custom_fields":[{"id":1,"name":"Subdivision","value":"EC"},{"id":4,"name":"Milepost","value":"0.1692"},{"id":17,"name":"Train ID","value":"113-11"},{"id":16,"name":"Locomotive ID","value":"4025"},{"id":130,"name":"Impact","value":""},{"id":150,"name":"Time of Event (Mountain Time)","value":"05:16:45"},{"id":151,"name":"Denver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55"/>
    </row>
    <row r="22" spans="1:28" x14ac:dyDescent="0.25">
      <c r="A22" s="38">
        <v>42624.201388888891</v>
      </c>
      <c r="B22" s="33" t="s">
        <v>179</v>
      </c>
      <c r="C22" s="33" t="s">
        <v>379</v>
      </c>
      <c r="D22" s="33" t="s">
        <v>49</v>
      </c>
      <c r="E22" s="33" t="s">
        <v>50</v>
      </c>
      <c r="F22" s="49">
        <v>0</v>
      </c>
      <c r="G22" s="49">
        <v>50</v>
      </c>
      <c r="H22" s="49">
        <v>207</v>
      </c>
      <c r="I22" s="49">
        <v>160</v>
      </c>
      <c r="J22" s="33" t="s">
        <v>51</v>
      </c>
      <c r="K22" s="49">
        <v>1</v>
      </c>
      <c r="L22" s="150" t="s">
        <v>53</v>
      </c>
      <c r="M22" s="153">
        <f t="shared" si="6"/>
        <v>83.951999999999998</v>
      </c>
      <c r="N22" s="92" t="str">
        <f>VLOOKUP(C22,'Trips&amp;Operators'!$C$1:$E$99999,3,FALSE)</f>
        <v>KILLION</v>
      </c>
      <c r="O22" s="174" t="s">
        <v>86</v>
      </c>
      <c r="P22" s="10"/>
      <c r="Q22" s="33"/>
      <c r="R22" s="108" t="str">
        <f>VLOOKUP(C22,'Train Runs'!$A$13:$AE$10032,31,0)</f>
        <v>aws s3 cp s3://rtdc.mdm.uploadarchive/RTDC4026/2016-09-11/ "%USERPROFILE%\AppData\Local\Temp\OnboardLogs"\RTDC4026\2016-09-11 --recursive &amp; "%USERPROFILE%\Documents\GitHub\mrs-test-scripts\Headless Mode &amp; Sideloading\WalkAndUnGZ.bat" "%USERPROFILE%\AppData\Local\Temp\OnboardLogs"\RTDC4026\2016-09-11 &amp; 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</v>
      </c>
      <c r="S22" s="111" t="str">
        <f>VLOOKUP(C22,'Train Runs'!$A$13:$AE$10032,22,0)</f>
        <v>https://search-rtdc-monitor-bjffxe2xuh6vdkpspy63sjmuny.us-east-1.es.amazonaws.com/_plugin/kibana/#/discover/Steve-Slow-Train-Analysis-(2080s-and-2083s)?_g=(refreshInterval:(display:Off,section:0,value:0),time:(from:'2016-09-11 03:06:02-0600',mode:absolute,to:'2016-09-11 05:50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22" s="113" t="str">
        <f t="shared" si="0"/>
        <v>"C:\Program Files (x86)\AstroGrep\AstroGrep.exe" /spath="%USERPROFILE%\AppData\Local\Temp\OnboardLogs" /stypes="*4026*201609111*" /stext=" 10:.+((SYSTEM_STATE.+slice.+state.+changed )|(ment ac)|(system.+state.+changed )|(\|lc)|(penalty)|(\[timeout)|(PRM\|1\|D)|(kpr)|(kdp))" /e /r /s</v>
      </c>
      <c r="U22" s="9" t="str">
        <f t="shared" si="1"/>
        <v>4026</v>
      </c>
      <c r="V22" s="38">
        <f t="shared" si="2"/>
        <v>42624.451388888891</v>
      </c>
      <c r="W22" s="52" t="str">
        <f t="shared" si="3"/>
        <v>EC</v>
      </c>
      <c r="X22" s="52" t="str">
        <f t="shared" si="4"/>
        <v>KEEP</v>
      </c>
      <c r="Y22" s="134" t="str">
        <f t="shared" si="5"/>
        <v>echo {"issue":{"subject":"","project_id":79,"tracker_id":40,"status_id":1,"priority_id":2,"assigned_to_id":23,"start_date":"2016-09-11","description":"","custom_fields":[{"id":1,"name":"Subdivision","value":"EC"},{"id":4,"name":"Milepost","value":"0.0001"},{"id":17,"name":"Train ID","value":"102-11"},{"id":16,"name":"Locomotive ID","value":"4026"},{"id":130,"name":"Impact","value":""},{"id":150,"name":"Time of Event (Mountain Time)","value":"04:50:00"},{"id":151,"name":"Denver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55"/>
    </row>
    <row r="23" spans="1:28" x14ac:dyDescent="0.25">
      <c r="A23" s="38">
        <v>42624.326701388891</v>
      </c>
      <c r="B23" s="33" t="s">
        <v>266</v>
      </c>
      <c r="C23" s="33" t="s">
        <v>388</v>
      </c>
      <c r="D23" s="33" t="s">
        <v>49</v>
      </c>
      <c r="E23" s="33" t="s">
        <v>50</v>
      </c>
      <c r="F23" s="49">
        <v>0</v>
      </c>
      <c r="G23" s="49">
        <v>43</v>
      </c>
      <c r="H23" s="49">
        <v>136</v>
      </c>
      <c r="I23" s="49">
        <v>112</v>
      </c>
      <c r="J23" s="33" t="s">
        <v>51</v>
      </c>
      <c r="K23" s="49">
        <v>1</v>
      </c>
      <c r="L23" s="150" t="s">
        <v>53</v>
      </c>
      <c r="M23" s="153">
        <f t="shared" si="6"/>
        <v>58.607999999999997</v>
      </c>
      <c r="N23" s="92" t="str">
        <f>VLOOKUP(C23,'Trips&amp;Operators'!$C$1:$E$99999,3,FALSE)</f>
        <v>DAVIS</v>
      </c>
      <c r="O23" s="174" t="s">
        <v>86</v>
      </c>
      <c r="P23" s="10"/>
      <c r="Q23" s="33"/>
      <c r="R23" s="108" t="str">
        <f>VLOOKUP(C23,'Train Runs'!$A$13:$AE$10032,31,0)</f>
        <v>aws s3 cp s3://rtdc.mdm.uploadarchive/RTDC4039/2016-09-11/ "%USERPROFILE%\AppData\Local\Temp\OnboardLogs"\RTDC4039\2016-09-11 --recursive &amp; "%USERPROFILE%\Documents\GitHub\mrs-test-scripts\Headless Mode &amp; Sideloading\WalkAndUnGZ.bat" "%USERPROFILE%\AppData\Local\Temp\OnboardLogs"\RTDC4039\2016-09-11 &amp; aws s3 cp s3://rtdc.mdm.uploadarchive/RTDC4039/2016-09-12/ "%USERPROFILE%\AppData\Local\Temp\OnboardLogs"\RTDC4039\2016-09-12 --recursive &amp; "%USERPROFILE%\Documents\GitHub\mrs-test-scripts\Headless Mode &amp; Sideloading\WalkAndUnGZ.bat" "%USERPROFILE%\AppData\Local\Temp\OnboardLogs"\RTDC4039\2016-09-12</v>
      </c>
      <c r="S23" s="111" t="str">
        <f>VLOOKUP(C23,'Train Runs'!$A$13:$AE$10032,22,0)</f>
        <v>https://search-rtdc-monitor-bjffxe2xuh6vdkpspy63sjmuny.us-east-1.es.amazonaws.com/_plugin/kibana/#/discover/Steve-Slow-Train-Analysis-(2080s-and-2083s)?_g=(refreshInterval:(display:Off,section:0,value:0),time:(from:'2016-09-11 05:58:12-0600',mode:absolute,to:'2016-09-11 08:50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23" s="113" t="str">
        <f t="shared" si="0"/>
        <v>"C:\Program Files (x86)\AstroGrep\AstroGrep.exe" /spath="%USERPROFILE%\AppData\Local\Temp\OnboardLogs" /stypes="*4039*201609111*" /stext=" 13:.+((SYSTEM_STATE.+slice.+state.+changed )|(ment ac)|(system.+state.+changed )|(\|lc)|(penalty)|(\[timeout)|(PRM\|1\|D)|(kpr)|(kdp))" /e /r /s</v>
      </c>
      <c r="U23" s="9" t="str">
        <f t="shared" si="1"/>
        <v>4039</v>
      </c>
      <c r="V23" s="38">
        <f t="shared" si="2"/>
        <v>42624.576701388891</v>
      </c>
      <c r="W23" s="52" t="str">
        <f t="shared" si="3"/>
        <v>EC</v>
      </c>
      <c r="X23" s="52" t="str">
        <f t="shared" si="4"/>
        <v>KEEP</v>
      </c>
      <c r="Y23" s="134" t="str">
        <f t="shared" si="5"/>
        <v>echo {"issue":{"subject":"","project_id":79,"tracker_id":40,"status_id":1,"priority_id":2,"assigned_to_id":23,"start_date":"2016-09-11","description":"","custom_fields":[{"id":1,"name":"Subdivision","value":"EC"},{"id":4,"name":"Milepost","value":"0.0001"},{"id":17,"name":"Train ID","value":"122-11"},{"id":16,"name":"Locomotive ID","value":"4039"},{"id":130,"name":"Impact","value":""},{"id":150,"name":"Time of Event (Mountain Time)","value":"07:50:27"},{"id":151,"name":"Denver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55"/>
    </row>
    <row r="24" spans="1:28" x14ac:dyDescent="0.25">
      <c r="A24" s="38">
        <v>42624.347939814812</v>
      </c>
      <c r="B24" s="33" t="s">
        <v>184</v>
      </c>
      <c r="C24" s="33" t="s">
        <v>389</v>
      </c>
      <c r="D24" s="33" t="s">
        <v>49</v>
      </c>
      <c r="E24" s="33" t="s">
        <v>50</v>
      </c>
      <c r="F24" s="49">
        <v>0</v>
      </c>
      <c r="G24" s="49">
        <v>70</v>
      </c>
      <c r="H24" s="49">
        <v>249</v>
      </c>
      <c r="I24" s="49">
        <v>174</v>
      </c>
      <c r="J24" s="33" t="s">
        <v>51</v>
      </c>
      <c r="K24" s="49">
        <v>1</v>
      </c>
      <c r="L24" s="150" t="s">
        <v>53</v>
      </c>
      <c r="M24" s="153">
        <f t="shared" si="6"/>
        <v>91.343999999999994</v>
      </c>
      <c r="N24" s="92" t="str">
        <f>VLOOKUP(C24,'Trips&amp;Operators'!$C$1:$E$99999,3,FALSE)</f>
        <v>STRICKLAND</v>
      </c>
      <c r="O24" s="174" t="s">
        <v>86</v>
      </c>
      <c r="P24" s="10"/>
      <c r="Q24" s="33"/>
      <c r="R24" s="108" t="str">
        <f>VLOOKUP(C24,'Train Runs'!$A$13:$AE$10032,31,0)</f>
        <v>aws s3 cp s3://rtdc.mdm.uploadarchive/RTDC4041/2016-09-11/ "%USERPROFILE%\AppData\Local\Temp\OnboardLogs"\RTDC4041\2016-09-11 --recursive &amp; "%USERPROFILE%\Documents\GitHub\mrs-test-scripts\Headless Mode &amp; Sideloading\WalkAndUnGZ.bat" "%USERPROFILE%\AppData\Local\Temp\OnboardLogs"\RTDC4041\2016-09-11 &amp; 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</v>
      </c>
      <c r="S24" s="111" t="str">
        <f>VLOOKUP(C24,'Train Runs'!$A$13:$AE$10032,22,0)</f>
        <v>https://search-rtdc-monitor-bjffxe2xuh6vdkpspy63sjmuny.us-east-1.es.amazonaws.com/_plugin/kibana/#/discover/Steve-Slow-Train-Analysis-(2080s-and-2083s)?_g=(refreshInterval:(display:Off,section:0,value:0),time:(from:'2016-09-11 06:36:59-0600',mode:absolute,to:'2016-09-11 09:21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24" s="113" t="str">
        <f t="shared" si="0"/>
        <v>"C:\Program Files (x86)\AstroGrep\AstroGrep.exe" /spath="%USERPROFILE%\AppData\Local\Temp\OnboardLogs" /stypes="*4041*201609111*" /stext=" 14:.+((SYSTEM_STATE.+slice.+state.+changed )|(ment ac)|(system.+state.+changed )|(\|lc)|(penalty)|(\[timeout)|(PRM\|1\|D)|(kpr)|(kdp))" /e /r /s</v>
      </c>
      <c r="U24" s="9" t="str">
        <f t="shared" si="1"/>
        <v>4041</v>
      </c>
      <c r="V24" s="38">
        <f t="shared" si="2"/>
        <v>42624.597939814812</v>
      </c>
      <c r="W24" s="52" t="str">
        <f t="shared" si="3"/>
        <v>EC</v>
      </c>
      <c r="X24" s="52" t="str">
        <f t="shared" si="4"/>
        <v>KEEP</v>
      </c>
      <c r="Y24" s="134" t="str">
        <f t="shared" si="5"/>
        <v>echo {"issue":{"subject":"","project_id":79,"tracker_id":40,"status_id":1,"priority_id":2,"assigned_to_id":23,"start_date":"2016-09-11","description":"","custom_fields":[{"id":1,"name":"Subdivision","value":"EC"},{"id":4,"name":"Milepost","value":"0.0001"},{"id":17,"name":"Train ID","value":"126-11"},{"id":16,"name":"Locomotive ID","value":"4041"},{"id":130,"name":"Impact","value":""},{"id":150,"name":"Time of Event (Mountain Time)","value":"08:21:02"},{"id":151,"name":"Denver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55"/>
    </row>
    <row r="25" spans="1:28" ht="15" customHeight="1" x14ac:dyDescent="0.25">
      <c r="A25" s="38">
        <v>42624.703194444446</v>
      </c>
      <c r="B25" s="33" t="s">
        <v>185</v>
      </c>
      <c r="C25" s="33" t="s">
        <v>404</v>
      </c>
      <c r="D25" s="33" t="s">
        <v>49</v>
      </c>
      <c r="E25" s="33" t="s">
        <v>50</v>
      </c>
      <c r="F25" s="49">
        <v>0</v>
      </c>
      <c r="G25" s="49">
        <v>43</v>
      </c>
      <c r="H25" s="49">
        <v>150</v>
      </c>
      <c r="I25" s="49">
        <v>110</v>
      </c>
      <c r="J25" s="33" t="s">
        <v>51</v>
      </c>
      <c r="K25" s="49">
        <v>1</v>
      </c>
      <c r="L25" s="150" t="s">
        <v>53</v>
      </c>
      <c r="M25" s="153">
        <f t="shared" si="6"/>
        <v>57.552</v>
      </c>
      <c r="N25" s="92" t="str">
        <f>VLOOKUP(C25,'Trips&amp;Operators'!$C$1:$E$99999,3,FALSE)</f>
        <v>MOSES</v>
      </c>
      <c r="O25" s="174" t="s">
        <v>86</v>
      </c>
      <c r="P25" s="10"/>
      <c r="Q25" s="33"/>
      <c r="R25" s="108" t="str">
        <f>VLOOKUP(C25,'Train Runs'!$A$13:$AE$10032,31,0)</f>
        <v>aws s3 cp s3://rtdc.mdm.uploadarchive/RTDC4010/2016-09-11/ "%USERPROFILE%\AppData\Local\Temp\OnboardLogs"\RTDC4010\2016-09-11 --recursive &amp; "%USERPROFILE%\Documents\GitHub\mrs-test-scripts\Headless Mode &amp; Sideloading\WalkAndUnGZ.bat" "%USERPROFILE%\AppData\Local\Temp\OnboardLogs"\RTDC4010\2016-09-11 &amp; 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</v>
      </c>
      <c r="S25" s="111" t="str">
        <f>VLOOKUP(C25,'Train Runs'!$A$13:$AE$10032,22,0)</f>
        <v>https://search-rtdc-monitor-bjffxe2xuh6vdkpspy63sjmuny.us-east-1.es.amazonaws.com/_plugin/kibana/#/discover/Steve-Slow-Train-Analysis-(2080s-and-2083s)?_g=(refreshInterval:(display:Off,section:0,value:0),time:(from:'2016-09-11 15:08:12-0600',mode:absolute,to:'2016-09-11 17:52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25" s="113" t="str">
        <f t="shared" si="0"/>
        <v>"C:\Program Files (x86)\AstroGrep\AstroGrep.exe" /spath="%USERPROFILE%\AppData\Local\Temp\OnboardLogs" /stypes="*4010*201609112*" /stext=" 22:.+((SYSTEM_STATE.+slice.+state.+changed )|(ment ac)|(system.+state.+changed )|(\|lc)|(penalty)|(\[timeout)|(PRM\|1\|D)|(kpr)|(kdp))" /e /r /s</v>
      </c>
      <c r="U25" s="9" t="str">
        <f t="shared" si="1"/>
        <v>4010</v>
      </c>
      <c r="V25" s="38">
        <f t="shared" si="2"/>
        <v>42624.953194444446</v>
      </c>
      <c r="W25" s="52" t="str">
        <f t="shared" si="3"/>
        <v>EC</v>
      </c>
      <c r="X25" s="52" t="str">
        <f t="shared" si="4"/>
        <v>KEEP</v>
      </c>
      <c r="Y25" s="134" t="str">
        <f t="shared" si="5"/>
        <v>echo {"issue":{"subject":"","project_id":79,"tracker_id":40,"status_id":1,"priority_id":2,"assigned_to_id":23,"start_date":"2016-09-11","description":"","custom_fields":[{"id":1,"name":"Subdivision","value":"EC"},{"id":4,"name":"Milepost","value":"0.0001"},{"id":17,"name":"Train ID","value":"194-11"},{"id":16,"name":"Locomotive ID","value":"4010"},{"id":130,"name":"Impact","value":""},{"id":150,"name":"Time of Event (Mountain Time)","value":"16:52:36"},{"id":151,"name":"Denver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55"/>
    </row>
    <row r="26" spans="1:28" x14ac:dyDescent="0.25">
      <c r="A26" s="38">
        <v>42624.837743055556</v>
      </c>
      <c r="B26" s="33" t="s">
        <v>266</v>
      </c>
      <c r="C26" s="33" t="s">
        <v>409</v>
      </c>
      <c r="D26" s="33" t="s">
        <v>49</v>
      </c>
      <c r="E26" s="33" t="s">
        <v>50</v>
      </c>
      <c r="F26" s="49">
        <v>0</v>
      </c>
      <c r="G26" s="49">
        <v>67</v>
      </c>
      <c r="H26" s="49">
        <v>214</v>
      </c>
      <c r="I26" s="49">
        <v>161</v>
      </c>
      <c r="J26" s="33" t="s">
        <v>51</v>
      </c>
      <c r="K26" s="49">
        <v>1</v>
      </c>
      <c r="L26" s="150" t="s">
        <v>53</v>
      </c>
      <c r="M26" s="153"/>
      <c r="N26" s="92" t="str">
        <f>VLOOKUP(C26,'Trips&amp;Operators'!$C$1:$E$99999,3,FALSE)</f>
        <v>CHANDLER</v>
      </c>
      <c r="O26" s="174" t="s">
        <v>86</v>
      </c>
      <c r="P26" s="10"/>
      <c r="Q26" s="33"/>
      <c r="R26" s="108" t="str">
        <f>VLOOKUP(C26,'Train Runs'!$A$13:$AE$10032,31,0)</f>
        <v>aws s3 cp s3://rtdc.mdm.uploadarchive/RTDC4039/2016-09-11/ "%USERPROFILE%\AppData\Local\Temp\OnboardLogs"\RTDC4039\2016-09-11 --recursive &amp; "%USERPROFILE%\Documents\GitHub\mrs-test-scripts\Headless Mode &amp; Sideloading\WalkAndUnGZ.bat" "%USERPROFILE%\AppData\Local\Temp\OnboardLogs"\RTDC4039\2016-09-11 &amp; aws s3 cp s3://rtdc.mdm.uploadarchive/RTDC4039/2016-09-12/ "%USERPROFILE%\AppData\Local\Temp\OnboardLogs"\RTDC4039\2016-09-12 --recursive &amp; "%USERPROFILE%\Documents\GitHub\mrs-test-scripts\Headless Mode &amp; Sideloading\WalkAndUnGZ.bat" "%USERPROFILE%\AppData\Local\Temp\OnboardLogs"\RTDC4039\2016-09-12</v>
      </c>
      <c r="S26" s="111" t="str">
        <f>VLOOKUP(C26,'Train Runs'!$A$13:$AE$10032,22,0)</f>
        <v>https://search-rtdc-monitor-bjffxe2xuh6vdkpspy63sjmuny.us-east-1.es.amazonaws.com/_plugin/kibana/#/discover/Steve-Slow-Train-Analysis-(2080s-and-2083s)?_g=(refreshInterval:(display:Off,section:0,value:0),time:(from:'2016-09-11 18:25:00-0600',mode:absolute,to:'2016-09-11 21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26" s="113" t="str">
        <f t="shared" si="0"/>
        <v>"C:\Program Files (x86)\AstroGrep\AstroGrep.exe" /spath="%USERPROFILE%\AppData\Local\Temp\OnboardLogs" /stypes="*4039*201609120*" /stext=" 02:.+((SYSTEM_STATE.+slice.+state.+changed )|(ment ac)|(system.+state.+changed )|(\|lc)|(penalty)|(\[timeout)|(PRM\|1\|D)|(kpr)|(kdp))" /e /r /s</v>
      </c>
      <c r="U26" s="9" t="str">
        <f t="shared" si="1"/>
        <v>4039</v>
      </c>
      <c r="V26" s="38">
        <f t="shared" si="2"/>
        <v>42625.087743055556</v>
      </c>
      <c r="W26" s="52" t="str">
        <f t="shared" si="3"/>
        <v>EC</v>
      </c>
      <c r="X26" s="52" t="str">
        <f t="shared" si="4"/>
        <v>KEEP</v>
      </c>
      <c r="Y26" s="134" t="str">
        <f t="shared" si="5"/>
        <v>echo {"issue":{"subject":"","project_id":79,"tracker_id":40,"status_id":1,"priority_id":2,"assigned_to_id":23,"start_date":"2016-09-11","description":"","custom_fields":[{"id":1,"name":"Subdivision","value":"EC"},{"id":4,"name":"Milepost","value":"0.0001"},{"id":17,"name":"Train ID","value":"220-11"},{"id":16,"name":"Locomotive ID","value":"4039"},{"id":130,"name":"Impact","value":""},{"id":150,"name":"Time of Event (Mountain Time)","value":"20:06:21"},{"id":151,"name":"Denver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55"/>
    </row>
    <row r="27" spans="1:28" x14ac:dyDescent="0.25">
      <c r="A27" s="38">
        <v>42625.045046296298</v>
      </c>
      <c r="B27" s="33" t="s">
        <v>89</v>
      </c>
      <c r="C27" s="33" t="s">
        <v>410</v>
      </c>
      <c r="D27" s="33" t="s">
        <v>49</v>
      </c>
      <c r="E27" s="33" t="s">
        <v>50</v>
      </c>
      <c r="F27" s="49">
        <v>0</v>
      </c>
      <c r="G27" s="49">
        <v>50</v>
      </c>
      <c r="H27" s="49">
        <v>180</v>
      </c>
      <c r="I27" s="49">
        <v>136</v>
      </c>
      <c r="J27" s="33" t="s">
        <v>51</v>
      </c>
      <c r="K27" s="49">
        <v>1</v>
      </c>
      <c r="L27" s="150" t="s">
        <v>53</v>
      </c>
      <c r="M27" s="153"/>
      <c r="N27" s="92" t="str">
        <f>VLOOKUP(C27,'Trips&amp;Operators'!$C$1:$E$99999,3,FALSE)</f>
        <v>OUN</v>
      </c>
      <c r="O27" s="174" t="s">
        <v>86</v>
      </c>
      <c r="P27" s="10"/>
      <c r="Q27" s="33"/>
      <c r="R27" s="108" t="str">
        <f>VLOOKUP(C27,'Train Runs'!$A$13:$AE$10032,31,0)</f>
        <v>aws s3 cp s3://rtdc.mdm.uploadarchive/RTDC4030/2016-09-12/ "%USERPROFILE%\AppData\Local\Temp\OnboardLogs"\RTDC4030\2016-09-12 --recursive &amp; "%USERPROFILE%\Documents\GitHub\mrs-test-scripts\Headless Mode &amp; Sideloading\WalkAndUnGZ.bat" "%USERPROFILE%\AppData\Local\Temp\OnboardLogs"\RTDC4030\2016-09-12 &amp; aws s3 cp s3://rtdc.mdm.uploadarchive/RTDC4030/2016-09-13/ "%USERPROFILE%\AppData\Local\Temp\OnboardLogs"\RTDC4030\2016-09-13 --recursive &amp; "%USERPROFILE%\Documents\GitHub\mrs-test-scripts\Headless Mode &amp; Sideloading\WalkAndUnGZ.bat" "%USERPROFILE%\AppData\Local\Temp\OnboardLogs"\RTDC4030\2016-09-13</v>
      </c>
      <c r="S27" s="111" t="str">
        <f>VLOOKUP(C27,'Train Runs'!$A$13:$AE$10032,22,0)</f>
        <v>https://search-rtdc-monitor-bjffxe2xuh6vdkpspy63sjmuny.us-east-1.es.amazonaws.com/_plugin/kibana/#/discover/Steve-Slow-Train-Analysis-(2080s-and-2083s)?_g=(refreshInterval:(display:Off,section:0,value:0),time:(from:'2016-09-11 23:19:09-0600',mode:absolute,to:'2016-09-12 02:04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T27" s="113" t="str">
        <f t="shared" si="0"/>
        <v>"C:\Program Files (x86)\AstroGrep\AstroGrep.exe" /spath="%USERPROFILE%\AppData\Local\Temp\OnboardLogs" /stypes="*4030*201609120*" /stext=" 07:.+((SYSTEM_STATE.+slice.+state.+changed )|(ment ac)|(system.+state.+changed )|(\|lc)|(penalty)|(\[timeout)|(PRM\|1\|D)|(kpr)|(kdp))" /e /r /s</v>
      </c>
      <c r="U27" s="9" t="str">
        <f t="shared" si="1"/>
        <v>4030</v>
      </c>
      <c r="V27" s="38">
        <f t="shared" si="2"/>
        <v>42625.295046296298</v>
      </c>
      <c r="W27" s="52" t="str">
        <f t="shared" si="3"/>
        <v>EC</v>
      </c>
      <c r="X27" s="52" t="str">
        <f t="shared" si="4"/>
        <v>KEEP</v>
      </c>
      <c r="Y27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{"issue":{"subject":"","project_id":79,"tracker_id":40,"status_id":1,"priority_id":2,"assigned_to_id":23,"start_date":"2016-09-12","description":"","custom_fields":[{"id":1,"name":"Subdivision","value":"EC"},{"id":4,"name":"Milepost","value":"0.0001"},{"id":17,"name":"Train ID","value":"240-11"},{"id":16,"name":"Locomotive ID","value":"4030"},{"id":130,"name":"Impact","value":""},{"id":150,"name":"Time of Event (Mountain Time)","value":"01:04:52"},{"id":151,"name":"Denver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55"/>
    </row>
    <row r="28" spans="1:28" x14ac:dyDescent="0.25">
      <c r="A28" s="38">
        <v>42624.160532407404</v>
      </c>
      <c r="B28" s="33" t="s">
        <v>186</v>
      </c>
      <c r="C28" s="33" t="s">
        <v>378</v>
      </c>
      <c r="D28" s="33" t="s">
        <v>49</v>
      </c>
      <c r="E28" s="33" t="s">
        <v>50</v>
      </c>
      <c r="F28" s="49">
        <v>0</v>
      </c>
      <c r="G28" s="49">
        <v>81</v>
      </c>
      <c r="H28" s="49">
        <v>233117</v>
      </c>
      <c r="I28" s="49">
        <v>233220</v>
      </c>
      <c r="J28" s="33" t="s">
        <v>51</v>
      </c>
      <c r="K28" s="49">
        <v>233491</v>
      </c>
      <c r="L28" s="150" t="s">
        <v>52</v>
      </c>
      <c r="M28" s="153">
        <f t="shared" ref="M28:M34" si="7">CONVERT((I28-K28)/10000,"mi","ft")*IF(L28="Increasing Mileposts (1)",-1,1)</f>
        <v>143.08799999999999</v>
      </c>
      <c r="N28" s="92" t="str">
        <f>VLOOKUP(C28,'Trips&amp;Operators'!$C$1:$E$99999,3,FALSE)</f>
        <v>KILLION</v>
      </c>
      <c r="O28" s="174" t="s">
        <v>86</v>
      </c>
      <c r="P28" s="10"/>
      <c r="Q28" s="33"/>
      <c r="R28" s="108" t="str">
        <f>VLOOKUP(C28,'Train Runs'!$A$13:$AE$10032,31,0)</f>
        <v>aws s3 cp s3://rtdc.mdm.uploadarchive/RTDC4042/2016-09-11/ "%USERPROFILE%\AppData\Local\Temp\OnboardLogs"\RTDC4042\2016-09-11 --recursive &amp; "%USERPROFILE%\Documents\GitHub\mrs-test-scripts\Headless Mode &amp; Sideloading\WalkAndUnGZ.bat" "%USERPROFILE%\AppData\Local\Temp\OnboardLogs"\RTDC4042\2016-09-11 &amp; 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</v>
      </c>
      <c r="S28" s="111" t="str">
        <f>VLOOKUP(C28,'Train Runs'!$A$13:$AE$10032,22,0)</f>
        <v>https://search-rtdc-monitor-bjffxe2xuh6vdkpspy63sjmuny.us-east-1.es.amazonaws.com/_plugin/kibana/#/discover/Steve-Slow-Train-Analysis-(2080s-and-2083s)?_g=(refreshInterval:(display:Off,section:0,value:0),time:(from:'2016-09-11 02:03:30-0600',mode:absolute,to:'2016-09-11 04:51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T28" s="113" t="str">
        <f t="shared" si="0"/>
        <v>"C:\Program Files (x86)\AstroGrep\AstroGrep.exe" /spath="%USERPROFILE%\AppData\Local\Temp\OnboardLogs" /stypes="*4042*201609110*" /stext=" 09:.+((SYSTEM_STATE.+slice.+state.+changed )|(ment ac)|(system.+state.+changed )|(\|lc)|(penalty)|(\[timeout)|(PRM\|1\|D)|(kpr)|(kdp))" /e /r /s</v>
      </c>
      <c r="U28" s="9" t="str">
        <f t="shared" si="1"/>
        <v>4042</v>
      </c>
      <c r="V28" s="38">
        <f t="shared" si="2"/>
        <v>42624.410532407404</v>
      </c>
      <c r="W28" s="52" t="str">
        <f t="shared" si="3"/>
        <v>EC</v>
      </c>
      <c r="X28" s="52" t="str">
        <f t="shared" si="4"/>
        <v>KEEP</v>
      </c>
      <c r="Y28" s="134" t="str">
        <f t="shared" si="5"/>
        <v>echo {"issue":{"subject":"","project_id":79,"tracker_id":40,"status_id":1,"priority_id":2,"assigned_to_id":23,"start_date":"2016-09-11","description":"","custom_fields":[{"id":1,"name":"Subdivision","value":"EC"},{"id":4,"name":"Milepost","value":"23.3491"},{"id":17,"name":"Train ID","value":"101-11"},{"id":16,"name":"Locomotive ID","value":"4042"},{"id":130,"name":"Impact","value":""},{"id":150,"name":"Time of Event (Mountain Time)","value":"03:51:10"},{"id":151,"name":"Denver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55"/>
    </row>
    <row r="29" spans="1:28" x14ac:dyDescent="0.25">
      <c r="A29" s="38">
        <v>42624.379837962966</v>
      </c>
      <c r="B29" s="33" t="s">
        <v>186</v>
      </c>
      <c r="C29" s="33" t="s">
        <v>390</v>
      </c>
      <c r="D29" s="33" t="s">
        <v>49</v>
      </c>
      <c r="E29" s="33" t="s">
        <v>50</v>
      </c>
      <c r="F29" s="49">
        <v>0</v>
      </c>
      <c r="G29" s="49">
        <v>90</v>
      </c>
      <c r="H29" s="49">
        <v>233142</v>
      </c>
      <c r="I29" s="49">
        <v>233227</v>
      </c>
      <c r="J29" s="33" t="s">
        <v>51</v>
      </c>
      <c r="K29" s="49">
        <v>233491</v>
      </c>
      <c r="L29" s="150" t="s">
        <v>52</v>
      </c>
      <c r="M29" s="153">
        <f t="shared" si="7"/>
        <v>139.392</v>
      </c>
      <c r="N29" s="92" t="str">
        <f>VLOOKUP(C29,'Trips&amp;Operators'!$C$1:$E$99999,3,FALSE)</f>
        <v>STRICKLAND</v>
      </c>
      <c r="O29" s="174" t="s">
        <v>86</v>
      </c>
      <c r="P29" s="10"/>
      <c r="Q29" s="33"/>
      <c r="R29" s="108" t="str">
        <f>VLOOKUP(C29,'Train Runs'!$A$13:$AE$10032,31,0)</f>
        <v>aws s3 cp s3://rtdc.mdm.uploadarchive/RTDC4042/2016-09-11/ "%USERPROFILE%\AppData\Local\Temp\OnboardLogs"\RTDC4042\2016-09-11 --recursive &amp; "%USERPROFILE%\Documents\GitHub\mrs-test-scripts\Headless Mode &amp; Sideloading\WalkAndUnGZ.bat" "%USERPROFILE%\AppData\Local\Temp\OnboardLogs"\RTDC4042\2016-09-11 &amp; 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</v>
      </c>
      <c r="S29" s="111" t="str">
        <f>VLOOKUP(C29,'Train Runs'!$A$13:$AE$10032,22,0)</f>
        <v>https://search-rtdc-monitor-bjffxe2xuh6vdkpspy63sjmuny.us-east-1.es.amazonaws.com/_plugin/kibana/#/discover/Steve-Slow-Train-Analysis-(2080s-and-2083s)?_g=(refreshInterval:(display:Off,section:0,value:0),time:(from:'2016-09-11 07:24:08-0600',mode:absolute,to:'2016-09-11 10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T29" s="113" t="str">
        <f t="shared" si="0"/>
        <v>"C:\Program Files (x86)\AstroGrep\AstroGrep.exe" /spath="%USERPROFILE%\AppData\Local\Temp\OnboardLogs" /stypes="*4042*201609111*" /stext=" 15:.+((SYSTEM_STATE.+slice.+state.+changed )|(ment ac)|(system.+state.+changed )|(\|lc)|(penalty)|(\[timeout)|(PRM\|1\|D)|(kpr)|(kdp))" /e /r /s</v>
      </c>
      <c r="U29" s="9" t="str">
        <f t="shared" si="1"/>
        <v>4042</v>
      </c>
      <c r="V29" s="38">
        <f t="shared" si="2"/>
        <v>42624.629837962966</v>
      </c>
      <c r="W29" s="52" t="str">
        <f t="shared" si="3"/>
        <v>EC</v>
      </c>
      <c r="X29" s="52" t="str">
        <f t="shared" si="4"/>
        <v>KEEP</v>
      </c>
      <c r="Y29" s="134" t="str">
        <f t="shared" si="5"/>
        <v>echo {"issue":{"subject":"","project_id":79,"tracker_id":40,"status_id":1,"priority_id":2,"assigned_to_id":23,"start_date":"2016-09-11","description":"","custom_fields":[{"id":1,"name":"Subdivision","value":"EC"},{"id":4,"name":"Milepost","value":"23.3491"},{"id":17,"name":"Train ID","value":"139-11"},{"id":16,"name":"Locomotive ID","value":"4042"},{"id":130,"name":"Impact","value":""},{"id":150,"name":"Time of Event (Mountain Time)","value":"09:06:58"},{"id":151,"name":"Denver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55"/>
    </row>
    <row r="30" spans="1:28" x14ac:dyDescent="0.25">
      <c r="A30" s="38">
        <v>42624.559733796297</v>
      </c>
      <c r="B30" s="33" t="s">
        <v>170</v>
      </c>
      <c r="C30" s="33" t="s">
        <v>397</v>
      </c>
      <c r="D30" s="33" t="s">
        <v>49</v>
      </c>
      <c r="E30" s="33" t="s">
        <v>50</v>
      </c>
      <c r="F30" s="49">
        <v>0</v>
      </c>
      <c r="G30" s="49">
        <v>53</v>
      </c>
      <c r="H30" s="49">
        <v>233293</v>
      </c>
      <c r="I30" s="49">
        <v>233343</v>
      </c>
      <c r="J30" s="33" t="s">
        <v>51</v>
      </c>
      <c r="K30" s="49">
        <v>233491</v>
      </c>
      <c r="L30" s="150" t="s">
        <v>52</v>
      </c>
      <c r="M30" s="153">
        <f t="shared" si="7"/>
        <v>78.144000000000005</v>
      </c>
      <c r="N30" s="92" t="str">
        <f>VLOOKUP(C30,'Trips&amp;Operators'!$C$1:$E$99999,3,FALSE)</f>
        <v>STEWART</v>
      </c>
      <c r="O30" s="174" t="s">
        <v>86</v>
      </c>
      <c r="P30" s="10"/>
      <c r="Q30" s="33"/>
      <c r="R30" s="108" t="str">
        <f>VLOOKUP(C30,'Train Runs'!$A$13:$AE$10032,31,0)</f>
        <v>aws s3 cp s3://rtdc.mdm.uploadarchive/RTDC4020/2016-09-11/ "%USERPROFILE%\AppData\Local\Temp\OnboardLogs"\RTDC4020\2016-09-11 --recursive &amp; "%USERPROFILE%\Documents\GitHub\mrs-test-scripts\Headless Mode &amp; Sideloading\WalkAndUnGZ.bat" "%USERPROFILE%\AppData\Local\Temp\OnboardLogs"\RTDC4020\2016-09-11 &amp; 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</v>
      </c>
      <c r="S30" s="111" t="str">
        <f>VLOOKUP(C30,'Train Runs'!$A$13:$AE$10032,22,0)</f>
        <v>https://search-rtdc-monitor-bjffxe2xuh6vdkpspy63sjmuny.us-east-1.es.amazonaws.com/_plugin/kibana/#/discover/Steve-Slow-Train-Analysis-(2080s-and-2083s)?_g=(refreshInterval:(display:Off,section:0,value:0),time:(from:'2016-09-11 11:45:54-0600',mode:absolute,to:'2016-09-11 14:25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30" s="113" t="str">
        <f t="shared" si="0"/>
        <v>"C:\Program Files (x86)\AstroGrep\AstroGrep.exe" /spath="%USERPROFILE%\AppData\Local\Temp\OnboardLogs" /stypes="*4020*201609111*" /stext=" 19:.+((SYSTEM_STATE.+slice.+state.+changed )|(ment ac)|(system.+state.+changed )|(\|lc)|(penalty)|(\[timeout)|(PRM\|1\|D)|(kpr)|(kdp))" /e /r /s</v>
      </c>
      <c r="U30" s="9" t="str">
        <f t="shared" si="1"/>
        <v>4020</v>
      </c>
      <c r="V30" s="38">
        <f t="shared" si="2"/>
        <v>42624.809733796297</v>
      </c>
      <c r="W30" s="52" t="str">
        <f t="shared" si="3"/>
        <v>EC</v>
      </c>
      <c r="X30" s="52" t="str">
        <f t="shared" si="4"/>
        <v>KEEP</v>
      </c>
      <c r="Y30" s="134" t="str">
        <f t="shared" si="5"/>
        <v>echo {"issue":{"subject":"","project_id":79,"tracker_id":40,"status_id":1,"priority_id":2,"assigned_to_id":23,"start_date":"2016-09-11","description":"","custom_fields":[{"id":1,"name":"Subdivision","value":"EC"},{"id":4,"name":"Milepost","value":"23.3491"},{"id":17,"name":"Train ID","value":"173-11"},{"id":16,"name":"Locomotive ID","value":"4020"},{"id":130,"name":"Impact","value":""},{"id":150,"name":"Time of Event (Mountain Time)","value":"13:26:01"},{"id":151,"name":"Denver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55"/>
    </row>
    <row r="31" spans="1:28" x14ac:dyDescent="0.25">
      <c r="A31" s="38">
        <v>42624.602476851855</v>
      </c>
      <c r="B31" s="33" t="s">
        <v>337</v>
      </c>
      <c r="C31" s="33" t="s">
        <v>398</v>
      </c>
      <c r="D31" s="33" t="s">
        <v>106</v>
      </c>
      <c r="E31" s="33" t="s">
        <v>56</v>
      </c>
      <c r="F31" s="49">
        <v>300</v>
      </c>
      <c r="G31" s="49">
        <v>351</v>
      </c>
      <c r="H31" s="49">
        <v>23296</v>
      </c>
      <c r="I31" s="49">
        <v>24263</v>
      </c>
      <c r="J31" s="33" t="s">
        <v>57</v>
      </c>
      <c r="K31" s="49">
        <v>21314</v>
      </c>
      <c r="L31" s="150" t="s">
        <v>52</v>
      </c>
      <c r="M31" s="153">
        <f t="shared" si="7"/>
        <v>-1557.0719999999999</v>
      </c>
      <c r="N31" s="92" t="str">
        <f>VLOOKUP(C31,'Trips&amp;Operators'!$C$1:$E$99999,3,FALSE)</f>
        <v>ADANE</v>
      </c>
      <c r="O31" s="174" t="s">
        <v>86</v>
      </c>
      <c r="P31" s="10"/>
      <c r="Q31" s="33"/>
      <c r="R31" s="108" t="str">
        <f>VLOOKUP(C31,'Train Runs'!$A$13:$AE$10032,31,0)</f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S31" s="111" t="str">
        <f>VLOOKUP(C31,'Train Runs'!$A$13:$AE$10032,22,0)</f>
        <v>https://search-rtdc-monitor-bjffxe2xuh6vdkpspy63sjmuny.us-east-1.es.amazonaws.com/_plugin/kibana/#/discover/Steve-Slow-Train-Analysis-(2080s-and-2083s)?_g=(refreshInterval:(display:Off,section:0,value:0),time:(from:'2016-09-11 13:08:18-0600',mode:absolute,to:'2016-09-11 15:33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31" s="113" t="str">
        <f t="shared" si="0"/>
        <v>"C:\Program Files (x86)\AstroGrep\AstroGrep.exe" /spath="%USERPROFILE%\AppData\Local\Temp\OnboardLogs" /stypes="*4002*201609112*" /stext=" 20:.+((SYSTEM_STATE.+slice.+state.+changed )|(ment ac)|(system.+state.+changed )|(\|lc)|(penalty)|(\[timeout)|(PRM\|1\|D)|(kpr)|(kdp))" /e /r /s</v>
      </c>
      <c r="U31" s="9" t="str">
        <f t="shared" si="1"/>
        <v>4002</v>
      </c>
      <c r="V31" s="38">
        <f t="shared" si="2"/>
        <v>42624.852476851855</v>
      </c>
      <c r="W31" s="52" t="str">
        <f t="shared" si="3"/>
        <v>NW</v>
      </c>
      <c r="X31" s="52" t="str">
        <f t="shared" si="4"/>
        <v>KEEP</v>
      </c>
      <c r="Y31" s="134" t="str">
        <f t="shared" si="5"/>
        <v>echo {"issue":{"subject":"","project_id":79,"tracker_id":40,"status_id":1,"priority_id":2,"assigned_to_id":23,"start_date":"2016-09-11","description":"","custom_fields":[{"id":1,"name":"Subdivision","value":"NW"},{"id":4,"name":"Milepost","value":"2.1314"},{"id":17,"name":"Train ID","value":"1817-11"},{"id":16,"name":"Locomotive ID","value":"4002"},{"id":130,"name":"Impact","value":""},{"id":150,"name":"Time of Event (Mountain Time)","value":"14:27:34"},{"id":151,"name":"Denver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55"/>
    </row>
    <row r="32" spans="1:28" ht="15" customHeight="1" x14ac:dyDescent="0.25">
      <c r="A32" s="38">
        <v>42624.604398148149</v>
      </c>
      <c r="B32" s="33" t="s">
        <v>337</v>
      </c>
      <c r="C32" s="33" t="s">
        <v>398</v>
      </c>
      <c r="D32" s="33" t="s">
        <v>49</v>
      </c>
      <c r="E32" s="33" t="s">
        <v>56</v>
      </c>
      <c r="F32" s="49">
        <v>400</v>
      </c>
      <c r="G32" s="49">
        <v>451</v>
      </c>
      <c r="H32" s="49">
        <v>38110</v>
      </c>
      <c r="I32" s="49">
        <v>39549</v>
      </c>
      <c r="J32" s="33" t="s">
        <v>57</v>
      </c>
      <c r="K32" s="49">
        <v>38171</v>
      </c>
      <c r="L32" s="150" t="s">
        <v>52</v>
      </c>
      <c r="M32" s="153">
        <f t="shared" si="7"/>
        <v>-727.58399999999995</v>
      </c>
      <c r="N32" s="92" t="str">
        <f>VLOOKUP(C32,'Trips&amp;Operators'!$C$1:$E$99999,3,FALSE)</f>
        <v>ADANE</v>
      </c>
      <c r="O32" s="174" t="s">
        <v>86</v>
      </c>
      <c r="P32" s="10"/>
      <c r="Q32" s="33"/>
      <c r="R32" s="108" t="str">
        <f>VLOOKUP(C32,'Train Runs'!$A$13:$AE$10032,31,0)</f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S32" s="111" t="str">
        <f>VLOOKUP(C32,'Train Runs'!$A$13:$AE$10032,22,0)</f>
        <v>https://search-rtdc-monitor-bjffxe2xuh6vdkpspy63sjmuny.us-east-1.es.amazonaws.com/_plugin/kibana/#/discover/Steve-Slow-Train-Analysis-(2080s-and-2083s)?_g=(refreshInterval:(display:Off,section:0,value:0),time:(from:'2016-09-11 13:08:18-0600',mode:absolute,to:'2016-09-11 15:33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32" s="113" t="str">
        <f t="shared" si="0"/>
        <v>"C:\Program Files (x86)\AstroGrep\AstroGrep.exe" /spath="%USERPROFILE%\AppData\Local\Temp\OnboardLogs" /stypes="*4002*201609112*" /stext=" 20:.+((SYSTEM_STATE.+slice.+state.+changed )|(ment ac)|(system.+state.+changed )|(\|lc)|(penalty)|(\[timeout)|(PRM\|1\|D)|(kpr)|(kdp))" /e /r /s</v>
      </c>
      <c r="U32" s="9" t="str">
        <f t="shared" si="1"/>
        <v>4002</v>
      </c>
      <c r="V32" s="38">
        <f t="shared" si="2"/>
        <v>42624.854398148149</v>
      </c>
      <c r="W32" s="52" t="str">
        <f t="shared" si="3"/>
        <v>NW</v>
      </c>
      <c r="X32" s="52" t="str">
        <f t="shared" si="4"/>
        <v>KEEP</v>
      </c>
      <c r="Y32" s="134" t="str">
        <f t="shared" si="5"/>
        <v>echo {"issue":{"subject":"","project_id":79,"tracker_id":40,"status_id":1,"priority_id":2,"assigned_to_id":23,"start_date":"2016-09-11","description":"","custom_fields":[{"id":1,"name":"Subdivision","value":"NW"},{"id":4,"name":"Milepost","value":"3.8171"},{"id":17,"name":"Train ID","value":"1817-11"},{"id":16,"name":"Locomotive ID","value":"4002"},{"id":130,"name":"Impact","value":""},{"id":150,"name":"Time of Event (Mountain Time)","value":"14:30:20"},{"id":151,"name":"Denver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55"/>
    </row>
    <row r="33" spans="1:28" x14ac:dyDescent="0.25">
      <c r="A33" s="38">
        <v>42624.314432870371</v>
      </c>
      <c r="B33" s="33" t="s">
        <v>337</v>
      </c>
      <c r="C33" s="33" t="s">
        <v>387</v>
      </c>
      <c r="D33" s="33" t="s">
        <v>49</v>
      </c>
      <c r="E33" s="33" t="s">
        <v>56</v>
      </c>
      <c r="F33" s="49">
        <v>150</v>
      </c>
      <c r="G33" s="49">
        <v>312</v>
      </c>
      <c r="H33" s="49">
        <v>56259</v>
      </c>
      <c r="I33" s="49">
        <v>56794</v>
      </c>
      <c r="J33" s="33" t="s">
        <v>57</v>
      </c>
      <c r="K33" s="49">
        <v>57008</v>
      </c>
      <c r="L33" s="150" t="s">
        <v>52</v>
      </c>
      <c r="M33" s="153">
        <f t="shared" si="7"/>
        <v>112.992</v>
      </c>
      <c r="N33" s="92" t="str">
        <f>VLOOKUP(C33,'Trips&amp;Operators'!$C$1:$E$99999,3,FALSE)</f>
        <v>STARKS</v>
      </c>
      <c r="O33" s="174" t="s">
        <v>86</v>
      </c>
      <c r="P33" s="10"/>
      <c r="Q33" s="33"/>
      <c r="R33" s="108" t="str">
        <f>VLOOKUP(C33,'Train Runs'!$A$13:$AE$10032,31,0)</f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S33" s="111" t="str">
        <f>VLOOKUP(C33,'Train Runs'!$A$13:$AE$10032,22,0)</f>
        <v>https://search-rtdc-monitor-bjffxe2xuh6vdkpspy63sjmuny.us-east-1.es.amazonaws.com/_plugin/kibana/#/discover/Steve-Slow-Train-Analysis-(2080s-and-2083s)?_g=(refreshInterval:(display:Off,section:0,value:0),time:(from:'2016-09-11 06:17:01-0600',mode:absolute,to:'2016-09-11 08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33" s="113" t="str">
        <f t="shared" si="0"/>
        <v>"C:\Program Files (x86)\AstroGrep\AstroGrep.exe" /spath="%USERPROFILE%\AppData\Local\Temp\OnboardLogs" /stypes="*4002*201609111*" /stext=" 13:.+((SYSTEM_STATE.+slice.+state.+changed )|(ment ac)|(system.+state.+changed )|(\|lc)|(penalty)|(\[timeout)|(PRM\|1\|D)|(kpr)|(kdp))" /e /r /s</v>
      </c>
      <c r="U33" s="9" t="str">
        <f t="shared" si="1"/>
        <v>4002</v>
      </c>
      <c r="V33" s="38">
        <f t="shared" si="2"/>
        <v>42624.564432870371</v>
      </c>
      <c r="W33" s="52" t="str">
        <f t="shared" si="3"/>
        <v>NW</v>
      </c>
      <c r="X33" s="52" t="str">
        <f t="shared" si="4"/>
        <v>KEEP</v>
      </c>
      <c r="Y33" s="134" t="str">
        <f t="shared" si="5"/>
        <v>echo {"issue":{"subject":"","project_id":79,"tracker_id":40,"status_id":1,"priority_id":2,"assigned_to_id":23,"start_date":"2016-09-11","description":"","custom_fields":[{"id":1,"name":"Subdivision","value":"NW"},{"id":4,"name":"Milepost","value":"5.7008"},{"id":17,"name":"Train ID","value":"1803-11"},{"id":16,"name":"Locomotive ID","value":"4002"},{"id":130,"name":"Impact","value":""},{"id":150,"name":"Time of Event (Mountain Time)","value":"07:32:47"},{"id":151,"name":"Denver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55"/>
    </row>
    <row r="34" spans="1:28" ht="15" customHeight="1" x14ac:dyDescent="0.25">
      <c r="A34" s="38">
        <v>42624.689444444448</v>
      </c>
      <c r="B34" s="33" t="s">
        <v>337</v>
      </c>
      <c r="C34" s="33" t="s">
        <v>403</v>
      </c>
      <c r="D34" s="33" t="s">
        <v>49</v>
      </c>
      <c r="E34" s="33" t="s">
        <v>56</v>
      </c>
      <c r="F34" s="49">
        <v>150</v>
      </c>
      <c r="G34" s="49">
        <v>249</v>
      </c>
      <c r="H34" s="49">
        <v>56648</v>
      </c>
      <c r="I34" s="49">
        <v>56991</v>
      </c>
      <c r="J34" s="33" t="s">
        <v>57</v>
      </c>
      <c r="K34" s="49">
        <v>57008</v>
      </c>
      <c r="L34" s="150" t="s">
        <v>52</v>
      </c>
      <c r="M34" s="153">
        <f t="shared" si="7"/>
        <v>8.9760000000000009</v>
      </c>
      <c r="N34" s="92" t="str">
        <f>VLOOKUP(C34,'Trips&amp;Operators'!$C$1:$E$99999,3,FALSE)</f>
        <v>STAMBAUGH</v>
      </c>
      <c r="O34" s="174" t="s">
        <v>86</v>
      </c>
      <c r="P34" s="10"/>
      <c r="Q34" s="33"/>
      <c r="R34" s="108" t="str">
        <f>VLOOKUP(C34,'Train Runs'!$A$13:$AE$10032,31,0)</f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S34" s="111" t="str">
        <f>VLOOKUP(C34,'Train Runs'!$A$13:$AE$10032,22,0)</f>
        <v>https://search-rtdc-monitor-bjffxe2xuh6vdkpspy63sjmuny.us-east-1.es.amazonaws.com/_plugin/kibana/#/discover/Steve-Slow-Train-Analysis-(2080s-and-2083s)?_g=(refreshInterval:(display:Off,section:0,value:0),time:(from:'2016-09-11 14:56:55-0600',mode:absolute,to:'2016-09-11 17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34" s="113" t="str">
        <f t="shared" si="0"/>
        <v>"C:\Program Files (x86)\AstroGrep\AstroGrep.exe" /spath="%USERPROFILE%\AppData\Local\Temp\OnboardLogs" /stypes="*4002*201609112*" /stext=" 22:.+((SYSTEM_STATE.+slice.+state.+changed )|(ment ac)|(system.+state.+changed )|(\|lc)|(penalty)|(\[timeout)|(PRM\|1\|D)|(kpr)|(kdp))" /e /r /s</v>
      </c>
      <c r="U34" s="9" t="str">
        <f t="shared" si="1"/>
        <v>4002</v>
      </c>
      <c r="V34" s="38">
        <f t="shared" si="2"/>
        <v>42624.939444444448</v>
      </c>
      <c r="W34" s="52" t="str">
        <f t="shared" si="3"/>
        <v>NW</v>
      </c>
      <c r="X34" s="52" t="str">
        <f t="shared" si="4"/>
        <v>KEEP</v>
      </c>
      <c r="Y34" s="134" t="str">
        <f t="shared" si="5"/>
        <v>echo {"issue":{"subject":"","project_id":79,"tracker_id":40,"status_id":1,"priority_id":2,"assigned_to_id":23,"start_date":"2016-09-11","description":"","custom_fields":[{"id":1,"name":"Subdivision","value":"NW"},{"id":4,"name":"Milepost","value":"5.7008"},{"id":17,"name":"Train ID","value":"1821-11"},{"id":16,"name":"Locomotive ID","value":"4002"},{"id":130,"name":"Impact","value":""},{"id":150,"name":"Time of Event (Mountain Time)","value":"16:32:48"},{"id":151,"name":"Denver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55"/>
    </row>
    <row r="35" spans="1:28" x14ac:dyDescent="0.25">
      <c r="A35" s="38">
        <v>42624.730694444443</v>
      </c>
      <c r="B35" s="33" t="s">
        <v>337</v>
      </c>
      <c r="C35" s="33" t="s">
        <v>406</v>
      </c>
      <c r="D35" s="33" t="s">
        <v>49</v>
      </c>
      <c r="E35" s="33" t="s">
        <v>56</v>
      </c>
      <c r="F35" s="49">
        <v>150</v>
      </c>
      <c r="G35" s="49">
        <v>306</v>
      </c>
      <c r="H35" s="49">
        <v>56278</v>
      </c>
      <c r="I35" s="49">
        <v>56811</v>
      </c>
      <c r="J35" s="33" t="s">
        <v>57</v>
      </c>
      <c r="K35" s="49">
        <v>57008</v>
      </c>
      <c r="L35" s="150" t="s">
        <v>52</v>
      </c>
      <c r="M35" s="153"/>
      <c r="N35" s="92" t="str">
        <f>VLOOKUP(C35,'Trips&amp;Operators'!$C$1:$E$99999,3,FALSE)</f>
        <v>STAMBAUGH</v>
      </c>
      <c r="O35" s="174" t="s">
        <v>86</v>
      </c>
      <c r="P35" s="10"/>
      <c r="Q35" s="33"/>
      <c r="R35" s="108" t="str">
        <f>VLOOKUP(C35,'Train Runs'!$A$13:$AE$10032,31,0)</f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S35" s="111" t="str">
        <f>VLOOKUP(C35,'Train Runs'!$A$13:$AE$10032,22,0)</f>
        <v>https://search-rtdc-monitor-bjffxe2xuh6vdkpspy63sjmuny.us-east-1.es.amazonaws.com/_plugin/kibana/#/discover/Steve-Slow-Train-Analysis-(2080s-and-2083s)?_g=(refreshInterval:(display:Off,section:0,value:0),time:(from:'2016-09-11 15:58:15-0600',mode:absolute,to:'2016-09-11 18:54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35" s="113" t="str">
        <f t="shared" si="0"/>
        <v>"C:\Program Files (x86)\AstroGrep\AstroGrep.exe" /spath="%USERPROFILE%\AppData\Local\Temp\OnboardLogs" /stypes="*4002*201609112*" /stext=" 23:.+((SYSTEM_STATE.+slice.+state.+changed )|(ment ac)|(system.+state.+changed )|(\|lc)|(penalty)|(\[timeout)|(PRM\|1\|D)|(kpr)|(kdp))" /e /r /s</v>
      </c>
      <c r="U35" s="9" t="str">
        <f t="shared" si="1"/>
        <v>4002</v>
      </c>
      <c r="V35" s="38">
        <f t="shared" si="2"/>
        <v>42624.980694444443</v>
      </c>
      <c r="W35" s="52" t="str">
        <f t="shared" si="3"/>
        <v>NW</v>
      </c>
      <c r="X35" s="52" t="str">
        <f t="shared" si="4"/>
        <v>KEEP</v>
      </c>
      <c r="Y35" s="134" t="str">
        <f t="shared" si="5"/>
        <v>echo {"issue":{"subject":"","project_id":79,"tracker_id":40,"status_id":1,"priority_id":2,"assigned_to_id":23,"start_date":"2016-09-11","description":"","custom_fields":[{"id":1,"name":"Subdivision","value":"NW"},{"id":4,"name":"Milepost","value":"5.7008"},{"id":17,"name":"Train ID","value":"1823-11"},{"id":16,"name":"Locomotive ID","value":"4002"},{"id":130,"name":"Impact","value":""},{"id":150,"name":"Time of Event (Mountain Time)","value":"17:32:12"},{"id":151,"name":"Denver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55"/>
    </row>
    <row r="36" spans="1:28" x14ac:dyDescent="0.25">
      <c r="A36" s="38">
        <v>42624.241076388891</v>
      </c>
      <c r="B36" s="33" t="s">
        <v>338</v>
      </c>
      <c r="C36" s="33" t="s">
        <v>381</v>
      </c>
      <c r="D36" s="33" t="s">
        <v>106</v>
      </c>
      <c r="E36" s="33" t="s">
        <v>56</v>
      </c>
      <c r="F36" s="49">
        <v>150</v>
      </c>
      <c r="G36" s="49">
        <v>207</v>
      </c>
      <c r="H36" s="49">
        <v>56980</v>
      </c>
      <c r="I36" s="49">
        <v>56386</v>
      </c>
      <c r="J36" s="33" t="s">
        <v>57</v>
      </c>
      <c r="K36" s="49">
        <v>59050</v>
      </c>
      <c r="L36" s="150" t="s">
        <v>53</v>
      </c>
      <c r="M36" s="153">
        <f>CONVERT((I36-K36)/10000,"mi","ft")*IF(L36="Increasing Mileposts (1)",-1,1)</f>
        <v>-1406.5920000000001</v>
      </c>
      <c r="N36" s="92" t="str">
        <f>VLOOKUP(C36,'Trips&amp;Operators'!$C$1:$E$99999,3,FALSE)</f>
        <v>STARKS</v>
      </c>
      <c r="O36" s="174" t="s">
        <v>86</v>
      </c>
      <c r="P36" s="10"/>
      <c r="Q36" s="33"/>
      <c r="R36" s="108" t="str">
        <f>VLOOKUP(C36,'Train Runs'!$A$13:$AE$10032,31,0)</f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S36" s="111" t="str">
        <f>VLOOKUP(C36,'Train Runs'!$A$13:$AE$10032,22,0)</f>
        <v>https://search-rtdc-monitor-bjffxe2xuh6vdkpspy63sjmuny.us-east-1.es.amazonaws.com/_plugin/kibana/#/discover/Steve-Slow-Train-Analysis-(2080s-and-2083s)?_g=(refreshInterval:(display:Off,section:0,value:0),time:(from:'2016-09-11 04:44:06-0600',mode:absolute,to:'2016-09-11 06:59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36" s="113" t="str">
        <f t="shared" si="0"/>
        <v>"C:\Program Files (x86)\AstroGrep\AstroGrep.exe" /spath="%USERPROFILE%\AppData\Local\Temp\OnboardLogs" /stypes="*4001*201609111*" /stext=" 11:.+((SYSTEM_STATE.+slice.+state.+changed )|(ment ac)|(system.+state.+changed )|(\|lc)|(penalty)|(\[timeout)|(PRM\|1\|D)|(kpr)|(kdp))" /e /r /s</v>
      </c>
      <c r="U36" s="9" t="str">
        <f t="shared" si="1"/>
        <v>4001</v>
      </c>
      <c r="V36" s="38">
        <f t="shared" si="2"/>
        <v>42624.491076388891</v>
      </c>
      <c r="W36" s="52" t="str">
        <f t="shared" si="3"/>
        <v>NW</v>
      </c>
      <c r="X36" s="52" t="str">
        <f t="shared" si="4"/>
        <v>KEEP</v>
      </c>
      <c r="Y36" s="134" t="str">
        <f t="shared" si="5"/>
        <v>echo {"issue":{"subject":"","project_id":79,"tracker_id":40,"status_id":1,"priority_id":2,"assigned_to_id":23,"start_date":"2016-09-11","description":"","custom_fields":[{"id":1,"name":"Subdivision","value":"NW"},{"id":4,"name":"Milepost","value":"5.905"},{"id":17,"name":"Train ID","value":"1800-11"},{"id":16,"name":"Locomotive ID","value":"4001"},{"id":130,"name":"Impact","value":""},{"id":150,"name":"Time of Event (Mountain Time)","value":"05:47:09"},{"id":151,"name":"Denver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55"/>
    </row>
    <row r="37" spans="1:28" x14ac:dyDescent="0.25">
      <c r="A37" s="38">
        <v>42624.454814814817</v>
      </c>
      <c r="B37" s="33" t="s">
        <v>338</v>
      </c>
      <c r="C37" s="33" t="s">
        <v>395</v>
      </c>
      <c r="D37" s="33" t="s">
        <v>49</v>
      </c>
      <c r="E37" s="33" t="s">
        <v>50</v>
      </c>
      <c r="F37" s="49">
        <v>0</v>
      </c>
      <c r="G37" s="49">
        <v>111</v>
      </c>
      <c r="H37" s="49">
        <v>943</v>
      </c>
      <c r="I37" s="49">
        <v>836</v>
      </c>
      <c r="J37" s="33" t="s">
        <v>51</v>
      </c>
      <c r="K37" s="49">
        <v>575</v>
      </c>
      <c r="L37" s="150" t="s">
        <v>53</v>
      </c>
      <c r="M37" s="153">
        <f>CONVERT((I37-K37)/10000,"mi","ft")*IF(L37="Increasing Mileposts (1)",-1,1)</f>
        <v>137.80799999999999</v>
      </c>
      <c r="N37" s="92" t="str">
        <f>VLOOKUP(C37,'Trips&amp;Operators'!$C$1:$E$99999,3,FALSE)</f>
        <v>STARKS</v>
      </c>
      <c r="O37" s="174" t="s">
        <v>86</v>
      </c>
      <c r="P37" s="10"/>
      <c r="Q37" s="33"/>
      <c r="R37" s="108" t="str">
        <f>VLOOKUP(C37,'Train Runs'!$A$13:$AE$10032,31,0)</f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S37" s="111" t="str">
        <f>VLOOKUP(C37,'Train Runs'!$A$13:$AE$10032,22,0)</f>
        <v>https://search-rtdc-monitor-bjffxe2xuh6vdkpspy63sjmuny.us-east-1.es.amazonaws.com/_plugin/kibana/#/discover/Steve-Slow-Train-Analysis-(2080s-and-2083s)?_g=(refreshInterval:(display:Off,section:0,value:0),time:(from:'2016-09-11 09:36:01-0600',mode:absolute,to:'2016-09-11 11:54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37" s="113" t="str">
        <f t="shared" si="0"/>
        <v>"C:\Program Files (x86)\AstroGrep\AstroGrep.exe" /spath="%USERPROFILE%\AppData\Local\Temp\OnboardLogs" /stypes="*4001*201609111*" /stext=" 16:.+((SYSTEM_STATE.+slice.+state.+changed )|(ment ac)|(system.+state.+changed )|(\|lc)|(penalty)|(\[timeout)|(PRM\|1\|D)|(kpr)|(kdp))" /e /r /s</v>
      </c>
      <c r="U37" s="9" t="str">
        <f t="shared" si="1"/>
        <v>4001</v>
      </c>
      <c r="V37" s="38">
        <f t="shared" si="2"/>
        <v>42624.704814814817</v>
      </c>
      <c r="W37" s="52" t="str">
        <f t="shared" si="3"/>
        <v>NW</v>
      </c>
      <c r="X37" s="52" t="str">
        <f t="shared" si="4"/>
        <v>KEEP</v>
      </c>
      <c r="Y37" s="134" t="str">
        <f t="shared" si="5"/>
        <v>echo {"issue":{"subject":"","project_id":79,"tracker_id":40,"status_id":1,"priority_id":2,"assigned_to_id":23,"start_date":"2016-09-11","description":"","custom_fields":[{"id":1,"name":"Subdivision","value":"NW"},{"id":4,"name":"Milepost","value":"0.0575"},{"id":17,"name":"Train ID","value":"1810-11"},{"id":16,"name":"Locomotive ID","value":"4001"},{"id":130,"name":"Impact","value":""},{"id":150,"name":"Time of Event (Mountain Time)","value":"10:54:56"},{"id":151,"name":"Denver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55"/>
    </row>
    <row r="38" spans="1:28" ht="15" customHeight="1" x14ac:dyDescent="0.25">
      <c r="A38" s="38">
        <v>42624.621388888889</v>
      </c>
      <c r="B38" s="33" t="s">
        <v>338</v>
      </c>
      <c r="C38" s="33" t="s">
        <v>399</v>
      </c>
      <c r="D38" s="33" t="s">
        <v>49</v>
      </c>
      <c r="E38" s="33" t="s">
        <v>50</v>
      </c>
      <c r="F38" s="49">
        <v>0</v>
      </c>
      <c r="G38" s="49">
        <v>34</v>
      </c>
      <c r="H38" s="49">
        <v>661</v>
      </c>
      <c r="I38" s="49">
        <v>638</v>
      </c>
      <c r="J38" s="33" t="s">
        <v>51</v>
      </c>
      <c r="K38" s="49">
        <v>575</v>
      </c>
      <c r="L38" s="150" t="s">
        <v>53</v>
      </c>
      <c r="M38" s="153">
        <f>CONVERT((I38-K38)/10000,"mi","ft")*IF(L38="Increasing Mileposts (1)",-1,1)</f>
        <v>33.264000000000003</v>
      </c>
      <c r="N38" s="92" t="str">
        <f>VLOOKUP(C38,'Trips&amp;Operators'!$C$1:$E$99999,3,FALSE)</f>
        <v>ADANE</v>
      </c>
      <c r="O38" s="174" t="s">
        <v>86</v>
      </c>
      <c r="P38" s="10"/>
      <c r="Q38" s="33"/>
      <c r="R38" s="108" t="str">
        <f>VLOOKUP(C38,'Train Runs'!$A$13:$AE$10032,31,0)</f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S38" s="111" t="str">
        <f>VLOOKUP(C38,'Train Runs'!$A$13:$AE$10032,22,0)</f>
        <v>https://search-rtdc-monitor-bjffxe2xuh6vdkpspy63sjmuny.us-east-1.es.amazonaws.com/_plugin/kibana/#/discover/Steve-Slow-Train-Analysis-(2080s-and-2083s)?_g=(refreshInterval:(display:Off,section:0,value:0),time:(from:'2016-09-11 13:37:30-0600',mode:absolute,to:'2016-09-11 15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38" s="113" t="str">
        <f t="shared" si="0"/>
        <v>"C:\Program Files (x86)\AstroGrep\AstroGrep.exe" /spath="%USERPROFILE%\AppData\Local\Temp\OnboardLogs" /stypes="*4001*201609112*" /stext=" 20:.+((SYSTEM_STATE.+slice.+state.+changed )|(ment ac)|(system.+state.+changed )|(\|lc)|(penalty)|(\[timeout)|(PRM\|1\|D)|(kpr)|(kdp))" /e /r /s</v>
      </c>
      <c r="U38" s="9" t="str">
        <f t="shared" si="1"/>
        <v>4001</v>
      </c>
      <c r="V38" s="38">
        <f t="shared" si="2"/>
        <v>42624.871388888889</v>
      </c>
      <c r="W38" s="52" t="str">
        <f t="shared" si="3"/>
        <v>NW</v>
      </c>
      <c r="X38" s="52" t="str">
        <f t="shared" si="4"/>
        <v>KEEP</v>
      </c>
      <c r="Y38" s="134" t="str">
        <f t="shared" si="5"/>
        <v>echo {"issue":{"subject":"","project_id":79,"tracker_id":40,"status_id":1,"priority_id":2,"assigned_to_id":23,"start_date":"2016-09-11","description":"","custom_fields":[{"id":1,"name":"Subdivision","value":"NW"},{"id":4,"name":"Milepost","value":"0.0575"},{"id":17,"name":"Train ID","value":"1818-11"},{"id":16,"name":"Locomotive ID","value":"4001"},{"id":130,"name":"Impact","value":""},{"id":150,"name":"Time of Event (Mountain Time)","value":"14:54:48"},{"id":151,"name":"Denver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55"/>
    </row>
    <row r="39" spans="1:28" x14ac:dyDescent="0.25">
      <c r="A39" s="38">
        <v>42624.662789351853</v>
      </c>
      <c r="B39" s="33" t="s">
        <v>338</v>
      </c>
      <c r="C39" s="33" t="s">
        <v>401</v>
      </c>
      <c r="D39" s="33" t="s">
        <v>49</v>
      </c>
      <c r="E39" s="33" t="s">
        <v>50</v>
      </c>
      <c r="F39" s="49">
        <v>0</v>
      </c>
      <c r="G39" s="49">
        <v>55</v>
      </c>
      <c r="H39" s="49">
        <v>726</v>
      </c>
      <c r="I39" s="49">
        <v>663</v>
      </c>
      <c r="J39" s="33" t="s">
        <v>51</v>
      </c>
      <c r="K39" s="49">
        <v>575</v>
      </c>
      <c r="L39" s="150" t="s">
        <v>53</v>
      </c>
      <c r="M39" s="153">
        <f>CONVERT((I39-K39)/10000,"mi","ft")*IF(L39="Increasing Mileposts (1)",-1,1)</f>
        <v>46.463999999999999</v>
      </c>
      <c r="N39" s="92" t="str">
        <f>VLOOKUP(C39,'Trips&amp;Operators'!$C$1:$E$99999,3,FALSE)</f>
        <v>STAMBAUGH</v>
      </c>
      <c r="O39" s="174" t="s">
        <v>86</v>
      </c>
      <c r="P39" s="10"/>
      <c r="Q39" s="33"/>
      <c r="R39" s="108" t="str">
        <f>VLOOKUP(C39,'Train Runs'!$A$13:$AE$10032,31,0)</f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S39" s="111" t="str">
        <f>VLOOKUP(C39,'Train Runs'!$A$13:$AE$10032,22,0)</f>
        <v>https://search-rtdc-monitor-bjffxe2xuh6vdkpspy63sjmuny.us-east-1.es.amazonaws.com/_plugin/kibana/#/discover/Steve-Slow-Train-Analysis-(2080s-and-2083s)?_g=(refreshInterval:(display:Off,section:0,value:0),time:(from:'2016-09-11 14:38:58-0600',mode:absolute,to:'2016-09-11 16:54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39" s="113" t="str">
        <f t="shared" si="0"/>
        <v>"C:\Program Files (x86)\AstroGrep\AstroGrep.exe" /spath="%USERPROFILE%\AppData\Local\Temp\OnboardLogs" /stypes="*4001*201609112*" /stext=" 21:.+((SYSTEM_STATE.+slice.+state.+changed )|(ment ac)|(system.+state.+changed )|(\|lc)|(penalty)|(\[timeout)|(PRM\|1\|D)|(kpr)|(kdp))" /e /r /s</v>
      </c>
      <c r="U39" s="9" t="str">
        <f t="shared" si="1"/>
        <v>4001</v>
      </c>
      <c r="V39" s="38">
        <f t="shared" si="2"/>
        <v>42624.912789351853</v>
      </c>
      <c r="W39" s="52" t="str">
        <f t="shared" si="3"/>
        <v>NW</v>
      </c>
      <c r="X39" s="52" t="str">
        <f t="shared" si="4"/>
        <v>KEEP</v>
      </c>
      <c r="Y39" s="134" t="str">
        <f t="shared" si="5"/>
        <v>echo {"issue":{"subject":"","project_id":79,"tracker_id":40,"status_id":1,"priority_id":2,"assigned_to_id":23,"start_date":"2016-09-11","description":"","custom_fields":[{"id":1,"name":"Subdivision","value":"NW"},{"id":4,"name":"Milepost","value":"0.0575"},{"id":17,"name":"Train ID","value":"1820-11"},{"id":16,"name":"Locomotive ID","value":"4001"},{"id":130,"name":"Impact","value":""},{"id":150,"name":"Time of Event (Mountain Time)","value":"15:54:25"},{"id":151,"name":"Denver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55"/>
    </row>
    <row r="40" spans="1:28" x14ac:dyDescent="0.25">
      <c r="A40" s="38">
        <v>42624.705023148148</v>
      </c>
      <c r="B40" s="33" t="s">
        <v>338</v>
      </c>
      <c r="C40" s="33" t="s">
        <v>405</v>
      </c>
      <c r="D40" s="33" t="s">
        <v>49</v>
      </c>
      <c r="E40" s="33" t="s">
        <v>50</v>
      </c>
      <c r="F40" s="49">
        <v>0</v>
      </c>
      <c r="G40" s="49">
        <v>50</v>
      </c>
      <c r="H40" s="49">
        <v>663</v>
      </c>
      <c r="I40" s="49">
        <v>619</v>
      </c>
      <c r="J40" s="33" t="s">
        <v>51</v>
      </c>
      <c r="K40" s="49">
        <v>575</v>
      </c>
      <c r="L40" s="150" t="s">
        <v>53</v>
      </c>
      <c r="M40" s="153"/>
      <c r="N40" s="92" t="str">
        <f>VLOOKUP(C40,'Trips&amp;Operators'!$C$1:$E$99999,3,FALSE)</f>
        <v>STAMBAUGH</v>
      </c>
      <c r="O40" s="174" t="s">
        <v>86</v>
      </c>
      <c r="P40" s="10"/>
      <c r="Q40" s="33"/>
      <c r="R40" s="108" t="str">
        <f>VLOOKUP(C40,'Train Runs'!$A$13:$AE$10032,31,0)</f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S40" s="111" t="str">
        <f>VLOOKUP(C40,'Train Runs'!$A$13:$AE$10032,22,0)</f>
        <v>https://search-rtdc-monitor-bjffxe2xuh6vdkpspy63sjmuny.us-east-1.es.amazonaws.com/_plugin/kibana/#/discover/Steve-Slow-Train-Analysis-(2080s-and-2083s)?_g=(refreshInterval:(display:Off,section:0,value:0),time:(from:'2016-09-11 15:38:39-0600',mode:absolute,to:'2016-09-11 17:55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40" s="113" t="str">
        <f t="shared" si="0"/>
        <v>"C:\Program Files (x86)\AstroGrep\AstroGrep.exe" /spath="%USERPROFILE%\AppData\Local\Temp\OnboardLogs" /stypes="*4001*201609112*" /stext=" 22:.+((SYSTEM_STATE.+slice.+state.+changed )|(ment ac)|(system.+state.+changed )|(\|lc)|(penalty)|(\[timeout)|(PRM\|1\|D)|(kpr)|(kdp))" /e /r /s</v>
      </c>
      <c r="U40" s="9" t="str">
        <f t="shared" si="1"/>
        <v>4001</v>
      </c>
      <c r="V40" s="38">
        <f t="shared" si="2"/>
        <v>42624.955023148148</v>
      </c>
      <c r="W40" s="52" t="str">
        <f t="shared" si="3"/>
        <v>NW</v>
      </c>
      <c r="X40" s="52" t="str">
        <f t="shared" si="4"/>
        <v>KEEP</v>
      </c>
      <c r="Y40" s="134" t="str">
        <f t="shared" si="5"/>
        <v>echo {"issue":{"subject":"","project_id":79,"tracker_id":40,"status_id":1,"priority_id":2,"assigned_to_id":23,"start_date":"2016-09-11","description":"","custom_fields":[{"id":1,"name":"Subdivision","value":"NW"},{"id":4,"name":"Milepost","value":"0.0575"},{"id":17,"name":"Train ID","value":"1822-11"},{"id":16,"name":"Locomotive ID","value":"4001"},{"id":130,"name":"Impact","value":""},{"id":150,"name":"Time of Event (Mountain Time)","value":"16:55:14"},{"id":151,"name":"Denver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55"/>
    </row>
    <row r="41" spans="1:28" x14ac:dyDescent="0.25">
      <c r="A41" s="38">
        <v>42624.746365740742</v>
      </c>
      <c r="B41" s="33" t="s">
        <v>338</v>
      </c>
      <c r="C41" s="33" t="s">
        <v>407</v>
      </c>
      <c r="D41" s="33" t="s">
        <v>49</v>
      </c>
      <c r="E41" s="33" t="s">
        <v>50</v>
      </c>
      <c r="F41" s="49">
        <v>0</v>
      </c>
      <c r="G41" s="49">
        <v>60</v>
      </c>
      <c r="H41" s="49">
        <v>741</v>
      </c>
      <c r="I41" s="49">
        <v>682</v>
      </c>
      <c r="J41" s="33" t="s">
        <v>51</v>
      </c>
      <c r="K41" s="49">
        <v>575</v>
      </c>
      <c r="L41" s="150" t="s">
        <v>53</v>
      </c>
      <c r="M41" s="153"/>
      <c r="N41" s="92" t="str">
        <f>VLOOKUP(C41,'Trips&amp;Operators'!$C$1:$E$99999,3,FALSE)</f>
        <v>STAMBAUGH</v>
      </c>
      <c r="O41" s="174" t="s">
        <v>86</v>
      </c>
      <c r="P41" s="10"/>
      <c r="Q41" s="33"/>
      <c r="R41" s="108" t="str">
        <f>VLOOKUP(C41,'Train Runs'!$A$13:$AE$10032,31,0)</f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S41" s="111" t="str">
        <f>VLOOKUP(C41,'Train Runs'!$A$13:$AE$10032,22,0)</f>
        <v>https://search-rtdc-monitor-bjffxe2xuh6vdkpspy63sjmuny.us-east-1.es.amazonaws.com/_plugin/kibana/#/discover/Steve-Slow-Train-Analysis-(2080s-and-2083s)?_g=(refreshInterval:(display:Off,section:0,value:0),time:(from:'2016-09-11 16:37:46-0600',mode:absolute,to:'2016-09-11 18:54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41" s="113" t="str">
        <f t="shared" si="0"/>
        <v>"C:\Program Files (x86)\AstroGrep\AstroGrep.exe" /spath="%USERPROFILE%\AppData\Local\Temp\OnboardLogs" /stypes="*4001*201609112*" /stext=" 23:.+((SYSTEM_STATE.+slice.+state.+changed )|(ment ac)|(system.+state.+changed )|(\|lc)|(penalty)|(\[timeout)|(PRM\|1\|D)|(kpr)|(kdp))" /e /r /s</v>
      </c>
      <c r="U41" s="9" t="str">
        <f t="shared" si="1"/>
        <v>4001</v>
      </c>
      <c r="V41" s="38">
        <f t="shared" si="2"/>
        <v>42624.996365740742</v>
      </c>
      <c r="W41" s="52" t="str">
        <f t="shared" si="3"/>
        <v>NW</v>
      </c>
      <c r="X41" s="52" t="str">
        <f t="shared" si="4"/>
        <v>KEEP</v>
      </c>
      <c r="Y41" s="134" t="str">
        <f t="shared" si="5"/>
        <v>echo {"issue":{"subject":"","project_id":79,"tracker_id":40,"status_id":1,"priority_id":2,"assigned_to_id":23,"start_date":"2016-09-11","description":"","custom_fields":[{"id":1,"name":"Subdivision","value":"NW"},{"id":4,"name":"Milepost","value":"0.0575"},{"id":17,"name":"Train ID","value":"1824-11"},{"id":16,"name":"Locomotive ID","value":"4001"},{"id":130,"name":"Impact","value":""},{"id":150,"name":"Time of Event (Mountain Time)","value":"17:54:46"},{"id":151,"name":"Denver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5"/>
      <c r="AA41" s="55"/>
      <c r="AB41" s="55"/>
    </row>
    <row r="42" spans="1:28" x14ac:dyDescent="0.25">
      <c r="A42" s="38">
        <v>42624.692256944443</v>
      </c>
      <c r="B42" s="33" t="s">
        <v>337</v>
      </c>
      <c r="C42" s="33" t="s">
        <v>403</v>
      </c>
      <c r="D42" s="33" t="s">
        <v>49</v>
      </c>
      <c r="E42" s="33" t="s">
        <v>50</v>
      </c>
      <c r="F42" s="49">
        <v>0</v>
      </c>
      <c r="G42" s="49">
        <v>40</v>
      </c>
      <c r="H42" s="49">
        <v>58969</v>
      </c>
      <c r="I42" s="49">
        <v>59020</v>
      </c>
      <c r="J42" s="33" t="s">
        <v>51</v>
      </c>
      <c r="K42" s="49">
        <v>59058</v>
      </c>
      <c r="L42" s="150" t="s">
        <v>52</v>
      </c>
      <c r="M42" s="153">
        <f>CONVERT((I42-K42)/10000,"mi","ft")*IF(L42="Increasing Mileposts (1)",-1,1)</f>
        <v>20.064</v>
      </c>
      <c r="N42" s="92" t="str">
        <f>VLOOKUP(C42,'Trips&amp;Operators'!$C$1:$E$99999,3,FALSE)</f>
        <v>STAMBAUGH</v>
      </c>
      <c r="O42" s="174" t="s">
        <v>86</v>
      </c>
      <c r="P42" s="10"/>
      <c r="Q42" s="33"/>
      <c r="R42" s="108" t="str">
        <f>VLOOKUP(C42,'Train Runs'!$A$13:$AE$10032,31,0)</f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S42" s="111" t="str">
        <f>VLOOKUP(C42,'Train Runs'!$A$13:$AE$10032,22,0)</f>
        <v>https://search-rtdc-monitor-bjffxe2xuh6vdkpspy63sjmuny.us-east-1.es.amazonaws.com/_plugin/kibana/#/discover/Steve-Slow-Train-Analysis-(2080s-and-2083s)?_g=(refreshInterval:(display:Off,section:0,value:0),time:(from:'2016-09-11 14:56:55-0600',mode:absolute,to:'2016-09-11 17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42" s="113" t="str">
        <f t="shared" si="0"/>
        <v>"C:\Program Files (x86)\AstroGrep\AstroGrep.exe" /spath="%USERPROFILE%\AppData\Local\Temp\OnboardLogs" /stypes="*4002*201609112*" /stext=" 22:.+((SYSTEM_STATE.+slice.+state.+changed )|(ment ac)|(system.+state.+changed )|(\|lc)|(penalty)|(\[timeout)|(PRM\|1\|D)|(kpr)|(kdp))" /e /r /s</v>
      </c>
      <c r="U42" s="9" t="str">
        <f t="shared" si="1"/>
        <v>4002</v>
      </c>
      <c r="V42" s="38">
        <f t="shared" si="2"/>
        <v>42624.942256944443</v>
      </c>
      <c r="W42" s="52" t="str">
        <f t="shared" si="3"/>
        <v>NW</v>
      </c>
      <c r="X42" s="52" t="str">
        <f t="shared" si="4"/>
        <v>KEEP</v>
      </c>
      <c r="Y42" s="134" t="str">
        <f t="shared" si="5"/>
        <v>echo {"issue":{"subject":"","project_id":79,"tracker_id":40,"status_id":1,"priority_id":2,"assigned_to_id":23,"start_date":"2016-09-11","description":"","custom_fields":[{"id":1,"name":"Subdivision","value":"NW"},{"id":4,"name":"Milepost","value":"5.9058"},{"id":17,"name":"Train ID","value":"1821-11"},{"id":16,"name":"Locomotive ID","value":"4002"},{"id":130,"name":"Impact","value":""},{"id":150,"name":"Time of Event (Mountain Time)","value":"16:36:51"},{"id":151,"name":"Denver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55"/>
    </row>
    <row r="43" spans="1:28" x14ac:dyDescent="0.25">
      <c r="A43" s="38"/>
      <c r="B43" s="33"/>
      <c r="C43" s="33"/>
      <c r="D43" s="33"/>
      <c r="E43" s="33"/>
      <c r="F43" s="49"/>
      <c r="G43" s="49"/>
      <c r="H43" s="49"/>
      <c r="I43" s="49"/>
      <c r="J43" s="33"/>
      <c r="K43" s="49"/>
      <c r="L43" s="150"/>
      <c r="M43" s="153"/>
      <c r="N43" s="92"/>
      <c r="O43" s="174"/>
      <c r="P43" s="10"/>
      <c r="Q43" s="33"/>
      <c r="R43" s="108"/>
      <c r="S43" s="111"/>
      <c r="T43" s="113"/>
      <c r="U43" s="9"/>
      <c r="V43" s="38"/>
      <c r="W43" s="52"/>
      <c r="X43" s="52"/>
      <c r="Y43" s="134"/>
      <c r="Z43" s="55"/>
      <c r="AA43" s="55"/>
      <c r="AB43" s="55"/>
    </row>
    <row r="44" spans="1:28" x14ac:dyDescent="0.25">
      <c r="A44" s="38"/>
      <c r="B44" s="33"/>
      <c r="C44" s="33"/>
      <c r="D44" s="33"/>
      <c r="E44" s="33"/>
      <c r="F44" s="49"/>
      <c r="G44" s="49"/>
      <c r="H44" s="49"/>
      <c r="I44" s="49"/>
      <c r="J44" s="33"/>
      <c r="K44" s="49"/>
      <c r="L44" s="150"/>
      <c r="M44" s="153"/>
      <c r="N44" s="92"/>
      <c r="O44" s="174"/>
      <c r="P44" s="10"/>
      <c r="Q44" s="33"/>
      <c r="R44" s="108"/>
      <c r="S44" s="111"/>
      <c r="T44" s="113"/>
      <c r="U44" s="9"/>
      <c r="V44" s="38"/>
      <c r="W44" s="52"/>
      <c r="X44" s="52"/>
      <c r="Y44" s="134"/>
      <c r="Z44" s="55"/>
      <c r="AA44" s="55"/>
      <c r="AB44" s="55"/>
    </row>
    <row r="45" spans="1:28" x14ac:dyDescent="0.25">
      <c r="A45" s="38"/>
      <c r="B45" s="33"/>
      <c r="C45" s="33"/>
      <c r="D45" s="33"/>
      <c r="E45" s="33"/>
      <c r="F45" s="49"/>
      <c r="G45" s="49"/>
      <c r="H45" s="49"/>
      <c r="I45" s="49"/>
      <c r="J45" s="33"/>
      <c r="K45" s="49"/>
      <c r="L45" s="150"/>
      <c r="M45" s="153"/>
      <c r="N45" s="92"/>
      <c r="O45" s="174"/>
      <c r="P45" s="10"/>
      <c r="Q45" s="33"/>
      <c r="R45" s="108"/>
      <c r="S45" s="111"/>
      <c r="T45" s="113"/>
      <c r="U45" s="9"/>
      <c r="V45" s="38"/>
      <c r="W45" s="52"/>
      <c r="X45" s="52"/>
      <c r="Y45" s="134"/>
      <c r="Z45" s="55"/>
      <c r="AA45" s="55"/>
      <c r="AB45" s="55"/>
    </row>
    <row r="46" spans="1:28" x14ac:dyDescent="0.25">
      <c r="A46" s="38"/>
      <c r="B46" s="33"/>
      <c r="C46" s="33"/>
      <c r="D46" s="33"/>
      <c r="E46" s="33"/>
      <c r="F46" s="49"/>
      <c r="G46" s="49"/>
      <c r="H46" s="49"/>
      <c r="I46" s="49"/>
      <c r="J46" s="33"/>
      <c r="K46" s="49"/>
      <c r="L46" s="150"/>
      <c r="M46" s="153"/>
      <c r="N46" s="92"/>
      <c r="O46" s="174"/>
      <c r="P46" s="10"/>
      <c r="Q46" s="33"/>
      <c r="R46" s="108"/>
      <c r="S46" s="111"/>
      <c r="T46" s="113"/>
      <c r="U46" s="9"/>
      <c r="V46" s="38"/>
      <c r="W46" s="52"/>
      <c r="X46" s="52"/>
      <c r="Y46" s="134"/>
      <c r="Z46" s="55"/>
      <c r="AA46" s="55"/>
      <c r="AB46" s="55"/>
    </row>
    <row r="47" spans="1:28" x14ac:dyDescent="0.25">
      <c r="A47" s="38"/>
      <c r="B47" s="33"/>
      <c r="C47" s="33"/>
      <c r="D47" s="33"/>
      <c r="E47" s="33"/>
      <c r="F47" s="49"/>
      <c r="G47" s="49"/>
      <c r="H47" s="49"/>
      <c r="I47" s="49"/>
      <c r="J47" s="33"/>
      <c r="K47" s="49"/>
      <c r="L47" s="150"/>
      <c r="M47" s="153"/>
      <c r="N47" s="92"/>
      <c r="O47" s="174"/>
      <c r="P47" s="10"/>
      <c r="Q47" s="33"/>
      <c r="R47" s="108"/>
      <c r="S47" s="111"/>
      <c r="T47" s="113"/>
      <c r="U47" s="9"/>
      <c r="V47" s="38"/>
      <c r="W47" s="52"/>
      <c r="X47" s="52"/>
      <c r="Y47" s="134"/>
      <c r="Z47" s="55"/>
      <c r="AA47" s="55"/>
      <c r="AB47" s="55"/>
    </row>
    <row r="48" spans="1:28" x14ac:dyDescent="0.25">
      <c r="A48" s="38"/>
      <c r="B48" s="33"/>
      <c r="C48" s="33"/>
      <c r="D48" s="33"/>
      <c r="E48" s="33"/>
      <c r="F48" s="49"/>
      <c r="G48" s="49"/>
      <c r="H48" s="49"/>
      <c r="I48" s="49"/>
      <c r="J48" s="33"/>
      <c r="K48" s="49"/>
      <c r="L48" s="150"/>
      <c r="M48" s="153"/>
      <c r="N48" s="92"/>
      <c r="O48" s="174"/>
      <c r="P48" s="10"/>
      <c r="Q48" s="33"/>
      <c r="R48" s="108"/>
      <c r="S48" s="111"/>
      <c r="T48" s="113"/>
      <c r="U48" s="9"/>
      <c r="V48" s="38"/>
      <c r="W48" s="52"/>
      <c r="X48" s="52"/>
      <c r="Y48" s="134"/>
      <c r="Z48" s="55"/>
      <c r="AA48" s="55"/>
      <c r="AB48" s="55"/>
    </row>
    <row r="49" spans="1:28" x14ac:dyDescent="0.25">
      <c r="A49" s="38"/>
      <c r="B49" s="33"/>
      <c r="C49" s="33"/>
      <c r="D49" s="33"/>
      <c r="E49" s="33"/>
      <c r="F49" s="49"/>
      <c r="G49" s="49"/>
      <c r="H49" s="49"/>
      <c r="I49" s="49"/>
      <c r="J49" s="33"/>
      <c r="K49" s="49"/>
      <c r="L49" s="150"/>
      <c r="M49" s="153"/>
      <c r="N49" s="92"/>
      <c r="O49" s="174"/>
      <c r="P49" s="10"/>
      <c r="Q49" s="33"/>
      <c r="R49" s="108"/>
      <c r="S49" s="111"/>
      <c r="T49" s="113"/>
      <c r="U49" s="9"/>
      <c r="V49" s="38"/>
      <c r="W49" s="52"/>
      <c r="X49" s="52"/>
      <c r="Y49" s="134"/>
      <c r="Z49" s="55"/>
      <c r="AA49" s="55"/>
      <c r="AB49" s="55"/>
    </row>
    <row r="50" spans="1:28" x14ac:dyDescent="0.25">
      <c r="A50" s="38"/>
      <c r="B50" s="33"/>
      <c r="C50" s="33"/>
      <c r="D50" s="33"/>
      <c r="E50" s="33"/>
      <c r="F50" s="49"/>
      <c r="G50" s="49"/>
      <c r="H50" s="49"/>
      <c r="I50" s="49"/>
      <c r="J50" s="33"/>
      <c r="K50" s="49"/>
      <c r="L50" s="150"/>
      <c r="M50" s="153"/>
      <c r="N50" s="92"/>
      <c r="O50" s="174"/>
      <c r="P50" s="10"/>
      <c r="Q50" s="33"/>
      <c r="R50" s="108"/>
      <c r="S50" s="111"/>
      <c r="T50" s="113"/>
      <c r="U50" s="9"/>
      <c r="V50" s="38"/>
      <c r="W50" s="52"/>
      <c r="X50" s="52"/>
      <c r="Y50" s="134"/>
      <c r="Z50" s="55"/>
      <c r="AA50" s="55"/>
      <c r="AB50" s="55"/>
    </row>
    <row r="51" spans="1:28" x14ac:dyDescent="0.25">
      <c r="A51" s="38"/>
      <c r="B51" s="33"/>
      <c r="C51" s="33"/>
      <c r="D51" s="33"/>
      <c r="E51" s="33"/>
      <c r="F51" s="49"/>
      <c r="G51" s="49"/>
      <c r="H51" s="49"/>
      <c r="I51" s="49"/>
      <c r="J51" s="33"/>
      <c r="K51" s="49"/>
      <c r="L51" s="150"/>
      <c r="M51" s="153"/>
      <c r="N51" s="92"/>
      <c r="O51" s="174"/>
      <c r="P51" s="10"/>
      <c r="Q51" s="33"/>
      <c r="R51" s="108"/>
      <c r="S51" s="111"/>
      <c r="T51" s="113"/>
      <c r="U51" s="9"/>
      <c r="V51" s="38"/>
      <c r="W51" s="52"/>
      <c r="X51" s="52"/>
      <c r="Y51" s="134"/>
      <c r="Z51" s="55"/>
      <c r="AA51" s="55"/>
      <c r="AB51" s="55"/>
    </row>
    <row r="52" spans="1:28" x14ac:dyDescent="0.25">
      <c r="A52" s="38"/>
      <c r="B52" s="33"/>
      <c r="C52" s="33"/>
      <c r="D52" s="33"/>
      <c r="E52" s="33"/>
      <c r="F52" s="49"/>
      <c r="G52" s="49"/>
      <c r="H52" s="49"/>
      <c r="I52" s="49"/>
      <c r="J52" s="33"/>
      <c r="K52" s="49"/>
      <c r="L52" s="150"/>
      <c r="M52" s="153"/>
      <c r="N52" s="92"/>
      <c r="O52" s="174"/>
      <c r="P52" s="10"/>
      <c r="Q52" s="33"/>
      <c r="R52" s="108"/>
      <c r="S52" s="111"/>
      <c r="T52" s="113"/>
      <c r="U52" s="9"/>
      <c r="V52" s="38"/>
      <c r="W52" s="52"/>
      <c r="X52" s="52"/>
      <c r="Y52" s="134"/>
      <c r="Z52" s="55"/>
      <c r="AA52" s="55"/>
      <c r="AB52" s="55"/>
    </row>
    <row r="53" spans="1:28" x14ac:dyDescent="0.25">
      <c r="A53" s="38"/>
      <c r="B53" s="33"/>
      <c r="C53" s="33"/>
      <c r="D53" s="33"/>
      <c r="E53" s="33"/>
      <c r="F53" s="49"/>
      <c r="G53" s="49"/>
      <c r="H53" s="49"/>
      <c r="I53" s="49"/>
      <c r="J53" s="33"/>
      <c r="K53" s="49"/>
      <c r="L53" s="150"/>
      <c r="M53" s="153"/>
      <c r="N53" s="92"/>
      <c r="O53" s="174"/>
      <c r="P53" s="10"/>
      <c r="Q53" s="33"/>
      <c r="R53" s="108"/>
      <c r="S53" s="111"/>
      <c r="T53" s="113"/>
      <c r="U53" s="9"/>
      <c r="V53" s="38"/>
      <c r="W53" s="52"/>
      <c r="X53" s="52"/>
      <c r="Y53" s="134"/>
      <c r="Z53" s="55"/>
      <c r="AA53" s="55"/>
      <c r="AB53" s="55"/>
    </row>
    <row r="54" spans="1:28" x14ac:dyDescent="0.25">
      <c r="A54" s="38"/>
      <c r="B54" s="33"/>
      <c r="C54" s="33"/>
      <c r="D54" s="33"/>
      <c r="E54" s="33"/>
      <c r="F54" s="49"/>
      <c r="G54" s="49"/>
      <c r="H54" s="49"/>
      <c r="I54" s="49"/>
      <c r="J54" s="33"/>
      <c r="K54" s="49"/>
      <c r="L54" s="150"/>
      <c r="M54" s="153"/>
      <c r="N54" s="92"/>
      <c r="O54" s="174"/>
      <c r="P54" s="10"/>
      <c r="Q54" s="33"/>
      <c r="R54" s="108"/>
      <c r="S54" s="111"/>
      <c r="T54" s="113"/>
      <c r="U54" s="9"/>
      <c r="V54" s="38"/>
      <c r="W54" s="52"/>
      <c r="X54" s="52"/>
      <c r="Y54" s="134"/>
      <c r="Z54" s="55"/>
      <c r="AA54" s="55"/>
      <c r="AB54" s="55"/>
    </row>
    <row r="55" spans="1:28" x14ac:dyDescent="0.25">
      <c r="A55" s="38"/>
      <c r="B55" s="33"/>
      <c r="C55" s="33"/>
      <c r="D55" s="33"/>
      <c r="E55" s="33"/>
      <c r="F55" s="49"/>
      <c r="G55" s="49"/>
      <c r="H55" s="49"/>
      <c r="I55" s="49"/>
      <c r="J55" s="33"/>
      <c r="K55" s="49"/>
      <c r="L55" s="150"/>
      <c r="M55" s="153"/>
      <c r="N55" s="92"/>
      <c r="O55" s="174"/>
      <c r="P55" s="10"/>
      <c r="Q55" s="33"/>
      <c r="R55" s="108"/>
      <c r="S55" s="111"/>
      <c r="T55" s="113"/>
      <c r="U55" s="9"/>
      <c r="V55" s="38"/>
      <c r="W55" s="52"/>
      <c r="X55" s="52"/>
      <c r="Y55" s="134"/>
      <c r="Z55" s="55"/>
      <c r="AA55" s="55"/>
      <c r="AB55" s="55"/>
    </row>
    <row r="56" spans="1:28" x14ac:dyDescent="0.25">
      <c r="A56" s="38"/>
      <c r="B56" s="33"/>
      <c r="C56" s="33"/>
      <c r="D56" s="33"/>
      <c r="E56" s="33"/>
      <c r="F56" s="49"/>
      <c r="G56" s="49"/>
      <c r="H56" s="49"/>
      <c r="I56" s="49"/>
      <c r="J56" s="33"/>
      <c r="K56" s="49"/>
      <c r="L56" s="150"/>
      <c r="M56" s="153"/>
      <c r="N56" s="92"/>
      <c r="O56" s="174"/>
      <c r="P56" s="10"/>
      <c r="Q56" s="33"/>
      <c r="R56" s="108"/>
      <c r="S56" s="111"/>
      <c r="T56" s="113"/>
      <c r="U56" s="9"/>
      <c r="V56" s="38"/>
      <c r="W56" s="52"/>
      <c r="X56" s="52"/>
      <c r="Y56" s="134"/>
      <c r="Z56" s="55"/>
      <c r="AA56" s="55"/>
      <c r="AB56" s="55"/>
    </row>
    <row r="57" spans="1:28" x14ac:dyDescent="0.25">
      <c r="A57" s="38"/>
      <c r="B57" s="33"/>
      <c r="C57" s="33"/>
      <c r="D57" s="33"/>
      <c r="E57" s="33"/>
      <c r="F57" s="49"/>
      <c r="G57" s="49"/>
      <c r="H57" s="49"/>
      <c r="I57" s="49"/>
      <c r="J57" s="33"/>
      <c r="K57" s="49"/>
      <c r="L57" s="150"/>
      <c r="M57" s="153"/>
      <c r="N57" s="92"/>
      <c r="O57" s="174"/>
      <c r="P57" s="10"/>
      <c r="Q57" s="33"/>
      <c r="R57" s="108"/>
      <c r="S57" s="111"/>
      <c r="T57" s="113"/>
      <c r="U57" s="9"/>
      <c r="V57" s="38"/>
      <c r="W57" s="52"/>
      <c r="X57" s="52"/>
      <c r="Y57" s="134"/>
      <c r="Z57" s="55"/>
      <c r="AA57" s="55"/>
      <c r="AB57" s="55"/>
    </row>
    <row r="58" spans="1:28" x14ac:dyDescent="0.25">
      <c r="A58" s="38"/>
      <c r="B58" s="33"/>
      <c r="C58" s="33"/>
      <c r="D58" s="33"/>
      <c r="E58" s="33"/>
      <c r="F58" s="49"/>
      <c r="G58" s="49"/>
      <c r="H58" s="49"/>
      <c r="I58" s="49"/>
      <c r="J58" s="33"/>
      <c r="K58" s="49"/>
      <c r="L58" s="150"/>
      <c r="M58" s="153"/>
      <c r="N58" s="92"/>
      <c r="O58" s="174"/>
      <c r="P58" s="10"/>
      <c r="Q58" s="33"/>
      <c r="R58" s="108"/>
      <c r="S58" s="111"/>
      <c r="T58" s="113"/>
      <c r="U58" s="9"/>
      <c r="V58" s="38"/>
      <c r="W58" s="52"/>
      <c r="X58" s="52"/>
      <c r="Y58" s="134"/>
      <c r="Z58" s="55"/>
      <c r="AA58" s="55"/>
      <c r="AB58" s="55"/>
    </row>
    <row r="59" spans="1:28" x14ac:dyDescent="0.25">
      <c r="A59" s="38"/>
      <c r="B59" s="33"/>
      <c r="C59" s="33"/>
      <c r="D59" s="33"/>
      <c r="E59" s="33"/>
      <c r="F59" s="49"/>
      <c r="G59" s="49"/>
      <c r="H59" s="49"/>
      <c r="I59" s="49"/>
      <c r="J59" s="33"/>
      <c r="K59" s="49"/>
      <c r="L59" s="150"/>
      <c r="M59" s="153"/>
      <c r="N59" s="92"/>
      <c r="O59" s="174"/>
      <c r="P59" s="10"/>
      <c r="Q59" s="33"/>
      <c r="R59" s="108"/>
      <c r="S59" s="111"/>
      <c r="T59" s="113"/>
      <c r="U59" s="9"/>
      <c r="V59" s="38"/>
      <c r="W59" s="52"/>
      <c r="X59" s="52"/>
      <c r="Y59" s="134"/>
      <c r="Z59" s="55"/>
      <c r="AA59" s="55"/>
      <c r="AB59" s="55"/>
    </row>
    <row r="60" spans="1:28" x14ac:dyDescent="0.25">
      <c r="A60" s="38"/>
      <c r="B60" s="33"/>
      <c r="C60" s="33"/>
      <c r="D60" s="33"/>
      <c r="E60" s="33"/>
      <c r="F60" s="49"/>
      <c r="G60" s="49"/>
      <c r="H60" s="49"/>
      <c r="I60" s="49"/>
      <c r="J60" s="33"/>
      <c r="K60" s="49"/>
      <c r="L60" s="150"/>
      <c r="M60" s="153"/>
      <c r="N60" s="92"/>
      <c r="O60" s="174"/>
      <c r="P60" s="10"/>
      <c r="Q60" s="33"/>
      <c r="R60" s="108"/>
      <c r="S60" s="111"/>
      <c r="T60" s="113"/>
      <c r="U60" s="9"/>
      <c r="V60" s="38"/>
      <c r="W60" s="52"/>
      <c r="X60" s="52"/>
      <c r="Y60" s="134"/>
      <c r="Z60" s="55"/>
      <c r="AA60" s="55"/>
      <c r="AB60" s="55"/>
    </row>
    <row r="61" spans="1:28" x14ac:dyDescent="0.25">
      <c r="A61" s="38"/>
      <c r="B61" s="33"/>
      <c r="C61" s="33"/>
      <c r="D61" s="33"/>
      <c r="E61" s="33"/>
      <c r="F61" s="49"/>
      <c r="G61" s="49"/>
      <c r="H61" s="49"/>
      <c r="I61" s="49"/>
      <c r="J61" s="33"/>
      <c r="K61" s="49"/>
      <c r="L61" s="150"/>
      <c r="M61" s="153"/>
      <c r="N61" s="92"/>
      <c r="O61" s="174"/>
      <c r="P61" s="10"/>
      <c r="Q61" s="33"/>
      <c r="R61" s="108"/>
      <c r="S61" s="111"/>
      <c r="T61" s="113"/>
      <c r="U61" s="9"/>
      <c r="V61" s="38"/>
      <c r="W61" s="52"/>
      <c r="X61" s="52"/>
      <c r="Y61" s="134"/>
      <c r="Z61" s="55"/>
      <c r="AA61" s="55"/>
      <c r="AB61" s="55"/>
    </row>
    <row r="62" spans="1:28" x14ac:dyDescent="0.25">
      <c r="A62" s="38"/>
      <c r="B62" s="33"/>
      <c r="C62" s="33"/>
      <c r="D62" s="33"/>
      <c r="E62" s="33"/>
      <c r="F62" s="49"/>
      <c r="G62" s="49"/>
      <c r="H62" s="49"/>
      <c r="I62" s="49"/>
      <c r="J62" s="33"/>
      <c r="K62" s="49"/>
      <c r="L62" s="150"/>
      <c r="M62" s="153"/>
      <c r="N62" s="92"/>
      <c r="O62" s="174"/>
      <c r="P62" s="10"/>
      <c r="Q62" s="33"/>
      <c r="R62" s="108"/>
      <c r="S62" s="111"/>
      <c r="T62" s="113"/>
      <c r="U62" s="9"/>
      <c r="V62" s="38"/>
      <c r="W62" s="52"/>
      <c r="X62" s="52"/>
      <c r="Y62" s="134"/>
      <c r="Z62" s="55"/>
      <c r="AA62" s="55"/>
      <c r="AB62" s="55"/>
    </row>
    <row r="63" spans="1:28" x14ac:dyDescent="0.25">
      <c r="A63" s="38"/>
      <c r="B63" s="33"/>
      <c r="C63" s="33"/>
      <c r="D63" s="33"/>
      <c r="E63" s="33"/>
      <c r="F63" s="49"/>
      <c r="G63" s="49"/>
      <c r="H63" s="49"/>
      <c r="I63" s="49"/>
      <c r="J63" s="33"/>
      <c r="K63" s="49"/>
      <c r="L63" s="150"/>
      <c r="M63" s="153"/>
      <c r="N63" s="92"/>
      <c r="O63" s="174"/>
      <c r="P63" s="10"/>
      <c r="Q63" s="33"/>
      <c r="R63" s="108"/>
      <c r="S63" s="111"/>
      <c r="T63" s="113"/>
      <c r="U63" s="9"/>
      <c r="V63" s="38"/>
      <c r="W63" s="52"/>
      <c r="X63" s="52"/>
      <c r="Y63" s="134"/>
      <c r="Z63" s="55"/>
      <c r="AA63" s="55"/>
      <c r="AB63" s="55"/>
    </row>
    <row r="64" spans="1:28" x14ac:dyDescent="0.25">
      <c r="A64" s="38"/>
      <c r="B64" s="33"/>
      <c r="C64" s="33"/>
      <c r="D64" s="33"/>
      <c r="E64" s="33"/>
      <c r="F64" s="49"/>
      <c r="G64" s="49"/>
      <c r="H64" s="49"/>
      <c r="I64" s="49"/>
      <c r="J64" s="33"/>
      <c r="K64" s="49"/>
      <c r="L64" s="150"/>
      <c r="M64" s="153"/>
      <c r="N64" s="92"/>
      <c r="O64" s="174"/>
      <c r="P64" s="10"/>
      <c r="Q64" s="33"/>
      <c r="R64" s="108"/>
      <c r="S64" s="111"/>
      <c r="T64" s="113"/>
      <c r="U64" s="9"/>
      <c r="V64" s="38"/>
      <c r="W64" s="52"/>
      <c r="X64" s="52"/>
      <c r="Y64" s="134"/>
      <c r="Z64" s="55"/>
      <c r="AA64" s="55"/>
      <c r="AB64" s="55"/>
    </row>
    <row r="65" spans="1:28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50"/>
      <c r="M65" s="153"/>
      <c r="N65" s="92"/>
      <c r="O65" s="174"/>
      <c r="P65" s="10"/>
      <c r="Q65" s="33"/>
      <c r="R65" s="108"/>
      <c r="S65" s="111"/>
      <c r="T65" s="113"/>
      <c r="U65" s="9"/>
      <c r="V65" s="38"/>
      <c r="W65" s="52"/>
      <c r="X65" s="52"/>
      <c r="Y65" s="134"/>
      <c r="Z65" s="55"/>
      <c r="AA65" s="55"/>
      <c r="AB65" s="55"/>
    </row>
    <row r="66" spans="1:28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50"/>
      <c r="M66" s="153"/>
      <c r="N66" s="92"/>
      <c r="O66" s="174"/>
      <c r="P66" s="10"/>
      <c r="Q66" s="33"/>
      <c r="R66" s="108"/>
      <c r="S66" s="111"/>
      <c r="T66" s="113"/>
      <c r="U66" s="9"/>
      <c r="V66" s="38"/>
      <c r="W66" s="52"/>
      <c r="X66" s="52"/>
      <c r="Y66" s="134"/>
      <c r="Z66" s="55"/>
      <c r="AA66" s="55"/>
      <c r="AB66" s="55"/>
    </row>
    <row r="67" spans="1:28" x14ac:dyDescent="0.25">
      <c r="A67" s="38"/>
      <c r="B67" s="33"/>
      <c r="C67" s="33"/>
      <c r="D67" s="33"/>
      <c r="E67" s="33"/>
      <c r="F67" s="49"/>
      <c r="G67" s="49"/>
      <c r="H67" s="49"/>
      <c r="I67" s="49"/>
      <c r="J67" s="33"/>
      <c r="K67" s="49"/>
      <c r="L67" s="150"/>
      <c r="M67" s="153"/>
      <c r="N67" s="92"/>
      <c r="O67" s="174"/>
      <c r="P67" s="10"/>
      <c r="Q67" s="33"/>
      <c r="R67" s="108"/>
      <c r="S67" s="111"/>
      <c r="T67" s="113"/>
      <c r="U67" s="9"/>
      <c r="V67" s="38"/>
      <c r="W67" s="52"/>
      <c r="X67" s="52"/>
      <c r="Y67" s="134"/>
      <c r="Z67" s="55"/>
      <c r="AA67" s="55"/>
      <c r="AB67" s="55"/>
    </row>
    <row r="68" spans="1:28" x14ac:dyDescent="0.25">
      <c r="A68" s="38"/>
      <c r="B68" s="33"/>
      <c r="C68" s="33"/>
      <c r="D68" s="33"/>
      <c r="E68" s="33"/>
      <c r="F68" s="49"/>
      <c r="G68" s="49"/>
      <c r="H68" s="49"/>
      <c r="I68" s="49"/>
      <c r="J68" s="33"/>
      <c r="K68" s="49"/>
      <c r="L68" s="150"/>
      <c r="M68" s="153"/>
      <c r="N68" s="92"/>
      <c r="O68" s="174"/>
      <c r="P68" s="10"/>
      <c r="Q68" s="33"/>
      <c r="R68" s="108"/>
      <c r="S68" s="111"/>
      <c r="T68" s="113"/>
      <c r="U68" s="9"/>
      <c r="V68" s="38"/>
      <c r="W68" s="52"/>
      <c r="X68" s="52"/>
      <c r="Y68" s="134"/>
      <c r="Z68" s="55"/>
      <c r="AA68" s="55"/>
      <c r="AB68" s="55"/>
    </row>
    <row r="69" spans="1:28" x14ac:dyDescent="0.25">
      <c r="A69" s="38"/>
      <c r="B69" s="33"/>
      <c r="C69" s="33"/>
      <c r="D69" s="33"/>
      <c r="E69" s="33"/>
      <c r="F69" s="49"/>
      <c r="G69" s="49"/>
      <c r="H69" s="49"/>
      <c r="I69" s="49"/>
      <c r="J69" s="33"/>
      <c r="K69" s="49"/>
      <c r="L69" s="150"/>
      <c r="M69" s="153"/>
      <c r="N69" s="92"/>
      <c r="O69" s="174"/>
      <c r="P69" s="10"/>
      <c r="Q69" s="33"/>
      <c r="R69" s="108"/>
      <c r="S69" s="111"/>
      <c r="T69" s="113"/>
      <c r="U69" s="9"/>
      <c r="V69" s="38"/>
      <c r="W69" s="52"/>
      <c r="X69" s="52"/>
      <c r="Y69" s="134"/>
      <c r="Z69" s="55"/>
      <c r="AA69" s="55"/>
      <c r="AB69" s="55"/>
    </row>
    <row r="70" spans="1:28" x14ac:dyDescent="0.25">
      <c r="A70" s="38"/>
      <c r="B70" s="33"/>
      <c r="C70" s="33"/>
      <c r="D70" s="33"/>
      <c r="E70" s="33"/>
      <c r="F70" s="49"/>
      <c r="G70" s="49"/>
      <c r="H70" s="49"/>
      <c r="I70" s="49"/>
      <c r="J70" s="33"/>
      <c r="K70" s="49"/>
      <c r="L70" s="150"/>
      <c r="M70" s="153"/>
      <c r="N70" s="92"/>
      <c r="O70" s="174"/>
      <c r="P70" s="10"/>
      <c r="Q70" s="33"/>
      <c r="R70" s="108"/>
      <c r="S70" s="111"/>
      <c r="T70" s="113"/>
      <c r="U70" s="9"/>
      <c r="V70" s="38"/>
      <c r="W70" s="52"/>
      <c r="X70" s="52"/>
      <c r="Y70" s="134"/>
      <c r="Z70" s="55"/>
      <c r="AA70" s="55"/>
      <c r="AB70" s="55"/>
    </row>
    <row r="71" spans="1:28" x14ac:dyDescent="0.25">
      <c r="A71" s="38"/>
      <c r="B71" s="33"/>
      <c r="C71" s="33"/>
      <c r="D71" s="33"/>
      <c r="E71" s="33"/>
      <c r="F71" s="49"/>
      <c r="G71" s="49"/>
      <c r="H71" s="49"/>
      <c r="I71" s="49"/>
      <c r="J71" s="33"/>
      <c r="K71" s="49"/>
      <c r="L71" s="150"/>
      <c r="M71" s="153"/>
      <c r="N71" s="92"/>
      <c r="O71" s="174"/>
      <c r="P71" s="10"/>
      <c r="Q71" s="33"/>
      <c r="R71" s="108"/>
      <c r="S71" s="111"/>
      <c r="T71" s="113"/>
      <c r="U71" s="9"/>
      <c r="V71" s="38"/>
      <c r="W71" s="52"/>
      <c r="X71" s="52"/>
      <c r="Y71" s="134"/>
      <c r="Z71" s="55"/>
      <c r="AA71" s="55"/>
      <c r="AB71" s="55"/>
    </row>
    <row r="72" spans="1:28" x14ac:dyDescent="0.25">
      <c r="B72" s="23"/>
      <c r="C72" s="23"/>
      <c r="D72" s="23"/>
      <c r="E72" s="23"/>
      <c r="J72" s="23"/>
    </row>
  </sheetData>
  <autoFilter ref="A6:AB67"/>
  <sortState ref="A7:X83">
    <sortCondition ref="W7:W83"/>
    <sortCondition ref="E7:E83"/>
    <sortCondition ref="K7:K83"/>
    <sortCondition ref="C7:C83"/>
    <sortCondition ref="F7:F83"/>
  </sortState>
  <mergeCells count="1">
    <mergeCell ref="A5:O5"/>
  </mergeCells>
  <conditionalFormatting sqref="O6:P6 R6 O7:O1048576">
    <cfRule type="cellIs" dxfId="2" priority="14" operator="equal">
      <formula>"Y"</formula>
    </cfRule>
  </conditionalFormatting>
  <conditionalFormatting sqref="A7:P71">
    <cfRule type="expression" dxfId="1" priority="7">
      <formula>$O7="Y"</formula>
    </cfRule>
  </conditionalFormatting>
  <conditionalFormatting sqref="O2:O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3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AB7:AB52</xm:sqref>
        </x14:dataValidation>
        <x14:dataValidation type="list" allowBlank="1" showInputMessage="1" showErrorMessage="1">
          <x14:formula1>
            <xm:f>'Redmine List Values'!$A$2:$A$7</xm:f>
          </x14:formula1>
          <xm:sqref>AA7:AA52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7"/>
  <sheetViews>
    <sheetView zoomScale="85" zoomScaleNormal="85" workbookViewId="0">
      <selection activeCell="B13" sqref="B13"/>
    </sheetView>
  </sheetViews>
  <sheetFormatPr defaultRowHeight="15" x14ac:dyDescent="0.25"/>
  <cols>
    <col min="1" max="1" width="9.140625" style="161"/>
    <col min="2" max="2" width="9.140625" style="2" customWidth="1"/>
    <col min="3" max="3" width="8" style="120" bestFit="1" customWidth="1"/>
    <col min="4" max="4" width="9.85546875" style="116" bestFit="1" customWidth="1"/>
    <col min="5" max="5" width="17.140625" customWidth="1"/>
    <col min="6" max="6" width="8.7109375" customWidth="1"/>
    <col min="7" max="7" width="13.5703125" customWidth="1"/>
    <col min="8" max="8" width="12.42578125" customWidth="1"/>
    <col min="9" max="10" width="9.140625" customWidth="1"/>
  </cols>
  <sheetData>
    <row r="1" spans="1:11" s="23" customFormat="1" x14ac:dyDescent="0.25">
      <c r="A1" s="161"/>
      <c r="B1" s="176" t="str">
        <f>"Trips that did not appear in PTC Data "&amp;TEXT(Variables!$A$2,"YYYY-mm-dd")</f>
        <v>Trips that did not appear in PTC Data 2016-09-11</v>
      </c>
      <c r="C1" s="176"/>
      <c r="D1" s="176"/>
      <c r="E1" s="176"/>
      <c r="F1" s="176"/>
    </row>
    <row r="2" spans="1:11" s="26" customFormat="1" ht="45" x14ac:dyDescent="0.25">
      <c r="A2" s="170" t="s">
        <v>175</v>
      </c>
      <c r="B2" s="125" t="s">
        <v>64</v>
      </c>
      <c r="C2" s="117" t="s">
        <v>65</v>
      </c>
      <c r="D2" s="118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115</v>
      </c>
    </row>
    <row r="3" spans="1:11" x14ac:dyDescent="0.25">
      <c r="A3" s="161">
        <v>191</v>
      </c>
      <c r="B3" s="2" t="str">
        <f>A3&amp;"-"&amp;IF(DAY(Variables!$A$2)&lt;10,0,"")&amp;DAY(Variables!$A$2)</f>
        <v>191-11</v>
      </c>
      <c r="C3" s="119"/>
      <c r="D3" s="119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12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22191-11%22)),sort:!(Time,asc))</v>
      </c>
      <c r="J3" s="23"/>
      <c r="K3" s="23"/>
    </row>
    <row r="4" spans="1:11" x14ac:dyDescent="0.25">
      <c r="A4" s="161">
        <v>193</v>
      </c>
      <c r="B4" s="2" t="str">
        <f>A4&amp;"-"&amp;IF(DAY(Variables!$A$2)&lt;10,0,"")&amp;DAY(Variables!$A$2)</f>
        <v>193-11</v>
      </c>
      <c r="C4" s="119"/>
      <c r="D4" s="119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22193-11%22)),sort:!(Time,asc))</v>
      </c>
      <c r="J4" s="23"/>
      <c r="K4" s="23"/>
    </row>
    <row r="5" spans="1:11" x14ac:dyDescent="0.25">
      <c r="A5" s="161">
        <v>195</v>
      </c>
      <c r="B5" s="2" t="str">
        <f>A5&amp;"-"&amp;IF(DAY(Variables!$A$2)&lt;10,0,"")&amp;DAY(Variables!$A$2)</f>
        <v>195-11</v>
      </c>
      <c r="C5" s="119"/>
      <c r="D5" s="119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22195-11%22)),sort:!(Time,asc))</v>
      </c>
      <c r="J5" s="23"/>
      <c r="K5" s="23"/>
    </row>
    <row r="6" spans="1:11" x14ac:dyDescent="0.25">
      <c r="A6" s="161">
        <v>205</v>
      </c>
      <c r="B6" s="2" t="str">
        <f>A6&amp;"-"&amp;IF(DAY(Variables!$A$2)&lt;10,0,"")&amp;DAY(Variables!$A$2)</f>
        <v>205-11</v>
      </c>
      <c r="C6" s="119"/>
      <c r="D6" s="119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22205-11%22)),sort:!(Time,asc))</v>
      </c>
      <c r="J6" s="23"/>
      <c r="K6" s="23"/>
    </row>
    <row r="7" spans="1:11" x14ac:dyDescent="0.25">
      <c r="A7" s="161">
        <v>207</v>
      </c>
      <c r="B7" s="2" t="str">
        <f>A7&amp;"-"&amp;IF(DAY(Variables!$A$2)&lt;10,0,"")&amp;DAY(Variables!$A$2)</f>
        <v>207-11</v>
      </c>
      <c r="C7" s="119"/>
      <c r="D7" s="119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22207-11%22)),sort:!(Time,asc))</v>
      </c>
      <c r="J7" s="23"/>
      <c r="K7" s="23"/>
    </row>
    <row r="8" spans="1:11" x14ac:dyDescent="0.25">
      <c r="A8" s="161">
        <v>209</v>
      </c>
      <c r="B8" s="2" t="str">
        <f>A8&amp;"-"&amp;IF(DAY(Variables!$A$2)&lt;10,0,"")&amp;DAY(Variables!$A$2)</f>
        <v>209-11</v>
      </c>
      <c r="C8" s="119"/>
      <c r="D8" s="119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22209-11%22)),sort:!(Time,asc))</v>
      </c>
      <c r="J8" s="23"/>
      <c r="K8" s="23"/>
    </row>
    <row r="9" spans="1:11" x14ac:dyDescent="0.25">
      <c r="A9" s="161">
        <v>245</v>
      </c>
      <c r="B9" s="2" t="str">
        <f>A9&amp;"-"&amp;IF(DAY(Variables!$A$2)&lt;10,0,"")&amp;DAY(Variables!$A$2)</f>
        <v>245-11</v>
      </c>
      <c r="C9" s="119"/>
      <c r="D9" s="119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22245-11%22)),sort:!(Time,asc))</v>
      </c>
      <c r="J9" s="23"/>
      <c r="K9" s="23"/>
    </row>
    <row r="10" spans="1:11" x14ac:dyDescent="0.25">
      <c r="A10" s="161">
        <v>1814</v>
      </c>
      <c r="B10" s="2" t="str">
        <f>A10&amp;"-"&amp;IF(DAY(Variables!$A$2)&lt;10,0,"")&amp;DAY(Variables!$A$2)</f>
        <v>1814-11</v>
      </c>
      <c r="C10" s="119"/>
      <c r="D10" s="119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221814-11%22)),sort:!(Time,asc))</v>
      </c>
      <c r="J10" s="23"/>
      <c r="K10" s="23"/>
    </row>
    <row r="11" spans="1:11" x14ac:dyDescent="0.25">
      <c r="B11" s="2" t="str">
        <f>A11&amp;"-"&amp;IF(DAY(Variables!$A$2)&lt;10,0,"")&amp;DAY(Variables!$A$2)</f>
        <v>-11</v>
      </c>
      <c r="C11" s="119"/>
      <c r="D11" s="119"/>
      <c r="E11" s="33"/>
      <c r="F11" s="24" t="e">
        <f>VLOOKUP(B11,'Trips&amp;Operators'!$C$2:$E$10000,3,FALSE)</f>
        <v>#N/A</v>
      </c>
      <c r="G11" s="24" t="e">
        <f>VLOOKUP(B11,'Trips&amp;Operators'!$C$1:$F$10000,4,FALSE)</f>
        <v>#N/A</v>
      </c>
      <c r="H11" s="32" t="e">
        <f>VLOOKUP(B11,'Trips&amp;Operators'!$C$1:$H$10000,5,FALSE)</f>
        <v>#N/A</v>
      </c>
      <c r="I11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1" s="23"/>
      <c r="K11" s="23"/>
    </row>
    <row r="12" spans="1:11" x14ac:dyDescent="0.25">
      <c r="B12" s="2" t="str">
        <f>A12&amp;"-"&amp;IF(DAY(Variables!$A$2)&lt;10,0,"")&amp;DAY(Variables!$A$2)</f>
        <v>-11</v>
      </c>
      <c r="C12" s="119"/>
      <c r="D12" s="119"/>
      <c r="E12" s="33"/>
      <c r="F12" s="24" t="e">
        <f>VLOOKUP(B12,'Trips&amp;Operators'!$C$2:$E$10000,3,FALSE)</f>
        <v>#N/A</v>
      </c>
      <c r="G12" s="24" t="e">
        <f>VLOOKUP(B12,'Trips&amp;Operators'!$C$1:$F$10000,4,FALSE)</f>
        <v>#N/A</v>
      </c>
      <c r="H12" s="32" t="e">
        <f>VLOOKUP(B12,'Trips&amp;Operators'!$C$1:$H$10000,5,FALSE)</f>
        <v>#N/A</v>
      </c>
      <c r="I12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2" s="23"/>
      <c r="K12" s="23"/>
    </row>
    <row r="13" spans="1:11" x14ac:dyDescent="0.25">
      <c r="C13" s="114"/>
      <c r="D13" s="114"/>
      <c r="I13" s="23"/>
      <c r="J13" s="23"/>
      <c r="K13" s="23"/>
    </row>
    <row r="14" spans="1:11" x14ac:dyDescent="0.25">
      <c r="C14" s="114"/>
      <c r="D14" s="114"/>
      <c r="I14" s="23"/>
      <c r="J14" s="23"/>
      <c r="K14" s="23"/>
    </row>
    <row r="15" spans="1:11" x14ac:dyDescent="0.25">
      <c r="C15" s="114"/>
      <c r="D15" s="114"/>
      <c r="I15" s="23"/>
      <c r="J15" s="23"/>
      <c r="K15" s="23"/>
    </row>
    <row r="16" spans="1:11" x14ac:dyDescent="0.25">
      <c r="C16" s="114"/>
      <c r="D16" s="114"/>
      <c r="I16" s="23"/>
      <c r="J16" s="23"/>
      <c r="K16" s="23"/>
    </row>
    <row r="17" spans="3:11" x14ac:dyDescent="0.25">
      <c r="C17" s="114"/>
      <c r="D17" s="114"/>
      <c r="I17" s="23"/>
      <c r="J17" s="23"/>
      <c r="K17" s="23"/>
    </row>
    <row r="18" spans="3:11" x14ac:dyDescent="0.25">
      <c r="C18" s="114"/>
      <c r="D18" s="114"/>
      <c r="I18" s="23"/>
      <c r="J18" s="23"/>
      <c r="K18" s="23"/>
    </row>
    <row r="19" spans="3:11" x14ac:dyDescent="0.25">
      <c r="C19" s="114"/>
      <c r="D19" s="114"/>
      <c r="I19" s="23"/>
      <c r="J19" s="23"/>
      <c r="K19" s="23"/>
    </row>
    <row r="20" spans="3:11" x14ac:dyDescent="0.25">
      <c r="C20" s="114"/>
      <c r="D20" s="114"/>
      <c r="I20" s="23"/>
      <c r="J20" s="23"/>
      <c r="K20" s="23"/>
    </row>
    <row r="21" spans="3:11" x14ac:dyDescent="0.25">
      <c r="C21" s="114"/>
      <c r="D21" s="114"/>
      <c r="I21" s="23"/>
      <c r="J21" s="23"/>
      <c r="K21" s="23"/>
    </row>
    <row r="22" spans="3:11" x14ac:dyDescent="0.25">
      <c r="C22" s="114"/>
      <c r="D22" s="114"/>
      <c r="I22" s="23"/>
      <c r="J22" s="23"/>
      <c r="K22" s="23"/>
    </row>
    <row r="23" spans="3:11" x14ac:dyDescent="0.25">
      <c r="C23" s="114"/>
      <c r="D23" s="114"/>
      <c r="I23" s="23"/>
      <c r="J23" s="23"/>
      <c r="K23" s="23"/>
    </row>
    <row r="24" spans="3:11" x14ac:dyDescent="0.25">
      <c r="C24" s="114"/>
      <c r="D24" s="114"/>
      <c r="I24" s="23"/>
      <c r="J24" s="23"/>
      <c r="K24" s="23"/>
    </row>
    <row r="25" spans="3:11" x14ac:dyDescent="0.25">
      <c r="C25" s="114"/>
      <c r="D25" s="114"/>
      <c r="I25" s="23"/>
      <c r="J25" s="23"/>
      <c r="K25" s="23"/>
    </row>
    <row r="26" spans="3:11" x14ac:dyDescent="0.25">
      <c r="C26" s="114"/>
      <c r="D26" s="114"/>
      <c r="I26" s="23"/>
      <c r="J26" s="23"/>
      <c r="K26" s="23"/>
    </row>
    <row r="27" spans="3:11" x14ac:dyDescent="0.25">
      <c r="C27" s="114"/>
      <c r="D27" s="114"/>
      <c r="I27" s="23"/>
      <c r="J27" s="23"/>
      <c r="K27" s="23"/>
    </row>
    <row r="28" spans="3:11" x14ac:dyDescent="0.25">
      <c r="C28" s="114"/>
      <c r="D28" s="114"/>
      <c r="I28" s="23"/>
      <c r="J28" s="23"/>
      <c r="K28" s="23"/>
    </row>
    <row r="29" spans="3:11" x14ac:dyDescent="0.25">
      <c r="C29" s="114"/>
      <c r="D29" s="114"/>
      <c r="I29" s="23"/>
      <c r="J29" s="23"/>
      <c r="K29" s="23"/>
    </row>
    <row r="30" spans="3:11" x14ac:dyDescent="0.25">
      <c r="C30" s="114"/>
      <c r="D30" s="114"/>
      <c r="I30" s="23"/>
      <c r="J30" s="23"/>
      <c r="K30" s="23"/>
    </row>
    <row r="31" spans="3:11" x14ac:dyDescent="0.25">
      <c r="C31" s="114"/>
      <c r="D31" s="114"/>
      <c r="I31" s="23"/>
      <c r="J31" s="23"/>
      <c r="K31" s="23"/>
    </row>
    <row r="32" spans="3:11" x14ac:dyDescent="0.25">
      <c r="C32" s="114"/>
      <c r="D32" s="114"/>
      <c r="I32" s="23"/>
      <c r="J32" s="23"/>
      <c r="K32" s="23"/>
    </row>
    <row r="33" spans="3:11" x14ac:dyDescent="0.25">
      <c r="C33" s="114"/>
      <c r="D33" s="114"/>
      <c r="I33" s="23"/>
      <c r="J33" s="23"/>
      <c r="K33" s="23"/>
    </row>
    <row r="34" spans="3:11" x14ac:dyDescent="0.25">
      <c r="C34" s="114"/>
      <c r="D34" s="114"/>
      <c r="I34" s="23"/>
      <c r="J34" s="23"/>
      <c r="K34" s="23"/>
    </row>
    <row r="35" spans="3:11" x14ac:dyDescent="0.25">
      <c r="C35" s="114"/>
      <c r="D35" s="114"/>
      <c r="I35" s="23"/>
      <c r="J35" s="23"/>
      <c r="K35" s="23"/>
    </row>
    <row r="36" spans="3:11" x14ac:dyDescent="0.25">
      <c r="C36" s="114"/>
      <c r="D36" s="114"/>
      <c r="I36" s="23"/>
      <c r="J36" s="23"/>
      <c r="K36" s="23"/>
    </row>
    <row r="37" spans="3:11" x14ac:dyDescent="0.25">
      <c r="I37" s="23"/>
      <c r="J37" s="23"/>
      <c r="K37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/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683</v>
      </c>
      <c r="B1" s="23" t="s">
        <v>684</v>
      </c>
      <c r="C1" s="23" t="s">
        <v>0</v>
      </c>
      <c r="D1" s="23" t="s">
        <v>685</v>
      </c>
      <c r="E1" s="23" t="s">
        <v>686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42624.036134259259</v>
      </c>
      <c r="B2" s="23" t="s">
        <v>130</v>
      </c>
      <c r="C2" s="23" t="s">
        <v>364</v>
      </c>
      <c r="D2" s="23">
        <v>1300000</v>
      </c>
      <c r="E2" s="23" t="s">
        <v>124</v>
      </c>
      <c r="F2" s="23" t="str">
        <f t="shared" ref="F2:F65" si="0">B2</f>
        <v>rtdc.l.rtdc.4038:itc</v>
      </c>
      <c r="G2" s="8">
        <f t="shared" ref="G2:G65" si="1">A2</f>
        <v>42624.036134259259</v>
      </c>
    </row>
    <row r="3" spans="1:7" x14ac:dyDescent="0.25">
      <c r="A3" s="8">
        <v>42624.038310185184</v>
      </c>
      <c r="B3" s="23" t="s">
        <v>339</v>
      </c>
      <c r="C3" s="23" t="s">
        <v>362</v>
      </c>
      <c r="D3" s="23">
        <v>1800000</v>
      </c>
      <c r="E3" s="23" t="s">
        <v>332</v>
      </c>
      <c r="F3" s="23" t="str">
        <f t="shared" si="0"/>
        <v>rtdc.l.rtdc.4045:itc</v>
      </c>
      <c r="G3" s="8">
        <f t="shared" si="1"/>
        <v>42624.038310185184</v>
      </c>
    </row>
    <row r="4" spans="1:7" x14ac:dyDescent="0.25">
      <c r="A4" s="8">
        <v>42624.047337962962</v>
      </c>
      <c r="B4" s="23" t="s">
        <v>176</v>
      </c>
      <c r="C4" s="23" t="s">
        <v>377</v>
      </c>
      <c r="D4" s="23">
        <v>1810000</v>
      </c>
      <c r="E4" s="23" t="s">
        <v>375</v>
      </c>
      <c r="F4" s="23" t="str">
        <f t="shared" si="0"/>
        <v>rtdc.l.rtdc.4011:itc</v>
      </c>
      <c r="G4" s="8">
        <f t="shared" si="1"/>
        <v>42624.047337962962</v>
      </c>
    </row>
    <row r="5" spans="1:7" x14ac:dyDescent="0.25">
      <c r="A5" s="8">
        <v>42624.059050925927</v>
      </c>
      <c r="B5" s="23" t="s">
        <v>336</v>
      </c>
      <c r="C5" s="23" t="s">
        <v>363</v>
      </c>
      <c r="D5" s="23">
        <v>2150000</v>
      </c>
      <c r="E5" s="23" t="s">
        <v>376</v>
      </c>
      <c r="F5" s="23" t="str">
        <f t="shared" si="0"/>
        <v>rtdc.l.rtdc.4013:itc</v>
      </c>
      <c r="G5" s="8">
        <f t="shared" si="1"/>
        <v>42624.059050925927</v>
      </c>
    </row>
    <row r="6" spans="1:7" x14ac:dyDescent="0.25">
      <c r="A6" s="8">
        <v>42624.069606481484</v>
      </c>
      <c r="B6" s="23" t="s">
        <v>191</v>
      </c>
      <c r="C6" s="23" t="s">
        <v>366</v>
      </c>
      <c r="D6" s="23">
        <v>1800000</v>
      </c>
      <c r="E6" s="23" t="s">
        <v>332</v>
      </c>
      <c r="F6" s="23" t="str">
        <f t="shared" si="0"/>
        <v>rtdc.l.rtdc.4046:itc</v>
      </c>
      <c r="G6" s="8">
        <f t="shared" si="1"/>
        <v>42624.069606481484</v>
      </c>
    </row>
    <row r="7" spans="1:7" x14ac:dyDescent="0.25">
      <c r="A7" s="8">
        <v>42624.076608796298</v>
      </c>
      <c r="B7" s="23" t="s">
        <v>265</v>
      </c>
      <c r="C7" s="23" t="s">
        <v>365</v>
      </c>
      <c r="D7" s="23">
        <v>1300000</v>
      </c>
      <c r="E7" s="23" t="s">
        <v>124</v>
      </c>
      <c r="F7" s="23" t="str">
        <f t="shared" si="0"/>
        <v>rtdc.l.rtdc.4037:itc</v>
      </c>
      <c r="G7" s="8">
        <f t="shared" si="1"/>
        <v>42624.076608796298</v>
      </c>
    </row>
    <row r="8" spans="1:7" x14ac:dyDescent="0.25">
      <c r="A8" s="8">
        <v>42624.089143518519</v>
      </c>
      <c r="B8" s="23" t="s">
        <v>107</v>
      </c>
      <c r="C8" s="23" t="s">
        <v>367</v>
      </c>
      <c r="D8" s="23">
        <v>2150000</v>
      </c>
      <c r="E8" s="23" t="s">
        <v>376</v>
      </c>
      <c r="F8" s="23" t="str">
        <f t="shared" si="0"/>
        <v>rtdc.l.rtdc.4014:itc</v>
      </c>
      <c r="G8" s="8">
        <f t="shared" si="1"/>
        <v>42624.089143518519</v>
      </c>
    </row>
    <row r="9" spans="1:7" ht="15.75" thickBot="1" x14ac:dyDescent="0.3">
      <c r="A9" s="27">
        <v>42624.127974537034</v>
      </c>
      <c r="B9" s="23" t="s">
        <v>186</v>
      </c>
      <c r="C9" s="23" t="s">
        <v>378</v>
      </c>
      <c r="D9" s="23">
        <v>2030000</v>
      </c>
      <c r="E9" s="23" t="s">
        <v>372</v>
      </c>
      <c r="F9" s="23" t="str">
        <f t="shared" si="0"/>
        <v>rtdc.l.rtdc.4042:itc</v>
      </c>
      <c r="G9" s="8">
        <f t="shared" si="1"/>
        <v>42624.127974537034</v>
      </c>
    </row>
    <row r="10" spans="1:7" x14ac:dyDescent="0.25">
      <c r="A10" s="8">
        <v>42624.151666666665</v>
      </c>
      <c r="B10" s="23" t="s">
        <v>369</v>
      </c>
      <c r="C10" s="23" t="s">
        <v>415</v>
      </c>
      <c r="D10" s="23">
        <v>1260000</v>
      </c>
      <c r="E10" s="23" t="s">
        <v>370</v>
      </c>
      <c r="F10" s="23" t="str">
        <f t="shared" si="0"/>
        <v>rtdc.l.rtdc.4029:itc</v>
      </c>
      <c r="G10" s="8">
        <f t="shared" si="1"/>
        <v>42624.151666666665</v>
      </c>
    </row>
    <row r="11" spans="1:7" x14ac:dyDescent="0.25">
      <c r="A11" s="8">
        <v>42624.171550925923</v>
      </c>
      <c r="B11" s="23" t="s">
        <v>179</v>
      </c>
      <c r="C11" s="23" t="s">
        <v>379</v>
      </c>
      <c r="D11" s="23">
        <v>2030000</v>
      </c>
      <c r="E11" s="23" t="s">
        <v>372</v>
      </c>
      <c r="F11" s="23" t="str">
        <f t="shared" si="0"/>
        <v>rtdc.l.rtdc.4026:itc</v>
      </c>
      <c r="G11" s="8">
        <f t="shared" si="1"/>
        <v>42624.171550925923</v>
      </c>
    </row>
    <row r="12" spans="1:7" x14ac:dyDescent="0.25">
      <c r="A12" s="8">
        <v>42624.174097222225</v>
      </c>
      <c r="B12" s="23" t="s">
        <v>687</v>
      </c>
      <c r="C12" s="23" t="s">
        <v>421</v>
      </c>
      <c r="D12" s="23">
        <v>2010000</v>
      </c>
      <c r="E12" s="23" t="s">
        <v>190</v>
      </c>
      <c r="F12" s="23" t="str">
        <f t="shared" si="0"/>
        <v>rtdc.l.rtdc.4027:itc</v>
      </c>
      <c r="G12" s="8">
        <f t="shared" si="1"/>
        <v>42624.174097222225</v>
      </c>
    </row>
    <row r="13" spans="1:7" x14ac:dyDescent="0.25">
      <c r="A13" s="8">
        <v>42624.181886574072</v>
      </c>
      <c r="B13" s="23" t="s">
        <v>687</v>
      </c>
      <c r="C13" s="23" t="s">
        <v>421</v>
      </c>
      <c r="D13" s="23">
        <v>2010000</v>
      </c>
      <c r="E13" s="23" t="s">
        <v>190</v>
      </c>
      <c r="F13" s="23" t="str">
        <f t="shared" si="0"/>
        <v>rtdc.l.rtdc.4027:itc</v>
      </c>
      <c r="G13" s="8">
        <f t="shared" si="1"/>
        <v>42624.181886574072</v>
      </c>
    </row>
    <row r="14" spans="1:7" x14ac:dyDescent="0.25">
      <c r="A14" s="8">
        <v>42624.186701388891</v>
      </c>
      <c r="B14" s="23" t="s">
        <v>305</v>
      </c>
      <c r="C14" s="23" t="s">
        <v>688</v>
      </c>
      <c r="D14" s="23">
        <v>1990000</v>
      </c>
      <c r="E14" s="23" t="s">
        <v>329</v>
      </c>
      <c r="F14" s="23" t="str">
        <f t="shared" si="0"/>
        <v>rtdc.l.rtdc.4040:itc</v>
      </c>
      <c r="G14" s="8">
        <f t="shared" si="1"/>
        <v>42624.186701388891</v>
      </c>
    </row>
    <row r="15" spans="1:7" x14ac:dyDescent="0.25">
      <c r="A15" s="8">
        <v>42624.187685185185</v>
      </c>
      <c r="B15" s="23" t="s">
        <v>305</v>
      </c>
      <c r="C15" s="23" t="s">
        <v>688</v>
      </c>
      <c r="D15" s="23">
        <v>1990000</v>
      </c>
      <c r="E15" s="23" t="s">
        <v>329</v>
      </c>
      <c r="F15" s="23" t="str">
        <f t="shared" si="0"/>
        <v>rtdc.l.rtdc.4040:itc</v>
      </c>
      <c r="G15" s="8">
        <f t="shared" si="1"/>
        <v>42624.187685185185</v>
      </c>
    </row>
    <row r="16" spans="1:7" x14ac:dyDescent="0.25">
      <c r="A16" s="8">
        <v>42624.189131944448</v>
      </c>
      <c r="B16" s="23" t="s">
        <v>169</v>
      </c>
      <c r="C16" s="23" t="s">
        <v>418</v>
      </c>
      <c r="D16" s="23">
        <v>1260000</v>
      </c>
      <c r="E16" s="23" t="s">
        <v>370</v>
      </c>
      <c r="F16" s="23" t="str">
        <f t="shared" si="0"/>
        <v>rtdc.l.rtdc.4019:itc</v>
      </c>
      <c r="G16" s="8">
        <f t="shared" si="1"/>
        <v>42624.189131944448</v>
      </c>
    </row>
    <row r="17" spans="1:7" x14ac:dyDescent="0.25">
      <c r="A17" s="8">
        <v>42624.193715277775</v>
      </c>
      <c r="B17" s="23" t="s">
        <v>305</v>
      </c>
      <c r="C17" s="23" t="s">
        <v>688</v>
      </c>
      <c r="D17" s="23">
        <v>1990000</v>
      </c>
      <c r="E17" s="23" t="s">
        <v>329</v>
      </c>
      <c r="F17" s="23" t="str">
        <f t="shared" si="0"/>
        <v>rtdc.l.rtdc.4040:itc</v>
      </c>
      <c r="G17" s="8">
        <f t="shared" si="1"/>
        <v>42624.193715277775</v>
      </c>
    </row>
    <row r="18" spans="1:7" x14ac:dyDescent="0.25">
      <c r="A18" s="8">
        <v>42624.19771990741</v>
      </c>
      <c r="B18" s="23" t="s">
        <v>132</v>
      </c>
      <c r="C18" s="23" t="s">
        <v>427</v>
      </c>
      <c r="D18" s="23">
        <v>1310000</v>
      </c>
      <c r="E18" s="23" t="s">
        <v>302</v>
      </c>
      <c r="F18" s="23" t="str">
        <f t="shared" si="0"/>
        <v>rtdc.l.rtdc.4009:itc</v>
      </c>
      <c r="G18" s="8">
        <f t="shared" si="1"/>
        <v>42624.19771990741</v>
      </c>
    </row>
    <row r="19" spans="1:7" x14ac:dyDescent="0.25">
      <c r="A19" s="8">
        <v>42624.205034722225</v>
      </c>
      <c r="B19" s="23" t="s">
        <v>186</v>
      </c>
      <c r="C19" s="23" t="s">
        <v>431</v>
      </c>
      <c r="D19" s="23">
        <v>1760000</v>
      </c>
      <c r="E19" s="23" t="s">
        <v>689</v>
      </c>
      <c r="F19" s="23" t="str">
        <f t="shared" si="0"/>
        <v>rtdc.l.rtdc.4042:itc</v>
      </c>
      <c r="G19" s="8">
        <f t="shared" si="1"/>
        <v>42624.205034722225</v>
      </c>
    </row>
    <row r="20" spans="1:7" x14ac:dyDescent="0.25">
      <c r="A20" s="8">
        <v>42624.206064814818</v>
      </c>
      <c r="B20" s="23" t="s">
        <v>178</v>
      </c>
      <c r="C20" s="23" t="s">
        <v>380</v>
      </c>
      <c r="D20" s="23">
        <v>2030000</v>
      </c>
      <c r="E20" s="23" t="s">
        <v>372</v>
      </c>
      <c r="F20" s="23" t="str">
        <f t="shared" si="0"/>
        <v>rtdc.l.rtdc.4025:itc</v>
      </c>
      <c r="G20" s="8">
        <f t="shared" si="1"/>
        <v>42624.206064814818</v>
      </c>
    </row>
    <row r="21" spans="1:7" x14ac:dyDescent="0.25">
      <c r="A21" s="8">
        <v>42624.213310185187</v>
      </c>
      <c r="B21" s="23" t="s">
        <v>263</v>
      </c>
      <c r="C21" s="23" t="s">
        <v>382</v>
      </c>
      <c r="D21" s="23">
        <v>2010000</v>
      </c>
      <c r="E21" s="23" t="s">
        <v>190</v>
      </c>
      <c r="F21" s="23" t="str">
        <f t="shared" si="0"/>
        <v>rtdc.l.rtdc.4017:itc</v>
      </c>
      <c r="G21" s="8">
        <f t="shared" si="1"/>
        <v>42624.213310185187</v>
      </c>
    </row>
    <row r="22" spans="1:7" x14ac:dyDescent="0.25">
      <c r="A22" s="29">
        <v>42624.220486111109</v>
      </c>
      <c r="B22" s="23" t="s">
        <v>266</v>
      </c>
      <c r="C22" s="23" t="s">
        <v>426</v>
      </c>
      <c r="D22" s="23">
        <v>1990000</v>
      </c>
      <c r="E22" s="23" t="s">
        <v>329</v>
      </c>
      <c r="F22" s="23" t="str">
        <f t="shared" si="0"/>
        <v>rtdc.l.rtdc.4039:itc</v>
      </c>
      <c r="G22" s="8">
        <f t="shared" si="1"/>
        <v>42624.220486111109</v>
      </c>
    </row>
    <row r="23" spans="1:7" x14ac:dyDescent="0.25">
      <c r="A23" s="8">
        <v>42624.221099537041</v>
      </c>
      <c r="B23" s="23" t="s">
        <v>266</v>
      </c>
      <c r="C23" s="23" t="s">
        <v>426</v>
      </c>
      <c r="D23" s="23">
        <v>1990000</v>
      </c>
      <c r="E23" s="23" t="s">
        <v>329</v>
      </c>
      <c r="F23" s="23" t="str">
        <f t="shared" si="0"/>
        <v>rtdc.l.rtdc.4039:itc</v>
      </c>
      <c r="G23" s="8">
        <f t="shared" si="1"/>
        <v>42624.221099537041</v>
      </c>
    </row>
    <row r="24" spans="1:7" x14ac:dyDescent="0.25">
      <c r="A24" s="8">
        <v>42624.222071759257</v>
      </c>
      <c r="B24" s="23" t="s">
        <v>266</v>
      </c>
      <c r="C24" s="23" t="s">
        <v>426</v>
      </c>
      <c r="D24" s="23">
        <v>1990000</v>
      </c>
      <c r="E24" s="23" t="s">
        <v>329</v>
      </c>
      <c r="F24" s="23" t="str">
        <f t="shared" si="0"/>
        <v>rtdc.l.rtdc.4039:itc</v>
      </c>
      <c r="G24" s="8">
        <f t="shared" si="1"/>
        <v>42624.222071759257</v>
      </c>
    </row>
    <row r="25" spans="1:7" x14ac:dyDescent="0.25">
      <c r="A25" s="8">
        <v>42624.231342592589</v>
      </c>
      <c r="B25" s="23" t="s">
        <v>369</v>
      </c>
      <c r="C25" s="23" t="s">
        <v>437</v>
      </c>
      <c r="D25" s="23">
        <v>1830000</v>
      </c>
      <c r="E25" s="23" t="s">
        <v>371</v>
      </c>
      <c r="F25" s="23" t="str">
        <f t="shared" si="0"/>
        <v>rtdc.l.rtdc.4029:itc</v>
      </c>
      <c r="G25" s="8">
        <f t="shared" si="1"/>
        <v>42624.231342592589</v>
      </c>
    </row>
    <row r="26" spans="1:7" x14ac:dyDescent="0.25">
      <c r="A26" s="8">
        <v>42624.232083333336</v>
      </c>
      <c r="B26" s="23" t="s">
        <v>369</v>
      </c>
      <c r="C26" s="23" t="s">
        <v>437</v>
      </c>
      <c r="D26" s="23">
        <v>1830000</v>
      </c>
      <c r="E26" s="23" t="s">
        <v>371</v>
      </c>
      <c r="F26" s="23" t="str">
        <f t="shared" si="0"/>
        <v>rtdc.l.rtdc.4029:itc</v>
      </c>
      <c r="G26" s="8">
        <f t="shared" si="1"/>
        <v>42624.232083333336</v>
      </c>
    </row>
    <row r="27" spans="1:7" x14ac:dyDescent="0.25">
      <c r="A27" s="8">
        <v>42624.23510416667</v>
      </c>
      <c r="B27" s="23" t="s">
        <v>185</v>
      </c>
      <c r="C27" s="23" t="s">
        <v>383</v>
      </c>
      <c r="D27" s="23">
        <v>1310000</v>
      </c>
      <c r="E27" s="23" t="s">
        <v>302</v>
      </c>
      <c r="F27" s="23" t="str">
        <f t="shared" si="0"/>
        <v>rtdc.l.rtdc.4010:itc</v>
      </c>
      <c r="G27" s="8">
        <f t="shared" si="1"/>
        <v>42624.23510416667</v>
      </c>
    </row>
    <row r="28" spans="1:7" x14ac:dyDescent="0.25">
      <c r="A28" s="8">
        <v>42624.235555555555</v>
      </c>
      <c r="B28" s="23" t="s">
        <v>170</v>
      </c>
      <c r="C28" s="23" t="s">
        <v>441</v>
      </c>
      <c r="D28" s="23">
        <v>1260000</v>
      </c>
      <c r="E28" s="23" t="s">
        <v>370</v>
      </c>
      <c r="F28" s="23" t="str">
        <f t="shared" si="0"/>
        <v>rtdc.l.rtdc.4020:itc</v>
      </c>
      <c r="G28" s="8">
        <f t="shared" si="1"/>
        <v>42624.235555555555</v>
      </c>
    </row>
    <row r="29" spans="1:7" x14ac:dyDescent="0.25">
      <c r="A29" s="8">
        <v>42624.237986111111</v>
      </c>
      <c r="B29" s="23" t="s">
        <v>338</v>
      </c>
      <c r="C29" s="23" t="s">
        <v>381</v>
      </c>
      <c r="D29" s="23">
        <v>1110000</v>
      </c>
      <c r="E29" s="23" t="s">
        <v>690</v>
      </c>
      <c r="F29" s="23" t="str">
        <f t="shared" si="0"/>
        <v>rtdc.l.rtdc.4001:itc</v>
      </c>
      <c r="G29" s="8">
        <f t="shared" si="1"/>
        <v>42624.237986111111</v>
      </c>
    </row>
    <row r="30" spans="1:7" x14ac:dyDescent="0.25">
      <c r="A30" s="8">
        <v>42624.239259259259</v>
      </c>
      <c r="B30" s="23" t="s">
        <v>338</v>
      </c>
      <c r="C30" s="23" t="s">
        <v>381</v>
      </c>
      <c r="D30" s="23">
        <v>1110000</v>
      </c>
      <c r="E30" s="23" t="s">
        <v>690</v>
      </c>
      <c r="F30" s="23" t="str">
        <f t="shared" si="0"/>
        <v>rtdc.l.rtdc.4001:itc</v>
      </c>
      <c r="G30" s="8">
        <f t="shared" si="1"/>
        <v>42624.239259259259</v>
      </c>
    </row>
    <row r="31" spans="1:7" x14ac:dyDescent="0.25">
      <c r="A31" s="8">
        <v>42624.245011574072</v>
      </c>
      <c r="B31" s="23" t="s">
        <v>184</v>
      </c>
      <c r="C31" s="23" t="s">
        <v>384</v>
      </c>
      <c r="D31" s="23">
        <v>1760000</v>
      </c>
      <c r="E31" s="23" t="s">
        <v>689</v>
      </c>
      <c r="F31" s="23" t="str">
        <f t="shared" si="0"/>
        <v>rtdc.l.rtdc.4041:itc</v>
      </c>
      <c r="G31" s="8">
        <f t="shared" si="1"/>
        <v>42624.245011574072</v>
      </c>
    </row>
    <row r="32" spans="1:7" x14ac:dyDescent="0.25">
      <c r="A32" s="8">
        <v>42624.250393518516</v>
      </c>
      <c r="B32" s="23" t="s">
        <v>687</v>
      </c>
      <c r="C32" s="23" t="s">
        <v>443</v>
      </c>
      <c r="D32" s="23">
        <v>2010000</v>
      </c>
      <c r="E32" s="23" t="s">
        <v>190</v>
      </c>
      <c r="F32" s="23" t="str">
        <f t="shared" si="0"/>
        <v>rtdc.l.rtdc.4027:itc</v>
      </c>
      <c r="G32" s="8">
        <f t="shared" si="1"/>
        <v>42624.250393518516</v>
      </c>
    </row>
    <row r="33" spans="1:7" x14ac:dyDescent="0.25">
      <c r="A33" s="8">
        <v>42624.25167824074</v>
      </c>
      <c r="B33" s="23" t="s">
        <v>687</v>
      </c>
      <c r="C33" s="23" t="s">
        <v>443</v>
      </c>
      <c r="D33" s="23">
        <v>2010000</v>
      </c>
      <c r="E33" s="23" t="s">
        <v>190</v>
      </c>
      <c r="F33" s="23" t="str">
        <f t="shared" si="0"/>
        <v>rtdc.l.rtdc.4027:itc</v>
      </c>
      <c r="G33" s="8">
        <f t="shared" si="1"/>
        <v>42624.25167824074</v>
      </c>
    </row>
    <row r="34" spans="1:7" x14ac:dyDescent="0.25">
      <c r="A34" s="8">
        <v>42624.253032407411</v>
      </c>
      <c r="B34" s="23" t="s">
        <v>179</v>
      </c>
      <c r="C34" s="23" t="s">
        <v>385</v>
      </c>
      <c r="D34" s="23">
        <v>2030000</v>
      </c>
      <c r="E34" s="23" t="s">
        <v>372</v>
      </c>
      <c r="F34" s="23" t="str">
        <f t="shared" si="0"/>
        <v>rtdc.l.rtdc.4026:itc</v>
      </c>
      <c r="G34" s="8">
        <f t="shared" si="1"/>
        <v>42624.253032407411</v>
      </c>
    </row>
    <row r="35" spans="1:7" x14ac:dyDescent="0.25">
      <c r="A35" s="8">
        <v>42624.256550925929</v>
      </c>
      <c r="B35" s="23" t="s">
        <v>337</v>
      </c>
      <c r="C35" s="23" t="s">
        <v>507</v>
      </c>
      <c r="D35" s="23">
        <v>1110000</v>
      </c>
      <c r="E35" s="23" t="s">
        <v>690</v>
      </c>
      <c r="F35" s="23" t="str">
        <f t="shared" si="0"/>
        <v>rtdc.l.rtdc.4002:itc</v>
      </c>
      <c r="G35" s="8">
        <f t="shared" si="1"/>
        <v>42624.256550925929</v>
      </c>
    </row>
    <row r="36" spans="1:7" x14ac:dyDescent="0.25">
      <c r="A36" s="8">
        <v>42624.257997685185</v>
      </c>
      <c r="B36" s="23" t="s">
        <v>687</v>
      </c>
      <c r="C36" s="23" t="s">
        <v>443</v>
      </c>
      <c r="D36" s="23">
        <v>2010000</v>
      </c>
      <c r="E36" s="23" t="s">
        <v>190</v>
      </c>
      <c r="F36" s="23" t="str">
        <f t="shared" si="0"/>
        <v>rtdc.l.rtdc.4027:itc</v>
      </c>
      <c r="G36" s="8">
        <f t="shared" si="1"/>
        <v>42624.257997685185</v>
      </c>
    </row>
    <row r="37" spans="1:7" x14ac:dyDescent="0.25">
      <c r="A37" s="8">
        <v>42624.258148148147</v>
      </c>
      <c r="B37" s="23" t="s">
        <v>89</v>
      </c>
      <c r="C37" s="23" t="s">
        <v>439</v>
      </c>
      <c r="D37" s="23">
        <v>1830000</v>
      </c>
      <c r="E37" s="23" t="s">
        <v>371</v>
      </c>
      <c r="F37" s="23" t="str">
        <f t="shared" si="0"/>
        <v>rtdc.l.rtdc.4030:itc</v>
      </c>
      <c r="G37" s="8">
        <f t="shared" si="1"/>
        <v>42624.258148148147</v>
      </c>
    </row>
    <row r="38" spans="1:7" x14ac:dyDescent="0.25">
      <c r="A38" s="8">
        <v>42624.259629629632</v>
      </c>
      <c r="B38" s="23" t="s">
        <v>305</v>
      </c>
      <c r="C38" s="23" t="s">
        <v>446</v>
      </c>
      <c r="D38" s="23">
        <v>1990000</v>
      </c>
      <c r="E38" s="23" t="s">
        <v>329</v>
      </c>
      <c r="F38" s="23" t="str">
        <f t="shared" si="0"/>
        <v>rtdc.l.rtdc.4040:itc</v>
      </c>
      <c r="G38" s="8">
        <f t="shared" si="1"/>
        <v>42624.259629629632</v>
      </c>
    </row>
    <row r="39" spans="1:7" x14ac:dyDescent="0.25">
      <c r="A39" s="8">
        <v>42624.270474537036</v>
      </c>
      <c r="B39" s="23" t="s">
        <v>132</v>
      </c>
      <c r="C39" s="23" t="s">
        <v>447</v>
      </c>
      <c r="D39" s="23">
        <v>1310000</v>
      </c>
      <c r="E39" s="23" t="s">
        <v>302</v>
      </c>
      <c r="F39" s="23" t="str">
        <f t="shared" si="0"/>
        <v>rtdc.l.rtdc.4009:itc</v>
      </c>
      <c r="G39" s="8">
        <f t="shared" si="1"/>
        <v>42624.270474537036</v>
      </c>
    </row>
    <row r="40" spans="1:7" x14ac:dyDescent="0.25">
      <c r="A40" s="8">
        <v>42624.272511574076</v>
      </c>
      <c r="B40" s="28" t="s">
        <v>169</v>
      </c>
      <c r="C40" s="23" t="s">
        <v>442</v>
      </c>
      <c r="D40" s="23">
        <v>1260000</v>
      </c>
      <c r="E40" s="23" t="s">
        <v>370</v>
      </c>
      <c r="F40" s="23" t="str">
        <f t="shared" si="0"/>
        <v>rtdc.l.rtdc.4019:itc</v>
      </c>
      <c r="G40" s="8">
        <f t="shared" si="1"/>
        <v>42624.272511574076</v>
      </c>
    </row>
    <row r="41" spans="1:7" x14ac:dyDescent="0.25">
      <c r="A41" s="8">
        <v>42624.276006944441</v>
      </c>
      <c r="B41" s="23" t="s">
        <v>338</v>
      </c>
      <c r="C41" s="23" t="s">
        <v>510</v>
      </c>
      <c r="D41" s="23">
        <v>1110000</v>
      </c>
      <c r="E41" s="23" t="s">
        <v>690</v>
      </c>
      <c r="F41" s="23" t="str">
        <f t="shared" si="0"/>
        <v>rtdc.l.rtdc.4001:itc</v>
      </c>
      <c r="G41" s="8">
        <f t="shared" si="1"/>
        <v>42624.276006944441</v>
      </c>
    </row>
    <row r="42" spans="1:7" x14ac:dyDescent="0.25">
      <c r="A42" s="8">
        <v>42624.286643518521</v>
      </c>
      <c r="B42" s="23" t="s">
        <v>308</v>
      </c>
      <c r="C42" s="23" t="s">
        <v>445</v>
      </c>
      <c r="D42" s="23">
        <v>2010000</v>
      </c>
      <c r="E42" s="23" t="s">
        <v>190</v>
      </c>
      <c r="F42" s="23" t="str">
        <f t="shared" si="0"/>
        <v>rtdc.l.rtdc.4028:itc</v>
      </c>
      <c r="G42" s="8">
        <f t="shared" si="1"/>
        <v>42624.286643518521</v>
      </c>
    </row>
    <row r="43" spans="1:7" x14ac:dyDescent="0.25">
      <c r="A43" s="8">
        <v>42624.287870370368</v>
      </c>
      <c r="B43" s="23" t="s">
        <v>186</v>
      </c>
      <c r="C43" s="23" t="s">
        <v>386</v>
      </c>
      <c r="D43" s="23">
        <v>1760000</v>
      </c>
      <c r="E43" s="23" t="s">
        <v>689</v>
      </c>
      <c r="F43" s="23" t="str">
        <f t="shared" si="0"/>
        <v>rtdc.l.rtdc.4042:itc</v>
      </c>
      <c r="G43" s="8">
        <f t="shared" si="1"/>
        <v>42624.287870370368</v>
      </c>
    </row>
    <row r="44" spans="1:7" x14ac:dyDescent="0.25">
      <c r="A44" s="8">
        <v>42624.290682870371</v>
      </c>
      <c r="B44" s="23" t="s">
        <v>178</v>
      </c>
      <c r="C44" s="23" t="s">
        <v>453</v>
      </c>
      <c r="D44" s="23">
        <v>2030000</v>
      </c>
      <c r="E44" s="23" t="s">
        <v>372</v>
      </c>
      <c r="F44" s="23" t="str">
        <f t="shared" si="0"/>
        <v>rtdc.l.rtdc.4025:itc</v>
      </c>
      <c r="G44" s="8">
        <f t="shared" si="1"/>
        <v>42624.290682870371</v>
      </c>
    </row>
    <row r="45" spans="1:7" x14ac:dyDescent="0.25">
      <c r="A45" s="8">
        <v>42624.290833333333</v>
      </c>
      <c r="B45" s="23" t="s">
        <v>266</v>
      </c>
      <c r="C45" s="23" t="s">
        <v>388</v>
      </c>
      <c r="D45" s="23">
        <v>1990000</v>
      </c>
      <c r="E45" s="23" t="s">
        <v>329</v>
      </c>
      <c r="F45" s="23" t="str">
        <f t="shared" si="0"/>
        <v>rtdc.l.rtdc.4039:itc</v>
      </c>
      <c r="G45" s="8">
        <f t="shared" si="1"/>
        <v>42624.290833333333</v>
      </c>
    </row>
    <row r="46" spans="1:7" x14ac:dyDescent="0.25">
      <c r="A46" s="8">
        <v>42624.297210648147</v>
      </c>
      <c r="B46" s="23" t="s">
        <v>369</v>
      </c>
      <c r="C46" s="23" t="s">
        <v>455</v>
      </c>
      <c r="D46" s="23">
        <v>1830000</v>
      </c>
      <c r="E46" s="23" t="s">
        <v>371</v>
      </c>
      <c r="F46" s="23" t="str">
        <f t="shared" si="0"/>
        <v>rtdc.l.rtdc.4029:itc</v>
      </c>
      <c r="G46" s="8">
        <f t="shared" si="1"/>
        <v>42624.297210648147</v>
      </c>
    </row>
    <row r="47" spans="1:7" x14ac:dyDescent="0.25">
      <c r="A47" s="8">
        <v>42624.303877314815</v>
      </c>
      <c r="B47" s="23" t="s">
        <v>337</v>
      </c>
      <c r="C47" s="23" t="s">
        <v>387</v>
      </c>
      <c r="D47" s="23">
        <v>1110000</v>
      </c>
      <c r="E47" s="23" t="s">
        <v>690</v>
      </c>
      <c r="F47" s="23" t="str">
        <f t="shared" si="0"/>
        <v>rtdc.l.rtdc.4002:itc</v>
      </c>
      <c r="G47" s="8">
        <f t="shared" si="1"/>
        <v>42624.303877314815</v>
      </c>
    </row>
    <row r="48" spans="1:7" x14ac:dyDescent="0.25">
      <c r="A48" s="8">
        <v>42624.307511574072</v>
      </c>
      <c r="B48" s="23" t="s">
        <v>185</v>
      </c>
      <c r="C48" s="23" t="s">
        <v>449</v>
      </c>
      <c r="D48" s="23">
        <v>1310000</v>
      </c>
      <c r="E48" s="23" t="s">
        <v>302</v>
      </c>
      <c r="F48" s="23" t="str">
        <f t="shared" si="0"/>
        <v>rtdc.l.rtdc.4010:itc</v>
      </c>
      <c r="G48" s="8">
        <f t="shared" si="1"/>
        <v>42624.307511574072</v>
      </c>
    </row>
    <row r="49" spans="1:7" x14ac:dyDescent="0.25">
      <c r="A49" s="8">
        <v>42624.30841435185</v>
      </c>
      <c r="B49" s="23" t="s">
        <v>170</v>
      </c>
      <c r="C49" s="23" t="s">
        <v>458</v>
      </c>
      <c r="D49" s="23">
        <v>1260000</v>
      </c>
      <c r="E49" s="23" t="s">
        <v>370</v>
      </c>
      <c r="F49" s="23" t="str">
        <f t="shared" si="0"/>
        <v>rtdc.l.rtdc.4020:itc</v>
      </c>
      <c r="G49" s="8">
        <f t="shared" si="1"/>
        <v>42624.30841435185</v>
      </c>
    </row>
    <row r="50" spans="1:7" x14ac:dyDescent="0.25">
      <c r="A50" s="8">
        <v>42624.317858796298</v>
      </c>
      <c r="B50" s="23" t="s">
        <v>184</v>
      </c>
      <c r="C50" s="23" t="s">
        <v>389</v>
      </c>
      <c r="D50" s="23">
        <v>1760000</v>
      </c>
      <c r="E50" s="23" t="s">
        <v>689</v>
      </c>
      <c r="F50" s="23" t="str">
        <f t="shared" si="0"/>
        <v>rtdc.l.rtdc.4041:itc</v>
      </c>
      <c r="G50" s="8">
        <f t="shared" si="1"/>
        <v>42624.317858796298</v>
      </c>
    </row>
    <row r="51" spans="1:7" x14ac:dyDescent="0.25">
      <c r="A51" s="8">
        <v>42624.318310185183</v>
      </c>
      <c r="B51" s="23" t="s">
        <v>687</v>
      </c>
      <c r="C51" s="23" t="s">
        <v>461</v>
      </c>
      <c r="D51" s="23">
        <v>2010000</v>
      </c>
      <c r="E51" s="23" t="s">
        <v>190</v>
      </c>
      <c r="F51" s="23" t="str">
        <f t="shared" si="0"/>
        <v>rtdc.l.rtdc.4027:itc</v>
      </c>
      <c r="G51" s="8">
        <f t="shared" si="1"/>
        <v>42624.318310185183</v>
      </c>
    </row>
    <row r="52" spans="1:7" x14ac:dyDescent="0.25">
      <c r="A52" s="8">
        <v>42624.31863425926</v>
      </c>
      <c r="B52" s="23" t="s">
        <v>338</v>
      </c>
      <c r="C52" s="23" t="s">
        <v>512</v>
      </c>
      <c r="D52" s="23">
        <v>1110000</v>
      </c>
      <c r="E52" s="23" t="s">
        <v>690</v>
      </c>
      <c r="F52" s="23" t="str">
        <f t="shared" si="0"/>
        <v>rtdc.l.rtdc.4001:itc</v>
      </c>
      <c r="G52" s="8">
        <f t="shared" si="1"/>
        <v>42624.31863425926</v>
      </c>
    </row>
    <row r="53" spans="1:7" x14ac:dyDescent="0.25">
      <c r="A53" s="8">
        <v>42624.324050925927</v>
      </c>
      <c r="B53" s="23" t="s">
        <v>179</v>
      </c>
      <c r="C53" s="23" t="s">
        <v>454</v>
      </c>
      <c r="D53" s="23">
        <v>2030000</v>
      </c>
      <c r="E53" s="23" t="s">
        <v>372</v>
      </c>
      <c r="F53" s="23" t="str">
        <f t="shared" si="0"/>
        <v>rtdc.l.rtdc.4026:itc</v>
      </c>
      <c r="G53" s="8">
        <f t="shared" si="1"/>
        <v>42624.324050925927</v>
      </c>
    </row>
    <row r="54" spans="1:7" x14ac:dyDescent="0.25">
      <c r="A54" s="8">
        <v>42624.328553240739</v>
      </c>
      <c r="B54" s="23" t="s">
        <v>89</v>
      </c>
      <c r="C54" s="23" t="s">
        <v>457</v>
      </c>
      <c r="D54" s="23">
        <v>1830000</v>
      </c>
      <c r="E54" s="23" t="s">
        <v>371</v>
      </c>
      <c r="F54" s="23" t="str">
        <f t="shared" si="0"/>
        <v>rtdc.l.rtdc.4030:itc</v>
      </c>
      <c r="G54" s="8">
        <f t="shared" si="1"/>
        <v>42624.328553240739</v>
      </c>
    </row>
    <row r="55" spans="1:7" x14ac:dyDescent="0.25">
      <c r="A55" s="8">
        <v>42624.328819444447</v>
      </c>
      <c r="B55" s="23" t="s">
        <v>305</v>
      </c>
      <c r="C55" s="23" t="s">
        <v>465</v>
      </c>
      <c r="D55" s="23">
        <v>1990000</v>
      </c>
      <c r="E55" s="23" t="s">
        <v>329</v>
      </c>
      <c r="F55" s="23" t="str">
        <f t="shared" si="0"/>
        <v>rtdc.l.rtdc.4040:itc</v>
      </c>
      <c r="G55" s="8">
        <f t="shared" si="1"/>
        <v>42624.328819444447</v>
      </c>
    </row>
    <row r="56" spans="1:7" x14ac:dyDescent="0.25">
      <c r="A56" s="8">
        <v>42624.343298611115</v>
      </c>
      <c r="B56" s="23" t="s">
        <v>132</v>
      </c>
      <c r="C56" s="23" t="s">
        <v>468</v>
      </c>
      <c r="D56" s="23">
        <v>1310000</v>
      </c>
      <c r="E56" s="23" t="s">
        <v>302</v>
      </c>
      <c r="F56" s="23" t="str">
        <f t="shared" si="0"/>
        <v>rtdc.l.rtdc.4009:itc</v>
      </c>
      <c r="G56" s="8">
        <f t="shared" si="1"/>
        <v>42624.343298611115</v>
      </c>
    </row>
    <row r="57" spans="1:7" x14ac:dyDescent="0.25">
      <c r="A57" s="8">
        <v>42624.345532407409</v>
      </c>
      <c r="B57" s="23" t="s">
        <v>337</v>
      </c>
      <c r="C57" s="23" t="s">
        <v>514</v>
      </c>
      <c r="D57" s="23">
        <v>1110000</v>
      </c>
      <c r="E57" s="23" t="s">
        <v>690</v>
      </c>
      <c r="F57" s="23" t="str">
        <f t="shared" si="0"/>
        <v>rtdc.l.rtdc.4002:itc</v>
      </c>
      <c r="G57" s="8">
        <f t="shared" si="1"/>
        <v>42624.345532407409</v>
      </c>
    </row>
    <row r="58" spans="1:7" x14ac:dyDescent="0.25">
      <c r="A58" s="8">
        <v>42624.346238425926</v>
      </c>
      <c r="B58" s="23" t="s">
        <v>169</v>
      </c>
      <c r="C58" s="23" t="s">
        <v>460</v>
      </c>
      <c r="D58" s="23">
        <v>1260000</v>
      </c>
      <c r="E58" s="23" t="s">
        <v>370</v>
      </c>
      <c r="F58" s="23" t="str">
        <f t="shared" si="0"/>
        <v>rtdc.l.rtdc.4019:itc</v>
      </c>
      <c r="G58" s="8">
        <f t="shared" si="1"/>
        <v>42624.346238425926</v>
      </c>
    </row>
    <row r="59" spans="1:7" x14ac:dyDescent="0.25">
      <c r="A59" s="8">
        <v>42624.350590277776</v>
      </c>
      <c r="B59" s="23" t="s">
        <v>186</v>
      </c>
      <c r="C59" s="23" t="s">
        <v>390</v>
      </c>
      <c r="D59" s="23">
        <v>1760000</v>
      </c>
      <c r="E59" s="23" t="s">
        <v>689</v>
      </c>
      <c r="F59" s="23" t="str">
        <f t="shared" si="0"/>
        <v>rtdc.l.rtdc.4042:itc</v>
      </c>
      <c r="G59" s="8">
        <f t="shared" si="1"/>
        <v>42624.350590277776</v>
      </c>
    </row>
    <row r="60" spans="1:7" x14ac:dyDescent="0.25">
      <c r="A60" s="8">
        <v>42624.353576388887</v>
      </c>
      <c r="B60" s="23" t="s">
        <v>308</v>
      </c>
      <c r="C60" s="23" t="s">
        <v>463</v>
      </c>
      <c r="D60" s="23">
        <v>2010000</v>
      </c>
      <c r="E60" s="23" t="s">
        <v>190</v>
      </c>
      <c r="F60" s="23" t="str">
        <f t="shared" si="0"/>
        <v>rtdc.l.rtdc.4028:itc</v>
      </c>
      <c r="G60" s="8">
        <f t="shared" si="1"/>
        <v>42624.353576388887</v>
      </c>
    </row>
    <row r="61" spans="1:7" x14ac:dyDescent="0.25">
      <c r="A61" s="8">
        <v>42624.359340277777</v>
      </c>
      <c r="B61" s="23" t="s">
        <v>338</v>
      </c>
      <c r="C61" s="23" t="s">
        <v>516</v>
      </c>
      <c r="D61" s="23">
        <v>1110000</v>
      </c>
      <c r="E61" s="23" t="s">
        <v>690</v>
      </c>
      <c r="F61" s="23" t="str">
        <f t="shared" si="0"/>
        <v>rtdc.l.rtdc.4001:itc</v>
      </c>
      <c r="G61" s="8">
        <f t="shared" si="1"/>
        <v>42624.359340277777</v>
      </c>
    </row>
    <row r="62" spans="1:7" x14ac:dyDescent="0.25">
      <c r="A62" s="8">
        <v>42624.361631944441</v>
      </c>
      <c r="B62" s="23" t="s">
        <v>178</v>
      </c>
      <c r="C62" s="23" t="s">
        <v>473</v>
      </c>
      <c r="D62" s="23">
        <v>2030000</v>
      </c>
      <c r="E62" s="23" t="s">
        <v>372</v>
      </c>
      <c r="F62" s="23" t="str">
        <f t="shared" si="0"/>
        <v>rtdc.l.rtdc.4025:itc</v>
      </c>
      <c r="G62" s="8">
        <f t="shared" si="1"/>
        <v>42624.361631944441</v>
      </c>
    </row>
    <row r="63" spans="1:7" x14ac:dyDescent="0.25">
      <c r="A63" s="8">
        <v>42624.367164351854</v>
      </c>
      <c r="B63" s="23" t="s">
        <v>266</v>
      </c>
      <c r="C63" s="23" t="s">
        <v>467</v>
      </c>
      <c r="D63" s="23">
        <v>1990000</v>
      </c>
      <c r="E63" s="23" t="s">
        <v>329</v>
      </c>
      <c r="F63" s="23" t="str">
        <f t="shared" si="0"/>
        <v>rtdc.l.rtdc.4039:itc</v>
      </c>
      <c r="G63" s="8">
        <f t="shared" si="1"/>
        <v>42624.367164351854</v>
      </c>
    </row>
    <row r="64" spans="1:7" x14ac:dyDescent="0.25">
      <c r="A64" s="29">
        <v>42624.367905092593</v>
      </c>
      <c r="B64" s="23" t="s">
        <v>266</v>
      </c>
      <c r="C64" s="23" t="s">
        <v>467</v>
      </c>
      <c r="D64" s="23">
        <v>1990000</v>
      </c>
      <c r="E64" s="23" t="s">
        <v>329</v>
      </c>
      <c r="F64" s="23" t="str">
        <f t="shared" si="0"/>
        <v>rtdc.l.rtdc.4039:itc</v>
      </c>
      <c r="G64" s="8">
        <f t="shared" si="1"/>
        <v>42624.367905092593</v>
      </c>
    </row>
    <row r="65" spans="1:7" x14ac:dyDescent="0.25">
      <c r="A65" s="8">
        <v>42624.368356481478</v>
      </c>
      <c r="B65" s="23" t="s">
        <v>369</v>
      </c>
      <c r="C65" s="23" t="s">
        <v>474</v>
      </c>
      <c r="D65" s="23">
        <v>1830000</v>
      </c>
      <c r="E65" s="23" t="s">
        <v>371</v>
      </c>
      <c r="F65" s="23" t="str">
        <f t="shared" si="0"/>
        <v>rtdc.l.rtdc.4029:itc</v>
      </c>
      <c r="G65" s="8">
        <f t="shared" si="1"/>
        <v>42624.368356481478</v>
      </c>
    </row>
    <row r="66" spans="1:7" x14ac:dyDescent="0.25">
      <c r="A66" s="8">
        <v>42624.380624999998</v>
      </c>
      <c r="B66" s="23" t="s">
        <v>170</v>
      </c>
      <c r="C66" s="23" t="s">
        <v>477</v>
      </c>
      <c r="D66" s="23">
        <v>1260000</v>
      </c>
      <c r="E66" s="23" t="s">
        <v>370</v>
      </c>
      <c r="F66" s="23" t="str">
        <f t="shared" ref="F66:F129" si="2">B66</f>
        <v>rtdc.l.rtdc.4020:itc</v>
      </c>
      <c r="G66" s="8">
        <f t="shared" ref="G66:G129" si="3">A66</f>
        <v>42624.380624999998</v>
      </c>
    </row>
    <row r="67" spans="1:7" x14ac:dyDescent="0.25">
      <c r="A67" s="8">
        <v>42624.381643518522</v>
      </c>
      <c r="B67" s="23" t="s">
        <v>185</v>
      </c>
      <c r="C67" s="23" t="s">
        <v>391</v>
      </c>
      <c r="D67" s="23">
        <v>1310000</v>
      </c>
      <c r="E67" s="23" t="s">
        <v>302</v>
      </c>
      <c r="F67" s="23" t="str">
        <f t="shared" si="2"/>
        <v>rtdc.l.rtdc.4010:itc</v>
      </c>
      <c r="G67" s="8">
        <f t="shared" si="3"/>
        <v>42624.381643518522</v>
      </c>
    </row>
    <row r="68" spans="1:7" x14ac:dyDescent="0.25">
      <c r="A68" s="8">
        <v>42624.38790509259</v>
      </c>
      <c r="B68" s="23" t="s">
        <v>337</v>
      </c>
      <c r="C68" s="23" t="s">
        <v>519</v>
      </c>
      <c r="D68" s="23">
        <v>1110000</v>
      </c>
      <c r="E68" s="23" t="s">
        <v>690</v>
      </c>
      <c r="F68" s="23" t="str">
        <f t="shared" si="2"/>
        <v>rtdc.l.rtdc.4002:itc</v>
      </c>
      <c r="G68" s="8">
        <f t="shared" si="3"/>
        <v>42624.38790509259</v>
      </c>
    </row>
    <row r="69" spans="1:7" x14ac:dyDescent="0.25">
      <c r="A69" s="8">
        <v>42624.38858796296</v>
      </c>
      <c r="B69" s="23" t="s">
        <v>184</v>
      </c>
      <c r="C69" s="23" t="s">
        <v>392</v>
      </c>
      <c r="D69" s="23">
        <v>1760000</v>
      </c>
      <c r="E69" s="23" t="s">
        <v>689</v>
      </c>
      <c r="F69" s="23" t="str">
        <f t="shared" si="2"/>
        <v>rtdc.l.rtdc.4041:itc</v>
      </c>
      <c r="G69" s="8">
        <f t="shared" si="3"/>
        <v>42624.38858796296</v>
      </c>
    </row>
    <row r="70" spans="1:7" x14ac:dyDescent="0.25">
      <c r="A70" s="8">
        <v>42624.392789351848</v>
      </c>
      <c r="B70" s="23" t="s">
        <v>687</v>
      </c>
      <c r="C70" s="23" t="s">
        <v>479</v>
      </c>
      <c r="D70" s="23">
        <v>2010000</v>
      </c>
      <c r="E70" s="23" t="s">
        <v>190</v>
      </c>
      <c r="F70" s="23" t="str">
        <f t="shared" si="2"/>
        <v>rtdc.l.rtdc.4027:itc</v>
      </c>
      <c r="G70" s="8">
        <f t="shared" si="3"/>
        <v>42624.392789351848</v>
      </c>
    </row>
    <row r="71" spans="1:7" x14ac:dyDescent="0.25">
      <c r="A71" s="8">
        <v>42624.396481481483</v>
      </c>
      <c r="B71" s="23" t="s">
        <v>179</v>
      </c>
      <c r="C71" s="23" t="s">
        <v>393</v>
      </c>
      <c r="D71" s="23">
        <v>2030000</v>
      </c>
      <c r="E71" s="23" t="s">
        <v>372</v>
      </c>
      <c r="F71" s="23" t="str">
        <f t="shared" si="2"/>
        <v>rtdc.l.rtdc.4026:itc</v>
      </c>
      <c r="G71" s="8">
        <f t="shared" si="3"/>
        <v>42624.396481481483</v>
      </c>
    </row>
    <row r="72" spans="1:7" x14ac:dyDescent="0.25">
      <c r="A72" s="8">
        <v>42624.397581018522</v>
      </c>
      <c r="B72" s="23" t="s">
        <v>184</v>
      </c>
      <c r="C72" s="23" t="s">
        <v>392</v>
      </c>
      <c r="D72" s="23">
        <v>1760000</v>
      </c>
      <c r="E72" s="23" t="s">
        <v>689</v>
      </c>
      <c r="F72" s="23" t="str">
        <f t="shared" si="2"/>
        <v>rtdc.l.rtdc.4041:itc</v>
      </c>
      <c r="G72" s="8">
        <f t="shared" si="3"/>
        <v>42624.397581018522</v>
      </c>
    </row>
    <row r="73" spans="1:7" x14ac:dyDescent="0.25">
      <c r="A73" s="8">
        <v>42624.402025462965</v>
      </c>
      <c r="B73" s="23" t="s">
        <v>338</v>
      </c>
      <c r="C73" s="23" t="s">
        <v>519</v>
      </c>
      <c r="D73" s="23">
        <v>1110000</v>
      </c>
      <c r="E73" s="23" t="s">
        <v>690</v>
      </c>
      <c r="F73" s="23" t="str">
        <f t="shared" si="2"/>
        <v>rtdc.l.rtdc.4001:itc</v>
      </c>
      <c r="G73" s="8">
        <f t="shared" si="3"/>
        <v>42624.402025462965</v>
      </c>
    </row>
    <row r="74" spans="1:7" x14ac:dyDescent="0.25">
      <c r="A74" s="8">
        <v>42624.402384259258</v>
      </c>
      <c r="B74" s="23" t="s">
        <v>89</v>
      </c>
      <c r="C74" s="23" t="s">
        <v>476</v>
      </c>
      <c r="D74" s="23">
        <v>1830000</v>
      </c>
      <c r="E74" s="23" t="s">
        <v>371</v>
      </c>
      <c r="F74" s="23" t="str">
        <f t="shared" si="2"/>
        <v>rtdc.l.rtdc.4030:itc</v>
      </c>
      <c r="G74" s="8">
        <f t="shared" si="3"/>
        <v>42624.402384259258</v>
      </c>
    </row>
    <row r="75" spans="1:7" x14ac:dyDescent="0.25">
      <c r="A75" s="8">
        <v>42624.402615740742</v>
      </c>
      <c r="B75" s="23" t="s">
        <v>338</v>
      </c>
      <c r="C75" s="23" t="s">
        <v>522</v>
      </c>
      <c r="D75" s="23">
        <v>1110000</v>
      </c>
      <c r="E75" s="23" t="s">
        <v>690</v>
      </c>
      <c r="F75" s="23" t="str">
        <f t="shared" si="2"/>
        <v>rtdc.l.rtdc.4001:itc</v>
      </c>
      <c r="G75" s="8">
        <f t="shared" si="3"/>
        <v>42624.402615740742</v>
      </c>
    </row>
    <row r="76" spans="1:7" x14ac:dyDescent="0.25">
      <c r="A76" s="8">
        <v>42624.404467592591</v>
      </c>
      <c r="B76" s="23" t="s">
        <v>305</v>
      </c>
      <c r="C76" s="23" t="s">
        <v>481</v>
      </c>
      <c r="D76" s="23">
        <v>1990000</v>
      </c>
      <c r="E76" s="23" t="s">
        <v>329</v>
      </c>
      <c r="F76" s="23" t="str">
        <f t="shared" si="2"/>
        <v>rtdc.l.rtdc.4040:itc</v>
      </c>
      <c r="G76" s="8">
        <f t="shared" si="3"/>
        <v>42624.404467592591</v>
      </c>
    </row>
    <row r="77" spans="1:7" x14ac:dyDescent="0.25">
      <c r="A77" s="8">
        <v>42624.415625000001</v>
      </c>
      <c r="B77" s="23" t="s">
        <v>132</v>
      </c>
      <c r="C77" s="23" t="s">
        <v>483</v>
      </c>
      <c r="D77" s="23">
        <v>1310000</v>
      </c>
      <c r="E77" s="23" t="s">
        <v>302</v>
      </c>
      <c r="F77" s="23" t="str">
        <f t="shared" si="2"/>
        <v>rtdc.l.rtdc.4009:itc</v>
      </c>
      <c r="G77" s="8">
        <f t="shared" si="3"/>
        <v>42624.415625000001</v>
      </c>
    </row>
    <row r="78" spans="1:7" x14ac:dyDescent="0.25">
      <c r="A78" s="8">
        <v>42624.418935185182</v>
      </c>
      <c r="B78" s="23" t="s">
        <v>169</v>
      </c>
      <c r="C78" s="23" t="s">
        <v>478</v>
      </c>
      <c r="D78" s="23">
        <v>1260000</v>
      </c>
      <c r="E78" s="23" t="s">
        <v>370</v>
      </c>
      <c r="F78" s="23" t="str">
        <f t="shared" si="2"/>
        <v>rtdc.l.rtdc.4019:itc</v>
      </c>
      <c r="G78" s="8">
        <f t="shared" si="3"/>
        <v>42624.418935185182</v>
      </c>
    </row>
    <row r="79" spans="1:7" x14ac:dyDescent="0.25">
      <c r="A79" s="8">
        <v>42624.423784722225</v>
      </c>
      <c r="B79" s="23" t="s">
        <v>337</v>
      </c>
      <c r="C79" s="23" t="s">
        <v>524</v>
      </c>
      <c r="D79" s="23">
        <v>1110000</v>
      </c>
      <c r="E79" s="23" t="s">
        <v>690</v>
      </c>
      <c r="F79" s="23" t="str">
        <f t="shared" si="2"/>
        <v>rtdc.l.rtdc.4002:itc</v>
      </c>
      <c r="G79" s="8">
        <f t="shared" si="3"/>
        <v>42624.423784722225</v>
      </c>
    </row>
    <row r="80" spans="1:7" x14ac:dyDescent="0.25">
      <c r="A80" s="8">
        <v>42624.425011574072</v>
      </c>
      <c r="B80" s="23" t="s">
        <v>186</v>
      </c>
      <c r="C80" s="23" t="s">
        <v>394</v>
      </c>
      <c r="D80" s="23">
        <v>1760000</v>
      </c>
      <c r="E80" s="23" t="s">
        <v>689</v>
      </c>
      <c r="F80" s="23" t="str">
        <f t="shared" si="2"/>
        <v>rtdc.l.rtdc.4042:itc</v>
      </c>
      <c r="G80" s="8">
        <f t="shared" si="3"/>
        <v>42624.425011574072</v>
      </c>
    </row>
    <row r="81" spans="1:7" x14ac:dyDescent="0.25">
      <c r="A81" s="8">
        <v>42624.43041666667</v>
      </c>
      <c r="B81" s="23" t="s">
        <v>308</v>
      </c>
      <c r="C81" s="23" t="s">
        <v>480</v>
      </c>
      <c r="D81" s="23">
        <v>2010000</v>
      </c>
      <c r="E81" s="23" t="s">
        <v>190</v>
      </c>
      <c r="F81" s="23" t="str">
        <f t="shared" si="2"/>
        <v>rtdc.l.rtdc.4028:itc</v>
      </c>
      <c r="G81" s="8">
        <f t="shared" si="3"/>
        <v>42624.43041666667</v>
      </c>
    </row>
    <row r="82" spans="1:7" x14ac:dyDescent="0.25">
      <c r="A82" s="8">
        <v>42624.436469907407</v>
      </c>
      <c r="B82" s="23" t="s">
        <v>178</v>
      </c>
      <c r="C82" s="23" t="s">
        <v>486</v>
      </c>
      <c r="D82" s="23">
        <v>930000</v>
      </c>
      <c r="E82" s="23" t="s">
        <v>331</v>
      </c>
      <c r="F82" s="23" t="str">
        <f t="shared" si="2"/>
        <v>rtdc.l.rtdc.4025:itc</v>
      </c>
      <c r="G82" s="8">
        <f t="shared" si="3"/>
        <v>42624.436469907407</v>
      </c>
    </row>
    <row r="83" spans="1:7" x14ac:dyDescent="0.25">
      <c r="A83" s="8">
        <v>42624.441388888888</v>
      </c>
      <c r="B83" s="23" t="s">
        <v>266</v>
      </c>
      <c r="C83" s="23" t="s">
        <v>482</v>
      </c>
      <c r="D83" s="23">
        <v>1990000</v>
      </c>
      <c r="E83" s="23" t="s">
        <v>329</v>
      </c>
      <c r="F83" s="23" t="str">
        <f t="shared" si="2"/>
        <v>rtdc.l.rtdc.4039:itc</v>
      </c>
      <c r="G83" s="8">
        <f t="shared" si="3"/>
        <v>42624.441388888888</v>
      </c>
    </row>
    <row r="84" spans="1:7" x14ac:dyDescent="0.25">
      <c r="A84" s="8">
        <v>42624.442071759258</v>
      </c>
      <c r="B84" s="23" t="s">
        <v>338</v>
      </c>
      <c r="C84" s="23" t="s">
        <v>395</v>
      </c>
      <c r="D84" s="23">
        <v>1110000</v>
      </c>
      <c r="E84" s="23" t="s">
        <v>690</v>
      </c>
      <c r="F84" s="23" t="str">
        <f t="shared" si="2"/>
        <v>rtdc.l.rtdc.4001:itc</v>
      </c>
      <c r="G84" s="8">
        <f t="shared" si="3"/>
        <v>42624.442071759258</v>
      </c>
    </row>
    <row r="85" spans="1:7" x14ac:dyDescent="0.25">
      <c r="A85" s="8">
        <v>42624.442314814813</v>
      </c>
      <c r="B85" s="23" t="s">
        <v>369</v>
      </c>
      <c r="C85" s="23" t="s">
        <v>488</v>
      </c>
      <c r="D85" s="23">
        <v>1830000</v>
      </c>
      <c r="E85" s="23" t="s">
        <v>371</v>
      </c>
      <c r="F85" s="23" t="str">
        <f t="shared" si="2"/>
        <v>rtdc.l.rtdc.4029:itc</v>
      </c>
      <c r="G85" s="8">
        <f t="shared" si="3"/>
        <v>42624.442314814813</v>
      </c>
    </row>
    <row r="86" spans="1:7" x14ac:dyDescent="0.25">
      <c r="A86" s="8">
        <v>42624.454236111109</v>
      </c>
      <c r="B86" s="23" t="s">
        <v>185</v>
      </c>
      <c r="C86" s="23" t="s">
        <v>484</v>
      </c>
      <c r="D86" s="23">
        <v>1310000</v>
      </c>
      <c r="E86" s="23" t="s">
        <v>302</v>
      </c>
      <c r="F86" s="23" t="str">
        <f t="shared" si="2"/>
        <v>rtdc.l.rtdc.4010:itc</v>
      </c>
      <c r="G86" s="8">
        <f t="shared" si="3"/>
        <v>42624.454236111109</v>
      </c>
    </row>
    <row r="87" spans="1:7" x14ac:dyDescent="0.25">
      <c r="A87" s="8">
        <v>42624.457314814812</v>
      </c>
      <c r="B87" s="23" t="s">
        <v>337</v>
      </c>
      <c r="C87" s="23" t="s">
        <v>528</v>
      </c>
      <c r="D87" s="23">
        <v>1110000</v>
      </c>
      <c r="E87" s="23" t="s">
        <v>690</v>
      </c>
      <c r="F87" s="23" t="str">
        <f t="shared" si="2"/>
        <v>rtdc.l.rtdc.4002:itc</v>
      </c>
      <c r="G87" s="8">
        <f t="shared" si="3"/>
        <v>42624.457314814812</v>
      </c>
    </row>
    <row r="88" spans="1:7" x14ac:dyDescent="0.25">
      <c r="A88" s="8">
        <v>42624.458333333336</v>
      </c>
      <c r="B88" s="23" t="s">
        <v>170</v>
      </c>
      <c r="C88" s="23" t="s">
        <v>490</v>
      </c>
      <c r="D88" s="23">
        <v>880000</v>
      </c>
      <c r="E88" s="23" t="s">
        <v>330</v>
      </c>
      <c r="F88" s="23" t="str">
        <f t="shared" si="2"/>
        <v>rtdc.l.rtdc.4020:itc</v>
      </c>
      <c r="G88" s="8">
        <f t="shared" si="3"/>
        <v>42624.458333333336</v>
      </c>
    </row>
    <row r="89" spans="1:7" x14ac:dyDescent="0.25">
      <c r="A89" s="8">
        <v>42624.461331018516</v>
      </c>
      <c r="B89" s="23" t="s">
        <v>184</v>
      </c>
      <c r="C89" s="23" t="s">
        <v>396</v>
      </c>
      <c r="D89" s="23">
        <v>1760000</v>
      </c>
      <c r="E89" s="23" t="s">
        <v>689</v>
      </c>
      <c r="F89" s="23" t="str">
        <f t="shared" si="2"/>
        <v>rtdc.l.rtdc.4041:itc</v>
      </c>
      <c r="G89" s="8">
        <f t="shared" si="3"/>
        <v>42624.461331018516</v>
      </c>
    </row>
    <row r="90" spans="1:7" x14ac:dyDescent="0.25">
      <c r="A90" s="8">
        <v>42624.472905092596</v>
      </c>
      <c r="B90" s="23" t="s">
        <v>179</v>
      </c>
      <c r="C90" s="23" t="s">
        <v>487</v>
      </c>
      <c r="D90" s="23">
        <v>930000</v>
      </c>
      <c r="E90" s="23" t="s">
        <v>331</v>
      </c>
      <c r="F90" s="23" t="str">
        <f t="shared" si="2"/>
        <v>rtdc.l.rtdc.4026:itc</v>
      </c>
      <c r="G90" s="8">
        <f t="shared" si="3"/>
        <v>42624.472905092596</v>
      </c>
    </row>
    <row r="91" spans="1:7" x14ac:dyDescent="0.25">
      <c r="A91" s="8">
        <v>42624.473622685182</v>
      </c>
      <c r="B91" s="23" t="s">
        <v>89</v>
      </c>
      <c r="C91" s="23" t="s">
        <v>489</v>
      </c>
      <c r="D91" s="23">
        <v>1830000</v>
      </c>
      <c r="E91" s="23" t="s">
        <v>371</v>
      </c>
      <c r="F91" s="23" t="str">
        <f t="shared" si="2"/>
        <v>rtdc.l.rtdc.4030:itc</v>
      </c>
      <c r="G91" s="8">
        <f t="shared" si="3"/>
        <v>42624.473622685182</v>
      </c>
    </row>
    <row r="92" spans="1:7" x14ac:dyDescent="0.25">
      <c r="A92" s="8">
        <v>42624.483576388891</v>
      </c>
      <c r="B92" s="23" t="s">
        <v>338</v>
      </c>
      <c r="C92" s="23" t="s">
        <v>531</v>
      </c>
      <c r="D92" s="23">
        <v>1110000</v>
      </c>
      <c r="E92" s="23" t="s">
        <v>690</v>
      </c>
      <c r="F92" s="23" t="str">
        <f t="shared" si="2"/>
        <v>rtdc.l.rtdc.4001:itc</v>
      </c>
      <c r="G92" s="8">
        <f t="shared" si="3"/>
        <v>42624.483576388891</v>
      </c>
    </row>
    <row r="93" spans="1:7" x14ac:dyDescent="0.25">
      <c r="A93" s="8">
        <v>42624.495335648149</v>
      </c>
      <c r="B93" s="23" t="s">
        <v>169</v>
      </c>
      <c r="C93" s="23" t="s">
        <v>491</v>
      </c>
      <c r="D93" s="23">
        <v>880000</v>
      </c>
      <c r="E93" s="23" t="s">
        <v>330</v>
      </c>
      <c r="F93" s="23" t="str">
        <f t="shared" si="2"/>
        <v>rtdc.l.rtdc.4019:itc</v>
      </c>
      <c r="G93" s="8">
        <f t="shared" si="3"/>
        <v>42624.495335648149</v>
      </c>
    </row>
    <row r="94" spans="1:7" x14ac:dyDescent="0.25">
      <c r="A94" s="8">
        <v>42624.498715277776</v>
      </c>
      <c r="B94" s="23" t="s">
        <v>308</v>
      </c>
      <c r="C94" s="23" t="s">
        <v>492</v>
      </c>
      <c r="D94" s="23">
        <v>1280000</v>
      </c>
      <c r="E94" s="23" t="s">
        <v>373</v>
      </c>
      <c r="F94" s="23" t="str">
        <f t="shared" si="2"/>
        <v>rtdc.l.rtdc.4028:itc</v>
      </c>
      <c r="G94" s="8">
        <f t="shared" si="3"/>
        <v>42624.498715277776</v>
      </c>
    </row>
    <row r="95" spans="1:7" x14ac:dyDescent="0.25">
      <c r="A95" s="8">
        <v>42624.509305555555</v>
      </c>
      <c r="B95" s="23" t="s">
        <v>178</v>
      </c>
      <c r="C95" s="23" t="s">
        <v>497</v>
      </c>
      <c r="D95" s="23">
        <v>930000</v>
      </c>
      <c r="E95" s="23" t="s">
        <v>331</v>
      </c>
      <c r="F95" s="23" t="str">
        <f t="shared" si="2"/>
        <v>rtdc.l.rtdc.4025:itc</v>
      </c>
      <c r="G95" s="8">
        <f t="shared" si="3"/>
        <v>42624.509305555555</v>
      </c>
    </row>
    <row r="96" spans="1:7" x14ac:dyDescent="0.25">
      <c r="A96" s="8">
        <v>42624.510509259257</v>
      </c>
      <c r="B96" s="23" t="s">
        <v>337</v>
      </c>
      <c r="C96" s="23" t="s">
        <v>531</v>
      </c>
      <c r="D96" s="23">
        <v>1110000</v>
      </c>
      <c r="E96" s="23" t="s">
        <v>690</v>
      </c>
      <c r="F96" s="23" t="str">
        <f t="shared" si="2"/>
        <v>rtdc.l.rtdc.4002:itc</v>
      </c>
      <c r="G96" s="8">
        <f t="shared" si="3"/>
        <v>42624.510509259257</v>
      </c>
    </row>
    <row r="97" spans="1:7" x14ac:dyDescent="0.25">
      <c r="A97" s="8">
        <v>42624.511377314811</v>
      </c>
      <c r="B97" s="23" t="s">
        <v>337</v>
      </c>
      <c r="C97" s="23" t="s">
        <v>534</v>
      </c>
      <c r="D97" s="23">
        <v>1110000</v>
      </c>
      <c r="E97" s="23" t="s">
        <v>690</v>
      </c>
      <c r="F97" s="23" t="str">
        <f t="shared" si="2"/>
        <v>rtdc.l.rtdc.4002:itc</v>
      </c>
      <c r="G97" s="8">
        <f t="shared" si="3"/>
        <v>42624.511377314811</v>
      </c>
    </row>
    <row r="98" spans="1:7" x14ac:dyDescent="0.25">
      <c r="A98" s="8">
        <v>42624.512407407405</v>
      </c>
      <c r="B98" s="23" t="s">
        <v>266</v>
      </c>
      <c r="C98" s="23" t="s">
        <v>493</v>
      </c>
      <c r="D98" s="23">
        <v>1770000</v>
      </c>
      <c r="E98" s="23" t="s">
        <v>374</v>
      </c>
      <c r="F98" s="23" t="str">
        <f t="shared" si="2"/>
        <v>rtdc.l.rtdc.4039:itc</v>
      </c>
      <c r="G98" s="8">
        <f t="shared" si="3"/>
        <v>42624.512407407405</v>
      </c>
    </row>
    <row r="99" spans="1:7" x14ac:dyDescent="0.25">
      <c r="A99" s="8">
        <v>42624.518333333333</v>
      </c>
      <c r="B99" s="23" t="s">
        <v>369</v>
      </c>
      <c r="C99" s="23" t="s">
        <v>499</v>
      </c>
      <c r="D99" s="23">
        <v>2020000</v>
      </c>
      <c r="E99" s="23" t="s">
        <v>303</v>
      </c>
      <c r="F99" s="23" t="str">
        <f t="shared" si="2"/>
        <v>rtdc.l.rtdc.4029:itc</v>
      </c>
      <c r="G99" s="8">
        <f t="shared" si="3"/>
        <v>42624.518333333333</v>
      </c>
    </row>
    <row r="100" spans="1:7" x14ac:dyDescent="0.25">
      <c r="A100" s="8">
        <v>42624.525416666664</v>
      </c>
      <c r="B100" s="23" t="s">
        <v>338</v>
      </c>
      <c r="C100" s="23" t="s">
        <v>531</v>
      </c>
      <c r="D100" s="23">
        <v>1110000</v>
      </c>
      <c r="E100" s="23" t="s">
        <v>690</v>
      </c>
      <c r="F100" s="23" t="str">
        <f t="shared" si="2"/>
        <v>rtdc.l.rtdc.4001:itc</v>
      </c>
      <c r="G100" s="8">
        <f t="shared" si="3"/>
        <v>42624.525416666664</v>
      </c>
    </row>
    <row r="101" spans="1:7" x14ac:dyDescent="0.25">
      <c r="A101" s="8">
        <v>42624.526365740741</v>
      </c>
      <c r="B101" s="23" t="s">
        <v>185</v>
      </c>
      <c r="C101" s="23" t="s">
        <v>494</v>
      </c>
      <c r="D101" s="23">
        <v>2040000</v>
      </c>
      <c r="E101" s="23" t="s">
        <v>192</v>
      </c>
      <c r="F101" s="23" t="str">
        <f t="shared" si="2"/>
        <v>rtdc.l.rtdc.4010:itc</v>
      </c>
      <c r="G101" s="8">
        <f t="shared" si="3"/>
        <v>42624.526365740741</v>
      </c>
    </row>
    <row r="102" spans="1:7" x14ac:dyDescent="0.25">
      <c r="A102" s="8">
        <v>42624.530185185184</v>
      </c>
      <c r="B102" s="23" t="s">
        <v>184</v>
      </c>
      <c r="C102" s="23" t="s">
        <v>496</v>
      </c>
      <c r="D102" s="23">
        <v>1760000</v>
      </c>
      <c r="E102" s="23" t="s">
        <v>689</v>
      </c>
      <c r="F102" s="23" t="str">
        <f t="shared" si="2"/>
        <v>rtdc.l.rtdc.4041:itc</v>
      </c>
      <c r="G102" s="8">
        <f t="shared" si="3"/>
        <v>42624.530185185184</v>
      </c>
    </row>
    <row r="103" spans="1:7" x14ac:dyDescent="0.25">
      <c r="A103" s="8">
        <v>42624.532407407409</v>
      </c>
      <c r="B103" s="23" t="s">
        <v>170</v>
      </c>
      <c r="C103" s="23" t="s">
        <v>397</v>
      </c>
      <c r="D103" s="23">
        <v>880000</v>
      </c>
      <c r="E103" s="23" t="s">
        <v>330</v>
      </c>
      <c r="F103" s="23" t="str">
        <f t="shared" si="2"/>
        <v>rtdc.l.rtdc.4020:itc</v>
      </c>
      <c r="G103" s="8">
        <f t="shared" si="3"/>
        <v>42624.532407407409</v>
      </c>
    </row>
    <row r="104" spans="1:7" x14ac:dyDescent="0.25">
      <c r="A104" s="8">
        <v>42624.545358796298</v>
      </c>
      <c r="B104" s="23" t="s">
        <v>179</v>
      </c>
      <c r="C104" s="23" t="s">
        <v>498</v>
      </c>
      <c r="D104" s="23">
        <v>930000</v>
      </c>
      <c r="E104" s="23" t="s">
        <v>331</v>
      </c>
      <c r="F104" s="23" t="str">
        <f t="shared" si="2"/>
        <v>rtdc.l.rtdc.4026:itc</v>
      </c>
      <c r="G104" s="8">
        <f t="shared" si="3"/>
        <v>42624.545358796298</v>
      </c>
    </row>
    <row r="105" spans="1:7" x14ac:dyDescent="0.25">
      <c r="A105" s="8">
        <v>42624.552152777775</v>
      </c>
      <c r="B105" s="23" t="s">
        <v>337</v>
      </c>
      <c r="C105" s="23" t="s">
        <v>537</v>
      </c>
      <c r="D105" s="23">
        <v>1110000</v>
      </c>
      <c r="E105" s="23" t="s">
        <v>690</v>
      </c>
      <c r="F105" s="23" t="str">
        <f t="shared" si="2"/>
        <v>rtdc.l.rtdc.4002:itc</v>
      </c>
      <c r="G105" s="8">
        <f t="shared" si="3"/>
        <v>42624.552152777775</v>
      </c>
    </row>
    <row r="106" spans="1:7" x14ac:dyDescent="0.25">
      <c r="A106" s="8">
        <v>42624.555428240739</v>
      </c>
      <c r="B106" s="23" t="s">
        <v>264</v>
      </c>
      <c r="C106" s="23" t="s">
        <v>671</v>
      </c>
      <c r="D106" s="23">
        <v>2000000</v>
      </c>
      <c r="E106" s="23" t="s">
        <v>125</v>
      </c>
      <c r="F106" s="23" t="str">
        <f t="shared" si="2"/>
        <v>rtdc.l.rtdc.4015:itc</v>
      </c>
      <c r="G106" s="8">
        <f t="shared" si="3"/>
        <v>42624.555428240739</v>
      </c>
    </row>
    <row r="107" spans="1:7" x14ac:dyDescent="0.25">
      <c r="A107" s="8">
        <v>42624.556469907409</v>
      </c>
      <c r="B107" s="23" t="s">
        <v>89</v>
      </c>
      <c r="C107" s="23" t="s">
        <v>501</v>
      </c>
      <c r="D107" s="23">
        <v>2020000</v>
      </c>
      <c r="E107" s="23" t="s">
        <v>303</v>
      </c>
      <c r="F107" s="23" t="str">
        <f t="shared" si="2"/>
        <v>rtdc.l.rtdc.4030:itc</v>
      </c>
      <c r="G107" s="8">
        <f t="shared" si="3"/>
        <v>42624.556469907409</v>
      </c>
    </row>
    <row r="108" spans="1:7" x14ac:dyDescent="0.25">
      <c r="A108" s="8">
        <v>42624.557060185187</v>
      </c>
      <c r="B108" s="23" t="s">
        <v>264</v>
      </c>
      <c r="C108" s="23" t="s">
        <v>671</v>
      </c>
      <c r="D108" s="23">
        <v>2000000</v>
      </c>
      <c r="E108" s="23" t="s">
        <v>125</v>
      </c>
      <c r="F108" s="23" t="str">
        <f t="shared" si="2"/>
        <v>rtdc.l.rtdc.4015:itc</v>
      </c>
      <c r="G108" s="8">
        <f t="shared" si="3"/>
        <v>42624.557060185187</v>
      </c>
    </row>
    <row r="109" spans="1:7" x14ac:dyDescent="0.25">
      <c r="A109" s="8">
        <v>42624.557627314818</v>
      </c>
      <c r="B109" s="23" t="s">
        <v>264</v>
      </c>
      <c r="C109" s="23" t="s">
        <v>671</v>
      </c>
      <c r="D109" s="23">
        <v>2000000</v>
      </c>
      <c r="E109" s="23" t="s">
        <v>125</v>
      </c>
      <c r="F109" s="23" t="str">
        <f t="shared" si="2"/>
        <v>rtdc.l.rtdc.4015:itc</v>
      </c>
      <c r="G109" s="8">
        <f t="shared" si="3"/>
        <v>42624.557627314818</v>
      </c>
    </row>
    <row r="110" spans="1:7" x14ac:dyDescent="0.25">
      <c r="A110" s="8">
        <v>42624.558449074073</v>
      </c>
      <c r="B110" s="23" t="s">
        <v>264</v>
      </c>
      <c r="C110" s="23" t="s">
        <v>671</v>
      </c>
      <c r="D110" s="23">
        <v>2000000</v>
      </c>
      <c r="E110" s="23" t="s">
        <v>125</v>
      </c>
      <c r="F110" s="23" t="str">
        <f t="shared" si="2"/>
        <v>rtdc.l.rtdc.4015:itc</v>
      </c>
      <c r="G110" s="8">
        <f t="shared" si="3"/>
        <v>42624.558449074073</v>
      </c>
    </row>
    <row r="111" spans="1:7" x14ac:dyDescent="0.25">
      <c r="A111" s="8">
        <v>42624.561527777776</v>
      </c>
      <c r="B111" s="23" t="s">
        <v>261</v>
      </c>
      <c r="C111" s="23" t="s">
        <v>671</v>
      </c>
      <c r="D111" s="23">
        <v>2000000</v>
      </c>
      <c r="E111" s="23" t="s">
        <v>125</v>
      </c>
      <c r="F111" s="23" t="str">
        <f t="shared" si="2"/>
        <v>rtdc.l.rtdc.4016:itc</v>
      </c>
      <c r="G111" s="8">
        <f t="shared" si="3"/>
        <v>42624.561527777776</v>
      </c>
    </row>
    <row r="112" spans="1:7" x14ac:dyDescent="0.25">
      <c r="A112" s="8">
        <v>42624.564074074071</v>
      </c>
      <c r="B112" s="23" t="s">
        <v>263</v>
      </c>
      <c r="C112" s="23" t="s">
        <v>671</v>
      </c>
      <c r="D112" s="23">
        <v>2000000</v>
      </c>
      <c r="E112" s="23" t="s">
        <v>125</v>
      </c>
      <c r="F112" s="23" t="str">
        <f t="shared" si="2"/>
        <v>rtdc.l.rtdc.4017:itc</v>
      </c>
      <c r="G112" s="8">
        <f t="shared" si="3"/>
        <v>42624.564074074071</v>
      </c>
    </row>
    <row r="113" spans="1:7" x14ac:dyDescent="0.25">
      <c r="A113" s="8">
        <v>42624.566388888888</v>
      </c>
      <c r="B113" s="23" t="s">
        <v>262</v>
      </c>
      <c r="C113" s="23" t="s">
        <v>671</v>
      </c>
      <c r="D113" s="23">
        <v>2000000</v>
      </c>
      <c r="E113" s="23" t="s">
        <v>125</v>
      </c>
      <c r="F113" s="23" t="str">
        <f t="shared" si="2"/>
        <v>rtdc.l.rtdc.4018:itc</v>
      </c>
      <c r="G113" s="8">
        <f t="shared" si="3"/>
        <v>42624.566388888888</v>
      </c>
    </row>
    <row r="114" spans="1:7" x14ac:dyDescent="0.25">
      <c r="A114" s="8">
        <v>42624.567141203705</v>
      </c>
      <c r="B114" s="23" t="s">
        <v>262</v>
      </c>
      <c r="C114" s="23" t="s">
        <v>691</v>
      </c>
      <c r="D114" s="23">
        <v>2000000</v>
      </c>
      <c r="E114" s="23" t="s">
        <v>125</v>
      </c>
      <c r="F114" s="23" t="str">
        <f t="shared" si="2"/>
        <v>rtdc.l.rtdc.4018:itc</v>
      </c>
      <c r="G114" s="8">
        <f t="shared" si="3"/>
        <v>42624.567141203705</v>
      </c>
    </row>
    <row r="115" spans="1:7" x14ac:dyDescent="0.25">
      <c r="A115" s="8">
        <v>42624.567546296297</v>
      </c>
      <c r="B115" s="23" t="s">
        <v>338</v>
      </c>
      <c r="C115" s="23" t="s">
        <v>539</v>
      </c>
      <c r="D115" s="23">
        <v>1110000</v>
      </c>
      <c r="E115" s="23" t="s">
        <v>690</v>
      </c>
      <c r="F115" s="23" t="str">
        <f t="shared" si="2"/>
        <v>rtdc.l.rtdc.4001:itc</v>
      </c>
      <c r="G115" s="8">
        <f t="shared" si="3"/>
        <v>42624.567546296297</v>
      </c>
    </row>
    <row r="116" spans="1:7" x14ac:dyDescent="0.25">
      <c r="A116" s="8">
        <v>42624.56826388889</v>
      </c>
      <c r="B116" s="23" t="s">
        <v>262</v>
      </c>
      <c r="C116" s="23" t="s">
        <v>671</v>
      </c>
      <c r="D116" s="23">
        <v>2000000</v>
      </c>
      <c r="E116" s="23" t="s">
        <v>125</v>
      </c>
      <c r="F116" s="23" t="str">
        <f t="shared" si="2"/>
        <v>rtdc.l.rtdc.4018:itc</v>
      </c>
      <c r="G116" s="8">
        <f t="shared" si="3"/>
        <v>42624.56826388889</v>
      </c>
    </row>
    <row r="117" spans="1:7" x14ac:dyDescent="0.25">
      <c r="A117" s="8">
        <v>42624.56827546296</v>
      </c>
      <c r="B117" s="23" t="s">
        <v>169</v>
      </c>
      <c r="C117" s="23" t="s">
        <v>503</v>
      </c>
      <c r="D117" s="23">
        <v>880000</v>
      </c>
      <c r="E117" s="23" t="s">
        <v>330</v>
      </c>
      <c r="F117" s="23" t="str">
        <f t="shared" si="2"/>
        <v>rtdc.l.rtdc.4019:itc</v>
      </c>
      <c r="G117" s="8">
        <f t="shared" si="3"/>
        <v>42624.56827546296</v>
      </c>
    </row>
    <row r="118" spans="1:7" x14ac:dyDescent="0.25">
      <c r="A118" s="8">
        <v>42624.581423611111</v>
      </c>
      <c r="B118" s="23" t="s">
        <v>178</v>
      </c>
      <c r="C118" s="23" t="s">
        <v>567</v>
      </c>
      <c r="D118" s="23">
        <v>930000</v>
      </c>
      <c r="E118" s="23" t="s">
        <v>331</v>
      </c>
      <c r="F118" s="23" t="str">
        <f t="shared" si="2"/>
        <v>rtdc.l.rtdc.4025:itc</v>
      </c>
      <c r="G118" s="8">
        <f t="shared" si="3"/>
        <v>42624.581423611111</v>
      </c>
    </row>
    <row r="119" spans="1:7" x14ac:dyDescent="0.25">
      <c r="A119" s="8">
        <v>42624.583298611113</v>
      </c>
      <c r="B119" s="23" t="s">
        <v>178</v>
      </c>
      <c r="C119" s="23" t="s">
        <v>567</v>
      </c>
      <c r="D119" s="23">
        <v>930000</v>
      </c>
      <c r="E119" s="23" t="s">
        <v>331</v>
      </c>
      <c r="F119" s="23" t="str">
        <f t="shared" si="2"/>
        <v>rtdc.l.rtdc.4025:itc</v>
      </c>
      <c r="G119" s="8">
        <f t="shared" si="3"/>
        <v>42624.583298611113</v>
      </c>
    </row>
    <row r="120" spans="1:7" x14ac:dyDescent="0.25">
      <c r="A120" s="8">
        <v>42624.586412037039</v>
      </c>
      <c r="B120" s="23" t="s">
        <v>266</v>
      </c>
      <c r="C120" s="23" t="s">
        <v>504</v>
      </c>
      <c r="D120" s="23">
        <v>1770000</v>
      </c>
      <c r="E120" s="23" t="s">
        <v>374</v>
      </c>
      <c r="F120" s="23" t="str">
        <f t="shared" si="2"/>
        <v>rtdc.l.rtdc.4039:itc</v>
      </c>
      <c r="G120" s="8">
        <f t="shared" si="3"/>
        <v>42624.586412037039</v>
      </c>
    </row>
    <row r="121" spans="1:7" x14ac:dyDescent="0.25">
      <c r="A121" s="8">
        <v>42624.589409722219</v>
      </c>
      <c r="B121" s="23" t="s">
        <v>369</v>
      </c>
      <c r="C121" s="23" t="s">
        <v>581</v>
      </c>
      <c r="D121" s="23">
        <v>2020000</v>
      </c>
      <c r="E121" s="23" t="s">
        <v>303</v>
      </c>
      <c r="F121" s="23" t="str">
        <f t="shared" si="2"/>
        <v>rtdc.l.rtdc.4029:itc</v>
      </c>
      <c r="G121" s="8">
        <f t="shared" si="3"/>
        <v>42624.589409722219</v>
      </c>
    </row>
    <row r="122" spans="1:7" x14ac:dyDescent="0.25">
      <c r="A122" s="8">
        <v>42624.591481481482</v>
      </c>
      <c r="B122" s="28" t="s">
        <v>178</v>
      </c>
      <c r="C122" s="23" t="s">
        <v>567</v>
      </c>
      <c r="D122" s="23">
        <v>930000</v>
      </c>
      <c r="E122" s="23" t="s">
        <v>331</v>
      </c>
      <c r="F122" s="23" t="str">
        <f t="shared" si="2"/>
        <v>rtdc.l.rtdc.4025:itc</v>
      </c>
      <c r="G122" s="8">
        <f t="shared" si="3"/>
        <v>42624.591481481482</v>
      </c>
    </row>
    <row r="123" spans="1:7" x14ac:dyDescent="0.25">
      <c r="A123" s="8">
        <v>42624.593738425923</v>
      </c>
      <c r="B123" s="23" t="s">
        <v>337</v>
      </c>
      <c r="C123" s="23" t="s">
        <v>398</v>
      </c>
      <c r="D123" s="23">
        <v>1820000</v>
      </c>
      <c r="E123" s="23" t="s">
        <v>304</v>
      </c>
      <c r="F123" s="23" t="str">
        <f t="shared" si="2"/>
        <v>rtdc.l.rtdc.4002:itc</v>
      </c>
      <c r="G123" s="8">
        <f t="shared" si="3"/>
        <v>42624.593738425923</v>
      </c>
    </row>
    <row r="124" spans="1:7" x14ac:dyDescent="0.25">
      <c r="A124" s="8">
        <v>42624.600590277776</v>
      </c>
      <c r="B124" s="23" t="s">
        <v>185</v>
      </c>
      <c r="C124" s="23" t="s">
        <v>505</v>
      </c>
      <c r="D124" s="23">
        <v>2040000</v>
      </c>
      <c r="E124" s="23" t="s">
        <v>192</v>
      </c>
      <c r="F124" s="23" t="str">
        <f t="shared" si="2"/>
        <v>rtdc.l.rtdc.4010:itc</v>
      </c>
      <c r="G124" s="8">
        <f t="shared" si="3"/>
        <v>42624.600590277776</v>
      </c>
    </row>
    <row r="125" spans="1:7" x14ac:dyDescent="0.25">
      <c r="A125" s="8">
        <v>42624.600983796299</v>
      </c>
      <c r="B125" s="23" t="s">
        <v>170</v>
      </c>
      <c r="C125" s="23" t="s">
        <v>503</v>
      </c>
      <c r="D125" s="23">
        <v>880000</v>
      </c>
      <c r="E125" s="23" t="s">
        <v>330</v>
      </c>
      <c r="F125" s="23" t="str">
        <f t="shared" si="2"/>
        <v>rtdc.l.rtdc.4020:itc</v>
      </c>
      <c r="G125" s="8">
        <f t="shared" si="3"/>
        <v>42624.600983796299</v>
      </c>
    </row>
    <row r="126" spans="1:7" x14ac:dyDescent="0.25">
      <c r="A126" s="8">
        <v>42624.601342592592</v>
      </c>
      <c r="B126" s="23" t="s">
        <v>184</v>
      </c>
      <c r="C126" s="23" t="s">
        <v>546</v>
      </c>
      <c r="D126" s="23">
        <v>1760000</v>
      </c>
      <c r="E126" s="23" t="s">
        <v>689</v>
      </c>
      <c r="F126" s="23" t="str">
        <f t="shared" si="2"/>
        <v>rtdc.l.rtdc.4041:itc</v>
      </c>
      <c r="G126" s="8">
        <f t="shared" si="3"/>
        <v>42624.601342592592</v>
      </c>
    </row>
    <row r="127" spans="1:7" x14ac:dyDescent="0.25">
      <c r="A127" s="8">
        <v>42624.601747685185</v>
      </c>
      <c r="B127" s="23" t="s">
        <v>170</v>
      </c>
      <c r="C127" s="23" t="s">
        <v>585</v>
      </c>
      <c r="D127" s="23">
        <v>880000</v>
      </c>
      <c r="E127" s="23" t="s">
        <v>330</v>
      </c>
      <c r="F127" s="23" t="str">
        <f t="shared" si="2"/>
        <v>rtdc.l.rtdc.4020:itc</v>
      </c>
      <c r="G127" s="8">
        <f t="shared" si="3"/>
        <v>42624.601747685185</v>
      </c>
    </row>
    <row r="128" spans="1:7" x14ac:dyDescent="0.25">
      <c r="A128" s="8">
        <v>42624.609849537039</v>
      </c>
      <c r="B128" s="23" t="s">
        <v>338</v>
      </c>
      <c r="C128" s="23" t="s">
        <v>399</v>
      </c>
      <c r="D128" s="23">
        <v>1820000</v>
      </c>
      <c r="E128" s="23" t="s">
        <v>304</v>
      </c>
      <c r="F128" s="23" t="str">
        <f t="shared" si="2"/>
        <v>rtdc.l.rtdc.4001:itc</v>
      </c>
      <c r="G128" s="8">
        <f t="shared" si="3"/>
        <v>42624.609849537039</v>
      </c>
    </row>
    <row r="129" spans="1:7" x14ac:dyDescent="0.25">
      <c r="A129" s="8">
        <v>42624.613368055558</v>
      </c>
      <c r="B129" s="23" t="s">
        <v>262</v>
      </c>
      <c r="C129" s="23" t="s">
        <v>589</v>
      </c>
      <c r="D129" s="23">
        <v>1280000</v>
      </c>
      <c r="E129" s="23" t="s">
        <v>373</v>
      </c>
      <c r="F129" s="23" t="str">
        <f t="shared" si="2"/>
        <v>rtdc.l.rtdc.4018:itc</v>
      </c>
      <c r="G129" s="8">
        <f t="shared" si="3"/>
        <v>42624.613368055558</v>
      </c>
    </row>
    <row r="130" spans="1:7" x14ac:dyDescent="0.25">
      <c r="A130" s="8">
        <v>42624.619016203702</v>
      </c>
      <c r="B130" s="23" t="s">
        <v>179</v>
      </c>
      <c r="C130" s="23" t="s">
        <v>579</v>
      </c>
      <c r="D130" s="23">
        <v>930000</v>
      </c>
      <c r="E130" s="23" t="s">
        <v>331</v>
      </c>
      <c r="F130" s="23" t="str">
        <f t="shared" ref="F130:F193" si="4">B130</f>
        <v>rtdc.l.rtdc.4026:itc</v>
      </c>
      <c r="G130" s="8">
        <f t="shared" ref="G130:G193" si="5">A130</f>
        <v>42624.619016203702</v>
      </c>
    </row>
    <row r="131" spans="1:7" x14ac:dyDescent="0.25">
      <c r="A131" s="8">
        <v>42624.620648148149</v>
      </c>
      <c r="B131" s="23" t="s">
        <v>179</v>
      </c>
      <c r="C131" s="23" t="s">
        <v>579</v>
      </c>
      <c r="D131" s="23">
        <v>930000</v>
      </c>
      <c r="E131" s="23" t="s">
        <v>331</v>
      </c>
      <c r="F131" s="23" t="str">
        <f t="shared" si="4"/>
        <v>rtdc.l.rtdc.4026:itc</v>
      </c>
      <c r="G131" s="8">
        <f t="shared" si="5"/>
        <v>42624.620648148149</v>
      </c>
    </row>
    <row r="132" spans="1:7" x14ac:dyDescent="0.25">
      <c r="A132" s="8">
        <v>42624.628148148149</v>
      </c>
      <c r="B132" s="23" t="s">
        <v>89</v>
      </c>
      <c r="C132" s="23" t="s">
        <v>583</v>
      </c>
      <c r="D132" s="23">
        <v>2020000</v>
      </c>
      <c r="E132" s="23" t="s">
        <v>303</v>
      </c>
      <c r="F132" s="23" t="str">
        <f t="shared" si="4"/>
        <v>rtdc.l.rtdc.4030:itc</v>
      </c>
      <c r="G132" s="8">
        <f t="shared" si="5"/>
        <v>42624.628148148149</v>
      </c>
    </row>
    <row r="133" spans="1:7" x14ac:dyDescent="0.25">
      <c r="A133" s="8">
        <v>42624.633946759262</v>
      </c>
      <c r="B133" s="23" t="s">
        <v>179</v>
      </c>
      <c r="C133" s="23" t="s">
        <v>579</v>
      </c>
      <c r="D133" s="23">
        <v>930000</v>
      </c>
      <c r="E133" s="23" t="s">
        <v>331</v>
      </c>
      <c r="F133" s="23" t="str">
        <f t="shared" si="4"/>
        <v>rtdc.l.rtdc.4026:itc</v>
      </c>
      <c r="G133" s="8">
        <f t="shared" si="5"/>
        <v>42624.633946759262</v>
      </c>
    </row>
    <row r="134" spans="1:7" x14ac:dyDescent="0.25">
      <c r="A134" s="8">
        <v>42624.639305555553</v>
      </c>
      <c r="B134" s="23" t="s">
        <v>337</v>
      </c>
      <c r="C134" s="23" t="s">
        <v>543</v>
      </c>
      <c r="D134" s="23">
        <v>2000000</v>
      </c>
      <c r="E134" s="23" t="s">
        <v>125</v>
      </c>
      <c r="F134" s="23" t="str">
        <f t="shared" si="4"/>
        <v>rtdc.l.rtdc.4002:itc</v>
      </c>
      <c r="G134" s="8">
        <f t="shared" si="5"/>
        <v>42624.639305555553</v>
      </c>
    </row>
    <row r="135" spans="1:7" x14ac:dyDescent="0.25">
      <c r="A135" s="8">
        <v>42624.641284722224</v>
      </c>
      <c r="B135" s="23" t="s">
        <v>169</v>
      </c>
      <c r="C135" s="23" t="s">
        <v>400</v>
      </c>
      <c r="D135" s="23">
        <v>880000</v>
      </c>
      <c r="E135" s="23" t="s">
        <v>330</v>
      </c>
      <c r="F135" s="23" t="str">
        <f t="shared" si="4"/>
        <v>rtdc.l.rtdc.4019:itc</v>
      </c>
      <c r="G135" s="8">
        <f t="shared" si="5"/>
        <v>42624.641284722224</v>
      </c>
    </row>
    <row r="136" spans="1:7" x14ac:dyDescent="0.25">
      <c r="A136" s="8">
        <v>42624.643784722219</v>
      </c>
      <c r="B136" s="23" t="s">
        <v>263</v>
      </c>
      <c r="C136" s="23" t="s">
        <v>590</v>
      </c>
      <c r="D136" s="23">
        <v>1280000</v>
      </c>
      <c r="E136" s="23" t="s">
        <v>373</v>
      </c>
      <c r="F136" s="23" t="str">
        <f t="shared" si="4"/>
        <v>rtdc.l.rtdc.4017:itc</v>
      </c>
      <c r="G136" s="8">
        <f t="shared" si="5"/>
        <v>42624.643784722219</v>
      </c>
    </row>
    <row r="137" spans="1:7" x14ac:dyDescent="0.25">
      <c r="A137" s="8">
        <v>42624.653055555558</v>
      </c>
      <c r="B137" s="23" t="s">
        <v>338</v>
      </c>
      <c r="C137" s="23" t="s">
        <v>401</v>
      </c>
      <c r="D137" s="23">
        <v>2000000</v>
      </c>
      <c r="E137" s="23" t="s">
        <v>125</v>
      </c>
      <c r="F137" s="23" t="str">
        <f t="shared" si="4"/>
        <v>rtdc.l.rtdc.4001:itc</v>
      </c>
      <c r="G137" s="8">
        <f t="shared" si="5"/>
        <v>42624.653055555558</v>
      </c>
    </row>
    <row r="138" spans="1:7" x14ac:dyDescent="0.25">
      <c r="A138" s="8">
        <v>42624.655173611114</v>
      </c>
      <c r="B138" s="23" t="s">
        <v>178</v>
      </c>
      <c r="C138" s="23" t="s">
        <v>596</v>
      </c>
      <c r="D138" s="23">
        <v>930000</v>
      </c>
      <c r="E138" s="23" t="s">
        <v>331</v>
      </c>
      <c r="F138" s="23" t="str">
        <f t="shared" si="4"/>
        <v>rtdc.l.rtdc.4025:itc</v>
      </c>
      <c r="G138" s="8">
        <f t="shared" si="5"/>
        <v>42624.655173611114</v>
      </c>
    </row>
    <row r="139" spans="1:7" x14ac:dyDescent="0.25">
      <c r="A139" s="8">
        <v>42624.659548611111</v>
      </c>
      <c r="B139" s="23" t="s">
        <v>266</v>
      </c>
      <c r="C139" s="23" t="s">
        <v>595</v>
      </c>
      <c r="D139" s="23">
        <v>1770000</v>
      </c>
      <c r="E139" s="23" t="s">
        <v>374</v>
      </c>
      <c r="F139" s="23" t="str">
        <f t="shared" si="4"/>
        <v>rtdc.l.rtdc.4039:itc</v>
      </c>
      <c r="G139" s="8">
        <f t="shared" si="5"/>
        <v>42624.659548611111</v>
      </c>
    </row>
    <row r="140" spans="1:7" x14ac:dyDescent="0.25">
      <c r="A140" s="8">
        <v>42624.660752314812</v>
      </c>
      <c r="B140" s="23" t="s">
        <v>369</v>
      </c>
      <c r="C140" s="23" t="s">
        <v>598</v>
      </c>
      <c r="D140" s="23">
        <v>2020000</v>
      </c>
      <c r="E140" s="23" t="s">
        <v>303</v>
      </c>
      <c r="F140" s="23" t="str">
        <f t="shared" si="4"/>
        <v>rtdc.l.rtdc.4029:itc</v>
      </c>
      <c r="G140" s="8">
        <f t="shared" si="5"/>
        <v>42624.660752314812</v>
      </c>
    </row>
    <row r="141" spans="1:7" x14ac:dyDescent="0.25">
      <c r="A141" s="8">
        <v>42624.664837962962</v>
      </c>
      <c r="B141" s="23" t="s">
        <v>337</v>
      </c>
      <c r="C141" s="23" t="s">
        <v>403</v>
      </c>
      <c r="D141" s="23">
        <v>2000000</v>
      </c>
      <c r="E141" s="23" t="s">
        <v>125</v>
      </c>
      <c r="F141" s="23" t="str">
        <f t="shared" si="4"/>
        <v>rtdc.l.rtdc.4002:itc</v>
      </c>
      <c r="G141" s="8">
        <f t="shared" si="5"/>
        <v>42624.664837962962</v>
      </c>
    </row>
    <row r="142" spans="1:7" x14ac:dyDescent="0.25">
      <c r="A142" s="8">
        <v>42624.672824074078</v>
      </c>
      <c r="B142" s="23" t="s">
        <v>185</v>
      </c>
      <c r="C142" s="23" t="s">
        <v>404</v>
      </c>
      <c r="D142" s="23">
        <v>2040000</v>
      </c>
      <c r="E142" s="23" t="s">
        <v>192</v>
      </c>
      <c r="F142" s="23" t="str">
        <f t="shared" si="4"/>
        <v>rtdc.l.rtdc.4010:itc</v>
      </c>
      <c r="G142" s="8">
        <f t="shared" si="5"/>
        <v>42624.672824074078</v>
      </c>
    </row>
    <row r="143" spans="1:7" x14ac:dyDescent="0.25">
      <c r="A143" s="8">
        <v>42624.676666666666</v>
      </c>
      <c r="B143" s="23" t="s">
        <v>170</v>
      </c>
      <c r="C143" s="23" t="s">
        <v>601</v>
      </c>
      <c r="D143" s="23">
        <v>880000</v>
      </c>
      <c r="E143" s="23" t="s">
        <v>330</v>
      </c>
      <c r="F143" s="23" t="str">
        <f t="shared" si="4"/>
        <v>rtdc.l.rtdc.4020:itc</v>
      </c>
      <c r="G143" s="8">
        <f t="shared" si="5"/>
        <v>42624.676666666666</v>
      </c>
    </row>
    <row r="144" spans="1:7" x14ac:dyDescent="0.25">
      <c r="A144" s="8">
        <v>42624.676944444444</v>
      </c>
      <c r="B144" s="23" t="s">
        <v>184</v>
      </c>
      <c r="C144" s="23" t="s">
        <v>402</v>
      </c>
      <c r="D144" s="23">
        <v>1760000</v>
      </c>
      <c r="E144" s="23" t="s">
        <v>689</v>
      </c>
      <c r="F144" s="23" t="str">
        <f t="shared" si="4"/>
        <v>rtdc.l.rtdc.4041:itc</v>
      </c>
      <c r="G144" s="8">
        <f t="shared" si="5"/>
        <v>42624.676944444444</v>
      </c>
    </row>
    <row r="145" spans="1:7" x14ac:dyDescent="0.25">
      <c r="A145" s="8">
        <v>42624.683379629627</v>
      </c>
      <c r="B145" s="23" t="s">
        <v>262</v>
      </c>
      <c r="C145" s="23" t="s">
        <v>605</v>
      </c>
      <c r="D145" s="23">
        <v>1280000</v>
      </c>
      <c r="E145" s="23" t="s">
        <v>373</v>
      </c>
      <c r="F145" s="23" t="str">
        <f t="shared" si="4"/>
        <v>rtdc.l.rtdc.4018:itc</v>
      </c>
      <c r="G145" s="8">
        <f t="shared" si="5"/>
        <v>42624.683379629627</v>
      </c>
    </row>
    <row r="146" spans="1:7" x14ac:dyDescent="0.25">
      <c r="A146" s="8">
        <v>42624.690868055557</v>
      </c>
      <c r="B146" s="23" t="s">
        <v>179</v>
      </c>
      <c r="C146" s="23" t="s">
        <v>597</v>
      </c>
      <c r="D146" s="23">
        <v>930000</v>
      </c>
      <c r="E146" s="23" t="s">
        <v>331</v>
      </c>
      <c r="F146" s="23" t="str">
        <f t="shared" si="4"/>
        <v>rtdc.l.rtdc.4026:itc</v>
      </c>
      <c r="G146" s="8">
        <f t="shared" si="5"/>
        <v>42624.690868055557</v>
      </c>
    </row>
    <row r="147" spans="1:7" x14ac:dyDescent="0.25">
      <c r="A147" s="8">
        <v>42624.692997685182</v>
      </c>
      <c r="B147" s="23" t="s">
        <v>179</v>
      </c>
      <c r="C147" s="23" t="s">
        <v>597</v>
      </c>
      <c r="D147" s="23">
        <v>930000</v>
      </c>
      <c r="E147" s="23" t="s">
        <v>331</v>
      </c>
      <c r="F147" s="23" t="str">
        <f t="shared" si="4"/>
        <v>rtdc.l.rtdc.4026:itc</v>
      </c>
      <c r="G147" s="8">
        <f t="shared" si="5"/>
        <v>42624.692997685182</v>
      </c>
    </row>
    <row r="148" spans="1:7" x14ac:dyDescent="0.25">
      <c r="A148" s="8">
        <v>42624.693854166668</v>
      </c>
      <c r="B148" s="23" t="s">
        <v>338</v>
      </c>
      <c r="C148" s="23" t="s">
        <v>405</v>
      </c>
      <c r="D148" s="23">
        <v>2000000</v>
      </c>
      <c r="E148" s="23" t="s">
        <v>125</v>
      </c>
      <c r="F148" s="23" t="str">
        <f t="shared" si="4"/>
        <v>rtdc.l.rtdc.4001:itc</v>
      </c>
      <c r="G148" s="8">
        <f t="shared" si="5"/>
        <v>42624.693854166668</v>
      </c>
    </row>
    <row r="149" spans="1:7" x14ac:dyDescent="0.25">
      <c r="A149" s="8">
        <v>42624.700370370374</v>
      </c>
      <c r="B149" s="23" t="s">
        <v>89</v>
      </c>
      <c r="C149" s="23" t="s">
        <v>600</v>
      </c>
      <c r="D149" s="23">
        <v>2020000</v>
      </c>
      <c r="E149" s="23" t="s">
        <v>303</v>
      </c>
      <c r="F149" s="23" t="str">
        <f t="shared" si="4"/>
        <v>rtdc.l.rtdc.4030:itc</v>
      </c>
      <c r="G149" s="8">
        <f t="shared" si="5"/>
        <v>42624.700370370374</v>
      </c>
    </row>
    <row r="150" spans="1:7" x14ac:dyDescent="0.25">
      <c r="A150" s="8">
        <v>42624.707430555558</v>
      </c>
      <c r="B150" s="23" t="s">
        <v>337</v>
      </c>
      <c r="C150" s="23" t="s">
        <v>406</v>
      </c>
      <c r="D150" s="23">
        <v>2000000</v>
      </c>
      <c r="E150" s="23" t="s">
        <v>125</v>
      </c>
      <c r="F150" s="23" t="str">
        <f t="shared" si="4"/>
        <v>rtdc.l.rtdc.4002:itc</v>
      </c>
      <c r="G150" s="8">
        <f t="shared" si="5"/>
        <v>42624.707430555558</v>
      </c>
    </row>
    <row r="151" spans="1:7" x14ac:dyDescent="0.25">
      <c r="A151" s="8">
        <v>42624.714594907404</v>
      </c>
      <c r="B151" s="23" t="s">
        <v>169</v>
      </c>
      <c r="C151" s="23" t="s">
        <v>603</v>
      </c>
      <c r="D151" s="23">
        <v>880000</v>
      </c>
      <c r="E151" s="23" t="s">
        <v>330</v>
      </c>
      <c r="F151" s="23" t="str">
        <f t="shared" si="4"/>
        <v>rtdc.l.rtdc.4019:itc</v>
      </c>
      <c r="G151" s="8">
        <f t="shared" si="5"/>
        <v>42624.714594907404</v>
      </c>
    </row>
    <row r="152" spans="1:7" x14ac:dyDescent="0.25">
      <c r="A152" s="8">
        <v>42624.715624999997</v>
      </c>
      <c r="B152" s="23" t="s">
        <v>263</v>
      </c>
      <c r="C152" s="23" t="s">
        <v>607</v>
      </c>
      <c r="D152" s="23">
        <v>1280000</v>
      </c>
      <c r="E152" s="23" t="s">
        <v>373</v>
      </c>
      <c r="F152" s="23" t="str">
        <f t="shared" si="4"/>
        <v>rtdc.l.rtdc.4017:itc</v>
      </c>
      <c r="G152" s="8">
        <f t="shared" si="5"/>
        <v>42624.715624999997</v>
      </c>
    </row>
    <row r="153" spans="1:7" x14ac:dyDescent="0.25">
      <c r="A153" s="8">
        <v>42624.726180555554</v>
      </c>
      <c r="B153" s="23" t="s">
        <v>178</v>
      </c>
      <c r="C153" s="23" t="s">
        <v>613</v>
      </c>
      <c r="D153" s="23">
        <v>930000</v>
      </c>
      <c r="E153" s="23" t="s">
        <v>331</v>
      </c>
      <c r="F153" s="23" t="str">
        <f t="shared" si="4"/>
        <v>rtdc.l.rtdc.4025:itc</v>
      </c>
      <c r="G153" s="8">
        <f t="shared" si="5"/>
        <v>42624.726180555554</v>
      </c>
    </row>
    <row r="154" spans="1:7" x14ac:dyDescent="0.25">
      <c r="A154" s="8">
        <v>42624.732499999998</v>
      </c>
      <c r="B154" s="23" t="s">
        <v>266</v>
      </c>
      <c r="C154" s="23" t="s">
        <v>610</v>
      </c>
      <c r="D154" s="23">
        <v>1770000</v>
      </c>
      <c r="E154" s="23" t="s">
        <v>374</v>
      </c>
      <c r="F154" s="23" t="str">
        <f t="shared" si="4"/>
        <v>rtdc.l.rtdc.4039:itc</v>
      </c>
      <c r="G154" s="8">
        <f t="shared" si="5"/>
        <v>42624.732499999998</v>
      </c>
    </row>
    <row r="155" spans="1:7" x14ac:dyDescent="0.25">
      <c r="A155" s="8">
        <v>42624.734201388892</v>
      </c>
      <c r="B155" s="23" t="s">
        <v>338</v>
      </c>
      <c r="C155" s="23" t="s">
        <v>406</v>
      </c>
      <c r="D155" s="23">
        <v>2000000</v>
      </c>
      <c r="E155" s="23" t="s">
        <v>125</v>
      </c>
      <c r="F155" s="23" t="str">
        <f t="shared" si="4"/>
        <v>rtdc.l.rtdc.4001:itc</v>
      </c>
      <c r="G155" s="8">
        <f t="shared" si="5"/>
        <v>42624.734201388892</v>
      </c>
    </row>
    <row r="156" spans="1:7" x14ac:dyDescent="0.25">
      <c r="A156" s="8">
        <v>42624.7344212963</v>
      </c>
      <c r="B156" s="23" t="s">
        <v>369</v>
      </c>
      <c r="C156" s="23" t="s">
        <v>616</v>
      </c>
      <c r="D156" s="23">
        <v>2110000</v>
      </c>
      <c r="E156" s="23" t="s">
        <v>307</v>
      </c>
      <c r="F156" s="23" t="str">
        <f t="shared" si="4"/>
        <v>rtdc.l.rtdc.4029:itc</v>
      </c>
      <c r="G156" s="8">
        <f t="shared" si="5"/>
        <v>42624.7344212963</v>
      </c>
    </row>
    <row r="157" spans="1:7" x14ac:dyDescent="0.25">
      <c r="A157" s="8">
        <v>42624.735034722224</v>
      </c>
      <c r="B157" s="23" t="s">
        <v>338</v>
      </c>
      <c r="C157" s="23" t="s">
        <v>407</v>
      </c>
      <c r="D157" s="23">
        <v>2000000</v>
      </c>
      <c r="E157" s="23" t="s">
        <v>125</v>
      </c>
      <c r="F157" s="23" t="str">
        <f t="shared" si="4"/>
        <v>rtdc.l.rtdc.4001:itc</v>
      </c>
      <c r="G157" s="8">
        <f t="shared" si="5"/>
        <v>42624.735034722224</v>
      </c>
    </row>
    <row r="158" spans="1:7" x14ac:dyDescent="0.25">
      <c r="A158" s="8">
        <v>42624.744490740741</v>
      </c>
      <c r="B158" s="23" t="s">
        <v>185</v>
      </c>
      <c r="C158" s="23" t="s">
        <v>611</v>
      </c>
      <c r="D158" s="23">
        <v>2040000</v>
      </c>
      <c r="E158" s="23" t="s">
        <v>192</v>
      </c>
      <c r="F158" s="23" t="str">
        <f t="shared" si="4"/>
        <v>rtdc.l.rtdc.4010:itc</v>
      </c>
      <c r="G158" s="8">
        <f t="shared" si="5"/>
        <v>42624.744490740741</v>
      </c>
    </row>
    <row r="159" spans="1:7" x14ac:dyDescent="0.25">
      <c r="A159" s="8">
        <v>42624.74527777778</v>
      </c>
      <c r="B159" s="23" t="s">
        <v>170</v>
      </c>
      <c r="C159" s="23" t="s">
        <v>408</v>
      </c>
      <c r="D159" s="23">
        <v>2020000</v>
      </c>
      <c r="E159" s="23" t="s">
        <v>303</v>
      </c>
      <c r="F159" s="23" t="str">
        <f t="shared" si="4"/>
        <v>rtdc.l.rtdc.4020:itc</v>
      </c>
      <c r="G159" s="8">
        <f t="shared" si="5"/>
        <v>42624.74527777778</v>
      </c>
    </row>
    <row r="160" spans="1:7" x14ac:dyDescent="0.25">
      <c r="A160" s="8">
        <v>42624.750983796293</v>
      </c>
      <c r="B160" s="23" t="s">
        <v>184</v>
      </c>
      <c r="C160" s="23" t="s">
        <v>612</v>
      </c>
      <c r="D160" s="23">
        <v>1180000</v>
      </c>
      <c r="E160" s="23" t="s">
        <v>692</v>
      </c>
      <c r="F160" s="23" t="str">
        <f t="shared" si="4"/>
        <v>rtdc.l.rtdc.4041:itc</v>
      </c>
      <c r="G160" s="8">
        <f t="shared" si="5"/>
        <v>42624.750983796293</v>
      </c>
    </row>
    <row r="161" spans="1:7" x14ac:dyDescent="0.25">
      <c r="A161" s="8">
        <v>42624.756493055553</v>
      </c>
      <c r="B161" s="23" t="s">
        <v>337</v>
      </c>
      <c r="C161" s="23" t="s">
        <v>556</v>
      </c>
      <c r="D161" s="23">
        <v>2150000</v>
      </c>
      <c r="E161" s="23" t="s">
        <v>376</v>
      </c>
      <c r="F161" s="23" t="str">
        <f t="shared" si="4"/>
        <v>rtdc.l.rtdc.4002:itc</v>
      </c>
      <c r="G161" s="8">
        <f t="shared" si="5"/>
        <v>42624.756493055553</v>
      </c>
    </row>
    <row r="162" spans="1:7" x14ac:dyDescent="0.25">
      <c r="A162" s="8">
        <v>42624.756736111114</v>
      </c>
      <c r="B162" s="23" t="s">
        <v>262</v>
      </c>
      <c r="C162" s="23" t="s">
        <v>621</v>
      </c>
      <c r="D162" s="23">
        <v>1810000</v>
      </c>
      <c r="E162" s="23" t="s">
        <v>375</v>
      </c>
      <c r="F162" s="23" t="str">
        <f t="shared" si="4"/>
        <v>rtdc.l.rtdc.4018:itc</v>
      </c>
      <c r="G162" s="8">
        <f t="shared" si="5"/>
        <v>42624.756736111114</v>
      </c>
    </row>
    <row r="163" spans="1:7" x14ac:dyDescent="0.25">
      <c r="A163" s="8">
        <v>42624.764849537038</v>
      </c>
      <c r="B163" s="23" t="s">
        <v>179</v>
      </c>
      <c r="C163" s="23" t="s">
        <v>615</v>
      </c>
      <c r="D163" s="23">
        <v>2140000</v>
      </c>
      <c r="E163" s="23" t="s">
        <v>693</v>
      </c>
      <c r="F163" s="23" t="str">
        <f t="shared" si="4"/>
        <v>rtdc.l.rtdc.4026:itc</v>
      </c>
      <c r="G163" s="8">
        <f t="shared" si="5"/>
        <v>42624.764849537038</v>
      </c>
    </row>
    <row r="164" spans="1:7" x14ac:dyDescent="0.25">
      <c r="A164" s="8">
        <v>42624.775393518517</v>
      </c>
      <c r="B164" s="23" t="s">
        <v>89</v>
      </c>
      <c r="C164" s="23" t="s">
        <v>618</v>
      </c>
      <c r="D164" s="23">
        <v>2110000</v>
      </c>
      <c r="E164" s="23" t="s">
        <v>307</v>
      </c>
      <c r="F164" s="23" t="str">
        <f t="shared" si="4"/>
        <v>rtdc.l.rtdc.4030:itc</v>
      </c>
      <c r="G164" s="8">
        <f t="shared" si="5"/>
        <v>42624.775393518517</v>
      </c>
    </row>
    <row r="165" spans="1:7" x14ac:dyDescent="0.25">
      <c r="A165" s="8">
        <v>42624.777245370373</v>
      </c>
      <c r="B165" s="23" t="s">
        <v>338</v>
      </c>
      <c r="C165" s="23" t="s">
        <v>559</v>
      </c>
      <c r="D165" s="23">
        <v>2150000</v>
      </c>
      <c r="E165" s="23" t="s">
        <v>376</v>
      </c>
      <c r="F165" s="23" t="str">
        <f t="shared" si="4"/>
        <v>rtdc.l.rtdc.4001:itc</v>
      </c>
      <c r="G165" s="8">
        <f t="shared" si="5"/>
        <v>42624.777245370373</v>
      </c>
    </row>
    <row r="166" spans="1:7" x14ac:dyDescent="0.25">
      <c r="A166" s="8">
        <v>42624.779826388891</v>
      </c>
      <c r="B166" s="23" t="s">
        <v>132</v>
      </c>
      <c r="C166" s="23" t="s">
        <v>656</v>
      </c>
      <c r="D166" s="23">
        <v>2040000</v>
      </c>
      <c r="E166" s="23" t="s">
        <v>192</v>
      </c>
      <c r="F166" s="23" t="str">
        <f t="shared" si="4"/>
        <v>rtdc.l.rtdc.4009:itc</v>
      </c>
      <c r="G166" s="8">
        <f t="shared" si="5"/>
        <v>42624.779826388891</v>
      </c>
    </row>
    <row r="167" spans="1:7" x14ac:dyDescent="0.25">
      <c r="A167" s="8">
        <v>42624.783831018518</v>
      </c>
      <c r="B167" s="23" t="s">
        <v>169</v>
      </c>
      <c r="C167" s="23" t="s">
        <v>620</v>
      </c>
      <c r="D167" s="23">
        <v>2020000</v>
      </c>
      <c r="E167" s="23" t="s">
        <v>303</v>
      </c>
      <c r="F167" s="23" t="str">
        <f t="shared" si="4"/>
        <v>rtdc.l.rtdc.4019:itc</v>
      </c>
      <c r="G167" s="8">
        <f t="shared" si="5"/>
        <v>42624.783831018518</v>
      </c>
    </row>
    <row r="168" spans="1:7" x14ac:dyDescent="0.25">
      <c r="A168" s="8">
        <v>42624.788194444445</v>
      </c>
      <c r="B168" s="23" t="s">
        <v>263</v>
      </c>
      <c r="C168" s="23" t="s">
        <v>622</v>
      </c>
      <c r="D168" s="23">
        <v>1810000</v>
      </c>
      <c r="E168" s="23" t="s">
        <v>375</v>
      </c>
      <c r="F168" s="23" t="str">
        <f t="shared" si="4"/>
        <v>rtdc.l.rtdc.4017:itc</v>
      </c>
      <c r="G168" s="8">
        <f t="shared" si="5"/>
        <v>42624.788194444445</v>
      </c>
    </row>
    <row r="169" spans="1:7" x14ac:dyDescent="0.25">
      <c r="A169" s="8">
        <v>42624.788321759261</v>
      </c>
      <c r="B169" s="23" t="s">
        <v>186</v>
      </c>
      <c r="C169" s="23" t="s">
        <v>624</v>
      </c>
      <c r="D169" s="23">
        <v>1180000</v>
      </c>
      <c r="E169" s="23" t="s">
        <v>692</v>
      </c>
      <c r="F169" s="23" t="str">
        <f t="shared" si="4"/>
        <v>rtdc.l.rtdc.4042:itc</v>
      </c>
      <c r="G169" s="8">
        <f t="shared" si="5"/>
        <v>42624.788321759261</v>
      </c>
    </row>
    <row r="170" spans="1:7" x14ac:dyDescent="0.25">
      <c r="A170" s="8">
        <v>42624.792974537035</v>
      </c>
      <c r="B170" s="23" t="s">
        <v>337</v>
      </c>
      <c r="C170" s="23" t="s">
        <v>561</v>
      </c>
      <c r="D170" s="23">
        <v>2150000</v>
      </c>
      <c r="E170" s="23" t="s">
        <v>376</v>
      </c>
      <c r="F170" s="23" t="str">
        <f t="shared" si="4"/>
        <v>rtdc.l.rtdc.4002:itc</v>
      </c>
      <c r="G170" s="8">
        <f t="shared" si="5"/>
        <v>42624.792974537035</v>
      </c>
    </row>
    <row r="171" spans="1:7" x14ac:dyDescent="0.25">
      <c r="A171" s="8">
        <v>42624.796944444446</v>
      </c>
      <c r="B171" s="23" t="s">
        <v>178</v>
      </c>
      <c r="C171" s="23" t="s">
        <v>658</v>
      </c>
      <c r="D171" s="23">
        <v>930000</v>
      </c>
      <c r="E171" s="23" t="s">
        <v>331</v>
      </c>
      <c r="F171" s="23" t="str">
        <f t="shared" si="4"/>
        <v>rtdc.l.rtdc.4025:itc</v>
      </c>
      <c r="G171" s="8">
        <f t="shared" si="5"/>
        <v>42624.796944444446</v>
      </c>
    </row>
    <row r="172" spans="1:7" x14ac:dyDescent="0.25">
      <c r="A172" s="8">
        <v>42624.808113425926</v>
      </c>
      <c r="B172" s="23" t="s">
        <v>369</v>
      </c>
      <c r="C172" s="23" t="s">
        <v>628</v>
      </c>
      <c r="D172" s="23">
        <v>2110000</v>
      </c>
      <c r="E172" s="23" t="s">
        <v>307</v>
      </c>
      <c r="F172" s="23" t="str">
        <f t="shared" si="4"/>
        <v>rtdc.l.rtdc.4029:itc</v>
      </c>
      <c r="G172" s="8">
        <f t="shared" si="5"/>
        <v>42624.808113425926</v>
      </c>
    </row>
    <row r="173" spans="1:7" x14ac:dyDescent="0.25">
      <c r="A173" s="8">
        <v>42624.809537037036</v>
      </c>
      <c r="B173" s="23" t="s">
        <v>266</v>
      </c>
      <c r="C173" s="23" t="s">
        <v>409</v>
      </c>
      <c r="D173" s="23">
        <v>1800000</v>
      </c>
      <c r="E173" s="23" t="s">
        <v>332</v>
      </c>
      <c r="F173" s="23" t="str">
        <f t="shared" si="4"/>
        <v>rtdc.l.rtdc.4039:itc</v>
      </c>
      <c r="G173" s="8">
        <f t="shared" si="5"/>
        <v>42624.809537037036</v>
      </c>
    </row>
    <row r="174" spans="1:7" x14ac:dyDescent="0.25">
      <c r="A174" s="8">
        <v>42624.817129629628</v>
      </c>
      <c r="B174" s="23" t="s">
        <v>170</v>
      </c>
      <c r="C174" s="23" t="s">
        <v>660</v>
      </c>
      <c r="D174" s="23">
        <v>2020000</v>
      </c>
      <c r="E174" s="23" t="s">
        <v>303</v>
      </c>
      <c r="F174" s="23" t="str">
        <f t="shared" si="4"/>
        <v>rtdc.l.rtdc.4020:itc</v>
      </c>
      <c r="G174" s="8">
        <f t="shared" si="5"/>
        <v>42624.817129629628</v>
      </c>
    </row>
    <row r="175" spans="1:7" x14ac:dyDescent="0.25">
      <c r="A175" s="8">
        <v>42624.818437499998</v>
      </c>
      <c r="B175" s="23" t="s">
        <v>338</v>
      </c>
      <c r="C175" s="23" t="s">
        <v>563</v>
      </c>
      <c r="D175" s="23">
        <v>2150000</v>
      </c>
      <c r="E175" s="23" t="s">
        <v>376</v>
      </c>
      <c r="F175" s="23" t="str">
        <f t="shared" si="4"/>
        <v>rtdc.l.rtdc.4001:itc</v>
      </c>
      <c r="G175" s="8">
        <f t="shared" si="5"/>
        <v>42624.818437499998</v>
      </c>
    </row>
    <row r="176" spans="1:7" x14ac:dyDescent="0.25">
      <c r="A176" s="8">
        <v>42624.824733796297</v>
      </c>
      <c r="B176" s="23" t="s">
        <v>184</v>
      </c>
      <c r="C176" s="23" t="s">
        <v>625</v>
      </c>
      <c r="D176" s="23">
        <v>1180000</v>
      </c>
      <c r="E176" s="23" t="s">
        <v>692</v>
      </c>
      <c r="F176" s="23" t="str">
        <f t="shared" si="4"/>
        <v>rtdc.l.rtdc.4041:itc</v>
      </c>
      <c r="G176" s="8">
        <f t="shared" si="5"/>
        <v>42624.824733796297</v>
      </c>
    </row>
    <row r="177" spans="1:7" x14ac:dyDescent="0.25">
      <c r="A177" s="8">
        <v>42624.828750000001</v>
      </c>
      <c r="B177" s="23" t="s">
        <v>262</v>
      </c>
      <c r="C177" s="23" t="s">
        <v>631</v>
      </c>
      <c r="D177" s="23">
        <v>1810000</v>
      </c>
      <c r="E177" s="23" t="s">
        <v>375</v>
      </c>
      <c r="F177" s="23" t="str">
        <f t="shared" si="4"/>
        <v>rtdc.l.rtdc.4018:itc</v>
      </c>
      <c r="G177" s="8">
        <f t="shared" si="5"/>
        <v>42624.828750000001</v>
      </c>
    </row>
    <row r="178" spans="1:7" x14ac:dyDescent="0.25">
      <c r="A178" s="8">
        <v>42624.832268518519</v>
      </c>
      <c r="B178" s="23" t="s">
        <v>337</v>
      </c>
      <c r="C178" s="23" t="s">
        <v>565</v>
      </c>
      <c r="D178" s="23">
        <v>2150000</v>
      </c>
      <c r="E178" s="23" t="s">
        <v>376</v>
      </c>
      <c r="F178" s="23" t="str">
        <f t="shared" si="4"/>
        <v>rtdc.l.rtdc.4002:itc</v>
      </c>
      <c r="G178" s="8">
        <f t="shared" si="5"/>
        <v>42624.832268518519</v>
      </c>
    </row>
    <row r="179" spans="1:7" x14ac:dyDescent="0.25">
      <c r="A179" s="8">
        <v>42624.848171296297</v>
      </c>
      <c r="B179" s="23" t="s">
        <v>89</v>
      </c>
      <c r="C179" s="23" t="s">
        <v>629</v>
      </c>
      <c r="D179" s="23">
        <v>2110000</v>
      </c>
      <c r="E179" s="23" t="s">
        <v>307</v>
      </c>
      <c r="F179" s="23" t="str">
        <f t="shared" si="4"/>
        <v>rtdc.l.rtdc.4030:itc</v>
      </c>
      <c r="G179" s="8">
        <f t="shared" si="5"/>
        <v>42624.848171296297</v>
      </c>
    </row>
    <row r="180" spans="1:7" x14ac:dyDescent="0.25">
      <c r="A180" s="8">
        <v>42624.853495370371</v>
      </c>
      <c r="B180" s="23" t="s">
        <v>305</v>
      </c>
      <c r="C180" s="23" t="s">
        <v>633</v>
      </c>
      <c r="D180" s="23">
        <v>1800000</v>
      </c>
      <c r="E180" s="23" t="s">
        <v>332</v>
      </c>
      <c r="F180" s="23" t="str">
        <f t="shared" si="4"/>
        <v>rtdc.l.rtdc.4040:itc</v>
      </c>
      <c r="G180" s="8">
        <f t="shared" si="5"/>
        <v>42624.853495370371</v>
      </c>
    </row>
    <row r="181" spans="1:7" x14ac:dyDescent="0.25">
      <c r="A181" s="8">
        <v>42624.860671296294</v>
      </c>
      <c r="B181" s="23" t="s">
        <v>338</v>
      </c>
      <c r="C181" s="23" t="s">
        <v>569</v>
      </c>
      <c r="D181" s="23">
        <v>2150000</v>
      </c>
      <c r="E181" s="23" t="s">
        <v>376</v>
      </c>
      <c r="F181" s="23" t="str">
        <f t="shared" si="4"/>
        <v>rtdc.l.rtdc.4001:itc</v>
      </c>
      <c r="G181" s="8">
        <f t="shared" si="5"/>
        <v>42624.860671296294</v>
      </c>
    </row>
    <row r="182" spans="1:7" x14ac:dyDescent="0.25">
      <c r="A182" s="8">
        <v>42624.865914351853</v>
      </c>
      <c r="B182" s="23" t="s">
        <v>263</v>
      </c>
      <c r="C182" s="23" t="s">
        <v>632</v>
      </c>
      <c r="D182" s="23">
        <v>1810000</v>
      </c>
      <c r="E182" s="23" t="s">
        <v>375</v>
      </c>
      <c r="F182" s="23" t="str">
        <f t="shared" si="4"/>
        <v>rtdc.l.rtdc.4017:itc</v>
      </c>
      <c r="G182" s="8">
        <f t="shared" si="5"/>
        <v>42624.865914351853</v>
      </c>
    </row>
    <row r="183" spans="1:7" x14ac:dyDescent="0.25">
      <c r="A183" s="8">
        <v>42624.868935185186</v>
      </c>
      <c r="B183" s="23" t="s">
        <v>186</v>
      </c>
      <c r="C183" s="23" t="s">
        <v>637</v>
      </c>
      <c r="D183" s="23">
        <v>1180000</v>
      </c>
      <c r="E183" s="23" t="s">
        <v>692</v>
      </c>
      <c r="F183" s="23" t="str">
        <f t="shared" si="4"/>
        <v>rtdc.l.rtdc.4042:itc</v>
      </c>
      <c r="G183" s="8">
        <f t="shared" si="5"/>
        <v>42624.868935185186</v>
      </c>
    </row>
    <row r="184" spans="1:7" x14ac:dyDescent="0.25">
      <c r="A184" s="8">
        <v>42624.873807870368</v>
      </c>
      <c r="B184" s="23" t="s">
        <v>337</v>
      </c>
      <c r="C184" s="23" t="s">
        <v>572</v>
      </c>
      <c r="D184" s="23">
        <v>2150000</v>
      </c>
      <c r="E184" s="23" t="s">
        <v>376</v>
      </c>
      <c r="F184" s="23" t="str">
        <f t="shared" si="4"/>
        <v>rtdc.l.rtdc.4002:itc</v>
      </c>
      <c r="G184" s="8">
        <f t="shared" si="5"/>
        <v>42624.873807870368</v>
      </c>
    </row>
    <row r="185" spans="1:7" x14ac:dyDescent="0.25">
      <c r="A185" s="8">
        <v>42624.890428240738</v>
      </c>
      <c r="B185" s="23" t="s">
        <v>369</v>
      </c>
      <c r="C185" s="23" t="s">
        <v>639</v>
      </c>
      <c r="D185" s="23">
        <v>2110000</v>
      </c>
      <c r="E185" s="23" t="s">
        <v>307</v>
      </c>
      <c r="F185" s="23" t="str">
        <f t="shared" si="4"/>
        <v>rtdc.l.rtdc.4029:itc</v>
      </c>
      <c r="G185" s="8">
        <f t="shared" si="5"/>
        <v>42624.890428240738</v>
      </c>
    </row>
    <row r="186" spans="1:7" x14ac:dyDescent="0.25">
      <c r="A186" s="8">
        <v>42624.892430555556</v>
      </c>
      <c r="B186" s="23" t="s">
        <v>266</v>
      </c>
      <c r="C186" s="23" t="s">
        <v>636</v>
      </c>
      <c r="D186" s="23">
        <v>1800000</v>
      </c>
      <c r="E186" s="23" t="s">
        <v>332</v>
      </c>
      <c r="F186" s="23" t="str">
        <f t="shared" si="4"/>
        <v>rtdc.l.rtdc.4039:itc</v>
      </c>
      <c r="G186" s="8">
        <f t="shared" si="5"/>
        <v>42624.892430555556</v>
      </c>
    </row>
    <row r="187" spans="1:7" x14ac:dyDescent="0.25">
      <c r="A187" s="8">
        <v>42624.900983796295</v>
      </c>
      <c r="B187" s="23" t="s">
        <v>262</v>
      </c>
      <c r="C187" s="23" t="s">
        <v>642</v>
      </c>
      <c r="D187" s="23">
        <v>1810000</v>
      </c>
      <c r="E187" s="23" t="s">
        <v>375</v>
      </c>
      <c r="F187" s="23" t="str">
        <f t="shared" si="4"/>
        <v>rtdc.l.rtdc.4018:itc</v>
      </c>
      <c r="G187" s="8">
        <f t="shared" si="5"/>
        <v>42624.900983796295</v>
      </c>
    </row>
    <row r="188" spans="1:7" x14ac:dyDescent="0.25">
      <c r="A188" s="8">
        <v>42624.901655092595</v>
      </c>
      <c r="B188" s="23" t="s">
        <v>338</v>
      </c>
      <c r="C188" s="23" t="s">
        <v>575</v>
      </c>
      <c r="D188" s="23">
        <v>2150000</v>
      </c>
      <c r="E188" s="23" t="s">
        <v>376</v>
      </c>
      <c r="F188" s="23" t="str">
        <f t="shared" si="4"/>
        <v>rtdc.l.rtdc.4001:itc</v>
      </c>
      <c r="G188" s="8">
        <f t="shared" si="5"/>
        <v>42624.901655092595</v>
      </c>
    </row>
    <row r="189" spans="1:7" x14ac:dyDescent="0.25">
      <c r="A189" s="8">
        <v>42624.908020833333</v>
      </c>
      <c r="B189" s="23" t="s">
        <v>184</v>
      </c>
      <c r="C189" s="23" t="s">
        <v>638</v>
      </c>
      <c r="D189" s="23">
        <v>1180000</v>
      </c>
      <c r="E189" s="23" t="s">
        <v>692</v>
      </c>
      <c r="F189" s="23" t="str">
        <f t="shared" si="4"/>
        <v>rtdc.l.rtdc.4041:itc</v>
      </c>
      <c r="G189" s="8">
        <f t="shared" si="5"/>
        <v>42624.908020833333</v>
      </c>
    </row>
    <row r="190" spans="1:7" x14ac:dyDescent="0.25">
      <c r="A190" s="8">
        <v>42624.916817129626</v>
      </c>
      <c r="B190" s="23" t="s">
        <v>337</v>
      </c>
      <c r="C190" s="23" t="s">
        <v>577</v>
      </c>
      <c r="D190" s="23">
        <v>2150000</v>
      </c>
      <c r="E190" s="23" t="s">
        <v>376</v>
      </c>
      <c r="F190" s="23" t="str">
        <f t="shared" si="4"/>
        <v>rtdc.l.rtdc.4002:itc</v>
      </c>
      <c r="G190" s="8">
        <f t="shared" si="5"/>
        <v>42624.916817129626</v>
      </c>
    </row>
    <row r="191" spans="1:7" x14ac:dyDescent="0.25">
      <c r="A191" s="8">
        <v>42624.930138888885</v>
      </c>
      <c r="B191" s="23" t="s">
        <v>89</v>
      </c>
      <c r="C191" s="23" t="s">
        <v>641</v>
      </c>
      <c r="D191" s="23">
        <v>2110000</v>
      </c>
      <c r="E191" s="23" t="s">
        <v>307</v>
      </c>
      <c r="F191" s="23" t="str">
        <f t="shared" si="4"/>
        <v>rtdc.l.rtdc.4030:itc</v>
      </c>
      <c r="G191" s="8">
        <f t="shared" si="5"/>
        <v>42624.930138888885</v>
      </c>
    </row>
    <row r="192" spans="1:7" x14ac:dyDescent="0.25">
      <c r="A192" s="8">
        <v>42624.937118055554</v>
      </c>
      <c r="B192" s="23" t="s">
        <v>305</v>
      </c>
      <c r="C192" s="23" t="s">
        <v>644</v>
      </c>
      <c r="D192" s="23">
        <v>1800000</v>
      </c>
      <c r="E192" s="23" t="s">
        <v>332</v>
      </c>
      <c r="F192" s="23" t="str">
        <f t="shared" si="4"/>
        <v>rtdc.l.rtdc.4040:itc</v>
      </c>
      <c r="G192" s="8">
        <f t="shared" si="5"/>
        <v>42624.937118055554</v>
      </c>
    </row>
    <row r="193" spans="1:7" x14ac:dyDescent="0.25">
      <c r="A193" s="8">
        <v>42624.943194444444</v>
      </c>
      <c r="B193" s="23" t="s">
        <v>263</v>
      </c>
      <c r="C193" s="23" t="s">
        <v>643</v>
      </c>
      <c r="D193" s="23">
        <v>1810000</v>
      </c>
      <c r="E193" s="23" t="s">
        <v>375</v>
      </c>
      <c r="F193" s="23" t="str">
        <f t="shared" si="4"/>
        <v>rtdc.l.rtdc.4017:itc</v>
      </c>
      <c r="G193" s="8">
        <f t="shared" si="5"/>
        <v>42624.943194444444</v>
      </c>
    </row>
    <row r="194" spans="1:7" x14ac:dyDescent="0.25">
      <c r="A194" s="8">
        <v>42624.943495370368</v>
      </c>
      <c r="B194" s="23" t="s">
        <v>338</v>
      </c>
      <c r="C194" s="23" t="s">
        <v>592</v>
      </c>
      <c r="D194" s="23">
        <v>2150000</v>
      </c>
      <c r="E194" s="23" t="s">
        <v>376</v>
      </c>
      <c r="F194" s="23" t="str">
        <f t="shared" ref="F194:F235" si="6">B194</f>
        <v>rtdc.l.rtdc.4001:itc</v>
      </c>
      <c r="G194" s="8">
        <f t="shared" ref="G194:G235" si="7">A194</f>
        <v>42624.943495370368</v>
      </c>
    </row>
    <row r="195" spans="1:7" x14ac:dyDescent="0.25">
      <c r="A195" s="8">
        <v>42624.952627314815</v>
      </c>
      <c r="B195" s="23" t="s">
        <v>186</v>
      </c>
      <c r="C195" s="23" t="s">
        <v>648</v>
      </c>
      <c r="D195" s="23">
        <v>1180000</v>
      </c>
      <c r="E195" s="23" t="s">
        <v>692</v>
      </c>
      <c r="F195" s="23" t="str">
        <f t="shared" si="6"/>
        <v>rtdc.l.rtdc.4042:itc</v>
      </c>
      <c r="G195" s="8">
        <f t="shared" si="7"/>
        <v>42624.952627314815</v>
      </c>
    </row>
    <row r="196" spans="1:7" x14ac:dyDescent="0.25">
      <c r="A196" s="8">
        <v>42624.970983796295</v>
      </c>
      <c r="B196" s="23" t="s">
        <v>369</v>
      </c>
      <c r="C196" s="23" t="s">
        <v>650</v>
      </c>
      <c r="D196" s="23">
        <v>2110000</v>
      </c>
      <c r="E196" s="23" t="s">
        <v>307</v>
      </c>
      <c r="F196" s="23" t="str">
        <f t="shared" si="6"/>
        <v>rtdc.l.rtdc.4029:itc</v>
      </c>
      <c r="G196" s="8">
        <f t="shared" si="7"/>
        <v>42624.970983796295</v>
      </c>
    </row>
    <row r="197" spans="1:7" x14ac:dyDescent="0.25">
      <c r="A197" s="8">
        <v>42624.974143518521</v>
      </c>
      <c r="B197" s="23" t="s">
        <v>266</v>
      </c>
      <c r="C197" s="23" t="s">
        <v>646</v>
      </c>
      <c r="D197" s="23">
        <v>1800000</v>
      </c>
      <c r="E197" s="23" t="s">
        <v>332</v>
      </c>
      <c r="F197" s="23" t="str">
        <f t="shared" si="6"/>
        <v>rtdc.l.rtdc.4039:itc</v>
      </c>
      <c r="G197" s="8">
        <f t="shared" si="7"/>
        <v>42624.974143518521</v>
      </c>
    </row>
    <row r="198" spans="1:7" x14ac:dyDescent="0.25">
      <c r="A198" s="8">
        <v>42624.983946759261</v>
      </c>
      <c r="B198" s="23" t="s">
        <v>262</v>
      </c>
      <c r="C198" s="23" t="s">
        <v>651</v>
      </c>
      <c r="D198" s="23">
        <v>1810000</v>
      </c>
      <c r="E198" s="23" t="s">
        <v>375</v>
      </c>
      <c r="F198" s="23" t="str">
        <f t="shared" si="6"/>
        <v>rtdc.l.rtdc.4018:itc</v>
      </c>
      <c r="G198" s="8">
        <f t="shared" si="7"/>
        <v>42624.983946759261</v>
      </c>
    </row>
    <row r="199" spans="1:7" x14ac:dyDescent="0.25">
      <c r="A199" s="8">
        <v>42624.992673611108</v>
      </c>
      <c r="B199" s="23" t="s">
        <v>184</v>
      </c>
      <c r="C199" s="23" t="s">
        <v>649</v>
      </c>
      <c r="D199" s="23">
        <v>1180000</v>
      </c>
      <c r="E199" s="23" t="s">
        <v>692</v>
      </c>
      <c r="F199" s="23" t="str">
        <f t="shared" si="6"/>
        <v>rtdc.l.rtdc.4041:itc</v>
      </c>
      <c r="G199" s="8">
        <f t="shared" si="7"/>
        <v>42624.992673611108</v>
      </c>
    </row>
    <row r="200" spans="1:7" x14ac:dyDescent="0.25">
      <c r="A200" s="8">
        <v>42625.013668981483</v>
      </c>
      <c r="B200" s="23" t="s">
        <v>89</v>
      </c>
      <c r="C200" s="23" t="s">
        <v>410</v>
      </c>
      <c r="D200" s="23">
        <v>2110000</v>
      </c>
      <c r="E200" s="23" t="s">
        <v>307</v>
      </c>
      <c r="F200" s="23" t="str">
        <f t="shared" si="6"/>
        <v>rtdc.l.rtdc.4030:itc</v>
      </c>
      <c r="G200" s="8">
        <f t="shared" si="7"/>
        <v>42625.013668981483</v>
      </c>
    </row>
    <row r="201" spans="1:7" x14ac:dyDescent="0.25">
      <c r="A201" s="8">
        <v>42625.019791666666</v>
      </c>
      <c r="B201" s="23" t="s">
        <v>305</v>
      </c>
      <c r="C201" s="23" t="s">
        <v>653</v>
      </c>
      <c r="D201" s="23">
        <v>1800000</v>
      </c>
      <c r="E201" s="23" t="s">
        <v>332</v>
      </c>
      <c r="F201" s="23" t="str">
        <f t="shared" si="6"/>
        <v>rtdc.l.rtdc.4040:itc</v>
      </c>
      <c r="G201" s="8">
        <f t="shared" si="7"/>
        <v>42625.019791666666</v>
      </c>
    </row>
    <row r="202" spans="1:7" x14ac:dyDescent="0.25">
      <c r="A202" s="29">
        <v>42625.026203703703</v>
      </c>
      <c r="B202" s="23" t="s">
        <v>263</v>
      </c>
      <c r="C202" s="23" t="s">
        <v>652</v>
      </c>
      <c r="D202" s="23">
        <v>1810000</v>
      </c>
      <c r="E202" s="23" t="s">
        <v>375</v>
      </c>
      <c r="F202" s="23" t="str">
        <f t="shared" si="6"/>
        <v>rtdc.l.rtdc.4017:itc</v>
      </c>
      <c r="G202" s="8">
        <f t="shared" si="7"/>
        <v>42625.026203703703</v>
      </c>
    </row>
    <row r="203" spans="1:7" x14ac:dyDescent="0.25">
      <c r="A203" s="8">
        <v>42625.027557870373</v>
      </c>
      <c r="B203" s="23" t="s">
        <v>186</v>
      </c>
      <c r="C203" s="23" t="s">
        <v>662</v>
      </c>
      <c r="D203" s="23">
        <v>1180000</v>
      </c>
      <c r="E203" s="23" t="s">
        <v>692</v>
      </c>
      <c r="F203" s="23" t="str">
        <f t="shared" si="6"/>
        <v>rtdc.l.rtdc.4042:itc</v>
      </c>
      <c r="G203" s="8">
        <f t="shared" si="7"/>
        <v>42625.027557870373</v>
      </c>
    </row>
    <row r="204" spans="1:7" x14ac:dyDescent="0.25">
      <c r="A204" s="8">
        <v>42625.029606481483</v>
      </c>
      <c r="B204" s="23" t="s">
        <v>186</v>
      </c>
      <c r="C204" s="23" t="s">
        <v>662</v>
      </c>
      <c r="D204" s="23">
        <v>1180000</v>
      </c>
      <c r="E204" s="23" t="s">
        <v>692</v>
      </c>
      <c r="F204" s="23" t="str">
        <f t="shared" si="6"/>
        <v>rtdc.l.rtdc.4042:itc</v>
      </c>
      <c r="G204" s="8">
        <f t="shared" si="7"/>
        <v>42625.029606481483</v>
      </c>
    </row>
    <row r="205" spans="1:7" x14ac:dyDescent="0.25">
      <c r="A205" s="8">
        <v>42625.049027777779</v>
      </c>
      <c r="B205" s="23" t="s">
        <v>369</v>
      </c>
      <c r="C205" s="23" t="s">
        <v>664</v>
      </c>
      <c r="D205" s="23">
        <v>2110000</v>
      </c>
      <c r="E205" s="23" t="s">
        <v>307</v>
      </c>
      <c r="F205" s="23" t="str">
        <f t="shared" si="6"/>
        <v>rtdc.l.rtdc.4029:itc</v>
      </c>
      <c r="G205" s="8">
        <f t="shared" si="7"/>
        <v>42625.049027777779</v>
      </c>
    </row>
    <row r="206" spans="1:7" x14ac:dyDescent="0.25">
      <c r="A206" s="8">
        <v>42625.058356481481</v>
      </c>
      <c r="B206" s="23" t="s">
        <v>266</v>
      </c>
      <c r="C206" s="23" t="s">
        <v>654</v>
      </c>
      <c r="D206" s="23">
        <v>1800000</v>
      </c>
      <c r="E206" s="23" t="s">
        <v>332</v>
      </c>
      <c r="F206" s="23" t="str">
        <f t="shared" si="6"/>
        <v>rtdc.l.rtdc.4039:itc</v>
      </c>
      <c r="G206" s="8">
        <f t="shared" si="7"/>
        <v>42625.058356481481</v>
      </c>
    </row>
    <row r="207" spans="1:7" x14ac:dyDescent="0.25">
      <c r="A207" s="8">
        <v>42625.067453703705</v>
      </c>
      <c r="B207" s="23" t="s">
        <v>262</v>
      </c>
      <c r="C207" s="23" t="s">
        <v>666</v>
      </c>
      <c r="D207" s="23">
        <v>1810000</v>
      </c>
      <c r="E207" s="23" t="s">
        <v>375</v>
      </c>
      <c r="F207" s="23" t="str">
        <f t="shared" si="6"/>
        <v>rtdc.l.rtdc.4018:itc</v>
      </c>
      <c r="G207" s="8">
        <f t="shared" si="7"/>
        <v>42625.067453703705</v>
      </c>
    </row>
    <row r="208" spans="1:7" x14ac:dyDescent="0.25">
      <c r="A208" s="8">
        <v>42625.090011574073</v>
      </c>
      <c r="B208" s="23" t="s">
        <v>305</v>
      </c>
      <c r="C208" s="23" t="s">
        <v>668</v>
      </c>
      <c r="D208" s="23">
        <v>1800000</v>
      </c>
      <c r="E208" s="23" t="s">
        <v>332</v>
      </c>
      <c r="F208" s="23" t="str">
        <f t="shared" si="6"/>
        <v>rtdc.l.rtdc.4040:itc</v>
      </c>
      <c r="G208" s="8">
        <f t="shared" si="7"/>
        <v>42625.090011574073</v>
      </c>
    </row>
    <row r="209" spans="1:7" x14ac:dyDescent="0.25">
      <c r="B209" s="23"/>
      <c r="C209" s="23"/>
      <c r="D209" s="23"/>
      <c r="E209" s="23"/>
      <c r="F209" s="23">
        <f t="shared" si="6"/>
        <v>0</v>
      </c>
      <c r="G209" s="8">
        <f t="shared" si="7"/>
        <v>0</v>
      </c>
    </row>
    <row r="210" spans="1:7" x14ac:dyDescent="0.25">
      <c r="A210" s="8">
        <v>42622.975787037038</v>
      </c>
      <c r="B210" s="23" t="s">
        <v>170</v>
      </c>
      <c r="C210" s="23" t="s">
        <v>321</v>
      </c>
      <c r="D210" s="23">
        <v>2000000</v>
      </c>
      <c r="E210" s="23" t="s">
        <v>125</v>
      </c>
      <c r="F210" s="23" t="str">
        <f t="shared" si="6"/>
        <v>rtdc.l.rtdc.4020:itc</v>
      </c>
      <c r="G210" s="8">
        <f t="shared" si="7"/>
        <v>42622.975787037038</v>
      </c>
    </row>
    <row r="211" spans="1:7" x14ac:dyDescent="0.25">
      <c r="A211" s="8">
        <v>42622.991574074076</v>
      </c>
      <c r="B211" s="23" t="s">
        <v>263</v>
      </c>
      <c r="C211" s="23" t="s">
        <v>320</v>
      </c>
      <c r="D211" s="23">
        <v>1300000</v>
      </c>
      <c r="E211" s="23" t="s">
        <v>124</v>
      </c>
      <c r="F211" s="23" t="str">
        <f t="shared" si="6"/>
        <v>rtdc.l.rtdc.4017:itc</v>
      </c>
      <c r="G211" s="8">
        <f t="shared" si="7"/>
        <v>42622.991574074076</v>
      </c>
    </row>
    <row r="212" spans="1:7" x14ac:dyDescent="0.25">
      <c r="A212" s="8">
        <v>42622.999363425923</v>
      </c>
      <c r="B212" s="23" t="s">
        <v>261</v>
      </c>
      <c r="C212" s="23" t="s">
        <v>322</v>
      </c>
      <c r="D212" s="23">
        <v>1800000</v>
      </c>
      <c r="E212" s="23" t="s">
        <v>332</v>
      </c>
      <c r="F212" s="23" t="str">
        <f t="shared" si="6"/>
        <v>rtdc.l.rtdc.4016:itc</v>
      </c>
      <c r="G212" s="8">
        <f t="shared" si="7"/>
        <v>42622.999363425923</v>
      </c>
    </row>
    <row r="213" spans="1:7" x14ac:dyDescent="0.25">
      <c r="A213" s="8">
        <v>42622.999432870369</v>
      </c>
      <c r="B213" s="23" t="s">
        <v>181</v>
      </c>
      <c r="C213" s="23" t="s">
        <v>323</v>
      </c>
      <c r="D213" s="23">
        <v>630000</v>
      </c>
      <c r="E213" s="23" t="b">
        <v>1</v>
      </c>
      <c r="F213" s="23" t="str">
        <f t="shared" si="6"/>
        <v>rtdc.l.rtdc.4051:itc</v>
      </c>
      <c r="G213" s="8">
        <f t="shared" si="7"/>
        <v>42622.999432870369</v>
      </c>
    </row>
    <row r="214" spans="1:7" x14ac:dyDescent="0.25">
      <c r="A214" s="8">
        <v>42623.002916666665</v>
      </c>
      <c r="B214" s="23" t="s">
        <v>181</v>
      </c>
      <c r="C214" s="23" t="s">
        <v>323</v>
      </c>
      <c r="D214" s="23">
        <v>630000</v>
      </c>
      <c r="E214" s="23" t="b">
        <v>1</v>
      </c>
      <c r="F214" s="23" t="str">
        <f t="shared" si="6"/>
        <v>rtdc.l.rtdc.4051:itc</v>
      </c>
      <c r="G214" s="8">
        <f t="shared" si="7"/>
        <v>42623.002916666665</v>
      </c>
    </row>
    <row r="215" spans="1:7" x14ac:dyDescent="0.25">
      <c r="A215" s="8">
        <v>42623.009953703702</v>
      </c>
      <c r="B215" s="23" t="s">
        <v>178</v>
      </c>
      <c r="C215" s="23" t="s">
        <v>333</v>
      </c>
      <c r="D215" s="23">
        <v>2370000</v>
      </c>
      <c r="E215" s="23" t="s">
        <v>306</v>
      </c>
      <c r="F215" s="23" t="str">
        <f t="shared" si="6"/>
        <v>rtdc.l.rtdc.4025:itc</v>
      </c>
      <c r="G215" s="8">
        <f t="shared" si="7"/>
        <v>42623.009953703702</v>
      </c>
    </row>
    <row r="216" spans="1:7" x14ac:dyDescent="0.25">
      <c r="A216" s="8">
        <v>42623.015023148146</v>
      </c>
      <c r="B216" s="23" t="s">
        <v>169</v>
      </c>
      <c r="C216" s="23" t="s">
        <v>334</v>
      </c>
      <c r="D216" s="23">
        <v>2000000</v>
      </c>
      <c r="E216" s="23" t="s">
        <v>125</v>
      </c>
      <c r="F216" s="23" t="str">
        <f t="shared" si="6"/>
        <v>rtdc.l.rtdc.4019:itc</v>
      </c>
      <c r="G216" s="8">
        <f t="shared" si="7"/>
        <v>42623.015023148146</v>
      </c>
    </row>
    <row r="217" spans="1:7" x14ac:dyDescent="0.25">
      <c r="A217" s="8">
        <v>42623.038472222222</v>
      </c>
      <c r="B217" s="23" t="s">
        <v>264</v>
      </c>
      <c r="C217" s="23" t="s">
        <v>335</v>
      </c>
      <c r="D217" s="23">
        <v>1800000</v>
      </c>
      <c r="E217" s="23" t="s">
        <v>332</v>
      </c>
      <c r="F217" s="23" t="str">
        <f t="shared" si="6"/>
        <v>rtdc.l.rtdc.4015:itc</v>
      </c>
      <c r="G217" s="8">
        <f t="shared" si="7"/>
        <v>42623.038472222222</v>
      </c>
    </row>
    <row r="218" spans="1:7" x14ac:dyDescent="0.25">
      <c r="B218" s="23"/>
      <c r="C218" s="23"/>
      <c r="D218" s="23"/>
      <c r="E218" s="23"/>
      <c r="F218" s="23">
        <f t="shared" si="6"/>
        <v>0</v>
      </c>
      <c r="G218" s="8">
        <f t="shared" si="7"/>
        <v>0</v>
      </c>
    </row>
    <row r="219" spans="1:7" x14ac:dyDescent="0.25">
      <c r="A219" s="8">
        <v>42621.947094907409</v>
      </c>
      <c r="B219" s="23" t="s">
        <v>262</v>
      </c>
      <c r="C219" s="23" t="s">
        <v>267</v>
      </c>
      <c r="D219" s="23">
        <v>2370000</v>
      </c>
      <c r="E219" s="23" t="s">
        <v>306</v>
      </c>
      <c r="F219" s="23" t="str">
        <f t="shared" si="6"/>
        <v>rtdc.l.rtdc.4018:itc</v>
      </c>
      <c r="G219" s="8">
        <f t="shared" si="7"/>
        <v>42621.947094907409</v>
      </c>
    </row>
    <row r="220" spans="1:7" x14ac:dyDescent="0.25">
      <c r="A220" s="8">
        <v>42621.951493055552</v>
      </c>
      <c r="B220" s="23" t="s">
        <v>308</v>
      </c>
      <c r="C220" s="23" t="s">
        <v>284</v>
      </c>
      <c r="D220" s="23">
        <v>2110000</v>
      </c>
      <c r="E220" s="23" t="s">
        <v>307</v>
      </c>
      <c r="F220" s="23" t="str">
        <f t="shared" si="6"/>
        <v>rtdc.l.rtdc.4028:itc</v>
      </c>
      <c r="G220" s="8">
        <f t="shared" si="7"/>
        <v>42621.951493055552</v>
      </c>
    </row>
    <row r="221" spans="1:7" x14ac:dyDescent="0.25">
      <c r="A221" s="8">
        <v>42621.952326388891</v>
      </c>
      <c r="B221" s="23" t="s">
        <v>308</v>
      </c>
      <c r="C221" s="23" t="s">
        <v>284</v>
      </c>
      <c r="D221" s="23">
        <v>2110000</v>
      </c>
      <c r="E221" s="23" t="s">
        <v>307</v>
      </c>
      <c r="F221" s="23" t="str">
        <f t="shared" si="6"/>
        <v>rtdc.l.rtdc.4028:itc</v>
      </c>
      <c r="G221" s="8">
        <f t="shared" si="7"/>
        <v>42621.952326388891</v>
      </c>
    </row>
    <row r="222" spans="1:7" x14ac:dyDescent="0.25">
      <c r="A222" s="8">
        <v>42621.953634259262</v>
      </c>
      <c r="B222" s="23" t="s">
        <v>308</v>
      </c>
      <c r="C222" s="23" t="s">
        <v>284</v>
      </c>
      <c r="D222" s="23">
        <v>2110000</v>
      </c>
      <c r="E222" s="23" t="s">
        <v>307</v>
      </c>
      <c r="F222" s="23" t="str">
        <f t="shared" si="6"/>
        <v>rtdc.l.rtdc.4028:itc</v>
      </c>
      <c r="G222" s="8">
        <f t="shared" si="7"/>
        <v>42621.953634259262</v>
      </c>
    </row>
    <row r="223" spans="1:7" x14ac:dyDescent="0.25">
      <c r="A223" s="8">
        <v>42621.966249999998</v>
      </c>
      <c r="B223" s="23" t="s">
        <v>261</v>
      </c>
      <c r="C223" s="23" t="s">
        <v>287</v>
      </c>
      <c r="D223" s="23">
        <v>2000000</v>
      </c>
      <c r="E223" s="23" t="s">
        <v>125</v>
      </c>
      <c r="F223" s="23" t="str">
        <f t="shared" si="6"/>
        <v>rtdc.l.rtdc.4016:itc</v>
      </c>
      <c r="G223" s="8">
        <f t="shared" si="7"/>
        <v>42621.966249999998</v>
      </c>
    </row>
    <row r="224" spans="1:7" x14ac:dyDescent="0.25">
      <c r="A224" s="8">
        <v>42621.971550925926</v>
      </c>
      <c r="B224" t="s">
        <v>89</v>
      </c>
      <c r="C224" t="s">
        <v>285</v>
      </c>
      <c r="D224">
        <v>1480000</v>
      </c>
      <c r="E224" t="s">
        <v>187</v>
      </c>
      <c r="F224" s="23" t="str">
        <f t="shared" si="6"/>
        <v>rtdc.l.rtdc.4030:itc</v>
      </c>
      <c r="G224" s="8">
        <f t="shared" si="7"/>
        <v>42621.971550925926</v>
      </c>
    </row>
    <row r="225" spans="1:7" x14ac:dyDescent="0.25">
      <c r="A225" s="8">
        <v>42621.991898148146</v>
      </c>
      <c r="B225" t="s">
        <v>109</v>
      </c>
      <c r="C225" t="s">
        <v>290</v>
      </c>
      <c r="D225">
        <v>2110000</v>
      </c>
      <c r="E225" t="s">
        <v>307</v>
      </c>
      <c r="F225" s="23" t="str">
        <f t="shared" si="6"/>
        <v>rtdc.l.rtdc.4031:itc</v>
      </c>
      <c r="G225" s="8">
        <f t="shared" si="7"/>
        <v>42621.991898148146</v>
      </c>
    </row>
    <row r="226" spans="1:7" x14ac:dyDescent="0.25">
      <c r="A226" s="8">
        <v>42621.992511574077</v>
      </c>
      <c r="B226" t="s">
        <v>109</v>
      </c>
      <c r="C226" t="s">
        <v>290</v>
      </c>
      <c r="D226">
        <v>2110000</v>
      </c>
      <c r="E226" t="s">
        <v>307</v>
      </c>
      <c r="F226" s="23" t="str">
        <f t="shared" si="6"/>
        <v>rtdc.l.rtdc.4031:itc</v>
      </c>
      <c r="G226" s="8">
        <f t="shared" si="7"/>
        <v>42621.992511574077</v>
      </c>
    </row>
    <row r="227" spans="1:7" x14ac:dyDescent="0.25">
      <c r="A227" s="8">
        <v>42621.993402777778</v>
      </c>
      <c r="B227" t="s">
        <v>169</v>
      </c>
      <c r="C227" t="s">
        <v>286</v>
      </c>
      <c r="D227">
        <v>2370000</v>
      </c>
      <c r="E227" t="s">
        <v>306</v>
      </c>
      <c r="F227" s="23" t="str">
        <f t="shared" si="6"/>
        <v>rtdc.l.rtdc.4019:itc</v>
      </c>
      <c r="G227" s="8">
        <f t="shared" si="7"/>
        <v>42621.993402777778</v>
      </c>
    </row>
    <row r="228" spans="1:7" x14ac:dyDescent="0.25">
      <c r="A228" s="8">
        <v>42621.993483796294</v>
      </c>
      <c r="B228" t="s">
        <v>109</v>
      </c>
      <c r="C228" t="s">
        <v>290</v>
      </c>
      <c r="D228">
        <v>2110000</v>
      </c>
      <c r="E228" t="s">
        <v>307</v>
      </c>
      <c r="F228" s="23" t="str">
        <f t="shared" si="6"/>
        <v>rtdc.l.rtdc.4031:itc</v>
      </c>
      <c r="G228" s="8">
        <f t="shared" si="7"/>
        <v>42621.993483796294</v>
      </c>
    </row>
    <row r="229" spans="1:7" x14ac:dyDescent="0.25">
      <c r="A229" s="8">
        <v>42622.014363425929</v>
      </c>
      <c r="B229" t="s">
        <v>179</v>
      </c>
      <c r="C229" t="s">
        <v>288</v>
      </c>
      <c r="D229">
        <v>2000000</v>
      </c>
      <c r="E229" t="s">
        <v>125</v>
      </c>
      <c r="F229" s="23" t="str">
        <f t="shared" si="6"/>
        <v>rtdc.l.rtdc.4026:itc</v>
      </c>
      <c r="G229" s="8">
        <f t="shared" si="7"/>
        <v>42622.014363425929</v>
      </c>
    </row>
    <row r="230" spans="1:7" x14ac:dyDescent="0.25">
      <c r="A230" s="8">
        <v>42622.016435185185</v>
      </c>
      <c r="B230" t="s">
        <v>107</v>
      </c>
      <c r="C230" t="s">
        <v>293</v>
      </c>
      <c r="D230">
        <v>2260000</v>
      </c>
      <c r="E230" t="s">
        <v>134</v>
      </c>
      <c r="F230" s="23" t="str">
        <f t="shared" si="6"/>
        <v>rtdc.l.rtdc.4014:itc</v>
      </c>
      <c r="G230" s="8">
        <f t="shared" si="7"/>
        <v>42622.016435185185</v>
      </c>
    </row>
    <row r="231" spans="1:7" x14ac:dyDescent="0.25">
      <c r="A231" s="8">
        <v>42622.033784722225</v>
      </c>
      <c r="B231" t="s">
        <v>262</v>
      </c>
      <c r="C231" t="s">
        <v>297</v>
      </c>
      <c r="D231">
        <v>2370000</v>
      </c>
      <c r="E231" t="s">
        <v>306</v>
      </c>
      <c r="F231" s="23" t="str">
        <f t="shared" si="6"/>
        <v>rtdc.l.rtdc.4018:itc</v>
      </c>
      <c r="G231" s="8">
        <f t="shared" si="7"/>
        <v>42622.033784722225</v>
      </c>
    </row>
    <row r="232" spans="1:7" x14ac:dyDescent="0.25">
      <c r="A232" s="8">
        <v>42622.036238425928</v>
      </c>
      <c r="B232" t="s">
        <v>308</v>
      </c>
      <c r="C232" t="s">
        <v>292</v>
      </c>
      <c r="D232">
        <v>2110000</v>
      </c>
      <c r="E232" t="s">
        <v>307</v>
      </c>
      <c r="F232" s="23" t="str">
        <f t="shared" si="6"/>
        <v>rtdc.l.rtdc.4028:itc</v>
      </c>
      <c r="G232" s="8">
        <f t="shared" si="7"/>
        <v>42622.036238425928</v>
      </c>
    </row>
    <row r="233" spans="1:7" x14ac:dyDescent="0.25">
      <c r="A233" s="8">
        <v>42622.037129629629</v>
      </c>
      <c r="B233" t="s">
        <v>308</v>
      </c>
      <c r="C233" t="s">
        <v>292</v>
      </c>
      <c r="D233">
        <v>2110000</v>
      </c>
      <c r="E233" t="s">
        <v>307</v>
      </c>
      <c r="F233" s="23" t="str">
        <f t="shared" si="6"/>
        <v>rtdc.l.rtdc.4028:itc</v>
      </c>
      <c r="G233" s="8">
        <f t="shared" si="7"/>
        <v>42622.037129629629</v>
      </c>
    </row>
    <row r="234" spans="1:7" x14ac:dyDescent="0.25">
      <c r="A234" s="8">
        <v>42622.049895833334</v>
      </c>
      <c r="B234" t="s">
        <v>261</v>
      </c>
      <c r="C234" t="s">
        <v>298</v>
      </c>
      <c r="D234">
        <v>2000000</v>
      </c>
      <c r="E234" t="s">
        <v>125</v>
      </c>
      <c r="F234" s="23" t="str">
        <f t="shared" si="6"/>
        <v>rtdc.l.rtdc.4016:itc</v>
      </c>
      <c r="G234" s="8">
        <f t="shared" si="7"/>
        <v>42622.049895833334</v>
      </c>
    </row>
    <row r="235" spans="1:7" x14ac:dyDescent="0.25">
      <c r="A235" s="8">
        <v>42622.057581018518</v>
      </c>
      <c r="B235" t="s">
        <v>89</v>
      </c>
      <c r="C235" t="s">
        <v>295</v>
      </c>
      <c r="D235">
        <v>2260000</v>
      </c>
      <c r="E235" t="s">
        <v>134</v>
      </c>
      <c r="F235" s="23" t="str">
        <f t="shared" si="6"/>
        <v>rtdc.l.rtdc.4030:itc</v>
      </c>
      <c r="G235" s="8">
        <f t="shared" si="7"/>
        <v>42622.057581018518</v>
      </c>
    </row>
    <row r="236" spans="1:7" x14ac:dyDescent="0.25">
      <c r="A236" s="8">
        <v>42622.071087962962</v>
      </c>
      <c r="B236" t="s">
        <v>109</v>
      </c>
      <c r="C236" t="s">
        <v>299</v>
      </c>
      <c r="D236">
        <v>2110000</v>
      </c>
      <c r="E236" t="s">
        <v>307</v>
      </c>
      <c r="F236" s="23" t="str">
        <f t="shared" ref="F236:F265" si="8">B236</f>
        <v>rtdc.l.rtdc.4031:itc</v>
      </c>
      <c r="G236" s="8">
        <f t="shared" ref="G236:G265" si="9">A236</f>
        <v>42622.071087962962</v>
      </c>
    </row>
    <row r="237" spans="1:7" x14ac:dyDescent="0.25">
      <c r="A237" s="8">
        <v>42622.072187500002</v>
      </c>
      <c r="B237" t="s">
        <v>109</v>
      </c>
      <c r="C237" t="s">
        <v>299</v>
      </c>
      <c r="D237">
        <v>2110000</v>
      </c>
      <c r="E237" t="s">
        <v>307</v>
      </c>
      <c r="F237" s="23" t="str">
        <f t="shared" si="8"/>
        <v>rtdc.l.rtdc.4031:itc</v>
      </c>
      <c r="G237" s="8">
        <f t="shared" si="9"/>
        <v>42622.072187500002</v>
      </c>
    </row>
    <row r="238" spans="1:7" x14ac:dyDescent="0.25">
      <c r="A238" s="8">
        <v>42622.09233796296</v>
      </c>
      <c r="B238" t="s">
        <v>107</v>
      </c>
      <c r="C238" t="s">
        <v>300</v>
      </c>
      <c r="D238">
        <v>2260000</v>
      </c>
      <c r="E238" t="s">
        <v>134</v>
      </c>
      <c r="F238" s="23" t="str">
        <f t="shared" si="8"/>
        <v>rtdc.l.rtdc.4014:itc</v>
      </c>
      <c r="G238" s="8">
        <f t="shared" si="9"/>
        <v>42622.09233796296</v>
      </c>
    </row>
    <row r="239" spans="1:7" x14ac:dyDescent="0.25">
      <c r="F239" s="23">
        <f t="shared" si="8"/>
        <v>0</v>
      </c>
      <c r="G239" s="8">
        <f t="shared" si="9"/>
        <v>0</v>
      </c>
    </row>
    <row r="240" spans="1:7" x14ac:dyDescent="0.25">
      <c r="A240" s="8">
        <v>42620.949236111112</v>
      </c>
      <c r="B240" t="s">
        <v>169</v>
      </c>
      <c r="C240" t="s">
        <v>194</v>
      </c>
      <c r="D240">
        <v>1300000</v>
      </c>
      <c r="E240" t="s">
        <v>124</v>
      </c>
      <c r="F240" s="23" t="str">
        <f t="shared" si="8"/>
        <v>rtdc.l.rtdc.4019:itc</v>
      </c>
      <c r="G240" s="8">
        <f t="shared" si="9"/>
        <v>42620.949236111112</v>
      </c>
    </row>
    <row r="241" spans="1:7" x14ac:dyDescent="0.25">
      <c r="A241" s="8">
        <v>42620.953900462962</v>
      </c>
      <c r="B241" t="s">
        <v>132</v>
      </c>
      <c r="C241" t="s">
        <v>195</v>
      </c>
      <c r="D241">
        <v>2260000</v>
      </c>
      <c r="E241" t="s">
        <v>134</v>
      </c>
      <c r="F241" s="23" t="str">
        <f t="shared" si="8"/>
        <v>rtdc.l.rtdc.4009:itc</v>
      </c>
      <c r="G241" s="8">
        <f t="shared" si="9"/>
        <v>42620.953900462962</v>
      </c>
    </row>
    <row r="242" spans="1:7" x14ac:dyDescent="0.25">
      <c r="A242" s="8">
        <v>42620.972349537034</v>
      </c>
      <c r="B242" t="s">
        <v>184</v>
      </c>
      <c r="C242" t="s">
        <v>196</v>
      </c>
      <c r="D242">
        <v>1200000</v>
      </c>
      <c r="E242" t="s">
        <v>193</v>
      </c>
      <c r="F242" s="23" t="str">
        <f t="shared" si="8"/>
        <v>rtdc.l.rtdc.4041:itc</v>
      </c>
      <c r="G242" s="8">
        <f t="shared" si="9"/>
        <v>42620.972349537034</v>
      </c>
    </row>
    <row r="243" spans="1:7" x14ac:dyDescent="0.25">
      <c r="A243" s="8">
        <v>42620.973622685182</v>
      </c>
      <c r="B243" t="s">
        <v>178</v>
      </c>
      <c r="C243" t="s">
        <v>197</v>
      </c>
      <c r="D243">
        <v>2000000</v>
      </c>
      <c r="E243" t="s">
        <v>125</v>
      </c>
      <c r="F243" s="23" t="str">
        <f t="shared" si="8"/>
        <v>rtdc.l.rtdc.4025:itc</v>
      </c>
      <c r="G243" s="8">
        <f t="shared" si="9"/>
        <v>42620.973622685182</v>
      </c>
    </row>
    <row r="244" spans="1:7" x14ac:dyDescent="0.25">
      <c r="A244" s="8">
        <v>42620.98945601852</v>
      </c>
      <c r="B244" t="s">
        <v>170</v>
      </c>
      <c r="C244" t="s">
        <v>198</v>
      </c>
      <c r="D244">
        <v>1300000</v>
      </c>
      <c r="E244" t="s">
        <v>124</v>
      </c>
      <c r="F244" s="23" t="str">
        <f t="shared" si="8"/>
        <v>rtdc.l.rtdc.4020:itc</v>
      </c>
      <c r="G244" s="8">
        <f t="shared" si="9"/>
        <v>42620.98945601852</v>
      </c>
    </row>
    <row r="245" spans="1:7" x14ac:dyDescent="0.25">
      <c r="A245" s="8">
        <v>42620.993078703701</v>
      </c>
      <c r="B245" t="s">
        <v>185</v>
      </c>
      <c r="C245" t="s">
        <v>199</v>
      </c>
      <c r="D245">
        <v>2260000</v>
      </c>
      <c r="E245" t="s">
        <v>134</v>
      </c>
      <c r="F245" s="23" t="str">
        <f t="shared" si="8"/>
        <v>rtdc.l.rtdc.4010:itc</v>
      </c>
      <c r="G245" s="8">
        <f t="shared" si="9"/>
        <v>42620.993078703701</v>
      </c>
    </row>
    <row r="246" spans="1:7" x14ac:dyDescent="0.25">
      <c r="A246" s="8">
        <v>42621.016006944446</v>
      </c>
      <c r="B246" t="s">
        <v>179</v>
      </c>
      <c r="C246" t="s">
        <v>200</v>
      </c>
      <c r="D246">
        <v>2000000</v>
      </c>
      <c r="E246" t="s">
        <v>125</v>
      </c>
      <c r="F246" s="23" t="str">
        <f t="shared" si="8"/>
        <v>rtdc.l.rtdc.4026:itc</v>
      </c>
      <c r="G246" s="8">
        <f t="shared" si="9"/>
        <v>42621.016006944446</v>
      </c>
    </row>
    <row r="247" spans="1:7" x14ac:dyDescent="0.25">
      <c r="A247" s="8">
        <v>42621.018935185188</v>
      </c>
      <c r="B247" t="s">
        <v>186</v>
      </c>
      <c r="C247" t="s">
        <v>201</v>
      </c>
      <c r="D247">
        <v>1290000</v>
      </c>
      <c r="E247" t="s">
        <v>180</v>
      </c>
      <c r="F247" s="23" t="str">
        <f t="shared" si="8"/>
        <v>rtdc.l.rtdc.4042:itc</v>
      </c>
      <c r="G247" s="8">
        <f t="shared" si="9"/>
        <v>42621.018935185188</v>
      </c>
    </row>
    <row r="248" spans="1:7" x14ac:dyDescent="0.25">
      <c r="A248" s="8">
        <v>42621.028819444444</v>
      </c>
      <c r="B248" t="s">
        <v>132</v>
      </c>
      <c r="C248" t="s">
        <v>202</v>
      </c>
      <c r="D248">
        <v>2260000</v>
      </c>
      <c r="E248" t="s">
        <v>134</v>
      </c>
      <c r="F248" s="23" t="str">
        <f t="shared" si="8"/>
        <v>rtdc.l.rtdc.4009:itc</v>
      </c>
      <c r="G248" s="8">
        <f t="shared" si="9"/>
        <v>42621.028819444444</v>
      </c>
    </row>
    <row r="249" spans="1:7" x14ac:dyDescent="0.25">
      <c r="A249" s="8">
        <v>42621.030104166668</v>
      </c>
      <c r="B249" t="s">
        <v>132</v>
      </c>
      <c r="C249" t="s">
        <v>202</v>
      </c>
      <c r="D249">
        <v>2260000</v>
      </c>
      <c r="E249" t="s">
        <v>134</v>
      </c>
      <c r="F249" s="23" t="str">
        <f t="shared" si="8"/>
        <v>rtdc.l.rtdc.4009:itc</v>
      </c>
      <c r="G249" s="8">
        <f t="shared" si="9"/>
        <v>42621.030104166668</v>
      </c>
    </row>
    <row r="250" spans="1:7" x14ac:dyDescent="0.25">
      <c r="A250" s="8">
        <v>42621.030486111114</v>
      </c>
      <c r="B250" t="s">
        <v>169</v>
      </c>
      <c r="C250" t="s">
        <v>203</v>
      </c>
      <c r="D250">
        <v>1300000</v>
      </c>
      <c r="E250" t="s">
        <v>124</v>
      </c>
      <c r="F250" s="23" t="str">
        <f t="shared" si="8"/>
        <v>rtdc.l.rtdc.4019:itc</v>
      </c>
      <c r="G250" s="8">
        <f t="shared" si="9"/>
        <v>42621.030486111114</v>
      </c>
    </row>
    <row r="251" spans="1:7" x14ac:dyDescent="0.25">
      <c r="A251" s="8">
        <v>42621.032002314816</v>
      </c>
      <c r="B251" t="s">
        <v>132</v>
      </c>
      <c r="C251" t="s">
        <v>202</v>
      </c>
      <c r="D251">
        <v>2260000</v>
      </c>
      <c r="E251" t="s">
        <v>134</v>
      </c>
      <c r="F251" s="23" t="str">
        <f t="shared" si="8"/>
        <v>rtdc.l.rtdc.4009:itc</v>
      </c>
      <c r="G251" s="8">
        <f t="shared" si="9"/>
        <v>42621.032002314816</v>
      </c>
    </row>
    <row r="252" spans="1:7" x14ac:dyDescent="0.25">
      <c r="A252" s="8">
        <v>42621.036562499998</v>
      </c>
      <c r="B252" t="s">
        <v>181</v>
      </c>
      <c r="C252" t="s">
        <v>204</v>
      </c>
      <c r="D252">
        <v>630000</v>
      </c>
      <c r="E252" t="b">
        <v>1</v>
      </c>
      <c r="F252" s="23" t="str">
        <f t="shared" si="8"/>
        <v>rtdc.l.rtdc.4051:itc</v>
      </c>
      <c r="G252" s="8">
        <f t="shared" si="9"/>
        <v>42621.036562499998</v>
      </c>
    </row>
    <row r="253" spans="1:7" x14ac:dyDescent="0.25">
      <c r="A253" s="8">
        <v>42621.049062500002</v>
      </c>
      <c r="B253" t="s">
        <v>178</v>
      </c>
      <c r="C253" t="s">
        <v>200</v>
      </c>
      <c r="D253">
        <v>2000000</v>
      </c>
      <c r="E253" t="s">
        <v>125</v>
      </c>
      <c r="F253" s="23" t="str">
        <f t="shared" si="8"/>
        <v>rtdc.l.rtdc.4025:itc</v>
      </c>
      <c r="G253" s="8">
        <f t="shared" si="9"/>
        <v>42621.049062500002</v>
      </c>
    </row>
    <row r="254" spans="1:7" x14ac:dyDescent="0.25">
      <c r="A254" s="8">
        <v>42621.055185185185</v>
      </c>
      <c r="B254" t="s">
        <v>184</v>
      </c>
      <c r="C254" t="s">
        <v>205</v>
      </c>
      <c r="D254">
        <v>1290000</v>
      </c>
      <c r="E254" t="s">
        <v>180</v>
      </c>
      <c r="F254" s="23" t="str">
        <f t="shared" si="8"/>
        <v>rtdc.l.rtdc.4041:itc</v>
      </c>
      <c r="G254" s="8">
        <f t="shared" si="9"/>
        <v>42621.055185185185</v>
      </c>
    </row>
    <row r="255" spans="1:7" x14ac:dyDescent="0.25">
      <c r="A255" s="8">
        <v>42621.056435185186</v>
      </c>
      <c r="B255" t="s">
        <v>182</v>
      </c>
      <c r="C255" t="s">
        <v>206</v>
      </c>
      <c r="D255">
        <v>630000</v>
      </c>
      <c r="E255" t="b">
        <v>1</v>
      </c>
      <c r="F255" s="23" t="str">
        <f t="shared" si="8"/>
        <v>rtdc.l.rtdc.4052:itc</v>
      </c>
      <c r="G255" s="8">
        <f t="shared" si="9"/>
        <v>42621.056435185186</v>
      </c>
    </row>
    <row r="256" spans="1:7" x14ac:dyDescent="0.25">
      <c r="A256" s="8">
        <v>42621.076898148145</v>
      </c>
      <c r="B256" t="s">
        <v>181</v>
      </c>
      <c r="C256" t="s">
        <v>204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42621.076898148145</v>
      </c>
    </row>
    <row r="257" spans="1:7" x14ac:dyDescent="0.25">
      <c r="A257" s="8">
        <v>42621.091458333336</v>
      </c>
      <c r="B257" t="s">
        <v>191</v>
      </c>
      <c r="C257" t="s">
        <v>207</v>
      </c>
      <c r="D257">
        <v>1290000</v>
      </c>
      <c r="E257" t="s">
        <v>180</v>
      </c>
      <c r="F257" s="23" t="str">
        <f t="shared" si="8"/>
        <v>rtdc.l.rtdc.4046:itc</v>
      </c>
      <c r="G257" s="8">
        <f t="shared" si="9"/>
        <v>42621.091458333336</v>
      </c>
    </row>
    <row r="258" spans="1:7" x14ac:dyDescent="0.25">
      <c r="A258" s="8">
        <v>42621.100474537037</v>
      </c>
      <c r="B258" t="s">
        <v>182</v>
      </c>
      <c r="C258" t="s">
        <v>206</v>
      </c>
      <c r="D258">
        <v>630000</v>
      </c>
      <c r="E258" t="b">
        <v>1</v>
      </c>
      <c r="F258" s="23" t="str">
        <f t="shared" si="8"/>
        <v>rtdc.l.rtdc.4052:itc</v>
      </c>
      <c r="G258" s="8">
        <f t="shared" si="9"/>
        <v>42621.100474537037</v>
      </c>
    </row>
    <row r="259" spans="1:7" x14ac:dyDescent="0.25">
      <c r="F259" s="23">
        <f t="shared" si="8"/>
        <v>0</v>
      </c>
      <c r="G259" s="8">
        <f t="shared" si="9"/>
        <v>0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F261" s="23">
        <f t="shared" si="8"/>
        <v>0</v>
      </c>
      <c r="G261" s="8">
        <f t="shared" si="9"/>
        <v>0</v>
      </c>
    </row>
    <row r="262" spans="1:7" x14ac:dyDescent="0.25">
      <c r="F262" s="23">
        <f t="shared" si="8"/>
        <v>0</v>
      </c>
      <c r="G262" s="8">
        <f t="shared" si="9"/>
        <v>0</v>
      </c>
    </row>
    <row r="263" spans="1:7" x14ac:dyDescent="0.25">
      <c r="F263" s="23">
        <f t="shared" si="8"/>
        <v>0</v>
      </c>
      <c r="G263" s="8">
        <f t="shared" si="9"/>
        <v>0</v>
      </c>
    </row>
    <row r="264" spans="1:7" x14ac:dyDescent="0.25">
      <c r="F264" s="23">
        <f t="shared" si="8"/>
        <v>0</v>
      </c>
      <c r="G264" s="8">
        <f t="shared" si="9"/>
        <v>0</v>
      </c>
    </row>
    <row r="265" spans="1:7" x14ac:dyDescent="0.25">
      <c r="F265" s="23">
        <f t="shared" si="8"/>
        <v>0</v>
      </c>
      <c r="G265" s="8">
        <f t="shared" si="9"/>
        <v>0</v>
      </c>
    </row>
    <row r="266" spans="1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3">
        <f t="shared" si="10"/>
        <v>0</v>
      </c>
      <c r="G267" s="8">
        <f t="shared" si="11"/>
        <v>0</v>
      </c>
    </row>
    <row r="268" spans="1:7" x14ac:dyDescent="0.25">
      <c r="F268" s="23">
        <f t="shared" si="10"/>
        <v>0</v>
      </c>
      <c r="G268" s="8">
        <f t="shared" si="11"/>
        <v>0</v>
      </c>
    </row>
    <row r="269" spans="1:7" x14ac:dyDescent="0.25">
      <c r="F269" s="23">
        <f t="shared" si="10"/>
        <v>0</v>
      </c>
      <c r="G269" s="8">
        <f t="shared" si="11"/>
        <v>0</v>
      </c>
    </row>
    <row r="270" spans="1:7" x14ac:dyDescent="0.25">
      <c r="F270" s="23">
        <f t="shared" si="10"/>
        <v>0</v>
      </c>
      <c r="G270" s="8">
        <f t="shared" si="11"/>
        <v>0</v>
      </c>
    </row>
    <row r="271" spans="1:7" x14ac:dyDescent="0.25">
      <c r="F271" s="23">
        <f t="shared" si="10"/>
        <v>0</v>
      </c>
      <c r="G271" s="8">
        <f t="shared" si="11"/>
        <v>0</v>
      </c>
    </row>
    <row r="272" spans="1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/>
  </sheetPr>
  <dimension ref="A1:Q33"/>
  <sheetViews>
    <sheetView workbookViewId="0"/>
  </sheetViews>
  <sheetFormatPr defaultRowHeight="15" x14ac:dyDescent="0.25"/>
  <cols>
    <col min="1" max="1" width="22.5703125" style="154" customWidth="1"/>
    <col min="2" max="2" width="8.140625" style="154" bestFit="1" customWidth="1"/>
    <col min="3" max="3" width="12.28515625" style="154" bestFit="1" customWidth="1"/>
    <col min="4" max="4" width="18.28515625" style="154" bestFit="1" customWidth="1"/>
    <col min="5" max="5" width="9.5703125" style="154" bestFit="1" customWidth="1"/>
    <col min="6" max="6" width="9" style="154" bestFit="1" customWidth="1"/>
    <col min="7" max="7" width="8.5703125" style="154" bestFit="1" customWidth="1"/>
    <col min="8" max="8" width="13.7109375" style="154" bestFit="1" customWidth="1"/>
    <col min="9" max="9" width="20.85546875" style="154" bestFit="1" customWidth="1"/>
    <col min="10" max="10" width="8.7109375" style="154" bestFit="1" customWidth="1"/>
    <col min="11" max="13" width="11" style="154" bestFit="1" customWidth="1"/>
    <col min="14" max="14" width="12.140625" style="154" bestFit="1" customWidth="1"/>
    <col min="15" max="15" width="14.5703125" style="154" bestFit="1" customWidth="1"/>
    <col min="16" max="16" width="16.42578125" style="154" bestFit="1" customWidth="1"/>
    <col min="17" max="17" width="9.140625" style="154"/>
    <col min="18" max="16384" width="9.140625" style="115"/>
  </cols>
  <sheetData>
    <row r="1" spans="1:17" s="156" customFormat="1" x14ac:dyDescent="0.25">
      <c r="A1" s="155" t="s">
        <v>216</v>
      </c>
      <c r="B1" s="155" t="s">
        <v>219</v>
      </c>
      <c r="C1" s="155" t="s">
        <v>212</v>
      </c>
      <c r="D1" s="155" t="s">
        <v>301</v>
      </c>
      <c r="E1" s="155" t="s">
        <v>213</v>
      </c>
      <c r="F1" s="155" t="s">
        <v>211</v>
      </c>
      <c r="G1" s="155" t="s">
        <v>209</v>
      </c>
      <c r="H1" s="155" t="s">
        <v>222</v>
      </c>
      <c r="I1" s="155" t="s">
        <v>223</v>
      </c>
      <c r="J1" s="155" t="s">
        <v>677</v>
      </c>
      <c r="K1" s="155" t="s">
        <v>217</v>
      </c>
      <c r="L1" s="155" t="s">
        <v>215</v>
      </c>
      <c r="M1" s="155" t="s">
        <v>210</v>
      </c>
      <c r="N1" s="155" t="s">
        <v>220</v>
      </c>
      <c r="O1" s="155" t="s">
        <v>214</v>
      </c>
      <c r="P1" s="155" t="s">
        <v>221</v>
      </c>
      <c r="Q1" s="155" t="s">
        <v>218</v>
      </c>
    </row>
    <row r="2" spans="1:17" x14ac:dyDescent="0.25">
      <c r="A2" s="154">
        <v>59.23</v>
      </c>
      <c r="B2" s="154">
        <v>0.18</v>
      </c>
      <c r="C2" s="154">
        <v>32.72</v>
      </c>
      <c r="D2" s="169">
        <v>42624</v>
      </c>
      <c r="E2" s="154">
        <v>0.37</v>
      </c>
      <c r="F2" s="154" t="s">
        <v>225</v>
      </c>
      <c r="G2" s="154">
        <v>279.76</v>
      </c>
      <c r="H2" s="154">
        <v>0</v>
      </c>
      <c r="I2" s="154">
        <v>0</v>
      </c>
      <c r="K2" s="154">
        <v>1017.05</v>
      </c>
      <c r="L2" s="154" t="s">
        <v>226</v>
      </c>
      <c r="M2" s="154">
        <v>59.23</v>
      </c>
      <c r="N2" s="154">
        <v>1473573600</v>
      </c>
      <c r="O2" s="154">
        <v>9.08</v>
      </c>
      <c r="P2" s="154">
        <v>231</v>
      </c>
      <c r="Q2" s="154">
        <v>3.71</v>
      </c>
    </row>
    <row r="3" spans="1:17" x14ac:dyDescent="0.25">
      <c r="A3" s="154">
        <v>57.58</v>
      </c>
      <c r="B3" s="154">
        <v>0.15</v>
      </c>
      <c r="C3" s="154">
        <v>32.08</v>
      </c>
      <c r="D3" s="169">
        <v>42624.041666666664</v>
      </c>
      <c r="E3" s="154">
        <v>0.38</v>
      </c>
      <c r="F3" s="154" t="s">
        <v>225</v>
      </c>
      <c r="G3" s="154">
        <v>279.98</v>
      </c>
      <c r="H3" s="154">
        <v>0</v>
      </c>
      <c r="I3" s="154">
        <v>0</v>
      </c>
      <c r="K3" s="154">
        <v>1017.42</v>
      </c>
      <c r="L3" s="154" t="s">
        <v>226</v>
      </c>
      <c r="M3" s="154">
        <v>57.58</v>
      </c>
      <c r="N3" s="154">
        <v>1473577200</v>
      </c>
      <c r="O3" s="154">
        <v>9.18</v>
      </c>
      <c r="P3" s="154">
        <v>226</v>
      </c>
      <c r="Q3" s="154">
        <v>3.99</v>
      </c>
    </row>
    <row r="4" spans="1:17" x14ac:dyDescent="0.25">
      <c r="A4" s="154">
        <v>56.67</v>
      </c>
      <c r="B4" s="154">
        <v>0.17</v>
      </c>
      <c r="C4" s="154">
        <v>31.81</v>
      </c>
      <c r="D4" s="169">
        <v>42624.083333333336</v>
      </c>
      <c r="E4" s="154">
        <v>0.39</v>
      </c>
      <c r="F4" s="154" t="s">
        <v>225</v>
      </c>
      <c r="G4" s="154">
        <v>280.19</v>
      </c>
      <c r="H4" s="154">
        <v>0</v>
      </c>
      <c r="I4" s="154">
        <v>0</v>
      </c>
      <c r="K4" s="154">
        <v>1017.73</v>
      </c>
      <c r="L4" s="154" t="s">
        <v>226</v>
      </c>
      <c r="M4" s="154">
        <v>56.67</v>
      </c>
      <c r="N4" s="154">
        <v>1473580800</v>
      </c>
      <c r="O4" s="154">
        <v>9.15</v>
      </c>
      <c r="P4" s="154">
        <v>234</v>
      </c>
      <c r="Q4" s="154">
        <v>3.92</v>
      </c>
    </row>
    <row r="5" spans="1:17" x14ac:dyDescent="0.25">
      <c r="A5" s="154">
        <v>55.01</v>
      </c>
      <c r="B5" s="154">
        <v>0.17</v>
      </c>
      <c r="C5" s="154">
        <v>31.13</v>
      </c>
      <c r="D5" s="169">
        <v>42624.125</v>
      </c>
      <c r="E5" s="154">
        <v>0.4</v>
      </c>
      <c r="F5" s="154" t="s">
        <v>225</v>
      </c>
      <c r="G5" s="154">
        <v>280.39999999999998</v>
      </c>
      <c r="H5" s="154">
        <v>0</v>
      </c>
      <c r="I5" s="154">
        <v>0</v>
      </c>
      <c r="K5" s="154">
        <v>1017.98</v>
      </c>
      <c r="L5" s="154" t="s">
        <v>226</v>
      </c>
      <c r="M5" s="154">
        <v>55.01</v>
      </c>
      <c r="N5" s="154">
        <v>1473584400</v>
      </c>
      <c r="O5" s="154">
        <v>9.0500000000000007</v>
      </c>
      <c r="P5" s="154">
        <v>230</v>
      </c>
      <c r="Q5" s="154">
        <v>4.04</v>
      </c>
    </row>
    <row r="6" spans="1:17" x14ac:dyDescent="0.25">
      <c r="A6" s="154">
        <v>54.37</v>
      </c>
      <c r="B6" s="154">
        <v>0.15</v>
      </c>
      <c r="C6" s="154">
        <v>30.73</v>
      </c>
      <c r="D6" s="169">
        <v>42624.166666666664</v>
      </c>
      <c r="E6" s="154">
        <v>0.4</v>
      </c>
      <c r="F6" s="154" t="s">
        <v>225</v>
      </c>
      <c r="G6" s="154">
        <v>280.51</v>
      </c>
      <c r="H6" s="154">
        <v>0</v>
      </c>
      <c r="I6" s="154">
        <v>0</v>
      </c>
      <c r="K6" s="154">
        <v>1017.78</v>
      </c>
      <c r="L6" s="154" t="s">
        <v>226</v>
      </c>
      <c r="M6" s="154">
        <v>54.37</v>
      </c>
      <c r="N6" s="154">
        <v>1473588000</v>
      </c>
      <c r="O6" s="154">
        <v>9.17</v>
      </c>
      <c r="P6" s="154">
        <v>221</v>
      </c>
      <c r="Q6" s="154">
        <v>4.21</v>
      </c>
    </row>
    <row r="7" spans="1:17" x14ac:dyDescent="0.25">
      <c r="A7" s="154">
        <v>53.14</v>
      </c>
      <c r="B7" s="154">
        <v>0.21</v>
      </c>
      <c r="C7" s="154">
        <v>29.17</v>
      </c>
      <c r="D7" s="169">
        <v>42624.208333333336</v>
      </c>
      <c r="E7" s="154">
        <v>0.4</v>
      </c>
      <c r="F7" s="154" t="s">
        <v>225</v>
      </c>
      <c r="G7" s="154">
        <v>280.56</v>
      </c>
      <c r="H7" s="154">
        <v>0</v>
      </c>
      <c r="I7" s="154">
        <v>0</v>
      </c>
      <c r="K7" s="154">
        <v>1017.37</v>
      </c>
      <c r="L7" s="154" t="s">
        <v>226</v>
      </c>
      <c r="M7" s="154">
        <v>53.14</v>
      </c>
      <c r="N7" s="154">
        <v>1473591600</v>
      </c>
      <c r="O7" s="154">
        <v>8.86</v>
      </c>
      <c r="P7" s="154">
        <v>221</v>
      </c>
      <c r="Q7" s="154">
        <v>4.42</v>
      </c>
    </row>
    <row r="8" spans="1:17" x14ac:dyDescent="0.25">
      <c r="A8" s="154">
        <v>54.06</v>
      </c>
      <c r="B8" s="154">
        <v>0.21</v>
      </c>
      <c r="C8" s="154">
        <v>28.55</v>
      </c>
      <c r="D8" s="169">
        <v>42624.25</v>
      </c>
      <c r="E8" s="154">
        <v>0.37</v>
      </c>
      <c r="F8" s="154" t="s">
        <v>225</v>
      </c>
      <c r="G8" s="154">
        <v>280.5</v>
      </c>
      <c r="H8" s="154">
        <v>0</v>
      </c>
      <c r="I8" s="154">
        <v>0</v>
      </c>
      <c r="K8" s="154">
        <v>1016.89</v>
      </c>
      <c r="L8" s="154" t="s">
        <v>226</v>
      </c>
      <c r="M8" s="154">
        <v>54.06</v>
      </c>
      <c r="N8" s="154">
        <v>1473595200</v>
      </c>
      <c r="O8" s="154">
        <v>8.27</v>
      </c>
      <c r="P8" s="154">
        <v>216</v>
      </c>
      <c r="Q8" s="154">
        <v>4.1500000000000004</v>
      </c>
    </row>
    <row r="9" spans="1:17" x14ac:dyDescent="0.25">
      <c r="A9" s="154">
        <v>54.39</v>
      </c>
      <c r="B9" s="154">
        <v>0.25</v>
      </c>
      <c r="C9" s="154">
        <v>29.31</v>
      </c>
      <c r="D9" s="169">
        <v>42624.291666666664</v>
      </c>
      <c r="E9" s="154">
        <v>0.38</v>
      </c>
      <c r="F9" s="154" t="s">
        <v>224</v>
      </c>
      <c r="G9" s="154">
        <v>280.31</v>
      </c>
      <c r="H9" s="154">
        <v>0</v>
      </c>
      <c r="I9" s="154">
        <v>0</v>
      </c>
      <c r="K9" s="154">
        <v>1016.4</v>
      </c>
      <c r="L9" s="154" t="s">
        <v>208</v>
      </c>
      <c r="M9" s="154">
        <v>54.39</v>
      </c>
      <c r="N9" s="154">
        <v>1473598800</v>
      </c>
      <c r="O9" s="154">
        <v>7.8</v>
      </c>
      <c r="P9" s="154">
        <v>217</v>
      </c>
      <c r="Q9" s="154">
        <v>3.74</v>
      </c>
    </row>
    <row r="10" spans="1:17" x14ac:dyDescent="0.25">
      <c r="A10" s="154">
        <v>60.25</v>
      </c>
      <c r="B10" s="154">
        <v>0.28000000000000003</v>
      </c>
      <c r="C10" s="154">
        <v>32.57</v>
      </c>
      <c r="D10" s="169">
        <v>42624.333333333336</v>
      </c>
      <c r="E10" s="154">
        <v>0.35</v>
      </c>
      <c r="F10" s="154" t="s">
        <v>224</v>
      </c>
      <c r="G10" s="154">
        <v>280.01</v>
      </c>
      <c r="H10" s="154">
        <v>0</v>
      </c>
      <c r="I10" s="154">
        <v>0</v>
      </c>
      <c r="K10" s="154">
        <v>1015.92</v>
      </c>
      <c r="L10" s="154" t="s">
        <v>208</v>
      </c>
      <c r="M10" s="154">
        <v>60.25</v>
      </c>
      <c r="N10" s="154">
        <v>1473602400</v>
      </c>
      <c r="O10" s="154">
        <v>7.53</v>
      </c>
      <c r="P10" s="154">
        <v>220</v>
      </c>
      <c r="Q10" s="154">
        <v>4.22</v>
      </c>
    </row>
    <row r="11" spans="1:17" x14ac:dyDescent="0.25">
      <c r="A11" s="154">
        <v>65.819999999999993</v>
      </c>
      <c r="B11" s="154">
        <v>0.27</v>
      </c>
      <c r="C11" s="154">
        <v>34.26</v>
      </c>
      <c r="D11" s="169">
        <v>42624.375</v>
      </c>
      <c r="E11" s="154">
        <v>0.31</v>
      </c>
      <c r="F11" s="154" t="s">
        <v>224</v>
      </c>
      <c r="G11" s="154">
        <v>279.55</v>
      </c>
      <c r="H11" s="154">
        <v>0</v>
      </c>
      <c r="I11" s="154">
        <v>0</v>
      </c>
      <c r="K11" s="154">
        <v>1015.22</v>
      </c>
      <c r="L11" s="154" t="s">
        <v>208</v>
      </c>
      <c r="M11" s="154">
        <v>65.819999999999993</v>
      </c>
      <c r="N11" s="154">
        <v>1473606000</v>
      </c>
      <c r="O11" s="154">
        <v>7.43</v>
      </c>
      <c r="P11" s="154">
        <v>235</v>
      </c>
      <c r="Q11" s="154">
        <v>4.51</v>
      </c>
    </row>
    <row r="12" spans="1:17" x14ac:dyDescent="0.25">
      <c r="A12" s="154">
        <v>70.64</v>
      </c>
      <c r="B12" s="154">
        <v>0.33</v>
      </c>
      <c r="C12" s="154">
        <v>35.83</v>
      </c>
      <c r="D12" s="169">
        <v>42624.416666666664</v>
      </c>
      <c r="E12" s="154">
        <v>0.28000000000000003</v>
      </c>
      <c r="F12" s="154" t="s">
        <v>224</v>
      </c>
      <c r="G12" s="154">
        <v>278.69</v>
      </c>
      <c r="H12" s="154">
        <v>0</v>
      </c>
      <c r="I12" s="154">
        <v>0</v>
      </c>
      <c r="K12" s="154">
        <v>1014.22</v>
      </c>
      <c r="L12" s="154" t="s">
        <v>208</v>
      </c>
      <c r="M12" s="154">
        <v>70.64</v>
      </c>
      <c r="N12" s="154">
        <v>1473609600</v>
      </c>
      <c r="O12" s="154">
        <v>7.45</v>
      </c>
      <c r="P12" s="154">
        <v>232</v>
      </c>
      <c r="Q12" s="154">
        <v>4.28</v>
      </c>
    </row>
    <row r="13" spans="1:17" x14ac:dyDescent="0.25">
      <c r="A13" s="154">
        <v>76.97</v>
      </c>
      <c r="B13" s="154">
        <v>0.38</v>
      </c>
      <c r="C13" s="154">
        <v>36.42</v>
      </c>
      <c r="D13" s="169">
        <v>42624.458333333336</v>
      </c>
      <c r="E13" s="154">
        <v>0.23</v>
      </c>
      <c r="F13" s="154" t="s">
        <v>224</v>
      </c>
      <c r="G13" s="154">
        <v>277.67</v>
      </c>
      <c r="H13" s="154">
        <v>0</v>
      </c>
      <c r="I13" s="154">
        <v>0</v>
      </c>
      <c r="K13" s="154">
        <v>1013.12</v>
      </c>
      <c r="L13" s="154" t="s">
        <v>208</v>
      </c>
      <c r="M13" s="154">
        <v>76.97</v>
      </c>
      <c r="N13" s="154">
        <v>1473613200</v>
      </c>
      <c r="O13" s="154">
        <v>4.26</v>
      </c>
      <c r="P13" s="154">
        <v>230</v>
      </c>
      <c r="Q13" s="154">
        <v>2.92</v>
      </c>
    </row>
    <row r="14" spans="1:17" x14ac:dyDescent="0.25">
      <c r="A14" s="154">
        <v>79.42</v>
      </c>
      <c r="B14" s="154">
        <v>0.47</v>
      </c>
      <c r="C14" s="154">
        <v>32.799999999999997</v>
      </c>
      <c r="D14" s="169">
        <v>42624.5</v>
      </c>
      <c r="E14" s="154">
        <v>0.17</v>
      </c>
      <c r="F14" s="154" t="s">
        <v>224</v>
      </c>
      <c r="G14" s="154">
        <v>277.2</v>
      </c>
      <c r="H14" s="154">
        <v>0</v>
      </c>
      <c r="I14" s="154">
        <v>0</v>
      </c>
      <c r="K14" s="154">
        <v>1012.07</v>
      </c>
      <c r="L14" s="154" t="s">
        <v>208</v>
      </c>
      <c r="M14" s="154">
        <v>81.510000000000005</v>
      </c>
      <c r="N14" s="154">
        <v>1473616800</v>
      </c>
      <c r="O14" s="154">
        <v>4.3600000000000003</v>
      </c>
      <c r="P14" s="154">
        <v>219</v>
      </c>
      <c r="Q14" s="154">
        <v>0.5</v>
      </c>
    </row>
    <row r="15" spans="1:17" x14ac:dyDescent="0.25">
      <c r="A15" s="154">
        <v>80.89</v>
      </c>
      <c r="B15" s="154">
        <v>0.43</v>
      </c>
      <c r="C15" s="154">
        <v>32.450000000000003</v>
      </c>
      <c r="D15" s="169">
        <v>42624.541666666664</v>
      </c>
      <c r="E15" s="154">
        <v>0.16</v>
      </c>
      <c r="F15" s="154" t="s">
        <v>224</v>
      </c>
      <c r="G15" s="154">
        <v>277.57</v>
      </c>
      <c r="H15" s="154">
        <v>0</v>
      </c>
      <c r="I15" s="154">
        <v>0</v>
      </c>
      <c r="K15" s="154">
        <v>1011.06</v>
      </c>
      <c r="L15" s="154" t="s">
        <v>208</v>
      </c>
      <c r="M15" s="154">
        <v>83.66</v>
      </c>
      <c r="N15" s="154">
        <v>1473620400</v>
      </c>
      <c r="O15" s="154">
        <v>4.45</v>
      </c>
      <c r="P15" s="154">
        <v>295</v>
      </c>
      <c r="Q15" s="154">
        <v>0.78</v>
      </c>
    </row>
    <row r="16" spans="1:17" x14ac:dyDescent="0.25">
      <c r="A16" s="154">
        <v>82.12</v>
      </c>
      <c r="B16" s="154">
        <v>0.35</v>
      </c>
      <c r="C16" s="154">
        <v>31.96</v>
      </c>
      <c r="D16" s="169">
        <v>42624.583333333336</v>
      </c>
      <c r="E16" s="154">
        <v>0.15</v>
      </c>
      <c r="F16" s="154" t="s">
        <v>224</v>
      </c>
      <c r="G16" s="154">
        <v>278.48</v>
      </c>
      <c r="H16" s="154">
        <v>0</v>
      </c>
      <c r="I16" s="154">
        <v>0</v>
      </c>
      <c r="K16" s="154">
        <v>1010.06</v>
      </c>
      <c r="L16" s="154" t="s">
        <v>208</v>
      </c>
      <c r="M16" s="154">
        <v>85.32</v>
      </c>
      <c r="N16" s="154">
        <v>1473624000</v>
      </c>
      <c r="O16" s="154">
        <v>4.49</v>
      </c>
      <c r="P16" s="154">
        <v>300</v>
      </c>
      <c r="Q16" s="154">
        <v>1.57</v>
      </c>
    </row>
    <row r="17" spans="1:17" x14ac:dyDescent="0.25">
      <c r="A17" s="154">
        <v>82.79</v>
      </c>
      <c r="B17" s="154">
        <v>0.32</v>
      </c>
      <c r="C17" s="154">
        <v>33.729999999999997</v>
      </c>
      <c r="D17" s="169">
        <v>42624.625</v>
      </c>
      <c r="E17" s="154">
        <v>0.15</v>
      </c>
      <c r="F17" s="154" t="s">
        <v>224</v>
      </c>
      <c r="G17" s="154">
        <v>279.7</v>
      </c>
      <c r="H17" s="154">
        <v>0</v>
      </c>
      <c r="I17" s="154">
        <v>0</v>
      </c>
      <c r="K17" s="154">
        <v>1009.13</v>
      </c>
      <c r="L17" s="154" t="s">
        <v>208</v>
      </c>
      <c r="M17" s="154">
        <v>86.17</v>
      </c>
      <c r="N17" s="154">
        <v>1473627600</v>
      </c>
      <c r="O17" s="154">
        <v>4.49</v>
      </c>
      <c r="P17" s="154">
        <v>285</v>
      </c>
      <c r="Q17" s="154">
        <v>1.52</v>
      </c>
    </row>
    <row r="18" spans="1:17" x14ac:dyDescent="0.25">
      <c r="A18" s="154">
        <v>82.16</v>
      </c>
      <c r="B18" s="154">
        <v>0.42</v>
      </c>
      <c r="C18" s="154">
        <v>34.83</v>
      </c>
      <c r="D18" s="169">
        <v>42624.666666666664</v>
      </c>
      <c r="E18" s="154">
        <v>0.17</v>
      </c>
      <c r="F18" s="154" t="s">
        <v>224</v>
      </c>
      <c r="G18" s="154">
        <v>281.41000000000003</v>
      </c>
      <c r="H18" s="154">
        <v>0</v>
      </c>
      <c r="I18" s="154">
        <v>0</v>
      </c>
      <c r="K18" s="154">
        <v>1008.32</v>
      </c>
      <c r="L18" s="154" t="s">
        <v>208</v>
      </c>
      <c r="M18" s="154">
        <v>85.32</v>
      </c>
      <c r="N18" s="154">
        <v>1473631200</v>
      </c>
      <c r="O18" s="154">
        <v>4.5199999999999996</v>
      </c>
      <c r="P18" s="154">
        <v>236</v>
      </c>
      <c r="Q18" s="154">
        <v>0.69</v>
      </c>
    </row>
    <row r="19" spans="1:17" x14ac:dyDescent="0.25">
      <c r="A19" s="154">
        <v>81.58</v>
      </c>
      <c r="B19" s="154">
        <v>0.59</v>
      </c>
      <c r="C19" s="154">
        <v>35.74</v>
      </c>
      <c r="D19" s="169">
        <v>42624.708333333336</v>
      </c>
      <c r="E19" s="154">
        <v>0.18</v>
      </c>
      <c r="F19" s="154" t="s">
        <v>224</v>
      </c>
      <c r="G19" s="154">
        <v>283.42</v>
      </c>
      <c r="H19" s="154">
        <v>8.0000000000000004E-4</v>
      </c>
      <c r="I19" s="154">
        <v>0.01</v>
      </c>
      <c r="J19" s="154" t="s">
        <v>678</v>
      </c>
      <c r="K19" s="154">
        <v>1007.69</v>
      </c>
      <c r="L19" s="154" t="s">
        <v>208</v>
      </c>
      <c r="M19" s="154">
        <v>84.53</v>
      </c>
      <c r="N19" s="154">
        <v>1473634800</v>
      </c>
      <c r="O19" s="154">
        <v>7.03</v>
      </c>
      <c r="P19" s="154">
        <v>253</v>
      </c>
      <c r="Q19" s="154">
        <v>0.5</v>
      </c>
    </row>
    <row r="20" spans="1:17" x14ac:dyDescent="0.25">
      <c r="A20" s="154">
        <v>79.27</v>
      </c>
      <c r="B20" s="154">
        <v>0.62</v>
      </c>
      <c r="C20" s="154">
        <v>35.15</v>
      </c>
      <c r="D20" s="169">
        <v>42624.75</v>
      </c>
      <c r="E20" s="154">
        <v>0.19</v>
      </c>
      <c r="F20" s="154" t="s">
        <v>224</v>
      </c>
      <c r="G20" s="154">
        <v>285.02</v>
      </c>
      <c r="H20" s="154">
        <v>1.4E-3</v>
      </c>
      <c r="I20" s="154">
        <v>0.02</v>
      </c>
      <c r="J20" s="154" t="s">
        <v>678</v>
      </c>
      <c r="K20" s="154">
        <v>1007.42</v>
      </c>
      <c r="L20" s="154" t="s">
        <v>679</v>
      </c>
      <c r="M20" s="154">
        <v>81.16</v>
      </c>
      <c r="N20" s="154">
        <v>1473638400</v>
      </c>
      <c r="O20" s="154">
        <v>7.27</v>
      </c>
      <c r="P20" s="154">
        <v>177</v>
      </c>
      <c r="Q20" s="154">
        <v>1.33</v>
      </c>
    </row>
    <row r="21" spans="1:17" x14ac:dyDescent="0.25">
      <c r="A21" s="154">
        <v>78.900000000000006</v>
      </c>
      <c r="B21" s="154">
        <v>0.52</v>
      </c>
      <c r="C21" s="154">
        <v>36.47</v>
      </c>
      <c r="D21" s="169">
        <v>42624.791666666664</v>
      </c>
      <c r="E21" s="154">
        <v>0.22</v>
      </c>
      <c r="F21" s="154" t="s">
        <v>224</v>
      </c>
      <c r="G21" s="154">
        <v>285.86</v>
      </c>
      <c r="H21" s="154">
        <v>1.4E-3</v>
      </c>
      <c r="I21" s="154">
        <v>0.02</v>
      </c>
      <c r="J21" s="154" t="s">
        <v>678</v>
      </c>
      <c r="K21" s="154">
        <v>1007.85</v>
      </c>
      <c r="L21" s="154" t="s">
        <v>208</v>
      </c>
      <c r="M21" s="154">
        <v>78.900000000000006</v>
      </c>
      <c r="N21" s="154">
        <v>1473642000</v>
      </c>
      <c r="O21" s="154">
        <v>8.14</v>
      </c>
      <c r="P21" s="154">
        <v>238</v>
      </c>
      <c r="Q21" s="154">
        <v>1.01</v>
      </c>
    </row>
    <row r="22" spans="1:17" x14ac:dyDescent="0.25">
      <c r="A22" s="154">
        <v>74.760000000000005</v>
      </c>
      <c r="B22" s="154">
        <v>0.39</v>
      </c>
      <c r="C22" s="154">
        <v>35.700000000000003</v>
      </c>
      <c r="D22" s="169">
        <v>42624.833333333336</v>
      </c>
      <c r="E22" s="154">
        <v>0.24</v>
      </c>
      <c r="F22" s="154" t="s">
        <v>680</v>
      </c>
      <c r="G22" s="154">
        <v>286.29000000000002</v>
      </c>
      <c r="H22" s="154">
        <v>2E-3</v>
      </c>
      <c r="I22" s="154">
        <v>0.05</v>
      </c>
      <c r="J22" s="154" t="s">
        <v>678</v>
      </c>
      <c r="K22" s="154">
        <v>1008.5</v>
      </c>
      <c r="L22" s="154" t="s">
        <v>208</v>
      </c>
      <c r="M22" s="154">
        <v>74.760000000000005</v>
      </c>
      <c r="N22" s="154">
        <v>1473645600</v>
      </c>
      <c r="O22" s="154">
        <v>8.61</v>
      </c>
      <c r="P22" s="154">
        <v>269</v>
      </c>
      <c r="Q22" s="154">
        <v>2.77</v>
      </c>
    </row>
    <row r="23" spans="1:17" x14ac:dyDescent="0.25">
      <c r="A23" s="154">
        <v>72.45</v>
      </c>
      <c r="B23" s="154">
        <v>0.25</v>
      </c>
      <c r="C23" s="154">
        <v>34.979999999999997</v>
      </c>
      <c r="D23" s="169">
        <v>42624.875</v>
      </c>
      <c r="E23" s="154">
        <v>0.25</v>
      </c>
      <c r="F23" s="154" t="s">
        <v>680</v>
      </c>
      <c r="G23" s="154">
        <v>286.57</v>
      </c>
      <c r="H23" s="154">
        <v>1E-3</v>
      </c>
      <c r="I23" s="154">
        <v>0.01</v>
      </c>
      <c r="J23" s="154" t="s">
        <v>678</v>
      </c>
      <c r="K23" s="154">
        <v>1009.05</v>
      </c>
      <c r="L23" s="154" t="s">
        <v>208</v>
      </c>
      <c r="M23" s="154">
        <v>72.45</v>
      </c>
      <c r="N23" s="154">
        <v>1473649200</v>
      </c>
      <c r="O23" s="154">
        <v>9.09</v>
      </c>
      <c r="P23" s="154">
        <v>248</v>
      </c>
      <c r="Q23" s="154">
        <v>2.81</v>
      </c>
    </row>
    <row r="24" spans="1:17" x14ac:dyDescent="0.25">
      <c r="A24" s="154">
        <v>69.900000000000006</v>
      </c>
      <c r="B24" s="154">
        <v>0.25</v>
      </c>
      <c r="C24" s="154">
        <v>34.659999999999997</v>
      </c>
      <c r="D24" s="169">
        <v>42624.916666666664</v>
      </c>
      <c r="E24" s="154">
        <v>0.27</v>
      </c>
      <c r="F24" s="154" t="s">
        <v>680</v>
      </c>
      <c r="G24" s="154">
        <v>286.72000000000003</v>
      </c>
      <c r="H24" s="154">
        <v>1.6999999999999999E-3</v>
      </c>
      <c r="I24" s="154">
        <v>0.04</v>
      </c>
      <c r="J24" s="154" t="s">
        <v>678</v>
      </c>
      <c r="K24" s="154">
        <v>1009.33</v>
      </c>
      <c r="L24" s="154" t="s">
        <v>208</v>
      </c>
      <c r="M24" s="154">
        <v>69.900000000000006</v>
      </c>
      <c r="N24" s="154">
        <v>1473652800</v>
      </c>
      <c r="O24" s="154">
        <v>9.32</v>
      </c>
      <c r="P24" s="154">
        <v>248</v>
      </c>
      <c r="Q24" s="154">
        <v>3.87</v>
      </c>
    </row>
    <row r="25" spans="1:17" x14ac:dyDescent="0.25">
      <c r="A25" s="154">
        <v>67.430000000000007</v>
      </c>
      <c r="B25" s="154">
        <v>0.26</v>
      </c>
      <c r="C25" s="154">
        <v>34.57</v>
      </c>
      <c r="D25" s="169">
        <v>42624.958333333336</v>
      </c>
      <c r="E25" s="154">
        <v>0.3</v>
      </c>
      <c r="F25" s="154" t="s">
        <v>680</v>
      </c>
      <c r="G25" s="154">
        <v>286.74</v>
      </c>
      <c r="H25" s="154">
        <v>8.0000000000000004E-4</v>
      </c>
      <c r="I25" s="154">
        <v>0.01</v>
      </c>
      <c r="J25" s="154" t="s">
        <v>678</v>
      </c>
      <c r="K25" s="154">
        <v>1009.51</v>
      </c>
      <c r="L25" s="154" t="s">
        <v>208</v>
      </c>
      <c r="M25" s="154">
        <v>67.430000000000007</v>
      </c>
      <c r="N25" s="154">
        <v>1473656400</v>
      </c>
      <c r="O25" s="154">
        <v>9.36</v>
      </c>
      <c r="P25" s="154">
        <v>242</v>
      </c>
      <c r="Q25" s="154">
        <v>4.83</v>
      </c>
    </row>
    <row r="26" spans="1:17" x14ac:dyDescent="0.25">
      <c r="A26" s="154">
        <v>66.44</v>
      </c>
      <c r="B26" s="154">
        <v>0.26</v>
      </c>
      <c r="C26" s="154">
        <v>34.06</v>
      </c>
      <c r="D26" s="169">
        <v>42625</v>
      </c>
      <c r="E26" s="154">
        <v>0.3</v>
      </c>
      <c r="F26" s="154" t="s">
        <v>680</v>
      </c>
      <c r="G26" s="154">
        <v>286.87</v>
      </c>
      <c r="H26" s="154">
        <v>0</v>
      </c>
      <c r="I26" s="154">
        <v>0</v>
      </c>
      <c r="K26" s="154">
        <v>1009.71</v>
      </c>
      <c r="L26" s="154" t="s">
        <v>208</v>
      </c>
      <c r="M26" s="154">
        <v>66.44</v>
      </c>
      <c r="N26" s="154">
        <v>1473660000</v>
      </c>
      <c r="O26" s="154">
        <v>9.39</v>
      </c>
      <c r="P26" s="154">
        <v>238</v>
      </c>
      <c r="Q26" s="154">
        <v>4.25</v>
      </c>
    </row>
    <row r="27" spans="1:17" x14ac:dyDescent="0.25">
      <c r="A27" s="154">
        <v>64.53</v>
      </c>
      <c r="B27" s="154">
        <v>0.22</v>
      </c>
      <c r="C27" s="154">
        <v>34.340000000000003</v>
      </c>
      <c r="D27" s="169">
        <v>42625.041666666664</v>
      </c>
      <c r="E27" s="154">
        <v>0.32</v>
      </c>
      <c r="F27" s="154" t="s">
        <v>225</v>
      </c>
      <c r="G27" s="154">
        <v>287.36</v>
      </c>
      <c r="H27" s="154">
        <v>0</v>
      </c>
      <c r="I27" s="154">
        <v>0</v>
      </c>
      <c r="K27" s="154">
        <v>1010.07</v>
      </c>
      <c r="L27" s="154" t="s">
        <v>226</v>
      </c>
      <c r="M27" s="154">
        <v>64.53</v>
      </c>
      <c r="N27" s="154">
        <v>1473663600</v>
      </c>
      <c r="O27" s="154">
        <v>9.4499999999999993</v>
      </c>
      <c r="P27" s="154">
        <v>232</v>
      </c>
      <c r="Q27" s="154">
        <v>4.8</v>
      </c>
    </row>
    <row r="28" spans="1:17" x14ac:dyDescent="0.25">
      <c r="A28" s="154">
        <v>64.33</v>
      </c>
      <c r="B28" s="154">
        <v>0.49</v>
      </c>
      <c r="C28" s="154">
        <v>32.450000000000003</v>
      </c>
      <c r="D28" s="169">
        <v>42625.083333333336</v>
      </c>
      <c r="E28" s="154">
        <v>0.3</v>
      </c>
      <c r="F28" s="154" t="s">
        <v>680</v>
      </c>
      <c r="G28" s="154">
        <v>287.83999999999997</v>
      </c>
      <c r="H28" s="154">
        <v>0</v>
      </c>
      <c r="I28" s="154">
        <v>0</v>
      </c>
      <c r="K28" s="154">
        <v>1010.58</v>
      </c>
      <c r="L28" s="154" t="s">
        <v>208</v>
      </c>
      <c r="M28" s="154">
        <v>64.33</v>
      </c>
      <c r="N28" s="154">
        <v>1473667200</v>
      </c>
      <c r="O28" s="154">
        <v>9.44</v>
      </c>
      <c r="P28" s="154">
        <v>234</v>
      </c>
      <c r="Q28" s="154">
        <v>5.44</v>
      </c>
    </row>
    <row r="29" spans="1:17" x14ac:dyDescent="0.25">
      <c r="A29" s="154">
        <v>63.65</v>
      </c>
      <c r="B29" s="154">
        <v>0.53</v>
      </c>
      <c r="C29" s="154">
        <v>33.42</v>
      </c>
      <c r="D29" s="169">
        <v>42625.125</v>
      </c>
      <c r="E29" s="154">
        <v>0.32</v>
      </c>
      <c r="F29" s="154" t="s">
        <v>678</v>
      </c>
      <c r="G29" s="154">
        <v>288.32</v>
      </c>
      <c r="H29" s="154">
        <v>8.9999999999999993E-3</v>
      </c>
      <c r="I29" s="154">
        <v>0.41</v>
      </c>
      <c r="J29" s="154" t="s">
        <v>678</v>
      </c>
      <c r="K29" s="154">
        <v>1011.14</v>
      </c>
      <c r="L29" s="154" t="s">
        <v>681</v>
      </c>
      <c r="M29" s="154">
        <v>63.65</v>
      </c>
      <c r="N29" s="154">
        <v>1473670800</v>
      </c>
      <c r="O29" s="154">
        <v>9.4</v>
      </c>
      <c r="P29" s="154">
        <v>254</v>
      </c>
      <c r="Q29" s="154">
        <v>4.99</v>
      </c>
    </row>
    <row r="31" spans="1:17" x14ac:dyDescent="0.25">
      <c r="A31" s="154" t="s">
        <v>682</v>
      </c>
    </row>
    <row r="33" spans="1:1" x14ac:dyDescent="0.25">
      <c r="A33" s="154" t="s">
        <v>227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110</v>
      </c>
      <c r="D1" s="74" t="s">
        <v>111</v>
      </c>
      <c r="J1" s="34" t="s">
        <v>112</v>
      </c>
      <c r="K1" s="34" t="s">
        <v>72</v>
      </c>
      <c r="L1" s="34" t="s">
        <v>73</v>
      </c>
      <c r="O1" s="77" t="s">
        <v>113</v>
      </c>
    </row>
    <row r="2" spans="1:16" ht="15.75" thickBot="1" x14ac:dyDescent="0.3">
      <c r="A2" s="14">
        <v>42624</v>
      </c>
      <c r="B2" s="4"/>
      <c r="C2" s="75">
        <v>50</v>
      </c>
      <c r="D2" s="76">
        <v>25</v>
      </c>
      <c r="F2" t="s">
        <v>126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4">
        <f t="shared" ref="M3:M14" si="0">AVERAGE(K3:L3)</f>
        <v>2.7201</v>
      </c>
      <c r="O3" t="s">
        <v>114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114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114">
        <f t="shared" si="0"/>
        <v>3.3196500000000002</v>
      </c>
    </row>
    <row r="6" spans="1:16" x14ac:dyDescent="0.25">
      <c r="F6" t="s">
        <v>127</v>
      </c>
      <c r="J6" s="35" t="s">
        <v>77</v>
      </c>
      <c r="K6" s="36">
        <v>4.2778999999999998</v>
      </c>
      <c r="L6" s="36">
        <v>4.2961</v>
      </c>
      <c r="M6" s="114">
        <f t="shared" si="0"/>
        <v>4.2869999999999999</v>
      </c>
    </row>
    <row r="7" spans="1:16" x14ac:dyDescent="0.25">
      <c r="F7" t="s">
        <v>128</v>
      </c>
      <c r="J7" s="35" t="s">
        <v>78</v>
      </c>
      <c r="K7" s="36">
        <v>4.7865000000000002</v>
      </c>
      <c r="L7" s="36">
        <v>4.8048000000000002</v>
      </c>
      <c r="M7" s="114">
        <f t="shared" si="0"/>
        <v>4.7956500000000002</v>
      </c>
    </row>
    <row r="8" spans="1:16" x14ac:dyDescent="0.25">
      <c r="F8" t="s">
        <v>129</v>
      </c>
      <c r="J8" s="35" t="s">
        <v>79</v>
      </c>
      <c r="K8" s="36">
        <v>5.3155000000000001</v>
      </c>
      <c r="L8" s="36">
        <v>5.3277000000000001</v>
      </c>
      <c r="M8" s="114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4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4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4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4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4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4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93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94</v>
      </c>
      <c r="K19" s="36"/>
      <c r="L19" s="36"/>
      <c r="M19" s="70" t="s">
        <v>123</v>
      </c>
    </row>
    <row r="20" spans="10:13" x14ac:dyDescent="0.25">
      <c r="J20" t="s">
        <v>95</v>
      </c>
      <c r="M20" s="70" t="s">
        <v>133</v>
      </c>
    </row>
    <row r="21" spans="10:13" x14ac:dyDescent="0.25">
      <c r="J21" s="23" t="s">
        <v>98</v>
      </c>
      <c r="K21" s="23" t="s">
        <v>99</v>
      </c>
      <c r="M21" s="70" t="s">
        <v>99</v>
      </c>
    </row>
    <row r="22" spans="10:13" x14ac:dyDescent="0.25">
      <c r="J22" s="23" t="s">
        <v>100</v>
      </c>
      <c r="K22" s="23" t="s">
        <v>101</v>
      </c>
      <c r="M22" s="70" t="s">
        <v>122</v>
      </c>
    </row>
    <row r="23" spans="10:13" x14ac:dyDescent="0.25">
      <c r="J23" s="31" t="s">
        <v>103</v>
      </c>
      <c r="K23" s="23"/>
      <c r="M23" s="114">
        <v>-6</v>
      </c>
    </row>
    <row r="24" spans="10:13" x14ac:dyDescent="0.25">
      <c r="J24" s="23" t="s">
        <v>119</v>
      </c>
      <c r="K24" s="23"/>
      <c r="M24" s="70" t="s">
        <v>121</v>
      </c>
    </row>
    <row r="25" spans="10:13" x14ac:dyDescent="0.25">
      <c r="J25" t="s">
        <v>171</v>
      </c>
      <c r="M25" s="70" t="b">
        <v>1</v>
      </c>
    </row>
    <row r="26" spans="10:13" x14ac:dyDescent="0.25">
      <c r="J26" t="s">
        <v>172</v>
      </c>
      <c r="M26" s="70" t="str">
        <f>"C:\Users\stu\Documents\GitHub\eaglep3-reporting\EC\"&amp;TEXT(A2,"yyyy-mm-dd")&amp;"-refined-times.txt"</f>
        <v>C:\Users\stu\Documents\GitHub\eaglep3-reporting\EC\2016-09-11-refined-times.txt</v>
      </c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3"/>
  <sheetViews>
    <sheetView workbookViewId="0"/>
  </sheetViews>
  <sheetFormatPr defaultRowHeight="15" x14ac:dyDescent="0.25"/>
  <cols>
    <col min="1" max="1" width="32.85546875" style="128" bestFit="1" customWidth="1"/>
    <col min="2" max="7" width="9.140625" style="128"/>
    <col min="8" max="8" width="17.7109375" style="128" bestFit="1" customWidth="1"/>
    <col min="9" max="9" width="9.140625" style="130"/>
    <col min="10" max="16384" width="9.140625" style="128"/>
  </cols>
  <sheetData>
    <row r="1" spans="1:11" x14ac:dyDescent="0.25">
      <c r="A1" s="127" t="s">
        <v>139</v>
      </c>
      <c r="B1" s="127" t="s">
        <v>140</v>
      </c>
      <c r="C1" s="128" t="s">
        <v>141</v>
      </c>
      <c r="H1" t="s">
        <v>135</v>
      </c>
      <c r="I1" s="129" t="s">
        <v>137</v>
      </c>
      <c r="J1"/>
    </row>
    <row r="2" spans="1:11" x14ac:dyDescent="0.25">
      <c r="A2" s="128" t="s">
        <v>142</v>
      </c>
      <c r="B2" s="128" t="s">
        <v>143</v>
      </c>
      <c r="C2" s="128" t="s">
        <v>144</v>
      </c>
      <c r="H2" t="s">
        <v>136</v>
      </c>
      <c r="I2" s="114" t="s">
        <v>138</v>
      </c>
      <c r="J2"/>
    </row>
    <row r="3" spans="1:11" x14ac:dyDescent="0.25">
      <c r="A3" s="128" t="s">
        <v>145</v>
      </c>
      <c r="B3" s="128" t="s">
        <v>146</v>
      </c>
      <c r="C3" s="128" t="s">
        <v>147</v>
      </c>
      <c r="H3" t="s">
        <v>162</v>
      </c>
      <c r="I3" s="114">
        <v>1</v>
      </c>
      <c r="J3"/>
      <c r="K3" s="70"/>
    </row>
    <row r="4" spans="1:11" x14ac:dyDescent="0.25">
      <c r="A4" s="128" t="s">
        <v>148</v>
      </c>
      <c r="C4" s="128" t="s">
        <v>149</v>
      </c>
      <c r="H4" t="s">
        <v>163</v>
      </c>
      <c r="I4" s="114">
        <v>2</v>
      </c>
      <c r="J4"/>
      <c r="K4" s="70"/>
    </row>
    <row r="5" spans="1:11" x14ac:dyDescent="0.25">
      <c r="A5" s="128" t="s">
        <v>150</v>
      </c>
      <c r="C5" s="128" t="s">
        <v>151</v>
      </c>
      <c r="H5" t="s">
        <v>164</v>
      </c>
      <c r="I5" s="114">
        <v>23</v>
      </c>
      <c r="J5"/>
      <c r="K5" s="70"/>
    </row>
    <row r="6" spans="1:11" x14ac:dyDescent="0.25">
      <c r="A6" s="128" t="s">
        <v>152</v>
      </c>
      <c r="C6" s="128" t="s">
        <v>153</v>
      </c>
      <c r="H6" s="131" t="s">
        <v>165</v>
      </c>
      <c r="I6" s="132" t="s">
        <v>143</v>
      </c>
    </row>
    <row r="7" spans="1:11" x14ac:dyDescent="0.25">
      <c r="A7" s="128" t="s">
        <v>154</v>
      </c>
      <c r="C7" s="128" t="s">
        <v>155</v>
      </c>
    </row>
    <row r="8" spans="1:11" x14ac:dyDescent="0.25">
      <c r="C8" s="128" t="s">
        <v>156</v>
      </c>
    </row>
    <row r="9" spans="1:11" x14ac:dyDescent="0.25">
      <c r="C9" s="128" t="s">
        <v>157</v>
      </c>
    </row>
    <row r="10" spans="1:11" x14ac:dyDescent="0.25">
      <c r="C10" s="128" t="s">
        <v>158</v>
      </c>
    </row>
    <row r="11" spans="1:11" x14ac:dyDescent="0.25">
      <c r="C11" s="128" t="s">
        <v>159</v>
      </c>
    </row>
    <row r="12" spans="1:11" x14ac:dyDescent="0.25">
      <c r="C12" s="128" t="s">
        <v>160</v>
      </c>
    </row>
    <row r="13" spans="1:11" x14ac:dyDescent="0.25">
      <c r="C13" s="128" t="s">
        <v>161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2016-09-13T16:17:07Z</dcterms:modified>
</cp:coreProperties>
</file>