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Trips'!$A$2:$J$36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6" i="1" l="1"/>
  <c r="X167" i="1"/>
  <c r="X168" i="1"/>
  <c r="X169" i="1"/>
  <c r="X170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X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X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AA39" i="1" s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X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K46" i="1"/>
  <c r="L46" i="1"/>
  <c r="M46" i="1"/>
  <c r="P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T53" i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P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X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X60" i="1"/>
  <c r="Y60" i="1"/>
  <c r="AA60" i="1" s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T68" i="1"/>
  <c r="V68" i="1"/>
  <c r="X68" i="1"/>
  <c r="Y68" i="1"/>
  <c r="Z68" i="1"/>
  <c r="AA68" i="1" s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T69" i="1"/>
  <c r="V69" i="1"/>
  <c r="X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/>
  <c r="V80" i="1"/>
  <c r="X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T81" i="1"/>
  <c r="V81" i="1"/>
  <c r="X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T85" i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T97" i="1"/>
  <c r="V97" i="1"/>
  <c r="X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X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AA104" i="1" s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AA108" i="1" s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P116" i="1" s="1"/>
  <c r="V116" i="1"/>
  <c r="Y116" i="1"/>
  <c r="AA116" i="1" s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X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/>
  <c r="V123" i="1"/>
  <c r="Y123" i="1"/>
  <c r="AA123" i="1" s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T125" i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AA147" i="1" s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AA153" i="1" s="1"/>
  <c r="Z153" i="1"/>
  <c r="AB153" i="1"/>
  <c r="AC153" i="1"/>
  <c r="AD153" i="1"/>
  <c r="X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168" i="1"/>
  <c r="AM168" i="1"/>
  <c r="AN168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69" i="1"/>
  <c r="AM169" i="1"/>
  <c r="AN16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/>
  <c r="V230" i="1"/>
  <c r="Y230" i="1"/>
  <c r="AA230" i="1" s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R49" i="3" s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R42" i="3" s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T236" i="1"/>
  <c r="V236" i="1"/>
  <c r="Y236" i="1"/>
  <c r="Z236" i="1"/>
  <c r="AA236" i="1" s="1"/>
  <c r="AB236" i="1"/>
  <c r="AC236" i="1"/>
  <c r="AD236" i="1"/>
  <c r="X236" i="1" s="1"/>
  <c r="AE236" i="1"/>
  <c r="AF236" i="1"/>
  <c r="AH181" i="1"/>
  <c r="AM181" i="1"/>
  <c r="AN181" i="1"/>
  <c r="K237" i="1"/>
  <c r="L237" i="1"/>
  <c r="M237" i="1"/>
  <c r="N237" i="1"/>
  <c r="V237" i="1"/>
  <c r="Y237" i="1"/>
  <c r="Z237" i="1"/>
  <c r="AB237" i="1"/>
  <c r="AC237" i="1"/>
  <c r="AD237" i="1"/>
  <c r="T237" i="1" s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5" i="1"/>
  <c r="AM185" i="1"/>
  <c r="AN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7" i="1"/>
  <c r="AM187" i="1"/>
  <c r="AN187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8" i="1"/>
  <c r="AM188" i="1"/>
  <c r="AN188" i="1"/>
  <c r="K244" i="1"/>
  <c r="L244" i="1"/>
  <c r="M244" i="1"/>
  <c r="N244" i="1" s="1"/>
  <c r="T244" i="1"/>
  <c r="V244" i="1"/>
  <c r="X244" i="1"/>
  <c r="Y244" i="1"/>
  <c r="Z244" i="1"/>
  <c r="AB244" i="1"/>
  <c r="AC244" i="1"/>
  <c r="AD244" i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1" i="1"/>
  <c r="AM191" i="1"/>
  <c r="AN191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2" i="1"/>
  <c r="AM192" i="1"/>
  <c r="AN192" i="1"/>
  <c r="K248" i="1"/>
  <c r="L248" i="1"/>
  <c r="M248" i="1"/>
  <c r="N248" i="1" s="1"/>
  <c r="V248" i="1"/>
  <c r="Y248" i="1"/>
  <c r="Z248" i="1"/>
  <c r="AB248" i="1"/>
  <c r="AC248" i="1"/>
  <c r="AD248" i="1"/>
  <c r="X248" i="1" s="1"/>
  <c r="AE248" i="1"/>
  <c r="AF248" i="1"/>
  <c r="AH193" i="1"/>
  <c r="AM193" i="1"/>
  <c r="AN193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4" i="1"/>
  <c r="AM194" i="1"/>
  <c r="AN194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5" i="1"/>
  <c r="AM195" i="1"/>
  <c r="AN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AM196" i="1"/>
  <c r="AN196" i="1"/>
  <c r="K159" i="1"/>
  <c r="L159" i="1"/>
  <c r="M159" i="1"/>
  <c r="N159" i="1" s="1"/>
  <c r="V159" i="1"/>
  <c r="Y159" i="1"/>
  <c r="Z159" i="1"/>
  <c r="AB159" i="1"/>
  <c r="AC159" i="1"/>
  <c r="AD159" i="1"/>
  <c r="AE159" i="1"/>
  <c r="R29" i="3" s="1"/>
  <c r="AF159" i="1"/>
  <c r="AH197" i="1"/>
  <c r="AM197" i="1"/>
  <c r="AN19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8" i="1"/>
  <c r="AM198" i="1"/>
  <c r="AN19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R31" i="3" s="1"/>
  <c r="AF161" i="1"/>
  <c r="AH199" i="1"/>
  <c r="AM199" i="1"/>
  <c r="AN19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00" i="1"/>
  <c r="AM200" i="1"/>
  <c r="AN20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1" i="1"/>
  <c r="AM201" i="1"/>
  <c r="AN20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2" i="1"/>
  <c r="AM202" i="1"/>
  <c r="AN20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3" i="1"/>
  <c r="AM203" i="1"/>
  <c r="AN20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4" i="1"/>
  <c r="AM204" i="1"/>
  <c r="AN204" i="1"/>
  <c r="AH205" i="1"/>
  <c r="AM205" i="1"/>
  <c r="AN205" i="1"/>
  <c r="AH206" i="1"/>
  <c r="AM206" i="1"/>
  <c r="AN206" i="1"/>
  <c r="K167" i="1"/>
  <c r="L167" i="1"/>
  <c r="M167" i="1"/>
  <c r="N167" i="1" s="1"/>
  <c r="V167" i="1"/>
  <c r="S30" i="3" s="1"/>
  <c r="Y167" i="1"/>
  <c r="Z167" i="1"/>
  <c r="AA167" i="1" s="1"/>
  <c r="AB167" i="1"/>
  <c r="AC167" i="1"/>
  <c r="AD167" i="1"/>
  <c r="T167" i="1" s="1"/>
  <c r="AE167" i="1"/>
  <c r="AF167" i="1"/>
  <c r="AH207" i="1"/>
  <c r="AM207" i="1"/>
  <c r="AN20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8" i="1"/>
  <c r="AM208" i="1"/>
  <c r="AN20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9" i="1"/>
  <c r="AM209" i="1"/>
  <c r="AN20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0" i="1"/>
  <c r="AM210" i="1"/>
  <c r="AN21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1" i="1"/>
  <c r="AM211" i="1"/>
  <c r="AN211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12" i="1"/>
  <c r="AM212" i="1"/>
  <c r="AN21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3" i="1"/>
  <c r="AM213" i="1"/>
  <c r="AN213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214" i="1"/>
  <c r="AM214" i="1"/>
  <c r="AN214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215" i="1"/>
  <c r="AM215" i="1"/>
  <c r="AN215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6" i="1"/>
  <c r="AM216" i="1"/>
  <c r="AN21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7" i="1"/>
  <c r="AM217" i="1"/>
  <c r="AN21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8" i="1"/>
  <c r="AM218" i="1"/>
  <c r="AN218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19" i="1"/>
  <c r="AM219" i="1"/>
  <c r="AN219" i="1"/>
  <c r="K180" i="1"/>
  <c r="L180" i="1"/>
  <c r="M180" i="1"/>
  <c r="N180" i="1" s="1"/>
  <c r="T180" i="1"/>
  <c r="V180" i="1"/>
  <c r="X180" i="1"/>
  <c r="Y180" i="1"/>
  <c r="Z180" i="1"/>
  <c r="AA180" i="1" s="1"/>
  <c r="AB180" i="1"/>
  <c r="AC180" i="1"/>
  <c r="AD180" i="1"/>
  <c r="AE180" i="1"/>
  <c r="AF180" i="1"/>
  <c r="AH220" i="1"/>
  <c r="AM220" i="1"/>
  <c r="AN22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1" i="1"/>
  <c r="AM221" i="1"/>
  <c r="AN22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2" i="1"/>
  <c r="AM222" i="1"/>
  <c r="AN22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3" i="1"/>
  <c r="AM223" i="1"/>
  <c r="AN22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4" i="1"/>
  <c r="AM224" i="1"/>
  <c r="AN22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5" i="1"/>
  <c r="AM225" i="1"/>
  <c r="AN225" i="1"/>
  <c r="K186" i="1"/>
  <c r="L186" i="1"/>
  <c r="M186" i="1"/>
  <c r="N186" i="1" s="1"/>
  <c r="T186" i="1"/>
  <c r="V186" i="1"/>
  <c r="Y186" i="1"/>
  <c r="Z186" i="1"/>
  <c r="AA186" i="1" s="1"/>
  <c r="AB186" i="1"/>
  <c r="AC186" i="1"/>
  <c r="AD186" i="1"/>
  <c r="X186" i="1" s="1"/>
  <c r="AE186" i="1"/>
  <c r="AF186" i="1"/>
  <c r="AH226" i="1"/>
  <c r="AM226" i="1"/>
  <c r="AN226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27" i="1"/>
  <c r="AM227" i="1"/>
  <c r="AN227" i="1"/>
  <c r="K188" i="1"/>
  <c r="L188" i="1"/>
  <c r="M188" i="1"/>
  <c r="N188" i="1" s="1"/>
  <c r="T188" i="1"/>
  <c r="V188" i="1"/>
  <c r="X188" i="1"/>
  <c r="Y188" i="1"/>
  <c r="Z188" i="1"/>
  <c r="AA188" i="1" s="1"/>
  <c r="AB188" i="1"/>
  <c r="AC188" i="1"/>
  <c r="AD188" i="1"/>
  <c r="AE188" i="1"/>
  <c r="AF188" i="1"/>
  <c r="AH228" i="1"/>
  <c r="AM228" i="1"/>
  <c r="AN228" i="1"/>
  <c r="K189" i="1"/>
  <c r="L189" i="1"/>
  <c r="M189" i="1"/>
  <c r="N189" i="1" s="1"/>
  <c r="T189" i="1"/>
  <c r="V189" i="1"/>
  <c r="S33" i="3" s="1"/>
  <c r="X189" i="1"/>
  <c r="Y189" i="1"/>
  <c r="Z189" i="1"/>
  <c r="AB189" i="1"/>
  <c r="AC189" i="1"/>
  <c r="AD189" i="1"/>
  <c r="AE189" i="1"/>
  <c r="AF189" i="1"/>
  <c r="AH229" i="1"/>
  <c r="AM229" i="1"/>
  <c r="AN229" i="1"/>
  <c r="K190" i="1"/>
  <c r="L190" i="1"/>
  <c r="M190" i="1"/>
  <c r="N190" i="1"/>
  <c r="V190" i="1"/>
  <c r="Y190" i="1"/>
  <c r="Z190" i="1"/>
  <c r="AB190" i="1"/>
  <c r="AC190" i="1"/>
  <c r="AD190" i="1"/>
  <c r="X190" i="1" s="1"/>
  <c r="AE190" i="1"/>
  <c r="AF190" i="1"/>
  <c r="AH230" i="1"/>
  <c r="AM230" i="1"/>
  <c r="AN23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1" i="1"/>
  <c r="AM231" i="1"/>
  <c r="AN231" i="1"/>
  <c r="K192" i="1"/>
  <c r="L192" i="1"/>
  <c r="M192" i="1"/>
  <c r="N192" i="1"/>
  <c r="V192" i="1"/>
  <c r="S36" i="3" s="1"/>
  <c r="Y192" i="1"/>
  <c r="Z192" i="1"/>
  <c r="AB192" i="1"/>
  <c r="AC192" i="1"/>
  <c r="AD192" i="1"/>
  <c r="AE192" i="1"/>
  <c r="AF192" i="1"/>
  <c r="AH232" i="1"/>
  <c r="AM232" i="1"/>
  <c r="AN232" i="1"/>
  <c r="K193" i="1"/>
  <c r="L193" i="1"/>
  <c r="M193" i="1"/>
  <c r="N193" i="1" s="1"/>
  <c r="V193" i="1"/>
  <c r="S34" i="3" s="1"/>
  <c r="Y193" i="1"/>
  <c r="Z193" i="1"/>
  <c r="AB193" i="1"/>
  <c r="AC193" i="1"/>
  <c r="AD193" i="1"/>
  <c r="AE193" i="1"/>
  <c r="AF193" i="1"/>
  <c r="AH233" i="1"/>
  <c r="AM233" i="1"/>
  <c r="AN23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4" i="1"/>
  <c r="AM234" i="1"/>
  <c r="AN23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5" i="1"/>
  <c r="AM235" i="1"/>
  <c r="AN23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6" i="1"/>
  <c r="AM236" i="1"/>
  <c r="AN23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7" i="1"/>
  <c r="AM237" i="1"/>
  <c r="AN23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8" i="1"/>
  <c r="AM238" i="1"/>
  <c r="AN23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9" i="1"/>
  <c r="AM239" i="1"/>
  <c r="AN239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40" i="1"/>
  <c r="AM240" i="1"/>
  <c r="AN240" i="1"/>
  <c r="K201" i="1"/>
  <c r="L201" i="1"/>
  <c r="M201" i="1"/>
  <c r="N201" i="1" s="1"/>
  <c r="V201" i="1"/>
  <c r="Y201" i="1"/>
  <c r="AA201" i="1" s="1"/>
  <c r="Z201" i="1"/>
  <c r="AB201" i="1"/>
  <c r="AC201" i="1"/>
  <c r="AD201" i="1"/>
  <c r="T201" i="1" s="1"/>
  <c r="AE201" i="1"/>
  <c r="AF201" i="1"/>
  <c r="AH241" i="1"/>
  <c r="AM241" i="1"/>
  <c r="AN24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2" i="1"/>
  <c r="AM242" i="1"/>
  <c r="AN242" i="1"/>
  <c r="K203" i="1"/>
  <c r="L203" i="1"/>
  <c r="M203" i="1"/>
  <c r="N203" i="1" s="1"/>
  <c r="V203" i="1"/>
  <c r="Y203" i="1"/>
  <c r="AA203" i="1" s="1"/>
  <c r="Z203" i="1"/>
  <c r="AB203" i="1"/>
  <c r="AC203" i="1"/>
  <c r="AD203" i="1"/>
  <c r="T203" i="1" s="1"/>
  <c r="AE203" i="1"/>
  <c r="AF203" i="1"/>
  <c r="AH243" i="1"/>
  <c r="AM243" i="1"/>
  <c r="AN243" i="1"/>
  <c r="K250" i="1"/>
  <c r="L250" i="1"/>
  <c r="M250" i="1"/>
  <c r="N250" i="1"/>
  <c r="V250" i="1"/>
  <c r="Y250" i="1"/>
  <c r="Z250" i="1"/>
  <c r="AB250" i="1"/>
  <c r="AC250" i="1"/>
  <c r="AD250" i="1"/>
  <c r="T250" i="1" s="1"/>
  <c r="AE250" i="1"/>
  <c r="AF250" i="1"/>
  <c r="AH244" i="1"/>
  <c r="AM244" i="1"/>
  <c r="AN244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45" i="1"/>
  <c r="AM245" i="1"/>
  <c r="AN245" i="1"/>
  <c r="K218" i="1"/>
  <c r="L218" i="1"/>
  <c r="M218" i="1"/>
  <c r="N218" i="1" s="1"/>
  <c r="V218" i="1"/>
  <c r="S40" i="3" s="1"/>
  <c r="Y218" i="1"/>
  <c r="Z218" i="1"/>
  <c r="AB218" i="1"/>
  <c r="AC218" i="1"/>
  <c r="AD218" i="1"/>
  <c r="T218" i="1" s="1"/>
  <c r="AE218" i="1"/>
  <c r="AF218" i="1"/>
  <c r="AH246" i="1"/>
  <c r="AM246" i="1"/>
  <c r="AN246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R38" i="3" s="1"/>
  <c r="AF219" i="1"/>
  <c r="AH247" i="1"/>
  <c r="AM247" i="1"/>
  <c r="AN247" i="1"/>
  <c r="K220" i="1"/>
  <c r="L220" i="1"/>
  <c r="M220" i="1"/>
  <c r="N220" i="1" s="1"/>
  <c r="T220" i="1"/>
  <c r="V220" i="1"/>
  <c r="Y220" i="1"/>
  <c r="Z220" i="1"/>
  <c r="AA220" i="1" s="1"/>
  <c r="AB220" i="1"/>
  <c r="AC220" i="1"/>
  <c r="AD220" i="1"/>
  <c r="AE220" i="1"/>
  <c r="AF220" i="1"/>
  <c r="AH248" i="1"/>
  <c r="AM248" i="1"/>
  <c r="AN248" i="1"/>
  <c r="K221" i="1"/>
  <c r="L221" i="1"/>
  <c r="M221" i="1"/>
  <c r="N221" i="1" s="1"/>
  <c r="V221" i="1"/>
  <c r="S39" i="3" s="1"/>
  <c r="Y221" i="1"/>
  <c r="Z221" i="1"/>
  <c r="AA221" i="1" s="1"/>
  <c r="AB221" i="1"/>
  <c r="AC221" i="1"/>
  <c r="AD221" i="1"/>
  <c r="T221" i="1" s="1"/>
  <c r="AE221" i="1"/>
  <c r="R39" i="3" s="1"/>
  <c r="AF221" i="1"/>
  <c r="AH249" i="1"/>
  <c r="AM249" i="1"/>
  <c r="AN249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50" i="1"/>
  <c r="AM250" i="1"/>
  <c r="AN250" i="1"/>
  <c r="K223" i="1"/>
  <c r="L223" i="1"/>
  <c r="M223" i="1"/>
  <c r="N223" i="1" s="1"/>
  <c r="V223" i="1"/>
  <c r="S37" i="3" s="1"/>
  <c r="Y223" i="1"/>
  <c r="Z223" i="1"/>
  <c r="AB223" i="1"/>
  <c r="AC223" i="1"/>
  <c r="AD223" i="1"/>
  <c r="T223" i="1" s="1"/>
  <c r="AE223" i="1"/>
  <c r="R37" i="3" s="1"/>
  <c r="AF223" i="1"/>
  <c r="AH251" i="1"/>
  <c r="AM251" i="1"/>
  <c r="AN251" i="1"/>
  <c r="M10" i="3"/>
  <c r="R10" i="3"/>
  <c r="S10" i="3"/>
  <c r="U10" i="3"/>
  <c r="T10" i="3" s="1"/>
  <c r="V10" i="3"/>
  <c r="X10" i="3"/>
  <c r="AC10" i="3"/>
  <c r="M22" i="3"/>
  <c r="R22" i="3"/>
  <c r="S22" i="3"/>
  <c r="U22" i="3"/>
  <c r="V22" i="3"/>
  <c r="X22" i="3"/>
  <c r="M40" i="3"/>
  <c r="R40" i="3"/>
  <c r="U40" i="3"/>
  <c r="AC40" i="3" s="1"/>
  <c r="V40" i="3"/>
  <c r="X40" i="3"/>
  <c r="M13" i="3"/>
  <c r="R13" i="3"/>
  <c r="S13" i="3"/>
  <c r="U13" i="3"/>
  <c r="AC13" i="3" s="1"/>
  <c r="V13" i="3"/>
  <c r="X13" i="3"/>
  <c r="M38" i="3"/>
  <c r="S38" i="3"/>
  <c r="U38" i="3"/>
  <c r="T38" i="3" s="1"/>
  <c r="V38" i="3"/>
  <c r="X38" i="3"/>
  <c r="M29" i="3"/>
  <c r="S29" i="3"/>
  <c r="U29" i="3"/>
  <c r="V29" i="3"/>
  <c r="X29" i="3"/>
  <c r="M31" i="3"/>
  <c r="S31" i="3"/>
  <c r="U31" i="3"/>
  <c r="AC31" i="3" s="1"/>
  <c r="V31" i="3"/>
  <c r="X31" i="3"/>
  <c r="M18" i="3"/>
  <c r="R18" i="3"/>
  <c r="S18" i="3"/>
  <c r="U18" i="3"/>
  <c r="AC18" i="3" s="1"/>
  <c r="V18" i="3"/>
  <c r="X18" i="3"/>
  <c r="M17" i="3"/>
  <c r="R17" i="3"/>
  <c r="S17" i="3"/>
  <c r="U17" i="3"/>
  <c r="T17" i="3" s="1"/>
  <c r="V17" i="3"/>
  <c r="X17" i="3"/>
  <c r="M30" i="3"/>
  <c r="R30" i="3"/>
  <c r="U30" i="3"/>
  <c r="V30" i="3"/>
  <c r="X30" i="3"/>
  <c r="M16" i="3"/>
  <c r="R16" i="3"/>
  <c r="S16" i="3"/>
  <c r="U16" i="3"/>
  <c r="AC16" i="3" s="1"/>
  <c r="V16" i="3"/>
  <c r="X16" i="3"/>
  <c r="M20" i="3"/>
  <c r="R20" i="3"/>
  <c r="S20" i="3"/>
  <c r="U20" i="3"/>
  <c r="AC20" i="3" s="1"/>
  <c r="V20" i="3"/>
  <c r="X20" i="3"/>
  <c r="M41" i="3"/>
  <c r="R41" i="3"/>
  <c r="S41" i="3"/>
  <c r="U41" i="3"/>
  <c r="T41" i="3" s="1"/>
  <c r="V41" i="3"/>
  <c r="X41" i="3"/>
  <c r="M42" i="3"/>
  <c r="S42" i="3"/>
  <c r="U42" i="3"/>
  <c r="V42" i="3"/>
  <c r="X42" i="3"/>
  <c r="M43" i="3"/>
  <c r="R43" i="3"/>
  <c r="S43" i="3"/>
  <c r="U43" i="3"/>
  <c r="AC43" i="3" s="1"/>
  <c r="V43" i="3"/>
  <c r="AE43" i="3" s="1"/>
  <c r="X43" i="3"/>
  <c r="M11" i="3"/>
  <c r="R11" i="3"/>
  <c r="S11" i="3"/>
  <c r="U11" i="3"/>
  <c r="AC11" i="3" s="1"/>
  <c r="V11" i="3"/>
  <c r="X11" i="3"/>
  <c r="M21" i="3"/>
  <c r="R21" i="3"/>
  <c r="S21" i="3"/>
  <c r="U21" i="3"/>
  <c r="T21" i="3" s="1"/>
  <c r="V21" i="3"/>
  <c r="X21" i="3"/>
  <c r="M47" i="3"/>
  <c r="R47" i="3"/>
  <c r="S47" i="3"/>
  <c r="U47" i="3"/>
  <c r="AD47" i="3" s="1"/>
  <c r="V47" i="3"/>
  <c r="X47" i="3"/>
  <c r="M26" i="3"/>
  <c r="R26" i="3"/>
  <c r="S26" i="3"/>
  <c r="U26" i="3"/>
  <c r="AC26" i="3" s="1"/>
  <c r="V26" i="3"/>
  <c r="X26" i="3"/>
  <c r="M32" i="3"/>
  <c r="R32" i="3"/>
  <c r="S32" i="3"/>
  <c r="U32" i="3"/>
  <c r="AC32" i="3" s="1"/>
  <c r="V32" i="3"/>
  <c r="X32" i="3"/>
  <c r="M44" i="3"/>
  <c r="R44" i="3"/>
  <c r="S44" i="3"/>
  <c r="U44" i="3"/>
  <c r="T44" i="3" s="1"/>
  <c r="V44" i="3"/>
  <c r="X44" i="3"/>
  <c r="M7" i="3"/>
  <c r="R7" i="3"/>
  <c r="S7" i="3"/>
  <c r="U7" i="3"/>
  <c r="AD29" i="3" s="1"/>
  <c r="V7" i="3"/>
  <c r="X7" i="3"/>
  <c r="M35" i="3"/>
  <c r="R35" i="3"/>
  <c r="S35" i="3"/>
  <c r="U35" i="3"/>
  <c r="AC35" i="3" s="1"/>
  <c r="V35" i="3"/>
  <c r="X35" i="3"/>
  <c r="M9" i="3"/>
  <c r="R9" i="3"/>
  <c r="S9" i="3"/>
  <c r="U9" i="3"/>
  <c r="AC9" i="3" s="1"/>
  <c r="V9" i="3"/>
  <c r="X9" i="3"/>
  <c r="AE31" i="3"/>
  <c r="M49" i="3"/>
  <c r="S49" i="3"/>
  <c r="U49" i="3"/>
  <c r="T49" i="3" s="1"/>
  <c r="V49" i="3"/>
  <c r="X49" i="3"/>
  <c r="M15" i="3"/>
  <c r="R15" i="3"/>
  <c r="S15" i="3"/>
  <c r="U15" i="3"/>
  <c r="AD15" i="3" s="1"/>
  <c r="V15" i="3"/>
  <c r="X15" i="3"/>
  <c r="M48" i="3"/>
  <c r="R48" i="3"/>
  <c r="S48" i="3"/>
  <c r="U48" i="3"/>
  <c r="AC48" i="3" s="1"/>
  <c r="V48" i="3"/>
  <c r="X48" i="3"/>
  <c r="M23" i="3"/>
  <c r="R23" i="3"/>
  <c r="S23" i="3"/>
  <c r="U23" i="3"/>
  <c r="AC23" i="3" s="1"/>
  <c r="V23" i="3"/>
  <c r="X23" i="3"/>
  <c r="M27" i="3"/>
  <c r="R27" i="3"/>
  <c r="S27" i="3"/>
  <c r="U27" i="3"/>
  <c r="T27" i="3" s="1"/>
  <c r="V27" i="3"/>
  <c r="X27" i="3"/>
  <c r="M39" i="3"/>
  <c r="U39" i="3"/>
  <c r="V39" i="3"/>
  <c r="X39" i="3"/>
  <c r="M28" i="3"/>
  <c r="R28" i="3"/>
  <c r="S28" i="3"/>
  <c r="U28" i="3"/>
  <c r="AC28" i="3" s="1"/>
  <c r="V28" i="3"/>
  <c r="X28" i="3"/>
  <c r="M45" i="3"/>
  <c r="R45" i="3"/>
  <c r="S45" i="3"/>
  <c r="U45" i="3"/>
  <c r="AC45" i="3" s="1"/>
  <c r="V45" i="3"/>
  <c r="X45" i="3"/>
  <c r="M46" i="3"/>
  <c r="R46" i="3"/>
  <c r="S46" i="3"/>
  <c r="U46" i="3"/>
  <c r="T46" i="3" s="1"/>
  <c r="V46" i="3"/>
  <c r="AE40" i="3" s="1"/>
  <c r="X46" i="3"/>
  <c r="AD40" i="3"/>
  <c r="M33" i="3"/>
  <c r="R33" i="3"/>
  <c r="U33" i="3"/>
  <c r="V33" i="3"/>
  <c r="X33" i="3"/>
  <c r="M36" i="3"/>
  <c r="R36" i="3"/>
  <c r="U36" i="3"/>
  <c r="AC36" i="3" s="1"/>
  <c r="V36" i="3"/>
  <c r="X36" i="3"/>
  <c r="M34" i="3"/>
  <c r="R34" i="3"/>
  <c r="U34" i="3"/>
  <c r="AC34" i="3" s="1"/>
  <c r="V34" i="3"/>
  <c r="X34" i="3"/>
  <c r="M12" i="3"/>
  <c r="R12" i="3"/>
  <c r="S12" i="3"/>
  <c r="U12" i="3"/>
  <c r="T12" i="3" s="1"/>
  <c r="V12" i="3"/>
  <c r="X12" i="3"/>
  <c r="AD44" i="3"/>
  <c r="M19" i="3"/>
  <c r="R19" i="3"/>
  <c r="S19" i="3"/>
  <c r="U19" i="3"/>
  <c r="V19" i="3"/>
  <c r="X19" i="3"/>
  <c r="M14" i="3"/>
  <c r="R14" i="3"/>
  <c r="S14" i="3"/>
  <c r="U14" i="3"/>
  <c r="AC14" i="3" s="1"/>
  <c r="V14" i="3"/>
  <c r="X14" i="3"/>
  <c r="M8" i="3"/>
  <c r="R8" i="3"/>
  <c r="S8" i="3"/>
  <c r="U8" i="3"/>
  <c r="AC8" i="3" s="1"/>
  <c r="V8" i="3"/>
  <c r="X8" i="3"/>
  <c r="M37" i="3"/>
  <c r="U37" i="3"/>
  <c r="T37" i="3" s="1"/>
  <c r="V37" i="3"/>
  <c r="AE48" i="3" s="1"/>
  <c r="X37" i="3"/>
  <c r="M24" i="3"/>
  <c r="R24" i="3"/>
  <c r="S24" i="3"/>
  <c r="U24" i="3"/>
  <c r="AD49" i="3" s="1"/>
  <c r="V24" i="3"/>
  <c r="X24" i="3"/>
  <c r="AG20" i="1"/>
  <c r="AG36" i="1"/>
  <c r="AG52" i="1"/>
  <c r="AG27" i="1"/>
  <c r="AG43" i="1"/>
  <c r="AG18" i="1"/>
  <c r="AG34" i="1"/>
  <c r="AG50" i="1"/>
  <c r="AG29" i="1"/>
  <c r="AG45" i="1"/>
  <c r="AG62" i="1"/>
  <c r="AG78" i="1"/>
  <c r="AG65" i="1"/>
  <c r="AG56" i="1"/>
  <c r="AG72" i="1"/>
  <c r="AG59" i="1"/>
  <c r="AG75" i="1"/>
  <c r="AG90" i="1"/>
  <c r="AG106" i="1"/>
  <c r="AG85" i="1"/>
  <c r="AG101" i="1"/>
  <c r="AG81" i="1"/>
  <c r="AG96" i="1"/>
  <c r="AG112" i="1"/>
  <c r="AG91" i="1"/>
  <c r="AG107" i="1"/>
  <c r="AG124" i="1"/>
  <c r="AG140" i="1"/>
  <c r="AG119" i="1"/>
  <c r="AG135" i="1"/>
  <c r="AG151" i="1"/>
  <c r="AG130" i="1"/>
  <c r="AG146" i="1"/>
  <c r="AG129" i="1"/>
  <c r="AG145" i="1"/>
  <c r="AG206" i="1"/>
  <c r="AG228" i="1"/>
  <c r="AG38" i="1"/>
  <c r="AG67" i="1"/>
  <c r="AG113" i="1"/>
  <c r="AG103" i="1"/>
  <c r="AG131" i="1"/>
  <c r="AG138" i="1"/>
  <c r="AG214" i="1"/>
  <c r="AG163" i="1"/>
  <c r="AG217" i="1"/>
  <c r="AG176" i="1"/>
  <c r="AG161" i="1"/>
  <c r="AG215" i="1"/>
  <c r="AG160" i="1"/>
  <c r="AG250" i="1"/>
  <c r="AG182" i="1"/>
  <c r="AG181" i="1"/>
  <c r="AG16" i="1"/>
  <c r="AG40" i="1"/>
  <c r="AG19" i="1"/>
  <c r="AG39" i="1"/>
  <c r="AG22" i="1"/>
  <c r="AG42" i="1"/>
  <c r="AG25" i="1"/>
  <c r="AG49" i="1"/>
  <c r="AG70" i="1"/>
  <c r="AG61" i="1"/>
  <c r="AG60" i="1"/>
  <c r="AG80" i="1"/>
  <c r="AG71" i="1"/>
  <c r="AG97" i="1"/>
  <c r="AG84" i="1"/>
  <c r="AG104" i="1"/>
  <c r="AG132" i="1"/>
  <c r="AG122" i="1"/>
  <c r="AG224" i="1"/>
  <c r="AG205" i="1"/>
  <c r="AG166" i="1"/>
  <c r="AG165" i="1"/>
  <c r="AG241" i="1"/>
  <c r="AG220" i="1"/>
  <c r="AG186" i="1"/>
  <c r="AG201" i="1"/>
  <c r="AG24" i="1"/>
  <c r="AG44" i="1"/>
  <c r="AG23" i="1"/>
  <c r="AG47" i="1"/>
  <c r="AG26" i="1"/>
  <c r="AG46" i="1"/>
  <c r="AG33" i="1"/>
  <c r="AG54" i="1"/>
  <c r="AG74" i="1"/>
  <c r="AG69" i="1"/>
  <c r="AG55" i="1"/>
  <c r="AG79" i="1"/>
  <c r="AG98" i="1"/>
  <c r="AG118" i="1"/>
  <c r="AG105" i="1"/>
  <c r="AG88" i="1"/>
  <c r="AG108" i="1"/>
  <c r="AG115" i="1"/>
  <c r="AG136" i="1"/>
  <c r="AG126" i="1"/>
  <c r="AG150" i="1"/>
  <c r="AG155" i="1"/>
  <c r="AG248" i="1"/>
  <c r="AG209" i="1"/>
  <c r="AG247" i="1"/>
  <c r="AG168" i="1"/>
  <c r="AG230" i="1"/>
  <c r="AG167" i="1"/>
  <c r="AG245" i="1"/>
  <c r="AG196" i="1"/>
  <c r="AG195" i="1"/>
  <c r="AG218" i="1"/>
  <c r="AG94" i="1"/>
  <c r="AG111" i="1"/>
  <c r="AG139" i="1"/>
  <c r="AG153" i="1"/>
  <c r="AG243" i="1"/>
  <c r="AG226" i="1"/>
  <c r="AG225" i="1"/>
  <c r="AG177" i="1"/>
  <c r="AG219" i="1"/>
  <c r="AG185" i="1"/>
  <c r="AG143" i="1"/>
  <c r="AG207" i="1"/>
  <c r="AG180" i="1"/>
  <c r="AG223" i="1"/>
  <c r="AG189" i="1"/>
  <c r="AG28" i="1"/>
  <c r="AG48" i="1"/>
  <c r="AG31" i="1"/>
  <c r="AG51" i="1"/>
  <c r="AG30" i="1"/>
  <c r="AG17" i="1"/>
  <c r="AG37" i="1"/>
  <c r="AG58" i="1"/>
  <c r="AG53" i="1"/>
  <c r="AG73" i="1"/>
  <c r="AG68" i="1"/>
  <c r="AG63" i="1"/>
  <c r="AG82" i="1"/>
  <c r="AG102" i="1"/>
  <c r="AG89" i="1"/>
  <c r="AG109" i="1"/>
  <c r="AG92" i="1"/>
  <c r="AG116" i="1"/>
  <c r="AG99" i="1"/>
  <c r="AG120" i="1"/>
  <c r="AG144" i="1"/>
  <c r="AG127" i="1"/>
  <c r="AG147" i="1"/>
  <c r="AG134" i="1"/>
  <c r="AG121" i="1"/>
  <c r="AG141" i="1"/>
  <c r="AG210" i="1"/>
  <c r="AG236" i="1"/>
  <c r="AG159" i="1"/>
  <c r="AG173" i="1"/>
  <c r="AG213" i="1"/>
  <c r="AG235" i="1"/>
  <c r="AG158" i="1"/>
  <c r="AG172" i="1"/>
  <c r="AG212" i="1"/>
  <c r="AG234" i="1"/>
  <c r="AG157" i="1"/>
  <c r="AG171" i="1"/>
  <c r="AG211" i="1"/>
  <c r="AG233" i="1"/>
  <c r="AG249" i="1"/>
  <c r="AG170" i="1"/>
  <c r="AG184" i="1"/>
  <c r="AG200" i="1"/>
  <c r="AG183" i="1"/>
  <c r="AG199" i="1"/>
  <c r="AG178" i="1"/>
  <c r="AG194" i="1"/>
  <c r="AG222" i="1"/>
  <c r="AG193" i="1"/>
  <c r="AG221" i="1"/>
  <c r="AG32" i="1"/>
  <c r="AG15" i="1"/>
  <c r="AG35" i="1"/>
  <c r="AG14" i="1"/>
  <c r="AG21" i="1"/>
  <c r="AG41" i="1"/>
  <c r="AG66" i="1"/>
  <c r="AG57" i="1"/>
  <c r="AG77" i="1"/>
  <c r="AG76" i="1"/>
  <c r="AG86" i="1"/>
  <c r="AG110" i="1"/>
  <c r="AG93" i="1"/>
  <c r="AG100" i="1"/>
  <c r="AG83" i="1"/>
  <c r="AG128" i="1"/>
  <c r="AG148" i="1"/>
  <c r="AG117" i="1"/>
  <c r="AG125" i="1"/>
  <c r="AG149" i="1"/>
  <c r="AG240" i="1"/>
  <c r="AG154" i="1"/>
  <c r="AG239" i="1"/>
  <c r="AG162" i="1"/>
  <c r="AG216" i="1"/>
  <c r="AG238" i="1"/>
  <c r="AG175" i="1"/>
  <c r="AG237" i="1"/>
  <c r="AG174" i="1"/>
  <c r="AG188" i="1"/>
  <c r="AG187" i="1"/>
  <c r="AG203" i="1"/>
  <c r="AG198" i="1"/>
  <c r="AG197" i="1"/>
  <c r="AG114" i="1"/>
  <c r="AG87" i="1"/>
  <c r="AG152" i="1"/>
  <c r="AG142" i="1"/>
  <c r="AG133" i="1"/>
  <c r="AG244" i="1"/>
  <c r="AG227" i="1"/>
  <c r="AG204" i="1"/>
  <c r="AG242" i="1"/>
  <c r="AG156" i="1"/>
  <c r="AG164" i="1"/>
  <c r="AG192" i="1"/>
  <c r="AG191" i="1"/>
  <c r="AG202" i="1"/>
  <c r="AG64" i="1"/>
  <c r="AG95" i="1"/>
  <c r="AG123" i="1"/>
  <c r="AG137" i="1"/>
  <c r="AG232" i="1"/>
  <c r="AG169" i="1"/>
  <c r="AG231" i="1"/>
  <c r="AG208" i="1"/>
  <c r="AG246" i="1"/>
  <c r="AG229" i="1"/>
  <c r="AG179" i="1"/>
  <c r="AG190" i="1"/>
  <c r="AG251" i="1"/>
  <c r="W49" i="3"/>
  <c r="W30" i="3"/>
  <c r="W15" i="3"/>
  <c r="W24" i="3"/>
  <c r="W34" i="3"/>
  <c r="W16" i="3"/>
  <c r="W48" i="3"/>
  <c r="W13" i="3"/>
  <c r="W23" i="3"/>
  <c r="W38" i="3"/>
  <c r="W44" i="3"/>
  <c r="W22" i="3"/>
  <c r="W47" i="3"/>
  <c r="W33" i="3"/>
  <c r="W32" i="3"/>
  <c r="W40" i="3"/>
  <c r="W26" i="3"/>
  <c r="W36" i="3"/>
  <c r="W11" i="3"/>
  <c r="W12" i="3"/>
  <c r="W41" i="3"/>
  <c r="W27" i="3"/>
  <c r="W29" i="3"/>
  <c r="W7" i="3"/>
  <c r="W19" i="3"/>
  <c r="W45" i="3"/>
  <c r="W31" i="3"/>
  <c r="W35" i="3"/>
  <c r="W14" i="3"/>
  <c r="W9" i="3"/>
  <c r="W10" i="3"/>
  <c r="W21" i="3"/>
  <c r="W46" i="3"/>
  <c r="W42" i="3"/>
  <c r="W39" i="3"/>
  <c r="W20" i="3"/>
  <c r="W37" i="3"/>
  <c r="W43" i="3"/>
  <c r="W28" i="3"/>
  <c r="W18" i="3"/>
  <c r="W8" i="3"/>
  <c r="W17" i="3"/>
  <c r="AD45" i="3" l="1"/>
  <c r="AE11" i="3"/>
  <c r="AD20" i="3"/>
  <c r="AE10" i="3"/>
  <c r="AD48" i="3"/>
  <c r="X173" i="1"/>
  <c r="AA163" i="1"/>
  <c r="AA246" i="1"/>
  <c r="X228" i="1"/>
  <c r="X148" i="1"/>
  <c r="X140" i="1"/>
  <c r="X121" i="1"/>
  <c r="AA115" i="1"/>
  <c r="AA111" i="1"/>
  <c r="AA107" i="1"/>
  <c r="AA100" i="1"/>
  <c r="AA91" i="1"/>
  <c r="AA79" i="1"/>
  <c r="T77" i="1"/>
  <c r="X73" i="1"/>
  <c r="X72" i="1"/>
  <c r="X65" i="1"/>
  <c r="AA62" i="1"/>
  <c r="AA55" i="1"/>
  <c r="AA193" i="1"/>
  <c r="AA183" i="1"/>
  <c r="AD41" i="3"/>
  <c r="AD32" i="3"/>
  <c r="AE23" i="3"/>
  <c r="AC17" i="3"/>
  <c r="AA158" i="1"/>
  <c r="AA247" i="1"/>
  <c r="AA239" i="1"/>
  <c r="AA234" i="1"/>
  <c r="AA213" i="1"/>
  <c r="X205" i="1"/>
  <c r="AA136" i="1"/>
  <c r="AA131" i="1"/>
  <c r="X124" i="1"/>
  <c r="X64" i="1"/>
  <c r="T61" i="1"/>
  <c r="X40" i="1"/>
  <c r="AA35" i="1"/>
  <c r="X32" i="1"/>
  <c r="AA27" i="1"/>
  <c r="X24" i="1"/>
  <c r="AA20" i="1"/>
  <c r="AA16" i="1"/>
  <c r="AD36" i="3"/>
  <c r="T18" i="3"/>
  <c r="AC38" i="3"/>
  <c r="AC37" i="3"/>
  <c r="AE15" i="3"/>
  <c r="AA191" i="1"/>
  <c r="AC46" i="3"/>
  <c r="AE35" i="3"/>
  <c r="T40" i="3"/>
  <c r="AA223" i="1"/>
  <c r="X220" i="1"/>
  <c r="AA250" i="1"/>
  <c r="X194" i="1"/>
  <c r="X192" i="1"/>
  <c r="AA175" i="1"/>
  <c r="AA169" i="1"/>
  <c r="AA245" i="1"/>
  <c r="AA242" i="1"/>
  <c r="AA228" i="1"/>
  <c r="AA212" i="1"/>
  <c r="AA204" i="1"/>
  <c r="AA148" i="1"/>
  <c r="AA140" i="1"/>
  <c r="AA139" i="1"/>
  <c r="X136" i="1"/>
  <c r="AA132" i="1"/>
  <c r="X129" i="1"/>
  <c r="AA120" i="1"/>
  <c r="X101" i="1"/>
  <c r="AA93" i="1"/>
  <c r="X92" i="1"/>
  <c r="AA88" i="1"/>
  <c r="AA86" i="1"/>
  <c r="AA83" i="1"/>
  <c r="X76" i="1"/>
  <c r="T65" i="1"/>
  <c r="AA63" i="1"/>
  <c r="X57" i="1"/>
  <c r="AA54" i="1"/>
  <c r="AA26" i="1"/>
  <c r="AA24" i="1"/>
  <c r="AA19" i="1"/>
  <c r="AA218" i="1"/>
  <c r="X251" i="1"/>
  <c r="X197" i="1"/>
  <c r="X196" i="1"/>
  <c r="AA194" i="1"/>
  <c r="T194" i="1"/>
  <c r="X181" i="1"/>
  <c r="AA168" i="1"/>
  <c r="AA166" i="1"/>
  <c r="T162" i="1"/>
  <c r="X162" i="1"/>
  <c r="X250" i="1"/>
  <c r="X193" i="1"/>
  <c r="X176" i="1"/>
  <c r="AA199" i="1"/>
  <c r="AA196" i="1"/>
  <c r="AA195" i="1"/>
  <c r="AA185" i="1"/>
  <c r="AA181" i="1"/>
  <c r="AA177" i="1"/>
  <c r="AA171" i="1"/>
  <c r="T159" i="1"/>
  <c r="X159" i="1"/>
  <c r="T240" i="1"/>
  <c r="X240" i="1"/>
  <c r="X221" i="1"/>
  <c r="X231" i="1"/>
  <c r="T137" i="1"/>
  <c r="X132" i="1"/>
  <c r="T121" i="1"/>
  <c r="AA165" i="1"/>
  <c r="AA160" i="1"/>
  <c r="X247" i="1"/>
  <c r="AA243" i="1"/>
  <c r="AA238" i="1"/>
  <c r="AA226" i="1"/>
  <c r="AA215" i="1"/>
  <c r="X214" i="1"/>
  <c r="X213" i="1"/>
  <c r="AA209" i="1"/>
  <c r="AA208" i="1"/>
  <c r="T206" i="1"/>
  <c r="T205" i="1"/>
  <c r="AA156" i="1"/>
  <c r="X155" i="1"/>
  <c r="X152" i="1"/>
  <c r="AA150" i="1"/>
  <c r="X149" i="1"/>
  <c r="AA149" i="1"/>
  <c r="X144" i="1"/>
  <c r="AA142" i="1"/>
  <c r="X141" i="1"/>
  <c r="AA135" i="1"/>
  <c r="X128" i="1"/>
  <c r="AA126" i="1"/>
  <c r="X125" i="1"/>
  <c r="AA119" i="1"/>
  <c r="X118" i="1"/>
  <c r="X117" i="1"/>
  <c r="X116" i="1"/>
  <c r="X113" i="1"/>
  <c r="X112" i="1"/>
  <c r="X109" i="1"/>
  <c r="X108" i="1"/>
  <c r="X105" i="1"/>
  <c r="AA103" i="1"/>
  <c r="AA96" i="1"/>
  <c r="AA94" i="1"/>
  <c r="X93" i="1"/>
  <c r="X91" i="1"/>
  <c r="AA89" i="1"/>
  <c r="T89" i="1"/>
  <c r="AA85" i="1"/>
  <c r="X84" i="1"/>
  <c r="AA76" i="1"/>
  <c r="AA51" i="1"/>
  <c r="AA48" i="1"/>
  <c r="AA47" i="1"/>
  <c r="X41" i="1"/>
  <c r="AA41" i="1"/>
  <c r="X33" i="1"/>
  <c r="AA33" i="1"/>
  <c r="X25" i="1"/>
  <c r="X16" i="1"/>
  <c r="X15" i="1"/>
  <c r="T101" i="1"/>
  <c r="X83" i="1"/>
  <c r="AA162" i="1"/>
  <c r="AA161" i="1"/>
  <c r="AA248" i="1"/>
  <c r="AA240" i="1"/>
  <c r="AA235" i="1"/>
  <c r="AA217" i="1"/>
  <c r="AA214" i="1"/>
  <c r="X209" i="1"/>
  <c r="AA207" i="1"/>
  <c r="AA152" i="1"/>
  <c r="AA151" i="1"/>
  <c r="AA143" i="1"/>
  <c r="AA134" i="1"/>
  <c r="X133" i="1"/>
  <c r="AA127" i="1"/>
  <c r="AA118" i="1"/>
  <c r="AA101" i="1"/>
  <c r="X100" i="1"/>
  <c r="AA87" i="1"/>
  <c r="AA80" i="1"/>
  <c r="AA72" i="1"/>
  <c r="X52" i="1"/>
  <c r="AA50" i="1"/>
  <c r="X49" i="1"/>
  <c r="X48" i="1"/>
  <c r="AA46" i="1"/>
  <c r="AA45" i="1"/>
  <c r="AA37" i="1"/>
  <c r="AA29" i="1"/>
  <c r="AA15" i="1"/>
  <c r="X224" i="1"/>
  <c r="AA222" i="1"/>
  <c r="AA251" i="1"/>
  <c r="AA202" i="1"/>
  <c r="X201" i="1"/>
  <c r="X200" i="1"/>
  <c r="X198" i="1"/>
  <c r="AA197" i="1"/>
  <c r="T193" i="1"/>
  <c r="AA192" i="1"/>
  <c r="T192" i="1"/>
  <c r="AA190" i="1"/>
  <c r="T190" i="1"/>
  <c r="X185" i="1"/>
  <c r="X184" i="1"/>
  <c r="X182" i="1"/>
  <c r="X177" i="1"/>
  <c r="X172" i="1"/>
  <c r="T169" i="1"/>
  <c r="AA164" i="1"/>
  <c r="X163" i="1"/>
  <c r="X158" i="1"/>
  <c r="T248" i="1"/>
  <c r="AA244" i="1"/>
  <c r="AA241" i="1"/>
  <c r="AA237" i="1"/>
  <c r="AA233" i="1"/>
  <c r="X232" i="1"/>
  <c r="X227" i="1"/>
  <c r="AA224" i="1"/>
  <c r="T224" i="1"/>
  <c r="X210" i="1"/>
  <c r="AA210" i="1"/>
  <c r="X154" i="1"/>
  <c r="T168" i="1"/>
  <c r="T247" i="1"/>
  <c r="T217" i="1"/>
  <c r="T144" i="1"/>
  <c r="AA200" i="1"/>
  <c r="AA198" i="1"/>
  <c r="AA189" i="1"/>
  <c r="AA184" i="1"/>
  <c r="AA182" i="1"/>
  <c r="AA173" i="1"/>
  <c r="AA170" i="1"/>
  <c r="AA159" i="1"/>
  <c r="AA249" i="1"/>
  <c r="X243" i="1"/>
  <c r="X239" i="1"/>
  <c r="X235" i="1"/>
  <c r="AA232" i="1"/>
  <c r="AA225" i="1"/>
  <c r="AA206" i="1"/>
  <c r="AA154" i="1"/>
  <c r="T153" i="1"/>
  <c r="X145" i="1"/>
  <c r="AA145" i="1"/>
  <c r="X104" i="1"/>
  <c r="T100" i="1"/>
  <c r="X96" i="1"/>
  <c r="T92" i="1"/>
  <c r="X88" i="1"/>
  <c r="T84" i="1"/>
  <c r="T45" i="1"/>
  <c r="T41" i="1"/>
  <c r="T37" i="1"/>
  <c r="T33" i="1"/>
  <c r="T29" i="1"/>
  <c r="AA25" i="1"/>
  <c r="T25" i="1"/>
  <c r="X23" i="1"/>
  <c r="X21" i="1"/>
  <c r="T19" i="1"/>
  <c r="AA18" i="1"/>
  <c r="T16" i="1"/>
  <c r="AA141" i="1"/>
  <c r="AA137" i="1"/>
  <c r="AA133" i="1"/>
  <c r="AA129" i="1"/>
  <c r="AA125" i="1"/>
  <c r="AA121" i="1"/>
  <c r="X103" i="1"/>
  <c r="X95" i="1"/>
  <c r="X87" i="1"/>
  <c r="AA65" i="1"/>
  <c r="AA61" i="1"/>
  <c r="AA57" i="1"/>
  <c r="AA53" i="1"/>
  <c r="AA49" i="1"/>
  <c r="X20" i="1"/>
  <c r="AA211" i="1"/>
  <c r="AA155" i="1"/>
  <c r="AA117" i="1"/>
  <c r="AA114" i="1"/>
  <c r="AA113" i="1"/>
  <c r="AA110" i="1"/>
  <c r="AA109" i="1"/>
  <c r="AA106" i="1"/>
  <c r="AA105" i="1"/>
  <c r="AA98" i="1"/>
  <c r="AA90" i="1"/>
  <c r="AA82" i="1"/>
  <c r="AA81" i="1"/>
  <c r="AA78" i="1"/>
  <c r="AA77" i="1"/>
  <c r="AA74" i="1"/>
  <c r="AA73" i="1"/>
  <c r="AA70" i="1"/>
  <c r="AA69" i="1"/>
  <c r="AA21" i="1"/>
  <c r="X115" i="1"/>
  <c r="X111" i="1"/>
  <c r="X107" i="1"/>
  <c r="AI249" i="1"/>
  <c r="U221" i="1"/>
  <c r="S221" i="1" s="1"/>
  <c r="AI245" i="1"/>
  <c r="U251" i="1"/>
  <c r="S251" i="1" s="1"/>
  <c r="AI241" i="1"/>
  <c r="U201" i="1"/>
  <c r="S201" i="1" s="1"/>
  <c r="AI237" i="1"/>
  <c r="U197" i="1"/>
  <c r="S197" i="1" s="1"/>
  <c r="AI233" i="1"/>
  <c r="U193" i="1"/>
  <c r="S193" i="1" s="1"/>
  <c r="AI229" i="1"/>
  <c r="U189" i="1"/>
  <c r="S189" i="1" s="1"/>
  <c r="AI225" i="1"/>
  <c r="U185" i="1"/>
  <c r="S185" i="1" s="1"/>
  <c r="AI221" i="1"/>
  <c r="U181" i="1"/>
  <c r="S181" i="1" s="1"/>
  <c r="AI250" i="1"/>
  <c r="U222" i="1"/>
  <c r="S222" i="1" s="1"/>
  <c r="AI246" i="1"/>
  <c r="U218" i="1"/>
  <c r="S218" i="1" s="1"/>
  <c r="AI242" i="1"/>
  <c r="U202" i="1"/>
  <c r="S202" i="1" s="1"/>
  <c r="AI238" i="1"/>
  <c r="U198" i="1"/>
  <c r="S198" i="1" s="1"/>
  <c r="AI234" i="1"/>
  <c r="U194" i="1"/>
  <c r="S194" i="1" s="1"/>
  <c r="AI230" i="1"/>
  <c r="U190" i="1"/>
  <c r="S190" i="1" s="1"/>
  <c r="AI226" i="1"/>
  <c r="U186" i="1"/>
  <c r="S186" i="1" s="1"/>
  <c r="AI222" i="1"/>
  <c r="U182" i="1"/>
  <c r="S182" i="1" s="1"/>
  <c r="U178" i="1"/>
  <c r="S178" i="1" s="1"/>
  <c r="AI218" i="1"/>
  <c r="U223" i="1"/>
  <c r="AI251" i="1"/>
  <c r="S223" i="1"/>
  <c r="U219" i="1"/>
  <c r="S219" i="1" s="1"/>
  <c r="AI247" i="1"/>
  <c r="U203" i="1"/>
  <c r="S203" i="1"/>
  <c r="AI243" i="1"/>
  <c r="U199" i="1"/>
  <c r="S199" i="1" s="1"/>
  <c r="AI239" i="1"/>
  <c r="U195" i="1"/>
  <c r="S195" i="1" s="1"/>
  <c r="AI235" i="1"/>
  <c r="U191" i="1"/>
  <c r="S191" i="1" s="1"/>
  <c r="AI231" i="1"/>
  <c r="U187" i="1"/>
  <c r="S187" i="1" s="1"/>
  <c r="AI227" i="1"/>
  <c r="U183" i="1"/>
  <c r="S183" i="1" s="1"/>
  <c r="AI223" i="1"/>
  <c r="U179" i="1"/>
  <c r="S179" i="1" s="1"/>
  <c r="AI219" i="1"/>
  <c r="U220" i="1"/>
  <c r="S220" i="1" s="1"/>
  <c r="AI248" i="1"/>
  <c r="U250" i="1"/>
  <c r="S250" i="1" s="1"/>
  <c r="AI244" i="1"/>
  <c r="U200" i="1"/>
  <c r="S200" i="1" s="1"/>
  <c r="AI240" i="1"/>
  <c r="U196" i="1"/>
  <c r="S196" i="1" s="1"/>
  <c r="AI236" i="1"/>
  <c r="U192" i="1"/>
  <c r="S192" i="1" s="1"/>
  <c r="AI232" i="1"/>
  <c r="U188" i="1"/>
  <c r="S188" i="1" s="1"/>
  <c r="AI228" i="1"/>
  <c r="U184" i="1"/>
  <c r="S184" i="1" s="1"/>
  <c r="AI224" i="1"/>
  <c r="U180" i="1"/>
  <c r="S180" i="1" s="1"/>
  <c r="AI220" i="1"/>
  <c r="AI217" i="1"/>
  <c r="U177" i="1"/>
  <c r="S177" i="1" s="1"/>
  <c r="AI214" i="1"/>
  <c r="U174" i="1"/>
  <c r="S174" i="1" s="1"/>
  <c r="AI210" i="1"/>
  <c r="U170" i="1"/>
  <c r="S170" i="1" s="1"/>
  <c r="AI206" i="1"/>
  <c r="AI202" i="1"/>
  <c r="U164" i="1"/>
  <c r="S164" i="1" s="1"/>
  <c r="AI198" i="1"/>
  <c r="U160" i="1"/>
  <c r="S160" i="1" s="1"/>
  <c r="AI194" i="1"/>
  <c r="U249" i="1"/>
  <c r="S249" i="1" s="1"/>
  <c r="AI190" i="1"/>
  <c r="U245" i="1"/>
  <c r="S245" i="1" s="1"/>
  <c r="AI186" i="1"/>
  <c r="U241" i="1"/>
  <c r="S241" i="1" s="1"/>
  <c r="AI182" i="1"/>
  <c r="U237" i="1"/>
  <c r="S237" i="1" s="1"/>
  <c r="AI178" i="1"/>
  <c r="U233" i="1"/>
  <c r="S233" i="1" s="1"/>
  <c r="AI174" i="1"/>
  <c r="U229" i="1"/>
  <c r="S229" i="1" s="1"/>
  <c r="AI170" i="1"/>
  <c r="U225" i="1"/>
  <c r="S225" i="1" s="1"/>
  <c r="U215" i="1"/>
  <c r="S215" i="1" s="1"/>
  <c r="AI164" i="1"/>
  <c r="U211" i="1"/>
  <c r="S211" i="1" s="1"/>
  <c r="AI160" i="1"/>
  <c r="U207" i="1"/>
  <c r="S207" i="1" s="1"/>
  <c r="AI156" i="1"/>
  <c r="U156" i="1"/>
  <c r="S156" i="1" s="1"/>
  <c r="U175" i="1"/>
  <c r="S175" i="1" s="1"/>
  <c r="AI215" i="1"/>
  <c r="AI211" i="1"/>
  <c r="U171" i="1"/>
  <c r="S171" i="1" s="1"/>
  <c r="AI207" i="1"/>
  <c r="U167" i="1"/>
  <c r="S167" i="1" s="1"/>
  <c r="S165" i="1"/>
  <c r="AI203" i="1"/>
  <c r="U165" i="1"/>
  <c r="AI199" i="1"/>
  <c r="U161" i="1"/>
  <c r="S161" i="1" s="1"/>
  <c r="AI195" i="1"/>
  <c r="U157" i="1"/>
  <c r="S157" i="1" s="1"/>
  <c r="AI191" i="1"/>
  <c r="U246" i="1"/>
  <c r="S246" i="1" s="1"/>
  <c r="AI187" i="1"/>
  <c r="U242" i="1"/>
  <c r="S242" i="1" s="1"/>
  <c r="AI183" i="1"/>
  <c r="U238" i="1"/>
  <c r="S238" i="1" s="1"/>
  <c r="AI179" i="1"/>
  <c r="U234" i="1"/>
  <c r="S234" i="1" s="1"/>
  <c r="AI175" i="1"/>
  <c r="U230" i="1"/>
  <c r="S230" i="1" s="1"/>
  <c r="AI171" i="1"/>
  <c r="U226" i="1"/>
  <c r="S226" i="1" s="1"/>
  <c r="AI167" i="1"/>
  <c r="U216" i="1"/>
  <c r="S216" i="1" s="1"/>
  <c r="AI165" i="1"/>
  <c r="U212" i="1"/>
  <c r="S212" i="1" s="1"/>
  <c r="AI161" i="1"/>
  <c r="U208" i="1"/>
  <c r="S208" i="1" s="1"/>
  <c r="AI157" i="1"/>
  <c r="U204" i="1"/>
  <c r="S204" i="1" s="1"/>
  <c r="U176" i="1"/>
  <c r="S176" i="1" s="1"/>
  <c r="AI216" i="1"/>
  <c r="U172" i="1"/>
  <c r="S172" i="1" s="1"/>
  <c r="AI212" i="1"/>
  <c r="U168" i="1"/>
  <c r="S168" i="1" s="1"/>
  <c r="AI208" i="1"/>
  <c r="U166" i="1"/>
  <c r="S166" i="1" s="1"/>
  <c r="AI204" i="1"/>
  <c r="U162" i="1"/>
  <c r="S162" i="1" s="1"/>
  <c r="AI200" i="1"/>
  <c r="U158" i="1"/>
  <c r="S158" i="1" s="1"/>
  <c r="AI196" i="1"/>
  <c r="U247" i="1"/>
  <c r="S247" i="1" s="1"/>
  <c r="AI192" i="1"/>
  <c r="U243" i="1"/>
  <c r="S243" i="1" s="1"/>
  <c r="AI188" i="1"/>
  <c r="U239" i="1"/>
  <c r="S239" i="1" s="1"/>
  <c r="AI184" i="1"/>
  <c r="U235" i="1"/>
  <c r="S235" i="1" s="1"/>
  <c r="AI180" i="1"/>
  <c r="U231" i="1"/>
  <c r="S231" i="1" s="1"/>
  <c r="AI176" i="1"/>
  <c r="U227" i="1"/>
  <c r="S227" i="1" s="1"/>
  <c r="AI172" i="1"/>
  <c r="U217" i="1"/>
  <c r="S217" i="1"/>
  <c r="AI168" i="1"/>
  <c r="U213" i="1"/>
  <c r="S213" i="1" s="1"/>
  <c r="AI166" i="1"/>
  <c r="U209" i="1"/>
  <c r="S209" i="1" s="1"/>
  <c r="AI162" i="1"/>
  <c r="U205" i="1"/>
  <c r="S205" i="1" s="1"/>
  <c r="AI158" i="1"/>
  <c r="U154" i="1"/>
  <c r="S154" i="1" s="1"/>
  <c r="AI154" i="1"/>
  <c r="U173" i="1"/>
  <c r="S173" i="1" s="1"/>
  <c r="AI213" i="1"/>
  <c r="U169" i="1"/>
  <c r="S169" i="1" s="1"/>
  <c r="AI209" i="1"/>
  <c r="AI205" i="1"/>
  <c r="U163" i="1"/>
  <c r="S163" i="1" s="1"/>
  <c r="AI201" i="1"/>
  <c r="U159" i="1"/>
  <c r="S159" i="1" s="1"/>
  <c r="AI197" i="1"/>
  <c r="U248" i="1"/>
  <c r="S248" i="1"/>
  <c r="AI193" i="1"/>
  <c r="U244" i="1"/>
  <c r="S244" i="1" s="1"/>
  <c r="AI189" i="1"/>
  <c r="U240" i="1"/>
  <c r="S240" i="1" s="1"/>
  <c r="AI185" i="1"/>
  <c r="U236" i="1"/>
  <c r="S236" i="1" s="1"/>
  <c r="AI181" i="1"/>
  <c r="U232" i="1"/>
  <c r="S232" i="1" s="1"/>
  <c r="AI177" i="1"/>
  <c r="U228" i="1"/>
  <c r="S228" i="1" s="1"/>
  <c r="AI173" i="1"/>
  <c r="U224" i="1"/>
  <c r="S224" i="1" s="1"/>
  <c r="AI169" i="1"/>
  <c r="U214" i="1"/>
  <c r="S214" i="1" s="1"/>
  <c r="U210" i="1"/>
  <c r="S210" i="1"/>
  <c r="AI163" i="1"/>
  <c r="U206" i="1"/>
  <c r="S206" i="1" s="1"/>
  <c r="AI159" i="1"/>
  <c r="U155" i="1"/>
  <c r="S155" i="1" s="1"/>
  <c r="AI155" i="1"/>
  <c r="U153" i="1"/>
  <c r="S153" i="1" s="1"/>
  <c r="AI153" i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29" i="1"/>
  <c r="U129" i="1"/>
  <c r="S129" i="1" s="1"/>
  <c r="AI125" i="1"/>
  <c r="U125" i="1"/>
  <c r="S125" i="1" s="1"/>
  <c r="AI121" i="1"/>
  <c r="U121" i="1"/>
  <c r="S121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AI117" i="1"/>
  <c r="U117" i="1"/>
  <c r="S117" i="1" s="1"/>
  <c r="U151" i="1"/>
  <c r="S151" i="1" s="1"/>
  <c r="W151" i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U123" i="1"/>
  <c r="S123" i="1" s="1"/>
  <c r="AI123" i="1"/>
  <c r="U119" i="1"/>
  <c r="S119" i="1" s="1"/>
  <c r="AI119" i="1"/>
  <c r="U152" i="1"/>
  <c r="S152" i="1" s="1"/>
  <c r="AI152" i="1"/>
  <c r="U148" i="1"/>
  <c r="S148" i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S128" i="1" s="1"/>
  <c r="AI128" i="1"/>
  <c r="U124" i="1"/>
  <c r="S124" i="1" s="1"/>
  <c r="AI124" i="1"/>
  <c r="U120" i="1"/>
  <c r="S120" i="1" s="1"/>
  <c r="AI120" i="1"/>
  <c r="U115" i="1"/>
  <c r="S115" i="1" s="1"/>
  <c r="AI115" i="1"/>
  <c r="AI111" i="1"/>
  <c r="U111" i="1"/>
  <c r="S111" i="1" s="1"/>
  <c r="AI107" i="1"/>
  <c r="U107" i="1"/>
  <c r="S107" i="1" s="1"/>
  <c r="S103" i="1"/>
  <c r="AI103" i="1"/>
  <c r="U103" i="1"/>
  <c r="AI99" i="1"/>
  <c r="U99" i="1"/>
  <c r="S99" i="1" s="1"/>
  <c r="AI95" i="1"/>
  <c r="U95" i="1"/>
  <c r="S95" i="1" s="1"/>
  <c r="AI91" i="1"/>
  <c r="U91" i="1"/>
  <c r="S91" i="1" s="1"/>
  <c r="AI87" i="1"/>
  <c r="U87" i="1"/>
  <c r="S87" i="1" s="1"/>
  <c r="AI83" i="1"/>
  <c r="U83" i="1"/>
  <c r="S83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U88" i="1"/>
  <c r="S88" i="1" s="1"/>
  <c r="AI84" i="1"/>
  <c r="U84" i="1"/>
  <c r="S84" i="1" s="1"/>
  <c r="U81" i="1"/>
  <c r="S81" i="1" s="1"/>
  <c r="AI81" i="1"/>
  <c r="U113" i="1"/>
  <c r="S113" i="1" s="1"/>
  <c r="AI113" i="1"/>
  <c r="U109" i="1"/>
  <c r="S109" i="1" s="1"/>
  <c r="AI109" i="1"/>
  <c r="U105" i="1"/>
  <c r="S105" i="1" s="1"/>
  <c r="AI105" i="1"/>
  <c r="U101" i="1"/>
  <c r="S101" i="1"/>
  <c r="AI101" i="1"/>
  <c r="U97" i="1"/>
  <c r="S97" i="1" s="1"/>
  <c r="AI97" i="1"/>
  <c r="U93" i="1"/>
  <c r="S93" i="1" s="1"/>
  <c r="AI93" i="1"/>
  <c r="U89" i="1"/>
  <c r="S89" i="1" s="1"/>
  <c r="AI89" i="1"/>
  <c r="U85" i="1"/>
  <c r="S85" i="1" s="1"/>
  <c r="AI85" i="1"/>
  <c r="U118" i="1"/>
  <c r="S118" i="1" s="1"/>
  <c r="AI118" i="1"/>
  <c r="AI114" i="1"/>
  <c r="AI110" i="1"/>
  <c r="AI106" i="1"/>
  <c r="U102" i="1"/>
  <c r="S102" i="1" s="1"/>
  <c r="AI102" i="1"/>
  <c r="U98" i="1"/>
  <c r="S98" i="1" s="1"/>
  <c r="AI98" i="1"/>
  <c r="U94" i="1"/>
  <c r="S94" i="1"/>
  <c r="AI94" i="1"/>
  <c r="U90" i="1"/>
  <c r="S90" i="1" s="1"/>
  <c r="AI90" i="1"/>
  <c r="U86" i="1"/>
  <c r="S86" i="1" s="1"/>
  <c r="AI86" i="1"/>
  <c r="U82" i="1"/>
  <c r="S82" i="1" s="1"/>
  <c r="AI82" i="1"/>
  <c r="U79" i="1"/>
  <c r="S79" i="1" s="1"/>
  <c r="AI79" i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S55" i="1"/>
  <c r="AI55" i="1"/>
  <c r="U55" i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U77" i="1"/>
  <c r="S77" i="1" s="1"/>
  <c r="AI77" i="1"/>
  <c r="U73" i="1"/>
  <c r="S73" i="1" s="1"/>
  <c r="AI73" i="1"/>
  <c r="U69" i="1"/>
  <c r="S69" i="1" s="1"/>
  <c r="AI69" i="1"/>
  <c r="U65" i="1"/>
  <c r="S65" i="1"/>
  <c r="AI65" i="1"/>
  <c r="U61" i="1"/>
  <c r="S61" i="1" s="1"/>
  <c r="AI61" i="1"/>
  <c r="U57" i="1"/>
  <c r="S57" i="1" s="1"/>
  <c r="AI57" i="1"/>
  <c r="U53" i="1"/>
  <c r="S53" i="1" s="1"/>
  <c r="AI53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/>
  <c r="AI35" i="1"/>
  <c r="U31" i="1"/>
  <c r="S31" i="1" s="1"/>
  <c r="AI31" i="1"/>
  <c r="U27" i="1"/>
  <c r="S27" i="1" s="1"/>
  <c r="AI27" i="1"/>
  <c r="U23" i="1"/>
  <c r="S23" i="1" s="1"/>
  <c r="AI23" i="1"/>
  <c r="U19" i="1"/>
  <c r="S19" i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19" i="1"/>
  <c r="W200" i="1"/>
  <c r="W198" i="1"/>
  <c r="W189" i="1"/>
  <c r="W187" i="1"/>
  <c r="W184" i="1"/>
  <c r="W182" i="1"/>
  <c r="W181" i="1"/>
  <c r="W221" i="1"/>
  <c r="W250" i="1"/>
  <c r="W201" i="1"/>
  <c r="W199" i="1"/>
  <c r="W196" i="1"/>
  <c r="W194" i="1"/>
  <c r="W185" i="1"/>
  <c r="W183" i="1"/>
  <c r="W180" i="1"/>
  <c r="W222" i="1"/>
  <c r="W220" i="1"/>
  <c r="W251" i="1"/>
  <c r="W202" i="1"/>
  <c r="W197" i="1"/>
  <c r="W195" i="1"/>
  <c r="W192" i="1"/>
  <c r="W190" i="1"/>
  <c r="W179" i="1"/>
  <c r="W223" i="1"/>
  <c r="W218" i="1"/>
  <c r="W203" i="1"/>
  <c r="W193" i="1"/>
  <c r="W191" i="1"/>
  <c r="W188" i="1"/>
  <c r="W186" i="1"/>
  <c r="W173" i="1"/>
  <c r="W171" i="1"/>
  <c r="W170" i="1"/>
  <c r="W162" i="1"/>
  <c r="W159" i="1"/>
  <c r="W157" i="1"/>
  <c r="W249" i="1"/>
  <c r="W232" i="1"/>
  <c r="W231" i="1"/>
  <c r="W226" i="1"/>
  <c r="W225" i="1"/>
  <c r="W209" i="1"/>
  <c r="W206" i="1"/>
  <c r="W204" i="1"/>
  <c r="W156" i="1"/>
  <c r="W152" i="1"/>
  <c r="X178" i="1"/>
  <c r="W175" i="1"/>
  <c r="W174" i="1"/>
  <c r="W166" i="1"/>
  <c r="W163" i="1"/>
  <c r="W161" i="1"/>
  <c r="W160" i="1"/>
  <c r="W243" i="1"/>
  <c r="W240" i="1"/>
  <c r="W239" i="1"/>
  <c r="W236" i="1"/>
  <c r="W235" i="1"/>
  <c r="W230" i="1"/>
  <c r="W229" i="1"/>
  <c r="W214" i="1"/>
  <c r="W213" i="1"/>
  <c r="W210" i="1"/>
  <c r="W208" i="1"/>
  <c r="W207" i="1"/>
  <c r="X222" i="1"/>
  <c r="X218" i="1"/>
  <c r="X202" i="1"/>
  <c r="W177" i="1"/>
  <c r="W168" i="1"/>
  <c r="W165" i="1"/>
  <c r="W164" i="1"/>
  <c r="W247" i="1"/>
  <c r="W244" i="1"/>
  <c r="W242" i="1"/>
  <c r="W241" i="1"/>
  <c r="W238" i="1"/>
  <c r="W237" i="1"/>
  <c r="W234" i="1"/>
  <c r="W233" i="1"/>
  <c r="W224" i="1"/>
  <c r="W217" i="1"/>
  <c r="W212" i="1"/>
  <c r="W211" i="1"/>
  <c r="W155" i="1"/>
  <c r="X223" i="1"/>
  <c r="X219" i="1"/>
  <c r="X203" i="1"/>
  <c r="X199" i="1"/>
  <c r="X195" i="1"/>
  <c r="X191" i="1"/>
  <c r="X187" i="1"/>
  <c r="X183" i="1"/>
  <c r="X179" i="1"/>
  <c r="AA178" i="1"/>
  <c r="W178" i="1" s="1"/>
  <c r="W176" i="1"/>
  <c r="W172" i="1"/>
  <c r="W169" i="1"/>
  <c r="W167" i="1"/>
  <c r="W158" i="1"/>
  <c r="W248" i="1"/>
  <c r="W246" i="1"/>
  <c r="W245" i="1"/>
  <c r="W228" i="1"/>
  <c r="W227" i="1"/>
  <c r="W216" i="1"/>
  <c r="W215" i="1"/>
  <c r="W205" i="1"/>
  <c r="W154" i="1"/>
  <c r="W148" i="1"/>
  <c r="W144" i="1"/>
  <c r="W140" i="1"/>
  <c r="W136" i="1"/>
  <c r="W132" i="1"/>
  <c r="W128" i="1"/>
  <c r="W124" i="1"/>
  <c r="W120" i="1"/>
  <c r="X174" i="1"/>
  <c r="X164" i="1"/>
  <c r="X160" i="1"/>
  <c r="X249" i="1"/>
  <c r="X245" i="1"/>
  <c r="X241" i="1"/>
  <c r="X237" i="1"/>
  <c r="X233" i="1"/>
  <c r="X229" i="1"/>
  <c r="X225" i="1"/>
  <c r="X215" i="1"/>
  <c r="X211" i="1"/>
  <c r="X207" i="1"/>
  <c r="X156" i="1"/>
  <c r="W150" i="1"/>
  <c r="W149" i="1"/>
  <c r="W147" i="1"/>
  <c r="W146" i="1"/>
  <c r="W145" i="1"/>
  <c r="W143" i="1"/>
  <c r="W142" i="1"/>
  <c r="W141" i="1"/>
  <c r="W139" i="1"/>
  <c r="W138" i="1"/>
  <c r="W137" i="1"/>
  <c r="W135" i="1"/>
  <c r="W134" i="1"/>
  <c r="W133" i="1"/>
  <c r="W131" i="1"/>
  <c r="W130" i="1"/>
  <c r="W129" i="1"/>
  <c r="W127" i="1"/>
  <c r="W126" i="1"/>
  <c r="W125" i="1"/>
  <c r="W123" i="1"/>
  <c r="W122" i="1"/>
  <c r="W121" i="1"/>
  <c r="W119" i="1"/>
  <c r="X175" i="1"/>
  <c r="X171" i="1"/>
  <c r="X165" i="1"/>
  <c r="X161" i="1"/>
  <c r="X157" i="1"/>
  <c r="X246" i="1"/>
  <c r="X242" i="1"/>
  <c r="X238" i="1"/>
  <c r="X234" i="1"/>
  <c r="X230" i="1"/>
  <c r="X226" i="1"/>
  <c r="X216" i="1"/>
  <c r="X212" i="1"/>
  <c r="X208" i="1"/>
  <c r="X204" i="1"/>
  <c r="W153" i="1"/>
  <c r="W117" i="1"/>
  <c r="W116" i="1"/>
  <c r="W102" i="1"/>
  <c r="W99" i="1"/>
  <c r="W94" i="1"/>
  <c r="W91" i="1"/>
  <c r="W86" i="1"/>
  <c r="W83" i="1"/>
  <c r="W112" i="1"/>
  <c r="W108" i="1"/>
  <c r="W104" i="1"/>
  <c r="W97" i="1"/>
  <c r="W96" i="1"/>
  <c r="W89" i="1"/>
  <c r="W88" i="1"/>
  <c r="X150" i="1"/>
  <c r="X146" i="1"/>
  <c r="X142" i="1"/>
  <c r="X138" i="1"/>
  <c r="X134" i="1"/>
  <c r="X130" i="1"/>
  <c r="X126" i="1"/>
  <c r="X122" i="1"/>
  <c r="W118" i="1"/>
  <c r="W115" i="1"/>
  <c r="W114" i="1"/>
  <c r="W113" i="1"/>
  <c r="W111" i="1"/>
  <c r="W110" i="1"/>
  <c r="W109" i="1"/>
  <c r="W107" i="1"/>
  <c r="W106" i="1"/>
  <c r="W105" i="1"/>
  <c r="W103" i="1"/>
  <c r="W98" i="1"/>
  <c r="W95" i="1"/>
  <c r="W90" i="1"/>
  <c r="W87" i="1"/>
  <c r="W82" i="1"/>
  <c r="X151" i="1"/>
  <c r="X147" i="1"/>
  <c r="X143" i="1"/>
  <c r="X139" i="1"/>
  <c r="X135" i="1"/>
  <c r="X131" i="1"/>
  <c r="X127" i="1"/>
  <c r="X123" i="1"/>
  <c r="X119" i="1"/>
  <c r="W101" i="1"/>
  <c r="W100" i="1"/>
  <c r="W93" i="1"/>
  <c r="W92" i="1"/>
  <c r="W85" i="1"/>
  <c r="W84" i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2" i="1"/>
  <c r="X98" i="1"/>
  <c r="X94" i="1"/>
  <c r="X90" i="1"/>
  <c r="X86" i="1"/>
  <c r="X82" i="1"/>
  <c r="W81" i="1"/>
  <c r="W80" i="1"/>
  <c r="W64" i="1"/>
  <c r="W60" i="1"/>
  <c r="W56" i="1"/>
  <c r="W76" i="1"/>
  <c r="W72" i="1"/>
  <c r="W68" i="1"/>
  <c r="W66" i="1"/>
  <c r="W65" i="1"/>
  <c r="W62" i="1"/>
  <c r="W61" i="1"/>
  <c r="W58" i="1"/>
  <c r="W57" i="1"/>
  <c r="W54" i="1"/>
  <c r="W53" i="1"/>
  <c r="W78" i="1"/>
  <c r="W77" i="1"/>
  <c r="W74" i="1"/>
  <c r="W73" i="1"/>
  <c r="W70" i="1"/>
  <c r="W69" i="1"/>
  <c r="W67" i="1"/>
  <c r="W63" i="1"/>
  <c r="W59" i="1"/>
  <c r="W55" i="1"/>
  <c r="W79" i="1"/>
  <c r="W75" i="1"/>
  <c r="W71" i="1"/>
  <c r="X78" i="1"/>
  <c r="X74" i="1"/>
  <c r="X70" i="1"/>
  <c r="X66" i="1"/>
  <c r="X62" i="1"/>
  <c r="X58" i="1"/>
  <c r="X54" i="1"/>
  <c r="W48" i="1"/>
  <c r="W44" i="1"/>
  <c r="W40" i="1"/>
  <c r="W36" i="1"/>
  <c r="W32" i="1"/>
  <c r="W28" i="1"/>
  <c r="W25" i="1"/>
  <c r="W24" i="1"/>
  <c r="W18" i="1"/>
  <c r="W15" i="1"/>
  <c r="X79" i="1"/>
  <c r="X75" i="1"/>
  <c r="X71" i="1"/>
  <c r="X67" i="1"/>
  <c r="X63" i="1"/>
  <c r="X59" i="1"/>
  <c r="X55" i="1"/>
  <c r="W51" i="1"/>
  <c r="W50" i="1"/>
  <c r="W49" i="1"/>
  <c r="W47" i="1"/>
  <c r="W46" i="1"/>
  <c r="W45" i="1"/>
  <c r="W43" i="1"/>
  <c r="W42" i="1"/>
  <c r="W41" i="1"/>
  <c r="W39" i="1"/>
  <c r="W38" i="1"/>
  <c r="W37" i="1"/>
  <c r="W35" i="1"/>
  <c r="W34" i="1"/>
  <c r="W33" i="1"/>
  <c r="W31" i="1"/>
  <c r="W30" i="1"/>
  <c r="W29" i="1"/>
  <c r="W27" i="1"/>
  <c r="W26" i="1"/>
  <c r="W23" i="1"/>
  <c r="W14" i="1"/>
  <c r="W21" i="1"/>
  <c r="W20" i="1"/>
  <c r="W52" i="1"/>
  <c r="W22" i="1"/>
  <c r="W19" i="1"/>
  <c r="W17" i="1"/>
  <c r="W16" i="1"/>
  <c r="X50" i="1"/>
  <c r="X46" i="1"/>
  <c r="X42" i="1"/>
  <c r="X38" i="1"/>
  <c r="X34" i="1"/>
  <c r="X30" i="1"/>
  <c r="X26" i="1"/>
  <c r="X22" i="1"/>
  <c r="X18" i="1"/>
  <c r="X51" i="1"/>
  <c r="X47" i="1"/>
  <c r="X43" i="1"/>
  <c r="X39" i="1"/>
  <c r="X35" i="1"/>
  <c r="X31" i="1"/>
  <c r="X27" i="1"/>
  <c r="AE27" i="3"/>
  <c r="AE19" i="3"/>
  <c r="AE47" i="3"/>
  <c r="AE39" i="3"/>
  <c r="AD37" i="3"/>
  <c r="AE36" i="3"/>
  <c r="AD35" i="3"/>
  <c r="T23" i="3"/>
  <c r="AC49" i="3"/>
  <c r="AC44" i="3"/>
  <c r="AC21" i="3"/>
  <c r="AC41" i="3"/>
  <c r="AD12" i="3"/>
  <c r="T8" i="3"/>
  <c r="AC19" i="3"/>
  <c r="AD39" i="3"/>
  <c r="T45" i="3"/>
  <c r="AC27" i="3"/>
  <c r="AD33" i="3"/>
  <c r="AE32" i="3"/>
  <c r="AE28" i="3"/>
  <c r="AE24" i="3"/>
  <c r="AD21" i="3"/>
  <c r="AE20" i="3"/>
  <c r="AD17" i="3"/>
  <c r="AE16" i="3"/>
  <c r="AD11" i="3"/>
  <c r="T13" i="3"/>
  <c r="AD9" i="3"/>
  <c r="AD28" i="3"/>
  <c r="AD24" i="3"/>
  <c r="AD16" i="3"/>
  <c r="AD13" i="3"/>
  <c r="AD8" i="3"/>
  <c r="AD31" i="3"/>
  <c r="T9" i="3"/>
  <c r="AD27" i="3"/>
  <c r="T32" i="3"/>
  <c r="AD23" i="3"/>
  <c r="T11" i="3"/>
  <c r="AD19" i="3"/>
  <c r="T20" i="3"/>
  <c r="AE14" i="3"/>
  <c r="T31" i="3"/>
  <c r="AC24" i="3"/>
  <c r="AC12" i="3"/>
  <c r="AE34" i="3"/>
  <c r="T48" i="3"/>
  <c r="AE30" i="3"/>
  <c r="T35" i="3"/>
  <c r="AE26" i="3"/>
  <c r="T26" i="3"/>
  <c r="AE22" i="3"/>
  <c r="T43" i="3"/>
  <c r="AE18" i="3"/>
  <c r="T16" i="3"/>
  <c r="AE44" i="3"/>
  <c r="AD43" i="3"/>
  <c r="T34" i="3"/>
  <c r="AC33" i="3"/>
  <c r="Y46" i="3"/>
  <c r="Y27" i="3"/>
  <c r="Y49" i="3"/>
  <c r="Y44" i="3"/>
  <c r="Y21" i="3"/>
  <c r="Y41" i="3"/>
  <c r="Y17" i="3"/>
  <c r="Y38" i="3"/>
  <c r="Y10" i="3"/>
  <c r="Y12" i="3"/>
  <c r="Y8" i="3"/>
  <c r="Y23" i="3"/>
  <c r="Y9" i="3"/>
  <c r="Y11" i="3"/>
  <c r="Y18" i="3"/>
  <c r="Y13" i="3"/>
  <c r="Y14" i="3"/>
  <c r="Y36" i="3"/>
  <c r="Y28" i="3"/>
  <c r="Y48" i="3"/>
  <c r="Y35" i="3"/>
  <c r="Y26" i="3"/>
  <c r="Y43" i="3"/>
  <c r="Y16" i="3"/>
  <c r="Y31" i="3"/>
  <c r="Y40" i="3"/>
  <c r="Y37" i="3"/>
  <c r="Y34" i="3"/>
  <c r="Y45" i="3"/>
  <c r="Y32" i="3"/>
  <c r="Y20" i="3"/>
  <c r="Y24" i="3"/>
  <c r="Y19" i="3"/>
  <c r="Y33" i="3"/>
  <c r="Y39" i="3"/>
  <c r="Y15" i="3"/>
  <c r="Y7" i="3"/>
  <c r="Y47" i="3"/>
  <c r="Y42" i="3"/>
  <c r="Y30" i="3"/>
  <c r="Y29" i="3"/>
  <c r="Y22" i="3"/>
  <c r="AC39" i="3"/>
  <c r="AC15" i="3"/>
  <c r="AC7" i="3"/>
  <c r="AC47" i="3"/>
  <c r="AC42" i="3"/>
  <c r="AC30" i="3"/>
  <c r="AC29" i="3"/>
  <c r="AC22" i="3"/>
  <c r="AE42" i="3"/>
  <c r="T36" i="3"/>
  <c r="AE38" i="3"/>
  <c r="AE49" i="3"/>
  <c r="T24" i="3"/>
  <c r="AD46" i="3"/>
  <c r="AE45" i="3"/>
  <c r="T19" i="3"/>
  <c r="AD42" i="3"/>
  <c r="AE41" i="3"/>
  <c r="T33" i="3"/>
  <c r="AD38" i="3"/>
  <c r="AE37" i="3"/>
  <c r="T39" i="3"/>
  <c r="AD34" i="3"/>
  <c r="AE33" i="3"/>
  <c r="T15" i="3"/>
  <c r="AD30" i="3"/>
  <c r="AE29" i="3"/>
  <c r="T7" i="3"/>
  <c r="AD26" i="3"/>
  <c r="T47" i="3"/>
  <c r="AD22" i="3"/>
  <c r="AE21" i="3"/>
  <c r="T42" i="3"/>
  <c r="AD18" i="3"/>
  <c r="AE17" i="3"/>
  <c r="T30" i="3"/>
  <c r="AD14" i="3"/>
  <c r="AE13" i="3"/>
  <c r="T29" i="3"/>
  <c r="AD10" i="3"/>
  <c r="AE9" i="3"/>
  <c r="T22" i="3"/>
  <c r="AE46" i="3"/>
  <c r="T14" i="3"/>
  <c r="T28" i="3"/>
  <c r="AE12" i="3"/>
  <c r="AE8" i="3"/>
  <c r="M25" i="3"/>
  <c r="R25" i="3"/>
  <c r="S25" i="3"/>
  <c r="U25" i="3"/>
  <c r="V25" i="3"/>
  <c r="X25" i="3"/>
  <c r="W25" i="3"/>
  <c r="AE25" i="3" l="1"/>
  <c r="AC25" i="3"/>
  <c r="AD25" i="3"/>
  <c r="Y25" i="3"/>
  <c r="T2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22" i="3" s="1"/>
  <c r="G17" i="4"/>
  <c r="G18" i="4"/>
  <c r="G19" i="4"/>
  <c r="G20" i="4"/>
  <c r="N10" i="3" s="1"/>
  <c r="G21" i="4"/>
  <c r="G22" i="4"/>
  <c r="G23" i="4"/>
  <c r="N40" i="3" s="1"/>
  <c r="G24" i="4"/>
  <c r="G25" i="4"/>
  <c r="G26" i="4"/>
  <c r="N13" i="3" s="1"/>
  <c r="G27" i="4"/>
  <c r="G28" i="4"/>
  <c r="G29" i="4"/>
  <c r="G30" i="4"/>
  <c r="G31" i="4"/>
  <c r="G32" i="4"/>
  <c r="G33" i="4"/>
  <c r="G34" i="4"/>
  <c r="G35" i="4"/>
  <c r="G36" i="4"/>
  <c r="N38" i="3" s="1"/>
  <c r="G37" i="4"/>
  <c r="G38" i="4"/>
  <c r="G39" i="4"/>
  <c r="G40" i="4"/>
  <c r="N29" i="3" s="1"/>
  <c r="G41" i="4"/>
  <c r="G42" i="4"/>
  <c r="G43" i="4"/>
  <c r="G44" i="4"/>
  <c r="G45" i="4"/>
  <c r="G46" i="4"/>
  <c r="G47" i="4"/>
  <c r="N31" i="3" s="1"/>
  <c r="G48" i="4"/>
  <c r="G49" i="4"/>
  <c r="G50" i="4"/>
  <c r="G51" i="4"/>
  <c r="N18" i="3" s="1"/>
  <c r="G52" i="4"/>
  <c r="G53" i="4"/>
  <c r="G54" i="4"/>
  <c r="G55" i="4"/>
  <c r="G56" i="4"/>
  <c r="G57" i="4"/>
  <c r="N17" i="3" s="1"/>
  <c r="G58" i="4"/>
  <c r="G59" i="4"/>
  <c r="G60" i="4"/>
  <c r="G61" i="4"/>
  <c r="G62" i="4"/>
  <c r="G63" i="4"/>
  <c r="G64" i="4"/>
  <c r="G65" i="4"/>
  <c r="G66" i="4"/>
  <c r="G67" i="4"/>
  <c r="N30" i="3" s="1"/>
  <c r="G68" i="4"/>
  <c r="N16" i="3" s="1"/>
  <c r="G69" i="4"/>
  <c r="G70" i="4"/>
  <c r="G71" i="4"/>
  <c r="G72" i="4"/>
  <c r="G73" i="4"/>
  <c r="G74" i="4"/>
  <c r="G75" i="4"/>
  <c r="G76" i="4"/>
  <c r="G77" i="4"/>
  <c r="N20" i="3" s="1"/>
  <c r="G78" i="4"/>
  <c r="G79" i="4"/>
  <c r="N49" i="3" s="1"/>
  <c r="G80" i="4"/>
  <c r="G81" i="4"/>
  <c r="G82" i="4"/>
  <c r="G83" i="4"/>
  <c r="G84" i="4"/>
  <c r="G85" i="4"/>
  <c r="G86" i="4"/>
  <c r="G87" i="4"/>
  <c r="G88" i="4"/>
  <c r="G89" i="4"/>
  <c r="G90" i="4"/>
  <c r="N11" i="3" s="1"/>
  <c r="G91" i="4"/>
  <c r="G92" i="4"/>
  <c r="G93" i="4"/>
  <c r="G94" i="4"/>
  <c r="G95" i="4"/>
  <c r="N26" i="3" s="1"/>
  <c r="G96" i="4"/>
  <c r="G97" i="4"/>
  <c r="G98" i="4"/>
  <c r="G99" i="4"/>
  <c r="G100" i="4"/>
  <c r="G101" i="4"/>
  <c r="G102" i="4"/>
  <c r="N32" i="3" s="1"/>
  <c r="G103" i="4"/>
  <c r="N44" i="3" s="1"/>
  <c r="G104" i="4"/>
  <c r="G105" i="4"/>
  <c r="G106" i="4"/>
  <c r="G107" i="4"/>
  <c r="G108" i="4"/>
  <c r="G109" i="4"/>
  <c r="G110" i="4"/>
  <c r="G111" i="4"/>
  <c r="N35" i="3" s="1"/>
  <c r="G112" i="4"/>
  <c r="G113" i="4"/>
  <c r="N9" i="3" s="1"/>
  <c r="G114" i="4"/>
  <c r="G115" i="4"/>
  <c r="G116" i="4"/>
  <c r="G117" i="4"/>
  <c r="G118" i="4"/>
  <c r="G119" i="4"/>
  <c r="G120" i="4"/>
  <c r="G121" i="4"/>
  <c r="G122" i="4"/>
  <c r="G123" i="4"/>
  <c r="G124" i="4"/>
  <c r="N15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23" i="3" s="1"/>
  <c r="G160" i="4"/>
  <c r="G161" i="4"/>
  <c r="G162" i="4"/>
  <c r="G163" i="4"/>
  <c r="N27" i="3" s="1"/>
  <c r="G164" i="4"/>
  <c r="G165" i="4"/>
  <c r="G166" i="4"/>
  <c r="G167" i="4"/>
  <c r="G168" i="4"/>
  <c r="G169" i="4"/>
  <c r="G170" i="4"/>
  <c r="N39" i="3" s="1"/>
  <c r="G171" i="4"/>
  <c r="G172" i="4"/>
  <c r="G173" i="4"/>
  <c r="N28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33" i="3" s="1"/>
  <c r="G196" i="4"/>
  <c r="G197" i="4"/>
  <c r="G198" i="4"/>
  <c r="G199" i="4"/>
  <c r="G200" i="4"/>
  <c r="G201" i="4"/>
  <c r="G202" i="4"/>
  <c r="G203" i="4"/>
  <c r="G204" i="4"/>
  <c r="N36" i="3" s="1"/>
  <c r="G205" i="4"/>
  <c r="G206" i="4"/>
  <c r="G207" i="4"/>
  <c r="G208" i="4"/>
  <c r="G209" i="4"/>
  <c r="N34" i="3" s="1"/>
  <c r="G210" i="4"/>
  <c r="G211" i="4"/>
  <c r="N12" i="3" s="1"/>
  <c r="G212" i="4"/>
  <c r="G213" i="4"/>
  <c r="G214" i="4"/>
  <c r="N19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14" i="3" s="1"/>
  <c r="G230" i="4"/>
  <c r="G231" i="4"/>
  <c r="G232" i="4"/>
  <c r="G233" i="4"/>
  <c r="G234" i="4"/>
  <c r="G235" i="4"/>
  <c r="G236" i="4"/>
  <c r="G237" i="4"/>
  <c r="G238" i="4"/>
  <c r="N8" i="3" s="1"/>
  <c r="G239" i="4"/>
  <c r="G240" i="4"/>
  <c r="G241" i="4"/>
  <c r="G242" i="4"/>
  <c r="G243" i="4"/>
  <c r="G244" i="4"/>
  <c r="G245" i="4"/>
  <c r="G246" i="4"/>
  <c r="N37" i="3" s="1"/>
  <c r="G247" i="4"/>
  <c r="G248" i="4"/>
  <c r="G249" i="4"/>
  <c r="N24" i="3" s="1"/>
  <c r="G250" i="4"/>
  <c r="G251" i="4"/>
  <c r="G252" i="4"/>
  <c r="G253" i="4"/>
  <c r="G254" i="4"/>
  <c r="G255" i="4"/>
  <c r="G256" i="4"/>
  <c r="G257" i="4"/>
  <c r="G258" i="4"/>
  <c r="G2" i="4"/>
  <c r="N7" i="3" l="1"/>
  <c r="N21" i="3"/>
  <c r="N47" i="3"/>
  <c r="N48" i="3"/>
  <c r="N43" i="3"/>
  <c r="N41" i="3"/>
  <c r="N42" i="3"/>
  <c r="N45" i="3"/>
  <c r="N46" i="3"/>
  <c r="N2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<sst xmlns="http://schemas.openxmlformats.org/spreadsheetml/2006/main" count="2984" uniqueCount="1063">
  <si>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</si>
  <si>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</si>
  <si>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</si>
  <si>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</si>
  <si>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</si>
  <si>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</si>
  <si>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</si>
  <si>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</si>
  <si>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</si>
  <si>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</si>
  <si>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</si>
  <si>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</si>
  <si>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</si>
  <si>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</si>
  <si>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</si>
  <si>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</si>
  <si>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</si>
  <si>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</si>
  <si>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</si>
  <si>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</si>
  <si>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</si>
  <si>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</si>
  <si>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</si>
  <si>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</si>
  <si>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</si>
  <si>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</si>
  <si>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</si>
  <si>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</si>
  <si>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</si>
  <si>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</si>
  <si>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</si>
  <si>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</si>
  <si>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</si>
  <si>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</si>
  <si>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</si>
  <si>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</si>
  <si>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</si>
  <si>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</si>
  <si>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</si>
  <si>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</si>
  <si>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</si>
  <si>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</si>
  <si>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</si>
  <si>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</si>
  <si>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</si>
  <si>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</si>
  <si>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</si>
  <si>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</si>
  <si>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</si>
  <si>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</si>
  <si>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</si>
  <si>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</si>
  <si>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</si>
  <si>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</si>
  <si>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</si>
  <si>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</si>
  <si>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</si>
  <si>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</si>
  <si>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</si>
  <si>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</si>
  <si>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</si>
  <si>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</si>
  <si>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</si>
  <si>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</si>
  <si>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</si>
  <si>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</si>
  <si>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</si>
  <si>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</si>
  <si>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</si>
  <si>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</si>
  <si>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</si>
  <si>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</si>
  <si>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</si>
  <si>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</si>
  <si>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</si>
  <si>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</si>
  <si>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</si>
  <si>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</si>
  <si>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</si>
  <si>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</si>
  <si>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</si>
  <si>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</si>
  <si>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</si>
  <si>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</si>
  <si>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</si>
  <si>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</si>
  <si>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</si>
  <si>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</si>
  <si>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</si>
  <si>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</si>
  <si>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</si>
  <si>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</si>
  <si>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</si>
  <si>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</si>
  <si>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</si>
  <si>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</si>
  <si>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</si>
  <si>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</si>
  <si>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</si>
  <si>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</si>
  <si>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</si>
  <si>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</si>
  <si>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</si>
  <si>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</si>
  <si>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</si>
  <si>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</si>
  <si>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</si>
  <si>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</si>
  <si>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</si>
  <si>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</si>
  <si>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</si>
  <si>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</si>
  <si>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</si>
  <si>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</si>
  <si>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</si>
  <si>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</si>
  <si>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</si>
  <si>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</si>
  <si>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</si>
  <si>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</si>
  <si>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</si>
  <si>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</si>
  <si>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</si>
  <si>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</si>
  <si>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</si>
  <si>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</si>
  <si>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</si>
  <si>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</si>
  <si>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</si>
  <si>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</si>
  <si>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</si>
  <si>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</si>
  <si>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</si>
  <si>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</si>
  <si>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</si>
  <si>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</si>
  <si>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</si>
  <si>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</si>
  <si>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</si>
  <si>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</si>
  <si>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</si>
  <si>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</si>
  <si>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</si>
  <si>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</si>
  <si>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</si>
  <si>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</si>
  <si>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</si>
  <si>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</si>
  <si>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</si>
  <si>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</si>
  <si>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</si>
  <si>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</si>
  <si>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</si>
  <si>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</si>
  <si>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</si>
  <si>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</si>
  <si>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</si>
  <si>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</si>
  <si>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</si>
  <si>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</si>
  <si>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</si>
  <si>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</si>
  <si>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</si>
  <si>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</si>
  <si>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</si>
  <si>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</si>
  <si>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</si>
  <si>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</si>
  <si>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</si>
  <si>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</si>
  <si>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</si>
  <si>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</si>
  <si>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</si>
  <si>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</si>
  <si>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</si>
  <si>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</si>
  <si>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</si>
  <si>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</si>
  <si>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</si>
  <si>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</si>
  <si>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</si>
  <si>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</si>
  <si>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</si>
  <si>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</si>
  <si>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</si>
  <si>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</si>
  <si>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</si>
  <si>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</si>
  <si>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</si>
  <si>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</si>
  <si>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</si>
  <si>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</si>
  <si>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</si>
  <si>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</si>
  <si>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</si>
  <si>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</si>
  <si>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</si>
  <si>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</si>
  <si>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</si>
  <si>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</si>
  <si>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</si>
  <si>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</si>
  <si>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</si>
  <si>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</si>
  <si>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</si>
  <si>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</si>
  <si>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</si>
  <si>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</si>
  <si>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</si>
  <si>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</si>
  <si>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</si>
  <si>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</si>
  <si>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</si>
  <si>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</si>
  <si>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</si>
  <si>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</si>
  <si>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</si>
  <si>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</si>
  <si>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</si>
  <si>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</si>
  <si>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</si>
  <si>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</si>
  <si>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</si>
  <si>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</si>
  <si>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</si>
  <si>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</si>
  <si>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</si>
  <si>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</si>
  <si>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</si>
  <si>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</si>
  <si>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</si>
  <si>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</si>
  <si>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</si>
  <si>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</si>
  <si>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</si>
  <si>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</si>
  <si>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</si>
  <si>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</si>
  <si>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</si>
  <si>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</si>
  <si>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</si>
  <si>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</si>
  <si>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</si>
  <si>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</si>
  <si>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</si>
  <si>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</si>
  <si>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</si>
  <si>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</si>
  <si>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</si>
  <si>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</si>
  <si>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</si>
  <si>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</si>
  <si>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</si>
  <si>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</si>
  <si>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</si>
  <si>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</si>
  <si>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</si>
  <si>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</si>
  <si>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</si>
  <si>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</si>
  <si>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</si>
  <si>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</si>
  <si>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</si>
  <si>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</si>
  <si>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</si>
  <si>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</si>
  <si>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</si>
  <si>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</si>
  <si>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</si>
  <si>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</si>
  <si>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</si>
  <si>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</si>
  <si>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</si>
  <si>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</si>
  <si>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</si>
  <si>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</si>
  <si>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</si>
  <si>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</si>
  <si>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</si>
  <si>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</si>
  <si>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</si>
  <si>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</si>
  <si>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</si>
  <si>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</si>
  <si>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</si>
  <si>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</si>
  <si>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</si>
  <si>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</si>
  <si>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</si>
  <si>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</si>
  <si>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</si>
  <si>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</si>
  <si>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</si>
  <si>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</si>
  <si>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</si>
  <si>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</si>
  <si>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</si>
  <si>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</si>
  <si>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</si>
  <si>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</si>
  <si>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</si>
  <si>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</si>
  <si>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</si>
  <si>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</si>
  <si>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</si>
  <si>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</si>
  <si>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</si>
  <si>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</si>
  <si>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</si>
  <si>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</si>
  <si>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</si>
  <si>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</si>
  <si>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</si>
  <si>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</si>
  <si>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</si>
  <si>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</si>
  <si>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</si>
  <si>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</si>
  <si>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</si>
  <si>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</si>
  <si>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</si>
  <si>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</si>
  <si>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</si>
  <si>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</si>
  <si>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</si>
  <si>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</si>
  <si>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</si>
  <si>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</si>
  <si>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</si>
  <si>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</si>
  <si>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</si>
  <si>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</si>
  <si>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</si>
  <si>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</si>
  <si>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</si>
  <si>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</si>
  <si>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</si>
  <si>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</si>
  <si>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</si>
  <si>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</si>
  <si>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</si>
  <si>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</si>
  <si>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</si>
  <si>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</si>
  <si>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</si>
  <si>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</si>
  <si>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</si>
  <si>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</si>
  <si>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</si>
  <si>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</si>
  <si>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</si>
  <si>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</si>
  <si>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</si>
  <si>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</si>
  <si>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</si>
  <si>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</si>
  <si>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</si>
  <si>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</si>
  <si>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</si>
  <si>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</si>
  <si>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</si>
  <si>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</si>
  <si>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</si>
  <si>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</si>
  <si>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</si>
  <si>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</si>
  <si>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</si>
  <si>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</si>
  <si>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</si>
  <si>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</si>
  <si>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</si>
  <si>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</si>
  <si>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</si>
  <si>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</si>
  <si>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</si>
  <si>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</si>
  <si>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</si>
  <si>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</si>
  <si>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</si>
  <si>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</si>
  <si>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</si>
  <si>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</si>
  <si>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</si>
  <si>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</si>
  <si>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</si>
  <si>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</si>
  <si>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</si>
  <si>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</si>
  <si>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</si>
  <si>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</si>
  <si>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</si>
  <si>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</si>
  <si>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</si>
  <si>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</si>
  <si>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</si>
  <si>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</si>
  <si>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</si>
  <si>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</si>
  <si>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</si>
  <si>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</si>
  <si>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</si>
  <si>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</si>
  <si>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</si>
  <si>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</si>
  <si>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</si>
  <si>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</si>
  <si>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</si>
  <si>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</si>
  <si>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Early arrival</t>
  </si>
  <si>
    <t>rtdc.l.rtdc.4007:itc</t>
  </si>
  <si>
    <t>204:233297</t>
  </si>
  <si>
    <t>204:435</t>
  </si>
  <si>
    <t>204:471</t>
  </si>
  <si>
    <t>STARKS</t>
  </si>
  <si>
    <t>ANGELINA</t>
  </si>
  <si>
    <t>MOSES</t>
  </si>
  <si>
    <t>BRADLEY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</si>
  <si>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</si>
  <si>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</si>
  <si>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</si>
  <si>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</si>
  <si>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</si>
  <si>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</si>
  <si>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</si>
  <si>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</si>
  <si>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</si>
  <si>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</si>
  <si>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</si>
  <si>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</si>
  <si>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</si>
  <si>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</si>
  <si>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</si>
  <si>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</si>
  <si>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</si>
  <si>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</si>
  <si>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</si>
  <si>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</si>
  <si>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</si>
  <si>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</si>
  <si>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</si>
  <si>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</si>
  <si>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</si>
  <si>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</si>
  <si>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</si>
  <si>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</si>
  <si>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</si>
  <si>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</si>
  <si>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</si>
  <si>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rtdc.l.rtdc.4031:itc</t>
  </si>
  <si>
    <t>300-07</t>
  </si>
  <si>
    <t>204:158</t>
  </si>
  <si>
    <t>204:442</t>
  </si>
  <si>
    <t>204:232994</t>
  </si>
  <si>
    <t>204:152</t>
  </si>
  <si>
    <t>204:233291</t>
  </si>
  <si>
    <t>204:460</t>
  </si>
  <si>
    <t>204:449</t>
  </si>
  <si>
    <t>BRANDON</t>
  </si>
  <si>
    <t>204:233319</t>
  </si>
  <si>
    <t>rtdc.l.rtdc.4024:itc</t>
  </si>
  <si>
    <t>ROMERO</t>
  </si>
  <si>
    <t>CHAD</t>
  </si>
  <si>
    <t>partly-cloudy-day</t>
  </si>
  <si>
    <t>Partly Cloudy</t>
  </si>
  <si>
    <t>partly-cloudy-night</t>
  </si>
  <si>
    <t>204:440</t>
  </si>
  <si>
    <t>204:232998</t>
  </si>
  <si>
    <t>204:233295</t>
  </si>
  <si>
    <t>rtdc.l.rtdc.4056:itc</t>
  </si>
  <si>
    <t>rtdc.l.rtdc.4055:itc</t>
  </si>
  <si>
    <t>204:233306</t>
  </si>
  <si>
    <t>204:233310</t>
  </si>
  <si>
    <t>204:233002</t>
  </si>
  <si>
    <t>204:163</t>
  </si>
  <si>
    <t>204:160</t>
  </si>
  <si>
    <t>204:232982</t>
  </si>
  <si>
    <t>204:438</t>
  </si>
  <si>
    <t>204:232978</t>
  </si>
  <si>
    <t>204:684</t>
  </si>
  <si>
    <t>204:985</t>
  </si>
  <si>
    <t>300:58626</t>
  </si>
  <si>
    <t>204:988</t>
  </si>
  <si>
    <t>rtdc.l.rtdc.4026:itc</t>
  </si>
  <si>
    <t>rtdc.l.rtdc.4025:itc</t>
  </si>
  <si>
    <t>Y</t>
  </si>
  <si>
    <t>STORY</t>
  </si>
  <si>
    <t>SAMANTHA</t>
  </si>
  <si>
    <t>ROBINSON</t>
  </si>
  <si>
    <t>KADDIBA</t>
  </si>
  <si>
    <t>rtdc.l.rtdc.4023:itc</t>
  </si>
  <si>
    <t>MACDONALD</t>
  </si>
  <si>
    <t>BRUDER</t>
  </si>
  <si>
    <t>RICHARD</t>
  </si>
  <si>
    <t>BADERTSCHER</t>
  </si>
  <si>
    <t>DIANE</t>
  </si>
  <si>
    <t>204:457</t>
  </si>
  <si>
    <t>204:232980</t>
  </si>
  <si>
    <t>204:161</t>
  </si>
  <si>
    <t>300:58636</t>
  </si>
  <si>
    <t>204:687</t>
  </si>
  <si>
    <t>204:232975</t>
  </si>
  <si>
    <t>Wi-MAX data drop</t>
  </si>
  <si>
    <t>Onboard in-route failure</t>
  </si>
  <si>
    <t>rtdc.l.rtdc.4027:itc</t>
  </si>
  <si>
    <t>MAELZER</t>
  </si>
  <si>
    <t>KURT</t>
  </si>
  <si>
    <t>rtdc.l.rtdc.4028:itc</t>
  </si>
  <si>
    <t>ELBAUM</t>
  </si>
  <si>
    <t>MIKE</t>
  </si>
  <si>
    <t>NICHOLSON</t>
  </si>
  <si>
    <t>WESLEY</t>
  </si>
  <si>
    <t>LANGERAK</t>
  </si>
  <si>
    <t>WILLIAM</t>
  </si>
  <si>
    <t>ANDERS</t>
  </si>
  <si>
    <t>STEVEN</t>
  </si>
  <si>
    <t>LOZA</t>
  </si>
  <si>
    <t>FIDEL</t>
  </si>
  <si>
    <t>GONZALEZ</t>
  </si>
  <si>
    <t>ARMANDO</t>
  </si>
  <si>
    <t>LEVIN</t>
  </si>
  <si>
    <t>SCOTT</t>
  </si>
  <si>
    <t>CASSIDY</t>
  </si>
  <si>
    <t>204:233307</t>
  </si>
  <si>
    <t>204:232985</t>
  </si>
  <si>
    <t>204:482</t>
  </si>
  <si>
    <t>204:232961</t>
  </si>
  <si>
    <t>204:232989</t>
  </si>
  <si>
    <t>204:233278</t>
  </si>
  <si>
    <t>204:233315</t>
  </si>
  <si>
    <t>204:169</t>
  </si>
  <si>
    <t>204:232962</t>
  </si>
  <si>
    <t>204:233314</t>
  </si>
  <si>
    <t>204:233328</t>
  </si>
  <si>
    <t>204:426</t>
  </si>
  <si>
    <t>204:232974</t>
  </si>
  <si>
    <t>300:58935</t>
  </si>
  <si>
    <t>300:58944</t>
  </si>
  <si>
    <t>204:976</t>
  </si>
  <si>
    <t>204:750</t>
  </si>
  <si>
    <t>204:993</t>
  </si>
  <si>
    <t>300:58634</t>
  </si>
  <si>
    <t>SPECTOR</t>
  </si>
  <si>
    <t>YANG</t>
  </si>
  <si>
    <t>JAN</t>
  </si>
  <si>
    <t>STEWART</t>
  </si>
  <si>
    <t>rtdc.l.rtdc.4063:itc</t>
  </si>
  <si>
    <t>rtdc.l.rtdc.4064:itc</t>
  </si>
  <si>
    <t>DE LA ROSA</t>
  </si>
  <si>
    <t>ALEX</t>
  </si>
  <si>
    <t>PAGE</t>
  </si>
  <si>
    <t>MARCUS</t>
  </si>
  <si>
    <t>309-25</t>
  </si>
  <si>
    <t>244-25</t>
  </si>
  <si>
    <t>311-25</t>
  </si>
  <si>
    <t>313-25</t>
  </si>
  <si>
    <t>precipType</t>
  </si>
  <si>
    <t>Mostly Cloudy</t>
  </si>
  <si>
    <t>rain</t>
  </si>
  <si>
    <t>Drizzle</t>
  </si>
  <si>
    <t>Light Rain</t>
  </si>
  <si>
    <t>204:233302</t>
  </si>
  <si>
    <t>204:233010</t>
  </si>
  <si>
    <t>204:233332</t>
  </si>
  <si>
    <t>204:233283</t>
  </si>
  <si>
    <t>204:232977</t>
  </si>
  <si>
    <t>204:444</t>
  </si>
  <si>
    <t>204:233301</t>
  </si>
  <si>
    <t>204:232969</t>
  </si>
  <si>
    <t>204:233304</t>
  </si>
  <si>
    <t>204:233280</t>
  </si>
  <si>
    <t>204:232976</t>
  </si>
  <si>
    <t>204:232993</t>
  </si>
  <si>
    <t>204:233308</t>
  </si>
  <si>
    <t>204:232987</t>
  </si>
  <si>
    <t>204:233327</t>
  </si>
  <si>
    <t>204:233038</t>
  </si>
  <si>
    <t>204:233355</t>
  </si>
  <si>
    <t>204:233013</t>
  </si>
  <si>
    <t>204:467</t>
  </si>
  <si>
    <t>204:233334</t>
  </si>
  <si>
    <t>204:233317</t>
  </si>
  <si>
    <t>204:233067</t>
  </si>
  <si>
    <t>204:232981</t>
  </si>
  <si>
    <t>204:469</t>
  </si>
  <si>
    <t>204:233312</t>
  </si>
  <si>
    <t>204:473</t>
  </si>
  <si>
    <t>204:484</t>
  </si>
  <si>
    <t>204:233338</t>
  </si>
  <si>
    <t>204:233316</t>
  </si>
  <si>
    <t>204:170</t>
  </si>
  <si>
    <t>204:167</t>
  </si>
  <si>
    <t>204:486</t>
  </si>
  <si>
    <t>300:23301</t>
  </si>
  <si>
    <t>204:1152</t>
  </si>
  <si>
    <t>204:1164</t>
  </si>
  <si>
    <t>204:965</t>
  </si>
  <si>
    <t>204:710</t>
  </si>
  <si>
    <t>300:58948</t>
  </si>
  <si>
    <t>300:58941</t>
  </si>
  <si>
    <t>204:1004</t>
  </si>
  <si>
    <t>204:726</t>
  </si>
  <si>
    <t>300:58589</t>
  </si>
  <si>
    <t>300:58958</t>
  </si>
  <si>
    <t>300:58628</t>
  </si>
  <si>
    <t>300:58950</t>
  </si>
  <si>
    <t>204:1014</t>
  </si>
  <si>
    <t>204:738</t>
  </si>
  <si>
    <t>300:58592</t>
  </si>
  <si>
    <t>204:619</t>
  </si>
  <si>
    <t>204:899</t>
  </si>
  <si>
    <t>300:28795</t>
  </si>
  <si>
    <t>start /low /b %USERPROFILE%\Documents\GitHub\eaglep3\Utilities\DownloadLogsFromS3.py --loco 4023 --day 2017-07-26</t>
  </si>
  <si>
    <t>103-26</t>
  </si>
  <si>
    <t>107-26</t>
  </si>
  <si>
    <t>102-26</t>
  </si>
  <si>
    <t>901-26</t>
  </si>
  <si>
    <t>rtdc.l.rtdc.4003:itc</t>
  </si>
  <si>
    <t>106-26</t>
  </si>
  <si>
    <t>902-26</t>
  </si>
  <si>
    <t>802-26</t>
  </si>
  <si>
    <t>804-26</t>
  </si>
  <si>
    <t>122-26</t>
  </si>
  <si>
    <t>rtdc.l.rtdc.4005:itc</t>
  </si>
  <si>
    <t>124-26</t>
  </si>
  <si>
    <t>810-26</t>
  </si>
  <si>
    <t>rtdc.l.rtdc.4006:itc</t>
  </si>
  <si>
    <t>137-26</t>
  </si>
  <si>
    <t>134-26</t>
  </si>
  <si>
    <t>SIGNAL</t>
  </si>
  <si>
    <t>Signal based authority (5)</t>
  </si>
  <si>
    <t>rtdc.l.rtdc.4065:itc</t>
  </si>
  <si>
    <t>54-26</t>
  </si>
  <si>
    <t>144-26</t>
  </si>
  <si>
    <t>148-26</t>
  </si>
  <si>
    <t>rtdc.l.rtdc.4066:itc</t>
  </si>
  <si>
    <t>51-26</t>
  </si>
  <si>
    <t>153-26</t>
  </si>
  <si>
    <t>816-26</t>
  </si>
  <si>
    <t>56-26</t>
  </si>
  <si>
    <t>817-26</t>
  </si>
  <si>
    <t>163-26</t>
  </si>
  <si>
    <t>53-26</t>
  </si>
  <si>
    <t>164-26</t>
  </si>
  <si>
    <t>180-26</t>
  </si>
  <si>
    <t>rtdc.l.rtdc.4004:itc</t>
  </si>
  <si>
    <t>189-26</t>
  </si>
  <si>
    <t>904-26</t>
  </si>
  <si>
    <t>195-26</t>
  </si>
  <si>
    <t>58-26</t>
  </si>
  <si>
    <t>832-26</t>
  </si>
  <si>
    <t>835-26</t>
  </si>
  <si>
    <t>836-26</t>
  </si>
  <si>
    <t>217-26</t>
  </si>
  <si>
    <t>219-26</t>
  </si>
  <si>
    <t>222-26</t>
  </si>
  <si>
    <t>228-26</t>
  </si>
  <si>
    <t>908-26</t>
  </si>
  <si>
    <t>234-26</t>
  </si>
  <si>
    <t>300-26</t>
  </si>
  <si>
    <t>BONDS</t>
  </si>
  <si>
    <t>REYNALDO</t>
  </si>
  <si>
    <t>101-26</t>
  </si>
  <si>
    <t>302-26</t>
  </si>
  <si>
    <t>52-26</t>
  </si>
  <si>
    <t>304-26</t>
  </si>
  <si>
    <t>105-26</t>
  </si>
  <si>
    <t>306-26</t>
  </si>
  <si>
    <t>308-26</t>
  </si>
  <si>
    <t>WENDY</t>
  </si>
  <si>
    <t>104-26</t>
  </si>
  <si>
    <t>109-26</t>
  </si>
  <si>
    <t>rtdc.l.rtdc.4015:itc</t>
  </si>
  <si>
    <t>310-26</t>
  </si>
  <si>
    <t>111-26</t>
  </si>
  <si>
    <t>800-26</t>
  </si>
  <si>
    <t>rtdc.l.rtdc.4016:itc</t>
  </si>
  <si>
    <t>113-26</t>
  </si>
  <si>
    <t>108-26</t>
  </si>
  <si>
    <t>312-26</t>
  </si>
  <si>
    <t>115-26</t>
  </si>
  <si>
    <t>801-26</t>
  </si>
  <si>
    <t>110-26</t>
  </si>
  <si>
    <t>117-26</t>
  </si>
  <si>
    <t>112-26</t>
  </si>
  <si>
    <t>119-26</t>
  </si>
  <si>
    <t>114-26</t>
  </si>
  <si>
    <t>121-26</t>
  </si>
  <si>
    <t>803-26</t>
  </si>
  <si>
    <t>116-26</t>
  </si>
  <si>
    <t>123-26</t>
  </si>
  <si>
    <t>805-26</t>
  </si>
  <si>
    <t>118-26</t>
  </si>
  <si>
    <t>125-26</t>
  </si>
  <si>
    <t>120-26</t>
  </si>
  <si>
    <t>127-26</t>
  </si>
  <si>
    <t>806-26</t>
  </si>
  <si>
    <t>129-26</t>
  </si>
  <si>
    <t>807-26</t>
  </si>
  <si>
    <t>131-26</t>
  </si>
  <si>
    <t>809-26</t>
  </si>
  <si>
    <t>808-26</t>
  </si>
  <si>
    <t>126-26</t>
  </si>
  <si>
    <t>133-26</t>
  </si>
  <si>
    <t>128-26</t>
  </si>
  <si>
    <t>135-26</t>
  </si>
  <si>
    <t>130-26</t>
  </si>
  <si>
    <t>61-26</t>
  </si>
  <si>
    <t>811-26</t>
  </si>
  <si>
    <t>132-26</t>
  </si>
  <si>
    <t>139-26</t>
  </si>
  <si>
    <t>903-26</t>
  </si>
  <si>
    <t>812-26</t>
  </si>
  <si>
    <t>136-26</t>
  </si>
  <si>
    <t>141-26</t>
  </si>
  <si>
    <t>143-26</t>
  </si>
  <si>
    <t>SANTIZO</t>
  </si>
  <si>
    <t>D. EDY</t>
  </si>
  <si>
    <t>138-26</t>
  </si>
  <si>
    <t>145-26</t>
  </si>
  <si>
    <t>813-26</t>
  </si>
  <si>
    <t>140-26</t>
  </si>
  <si>
    <t>147-26</t>
  </si>
  <si>
    <t>814-26</t>
  </si>
  <si>
    <t>142-26</t>
  </si>
  <si>
    <t>149-26</t>
  </si>
  <si>
    <t>151-26</t>
  </si>
  <si>
    <t>55-26</t>
  </si>
  <si>
    <t>BEAM</t>
  </si>
  <si>
    <t>ROSS</t>
  </si>
  <si>
    <t>146-26</t>
  </si>
  <si>
    <t>HAUSER</t>
  </si>
  <si>
    <t>815-26</t>
  </si>
  <si>
    <t>155-26</t>
  </si>
  <si>
    <t>150-26</t>
  </si>
  <si>
    <t>50-26</t>
  </si>
  <si>
    <t>157-26</t>
  </si>
  <si>
    <t>152-26</t>
  </si>
  <si>
    <t>159-26</t>
  </si>
  <si>
    <t>154-26</t>
  </si>
  <si>
    <t>161-26</t>
  </si>
  <si>
    <t>156-26</t>
  </si>
  <si>
    <t>57-26</t>
  </si>
  <si>
    <t>818-26</t>
  </si>
  <si>
    <t>158-26</t>
  </si>
  <si>
    <t>165-26</t>
  </si>
  <si>
    <t>160-26</t>
  </si>
  <si>
    <t>63-26</t>
  </si>
  <si>
    <t>167-26</t>
  </si>
  <si>
    <t>169-26</t>
  </si>
  <si>
    <t>162-26</t>
  </si>
  <si>
    <t>819-26</t>
  </si>
  <si>
    <t>65-26</t>
  </si>
  <si>
    <t>171-26</t>
  </si>
  <si>
    <t>62-26</t>
  </si>
  <si>
    <t>166-26</t>
  </si>
  <si>
    <t>173-26</t>
  </si>
  <si>
    <t>LOPES</t>
  </si>
  <si>
    <t>KIMBERLY</t>
  </si>
  <si>
    <t>820-26</t>
  </si>
  <si>
    <t>168-26</t>
  </si>
  <si>
    <t>175-26</t>
  </si>
  <si>
    <t>170-26</t>
  </si>
  <si>
    <t>177-26</t>
  </si>
  <si>
    <t>70-26</t>
  </si>
  <si>
    <t>821-26</t>
  </si>
  <si>
    <t>179-26</t>
  </si>
  <si>
    <t>172-26</t>
  </si>
  <si>
    <t>174-26</t>
  </si>
  <si>
    <t>822-26</t>
  </si>
  <si>
    <t>181-26</t>
  </si>
  <si>
    <t>178-26</t>
  </si>
  <si>
    <t>183-26</t>
  </si>
  <si>
    <t>176-26</t>
  </si>
  <si>
    <t>823-26</t>
  </si>
  <si>
    <t>185-26</t>
  </si>
  <si>
    <t>187-26</t>
  </si>
  <si>
    <t>824-26</t>
  </si>
  <si>
    <t>182-26</t>
  </si>
  <si>
    <t>184-26</t>
  </si>
  <si>
    <t>191-26</t>
  </si>
  <si>
    <t>186-26</t>
  </si>
  <si>
    <t>193-26</t>
  </si>
  <si>
    <t>188-26</t>
  </si>
  <si>
    <t>825-26</t>
  </si>
  <si>
    <t>826-26</t>
  </si>
  <si>
    <t>190-26</t>
  </si>
  <si>
    <t>192-26</t>
  </si>
  <si>
    <t>197-26</t>
  </si>
  <si>
    <t>827-26</t>
  </si>
  <si>
    <t>199-26</t>
  </si>
  <si>
    <t>828-26</t>
  </si>
  <si>
    <t>194-26</t>
  </si>
  <si>
    <t>201-26</t>
  </si>
  <si>
    <t>829-26</t>
  </si>
  <si>
    <t>203-26</t>
  </si>
  <si>
    <t>196-26</t>
  </si>
  <si>
    <t>198-26</t>
  </si>
  <si>
    <t>830-26</t>
  </si>
  <si>
    <t>205-26</t>
  </si>
  <si>
    <t>NELSON</t>
  </si>
  <si>
    <t>ARIANE</t>
  </si>
  <si>
    <t>69-26</t>
  </si>
  <si>
    <t>831-26</t>
  </si>
  <si>
    <t>200-26</t>
  </si>
  <si>
    <t>207-26</t>
  </si>
  <si>
    <t>202-26</t>
  </si>
  <si>
    <t>209-26</t>
  </si>
  <si>
    <t>833-26</t>
  </si>
  <si>
    <t>206-26</t>
  </si>
  <si>
    <t>211-26</t>
  </si>
  <si>
    <t>834-26</t>
  </si>
  <si>
    <t>213-26</t>
  </si>
  <si>
    <t>204-26</t>
  </si>
  <si>
    <t>215-26</t>
  </si>
  <si>
    <t>208-26</t>
  </si>
  <si>
    <t>210-26</t>
  </si>
  <si>
    <t>837-26</t>
  </si>
  <si>
    <t>212-26</t>
  </si>
  <si>
    <t>214-26</t>
  </si>
  <si>
    <t>838-26</t>
  </si>
  <si>
    <t>301-26</t>
  </si>
  <si>
    <t>839-26</t>
  </si>
  <si>
    <t>216-26</t>
  </si>
  <si>
    <t>221-26</t>
  </si>
  <si>
    <t>218-26</t>
  </si>
  <si>
    <t>906-26</t>
  </si>
  <si>
    <t>303-26</t>
  </si>
  <si>
    <t>841-26</t>
  </si>
  <si>
    <t>220-26</t>
  </si>
  <si>
    <t>223-26</t>
  </si>
  <si>
    <t>840-26</t>
  </si>
  <si>
    <t>305-26</t>
  </si>
  <si>
    <t>225-26</t>
  </si>
  <si>
    <t>224-26</t>
  </si>
  <si>
    <t>843-26</t>
  </si>
  <si>
    <t>227-26</t>
  </si>
  <si>
    <t>842-26</t>
  </si>
  <si>
    <t>226-26</t>
  </si>
  <si>
    <t>229-26</t>
  </si>
  <si>
    <t>845-26</t>
  </si>
  <si>
    <t>231-26</t>
  </si>
  <si>
    <t>RESPASS</t>
  </si>
  <si>
    <t>AARON</t>
  </si>
  <si>
    <t>844-26</t>
  </si>
  <si>
    <t>233-26</t>
  </si>
  <si>
    <t>230-26</t>
  </si>
  <si>
    <t>847-26</t>
  </si>
  <si>
    <t>232-26</t>
  </si>
  <si>
    <t>235-26</t>
  </si>
  <si>
    <t>87-26</t>
  </si>
  <si>
    <t>88-26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</si>
  <si>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</si>
  <si>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</si>
  <si>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</si>
  <si>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</si>
  <si>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</si>
  <si>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</si>
  <si>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</si>
  <si>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</si>
  <si>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</si>
  <si>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</si>
  <si>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</si>
  <si>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</si>
  <si>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</si>
  <si>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Rain</t>
  </si>
  <si>
    <t>204:759</t>
  </si>
  <si>
    <t>204:232983</t>
  </si>
  <si>
    <t>204:233370</t>
  </si>
  <si>
    <t>204:233043</t>
  </si>
  <si>
    <t>204:233299</t>
  </si>
  <si>
    <t>204:506</t>
  </si>
  <si>
    <t>204:132</t>
  </si>
  <si>
    <t>204:233284</t>
  </si>
  <si>
    <t>204:125</t>
  </si>
  <si>
    <t>204:233006</t>
  </si>
  <si>
    <t>204:232971</t>
  </si>
  <si>
    <t>204:464</t>
  </si>
  <si>
    <t>204:233004</t>
  </si>
  <si>
    <t>204:130</t>
  </si>
  <si>
    <t>204:232991</t>
  </si>
  <si>
    <t>204:154007</t>
  </si>
  <si>
    <t>204:178</t>
  </si>
  <si>
    <t>204:478</t>
  </si>
  <si>
    <t>204:232988</t>
  </si>
  <si>
    <t>204:232963</t>
  </si>
  <si>
    <t>204:173516</t>
  </si>
  <si>
    <t>204:233287</t>
  </si>
  <si>
    <t>204:233159</t>
  </si>
  <si>
    <t>204:232833</t>
  </si>
  <si>
    <t>204:233298</t>
  </si>
  <si>
    <t>204:1673</t>
  </si>
  <si>
    <t>204:232986</t>
  </si>
  <si>
    <t>204:232955</t>
  </si>
  <si>
    <t>204:129</t>
  </si>
  <si>
    <t>204:233412</t>
  </si>
  <si>
    <t>204:233113</t>
  </si>
  <si>
    <t>204:127</t>
  </si>
  <si>
    <t>204:233410</t>
  </si>
  <si>
    <t>204:233128</t>
  </si>
  <si>
    <t>204:233389</t>
  </si>
  <si>
    <t>204:233385</t>
  </si>
  <si>
    <t>204:233053</t>
  </si>
  <si>
    <t>204:233422</t>
  </si>
  <si>
    <t>204:233092</t>
  </si>
  <si>
    <t>204:437</t>
  </si>
  <si>
    <t>204:233300</t>
  </si>
  <si>
    <t>204:233341</t>
  </si>
  <si>
    <t>204:232990</t>
  </si>
  <si>
    <t>204:105</t>
  </si>
  <si>
    <t>204:136</t>
  </si>
  <si>
    <t>204:232936</t>
  </si>
  <si>
    <t>204:416</t>
  </si>
  <si>
    <t>204:233349</t>
  </si>
  <si>
    <t>204:233027</t>
  </si>
  <si>
    <t>204:233329</t>
  </si>
  <si>
    <t>204:127864</t>
  </si>
  <si>
    <t>204:233374</t>
  </si>
  <si>
    <t>204:497</t>
  </si>
  <si>
    <t>204:70</t>
  </si>
  <si>
    <t>204:233107</t>
  </si>
  <si>
    <t>204:137</t>
  </si>
  <si>
    <t>204:433</t>
  </si>
  <si>
    <t>204:233346</t>
  </si>
  <si>
    <t>204:1156</t>
  </si>
  <si>
    <t>204:233008</t>
  </si>
  <si>
    <t>204:233253</t>
  </si>
  <si>
    <t>204:233266</t>
  </si>
  <si>
    <t>204:233261</t>
  </si>
  <si>
    <t>204:888</t>
  </si>
  <si>
    <t>204:420</t>
  </si>
  <si>
    <t>300:23561</t>
  </si>
  <si>
    <t>300:22047</t>
  </si>
  <si>
    <t>204:428</t>
  </si>
  <si>
    <t>300:23306</t>
  </si>
  <si>
    <t>300:26096</t>
  </si>
  <si>
    <t>300:22764</t>
  </si>
  <si>
    <t>300:23303</t>
  </si>
  <si>
    <t>300:23389</t>
  </si>
  <si>
    <t>300:23739</t>
  </si>
  <si>
    <t>300:112195</t>
  </si>
  <si>
    <t>300:112202</t>
  </si>
  <si>
    <t>204:3566</t>
  </si>
  <si>
    <t>300:22079</t>
  </si>
  <si>
    <t>300:39525</t>
  </si>
  <si>
    <t>300:112515</t>
  </si>
  <si>
    <t>300:39526</t>
  </si>
  <si>
    <t>300:112513</t>
  </si>
  <si>
    <t>204:3231</t>
  </si>
  <si>
    <t>204:1171</t>
  </si>
  <si>
    <t>204:448</t>
  </si>
  <si>
    <t>300:112572</t>
  </si>
  <si>
    <t>300:31818</t>
  </si>
  <si>
    <t>300:112576</t>
  </si>
  <si>
    <t>300:112152</t>
  </si>
  <si>
    <t>300:39212</t>
  </si>
  <si>
    <t>300:112191</t>
  </si>
  <si>
    <t>300:112093</t>
  </si>
  <si>
    <t>300:112251</t>
  </si>
  <si>
    <t>300:39201</t>
  </si>
  <si>
    <t>204:3058</t>
  </si>
  <si>
    <t>204:1494</t>
  </si>
  <si>
    <t>204:3365</t>
  </si>
  <si>
    <t>300:21842</t>
  </si>
  <si>
    <t>204:952</t>
  </si>
  <si>
    <t>204:1249</t>
  </si>
  <si>
    <t>300:24235</t>
  </si>
  <si>
    <t>204:3181</t>
  </si>
  <si>
    <t>204:1462</t>
  </si>
  <si>
    <t>204:3513</t>
  </si>
  <si>
    <t>204:3253</t>
  </si>
  <si>
    <t>204:1490</t>
  </si>
  <si>
    <t>204:3534</t>
  </si>
  <si>
    <t>300:19145</t>
  </si>
  <si>
    <t>204:1160</t>
  </si>
  <si>
    <t>300:22700</t>
  </si>
  <si>
    <t>300:19150</t>
  </si>
  <si>
    <t>204:3339</t>
  </si>
  <si>
    <t>204:3656</t>
  </si>
  <si>
    <t>204:1157</t>
  </si>
  <si>
    <t>300:58452</t>
  </si>
  <si>
    <t>204:694</t>
  </si>
  <si>
    <t>204:1000</t>
  </si>
  <si>
    <t>300:58912</t>
  </si>
  <si>
    <t>204:1035</t>
  </si>
  <si>
    <t>204:766</t>
  </si>
  <si>
    <t>204:1002</t>
  </si>
  <si>
    <t>204:699</t>
  </si>
  <si>
    <t>204:1034</t>
  </si>
  <si>
    <t>300:58914</t>
  </si>
  <si>
    <t>300:58956</t>
  </si>
  <si>
    <t>300:58638</t>
  </si>
  <si>
    <t>204:685</t>
  </si>
  <si>
    <t>300:58619</t>
  </si>
  <si>
    <t>300:58961</t>
  </si>
  <si>
    <t>300:58660</t>
  </si>
  <si>
    <t>204:990</t>
  </si>
  <si>
    <t>204:673</t>
  </si>
  <si>
    <t>204:948</t>
  </si>
  <si>
    <t>300:58954</t>
  </si>
  <si>
    <t>300:58640</t>
  </si>
  <si>
    <t>204:712</t>
  </si>
  <si>
    <t>300:58967</t>
  </si>
  <si>
    <t>300:58655</t>
  </si>
  <si>
    <t>300:58960</t>
  </si>
  <si>
    <t>300:58649</t>
  </si>
  <si>
    <t>204:691</t>
  </si>
  <si>
    <t>300:58643</t>
  </si>
  <si>
    <t>204:979</t>
  </si>
  <si>
    <t>300:58952</t>
  </si>
  <si>
    <t>204:615</t>
  </si>
  <si>
    <t>204:974</t>
  </si>
  <si>
    <t>300:58645</t>
  </si>
  <si>
    <t>204:930</t>
  </si>
  <si>
    <t>300:58920</t>
  </si>
  <si>
    <t>300:58596</t>
  </si>
  <si>
    <t>204:778</t>
  </si>
  <si>
    <t>204:983</t>
  </si>
  <si>
    <t>300:58963</t>
  </si>
  <si>
    <t>300:58641</t>
  </si>
  <si>
    <t>204:696</t>
  </si>
  <si>
    <t>204:1079</t>
  </si>
  <si>
    <t>300:58897</t>
  </si>
  <si>
    <t>300:58587</t>
  </si>
  <si>
    <t>204:916</t>
  </si>
  <si>
    <t>204:967</t>
  </si>
  <si>
    <t>300:58971</t>
  </si>
  <si>
    <t>204:1150</t>
  </si>
  <si>
    <t>204:3635</t>
  </si>
  <si>
    <t>204:3328</t>
  </si>
  <si>
    <t>300:30106</t>
  </si>
  <si>
    <t>300:23535</t>
  </si>
  <si>
    <t>204:706</t>
  </si>
  <si>
    <t>204:1046</t>
  </si>
  <si>
    <t>300:24256</t>
  </si>
  <si>
    <t>300:23610</t>
  </si>
  <si>
    <t>300:58632</t>
  </si>
  <si>
    <t>300:28769</t>
  </si>
  <si>
    <t>start /low /b %USERPROFILE%\Documents\GitHub\eaglep3\Utilities\DownloadLogsFromS3.py --loco 4003 --day 2017-07-26</t>
  </si>
  <si>
    <t>start /low /b %USERPROFILE%\Documents\GitHub\eaglep3\Utilities\DownloadLogsFromS3.py --loco 4015 --day 2017-07-26</t>
  </si>
  <si>
    <t>start /low /b %USERPROFILE%\Documents\GitHub\eaglep3\Utilities\DownloadLogsFromS3.py --loco 4023 --day 2017-07-27</t>
  </si>
  <si>
    <t>start /low /b %USERPROFILE%\Documents\GitHub\eaglep3\Utilities\DownloadLogsFromS3.py --loco 4024 --day 2017-07-26</t>
  </si>
  <si>
    <t>start /low /b %USERPROFILE%\Documents\GitHub\eaglep3\Utilities\DownloadLogsFromS3.py --loco 4007 --day 2017-07-26</t>
  </si>
  <si>
    <t>start /low /b %USERPROFILE%\Documents\GitHub\eaglep3\Utilities\DownloadLogsFromS3.py --loco 4028 --day 2017-07-27</t>
  </si>
  <si>
    <t>start /low /b %USERPROFILE%\Documents\GitHub\eaglep3\Utilities\DownloadLogsFromS3.py --loco 4001 --day 2017-07-27</t>
  </si>
  <si>
    <t>start /low /b %USERPROFILE%\Documents\GitHub\eaglep3\Utilities\DownloadLogsFromS3.py --loco 4006 --day 2017-07-26</t>
  </si>
  <si>
    <t>start /low /b %USERPROFILE%\Documents\GitHub\eaglep3\Utilities\DownloadLogsFromS3.py --loco 4005 --day 2017-07-26</t>
  </si>
  <si>
    <t>start /low /b %USERPROFILE%\Documents\GitHub\eaglep3\Utilities\DownloadLogsFromS3.py --loco 4024 --day 2017-07-27</t>
  </si>
  <si>
    <t>start /low /b %USERPROFILE%\Documents\GitHub\eaglep3\Utilities\DownloadLogsFromS3.py --loco 4025 --day 2017-07-26</t>
  </si>
  <si>
    <t>start /low /b %USERPROFILE%\Documents\GitHub\eaglep3\Utilities\DownloadLogsFromS3.py --loco 4027 --day 2017-07-27</t>
  </si>
  <si>
    <t>start /low /b %USERPROFILE%\Documents\GitHub\eaglep3\Utilities\DownloadLogsFromS3.py --loco 4008 --day 2017-07-26</t>
  </si>
  <si>
    <t>start /low /b %USERPROFILE%\Documents\GitHub\eaglep3\Utilities\DownloadLogsFromS3.py --loco 4002 --day 2017-07-26</t>
  </si>
  <si>
    <t>start /low /b %USERPROFILE%\Documents\GitHub\eaglep3\Utilities\DownloadLogsFromS3.py --loco 4004 --day 2017-07-26</t>
  </si>
  <si>
    <t>start /low /b %USERPROFILE%\Documents\GitHub\eaglep3\Utilities\DownloadLogsFromS3.py --loco 4045 --day 2017-07-26</t>
  </si>
  <si>
    <t>start /low /b %USERPROFILE%\Documents\GitHub\eaglep3\Utilities\DownloadLogsFromS3.py --loco 4013 --day 2017-07-26</t>
  </si>
  <si>
    <t>start /low /b %USERPROFILE%\Documents\GitHub\eaglep3\Utilities\DownloadLogsFromS3.py --loco 4045 --day 2017-07-27</t>
  </si>
  <si>
    <t>start /low /b %USERPROFILE%\Documents\GitHub\eaglep3\Utilities\DownloadLogsFromS3.py --loco 4014 --day 2017-07-26</t>
  </si>
  <si>
    <t>start /low /b %USERPROFILE%\Documents\GitHub\eaglep3\Utilities\DownloadLogsFromS3.py --loco 4046 --day 2017-07-27</t>
  </si>
  <si>
    <t>Many Wi-MAX data drops</t>
  </si>
  <si>
    <t>Form C</t>
  </si>
  <si>
    <t>Overspeed</t>
  </si>
  <si>
    <t>No Form C message issued to train</t>
  </si>
  <si>
    <t>Minor onboard in-route failure caused signal status unknown banner</t>
  </si>
  <si>
    <t>Wi-MAX data drops caused unknown signal banner - no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</si>
</sst>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opLeftCell="A127" workbookViewId="0">
      <selection activeCell="R157" sqref="R15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COUNTIFS($N$13:$N$9310,"&gt;0",$AG$13:$AG$9310,I1)</f>
        <v>141</v>
      </c>
      <c r="K5" s="39"/>
      <c r="L5" s="39"/>
      <c r="M5" s="40">
        <f>AVERAGEIFS($N$13:$N$9310,$AG$13:$AG$9310,I1)</f>
        <v>38.150709220010071</v>
      </c>
      <c r="N5" s="38">
        <f t="array" ref="N5">MIN(IF($AG$13:$AG$9310=I1,IF(ISNUMBER($N$13:$N$9310),IF($N$13:$N$9310&gt;0,$N$13:$N$9310))))</f>
        <v>34.283333332277834</v>
      </c>
      <c r="O5" s="3">
        <f t="array" ref="O5">MAX(IF($AG$13:$AG$9310=I1,IF(ISNUMBER($N$13:$N$9310),IF($N$13:$N$9310&gt;0,$N$13:$N$9310))))</f>
        <v>45.283333336701617</v>
      </c>
      <c r="P5" s="2"/>
      <c r="R5" s="166" t="s">
        <v>17</v>
      </c>
      <c r="S5" s="186">
        <f>COUNTIFS($N$13:$N$9310,"&gt;0",$AG$13:$AG$9310,R1)</f>
        <v>47</v>
      </c>
      <c r="T5" s="187"/>
      <c r="U5" s="187"/>
      <c r="V5" s="183">
        <f>AVERAGEIFS($N$13:$N$9310,$AG$13:$AG$9310,R1)</f>
        <v>14.997163120424375</v>
      </c>
      <c r="W5" s="184">
        <f t="array" ref="W5">MIN(IF($AG$13:$AG$9310=R1,IF(ISNUMBER($N$13:$N$9310),IF($N$13:$N$9310&gt;0,$N$13:$N$9310))))</f>
        <v>12.449999997625127</v>
      </c>
      <c r="X5" s="185">
        <f t="array" ref="X5">MAX(IF($AG$13:$AG$9310=R1,IF(ISNUMBER($N$13:$N$9310),IF($N$13:$N$9310&gt;0,$N$13:$N$9310))))</f>
        <v>18.66666667163372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COUNTIFS($P$13:$P$9310,"&gt;0",$AG$13:$AG$9310,I1)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COUNTIFS($P$13:$P$9310,"&gt;0",$AG$13:$AG$9310,R1)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38.150709220010071</v>
      </c>
      <c r="N8" s="38">
        <f>N5</f>
        <v>34.283333332277834</v>
      </c>
      <c r="O8" s="3">
        <f>O5</f>
        <v>45.283333336701617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14.997163120424375</v>
      </c>
      <c r="W8" s="184">
        <f>W5</f>
        <v>12.449999997625127</v>
      </c>
      <c r="X8" s="185">
        <f>X5</f>
        <v>18.66666667163372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0.98837209302325579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661</v>
      </c>
      <c r="B13" s="7">
        <v>4026</v>
      </c>
      <c r="C13" s="21" t="s">
        <v>198</v>
      </c>
      <c r="D13" s="21" t="s">
        <v>865</v>
      </c>
      <c r="E13" s="13">
        <v>42942.129236111112</v>
      </c>
      <c r="F13" s="13">
        <v>42942.135937500003</v>
      </c>
      <c r="G13" s="7">
        <v>1</v>
      </c>
      <c r="H13" s="21" t="s">
        <v>560</v>
      </c>
      <c r="I13" s="13">
        <v>42942.161944444444</v>
      </c>
      <c r="J13" s="7">
        <v>0</v>
      </c>
      <c r="K13" s="89" t="str">
        <f>IF(ISEVEN(B13),(B13-1)&amp;"/"&amp;B13,B13&amp;"/"&amp;(B13+1))</f>
        <v>4025/4026</v>
      </c>
      <c r="L13" s="21" t="str">
        <f>VLOOKUP(A13,'Trips&amp;Operators'!$C$1:$G$99999,5,FALSE)</f>
        <v>BONDS REYNALDO</v>
      </c>
      <c r="M13" s="6">
        <f>I13-F13</f>
        <v>2.6006944441178348E-2</v>
      </c>
      <c r="N13" s="7">
        <f>24*60*SUM($M13:$M13)</f>
        <v>37.449999995296821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-26T02:06:06-0600',mode:absolute,to:'2017-07-26T04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7.5899999999999995E-2</v>
      </c>
      <c r="Z13" s="197">
        <f>RIGHT(H13,LEN(H13)-4)/10000</f>
        <v>23.330200000000001</v>
      </c>
      <c r="AA13" s="197">
        <f>ABS(Z13-Y13)</f>
        <v>23.254300000000001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 &amp; aws s3 cp s3://rtdc.mdm.uploadarchive.raw/RTDC4026/ "%USERPROFILE%\AppData\Local\Temp\OnboardLogs"\RTDC4026\2017-07-27 --exclude "*" --recursive --include "*20170727*" &amp; "%USERPROFILE%\Documents\GitHub\mrs-test-scripts\Headless Mode &amp; Sideloading\WalkAndUnGZ.bat" "%USERPROFILE%\AppData\Local\Temp\OnboardLogs"\RTDC4026\2017-07-27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/stypes="app*4026*20170726*"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4026 --swversion DE.1.0.9.0 --startMP 204:759 --initTime 2017-07-26T03:06:06 --startdatetime 2017-07-26T03:15:45 --delay 1 --endMP 204:233302 --enddatetime 2017-07-26T03:53:12 --enforcementcount 0 &gt;&gt;C:\Users\stu\Documents\GitHub\eaglep3-reporting\EC\2017-07-26-refined-times.txt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{"issue":{"subject":"","project_id":79,"tracker_id":40,"status_id":1,"priority_id":2,"assigned_to_id":23,"start_date":"2017-07-26","description":"","custom_fields":[{"id":1,"name":"Subdivision","value":"EC"},{"id":4,"name":"Milepost","value":"23.3302"},{"id":17,"name":"Train ID","value":"101-26"},{"id":16,"name":"Locomotive ID","value":"4026"},{"id":130,"name":"Impact","value":""},{"id":150,"name":"Time of Event (Mountain Time)","value":"03:53:12"},{"id":151,"name":"Denver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4026 --day 2017-07-26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09:53:12"},{"id":29,"name":"Sharepoint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614</v>
      </c>
      <c r="B14" s="7">
        <v>4025</v>
      </c>
      <c r="C14" s="21" t="s">
        <v>198</v>
      </c>
      <c r="D14" s="21" t="s">
        <v>866</v>
      </c>
      <c r="E14" s="13">
        <v>42942.166678240741</v>
      </c>
      <c r="F14" s="13">
        <v>42942.175208333334</v>
      </c>
      <c r="G14" s="7">
        <v>1</v>
      </c>
      <c r="H14" s="21" t="s">
        <v>453</v>
      </c>
      <c r="I14" s="13">
        <v>42942.204375000001</v>
      </c>
      <c r="J14" s="7">
        <v>0</v>
      </c>
      <c r="K14" s="89" t="str">
        <f>IF(ISEVEN(B14),(B14-1)&amp;"/"&amp;B14,B14&amp;"/"&amp;(B14+1))</f>
        <v>4025/4026</v>
      </c>
      <c r="L14" s="21" t="str">
        <f>VLOOKUP(A14,'Trips&amp;Operators'!$C$1:$G$99999,5,FALSE)</f>
        <v>BONDS REYNALDO</v>
      </c>
      <c r="M14" s="6">
        <f>I14-F14</f>
        <v>2.9166666667151731E-2</v>
      </c>
      <c r="N14" s="7">
        <f>24*60*SUM($M14:$M14)</f>
        <v>42.000000000698492</v>
      </c>
      <c r="O14" s="7"/>
      <c r="P14" s="7"/>
      <c r="Q14" s="22"/>
      <c r="R14" s="170" t="s">
        <v>1060</v>
      </c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-26T03:00:01-0600',mode:absolute,to:'2017-07-26T05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23.298300000000001</v>
      </c>
      <c r="Z14" s="197">
        <f>RIGHT(H14,LEN(H14)-4)/10000</f>
        <v>1.52E-2</v>
      </c>
      <c r="AA14" s="197">
        <f>ABS(Z14-Y14)</f>
        <v>23.283100000000001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 &amp; aws s3 cp s3://rtdc.mdm.uploadarchive.raw/RTDC4025/ "%USERPROFILE%\AppData\Local\Temp\OnboardLogs"\RTDC4025\2017-07-27 --exclude "*" --recursive --include "*20170727*" &amp; "%USERPROFILE%\Documents\GitHub\mrs-test-scripts\Headless Mode &amp; Sideloading\WalkAndUnGZ.bat" "%USERPROFILE%\AppData\Local\Temp\OnboardLogs"\RTDC4025\2017-07-27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/stypes="app*4025*20170726*"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4025 --swversion DE.1.0.9.0 --startMP 204:232983 --initTime 2017-07-26T04:00:01 --startdatetime 2017-07-26T04:12:18 --delay 1 --endMP 204:152 --enddatetime 2017-07-26T04:54:18 --enforcementcount 0 &gt;&gt;C:\Users\stu\Documents\GitHub\eaglep3-reporting\EC\2017-07-26-refined-times.txt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{"issue":{"subject":"No Form C message issued to train","project_id":79,"tracker_id":40,"status_id":1,"priority_id":2,"assigned_to_id":23,"start_date":"2017-07-26","description":"","custom_fields":[{"id":1,"name":"Subdivision","value":"EC"},{"id":4,"name":"Milepost","value":"0.0152"},{"id":17,"name":"Train ID","value":"102-26"},{"id":16,"name":"Locomotive ID","value":"4025"},{"id":130,"name":"Impact","value":""},{"id":150,"name":"Time of Event (Mountain Time)","value":"04:54:18"},{"id":151,"name":"Denver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4025 --day 2017-07-26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Form C message issued to train","project_id":30,"tracker_id":4,"status_id":1,"priority_id":1,"assigned_to_id":10,"start_date":"2017-07-26","description":"","custom_fields":[{"id":30,"name":"Category","value":"Issue"},{"id":3,"name":"Functional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10:54:18"},{"id":29,"name":"Sharepoint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612</v>
      </c>
      <c r="B15" s="7">
        <v>4008</v>
      </c>
      <c r="C15" s="21" t="s">
        <v>198</v>
      </c>
      <c r="D15" s="21" t="s">
        <v>476</v>
      </c>
      <c r="E15" s="13">
        <v>42942.150625000002</v>
      </c>
      <c r="F15" s="13">
        <v>42942.156747685185</v>
      </c>
      <c r="G15" s="7">
        <v>1</v>
      </c>
      <c r="H15" s="21" t="s">
        <v>867</v>
      </c>
      <c r="I15" s="13">
        <v>42942.184803240743</v>
      </c>
      <c r="J15" s="7">
        <v>0</v>
      </c>
      <c r="K15" s="89" t="str">
        <f>IF(ISEVEN(B15),(B15-1)&amp;"/"&amp;B15,B15&amp;"/"&amp;(B15+1))</f>
        <v>4007/4008</v>
      </c>
      <c r="L15" s="21" t="str">
        <f>VLOOKUP(A15,'Trips&amp;Operators'!$C$1:$G$99999,5,FALSE)</f>
        <v>MAELZER KURT</v>
      </c>
      <c r="M15" s="6">
        <f>I15-F15</f>
        <v>2.8055555558239575E-2</v>
      </c>
      <c r="N15" s="7">
        <f>24*60*SUM($M15:$M15)</f>
        <v>40.400000003864989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-26T02:36:54-0600',mode:absolute,to:'2017-07-26T05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4.3799999999999999E-2</v>
      </c>
      <c r="Z15" s="197">
        <f>RIGHT(H15,LEN(H15)-4)/10000</f>
        <v>23.337</v>
      </c>
      <c r="AA15" s="197">
        <f>ABS(Z15-Y15)</f>
        <v>23.293199999999999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/stypes="app*4008*20170726*"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103-26 --locoid 4008 --swversion DE.1.0.9.0 --startMP 204:438 --initTime 2017-07-26T03:36:54 --startdatetime 2017-07-26T03:45:43 --delay 1 --endMP 204:233370 --enddatetime 2017-07-26T04:26:07 --enforcementcount 0 &gt;&gt;C:\Users\stu\Documents\GitHub\eaglep3-reporting\EC\2017-07-26-refined-times.txt</v>
      </c>
      <c r="AI1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{"issue":{"subject":"","project_id":79,"tracker_id":40,"status_id":1,"priority_id":2,"assigned_to_id":23,"start_date":"2017-07-26","description":"","custom_fields":[{"id":1,"name":"Subdivision","value":"EC"},{"id":4,"name":"Milepost","value":"23.337"},{"id":17,"name":"Train ID","value":"103-26"},{"id":16,"name":"Locomotive ID","value":"4008"},{"id":130,"name":"Impact","value":""},{"id":150,"name":"Time of Event (Mountain Time)","value":"04:26:07"},{"id":151,"name":"Denver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4008 --day 2017-07-26</v>
      </c>
      <c r="AN1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10:26:07"},{"id":29,"name":"Sharepoint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669</v>
      </c>
      <c r="B16" s="7">
        <v>4007</v>
      </c>
      <c r="C16" s="21" t="s">
        <v>198</v>
      </c>
      <c r="D16" s="21" t="s">
        <v>868</v>
      </c>
      <c r="E16" s="13">
        <v>42942.189976851849</v>
      </c>
      <c r="F16" s="13">
        <v>42942.196076388886</v>
      </c>
      <c r="G16" s="7">
        <v>1</v>
      </c>
      <c r="H16" s="21" t="s">
        <v>341</v>
      </c>
      <c r="I16" s="13">
        <v>42942.225740740738</v>
      </c>
      <c r="J16" s="7">
        <v>0</v>
      </c>
      <c r="K16" s="89" t="str">
        <f>IF(ISEVEN(B16),(B16-1)&amp;"/"&amp;B16,B16&amp;"/"&amp;(B16+1))</f>
        <v>4007/4008</v>
      </c>
      <c r="L16" s="21" t="str">
        <f>VLOOKUP(A16,'Trips&amp;Operators'!$C$1:$G$99999,5,FALSE)</f>
        <v>MAELZER KURT</v>
      </c>
      <c r="M16" s="6">
        <f>I16-F16</f>
        <v>2.9664351852261461E-2</v>
      </c>
      <c r="N16" s="7">
        <f>24*60*SUM($M16:$M16)</f>
        <v>42.716666667256504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-26T03:33:34-0600',mode:absolute,to:'2017-07-26T06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23.304300000000001</v>
      </c>
      <c r="Z16" s="197">
        <f>RIGHT(H16,LEN(H16)-4)/10000</f>
        <v>1.4999999999999999E-2</v>
      </c>
      <c r="AA16" s="197">
        <f>ABS(Z16-Y16)</f>
        <v>23.289300000000001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/stypes="app*4007*20170726*"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104-26 --locoid 4007 --swversion DE.1.0.9.0 --startMP 204:233043 --initTime 2017-07-26T04:33:34 --startdatetime 2017-07-26T04:42:21 --delay 1 --endMP 204:150 --enddatetime 2017-07-26T05:25:04 --enforcementcount 0 &gt;&gt;C:\Users\stu\Documents\GitHub\eaglep3-reporting\EC\2017-07-26-refined-times.txt</v>
      </c>
      <c r="AI16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{"issue":{"subject":"","project_id":79,"tracker_id":40,"status_id":1,"priority_id":2,"assigned_to_id":23,"start_date":"2017-07-26","description":"","custom_fields":[{"id":1,"name":"Subdivision","value":"EC"},{"id":4,"name":"Milepost","value":"0.015"},{"id":17,"name":"Train ID","value":"104-26"},{"id":16,"name":"Locomotive ID","value":"4007"},{"id":130,"name":"Impact","value":""},{"id":150,"name":"Time of Event (Mountain Time)","value":"05:25:04"},{"id":151,"name":"Denver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4007 --day 2017-07-26</v>
      </c>
      <c r="AN16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665</v>
      </c>
      <c r="B17" s="7">
        <v>4004</v>
      </c>
      <c r="C17" s="21" t="s">
        <v>198</v>
      </c>
      <c r="D17" s="21" t="s">
        <v>456</v>
      </c>
      <c r="E17" s="13">
        <v>42942.170138888891</v>
      </c>
      <c r="F17" s="13">
        <v>42942.177615740744</v>
      </c>
      <c r="G17" s="7">
        <v>1</v>
      </c>
      <c r="H17" s="21" t="s">
        <v>869</v>
      </c>
      <c r="I17" s="13">
        <v>42942.203576388885</v>
      </c>
      <c r="J17" s="7">
        <v>0</v>
      </c>
      <c r="K17" s="89" t="str">
        <f>IF(ISEVEN(B17),(B17-1)&amp;"/"&amp;B17,B17&amp;"/"&amp;(B17+1))</f>
        <v>4003/4004</v>
      </c>
      <c r="L17" s="21" t="str">
        <f>VLOOKUP(A17,'Trips&amp;Operators'!$C$1:$G$99999,5,FALSE)</f>
        <v>STARKS ANGELINA</v>
      </c>
      <c r="M17" s="6">
        <f>I17-F17</f>
        <v>2.5960648141335696E-2</v>
      </c>
      <c r="N17" s="7">
        <f>24*60*SUM($M17:$M17)</f>
        <v>37.383333323523402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-26T03:05:00-0600',mode:absolute,to:'2017-07-26T05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4.4900000000000002E-2</v>
      </c>
      <c r="Z17" s="197">
        <f>RIGHT(H17,LEN(H17)-4)/10000</f>
        <v>23.329899999999999</v>
      </c>
      <c r="AA17" s="197">
        <f>ABS(Z17-Y17)</f>
        <v>23.285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/stypes="app*4004*20170726*"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105-26 --locoid 4004 --swversion DE.1.0.9.0 --startMP 204:449 --initTime 2017-07-26T04:05:00 --startdatetime 2017-07-26T04:15:46 --delay 1 --endMP 204:233299 --enddatetime 2017-07-26T04:53:09 --enforcementcount 0 &gt;&gt;C:\Users\stu\Documents\GitHub\eaglep3-reporting\EC\2017-07-26-refined-times.txt</v>
      </c>
      <c r="AI1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{"issue":{"subject":"","project_id":79,"tracker_id":40,"status_id":1,"priority_id":2,"assigned_to_id":23,"start_date":"2017-07-26","description":"","custom_fields":[{"id":1,"name":"Subdivision","value":"EC"},{"id":4,"name":"Milepost","value":"23.3299"},{"id":17,"name":"Train ID","value":"105-26"},{"id":16,"name":"Locomotive ID","value":"4004"},{"id":130,"name":"Impact","value":""},{"id":150,"name":"Time of Event (Mountain Time)","value":"04:53:09"},{"id":151,"name":"Denver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4004 --day 2017-07-26</v>
      </c>
      <c r="AN1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10:53:09"},{"id":29,"name":"Sharepoint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617</v>
      </c>
      <c r="B18" s="7">
        <v>4003</v>
      </c>
      <c r="C18" s="21" t="s">
        <v>198</v>
      </c>
      <c r="D18" s="21" t="s">
        <v>525</v>
      </c>
      <c r="E18" s="13">
        <v>42942.205000000002</v>
      </c>
      <c r="F18" s="13">
        <v>42942.216874999998</v>
      </c>
      <c r="G18" s="7">
        <v>1</v>
      </c>
      <c r="H18" s="21" t="s">
        <v>341</v>
      </c>
      <c r="I18" s="13">
        <v>42942.244675925926</v>
      </c>
      <c r="J18" s="7">
        <v>0</v>
      </c>
      <c r="K18" s="89" t="str">
        <f>IF(ISEVEN(B18),(B18-1)&amp;"/"&amp;B18,B18&amp;"/"&amp;(B18+1))</f>
        <v>4003/4004</v>
      </c>
      <c r="L18" s="21" t="str">
        <f>VLOOKUP(A18,'Trips&amp;Operators'!$C$1:$G$99999,5,FALSE)</f>
        <v>STARKS ANGELINA</v>
      </c>
      <c r="M18" s="6">
        <f>I18-F18</f>
        <v>2.7800925927294884E-2</v>
      </c>
      <c r="N18" s="7">
        <f>24*60*SUM($M18:$M18)</f>
        <v>40.033333335304633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-26T03:55:12-0600',mode:absolute,to:'2017-07-26T06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23.296099999999999</v>
      </c>
      <c r="Z18" s="197">
        <f>RIGHT(H18,LEN(H18)-4)/10000</f>
        <v>1.4999999999999999E-2</v>
      </c>
      <c r="AA18" s="197">
        <f>ABS(Z18-Y18)</f>
        <v>23.281099999999999</v>
      </c>
      <c r="AB18" s="54" t="str">
        <f>VLOOKUP(A18,Enforcements!$C$7:$K$13,8,0)</f>
        <v>Bulletin (2)</v>
      </c>
      <c r="AC18" s="51" t="str">
        <f>VLOOKUP(A18,Enforcements!$C$7:$E$13,3,0)</f>
        <v>GRADE CROSSING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/stypes="app*4003*20170726*"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106-26 --locoid 4003 --swversion DE.1.0.9.0 --startMP 204:232961 --initTime 2017-07-26T04:55:12 --startdatetime 2017-07-26T05:12:18 --delay 1 --endMP 204:150 --enddatetime 2017-07-26T05:52:20 --enforcementcount 0 &gt;&gt;C:\Users\stu\Documents\GitHub\eaglep3-reporting\EC\2017-07-26-refined-times.txt</v>
      </c>
      <c r="AI18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{"issue":{"subject":"","project_id":79,"tracker_id":40,"status_id":1,"priority_id":2,"assigned_to_id":23,"start_date":"2017-07-26","description":"","custom_fields":[{"id":1,"name":"Subdivision","value":"EC"},{"id":4,"name":"Milepost","value":"0.015"},{"id":17,"name":"Train ID","value":"106-26"},{"id":16,"name":"Locomotive ID","value":"4003"},{"id":130,"name":"Impact","value":""},{"id":150,"name":"Time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4003 --day 2017-07-26</v>
      </c>
      <c r="AN18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613</v>
      </c>
      <c r="B19" s="7">
        <v>4024</v>
      </c>
      <c r="C19" s="21" t="s">
        <v>198</v>
      </c>
      <c r="D19" s="21" t="s">
        <v>870</v>
      </c>
      <c r="E19" s="13">
        <v>42942.183483796296</v>
      </c>
      <c r="F19" s="13">
        <v>42942.189004629632</v>
      </c>
      <c r="G19" s="7">
        <v>2</v>
      </c>
      <c r="H19" s="21" t="s">
        <v>410</v>
      </c>
      <c r="I19" s="13">
        <v>42942.217870370368</v>
      </c>
      <c r="J19" s="7">
        <v>0</v>
      </c>
      <c r="K19" s="89" t="str">
        <f>IF(ISEVEN(B19),(B19-1)&amp;"/"&amp;B19,B19&amp;"/"&amp;(B19+1))</f>
        <v>4023/4024</v>
      </c>
      <c r="L19" s="21" t="str">
        <f>VLOOKUP(A19,'Trips&amp;Operators'!$C$1:$G$99999,5,FALSE)</f>
        <v>NICHOLSON WESLEY</v>
      </c>
      <c r="M19" s="6">
        <f>I19-F19</f>
        <v>2.8865740736364387E-2</v>
      </c>
      <c r="N19" s="7">
        <f>24*60*SUM($M19:$M19)</f>
        <v>41.566666660364717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-26T03:24:13-0600',mode:absolute,to:'2017-07-26T06:13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5.0599999999999999E-2</v>
      </c>
      <c r="Z19" s="197">
        <f>RIGHT(H19,LEN(H19)-4)/10000</f>
        <v>23.329699999999999</v>
      </c>
      <c r="AA19" s="197">
        <f>ABS(Z19-Y19)</f>
        <v>23.2791</v>
      </c>
      <c r="AB19" s="54" t="str">
        <f>VLOOKUP(A19,Enforcements!$C$7:$K$13,8,0)</f>
        <v>Bulletin (2)</v>
      </c>
      <c r="AC19" s="51" t="str">
        <f>VLOOKUP(A19,Enforcements!$C$7:$E$13,3,0)</f>
        <v>GRADE CROSSING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/stypes="app*4024*20170726*"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107-26 --locoid 4024 --swversion DE.1.0.9.0 --startMP 204:506 --initTime 2017-07-26T04:24:13 --startdatetime 2017-07-26T04:32:10 --delay 2 --endMP 204:233297 --enddatetime 2017-07-26T05:13:44 --enforcementcount 0 &gt;&gt;C:\Users\stu\Documents\GitHub\eaglep3-reporting\EC\2017-07-26-refined-times.txt</v>
      </c>
      <c r="AI19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{"issue":{"subject":"","project_id":79,"tracker_id":40,"status_id":1,"priority_id":2,"assigned_to_id":23,"start_date":"2017-07-26","description":"","custom_fields":[{"id":1,"name":"Subdivision","value":"EC"},{"id":4,"name":"Milepost","value":"23.3297"},{"id":17,"name":"Train ID","value":"107-26"},{"id":16,"name":"Locomotive ID","value":"4024"},{"id":130,"name":"Impact","value":""},{"id":150,"name":"Time of Event (Mountain Time)","value":"05:13:44"},{"id":151,"name":"Denver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4024 --day 2017-07-26</v>
      </c>
      <c r="AN19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11:13:44"},{"id":29,"name":"Sharepoint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677</v>
      </c>
      <c r="B20" s="7">
        <v>4023</v>
      </c>
      <c r="C20" s="21" t="s">
        <v>198</v>
      </c>
      <c r="D20" s="21" t="s">
        <v>530</v>
      </c>
      <c r="E20" s="13">
        <v>42942.220671296294</v>
      </c>
      <c r="F20" s="13">
        <v>42942.227430555555</v>
      </c>
      <c r="G20" s="7">
        <v>2</v>
      </c>
      <c r="H20" s="21" t="s">
        <v>871</v>
      </c>
      <c r="I20" s="13">
        <v>42942.256932870368</v>
      </c>
      <c r="J20" s="7">
        <v>0</v>
      </c>
      <c r="K20" s="89" t="str">
        <f>IF(ISEVEN(B20),(B20-1)&amp;"/"&amp;B20,B20&amp;"/"&amp;(B20+1))</f>
        <v>4023/4024</v>
      </c>
      <c r="L20" s="21" t="str">
        <f>VLOOKUP(A20,'Trips&amp;Operators'!$C$1:$G$99999,5,FALSE)</f>
        <v>NICHOLSON WESLEY</v>
      </c>
      <c r="M20" s="6">
        <f>I20-F20</f>
        <v>2.9502314813726116E-2</v>
      </c>
      <c r="N20" s="7">
        <f>24*60*SUM($M20:$M20)</f>
        <v>42.483333331765607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-26T04:17:46-0600',mode:absolute,to:'2017-07-26T07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23.296199999999999</v>
      </c>
      <c r="Z20" s="197">
        <f>RIGHT(H20,LEN(H20)-4)/10000</f>
        <v>1.32E-2</v>
      </c>
      <c r="AA20" s="197">
        <f>ABS(Z20-Y20)</f>
        <v>23.282999999999998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/stypes="app*4023*20170726*"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108-26 --locoid 4023 --swversion DE.1.0.9.0 --startMP 204:232962 --initTime 2017-07-26T05:17:46 --startdatetime 2017-07-26T05:27:30 --delay 2 --endMP 204:132 --enddatetime 2017-07-26T06:09:59 --enforcementcount 0 &gt;&gt;C:\Users\stu\Documents\GitHub\eaglep3-reporting\EC\2017-07-26-refined-times.txt</v>
      </c>
      <c r="AI20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{"issue":{"subject":"","project_id":79,"tracker_id":40,"status_id":1,"priority_id":2,"assigned_to_id":23,"start_date":"2017-07-26","description":"","custom_fields":[{"id":1,"name":"Subdivision","value":"EC"},{"id":4,"name":"Milepost","value":"0.0132"},{"id":17,"name":"Train ID","value":"108-26"},{"id":16,"name":"Locomotive ID","value":"4023"},{"id":130,"name":"Impact","value":""},{"id":150,"name":"Time of Event (Mountain Time)","value":"06:09:59"},{"id":151,"name":"Denver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4023 --day 2017-07-26</v>
      </c>
      <c r="AN20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670</v>
      </c>
      <c r="B21" s="7">
        <v>4006</v>
      </c>
      <c r="C21" s="21" t="s">
        <v>198</v>
      </c>
      <c r="D21" s="21" t="s">
        <v>412</v>
      </c>
      <c r="E21" s="13">
        <v>42942.192789351851</v>
      </c>
      <c r="F21" s="13">
        <v>42942.198437500003</v>
      </c>
      <c r="G21" s="7">
        <v>1</v>
      </c>
      <c r="H21" s="21" t="s">
        <v>872</v>
      </c>
      <c r="I21" s="13">
        <v>42942.224849537037</v>
      </c>
      <c r="J21" s="7">
        <v>0</v>
      </c>
      <c r="K21" s="89" t="str">
        <f>IF(ISEVEN(B21),(B21-1)&amp;"/"&amp;B21,B21&amp;"/"&amp;(B21+1))</f>
        <v>4005/4006</v>
      </c>
      <c r="L21" s="21" t="str">
        <f>VLOOKUP(A21,'Trips&amp;Operators'!$C$1:$G$99999,5,FALSE)</f>
        <v>DAVIS WENDY</v>
      </c>
      <c r="M21" s="6">
        <f>I21-F21</f>
        <v>2.6412037033878732E-2</v>
      </c>
      <c r="N21" s="7">
        <f>24*60*SUM($M21:$M21)</f>
        <v>38.033333328785375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-26T03:37:37-0600',mode:absolute,to:'2017-07-26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4.7100000000000003E-2</v>
      </c>
      <c r="Z21" s="197">
        <f>RIGHT(H21,LEN(H21)-4)/10000</f>
        <v>23.328399999999998</v>
      </c>
      <c r="AA21" s="197">
        <f>ABS(Z21-Y21)</f>
        <v>23.281299999999998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/stypes="app*4006*20170726*"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109-26 --locoid 4006 --swversion DE.1.0.9.0 --startMP 204:471 --initTime 2017-07-26T04:37:37 --startdatetime 2017-07-26T04:45:45 --delay 1 --endMP 204:233284 --enddatetime 2017-07-26T05:23:47 --enforcementcount 0 &gt;&gt;C:\Users\stu\Documents\GitHub\eaglep3-reporting\EC\2017-07-26-refined-times.txt</v>
      </c>
      <c r="AI21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{"issue":{"subject":"","project_id":79,"tracker_id":40,"status_id":1,"priority_id":2,"assigned_to_id":23,"start_date":"2017-07-26","description":"","custom_fields":[{"id":1,"name":"Subdivision","value":"EC"},{"id":4,"name":"Milepost","value":"23.3284"},{"id":17,"name":"Train ID","value":"109-26"},{"id":16,"name":"Locomotive ID","value":"4006"},{"id":130,"name":"Impact","value":""},{"id":150,"name":"Time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4006 --day 2017-07-26</v>
      </c>
      <c r="AN21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681</v>
      </c>
      <c r="B22" s="7">
        <v>4005</v>
      </c>
      <c r="C22" s="21" t="s">
        <v>198</v>
      </c>
      <c r="D22" s="21" t="s">
        <v>496</v>
      </c>
      <c r="E22" s="13">
        <v>42942.232060185182</v>
      </c>
      <c r="F22" s="13">
        <v>42942.237662037034</v>
      </c>
      <c r="G22" s="7">
        <v>1</v>
      </c>
      <c r="H22" s="21" t="s">
        <v>342</v>
      </c>
      <c r="I22" s="13">
        <v>42942.267256944448</v>
      </c>
      <c r="J22" s="7">
        <v>0</v>
      </c>
      <c r="K22" s="89" t="str">
        <f>IF(ISEVEN(B22),(B22-1)&amp;"/"&amp;B22,B22&amp;"/"&amp;(B22+1))</f>
        <v>4005/4006</v>
      </c>
      <c r="L22" s="21" t="str">
        <f>VLOOKUP(A22,'Trips&amp;Operators'!$C$1:$G$99999,5,FALSE)</f>
        <v>DAVIS WENDY</v>
      </c>
      <c r="M22" s="6">
        <f>I22-F22</f>
        <v>2.959490741341142E-2</v>
      </c>
      <c r="N22" s="7">
        <f>24*60*SUM($M22:$M22)</f>
        <v>42.616666675312445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-26T04:34:10-0600',mode:absolute,to:'2017-07-26T07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23.297999999999998</v>
      </c>
      <c r="Z22" s="197">
        <f>RIGHT(H22,LEN(H22)-4)/10000</f>
        <v>1.49E-2</v>
      </c>
      <c r="AA22" s="197">
        <f>ABS(Z22-Y22)</f>
        <v>23.283099999999997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/stypes="app*4005*20170726*"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110-26 --locoid 4005 --swversion DE.1.0.9.0 --startMP 204:232980 --initTime 2017-07-26T05:34:10 --startdatetime 2017-07-26T05:42:14 --delay 1 --endMP 204:149 --enddatetime 2017-07-26T06:24:51 --enforcementcount 0 &gt;&gt;C:\Users\stu\Documents\GitHub\eaglep3-reporting\EC\2017-07-26-refined-times.txt</v>
      </c>
      <c r="AI22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{"issue":{"subject":"","project_id":79,"tracker_id":40,"status_id":1,"priority_id":2,"assigned_to_id":23,"start_date":"2017-07-26","description":"","custom_fields":[{"id":1,"name":"Subdivision","value":"EC"},{"id":4,"name":"Milepost","value":"0.0149"},{"id":17,"name":"Train ID","value":"110-26"},{"id":16,"name":"Locomotive ID","value":"4005"},{"id":130,"name":"Impact","value":""},{"id":150,"name":"Time of Event (Mountain Time)","value":"06:24:51"},{"id":151,"name":"Denver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4005 --day 2017-07-26</v>
      </c>
      <c r="AN22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673</v>
      </c>
      <c r="B23" s="7">
        <v>4026</v>
      </c>
      <c r="C23" s="21" t="s">
        <v>198</v>
      </c>
      <c r="D23" s="21" t="s">
        <v>586</v>
      </c>
      <c r="E23" s="13">
        <v>42942.206620370373</v>
      </c>
      <c r="F23" s="13">
        <v>42942.208854166667</v>
      </c>
      <c r="G23" s="7">
        <v>1</v>
      </c>
      <c r="H23" s="21" t="s">
        <v>528</v>
      </c>
      <c r="I23" s="13">
        <v>42942.237349537034</v>
      </c>
      <c r="J23" s="7">
        <v>0</v>
      </c>
      <c r="K23" s="89" t="str">
        <f>IF(ISEVEN(B23),(B23-1)&amp;"/"&amp;B23,B23&amp;"/"&amp;(B23+1))</f>
        <v>4025/4026</v>
      </c>
      <c r="L23" s="21" t="str">
        <f>VLOOKUP(A23,'Trips&amp;Operators'!$C$1:$G$99999,5,FALSE)</f>
        <v>BONDS REYNALDO</v>
      </c>
      <c r="M23" s="6">
        <f>I23-F23</f>
        <v>2.8495370366727002E-2</v>
      </c>
      <c r="N23" s="7">
        <f>24*60*SUM($M23:$M23)</f>
        <v>41.033333328086883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-26T03:57:32-0600',mode:absolute,to:'2017-07-26T06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4.8399999999999999E-2</v>
      </c>
      <c r="Z23" s="197">
        <f>RIGHT(H23,LEN(H23)-4)/10000</f>
        <v>23.331499999999998</v>
      </c>
      <c r="AA23" s="197">
        <f>ABS(Z23-Y23)</f>
        <v>23.283099999999997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 &amp; aws s3 cp s3://rtdc.mdm.uploadarchive.raw/RTDC4026/ "%USERPROFILE%\AppData\Local\Temp\OnboardLogs"\RTDC4026\2017-07-27 --exclude "*" --recursive --include "*20170727*" &amp; "%USERPROFILE%\Documents\GitHub\mrs-test-scripts\Headless Mode &amp; Sideloading\WalkAndUnGZ.bat" "%USERPROFILE%\AppData\Local\Temp\OnboardLogs"\RTDC4026\2017-07-27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/stypes="app*4026*20170726*"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111-26 --locoid 4026 --swversion DE.1.0.9.0 --startMP 204:484 --initTime 2017-07-26T04:57:32 --startdatetime 2017-07-26T05:00:45 --delay 1 --endMP 204:233315 --enddatetime 2017-07-26T05:41:47 --enforcementcount 0 &gt;&gt;C:\Users\stu\Documents\GitHub\eaglep3-reporting\EC\2017-07-26-refined-times.txt</v>
      </c>
      <c r="AI23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{"issue":{"subject":"","project_id":79,"tracker_id":40,"status_id":1,"priority_id":2,"assigned_to_id":23,"start_date":"2017-07-26","description":"","custom_fields":[{"id":1,"name":"Subdivision","value":"EC"},{"id":4,"name":"Milepost","value":"23.3315"},{"id":17,"name":"Train ID","value":"111-26"},{"id":16,"name":"Locomotive ID","value":"4026"},{"id":130,"name":"Impact","value":""},{"id":150,"name":"Time of Event (Mountain Time)","value":"05:41:47"},{"id":151,"name":"Denver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4026 --day 2017-07-26</v>
      </c>
      <c r="AN23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683</v>
      </c>
      <c r="B24" s="7">
        <v>4025</v>
      </c>
      <c r="C24" s="21" t="s">
        <v>198</v>
      </c>
      <c r="D24" s="21" t="s">
        <v>573</v>
      </c>
      <c r="E24" s="13">
        <v>42942.244375000002</v>
      </c>
      <c r="F24" s="13">
        <v>42942.248113425929</v>
      </c>
      <c r="G24" s="7">
        <v>0</v>
      </c>
      <c r="H24" s="21" t="s">
        <v>382</v>
      </c>
      <c r="I24" s="13">
        <v>42942.278726851851</v>
      </c>
      <c r="J24" s="7">
        <v>0</v>
      </c>
      <c r="K24" s="89" t="str">
        <f>IF(ISEVEN(B24),(B24-1)&amp;"/"&amp;B24,B24&amp;"/"&amp;(B24+1))</f>
        <v>4025/4026</v>
      </c>
      <c r="L24" s="21" t="str">
        <f>VLOOKUP(A24,'Trips&amp;Operators'!$C$1:$G$99999,5,FALSE)</f>
        <v>BONDS REYNALDO</v>
      </c>
      <c r="M24" s="6">
        <f>I24-F24</f>
        <v>3.0613425922638271E-2</v>
      </c>
      <c r="N24" s="7">
        <f>24*60*SUM($M24:$M24)</f>
        <v>44.08333332859911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-26T04:51:54-0600',mode:absolute,to:'2017-07-26T07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23.2987</v>
      </c>
      <c r="Z24" s="197">
        <f>RIGHT(H24,LEN(H24)-4)/10000</f>
        <v>1.4500000000000001E-2</v>
      </c>
      <c r="AA24" s="197">
        <f>ABS(Z24-Y24)</f>
        <v>23.284199999999998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 &amp; aws s3 cp s3://rtdc.mdm.uploadarchive.raw/RTDC4025/ "%USERPROFILE%\AppData\Local\Temp\OnboardLogs"\RTDC4025\2017-07-27 --exclude "*" --recursive --include "*20170727*" &amp; "%USERPROFILE%\Documents\GitHub\mrs-test-scripts\Headless Mode &amp; Sideloading\WalkAndUnGZ.bat" "%USERPROFILE%\AppData\Local\Temp\OnboardLogs"\RTDC4025\2017-07-27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/stypes="app*4025*20170726*"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112-26 --locoid 4025 --swversion DE.1.0.9.0 --startMP 204:232987 --initTime 2017-07-26T05:51:54 --startdatetime 2017-07-26T05:57:17 --delay 0 --endMP 204:145 --enddatetime 2017-07-26T06:41:22 --enforcementcount 0 &gt;&gt;C:\Users\stu\Documents\GitHub\eaglep3-reporting\EC\2017-07-26-refined-times.txt</v>
      </c>
      <c r="AI24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{"issue":{"subject":"","project_id":79,"tracker_id":40,"status_id":1,"priority_id":2,"assigned_to_id":23,"start_date":"2017-07-26","description":"","custom_fields":[{"id":1,"name":"Subdivision","value":"EC"},{"id":4,"name":"Milepost","value":"0.0145"},{"id":17,"name":"Train ID","value":"112-26"},{"id":16,"name":"Locomotive ID","value":"4025"},{"id":130,"name":"Impact","value":""},{"id":150,"name":"Time of Event (Mountain Time)","value":"06:41:22"},{"id":151,"name":"Denver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4025 --day 2017-07-26</v>
      </c>
      <c r="AN24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12:41:22"},{"id":29,"name":"Sharepoint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676</v>
      </c>
      <c r="B25" s="7">
        <v>4016</v>
      </c>
      <c r="C25" s="21" t="s">
        <v>198</v>
      </c>
      <c r="D25" s="21" t="s">
        <v>524</v>
      </c>
      <c r="E25" s="13">
        <v>42942.215694444443</v>
      </c>
      <c r="F25" s="13">
        <v>42942.220011574071</v>
      </c>
      <c r="G25" s="7">
        <v>1</v>
      </c>
      <c r="H25" s="21" t="s">
        <v>454</v>
      </c>
      <c r="I25" s="13">
        <v>42942.246203703704</v>
      </c>
      <c r="J25" s="7">
        <v>0</v>
      </c>
      <c r="K25" s="89" t="str">
        <f>IF(ISEVEN(B25),(B25-1)&amp;"/"&amp;B25,B25&amp;"/"&amp;(B25+1))</f>
        <v>4015/4016</v>
      </c>
      <c r="L25" s="21" t="str">
        <f>VLOOKUP(A25,'Trips&amp;Operators'!$C$1:$G$99999,5,FALSE)</f>
        <v>LANGERAK WILLIAM</v>
      </c>
      <c r="M25" s="6">
        <f>I25-F25</f>
        <v>2.6192129633272998E-2</v>
      </c>
      <c r="N25" s="7">
        <f>24*60*SUM($M25:$M25)</f>
        <v>37.716666671913117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-26T04:10:36-0600',mode:absolute,to:'2017-07-26T06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4.82E-2</v>
      </c>
      <c r="Z25" s="197">
        <f>RIGHT(H25,LEN(H25)-4)/10000</f>
        <v>23.3291</v>
      </c>
      <c r="AA25" s="197">
        <f>ABS(Z25-Y25)</f>
        <v>23.280899999999999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/stypes="app*4016*20170726*"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113-26 --locoid 4016 --swversion DE.1.0.9.0 --startMP 204:482 --initTime 2017-07-26T05:10:36 --startdatetime 2017-07-26T05:16:49 --delay 1 --endMP 204:233291 --enddatetime 2017-07-26T05:54:32 --enforcementcount 0 &gt;&gt;C:\Users\stu\Documents\GitHub\eaglep3-reporting\EC\2017-07-26-refined-times.txt</v>
      </c>
      <c r="AI2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{"issue":{"subject":"","project_id":79,"tracker_id":40,"status_id":1,"priority_id":2,"assigned_to_id":23,"start_date":"2017-07-26","description":"","custom_fields":[{"id":1,"name":"Subdivision","value":"EC"},{"id":4,"name":"Milepost","value":"23.3291"},{"id":17,"name":"Train ID","value":"113-26"},{"id":16,"name":"Locomotive ID","value":"4016"},{"id":130,"name":"Impact","value":""},{"id":150,"name":"Time of Event (Mountain Time)","value":"05:54:32"},{"id":151,"name":"Denver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4016 --day 2017-07-26</v>
      </c>
      <c r="AN2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685</v>
      </c>
      <c r="B26" s="7">
        <v>4015</v>
      </c>
      <c r="C26" s="21" t="s">
        <v>198</v>
      </c>
      <c r="D26" s="21" t="s">
        <v>567</v>
      </c>
      <c r="E26" s="13">
        <v>42942.256840277776</v>
      </c>
      <c r="F26" s="13">
        <v>42942.258668981478</v>
      </c>
      <c r="G26" s="7">
        <v>1</v>
      </c>
      <c r="H26" s="21" t="s">
        <v>453</v>
      </c>
      <c r="I26" s="13">
        <v>42942.28869212963</v>
      </c>
      <c r="J26" s="7">
        <v>0</v>
      </c>
      <c r="K26" s="89" t="str">
        <f>IF(ISEVEN(B26),(B26-1)&amp;"/"&amp;B26,B26&amp;"/"&amp;(B26+1))</f>
        <v>4015/4016</v>
      </c>
      <c r="L26" s="21" t="str">
        <f>VLOOKUP(A26,'Trips&amp;Operators'!$C$1:$G$99999,5,FALSE)</f>
        <v>LANGERAK WILLIAM</v>
      </c>
      <c r="M26" s="6">
        <f>I26-F26</f>
        <v>3.0023148152395152E-2</v>
      </c>
      <c r="N26" s="7">
        <f>24*60*SUM($M26:$M26)</f>
        <v>43.233333339449018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-26T05:09:51-0600',mode:absolute,to:'2017-07-26T07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23.296900000000001</v>
      </c>
      <c r="Z26" s="197">
        <f>RIGHT(H26,LEN(H26)-4)/10000</f>
        <v>1.52E-2</v>
      </c>
      <c r="AA26" s="197">
        <f>ABS(Z26-Y26)</f>
        <v>23.281700000000001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/stypes="app*4015*20170726*"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114-26 --locoid 4015 --swversion DE.1.0.9.0 --startMP 204:232969 --initTime 2017-07-26T06:09:51 --startdatetime 2017-07-26T06:12:29 --delay 1 --endMP 204:152 --enddatetime 2017-07-26T06:55:43 --enforcementcount 0 &gt;&gt;C:\Users\stu\Documents\GitHub\eaglep3-reporting\EC\2017-07-26-refined-times.txt</v>
      </c>
      <c r="AI26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{"issue":{"subject":"","project_id":79,"tracker_id":40,"status_id":1,"priority_id":2,"assigned_to_id":23,"start_date":"2017-07-26","description":"","custom_fields":[{"id":1,"name":"Subdivision","value":"EC"},{"id":4,"name":"Milepost","value":"0.0152"},{"id":17,"name":"Train ID","value":"114-26"},{"id":16,"name":"Locomotive ID","value":"4015"},{"id":130,"name":"Impact","value":""},{"id":150,"name":"Time of Event (Mountain Time)","value":"06:55:43"},{"id":151,"name":"Denver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4015 --day 2017-07-26</v>
      </c>
      <c r="AN26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679</v>
      </c>
      <c r="B27" s="7">
        <v>4008</v>
      </c>
      <c r="C27" s="21" t="s">
        <v>198</v>
      </c>
      <c r="D27" s="21" t="s">
        <v>451</v>
      </c>
      <c r="E27" s="13">
        <v>42942.227407407408</v>
      </c>
      <c r="F27" s="13">
        <v>42942.229930555557</v>
      </c>
      <c r="G27" s="7">
        <v>1</v>
      </c>
      <c r="H27" s="21" t="s">
        <v>574</v>
      </c>
      <c r="I27" s="13">
        <v>42942.255949074075</v>
      </c>
      <c r="J27" s="7">
        <v>0</v>
      </c>
      <c r="K27" s="89" t="str">
        <f>IF(ISEVEN(B27),(B27-1)&amp;"/"&amp;B27,B27&amp;"/"&amp;(B27+1))</f>
        <v>4007/4008</v>
      </c>
      <c r="L27" s="21" t="str">
        <f>VLOOKUP(A27,'Trips&amp;Operators'!$C$1:$G$99999,5,FALSE)</f>
        <v>MAELZER KURT</v>
      </c>
      <c r="M27" s="6">
        <f>I27-F27</f>
        <v>2.6018518517958E-2</v>
      </c>
      <c r="N27" s="7">
        <f>24*60*SUM($M27:$M27)</f>
        <v>37.46666666585952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-26T04:27:28-0600',mode:absolute,to:'2017-07-26T07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4.4200000000000003E-2</v>
      </c>
      <c r="Z27" s="197">
        <f>RIGHT(H27,LEN(H27)-4)/10000</f>
        <v>23.332699999999999</v>
      </c>
      <c r="AA27" s="197">
        <f>ABS(Z27-Y27)</f>
        <v>23.288499999999999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/stypes="app*4008*20170726*"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115-26 --locoid 4008 --swversion DE.1.0.9.0 --startMP 204:442 --initTime 2017-07-26T05:27:28 --startdatetime 2017-07-26T05:31:06 --delay 1 --endMP 204:233327 --enddatetime 2017-07-26T06:08:34 --enforcementcount 0 &gt;&gt;C:\Users\stu\Documents\GitHub\eaglep3-reporting\EC\2017-07-26-refined-times.txt</v>
      </c>
      <c r="AI2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{"issue":{"subject":"","project_id":79,"tracker_id":40,"status_id":1,"priority_id":2,"assigned_to_id":23,"start_date":"2017-07-26","description":"","custom_fields":[{"id":1,"name":"Subdivision","value":"EC"},{"id":4,"name":"Milepost","value":"23.3327"},{"id":17,"name":"Train ID","value":"115-26"},{"id":16,"name":"Locomotive ID","value":"4008"},{"id":130,"name":"Impact","value":""},{"id":150,"name":"Time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4008 --day 2017-07-26</v>
      </c>
      <c r="AN2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688</v>
      </c>
      <c r="B28" s="7">
        <v>4007</v>
      </c>
      <c r="C28" s="21" t="s">
        <v>198</v>
      </c>
      <c r="D28" s="21" t="s">
        <v>391</v>
      </c>
      <c r="E28" s="13">
        <v>42942.264340277776</v>
      </c>
      <c r="F28" s="13">
        <v>42942.269050925926</v>
      </c>
      <c r="G28" s="7">
        <v>1</v>
      </c>
      <c r="H28" s="21" t="s">
        <v>873</v>
      </c>
      <c r="I28" s="13">
        <v>42942.29855324074</v>
      </c>
      <c r="J28" s="7">
        <v>0</v>
      </c>
      <c r="K28" s="89" t="str">
        <f>IF(ISEVEN(B28),(B28-1)&amp;"/"&amp;B28,B28&amp;"/"&amp;(B28+1))</f>
        <v>4007/4008</v>
      </c>
      <c r="L28" s="21" t="str">
        <f>VLOOKUP(A28,'Trips&amp;Operators'!$C$1:$G$99999,5,FALSE)</f>
        <v>MAELZER KURT</v>
      </c>
      <c r="M28" s="6">
        <f>I28-F28</f>
        <v>2.9502314813726116E-2</v>
      </c>
      <c r="N28" s="7">
        <f>24*60*SUM($M28:$M28)</f>
        <v>42.483333331765607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-26T05:20:39-0600',mode:absolute,to:'2017-07-26T08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23.299600000000002</v>
      </c>
      <c r="Z28" s="197">
        <f>RIGHT(H28,LEN(H28)-4)/10000</f>
        <v>1.2500000000000001E-2</v>
      </c>
      <c r="AA28" s="197">
        <f>ABS(Z28-Y28)</f>
        <v>23.287100000000002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/stypes="app*4007*20170726*"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116-26 --locoid 4007 --swversion DE.1.0.9.0 --startMP 204:232996 --initTime 2017-07-26T06:20:39 --startdatetime 2017-07-26T06:27:26 --delay 1 --endMP 204:125 --enddatetime 2017-07-26T07:09:55 --enforcementcount 0 &gt;&gt;C:\Users\stu\Documents\GitHub\eaglep3-reporting\EC\2017-07-26-refined-times.txt</v>
      </c>
      <c r="AI28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{"issue":{"subject":"","project_id":79,"tracker_id":40,"status_id":1,"priority_id":2,"assigned_to_id":23,"start_date":"2017-07-26","description":"","custom_fields":[{"id":1,"name":"Subdivision","value":"EC"},{"id":4,"name":"Milepost","value":"0.0125"},{"id":17,"name":"Train ID","value":"116-26"},{"id":16,"name":"Locomotive ID","value":"4007"},{"id":130,"name":"Impact","value":""},{"id":150,"name":"Time of Event (Mountain Time)","value":"07:09:55"},{"id":151,"name":"Denver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4007 --day 2017-07-26</v>
      </c>
      <c r="AN28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682</v>
      </c>
      <c r="B29" s="7">
        <v>4056</v>
      </c>
      <c r="C29" s="21" t="s">
        <v>198</v>
      </c>
      <c r="D29" s="21" t="s">
        <v>585</v>
      </c>
      <c r="E29" s="13">
        <v>42942.234710648147</v>
      </c>
      <c r="F29" s="13">
        <v>42942.240219907406</v>
      </c>
      <c r="G29" s="7">
        <v>1</v>
      </c>
      <c r="H29" s="21" t="s">
        <v>869</v>
      </c>
      <c r="I29" s="13">
        <v>42942.266898148147</v>
      </c>
      <c r="J29" s="7">
        <v>0</v>
      </c>
      <c r="K29" s="89" t="str">
        <f>IF(ISEVEN(B29),(B29-1)&amp;"/"&amp;B29,B29&amp;"/"&amp;(B29+1))</f>
        <v>4055/4056</v>
      </c>
      <c r="L29" s="21" t="str">
        <f>VLOOKUP(A29,'Trips&amp;Operators'!$C$1:$G$99999,5,FALSE)</f>
        <v>YANG JAN</v>
      </c>
      <c r="M29" s="6">
        <f>I29-F29</f>
        <v>2.6678240741603076E-2</v>
      </c>
      <c r="N29" s="7">
        <f>24*60*SUM($M29:$M29)</f>
        <v>38.41666666790843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-26T04:37:59-0600',mode:absolute,to:'2017-07-26T07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4.7300000000000002E-2</v>
      </c>
      <c r="Z29" s="197">
        <f>RIGHT(H29,LEN(H29)-4)/10000</f>
        <v>23.329899999999999</v>
      </c>
      <c r="AA29" s="197">
        <f>ABS(Z29-Y29)</f>
        <v>23.282599999999999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/stypes="app*4056*20170726*"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117-26 --locoid 4056 --swversion DE.1.0.9.0 --startMP 204:473 --initTime 2017-07-26T05:37:59 --startdatetime 2017-07-26T05:45:55 --delay 1 --endMP 204:233299 --enddatetime 2017-07-26T06:24:20 --enforcementcount 0 &gt;&gt;C:\Users\stu\Documents\GitHub\eaglep3-reporting\EC\2017-07-26-refined-times.txt</v>
      </c>
      <c r="AI29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{"issue":{"subject":"","project_id":79,"tracker_id":40,"status_id":1,"priority_id":2,"assigned_to_id":23,"start_date":"2017-07-26","description":"","custom_fields":[{"id":1,"name":"Subdivision","value":"EC"},{"id":4,"name":"Milepost","value":"23.3299"},{"id":17,"name":"Train ID","value":"117-26"},{"id":16,"name":"Locomotive ID","value":"4056"},{"id":130,"name":"Impact","value":""},{"id":150,"name":"Time of Event (Mountain Time)","value":"06:24:20"},{"id":151,"name":"Denver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4056 --day 2017-07-26</v>
      </c>
      <c r="AN29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691</v>
      </c>
      <c r="B30" s="7">
        <v>4055</v>
      </c>
      <c r="C30" s="21" t="s">
        <v>198</v>
      </c>
      <c r="D30" s="21" t="s">
        <v>475</v>
      </c>
      <c r="E30" s="13">
        <v>42942.277094907404</v>
      </c>
      <c r="F30" s="13">
        <v>42942.279467592591</v>
      </c>
      <c r="G30" s="7">
        <v>1</v>
      </c>
      <c r="H30" s="21" t="s">
        <v>349</v>
      </c>
      <c r="I30" s="13">
        <v>42942.307430555556</v>
      </c>
      <c r="J30" s="7">
        <v>0</v>
      </c>
      <c r="K30" s="89" t="str">
        <f>IF(ISEVEN(B30),(B30-1)&amp;"/"&amp;B30,B30&amp;"/"&amp;(B30+1))</f>
        <v>4055/4056</v>
      </c>
      <c r="L30" s="21" t="str">
        <f>VLOOKUP(A30,'Trips&amp;Operators'!$C$1:$G$99999,5,FALSE)</f>
        <v>YANG JAN</v>
      </c>
      <c r="M30" s="6">
        <f>I30-F30</f>
        <v>2.7962962965830229E-2</v>
      </c>
      <c r="N30" s="7">
        <f>24*60*SUM($M30:$M30)</f>
        <v>40.26666667079553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-26T05:39:01-0600',mode:absolute,to:'2017-07-26T08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23.298200000000001</v>
      </c>
      <c r="Z30" s="197">
        <f>RIGHT(H30,LEN(H30)-4)/10000</f>
        <v>1.3899999999999999E-2</v>
      </c>
      <c r="AA30" s="197">
        <f>ABS(Z30-Y30)</f>
        <v>23.284300000000002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/stypes="app*4055*20170726*"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118-26 --locoid 4055 --swversion DE.1.0.9.0 --startMP 204:232982 --initTime 2017-07-26T06:39:01 --startdatetime 2017-07-26T06:42:26 --delay 1 --endMP 204:139 --enddatetime 2017-07-26T07:22:42 --enforcementcount 0 &gt;&gt;C:\Users\stu\Documents\GitHub\eaglep3-reporting\EC\2017-07-26-refined-times.txt</v>
      </c>
      <c r="AI30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{"issue":{"subject":"","project_id":79,"tracker_id":40,"status_id":1,"priority_id":2,"assigned_to_id":23,"start_date":"2017-07-26","description":"","custom_fields":[{"id":1,"name":"Subdivision","value":"EC"},{"id":4,"name":"Milepost","value":"0.0139"},{"id":17,"name":"Train ID","value":"118-26"},{"id":16,"name":"Locomotive ID","value":"4055"},{"id":130,"name":"Impact","value":""},{"id":150,"name":"Time of Event (Mountain Time)","value":"07:22:42"},{"id":151,"name":"Denver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4055 --day 2017-07-26</v>
      </c>
      <c r="AN30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684</v>
      </c>
      <c r="B31" s="7">
        <v>4004</v>
      </c>
      <c r="C31" s="21" t="s">
        <v>198</v>
      </c>
      <c r="D31" s="21" t="s">
        <v>345</v>
      </c>
      <c r="E31" s="13">
        <v>42942.247986111113</v>
      </c>
      <c r="F31" s="13">
        <v>42942.250520833331</v>
      </c>
      <c r="G31" s="7">
        <v>1</v>
      </c>
      <c r="H31" s="21" t="s">
        <v>471</v>
      </c>
      <c r="I31" s="13">
        <v>42942.278923611113</v>
      </c>
      <c r="J31" s="7">
        <v>0</v>
      </c>
      <c r="K31" s="89" t="str">
        <f>IF(ISEVEN(B31),(B31-1)&amp;"/"&amp;B31,B31&amp;"/"&amp;(B31+1))</f>
        <v>4003/4004</v>
      </c>
      <c r="L31" s="21" t="str">
        <f>VLOOKUP(A31,'Trips&amp;Operators'!$C$1:$G$99999,5,FALSE)</f>
        <v>STARKS ANGELINA</v>
      </c>
      <c r="M31" s="6">
        <f>I31-F31</f>
        <v>2.8402777781593613E-2</v>
      </c>
      <c r="N31" s="7">
        <f>24*60*SUM($M31:$M31)</f>
        <v>40.900000005494803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-26T04:57:06-0600',mode:absolute,to:'2017-07-26T07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4.5100000000000001E-2</v>
      </c>
      <c r="Z31" s="197">
        <f>RIGHT(H31,LEN(H31)-4)/10000</f>
        <v>23.331</v>
      </c>
      <c r="AA31" s="197">
        <f>ABS(Z31-Y31)</f>
        <v>23.285899999999998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/stypes="app*4004*20170726*"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119-26 --locoid 4004 --swversion DE.1.0.9.0 --startMP 204:451 --initTime 2017-07-26T05:57:06 --startdatetime 2017-07-26T06:00:45 --delay 1 --endMP 204:233310 --enddatetime 2017-07-26T06:41:39 --enforcementcount 0 &gt;&gt;C:\Users\stu\Documents\GitHub\eaglep3-reporting\EC\2017-07-26-refined-times.txt</v>
      </c>
      <c r="AI31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{"issue":{"subject":"","project_id":79,"tracker_id":40,"status_id":1,"priority_id":2,"assigned_to_id":23,"start_date":"2017-07-26","description":"","custom_fields":[{"id":1,"name":"Subdivision","value":"EC"},{"id":4,"name":"Milepost","value":"23.331"},{"id":17,"name":"Train ID","value":"119-26"},{"id":16,"name":"Locomotive ID","value":"4004"},{"id":130,"name":"Impact","value":""},{"id":150,"name":"Time of Event (Mountain Time)","value":"06:41:39"},{"id":151,"name":"Denver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4004 --day 2017-07-26</v>
      </c>
      <c r="AN31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693</v>
      </c>
      <c r="B32" s="7">
        <v>4003</v>
      </c>
      <c r="C32" s="21" t="s">
        <v>198</v>
      </c>
      <c r="D32" s="21" t="s">
        <v>526</v>
      </c>
      <c r="E32" s="13">
        <v>42942.28266203704</v>
      </c>
      <c r="F32" s="13">
        <v>42942.289942129632</v>
      </c>
      <c r="G32" s="7">
        <v>0</v>
      </c>
      <c r="H32" s="21" t="s">
        <v>453</v>
      </c>
      <c r="I32" s="13">
        <v>42942.317870370367</v>
      </c>
      <c r="J32" s="7">
        <v>0</v>
      </c>
      <c r="K32" s="89" t="str">
        <f>IF(ISEVEN(B32),(B32-1)&amp;"/"&amp;B32,B32&amp;"/"&amp;(B32+1))</f>
        <v>4003/4004</v>
      </c>
      <c r="L32" s="21" t="str">
        <f>VLOOKUP(A32,'Trips&amp;Operators'!$C$1:$G$99999,5,FALSE)</f>
        <v>STARKS ANGELINA</v>
      </c>
      <c r="M32" s="6">
        <f>I32-F32</f>
        <v>2.7928240735491272E-2</v>
      </c>
      <c r="N32" s="7">
        <f>24*60*SUM($M32:$M32)</f>
        <v>40.216666659107432</v>
      </c>
      <c r="O32" s="7"/>
      <c r="P32" s="7"/>
      <c r="Q32" s="22"/>
      <c r="R32" s="170" t="s">
        <v>1062</v>
      </c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-26T05:47:02-0600',mode:absolute,to:'2017-07-26T08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23.2989</v>
      </c>
      <c r="Z32" s="197">
        <f>RIGHT(H32,LEN(H32)-4)/10000</f>
        <v>1.52E-2</v>
      </c>
      <c r="AA32" s="197">
        <f>ABS(Z32-Y32)</f>
        <v>23.2837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/stypes="app*4003*20170726*"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120-26 --locoid 4003 --swversion DE.1.0.9.0 --startMP 204:232989 --initTime 2017-07-26T06:47:02 --startdatetime 2017-07-26T06:57:31 --delay 0 --endMP 204:152 --enddatetime 2017-07-26T07:37:44 --enforcementcount 0 &gt;&gt;C:\Users\stu\Documents\GitHub\eaglep3-reporting\EC\2017-07-26-refined-times.txt</v>
      </c>
      <c r="AI32" s="96" t="str">
        <f t="shared" si="5"/>
        <v>echo {"issue":{"subject":"Wi-MAX data drops caused unknown signal banner - no enforcement or cut out","project_id":79,"tracker_id":40,"status_id":1,"priority_id":2,"assigned_to_id":23,"start_date":"2017-07-26","description":"","custom_fields":[{"id":1,"name":"Subdivision","value":"EC"},{"id":4,"name":"Milepost","value":"0.0152"},{"id":17,"name":"Train ID","value":"120-26"},{"id":16,"name":"Locomotive ID","value":"4003"},{"id":130,"name":"Impact","value":""},{"id":150,"name":"Time of Event (Mountain Time)","value":"07:37:44"},{"id":151,"name":"Denver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4003 --day 2017-07-26</v>
      </c>
      <c r="AN32" s="151" t="str">
        <f t="shared" si="7"/>
        <v>echo {"issue":{"subject":"Wi-MAX data drops caused unknown signal banner - no enforcement or cut out","project_id":30,"tracker_id":4,"status_id":1,"priority_id":1,"assigned_to_id":10,"start_date":"2017-07-26","description":"","custom_fields":[{"id":30,"name":"Category","value":"Issue"},{"id":3,"name":"Functional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686</v>
      </c>
      <c r="B33" s="7">
        <v>4024</v>
      </c>
      <c r="C33" s="21" t="s">
        <v>198</v>
      </c>
      <c r="D33" s="21" t="s">
        <v>411</v>
      </c>
      <c r="E33" s="13">
        <v>42942.258611111109</v>
      </c>
      <c r="F33" s="13">
        <v>42942.261111111111</v>
      </c>
      <c r="G33" s="7">
        <v>2</v>
      </c>
      <c r="H33" s="21" t="s">
        <v>522</v>
      </c>
      <c r="I33" s="13">
        <v>42942.287881944445</v>
      </c>
      <c r="J33" s="7">
        <v>0</v>
      </c>
      <c r="K33" s="89" t="str">
        <f>IF(ISEVEN(B33),(B33-1)&amp;"/"&amp;B33,B33&amp;"/"&amp;(B33+1))</f>
        <v>4023/4024</v>
      </c>
      <c r="L33" s="21" t="str">
        <f>VLOOKUP(A33,'Trips&amp;Operators'!$C$1:$G$99999,5,FALSE)</f>
        <v>NICHOLSON WESLEY</v>
      </c>
      <c r="M33" s="6">
        <f>I33-F33</f>
        <v>2.6770833334012423E-2</v>
      </c>
      <c r="N33" s="7">
        <f>24*60*SUM($M33:$M33)</f>
        <v>38.550000000977889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-26T05:12:24-0600',mode:absolute,to:'2017-07-26T07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4.3499999999999997E-2</v>
      </c>
      <c r="Z33" s="197">
        <f>RIGHT(H33,LEN(H33)-4)/10000</f>
        <v>23.3307</v>
      </c>
      <c r="AA33" s="197">
        <f>ABS(Z33-Y33)</f>
        <v>23.287199999999999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/stypes="app*4024*20170726*"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121-26 --locoid 4024 --swversion DE.1.0.9.0 --startMP 204:435 --initTime 2017-07-26T06:12:24 --startdatetime 2017-07-26T06:16:00 --delay 2 --endMP 204:233307 --enddatetime 2017-07-26T06:54:33 --enforcementcount 0 &gt;&gt;C:\Users\stu\Documents\GitHub\eaglep3-reporting\EC\2017-07-26-refined-times.txt</v>
      </c>
      <c r="AI33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{"issue":{"subject":"","project_id":79,"tracker_id":40,"status_id":1,"priority_id":2,"assigned_to_id":23,"start_date":"2017-07-26","description":"","custom_fields":[{"id":1,"name":"Subdivision","value":"EC"},{"id":4,"name":"Milepost","value":"23.3307"},{"id":17,"name":"Train ID","value":"121-26"},{"id":16,"name":"Locomotive ID","value":"4024"},{"id":130,"name":"Impact","value":""},{"id":150,"name":"Time of Event (Mountain Time)","value":"06:54:33"},{"id":151,"name":"Denver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4024 --day 2017-07-26</v>
      </c>
      <c r="AN33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621</v>
      </c>
      <c r="B34" s="7">
        <v>4023</v>
      </c>
      <c r="C34" s="21" t="s">
        <v>198</v>
      </c>
      <c r="D34" s="21" t="s">
        <v>477</v>
      </c>
      <c r="E34" s="13">
        <v>42942.289976851855</v>
      </c>
      <c r="F34" s="13">
        <v>42942.300312500003</v>
      </c>
      <c r="G34" s="7">
        <v>2</v>
      </c>
      <c r="H34" s="21" t="s">
        <v>342</v>
      </c>
      <c r="I34" s="13">
        <v>42942.330127314817</v>
      </c>
      <c r="J34" s="7">
        <v>0</v>
      </c>
      <c r="K34" s="89" t="str">
        <f>IF(ISEVEN(B34),(B34-1)&amp;"/"&amp;B34,B34&amp;"/"&amp;(B34+1))</f>
        <v>4023/4024</v>
      </c>
      <c r="L34" s="21" t="str">
        <f>VLOOKUP(A34,'Trips&amp;Operators'!$C$1:$G$99999,5,FALSE)</f>
        <v>NICHOLSON WESLEY</v>
      </c>
      <c r="M34" s="6">
        <f>I34-F34</f>
        <v>2.9814814814017154E-2</v>
      </c>
      <c r="N34" s="7">
        <f>24*60*SUM($M34:$M34)</f>
        <v>42.933333332184702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-26T05:57:34-0600',mode:absolute,to:'2017-07-26T08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23.297799999999999</v>
      </c>
      <c r="Z34" s="197">
        <f>RIGHT(H34,LEN(H34)-4)/10000</f>
        <v>1.49E-2</v>
      </c>
      <c r="AA34" s="197">
        <f>ABS(Z34-Y34)</f>
        <v>23.282899999999998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/stypes="app*4023*20170726*"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122-26 --locoid 4023 --swversion DE.1.0.9.0 --startMP 204:232978 --initTime 2017-07-26T06:57:34 --startdatetime 2017-07-26T07:12:27 --delay 2 --endMP 204:149 --enddatetime 2017-07-26T07:55:23 --enforcementcount 0 &gt;&gt;C:\Users\stu\Documents\GitHub\eaglep3-reporting\EC\2017-07-26-refined-times.txt</v>
      </c>
      <c r="AI34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{"issue":{"subject":"","project_id":79,"tracker_id":40,"status_id":1,"priority_id":2,"assigned_to_id":23,"start_date":"2017-07-26","description":"","custom_fields":[{"id":1,"name":"Subdivision","value":"EC"},{"id":4,"name":"Milepost","value":"0.0149"},{"id":17,"name":"Train ID","value":"122-26"},{"id":16,"name":"Locomotive ID","value":"4023"},{"id":130,"name":"Impact","value":""},{"id":150,"name":"Time of Event (Mountain Time)","value":"07:55:23"},{"id":151,"name":"Denver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4023 --day 2017-07-26</v>
      </c>
      <c r="AN34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689</v>
      </c>
      <c r="B35" s="7">
        <v>4006</v>
      </c>
      <c r="C35" s="21" t="s">
        <v>198</v>
      </c>
      <c r="D35" s="21" t="s">
        <v>565</v>
      </c>
      <c r="E35" s="13">
        <v>42942.268159722225</v>
      </c>
      <c r="F35" s="13">
        <v>42942.271435185183</v>
      </c>
      <c r="G35" s="7">
        <v>1</v>
      </c>
      <c r="H35" s="21" t="s">
        <v>580</v>
      </c>
      <c r="I35" s="13">
        <v>42942.298009259262</v>
      </c>
      <c r="J35" s="7">
        <v>0</v>
      </c>
      <c r="K35" s="89" t="str">
        <f>IF(ISEVEN(B35),(B35-1)&amp;"/"&amp;B35,B35&amp;"/"&amp;(B35+1))</f>
        <v>4005/4006</v>
      </c>
      <c r="L35" s="21" t="str">
        <f>VLOOKUP(A35,'Trips&amp;Operators'!$C$1:$G$99999,5,FALSE)</f>
        <v>DAVIS WENDY</v>
      </c>
      <c r="M35" s="6">
        <f>I35-F35</f>
        <v>2.6574074079690035E-2</v>
      </c>
      <c r="N35" s="7">
        <f>24*60*SUM($M35:$M35)</f>
        <v>38.266666674753651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-26T05:26:09-0600',mode:absolute,to:'2017-07-26T08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4.4400000000000002E-2</v>
      </c>
      <c r="Z35" s="197">
        <f>RIGHT(H35,LEN(H35)-4)/10000</f>
        <v>23.331700000000001</v>
      </c>
      <c r="AA35" s="197">
        <f>ABS(Z35-Y35)</f>
        <v>23.287300000000002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/stypes="app*4006*20170726*"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123-26 --locoid 4006 --swversion DE.1.0.9.0 --startMP 204:444 --initTime 2017-07-26T06:26:09 --startdatetime 2017-07-26T06:30:52 --delay 1 --endMP 204:233317 --enddatetime 2017-07-26T07:09:08 --enforcementcount 0 &gt;&gt;C:\Users\stu\Documents\GitHub\eaglep3-reporting\EC\2017-07-26-refined-times.txt</v>
      </c>
      <c r="AI3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{"issue":{"subject":"","project_id":79,"tracker_id":40,"status_id":1,"priority_id":2,"assigned_to_id":23,"start_date":"2017-07-26","description":"","custom_fields":[{"id":1,"name":"Subdivision","value":"EC"},{"id":4,"name":"Milepost","value":"23.3317"},{"id":17,"name":"Train ID","value":"123-26"},{"id":16,"name":"Locomotive ID","value":"4006"},{"id":130,"name":"Impact","value":""},{"id":150,"name":"Time of Event (Mountain Time)","value":"07:09:08"},{"id":151,"name":"Denver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4006 --day 2017-07-26</v>
      </c>
      <c r="AN3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623</v>
      </c>
      <c r="B36" s="7">
        <v>4005</v>
      </c>
      <c r="C36" s="21" t="s">
        <v>198</v>
      </c>
      <c r="D36" s="21" t="s">
        <v>874</v>
      </c>
      <c r="E36" s="13">
        <v>42942.308229166665</v>
      </c>
      <c r="F36" s="13">
        <v>42942.310659722221</v>
      </c>
      <c r="G36" s="7">
        <v>1</v>
      </c>
      <c r="H36" s="21" t="s">
        <v>450</v>
      </c>
      <c r="I36" s="13">
        <v>42942.338645833333</v>
      </c>
      <c r="J36" s="7">
        <v>0</v>
      </c>
      <c r="K36" s="89" t="str">
        <f>IF(ISEVEN(B36),(B36-1)&amp;"/"&amp;B36,B36&amp;"/"&amp;(B36+1))</f>
        <v>4005/4006</v>
      </c>
      <c r="L36" s="21" t="str">
        <f>VLOOKUP(A36,'Trips&amp;Operators'!$C$1:$G$99999,5,FALSE)</f>
        <v>DAVIS WENDY</v>
      </c>
      <c r="M36" s="6">
        <f>I36-F36</f>
        <v>2.7986111112113576E-2</v>
      </c>
      <c r="N36" s="7">
        <f>24*60*SUM($M36:$M36)</f>
        <v>40.30000000144355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-26T06:23:51-0600',mode:absolute,to:'2017-07-26T09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23.300599999999999</v>
      </c>
      <c r="Z36" s="197">
        <f>RIGHT(H36,LEN(H36)-4)/10000</f>
        <v>1.5800000000000002E-2</v>
      </c>
      <c r="AA36" s="197">
        <f>ABS(Z36-Y36)</f>
        <v>23.284800000000001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/stypes="app*4005*20170726*"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124-26 --locoid 4005 --swversion DE.1.0.9.0 --startMP 204:233006 --initTime 2017-07-26T07:23:51 --startdatetime 2017-07-26T07:27:21 --delay 1 --endMP 204:158 --enddatetime 2017-07-26T08:07:39 --enforcementcount 0 &gt;&gt;C:\Users\stu\Documents\GitHub\eaglep3-reporting\EC\2017-07-26-refined-times.txt</v>
      </c>
      <c r="AI36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{"issue":{"subject":"","project_id":79,"tracker_id":40,"status_id":1,"priority_id":2,"assigned_to_id":23,"start_date":"2017-07-26","description":"","custom_fields":[{"id":1,"name":"Subdivision","value":"EC"},{"id":4,"name":"Milepost","value":"0.0158"},{"id":17,"name":"Train ID","value":"124-26"},{"id":16,"name":"Locomotive ID","value":"4005"},{"id":130,"name":"Impact","value":""},{"id":150,"name":"Time of Event (Mountain Time)","value":"08:07:39"},{"id":151,"name":"Denver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4005 --day 2017-07-26</v>
      </c>
      <c r="AN36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692</v>
      </c>
      <c r="B37" s="7">
        <v>4026</v>
      </c>
      <c r="C37" s="21" t="s">
        <v>198</v>
      </c>
      <c r="D37" s="21" t="s">
        <v>347</v>
      </c>
      <c r="E37" s="13">
        <v>42942.279930555553</v>
      </c>
      <c r="F37" s="13">
        <v>42942.282002314816</v>
      </c>
      <c r="G37" s="7">
        <v>1</v>
      </c>
      <c r="H37" s="21" t="s">
        <v>532</v>
      </c>
      <c r="I37" s="13">
        <v>42942.308425925927</v>
      </c>
      <c r="J37" s="7">
        <v>0</v>
      </c>
      <c r="K37" s="89" t="str">
        <f>IF(ISEVEN(B37),(B37-1)&amp;"/"&amp;B37,B37&amp;"/"&amp;(B37+1))</f>
        <v>4025/4026</v>
      </c>
      <c r="L37" s="21" t="str">
        <f>VLOOKUP(A37,'Trips&amp;Operators'!$C$1:$G$99999,5,FALSE)</f>
        <v>BONDS REYNALDO</v>
      </c>
      <c r="M37" s="6">
        <f>I37-F37</f>
        <v>2.6423611110658385E-2</v>
      </c>
      <c r="N37" s="7">
        <f>24*60*SUM($M37:$M37)</f>
        <v>38.049999999348074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-26T05:43:06-0600',mode:absolute,to:'2017-07-26T08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4.53E-2</v>
      </c>
      <c r="Z37" s="197">
        <f>RIGHT(H37,LEN(H37)-4)/10000</f>
        <v>23.332799999999999</v>
      </c>
      <c r="AA37" s="197">
        <f>ABS(Z37-Y37)</f>
        <v>23.287499999999998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 &amp; aws s3 cp s3://rtdc.mdm.uploadarchive.raw/RTDC4026/ "%USERPROFILE%\AppData\Local\Temp\OnboardLogs"\RTDC4026\2017-07-27 --exclude "*" --recursive --include "*20170727*" &amp; "%USERPROFILE%\Documents\GitHub\mrs-test-scripts\Headless Mode &amp; Sideloading\WalkAndUnGZ.bat" "%USERPROFILE%\AppData\Local\Temp\OnboardLogs"\RTDC4026\2017-07-27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/stypes="app*4026*20170726*"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125-26 --locoid 4026 --swversion DE.1.0.9.0 --startMP 204:453 --initTime 2017-07-26T06:43:06 --startdatetime 2017-07-26T06:46:05 --delay 1 --endMP 204:233328 --enddatetime 2017-07-26T07:24:08 --enforcementcount 0 &gt;&gt;C:\Users\stu\Documents\GitHub\eaglep3-reporting\EC\2017-07-26-refined-times.txt</v>
      </c>
      <c r="AI3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{"issue":{"subject":"","project_id":79,"tracker_id":40,"status_id":1,"priority_id":2,"assigned_to_id":23,"start_date":"2017-07-26","description":"","custom_fields":[{"id":1,"name":"Subdivision","value":"EC"},{"id":4,"name":"Milepost","value":"23.3328"},{"id":17,"name":"Train ID","value":"125-26"},{"id":16,"name":"Locomotive ID","value":"4026"},{"id":130,"name":"Impact","value":""},{"id":150,"name":"Time of Event (Mountain Time)","value":"07:24:08"},{"id":151,"name":"Denver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4026 --day 2017-07-26</v>
      </c>
      <c r="AN3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701</v>
      </c>
      <c r="B38" s="7">
        <v>4025</v>
      </c>
      <c r="C38" s="21" t="s">
        <v>198</v>
      </c>
      <c r="D38" s="21" t="s">
        <v>875</v>
      </c>
      <c r="E38" s="13">
        <v>42942.317199074074</v>
      </c>
      <c r="F38" s="13">
        <v>42942.321018518516</v>
      </c>
      <c r="G38" s="7">
        <v>1</v>
      </c>
      <c r="H38" s="21" t="s">
        <v>594</v>
      </c>
      <c r="I38" s="13">
        <v>42942.349398148152</v>
      </c>
      <c r="J38" s="7">
        <v>0</v>
      </c>
      <c r="K38" s="89" t="str">
        <f>IF(ISEVEN(B38),(B38-1)&amp;"/"&amp;B38,B38&amp;"/"&amp;(B38+1))</f>
        <v>4025/4026</v>
      </c>
      <c r="L38" s="21" t="str">
        <f>VLOOKUP(A38,'Trips&amp;Operators'!$C$1:$G$99999,5,FALSE)</f>
        <v>BONDS REYNALDO</v>
      </c>
      <c r="M38" s="6">
        <f>I38-F38</f>
        <v>2.8379629635310266E-2</v>
      </c>
      <c r="N38" s="7">
        <f>24*60*SUM($M38:$M38)</f>
        <v>40.866666674846783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-26T06:36:46-0600',mode:absolute,to:'2017-07-26T09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23.2971</v>
      </c>
      <c r="Z38" s="197">
        <f>RIGHT(H38,LEN(H38)-4)/10000</f>
        <v>0.1164</v>
      </c>
      <c r="AA38" s="197">
        <f>ABS(Z38-Y38)</f>
        <v>23.180700000000002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 &amp; aws s3 cp s3://rtdc.mdm.uploadarchive.raw/RTDC4025/ "%USERPROFILE%\AppData\Local\Temp\OnboardLogs"\RTDC4025\2017-07-27 --exclude "*" --recursive --include "*20170727*" &amp; "%USERPROFILE%\Documents\GitHub\mrs-test-scripts\Headless Mode &amp; Sideloading\WalkAndUnGZ.bat" "%USERPROFILE%\AppData\Local\Temp\OnboardLogs"\RTDC4025\2017-07-27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/stypes="app*4025*20170726*"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126-26 --locoid 4025 --swversion DE.1.0.9.0 --startMP 204:232971 --initTime 2017-07-26T07:36:46 --startdatetime 2017-07-26T07:42:16 --delay 1 --endMP 204:1164 --enddatetime 2017-07-26T08:23:08 --enforcementcount 0 &gt;&gt;C:\Users\stu\Documents\GitHub\eaglep3-reporting\EC\2017-07-26-refined-times.txt</v>
      </c>
      <c r="AI38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{"issue":{"subject":"","project_id":79,"tracker_id":40,"status_id":1,"priority_id":2,"assigned_to_id":23,"start_date":"2017-07-26","description":"","custom_fields":[{"id":1,"name":"Subdivision","value":"EC"},{"id":4,"name":"Milepost","value":"0.1164"},{"id":17,"name":"Train ID","value":"126-26"},{"id":16,"name":"Locomotive ID","value":"4025"},{"id":130,"name":"Impact","value":""},{"id":150,"name":"Time of Event (Mountain Time)","value":"08:23:08"},{"id":151,"name":"Denver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4025 --day 2017-07-26</v>
      </c>
      <c r="AN38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694</v>
      </c>
      <c r="B39" s="7">
        <v>4016</v>
      </c>
      <c r="C39" s="21" t="s">
        <v>198</v>
      </c>
      <c r="D39" s="21" t="s">
        <v>876</v>
      </c>
      <c r="E39" s="13">
        <v>42942.290405092594</v>
      </c>
      <c r="F39" s="13">
        <v>42942.292500000003</v>
      </c>
      <c r="G39" s="7">
        <v>1</v>
      </c>
      <c r="H39" s="21" t="s">
        <v>471</v>
      </c>
      <c r="I39" s="13">
        <v>42942.31753472222</v>
      </c>
      <c r="J39" s="7">
        <v>0</v>
      </c>
      <c r="K39" s="89" t="str">
        <f>IF(ISEVEN(B39),(B39-1)&amp;"/"&amp;B39,B39&amp;"/"&amp;(B39+1))</f>
        <v>4015/4016</v>
      </c>
      <c r="L39" s="21" t="str">
        <f>VLOOKUP(A39,'Trips&amp;Operators'!$C$1:$G$99999,5,FALSE)</f>
        <v>LOZA FIDEL</v>
      </c>
      <c r="M39" s="6">
        <f>I39-F39</f>
        <v>2.5034722217242233E-2</v>
      </c>
      <c r="N39" s="7">
        <f>24*60*SUM($M39:$M39)</f>
        <v>36.049999992828816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-26T05:58:11-0600',mode:absolute,to:'2017-07-26T08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4.6399999999999997E-2</v>
      </c>
      <c r="Z39" s="197">
        <f>RIGHT(H39,LEN(H39)-4)/10000</f>
        <v>23.331</v>
      </c>
      <c r="AA39" s="197">
        <f>ABS(Z39-Y39)</f>
        <v>23.284600000000001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/stypes="app*4016*20170726*"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127-26 --locoid 4016 --swversion DE.1.0.9.0 --startMP 204:464 --initTime 2017-07-26T06:58:11 --startdatetime 2017-07-26T07:01:12 --delay 1 --endMP 204:233310 --enddatetime 2017-07-26T07:37:15 --enforcementcount 0 &gt;&gt;C:\Users\stu\Documents\GitHub\eaglep3-reporting\EC\2017-07-26-refined-times.txt</v>
      </c>
      <c r="AI39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{"issue":{"subject":"","project_id":79,"tracker_id":40,"status_id":1,"priority_id":2,"assigned_to_id":23,"start_date":"2017-07-26","description":"","custom_fields":[{"id":1,"name":"Subdivision","value":"EC"},{"id":4,"name":"Milepost","value":"23.331"},{"id":17,"name":"Train ID","value":"127-26"},{"id":16,"name":"Locomotive ID","value":"4016"},{"id":130,"name":"Impact","value":""},{"id":150,"name":"Time of Event (Mountain Time)","value":"07:37:15"},{"id":151,"name":"Denver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4016 --day 2017-07-26</v>
      </c>
      <c r="AN39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703</v>
      </c>
      <c r="B40" s="7">
        <v>4015</v>
      </c>
      <c r="C40" s="21" t="s">
        <v>198</v>
      </c>
      <c r="D40" s="21" t="s">
        <v>877</v>
      </c>
      <c r="E40" s="13">
        <v>42942.325798611113</v>
      </c>
      <c r="F40" s="13">
        <v>42942.331469907411</v>
      </c>
      <c r="G40" s="7">
        <v>1</v>
      </c>
      <c r="H40" s="21" t="s">
        <v>453</v>
      </c>
      <c r="I40" s="13">
        <v>42942.358449074076</v>
      </c>
      <c r="J40" s="7">
        <v>0</v>
      </c>
      <c r="K40" s="89" t="str">
        <f>IF(ISEVEN(B40),(B40-1)&amp;"/"&amp;B40,B40&amp;"/"&amp;(B40+1))</f>
        <v>4015/4016</v>
      </c>
      <c r="L40" s="21" t="str">
        <f>VLOOKUP(A40,'Trips&amp;Operators'!$C$1:$G$99999,5,FALSE)</f>
        <v>LOZA FIDEL</v>
      </c>
      <c r="M40" s="6">
        <f>I40-F40</f>
        <v>2.6979166665114462E-2</v>
      </c>
      <c r="N40" s="7">
        <f>24*60*SUM($M40:$M40)</f>
        <v>38.849999997764826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-26T06:49:09-0600',mode:absolute,to:'2017-07-26T09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23.3004</v>
      </c>
      <c r="Z40" s="197">
        <f>RIGHT(H40,LEN(H40)-4)/10000</f>
        <v>1.52E-2</v>
      </c>
      <c r="AA40" s="197">
        <f>ABS(Z40-Y40)</f>
        <v>23.2852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/stypes="app*4015*20170726*"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128-26 --locoid 4015 --swversion DE.1.0.9.0 --startMP 204:233004 --initTime 2017-07-26T07:49:09 --startdatetime 2017-07-26T07:57:19 --delay 1 --endMP 204:152 --enddatetime 2017-07-26T08:36:10 --enforcementcount 0 &gt;&gt;C:\Users\stu\Documents\GitHub\eaglep3-reporting\EC\2017-07-26-refined-times.txt</v>
      </c>
      <c r="AI40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{"issue":{"subject":"","project_id":79,"tracker_id":40,"status_id":1,"priority_id":2,"assigned_to_id":23,"start_date":"2017-07-26","description":"","custom_fields":[{"id":1,"name":"Subdivision","value":"EC"},{"id":4,"name":"Milepost","value":"0.0152"},{"id":17,"name":"Train ID","value":"128-26"},{"id":16,"name":"Locomotive ID","value":"4015"},{"id":130,"name":"Impact","value":""},{"id":150,"name":"Time of Event (Mountain Time)","value":"08:36:10"},{"id":151,"name":"Denver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4015 --day 2017-07-26</v>
      </c>
      <c r="AN40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696</v>
      </c>
      <c r="B41" s="7">
        <v>4008</v>
      </c>
      <c r="C41" s="21" t="s">
        <v>198</v>
      </c>
      <c r="D41" s="21" t="s">
        <v>396</v>
      </c>
      <c r="E41" s="13">
        <v>42942.301168981481</v>
      </c>
      <c r="F41" s="13">
        <v>42942.302974537037</v>
      </c>
      <c r="G41" s="7">
        <v>0</v>
      </c>
      <c r="H41" s="21" t="s">
        <v>588</v>
      </c>
      <c r="I41" s="13">
        <v>42942.328518518516</v>
      </c>
      <c r="J41" s="7">
        <v>0</v>
      </c>
      <c r="K41" s="89" t="str">
        <f>IF(ISEVEN(B41),(B41-1)&amp;"/"&amp;B41,B41&amp;"/"&amp;(B41+1))</f>
        <v>4007/4008</v>
      </c>
      <c r="L41" s="21" t="str">
        <f>VLOOKUP(A41,'Trips&amp;Operators'!$C$1:$G$99999,5,FALSE)</f>
        <v>MAELZER KURT</v>
      </c>
      <c r="M41" s="6">
        <f>I41-F41</f>
        <v>2.5543981479131617E-2</v>
      </c>
      <c r="N41" s="7">
        <f>24*60*SUM($M41:$M41)</f>
        <v>36.783333329949528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-26T06:13:41-0600',mode:absolute,to:'2017-07-26T08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4.5499999999999999E-2</v>
      </c>
      <c r="Z41" s="197">
        <f>RIGHT(H41,LEN(H41)-4)/10000</f>
        <v>23.331600000000002</v>
      </c>
      <c r="AA41" s="197">
        <f>ABS(Z41-Y41)</f>
        <v>23.286100000000001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/stypes="app*4008*20170726*"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129-26 --locoid 4008 --swversion DE.1.0.9.0 --startMP 204:455 --initTime 2017-07-26T07:13:41 --startdatetime 2017-07-26T07:16:17 --delay 0 --endMP 204:233316 --enddatetime 2017-07-26T07:53:04 --enforcementcount 0 &gt;&gt;C:\Users\stu\Documents\GitHub\eaglep3-reporting\EC\2017-07-26-refined-times.txt</v>
      </c>
      <c r="AI41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{"issue":{"subject":"","project_id":79,"tracker_id":40,"status_id":1,"priority_id":2,"assigned_to_id":23,"start_date":"2017-07-26","description":"","custom_fields":[{"id":1,"name":"Subdivision","value":"EC"},{"id":4,"name":"Milepost","value":"23.3316"},{"id":17,"name":"Train ID","value":"129-26"},{"id":16,"name":"Locomotive ID","value":"4008"},{"id":130,"name":"Impact","value":""},{"id":150,"name":"Time of Event (Mountain Time)","value":"07:53:04"},{"id":151,"name":"Denver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4008 --day 2017-07-26</v>
      </c>
      <c r="AN41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705</v>
      </c>
      <c r="B42" s="7">
        <v>4007</v>
      </c>
      <c r="C42" s="21" t="s">
        <v>198</v>
      </c>
      <c r="D42" s="21" t="s">
        <v>391</v>
      </c>
      <c r="E42" s="13">
        <v>42942.333379629628</v>
      </c>
      <c r="F42" s="13">
        <v>42942.341932870368</v>
      </c>
      <c r="G42" s="7">
        <v>1</v>
      </c>
      <c r="H42" s="21" t="s">
        <v>878</v>
      </c>
      <c r="I42" s="13">
        <v>42942.368379629632</v>
      </c>
      <c r="J42" s="7">
        <v>0</v>
      </c>
      <c r="K42" s="89" t="str">
        <f>IF(ISEVEN(B42),(B42-1)&amp;"/"&amp;B42,B42&amp;"/"&amp;(B42+1))</f>
        <v>4007/4008</v>
      </c>
      <c r="L42" s="21" t="str">
        <f>VLOOKUP(A42,'Trips&amp;Operators'!$C$1:$G$99999,5,FALSE)</f>
        <v>MAELZER KURT</v>
      </c>
      <c r="M42" s="6">
        <f>I42-F42</f>
        <v>2.644675926421769E-2</v>
      </c>
      <c r="N42" s="7">
        <f>24*60*SUM($M42:$M42)</f>
        <v>38.083333340473473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-26T07:00:04-0600',mode:absolute,to:'2017-07-26T09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23.299600000000002</v>
      </c>
      <c r="Z42" s="197">
        <f>RIGHT(H42,LEN(H42)-4)/10000</f>
        <v>1.2999999999999999E-2</v>
      </c>
      <c r="AA42" s="197">
        <f>ABS(Z42-Y42)</f>
        <v>23.2866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/stypes="app*4007*20170726*"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130-26 --locoid 4007 --swversion DE.1.0.9.0 --startMP 204:232996 --initTime 2017-07-26T08:00:04 --startdatetime 2017-07-26T08:12:23 --delay 1 --endMP 204:130 --enddatetime 2017-07-26T08:50:28 --enforcementcount 0 &gt;&gt;C:\Users\stu\Documents\GitHub\eaglep3-reporting\EC\2017-07-26-refined-times.txt</v>
      </c>
      <c r="AI42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{"issue":{"subject":"","project_id":79,"tracker_id":40,"status_id":1,"priority_id":2,"assigned_to_id":23,"start_date":"2017-07-26","description":"","custom_fields":[{"id":1,"name":"Subdivision","value":"EC"},{"id":4,"name":"Milepost","value":"0.013"},{"id":17,"name":"Train ID","value":"130-26"},{"id":16,"name":"Locomotive ID","value":"4007"},{"id":130,"name":"Impact","value":""},{"id":150,"name":"Time of Event (Mountain Time)","value":"08:50:28"},{"id":151,"name":"Denver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4007 --day 2017-07-26</v>
      </c>
      <c r="AN42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698</v>
      </c>
      <c r="B43" s="7">
        <v>4056</v>
      </c>
      <c r="C43" s="21" t="s">
        <v>198</v>
      </c>
      <c r="D43" s="21" t="s">
        <v>411</v>
      </c>
      <c r="E43" s="13">
        <v>42942.309374999997</v>
      </c>
      <c r="F43" s="13">
        <v>42942.313032407408</v>
      </c>
      <c r="G43" s="7">
        <v>1</v>
      </c>
      <c r="H43" s="21" t="s">
        <v>584</v>
      </c>
      <c r="I43" s="13">
        <v>42942.338796296295</v>
      </c>
      <c r="J43" s="7">
        <v>0</v>
      </c>
      <c r="K43" s="89" t="str">
        <f>IF(ISEVEN(B43),(B43-1)&amp;"/"&amp;B43,B43&amp;"/"&amp;(B43+1))</f>
        <v>4055/4056</v>
      </c>
      <c r="L43" s="21" t="str">
        <f>VLOOKUP(A43,'Trips&amp;Operators'!$C$1:$G$99999,5,FALSE)</f>
        <v>YANG JAN</v>
      </c>
      <c r="M43" s="6">
        <f>I43-F43</f>
        <v>2.5763888887013309E-2</v>
      </c>
      <c r="N43" s="7">
        <f>24*60*SUM($M43:$M43)</f>
        <v>37.099999997299165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-26T06:25:30-0600',mode:absolute,to:'2017-07-26T09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4.3499999999999997E-2</v>
      </c>
      <c r="Z43" s="197">
        <f>RIGHT(H43,LEN(H43)-4)/10000</f>
        <v>23.331199999999999</v>
      </c>
      <c r="AA43" s="197">
        <f>ABS(Z43-Y43)</f>
        <v>23.287699999999997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/stypes="app*4056*20170726*"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131-26 --locoid 4056 --swversion DE.1.0.9.0 --startMP 204:435 --initTime 2017-07-26T07:25:30 --startdatetime 2017-07-26T07:30:46 --delay 1 --endMP 204:233312 --enddatetime 2017-07-26T08:07:52 --enforcementcount 0 &gt;&gt;C:\Users\stu\Documents\GitHub\eaglep3-reporting\EC\2017-07-26-refined-times.txt</v>
      </c>
      <c r="AI43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{"issue":{"subject":"","project_id":79,"tracker_id":40,"status_id":1,"priority_id":2,"assigned_to_id":23,"start_date":"2017-07-26","description":"","custom_fields":[{"id":1,"name":"Subdivision","value":"EC"},{"id":4,"name":"Milepost","value":"23.3312"},{"id":17,"name":"Train ID","value":"131-26"},{"id":16,"name":"Locomotive ID","value":"4056"},{"id":130,"name":"Impact","value":""},{"id":150,"name":"Time of Event (Mountain Time)","value":"08:07:52"},{"id":151,"name":"Denver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4056 --day 2017-07-26</v>
      </c>
      <c r="AN43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708</v>
      </c>
      <c r="B44" s="7">
        <v>4055</v>
      </c>
      <c r="C44" s="21" t="s">
        <v>198</v>
      </c>
      <c r="D44" s="21" t="s">
        <v>879</v>
      </c>
      <c r="E44" s="13">
        <v>42942.347395833334</v>
      </c>
      <c r="F44" s="13">
        <v>42942.352719907409</v>
      </c>
      <c r="G44" s="7">
        <v>1</v>
      </c>
      <c r="H44" s="21" t="s">
        <v>377</v>
      </c>
      <c r="I44" s="13">
        <v>42942.378877314812</v>
      </c>
      <c r="J44" s="7">
        <v>0</v>
      </c>
      <c r="K44" s="89" t="str">
        <f>IF(ISEVEN(B44),(B44-1)&amp;"/"&amp;B44,B44&amp;"/"&amp;(B44+1))</f>
        <v>4055/4056</v>
      </c>
      <c r="L44" s="21" t="str">
        <f>VLOOKUP(A44,'Trips&amp;Operators'!$C$1:$G$99999,5,FALSE)</f>
        <v>YANG JAN</v>
      </c>
      <c r="M44" s="6">
        <f>I44-F44</f>
        <v>2.6157407402934041E-2</v>
      </c>
      <c r="N44" s="7">
        <f>24*60*SUM($M44:$M44)</f>
        <v>37.666666660225019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-26T07:20:15-0600',mode:absolute,to:'2017-07-26T10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23.299099999999999</v>
      </c>
      <c r="Z44" s="197">
        <f>RIGHT(H44,LEN(H44)-4)/10000</f>
        <v>1.54E-2</v>
      </c>
      <c r="AA44" s="197">
        <f>ABS(Z44-Y44)</f>
        <v>23.2837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/stypes="app*4055*20170726*"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132-26 --locoid 4055 --swversion DE.1.0.9.0 --startMP 204:232991 --initTime 2017-07-26T08:20:15 --startdatetime 2017-07-26T08:27:55 --delay 1 --endMP 204:154 --enddatetime 2017-07-26T09:05:35 --enforcementcount 0 &gt;&gt;C:\Users\stu\Documents\GitHub\eaglep3-reporting\EC\2017-07-26-refined-times.txt</v>
      </c>
      <c r="AI44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{"issue":{"subject":"","project_id":79,"tracker_id":40,"status_id":1,"priority_id":2,"assigned_to_id":23,"start_date":"2017-07-26","description":"","custom_fields":[{"id":1,"name":"Subdivision","value":"EC"},{"id":4,"name":"Milepost","value":"0.0154"},{"id":17,"name":"Train ID","value":"132-26"},{"id":16,"name":"Locomotive ID","value":"4055"},{"id":130,"name":"Impact","value":""},{"id":150,"name":"Time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4055 --day 2017-07-26</v>
      </c>
      <c r="AN44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702</v>
      </c>
      <c r="B45" s="7">
        <v>4004</v>
      </c>
      <c r="C45" s="21" t="s">
        <v>198</v>
      </c>
      <c r="D45" s="21" t="s">
        <v>344</v>
      </c>
      <c r="E45" s="13">
        <v>42942.320393518516</v>
      </c>
      <c r="F45" s="13">
        <v>42942.323564814818</v>
      </c>
      <c r="G45" s="7">
        <v>1</v>
      </c>
      <c r="H45" s="21" t="s">
        <v>522</v>
      </c>
      <c r="I45" s="13">
        <v>42942.347870370373</v>
      </c>
      <c r="J45" s="7">
        <v>0</v>
      </c>
      <c r="K45" s="89" t="str">
        <f>IF(ISEVEN(B45),(B45-1)&amp;"/"&amp;B45,B45&amp;"/"&amp;(B45+1))</f>
        <v>4003/4004</v>
      </c>
      <c r="L45" s="21" t="str">
        <f>VLOOKUP(A45,'Trips&amp;Operators'!$C$1:$G$99999,5,FALSE)</f>
        <v>STARKS ANGELINA</v>
      </c>
      <c r="M45" s="6">
        <f>I45-F45</f>
        <v>2.4305555554747116E-2</v>
      </c>
      <c r="N45" s="7">
        <f>24*60*SUM($M45:$M45)</f>
        <v>34.999999998835847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-26T06:41:22-0600',mode:absolute,to:'2017-07-26T09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4.6600000000000003E-2</v>
      </c>
      <c r="Z45" s="197">
        <f>RIGHT(H45,LEN(H45)-4)/10000</f>
        <v>23.3307</v>
      </c>
      <c r="AA45" s="197">
        <f>ABS(Z45-Y45)</f>
        <v>23.284099999999999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/stypes="app*4004*20170726*"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133-26 --locoid 4004 --swversion DE.1.0.9.0 --startMP 204:466 --initTime 2017-07-26T07:41:22 --startdatetime 2017-07-26T07:45:56 --delay 1 --endMP 204:233307 --enddatetime 2017-07-26T08:20:56 --enforcementcount 0 &gt;&gt;C:\Users\stu\Documents\GitHub\eaglep3-reporting\EC\2017-07-26-refined-times.txt</v>
      </c>
      <c r="AI4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{"issue":{"subject":"","project_id":79,"tracker_id":40,"status_id":1,"priority_id":2,"assigned_to_id":23,"start_date":"2017-07-26","description":"","custom_fields":[{"id":1,"name":"Subdivision","value":"EC"},{"id":4,"name":"Milepost","value":"23.3307"},{"id":17,"name":"Train ID","value":"133-26"},{"id":16,"name":"Locomotive ID","value":"4004"},{"id":130,"name":"Impact","value":""},{"id":150,"name":"Time of Event (Mountain Time)","value":"08:20:56"},{"id":151,"name":"Denver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4004 --day 2017-07-26</v>
      </c>
      <c r="AN4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627</v>
      </c>
      <c r="B46" s="7">
        <v>4003</v>
      </c>
      <c r="C46" s="21" t="s">
        <v>198</v>
      </c>
      <c r="D46" s="21" t="s">
        <v>880</v>
      </c>
      <c r="E46" s="13">
        <v>42942.359606481485</v>
      </c>
      <c r="F46" s="13">
        <v>42942.370740740742</v>
      </c>
      <c r="G46" s="7">
        <v>15</v>
      </c>
      <c r="H46" s="21" t="s">
        <v>341</v>
      </c>
      <c r="I46" s="13">
        <v>42942.39162037037</v>
      </c>
      <c r="J46" s="7">
        <v>0</v>
      </c>
      <c r="K46" s="89" t="str">
        <f>IF(ISEVEN(B46),(B46-1)&amp;"/"&amp;B46,B46&amp;"/"&amp;(B46+1))</f>
        <v>4003/4004</v>
      </c>
      <c r="L46" s="21" t="str">
        <f>VLOOKUP(A46,'Trips&amp;Operators'!$C$1:$G$99999,5,FALSE)</f>
        <v>STARKS ANGELINA</v>
      </c>
      <c r="M46" s="6">
        <f>I46-F46</f>
        <v>2.0879629628325347E-2</v>
      </c>
      <c r="N46" s="7"/>
      <c r="O46" s="7"/>
      <c r="P46" s="7">
        <f>24*60*SUM($M46:$M46)</f>
        <v>30.066666664788499</v>
      </c>
      <c r="Q46" s="22"/>
      <c r="R46" s="170" t="s">
        <v>1057</v>
      </c>
      <c r="S46" s="213">
        <f>1/IF(AG46="EC",12,1)*SUM(U46:U46)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-26T07:37:50-0600',mode:absolute,to:'2017-07-26T10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97" t="str">
        <f>IF(AA46&lt;VLOOKUP(AG46,Variables!$AC$3:$AD$8,2,FALSE),"Y","N")</f>
        <v>Y</v>
      </c>
      <c r="X46" s="197">
        <f>VALUE(LEFT(AD46,4))-VALUE(LEFT(AD45,4))</f>
        <v>1</v>
      </c>
      <c r="Y46" s="197">
        <f>RIGHT(D46,LEN(D46)-4)/10000</f>
        <v>15.400700000000001</v>
      </c>
      <c r="Z46" s="197">
        <f>RIGHT(H46,LEN(H46)-4)/10000</f>
        <v>1.4999999999999999E-2</v>
      </c>
      <c r="AA46" s="197">
        <f>ABS(Z46-Y46)</f>
        <v>15.3857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/stypes="app*4003*20170726*"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134-26 --locoid 4003 --swversion DE.1.0.9.0 --startMP 204:154007 --initTime 2017-07-26T08:37:50 --startdatetime 2017-07-26T08:53:52 --delay 15 --endMP 204:150 --enddatetime 2017-07-26T09:23:56 --enforcementcount 0 &gt;&gt;C:\Users\stu\Documents\GitHub\eaglep3-reporting\EC\2017-07-26-refined-times.txt</v>
      </c>
      <c r="AI46" s="96" t="str">
        <f t="shared" si="5"/>
        <v>echo {"issue":{"subject":"Many Wi-MAX data drops","project_id":79,"tracker_id":40,"status_id":1,"priority_id":2,"assigned_to_id":23,"start_date":"2017-07-26","description":"","custom_fields":[{"id":1,"name":"Subdivision","value":"EC"},{"id":4,"name":"Milepost","value":"0.015"},{"id":17,"name":"Train ID","value":"134-26"},{"id":16,"name":"Locomotive ID","value":"4003"},{"id":130,"name":"Impact","value":""},{"id":150,"name":"Time of Event (Mountain Time)","value":"09:23:56"},{"id":151,"name":"Denver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4003 --day 2017-07-26</v>
      </c>
      <c r="AN46" s="151" t="str">
        <f t="shared" si="7"/>
        <v>echo {"issue":{"subject":"Many Wi-MAX data drops","project_id":30,"tracker_id":4,"status_id":1,"priority_id":1,"assigned_to_id":10,"start_date":"2017-07-26","description":"","custom_fields":[{"id":30,"name":"Category","value":"Issue"},{"id":3,"name":"Functional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704</v>
      </c>
      <c r="B47" s="7">
        <v>4024</v>
      </c>
      <c r="C47" s="21" t="s">
        <v>198</v>
      </c>
      <c r="D47" s="21" t="s">
        <v>585</v>
      </c>
      <c r="E47" s="13">
        <v>42942.332418981481</v>
      </c>
      <c r="F47" s="13">
        <v>42942.334421296298</v>
      </c>
      <c r="G47" s="7">
        <v>1</v>
      </c>
      <c r="H47" s="21" t="s">
        <v>569</v>
      </c>
      <c r="I47" s="13">
        <v>42942.359722222223</v>
      </c>
      <c r="J47" s="7">
        <v>0</v>
      </c>
      <c r="K47" s="89" t="str">
        <f>IF(ISEVEN(B47),(B47-1)&amp;"/"&amp;B47,B47&amp;"/"&amp;(B47+1))</f>
        <v>4023/4024</v>
      </c>
      <c r="L47" s="21" t="str">
        <f>VLOOKUP(A47,'Trips&amp;Operators'!$C$1:$G$99999,5,FALSE)</f>
        <v>NICHOLSON WESLEY</v>
      </c>
      <c r="M47" s="6">
        <f>I47-F47</f>
        <v>2.5300925924966577E-2</v>
      </c>
      <c r="N47" s="7">
        <f>24*60*SUM($M47:$M47)</f>
        <v>36.433333331951872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-26T06:58:41-0600',mode:absolute,to:'2017-07-26T09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4.7300000000000002E-2</v>
      </c>
      <c r="Z47" s="197">
        <f>RIGHT(H47,LEN(H47)-4)/10000</f>
        <v>23.327999999999999</v>
      </c>
      <c r="AA47" s="197">
        <f>ABS(Z47-Y47)</f>
        <v>23.2807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/stypes="app*4024*20170726*"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135-26 --locoid 4024 --swversion DE.1.0.9.0 --startMP 204:473 --initTime 2017-07-26T07:58:41 --startdatetime 2017-07-26T08:01:34 --delay 1 --endMP 204:233280 --enddatetime 2017-07-26T08:38:00 --enforcementcount 0 &gt;&gt;C:\Users\stu\Documents\GitHub\eaglep3-reporting\EC\2017-07-26-refined-times.txt</v>
      </c>
      <c r="AI4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{"issue":{"subject":"","project_id":79,"tracker_id":40,"status_id":1,"priority_id":2,"assigned_to_id":23,"start_date":"2017-07-26","description":"","custom_fields":[{"id":1,"name":"Subdivision","value":"EC"},{"id":4,"name":"Milepost","value":"23.328"},{"id":17,"name":"Train ID","value":"135-26"},{"id":16,"name":"Locomotive ID","value":"4024"},{"id":130,"name":"Impact","value":""},{"id":150,"name":"Time of Event (Mountain Time)","value":"08:38:00"},{"id":151,"name":"Denver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4024 --day 2017-07-26</v>
      </c>
      <c r="AN4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712</v>
      </c>
      <c r="B48" s="7">
        <v>4023</v>
      </c>
      <c r="C48" s="21" t="s">
        <v>198</v>
      </c>
      <c r="D48" s="21" t="s">
        <v>570</v>
      </c>
      <c r="E48" s="13">
        <v>42942.362071759257</v>
      </c>
      <c r="F48" s="13">
        <v>42942.373113425929</v>
      </c>
      <c r="G48" s="7">
        <v>1</v>
      </c>
      <c r="H48" s="21" t="s">
        <v>881</v>
      </c>
      <c r="I48" s="13">
        <v>42942.400694444441</v>
      </c>
      <c r="J48" s="7">
        <v>0</v>
      </c>
      <c r="K48" s="89" t="str">
        <f>IF(ISEVEN(B48),(B48-1)&amp;"/"&amp;B48,B48&amp;"/"&amp;(B48+1))</f>
        <v>4023/4024</v>
      </c>
      <c r="L48" s="21" t="str">
        <f>VLOOKUP(A48,'Trips&amp;Operators'!$C$1:$G$99999,5,FALSE)</f>
        <v>NICHOLSON WESLEY</v>
      </c>
      <c r="M48" s="6">
        <f>I48-F48</f>
        <v>2.7581018512137234E-2</v>
      </c>
      <c r="N48" s="7">
        <f>24*60*SUM($M48:$M48)</f>
        <v>39.716666657477617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-26T07:41:23-0600',mode:absolute,to:'2017-07-26T10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23.297599999999999</v>
      </c>
      <c r="Z48" s="197">
        <f>RIGHT(H48,LEN(H48)-4)/10000</f>
        <v>1.78E-2</v>
      </c>
      <c r="AA48" s="197">
        <f>ABS(Z48-Y48)</f>
        <v>23.279799999999998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/stypes="app*4023*20170726*"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136-26 --locoid 4023 --swversion DE.1.0.9.0 --startMP 204:232976 --initTime 2017-07-26T08:41:23 --startdatetime 2017-07-26T08:57:17 --delay 1 --endMP 204:178 --enddatetime 2017-07-26T09:37:00 --enforcementcount 0 &gt;&gt;C:\Users\stu\Documents\GitHub\eaglep3-reporting\EC\2017-07-26-refined-times.txt</v>
      </c>
      <c r="AI48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{"issue":{"subject":"","project_id":79,"tracker_id":40,"status_id":1,"priority_id":2,"assigned_to_id":23,"start_date":"2017-07-26","description":"","custom_fields":[{"id":1,"name":"Subdivision","value":"EC"},{"id":4,"name":"Milepost","value":"0.0178"},{"id":17,"name":"Train ID","value":"136-26"},{"id":16,"name":"Locomotive ID","value":"4023"},{"id":130,"name":"Impact","value":""},{"id":150,"name":"Time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4023 --day 2017-07-26</v>
      </c>
      <c r="AN48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626</v>
      </c>
      <c r="B49" s="7">
        <v>4006</v>
      </c>
      <c r="C49" s="21" t="s">
        <v>198</v>
      </c>
      <c r="D49" s="21" t="s">
        <v>882</v>
      </c>
      <c r="E49" s="13">
        <v>42942.340046296296</v>
      </c>
      <c r="F49" s="13">
        <v>42942.344293981485</v>
      </c>
      <c r="G49" s="7">
        <v>1</v>
      </c>
      <c r="H49" s="21" t="s">
        <v>467</v>
      </c>
      <c r="I49" s="13">
        <v>42942.369537037041</v>
      </c>
      <c r="J49" s="7">
        <v>0</v>
      </c>
      <c r="K49" s="89" t="str">
        <f>IF(ISEVEN(B49),(B49-1)&amp;"/"&amp;B49,B49&amp;"/"&amp;(B49+1))</f>
        <v>4005/4006</v>
      </c>
      <c r="L49" s="21" t="str">
        <f>VLOOKUP(A49,'Trips&amp;Operators'!$C$1:$G$99999,5,FALSE)</f>
        <v>DAVIS WENDY</v>
      </c>
      <c r="M49" s="6">
        <f>I49-F49</f>
        <v>2.5243055555620231E-2</v>
      </c>
      <c r="N49" s="7">
        <f>24*60*SUM($M49:$M49)</f>
        <v>36.350000000093132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-26T07:09:40-0600',mode:absolute,to:'2017-07-26T09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4.7800000000000002E-2</v>
      </c>
      <c r="Z49" s="197">
        <f>RIGHT(H49,LEN(H49)-4)/10000</f>
        <v>23.329499999999999</v>
      </c>
      <c r="AA49" s="197">
        <f>ABS(Z49-Y49)</f>
        <v>23.281700000000001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/stypes="app*4006*20170726*"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137-26 --locoid 4006 --swversion DE.1.0.9.0 --startMP 204:478 --initTime 2017-07-26T08:09:40 --startdatetime 2017-07-26T08:15:47 --delay 1 --endMP 204:233295 --enddatetime 2017-07-26T08:52:08 --enforcementcount 0 &gt;&gt;C:\Users\stu\Documents\GitHub\eaglep3-reporting\EC\2017-07-26-refined-times.txt</v>
      </c>
      <c r="AI49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{"issue":{"subject":"","project_id":79,"tracker_id":40,"status_id":1,"priority_id":2,"assigned_to_id":23,"start_date":"2017-07-26","description":"","custom_fields":[{"id":1,"name":"Subdivision","value":"EC"},{"id":4,"name":"Milepost","value":"23.3295"},{"id":17,"name":"Train ID","value":"137-26"},{"id":16,"name":"Locomotive ID","value":"4006"},{"id":130,"name":"Impact","value":""},{"id":150,"name":"Time of Event (Mountain Time)","value":"08:52:08"},{"id":151,"name":"Denver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4006 --day 2017-07-26</v>
      </c>
      <c r="AN49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717</v>
      </c>
      <c r="B50" s="7">
        <v>4005</v>
      </c>
      <c r="C50" s="21" t="s">
        <v>198</v>
      </c>
      <c r="D50" s="21" t="s">
        <v>883</v>
      </c>
      <c r="E50" s="13">
        <v>42942.380891203706</v>
      </c>
      <c r="F50" s="13">
        <v>42942.383483796293</v>
      </c>
      <c r="G50" s="7">
        <v>1</v>
      </c>
      <c r="H50" s="21" t="s">
        <v>343</v>
      </c>
      <c r="I50" s="13">
        <v>42942.410509259258</v>
      </c>
      <c r="J50" s="7">
        <v>0</v>
      </c>
      <c r="K50" s="89" t="str">
        <f>IF(ISEVEN(B50),(B50-1)&amp;"/"&amp;B50,B50&amp;"/"&amp;(B50+1))</f>
        <v>4005/4006</v>
      </c>
      <c r="L50" s="21" t="str">
        <f>VLOOKUP(A50,'Trips&amp;Operators'!$C$1:$G$99999,5,FALSE)</f>
        <v>DAVIS WENDY</v>
      </c>
      <c r="M50" s="6">
        <f>I50-F50</f>
        <v>2.7025462964957114E-2</v>
      </c>
      <c r="N50" s="7">
        <f>24*60*SUM($M50:$M50)</f>
        <v>38.916666669538245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-26T08:08:29-0600',mode:absolute,to:'2017-07-26T10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23.2988</v>
      </c>
      <c r="Z50" s="197">
        <f>RIGHT(H50,LEN(H50)-4)/10000</f>
        <v>1.43E-2</v>
      </c>
      <c r="AA50" s="197">
        <f>ABS(Z50-Y50)</f>
        <v>23.284500000000001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/stypes="app*4005*20170726*"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138-26 --locoid 4005 --swversion DE.1.0.9.0 --startMP 204:232988 --initTime 2017-07-26T09:08:29 --startdatetime 2017-07-26T09:12:13 --delay 1 --endMP 204:143 --enddatetime 2017-07-26T09:51:08 --enforcementcount 0 &gt;&gt;C:\Users\stu\Documents\GitHub\eaglep3-reporting\EC\2017-07-26-refined-times.txt</v>
      </c>
      <c r="AI50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{"issue":{"subject":"","project_id":79,"tracker_id":40,"status_id":1,"priority_id":2,"assigned_to_id":23,"start_date":"2017-07-26","description":"","custom_fields":[{"id":1,"name":"Subdivision","value":"EC"},{"id":4,"name":"Milepost","value":"0.0143"},{"id":17,"name":"Train ID","value":"138-26"},{"id":16,"name":"Locomotive ID","value":"4005"},{"id":130,"name":"Impact","value":""},{"id":150,"name":"Time of Event (Mountain Time)","value":"09:51:08"},{"id":151,"name":"Denver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4005 --day 2017-07-26</v>
      </c>
      <c r="AN50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709</v>
      </c>
      <c r="B51" s="7">
        <v>4002</v>
      </c>
      <c r="C51" s="21" t="s">
        <v>198</v>
      </c>
      <c r="D51" s="21" t="s">
        <v>451</v>
      </c>
      <c r="E51" s="13">
        <v>42942.351770833331</v>
      </c>
      <c r="F51" s="13">
        <v>42942.354733796295</v>
      </c>
      <c r="G51" s="7">
        <v>1</v>
      </c>
      <c r="H51" s="21" t="s">
        <v>528</v>
      </c>
      <c r="I51" s="13">
        <v>42942.381458333337</v>
      </c>
      <c r="J51" s="7">
        <v>0</v>
      </c>
      <c r="K51" s="89" t="str">
        <f>IF(ISEVEN(B51),(B51-1)&amp;"/"&amp;B51,B51&amp;"/"&amp;(B51+1))</f>
        <v>4001/4002</v>
      </c>
      <c r="L51" s="21" t="str">
        <f>VLOOKUP(A51,'Trips&amp;Operators'!$C$1:$G$99999,5,FALSE)</f>
        <v>BONDS REYNALDO</v>
      </c>
      <c r="M51" s="6">
        <f>I51-F51</f>
        <v>2.6724537041445728E-2</v>
      </c>
      <c r="N51" s="7">
        <f>24*60*SUM($M51:$M51)</f>
        <v>38.483333339681849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-26T07:26:33-0600',mode:absolute,to:'2017-07-26T10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4.4200000000000003E-2</v>
      </c>
      <c r="Z51" s="197">
        <f>RIGHT(H51,LEN(H51)-4)/10000</f>
        <v>23.331499999999998</v>
      </c>
      <c r="AA51" s="197">
        <f>ABS(Z51-Y51)</f>
        <v>23.287299999999998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/stypes="app*4002*20170726*"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139-26 --locoid 4002 --swversion DE.1.0.9.0 --startMP 204:442 --initTime 2017-07-26T08:26:33 --startdatetime 2017-07-26T08:30:49 --delay 1 --endMP 204:233315 --enddatetime 2017-07-26T09:09:18 --enforcementcount 0 &gt;&gt;C:\Users\stu\Documents\GitHub\eaglep3-reporting\EC\2017-07-26-refined-times.txt</v>
      </c>
      <c r="AI51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{"issue":{"subject":"","project_id":79,"tracker_id":40,"status_id":1,"priority_id":2,"assigned_to_id":23,"start_date":"2017-07-26","description":"","custom_fields":[{"id":1,"name":"Subdivision","value":"EC"},{"id":4,"name":"Milepost","value":"23.3315"},{"id":17,"name":"Train ID","value":"139-26"},{"id":16,"name":"Locomotive ID","value":"4002"},{"id":130,"name":"Impact","value":""},{"id":150,"name":"Time of Event (Mountain Time)","value":"09:09:18"},{"id":151,"name":"Denver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4002 --day 2017-07-26</v>
      </c>
      <c r="AN51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720</v>
      </c>
      <c r="B52" s="7">
        <v>4001</v>
      </c>
      <c r="C52" s="21" t="s">
        <v>198</v>
      </c>
      <c r="D52" s="21" t="s">
        <v>523</v>
      </c>
      <c r="E52" s="13">
        <v>42942.390347222223</v>
      </c>
      <c r="F52" s="13">
        <v>42942.393969907411</v>
      </c>
      <c r="G52" s="7">
        <v>1</v>
      </c>
      <c r="H52" s="21" t="s">
        <v>450</v>
      </c>
      <c r="I52" s="13">
        <v>42942.421064814815</v>
      </c>
      <c r="J52" s="7">
        <v>0</v>
      </c>
      <c r="K52" s="89" t="str">
        <f>IF(ISEVEN(B52),(B52-1)&amp;"/"&amp;B52,B52&amp;"/"&amp;(B52+1))</f>
        <v>4001/4002</v>
      </c>
      <c r="L52" s="21" t="str">
        <f>VLOOKUP(A52,'Trips&amp;Operators'!$C$1:$G$99999,5,FALSE)</f>
        <v>BONDS REYNALDO</v>
      </c>
      <c r="M52" s="6">
        <f>I52-F52</f>
        <v>2.7094907403807156E-2</v>
      </c>
      <c r="N52" s="7">
        <f>24*60*SUM($M52:$M52)</f>
        <v>39.016666661482304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-26T08:22:06-0600',mode:absolute,to:'2017-07-26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23.298500000000001</v>
      </c>
      <c r="Z52" s="197">
        <f>RIGHT(H52,LEN(H52)-4)/10000</f>
        <v>1.5800000000000002E-2</v>
      </c>
      <c r="AA52" s="197">
        <f>ABS(Z52-Y52)</f>
        <v>23.282700000000002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/stypes="app*4001*20170726*"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140-26 --locoid 4001 --swversion DE.1.0.9.0 --startMP 204:232985 --initTime 2017-07-26T09:22:06 --startdatetime 2017-07-26T09:27:19 --delay 1 --endMP 204:158 --enddatetime 2017-07-26T10:06:20 --enforcementcount 0 &gt;&gt;C:\Users\stu\Documents\GitHub\eaglep3-reporting\EC\2017-07-26-refined-times.txt</v>
      </c>
      <c r="AI52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{"issue":{"subject":"","project_id":79,"tracker_id":40,"status_id":1,"priority_id":2,"assigned_to_id":23,"start_date":"2017-07-26","description":"","custom_fields":[{"id":1,"name":"Subdivision","value":"EC"},{"id":4,"name":"Milepost","value":"0.0158"},{"id":17,"name":"Train ID","value":"140-26"},{"id":16,"name":"Locomotive ID","value":"4001"},{"id":130,"name":"Impact","value":""},{"id":150,"name":"Time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4001 --day 2017-07-26</v>
      </c>
      <c r="AN52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4016</v>
      </c>
      <c r="C53" s="21" t="s">
        <v>198</v>
      </c>
      <c r="D53" s="21" t="s">
        <v>876</v>
      </c>
      <c r="E53" s="13">
        <v>42942.362071759257</v>
      </c>
      <c r="F53" s="13">
        <v>42942.365127314813</v>
      </c>
      <c r="G53" s="7">
        <v>1</v>
      </c>
      <c r="H53" s="21" t="s">
        <v>869</v>
      </c>
      <c r="I53" s="13">
        <v>42942.389374999999</v>
      </c>
      <c r="J53" s="7">
        <v>0</v>
      </c>
      <c r="K53" s="89" t="str">
        <f>IF(ISEVEN(B53),(B53-1)&amp;"/"&amp;B53,B53&amp;"/"&amp;(B53+1))</f>
        <v>4015/4016</v>
      </c>
      <c r="L53" s="21" t="str">
        <f>VLOOKUP(A53,'Trips&amp;Operators'!$C$1:$G$99999,5,FALSE)</f>
        <v>LANGERAK WILLIAM</v>
      </c>
      <c r="M53" s="6">
        <f>I53-F53</f>
        <v>2.4247685185400769E-2</v>
      </c>
      <c r="N53" s="7">
        <f>24*60*SUM($M53:$M53)</f>
        <v>34.916666666977108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-26T07:41:23-0600',mode:absolute,to:'2017-07-26T10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4.6399999999999997E-2</v>
      </c>
      <c r="Z53" s="197">
        <f>RIGHT(H53,LEN(H53)-4)/10000</f>
        <v>23.329899999999999</v>
      </c>
      <c r="AA53" s="197">
        <f>ABS(Z53-Y53)</f>
        <v>23.2835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/stypes="app*4016*20170726*"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141-26 --locoid 4016 --swversion DE.1.0.9.0 --startMP 204:464 --initTime 2017-07-26T08:41:23 --startdatetime 2017-07-26T08:45:47 --delay 1 --endMP 204:233299 --enddatetime 2017-07-26T09:20:42 --enforcementcount 0 &gt;&gt;C:\Users\stu\Documents\GitHub\eaglep3-reporting\EC\2017-07-26-refined-times.txt</v>
      </c>
      <c r="AI53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{"issue":{"subject":"","project_id":79,"tracker_id":40,"status_id":1,"priority_id":2,"assigned_to_id":23,"start_date":"2017-07-26","description":"","custom_fields":[{"id":1,"name":"Subdivision","value":"EC"},{"id":4,"name":"Milepost","value":"23.3299"},{"id":17,"name":"Train ID","value":"141-26"},{"id":16,"name":"Locomotive ID","value":"4016"},{"id":130,"name":"Impact","value":""},{"id":150,"name":"Time of Event (Mountain Time)","value":"09:20:42"},{"id":151,"name":"Denver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4016 --day 2017-07-26</v>
      </c>
      <c r="AN53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723</v>
      </c>
      <c r="B54" s="7">
        <v>4015</v>
      </c>
      <c r="C54" s="21" t="s">
        <v>198</v>
      </c>
      <c r="D54" s="21" t="s">
        <v>884</v>
      </c>
      <c r="E54" s="13">
        <v>42942.400810185187</v>
      </c>
      <c r="F54" s="13">
        <v>42942.404398148145</v>
      </c>
      <c r="G54" s="7">
        <v>1</v>
      </c>
      <c r="H54" s="21" t="s">
        <v>885</v>
      </c>
      <c r="I54" s="13">
        <v>42942.409629629627</v>
      </c>
      <c r="J54" s="7">
        <v>0</v>
      </c>
      <c r="K54" s="89" t="str">
        <f>IF(ISEVEN(B54),(B54-1)&amp;"/"&amp;B54,B54&amp;"/"&amp;(B54+1))</f>
        <v>4015/4016</v>
      </c>
      <c r="L54" s="21" t="str">
        <f>VLOOKUP(A54,'Trips&amp;Operators'!$C$1:$G$99999,5,FALSE)</f>
        <v>LANGERAK WILLIAM</v>
      </c>
      <c r="M54" s="6">
        <f>I54-F54</f>
        <v>5.2314814820419997E-3</v>
      </c>
      <c r="N54" s="7"/>
      <c r="O54" s="7"/>
      <c r="P54" s="7">
        <f>24*60*SUM($M54:$M54)</f>
        <v>7.5333333341404796</v>
      </c>
      <c r="Q54" s="22"/>
      <c r="R54" s="170" t="s">
        <v>502</v>
      </c>
      <c r="S54" s="213">
        <f>1/IF(AG54="EC",12,1)*SUM(U54:U54)</f>
        <v>0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-26T08:37:10-0600',mode:absolute,to:'2017-07-26T10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97" t="str">
        <f>IF(AA54&lt;VLOOKUP(AG54,Variables!$AC$3:$AD$8,2,FALSE),"Y","N")</f>
        <v>Y</v>
      </c>
      <c r="X54" s="197">
        <f>VALUE(LEFT(AD54,4))-VALUE(LEFT(AD53,4))</f>
        <v>1</v>
      </c>
      <c r="Y54" s="197">
        <f>RIGHT(D54,LEN(D54)-4)/10000</f>
        <v>23.296299999999999</v>
      </c>
      <c r="Z54" s="197">
        <f>RIGHT(H54,LEN(H54)-4)/10000</f>
        <v>17.351600000000001</v>
      </c>
      <c r="AA54" s="197">
        <f>ABS(Z54-Y54)</f>
        <v>5.9446999999999974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/stypes="app*4015*20170726*" /stext=" 15:.+((SYSTEM_STATE.+slice.+state.+changed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142-26 --locoid 4015 --swversion DE.1.0.9.0 --startMP 204:232963 --initTime 2017-07-26T09:37:10 --startdatetime 2017-07-26T09:42:20 --delay 1 --endMP 204:173516 --enddatetime 2017-07-26T09:49:52 --enforcementcount 0 &gt;&gt;C:\Users\stu\Documents\GitHub\eaglep3-reporting\EC\2017-07-26-refined-times.txt</v>
      </c>
      <c r="AI54" s="96" t="str">
        <f t="shared" si="5"/>
        <v>echo {"issue":{"subject":"Onboard in-route failure","project_id":79,"tracker_id":40,"status_id":1,"priority_id":2,"assigned_to_id":23,"start_date":"2017-07-26","description":"","custom_fields":[{"id":1,"name":"Subdivision","value":"EC"},{"id":4,"name":"Milepost","value":"17.3516"},{"id":17,"name":"Train ID","value":"142-26"},{"id":16,"name":"Locomotive ID","value":"4015"},{"id":130,"name":"Impact","value":""},{"id":150,"name":"Time of Event (Mountain Time)","value":"09:49:52"},{"id":151,"name":"Denver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4015 --day 2017-07-26</v>
      </c>
      <c r="AN54" s="151" t="str">
        <f t="shared" si="7"/>
        <v>echo {"issue":{"subject":"Onboard in-route failure","project_id":30,"tracker_id":4,"status_id":1,"priority_id":1,"assigned_to_id":10,"start_date":"2017-07-26","description":"","custom_fields":[{"id":30,"name":"Category","value":"Issue"},{"id":3,"name":"Functional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714</v>
      </c>
      <c r="B55" s="7">
        <v>4008</v>
      </c>
      <c r="C55" s="21" t="s">
        <v>198</v>
      </c>
      <c r="D55" s="21" t="s">
        <v>348</v>
      </c>
      <c r="E55" s="13">
        <v>42942.370416666665</v>
      </c>
      <c r="F55" s="13">
        <v>42942.375671296293</v>
      </c>
      <c r="G55" s="7">
        <v>0</v>
      </c>
      <c r="H55" s="21" t="s">
        <v>587</v>
      </c>
      <c r="I55" s="13">
        <v>42942.400289351855</v>
      </c>
      <c r="J55" s="7">
        <v>0</v>
      </c>
      <c r="K55" s="89" t="str">
        <f>IF(ISEVEN(B55),(B55-1)&amp;"/"&amp;B55,B55&amp;"/"&amp;(B55+1))</f>
        <v>4007/4008</v>
      </c>
      <c r="L55" s="21" t="str">
        <f>VLOOKUP(A55,'Trips&amp;Operators'!$C$1:$G$99999,5,FALSE)</f>
        <v>MAELZER KURT</v>
      </c>
      <c r="M55" s="6">
        <f>I55-F55</f>
        <v>2.4618055562314112E-2</v>
      </c>
      <c r="N55" s="7">
        <f>24*60*SUM($M55:$M55)</f>
        <v>35.450000009732321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-26T07:53:24-0600',mode:absolute,to:'2017-07-26T10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4.4699999999999997E-2</v>
      </c>
      <c r="Z55" s="197">
        <f>RIGHT(H55,LEN(H55)-4)/10000</f>
        <v>23.3338</v>
      </c>
      <c r="AA55" s="197">
        <f>ABS(Z55-Y55)</f>
        <v>23.289100000000001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/stypes="app*4008*20170726*"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143-26 --locoid 4008 --swversion DE.1.0.9.0 --startMP 204:447 --initTime 2017-07-26T08:53:24 --startdatetime 2017-07-26T09:00:58 --delay 0 --endMP 204:233338 --enddatetime 2017-07-26T09:36:25 --enforcementcount 0 &gt;&gt;C:\Users\stu\Documents\GitHub\eaglep3-reporting\EC\2017-07-26-refined-times.txt</v>
      </c>
      <c r="AI5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{"issue":{"subject":"","project_id":79,"tracker_id":40,"status_id":1,"priority_id":2,"assigned_to_id":23,"start_date":"2017-07-26","description":"","custom_fields":[{"id":1,"name":"Subdivision","value":"EC"},{"id":4,"name":"Milepost","value":"23.3338"},{"id":17,"name":"Train ID","value":"143-26"},{"id":16,"name":"Locomotive ID","value":"4008"},{"id":130,"name":"Impact","value":""},{"id":150,"name":"Time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4008 --day 2017-07-26</v>
      </c>
      <c r="AN5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632</v>
      </c>
      <c r="B56" s="7">
        <v>4007</v>
      </c>
      <c r="C56" s="21" t="s">
        <v>198</v>
      </c>
      <c r="D56" s="21" t="s">
        <v>561</v>
      </c>
      <c r="E56" s="13">
        <v>42942.412175925929</v>
      </c>
      <c r="F56" s="13">
        <v>42942.414826388886</v>
      </c>
      <c r="G56" s="7">
        <v>0</v>
      </c>
      <c r="H56" s="21" t="s">
        <v>343</v>
      </c>
      <c r="I56" s="13">
        <v>42942.446273148147</v>
      </c>
      <c r="J56" s="7">
        <v>0</v>
      </c>
      <c r="K56" s="89" t="str">
        <f>IF(ISEVEN(B56),(B56-1)&amp;"/"&amp;B56,B56&amp;"/"&amp;(B56+1))</f>
        <v>4007/4008</v>
      </c>
      <c r="L56" s="21" t="str">
        <f>VLOOKUP(A56,'Trips&amp;Operators'!$C$1:$G$99999,5,FALSE)</f>
        <v>MAELZER KURT</v>
      </c>
      <c r="M56" s="6">
        <f>I56-F56</f>
        <v>3.1446759261598345E-2</v>
      </c>
      <c r="N56" s="7">
        <f>24*60*SUM($M56:$M56)</f>
        <v>45.283333336701617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-26T08:53:32-0600',mode:absolute,to:'2017-07-26T11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23.300999999999998</v>
      </c>
      <c r="Z56" s="197">
        <f>RIGHT(H56,LEN(H56)-4)/10000</f>
        <v>1.43E-2</v>
      </c>
      <c r="AA56" s="197">
        <f>ABS(Z56-Y56)</f>
        <v>23.2867</v>
      </c>
      <c r="AB56" s="54" t="str">
        <f>VLOOKUP(A56,Enforcements!$C$7:$K$13,8,0)</f>
        <v>Bulletin (2)</v>
      </c>
      <c r="AC56" s="51" t="str">
        <f>VLOOKUP(A56,Enforcements!$C$7:$E$13,3,0)</f>
        <v>GRADE CROSSING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/stypes="app*4007*20170726*"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144-26 --locoid 4007 --swversion DE.1.0.9.0 --startMP 204:233010 --initTime 2017-07-26T09:53:32 --startdatetime 2017-07-26T09:57:21 --delay 0 --endMP 204:143 --enddatetime 2017-07-26T10:42:38 --enforcementcount 0 &gt;&gt;C:\Users\stu\Documents\GitHub\eaglep3-reporting\EC\2017-07-26-refined-times.txt</v>
      </c>
      <c r="AI56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{"issue":{"subject":"","project_id":79,"tracker_id":40,"status_id":1,"priority_id":2,"assigned_to_id":23,"start_date":"2017-07-26","description":"","custom_fields":[{"id":1,"name":"Subdivision","value":"EC"},{"id":4,"name":"Milepost","value":"0.0143"},{"id":17,"name":"Train ID","value":"144-26"},{"id":16,"name":"Locomotive ID","value":"4007"},{"id":130,"name":"Impact","value":""},{"id":150,"name":"Time of Event (Mountain Time)","value":"10:42:38"},{"id":151,"name":"Denver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4007 --day 2017-07-26</v>
      </c>
      <c r="AN56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718</v>
      </c>
      <c r="B57" s="7">
        <v>4056</v>
      </c>
      <c r="C57" s="21" t="s">
        <v>198</v>
      </c>
      <c r="D57" s="21" t="s">
        <v>451</v>
      </c>
      <c r="E57" s="13">
        <v>42942.381458333337</v>
      </c>
      <c r="F57" s="13">
        <v>42942.385995370372</v>
      </c>
      <c r="G57" s="7">
        <v>2</v>
      </c>
      <c r="H57" s="21" t="s">
        <v>522</v>
      </c>
      <c r="I57" s="13">
        <v>42942.410682870373</v>
      </c>
      <c r="J57" s="7">
        <v>0</v>
      </c>
      <c r="K57" s="89" t="str">
        <f>IF(ISEVEN(B57),(B57-1)&amp;"/"&amp;B57,B57&amp;"/"&amp;(B57+1))</f>
        <v>4055/4056</v>
      </c>
      <c r="L57" s="21" t="str">
        <f>VLOOKUP(A57,'Trips&amp;Operators'!$C$1:$G$99999,5,FALSE)</f>
        <v>YANG JAN</v>
      </c>
      <c r="M57" s="6">
        <f>I57-F57</f>
        <v>2.4687500001164153E-2</v>
      </c>
      <c r="N57" s="7">
        <f>24*60*SUM($M57:$M57)</f>
        <v>35.550000001676381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-26T08:09:18-0600',mode:absolute,to:'2017-07-26T10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4.4200000000000003E-2</v>
      </c>
      <c r="Z57" s="197">
        <f>RIGHT(H57,LEN(H57)-4)/10000</f>
        <v>23.3307</v>
      </c>
      <c r="AA57" s="197">
        <f>ABS(Z57-Y57)</f>
        <v>23.2865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/stypes="app*4056*20170726*"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145-26 --locoid 4056 --swversion DE.1.0.9.0 --startMP 204:442 --initTime 2017-07-26T09:09:18 --startdatetime 2017-07-26T09:15:50 --delay 2 --endMP 204:233307 --enddatetime 2017-07-26T09:51:23 --enforcementcount 0 &gt;&gt;C:\Users\stu\Documents\GitHub\eaglep3-reporting\EC\2017-07-26-refined-times.txt</v>
      </c>
      <c r="AI5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{"issue":{"subject":"","project_id":79,"tracker_id":40,"status_id":1,"priority_id":2,"assigned_to_id":23,"start_date":"2017-07-26","description":"","custom_fields":[{"id":1,"name":"Subdivision","value":"EC"},{"id":4,"name":"Milepost","value":"23.3307"},{"id":17,"name":"Train ID","value":"145-26"},{"id":16,"name":"Locomotive ID","value":"4056"},{"id":130,"name":"Impact","value":""},{"id":150,"name":"Time of Event (Mountain Time)","value":"09:51:23"},{"id":151,"name":"Denver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4056 --day 2017-07-26</v>
      </c>
      <c r="AN5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729</v>
      </c>
      <c r="B58" s="7">
        <v>4055</v>
      </c>
      <c r="C58" s="21" t="s">
        <v>198</v>
      </c>
      <c r="D58" s="21" t="s">
        <v>477</v>
      </c>
      <c r="E58" s="13">
        <v>42942.420081018521</v>
      </c>
      <c r="F58" s="13">
        <v>42942.427187499998</v>
      </c>
      <c r="G58" s="7">
        <v>1</v>
      </c>
      <c r="H58" s="21" t="s">
        <v>351</v>
      </c>
      <c r="I58" s="13">
        <v>42942.455462962964</v>
      </c>
      <c r="J58" s="7">
        <v>0</v>
      </c>
      <c r="K58" s="89" t="str">
        <f>IF(ISEVEN(B58),(B58-1)&amp;"/"&amp;B58,B58&amp;"/"&amp;(B58+1))</f>
        <v>4055/4056</v>
      </c>
      <c r="L58" s="21" t="str">
        <f>VLOOKUP(A58,'Trips&amp;Operators'!$C$1:$G$99999,5,FALSE)</f>
        <v>YANG JAN</v>
      </c>
      <c r="M58" s="6">
        <f>I58-F58</f>
        <v>2.8275462966121268E-2</v>
      </c>
      <c r="N58" s="7">
        <f>24*60*SUM($M58:$M58)</f>
        <v>40.716666671214625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-26T09:04:55-0600',mode:absolute,to:'2017-07-26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23.297799999999999</v>
      </c>
      <c r="Z58" s="197">
        <f>RIGHT(H58,LEN(H58)-4)/10000</f>
        <v>1.41E-2</v>
      </c>
      <c r="AA58" s="197">
        <f>ABS(Z58-Y58)</f>
        <v>23.2837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/stypes="app*4055*20170726*"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146-26 --locoid 4055 --swversion DE.1.0.9.0 --startMP 204:232978 --initTime 2017-07-26T10:04:55 --startdatetime 2017-07-26T10:15:09 --delay 1 --endMP 204:141 --enddatetime 2017-07-26T10:55:52 --enforcementcount 0 &gt;&gt;C:\Users\stu\Documents\GitHub\eaglep3-reporting\EC\2017-07-26-refined-times.txt</v>
      </c>
      <c r="AI58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{"issue":{"subject":"","project_id":79,"tracker_id":40,"status_id":1,"priority_id":2,"assigned_to_id":23,"start_date":"2017-07-26","description":"","custom_fields":[{"id":1,"name":"Subdivision","value":"EC"},{"id":4,"name":"Milepost","value":"0.0141"},{"id":17,"name":"Train ID","value":"146-26"},{"id":16,"name":"Locomotive ID","value":"4055"},{"id":130,"name":"Impact","value":""},{"id":150,"name":"Time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4055 --day 2017-07-26</v>
      </c>
      <c r="AN58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721</v>
      </c>
      <c r="B59" s="7">
        <v>4004</v>
      </c>
      <c r="C59" s="21" t="s">
        <v>198</v>
      </c>
      <c r="D59" s="21" t="s">
        <v>412</v>
      </c>
      <c r="E59" s="13">
        <v>42942.393263888887</v>
      </c>
      <c r="F59" s="13">
        <v>42942.435590277775</v>
      </c>
      <c r="G59" s="7">
        <v>1</v>
      </c>
      <c r="H59" s="21" t="s">
        <v>886</v>
      </c>
      <c r="I59" s="13">
        <v>42942.464467592596</v>
      </c>
      <c r="J59" s="7">
        <v>0</v>
      </c>
      <c r="K59" s="89" t="str">
        <f>IF(ISEVEN(B59),(B59-1)&amp;"/"&amp;B59,B59&amp;"/"&amp;(B59+1))</f>
        <v>4003/4004</v>
      </c>
      <c r="L59" s="21" t="str">
        <f>VLOOKUP(A59,'Trips&amp;Operators'!$C$1:$G$99999,5,FALSE)</f>
        <v>STARKS ANGELINA</v>
      </c>
      <c r="M59" s="6">
        <f>I59-F59</f>
        <v>2.8877314820419997E-2</v>
      </c>
      <c r="N59" s="7">
        <f>24*60*SUM($M59:$M59)</f>
        <v>41.583333341404796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-26T08:26:18-0600',mode:absolute,to:'2017-07-26T12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4.7100000000000003E-2</v>
      </c>
      <c r="Z59" s="197">
        <f>RIGHT(H59,LEN(H59)-4)/10000</f>
        <v>23.328700000000001</v>
      </c>
      <c r="AA59" s="197">
        <f>ABS(Z59-Y59)</f>
        <v>23.281600000000001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/stypes="app*4004*20170726*" /stext=" 17:.+((SYSTEM_STATE.+slice.+state.+changed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147-26 --locoid 4004 --swversion DE.1.0.9.0 --startMP 204:471 --initTime 2017-07-26T09:26:18 --startdatetime 2017-07-26T10:27:15 --delay 1 --endMP 204:233287 --enddatetime 2017-07-26T11:08:50 --enforcementcount 0 &gt;&gt;C:\Users\stu\Documents\GitHub\eaglep3-reporting\EC\2017-07-26-refined-times.txt</v>
      </c>
      <c r="AI59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{"issue":{"subject":"","project_id":79,"tracker_id":40,"status_id":1,"priority_id":2,"assigned_to_id":23,"start_date":"2017-07-26","description":"","custom_fields":[{"id":1,"name":"Subdivision","value":"EC"},{"id":4,"name":"Milepost","value":"23.3287"},{"id":17,"name":"Train ID","value":"147-26"},{"id":16,"name":"Locomotive ID","value":"4004"},{"id":130,"name":"Impact","value":""},{"id":150,"name":"Time of Event (Mountain Time)","value":"11:08:50"},{"id":151,"name":"Denver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4004 --day 2017-07-26</v>
      </c>
      <c r="AN59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633</v>
      </c>
      <c r="B60" s="7">
        <v>4003</v>
      </c>
      <c r="C60" s="21" t="s">
        <v>198</v>
      </c>
      <c r="D60" s="21" t="s">
        <v>534</v>
      </c>
      <c r="E60" s="13">
        <v>42942.4294212963</v>
      </c>
      <c r="F60" s="13">
        <v>42942.435590277775</v>
      </c>
      <c r="G60" s="7">
        <v>2</v>
      </c>
      <c r="H60" s="21" t="s">
        <v>453</v>
      </c>
      <c r="I60" s="13">
        <v>42942.464467592596</v>
      </c>
      <c r="J60" s="7">
        <v>0</v>
      </c>
      <c r="K60" s="89" t="str">
        <f>IF(ISEVEN(B60),(B60-1)&amp;"/"&amp;B60,B60&amp;"/"&amp;(B60+1))</f>
        <v>4003/4004</v>
      </c>
      <c r="L60" s="21" t="str">
        <f>VLOOKUP(A60,'Trips&amp;Operators'!$C$1:$G$99999,5,FALSE)</f>
        <v>STARKS ANGELINA</v>
      </c>
      <c r="M60" s="6">
        <f>I60-F60</f>
        <v>2.8877314820419997E-2</v>
      </c>
      <c r="N60" s="7">
        <f>24*60*SUM($M60:$M60)</f>
        <v>41.583333341404796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-26T09:18:22-0600',mode:absolute,to:'2017-07-26T12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23.2974</v>
      </c>
      <c r="Z60" s="197">
        <f>RIGHT(H60,LEN(H60)-4)/10000</f>
        <v>1.52E-2</v>
      </c>
      <c r="AA60" s="197">
        <f>ABS(Z60-Y60)</f>
        <v>23.2822</v>
      </c>
      <c r="AB60" s="54" t="str">
        <f>VLOOKUP(A60,Enforcements!$C$7:$K$13,8,0)</f>
        <v>Bulletin (2)</v>
      </c>
      <c r="AC60" s="51" t="str">
        <f>VLOOKUP(A60,Enforcements!$C$7:$E$13,3,0)</f>
        <v>GRADE CROSSING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/stypes="app*4003*20170726*"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148-26 --locoid 4003 --swversion DE.1.0.9.0 --startMP 204:232974 --initTime 2017-07-26T10:18:22 --startdatetime 2017-07-26T10:27:15 --delay 2 --endMP 204:152 --enddatetime 2017-07-26T11:08:50 --enforcementcount 0 &gt;&gt;C:\Users\stu\Documents\GitHub\eaglep3-reporting\EC\2017-07-26-refined-times.txt</v>
      </c>
      <c r="AI60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{"issue":{"subject":"","project_id":79,"tracker_id":40,"status_id":1,"priority_id":2,"assigned_to_id":23,"start_date":"2017-07-26","description":"","custom_fields":[{"id":1,"name":"Subdivision","value":"EC"},{"id":4,"name":"Milepost","value":"0.0152"},{"id":17,"name":"Train ID","value":"148-26"},{"id":16,"name":"Locomotive ID","value":"4003"},{"id":130,"name":"Impact","value":""},{"id":150,"name":"Time of Event (Mountain Time)","value":"11:08:50"},{"id":151,"name":"Denver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4003 --day 2017-07-26</v>
      </c>
      <c r="AN60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724</v>
      </c>
      <c r="B61" s="7">
        <v>4024</v>
      </c>
      <c r="C61" s="21" t="s">
        <v>198</v>
      </c>
      <c r="D61" s="21" t="s">
        <v>455</v>
      </c>
      <c r="E61" s="13">
        <v>42942.402511574073</v>
      </c>
      <c r="F61" s="13">
        <v>42942.406747685185</v>
      </c>
      <c r="G61" s="7">
        <v>1</v>
      </c>
      <c r="H61" s="21" t="s">
        <v>872</v>
      </c>
      <c r="I61" s="13">
        <v>42942.432708333334</v>
      </c>
      <c r="J61" s="7">
        <v>0</v>
      </c>
      <c r="K61" s="89" t="str">
        <f>IF(ISEVEN(B61),(B61-1)&amp;"/"&amp;B61,B61&amp;"/"&amp;(B61+1))</f>
        <v>4023/4024</v>
      </c>
      <c r="L61" s="21" t="str">
        <f>VLOOKUP(A61,'Trips&amp;Operators'!$C$1:$G$99999,5,FALSE)</f>
        <v>NICHOLSON WESLEY</v>
      </c>
      <c r="M61" s="6">
        <f>I61-F61</f>
        <v>2.5960648148611654E-2</v>
      </c>
      <c r="N61" s="7">
        <f>24*60*SUM($M61:$M61)</f>
        <v>37.383333334000781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-26T08:39:37-0600',mode:absolute,to:'2017-07-26T11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4.5999999999999999E-2</v>
      </c>
      <c r="Z61" s="197">
        <f>RIGHT(H61,LEN(H61)-4)/10000</f>
        <v>23.328399999999998</v>
      </c>
      <c r="AA61" s="197">
        <f>ABS(Z61-Y61)</f>
        <v>23.282399999999999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/stypes="app*4024*20170726*"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149-26 --locoid 4024 --swversion DE.1.0.9.0 --startMP 204:460 --initTime 2017-07-26T09:39:37 --startdatetime 2017-07-26T09:45:43 --delay 1 --endMP 204:233284 --enddatetime 2017-07-26T10:23:06 --enforcementcount 0 &gt;&gt;C:\Users\stu\Documents\GitHub\eaglep3-reporting\EC\2017-07-26-refined-times.txt</v>
      </c>
      <c r="AI61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{"issue":{"subject":"","project_id":79,"tracker_id":40,"status_id":1,"priority_id":2,"assigned_to_id":23,"start_date":"2017-07-26","description":"","custom_fields":[{"id":1,"name":"Subdivision","value":"EC"},{"id":4,"name":"Milepost","value":"23.3284"},{"id":17,"name":"Train ID","value":"149-26"},{"id":16,"name":"Locomotive ID","value":"4024"},{"id":130,"name":"Impact","value":""},{"id":150,"name":"Time of Event (Mountain Time)","value":"10:23:06"},{"id":151,"name":"Denver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4024 --day 2017-07-26</v>
      </c>
      <c r="AN61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733</v>
      </c>
      <c r="B62" s="7">
        <v>4023</v>
      </c>
      <c r="C62" s="21" t="s">
        <v>198</v>
      </c>
      <c r="D62" s="21" t="s">
        <v>500</v>
      </c>
      <c r="E62" s="13">
        <v>42942.438379629632</v>
      </c>
      <c r="F62" s="13">
        <v>42942.446030092593</v>
      </c>
      <c r="G62" s="7">
        <v>3</v>
      </c>
      <c r="H62" s="21" t="s">
        <v>377</v>
      </c>
      <c r="I62" s="13">
        <v>42942.472685185188</v>
      </c>
      <c r="J62" s="7">
        <v>0</v>
      </c>
      <c r="K62" s="89" t="str">
        <f>IF(ISEVEN(B62),(B62-1)&amp;"/"&amp;B62,B62&amp;"/"&amp;(B62+1))</f>
        <v>4023/4024</v>
      </c>
      <c r="L62" s="21" t="str">
        <f>VLOOKUP(A62,'Trips&amp;Operators'!$C$1:$G$99999,5,FALSE)</f>
        <v>NICHOLSON WESLEY</v>
      </c>
      <c r="M62" s="6">
        <f>I62-F62</f>
        <v>2.6655092595319729E-2</v>
      </c>
      <c r="N62" s="7">
        <f>24*60*SUM($M62:$M62)</f>
        <v>38.38333333726041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-26T09:31:16-0600',mode:absolute,to:'2017-07-26T12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23.297499999999999</v>
      </c>
      <c r="Z62" s="197">
        <f>RIGHT(H62,LEN(H62)-4)/10000</f>
        <v>1.54E-2</v>
      </c>
      <c r="AA62" s="197">
        <f>ABS(Z62-Y62)</f>
        <v>23.2821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/stypes="app*4023*20170726*"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150-26 --locoid 4023 --swversion DE.1.0.9.0 --startMP 204:232975 --initTime 2017-07-26T10:31:16 --startdatetime 2017-07-26T10:42:17 --delay 3 --endMP 204:154 --enddatetime 2017-07-26T11:20:40 --enforcementcount 0 &gt;&gt;C:\Users\stu\Documents\GitHub\eaglep3-reporting\EC\2017-07-26-refined-times.txt</v>
      </c>
      <c r="AI62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{"issue":{"subject":"","project_id":79,"tracker_id":40,"status_id":1,"priority_id":2,"assigned_to_id":23,"start_date":"2017-07-26","description":"","custom_fields":[{"id":1,"name":"Subdivision","value":"EC"},{"id":4,"name":"Milepost","value":"0.0154"},{"id":17,"name":"Train ID","value":"150-26"},{"id":16,"name":"Locomotive ID","value":"4023"},{"id":130,"name":"Impact","value":""},{"id":150,"name":"Time of Event (Mountain Time)","value":"11:20:40"},{"id":151,"name":"Denver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4023 --day 2017-07-26</v>
      </c>
      <c r="AN62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725</v>
      </c>
      <c r="B63" s="7">
        <v>4006</v>
      </c>
      <c r="C63" s="21" t="s">
        <v>198</v>
      </c>
      <c r="D63" s="21" t="s">
        <v>396</v>
      </c>
      <c r="E63" s="13">
        <v>42942.412824074076</v>
      </c>
      <c r="F63" s="13">
        <v>42942.417245370372</v>
      </c>
      <c r="G63" s="7">
        <v>1</v>
      </c>
      <c r="H63" s="21" t="s">
        <v>528</v>
      </c>
      <c r="I63" s="13">
        <v>42942.444062499999</v>
      </c>
      <c r="J63" s="7">
        <v>0</v>
      </c>
      <c r="K63" s="89" t="str">
        <f>IF(ISEVEN(B63),(B63-1)&amp;"/"&amp;B63,B63&amp;"/"&amp;(B63+1))</f>
        <v>4005/4006</v>
      </c>
      <c r="L63" s="21" t="str">
        <f>VLOOKUP(A63,'Trips&amp;Operators'!$C$1:$G$99999,5,FALSE)</f>
        <v>DAVIS WENDY</v>
      </c>
      <c r="M63" s="6">
        <f>I63-F63</f>
        <v>2.6817129626579117E-2</v>
      </c>
      <c r="N63" s="7">
        <f>24*60*SUM($M63:$M63)</f>
        <v>38.616666662273929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-26T08:54:28-0600',mode:absolute,to:'2017-07-26T11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4.5499999999999999E-2</v>
      </c>
      <c r="Z63" s="197">
        <f>RIGHT(H63,LEN(H63)-4)/10000</f>
        <v>23.331499999999998</v>
      </c>
      <c r="AA63" s="197">
        <f>ABS(Z63-Y63)</f>
        <v>23.285999999999998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/stypes="app*4006*20170726*"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151-26 --locoid 4006 --swversion DE.1.0.9.0 --startMP 204:455 --initTime 2017-07-26T09:54:28 --startdatetime 2017-07-26T10:00:50 --delay 1 --endMP 204:233315 --enddatetime 2017-07-26T10:39:27 --enforcementcount 0 &gt;&gt;C:\Users\stu\Documents\GitHub\eaglep3-reporting\EC\2017-07-26-refined-times.txt</v>
      </c>
      <c r="AI63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{"issue":{"subject":"","project_id":79,"tracker_id":40,"status_id":1,"priority_id":2,"assigned_to_id":23,"start_date":"2017-07-26","description":"","custom_fields":[{"id":1,"name":"Subdivision","value":"EC"},{"id":4,"name":"Milepost","value":"23.3315"},{"id":17,"name":"Train ID","value":"151-26"},{"id":16,"name":"Locomotive ID","value":"4006"},{"id":130,"name":"Impact","value":""},{"id":150,"name":"Time of Event (Mountain Time)","value":"10:39:27"},{"id":151,"name":"Denver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4006 --day 2017-07-26</v>
      </c>
      <c r="AN63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736</v>
      </c>
      <c r="B64" s="7">
        <v>4005</v>
      </c>
      <c r="C64" s="21" t="s">
        <v>198</v>
      </c>
      <c r="D64" s="21" t="s">
        <v>877</v>
      </c>
      <c r="E64" s="13">
        <v>42942.452824074076</v>
      </c>
      <c r="F64" s="13">
        <v>42942.456400462965</v>
      </c>
      <c r="G64" s="7">
        <v>1</v>
      </c>
      <c r="H64" s="21" t="s">
        <v>497</v>
      </c>
      <c r="I64" s="13">
        <v>42942.484664351854</v>
      </c>
      <c r="J64" s="7">
        <v>0</v>
      </c>
      <c r="K64" s="89" t="str">
        <f>IF(ISEVEN(B64),(B64-1)&amp;"/"&amp;B64,B64&amp;"/"&amp;(B64+1))</f>
        <v>4005/4006</v>
      </c>
      <c r="L64" s="21" t="str">
        <f>VLOOKUP(A64,'Trips&amp;Operators'!$C$1:$G$99999,5,FALSE)</f>
        <v>DAVIS WENDY</v>
      </c>
      <c r="M64" s="6">
        <f>I64-F64</f>
        <v>2.8263888889341615E-2</v>
      </c>
      <c r="N64" s="7">
        <f>24*60*SUM($M64:$M64)</f>
        <v>40.700000000651926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-26T09:52:04-0600',mode:absolute,to:'2017-07-26T12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23.3004</v>
      </c>
      <c r="Z64" s="197">
        <f>RIGHT(H64,LEN(H64)-4)/10000</f>
        <v>1.61E-2</v>
      </c>
      <c r="AA64" s="197">
        <f>ABS(Z64-Y64)</f>
        <v>23.284299999999998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/stypes="app*4005*20170726*"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152-26 --locoid 4005 --swversion DE.1.0.9.0 --startMP 204:233004 --initTime 2017-07-26T10:52:04 --startdatetime 2017-07-26T10:57:13 --delay 1 --endMP 204:161 --enddatetime 2017-07-26T11:37:55 --enforcementcount 0 &gt;&gt;C:\Users\stu\Documents\GitHub\eaglep3-reporting\EC\2017-07-26-refined-times.txt</v>
      </c>
      <c r="AI64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{"issue":{"subject":"","project_id":79,"tracker_id":40,"status_id":1,"priority_id":2,"assigned_to_id":23,"start_date":"2017-07-26","description":"","custom_fields":[{"id":1,"name":"Subdivision","value":"EC"},{"id":4,"name":"Milepost","value":"0.0161"},{"id":17,"name":"Train ID","value":"152-26"},{"id":16,"name":"Locomotive ID","value":"4005"},{"id":130,"name":"Impact","value":""},{"id":150,"name":"Time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4005 --day 2017-07-26</v>
      </c>
      <c r="AN64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636</v>
      </c>
      <c r="B65" s="7">
        <v>4002</v>
      </c>
      <c r="C65" s="21" t="s">
        <v>198</v>
      </c>
      <c r="D65" s="21" t="s">
        <v>578</v>
      </c>
      <c r="E65" s="13">
        <v>42942.423182870371</v>
      </c>
      <c r="F65" s="13">
        <v>42942.427569444444</v>
      </c>
      <c r="G65" s="7">
        <v>1</v>
      </c>
      <c r="H65" s="21" t="s">
        <v>887</v>
      </c>
      <c r="I65" s="13">
        <v>42942.451631944445</v>
      </c>
      <c r="J65" s="7">
        <v>0</v>
      </c>
      <c r="K65" s="89" t="str">
        <f>IF(ISEVEN(B65),(B65-1)&amp;"/"&amp;B65,B65&amp;"/"&amp;(B65+1))</f>
        <v>4001/4002</v>
      </c>
      <c r="L65" s="21" t="str">
        <f>VLOOKUP(A65,'Trips&amp;Operators'!$C$1:$G$99999,5,FALSE)</f>
        <v>HAUSER FRANK</v>
      </c>
      <c r="M65" s="6">
        <f>I65-F65</f>
        <v>2.4062500000582077E-2</v>
      </c>
      <c r="N65" s="7">
        <f>24*60*SUM($M65:$M65)</f>
        <v>34.65000000083819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-26T09:09:23-0600',mode:absolute,to:'2017-07-26T11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4.6699999999999998E-2</v>
      </c>
      <c r="Z65" s="197">
        <f>RIGHT(H65,LEN(H65)-4)/10000</f>
        <v>23.315899999999999</v>
      </c>
      <c r="AA65" s="197">
        <f>ABS(Z65-Y65)</f>
        <v>23.269199999999998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/stypes="app*4002*20170726*" /stext=" 16:.+((SYSTEM_STATE.+slice.+state.+changed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153-26 --locoid 4002 --swversion DE.1.0.9.0 --startMP 204:467 --initTime 2017-07-26T10:09:23 --startdatetime 2017-07-26T10:15:42 --delay 1 --endMP 204:233159 --enddatetime 2017-07-26T10:50:21 --enforcementcount 0 &gt;&gt;C:\Users\stu\Documents\GitHub\eaglep3-reporting\EC\2017-07-26-refined-times.txt</v>
      </c>
      <c r="AI6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{"issue":{"subject":"","project_id":79,"tracker_id":40,"status_id":1,"priority_id":2,"assigned_to_id":23,"start_date":"2017-07-26","description":"","custom_fields":[{"id":1,"name":"Subdivision","value":"EC"},{"id":4,"name":"Milepost","value":"23.3159"},{"id":17,"name":"Train ID","value":"153-26"},{"id":16,"name":"Locomotive ID","value":"4002"},{"id":130,"name":"Impact","value":""},{"id":150,"name":"Time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4002 --day 2017-07-26</v>
      </c>
      <c r="AN6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738</v>
      </c>
      <c r="B66" s="7">
        <v>4001</v>
      </c>
      <c r="C66" s="21" t="s">
        <v>198</v>
      </c>
      <c r="D66" s="21" t="s">
        <v>888</v>
      </c>
      <c r="E66" s="13">
        <v>42942.457662037035</v>
      </c>
      <c r="F66" s="13">
        <v>42942.467037037037</v>
      </c>
      <c r="G66" s="7">
        <v>1</v>
      </c>
      <c r="H66" s="21" t="s">
        <v>589</v>
      </c>
      <c r="I66" s="13">
        <v>42942.495613425926</v>
      </c>
      <c r="J66" s="7">
        <v>0</v>
      </c>
      <c r="K66" s="89" t="str">
        <f>IF(ISEVEN(B66),(B66-1)&amp;"/"&amp;B66,B66&amp;"/"&amp;(B66+1))</f>
        <v>4001/4002</v>
      </c>
      <c r="L66" s="21" t="str">
        <f>VLOOKUP(A66,'Trips&amp;Operators'!$C$1:$G$99999,5,FALSE)</f>
        <v>MACDONALD THOMAS</v>
      </c>
      <c r="M66" s="6">
        <f>I66-F66</f>
        <v>2.8576388889632653E-2</v>
      </c>
      <c r="N66" s="7">
        <f>24*60*SUM($M66:$M66)</f>
        <v>41.150000001071021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-26T09:59:02-0600',mode:absolute,to:'2017-07-26T12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23.283300000000001</v>
      </c>
      <c r="Z66" s="197">
        <f>RIGHT(H66,LEN(H66)-4)/10000</f>
        <v>1.7000000000000001E-2</v>
      </c>
      <c r="AA66" s="197">
        <f>ABS(Z66-Y66)</f>
        <v>23.266300000000001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/stypes="app*4001*20170726*"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154-26 --locoid 4001 --swversion DE.1.0.9.0 --startMP 204:232833 --initTime 2017-07-26T10:59:02 --startdatetime 2017-07-26T11:12:32 --delay 1 --endMP 204:170 --enddatetime 2017-07-26T11:53:41 --enforcementcount 0 &gt;&gt;C:\Users\stu\Documents\GitHub\eaglep3-reporting\EC\2017-07-26-refined-times.txt</v>
      </c>
      <c r="AI66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{"issue":{"subject":"","project_id":79,"tracker_id":40,"status_id":1,"priority_id":2,"assigned_to_id":23,"start_date":"2017-07-26","description":"","custom_fields":[{"id":1,"name":"Subdivision","value":"EC"},{"id":4,"name":"Milepost","value":"0.017"},{"id":17,"name":"Train ID","value":"154-26"},{"id":16,"name":"Locomotive ID","value":"4001"},{"id":130,"name":"Impact","value":""},{"id":150,"name":"Time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4001 --day 2017-07-26</v>
      </c>
      <c r="AN66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732</v>
      </c>
      <c r="B67" s="7">
        <v>4026</v>
      </c>
      <c r="C67" s="21" t="s">
        <v>198</v>
      </c>
      <c r="D67" s="21" t="s">
        <v>345</v>
      </c>
      <c r="E67" s="13">
        <v>42942.433333333334</v>
      </c>
      <c r="F67" s="13">
        <v>42942.438854166663</v>
      </c>
      <c r="G67" s="7">
        <v>1</v>
      </c>
      <c r="H67" s="21" t="s">
        <v>889</v>
      </c>
      <c r="I67" s="13">
        <v>42942.464039351849</v>
      </c>
      <c r="J67" s="7">
        <v>0</v>
      </c>
      <c r="K67" s="89" t="str">
        <f>IF(ISEVEN(B67),(B67-1)&amp;"/"&amp;B67,B67&amp;"/"&amp;(B67+1))</f>
        <v>4025/4026</v>
      </c>
      <c r="L67" s="21" t="str">
        <f>VLOOKUP(A67,'Trips&amp;Operators'!$C$1:$G$99999,5,FALSE)</f>
        <v>BEAM ROSS</v>
      </c>
      <c r="M67" s="6">
        <f>I67-F67</f>
        <v>2.5185185186273884E-2</v>
      </c>
      <c r="N67" s="7">
        <f>24*60*SUM($M67:$M67)</f>
        <v>36.266666668234393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-26T09:24:00-0600',mode:absolute,to:'2017-07-26T12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4.5100000000000001E-2</v>
      </c>
      <c r="Z67" s="197">
        <f>RIGHT(H67,LEN(H67)-4)/10000</f>
        <v>23.329799999999999</v>
      </c>
      <c r="AA67" s="197">
        <f>ABS(Z67-Y67)</f>
        <v>23.284699999999997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 &amp; aws s3 cp s3://rtdc.mdm.uploadarchive.raw/RTDC4026/ "%USERPROFILE%\AppData\Local\Temp\OnboardLogs"\RTDC4026\2017-07-27 --exclude "*" --recursive --include "*20170727*" &amp; "%USERPROFILE%\Documents\GitHub\mrs-test-scripts\Headless Mode &amp; Sideloading\WalkAndUnGZ.bat" "%USERPROFILE%\AppData\Local\Temp\OnboardLogs"\RTDC4026\2017-07-27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/stypes="app*4026*20170726*"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155-26 --locoid 4026 --swversion DE.1.0.9.0 --startMP 204:451 --initTime 2017-07-26T10:24:00 --startdatetime 2017-07-26T10:31:57 --delay 1 --endMP 204:233298 --enddatetime 2017-07-26T11:08:13 --enforcementcount 0 &gt;&gt;C:\Users\stu\Documents\GitHub\eaglep3-reporting\EC\2017-07-26-refined-times.txt</v>
      </c>
      <c r="AI6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{"issue":{"subject":"","project_id":79,"tracker_id":40,"status_id":1,"priority_id":2,"assigned_to_id":23,"start_date":"2017-07-26","description":"","custom_fields":[{"id":1,"name":"Subdivision","value":"EC"},{"id":4,"name":"Milepost","value":"23.3298"},{"id":17,"name":"Train ID","value":"155-26"},{"id":16,"name":"Locomotive ID","value":"4026"},{"id":130,"name":"Impact","value":""},{"id":150,"name":"Time of Event (Mountain Time)","value":"11:08:13"},{"id":151,"name":"Denver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4026 --day 2017-07-26</v>
      </c>
      <c r="AN6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740</v>
      </c>
      <c r="B68" s="7">
        <v>4025</v>
      </c>
      <c r="C68" s="21" t="s">
        <v>198</v>
      </c>
      <c r="D68" s="21" t="s">
        <v>571</v>
      </c>
      <c r="E68" s="13">
        <v>42942.468460648146</v>
      </c>
      <c r="F68" s="13">
        <v>42942.477280092593</v>
      </c>
      <c r="G68" s="7">
        <v>1</v>
      </c>
      <c r="H68" s="21" t="s">
        <v>890</v>
      </c>
      <c r="I68" s="13">
        <v>42942.504050925927</v>
      </c>
      <c r="J68" s="7">
        <v>0</v>
      </c>
      <c r="K68" s="89" t="str">
        <f>IF(ISEVEN(B68),(B68-1)&amp;"/"&amp;B68,B68&amp;"/"&amp;(B68+1))</f>
        <v>4025/4026</v>
      </c>
      <c r="L68" s="21" t="str">
        <f>VLOOKUP(A68,'Trips&amp;Operators'!$C$1:$G$99999,5,FALSE)</f>
        <v>BEAM ROSS</v>
      </c>
      <c r="M68" s="6">
        <f>I68-F68</f>
        <v>2.6770833334012423E-2</v>
      </c>
      <c r="N68" s="7">
        <f>24*60*SUM($M68:$M68)</f>
        <v>38.550000000977889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-26T10:14:35-0600',mode:absolute,to:'2017-07-26T13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23.299299999999999</v>
      </c>
      <c r="Z68" s="197">
        <f>RIGHT(H68,LEN(H68)-4)/10000</f>
        <v>0.1673</v>
      </c>
      <c r="AA68" s="197">
        <f>ABS(Z68-Y68)</f>
        <v>23.131999999999998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 &amp; aws s3 cp s3://rtdc.mdm.uploadarchive.raw/RTDC4025/ "%USERPROFILE%\AppData\Local\Temp\OnboardLogs"\RTDC4025\2017-07-27 --exclude "*" --recursive --include "*20170727*" &amp; "%USERPROFILE%\Documents\GitHub\mrs-test-scripts\Headless Mode &amp; Sideloading\WalkAndUnGZ.bat" "%USERPROFILE%\AppData\Local\Temp\OnboardLogs"\RTDC4025\2017-07-27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/stypes="app*4025*20170726*"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156-26 --locoid 4025 --swversion DE.1.0.9.0 --startMP 204:232993 --initTime 2017-07-26T11:14:35 --startdatetime 2017-07-26T11:27:17 --delay 1 --endMP 204:1673 --enddatetime 2017-07-26T12:05:50 --enforcementcount 0 &gt;&gt;C:\Users\stu\Documents\GitHub\eaglep3-reporting\EC\2017-07-26-refined-times.txt</v>
      </c>
      <c r="AI68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{"issue":{"subject":"","project_id":79,"tracker_id":40,"status_id":1,"priority_id":2,"assigned_to_id":23,"start_date":"2017-07-26","description":"","custom_fields":[{"id":1,"name":"Subdivision","value":"EC"},{"id":4,"name":"Milepost","value":"0.1673"},{"id":17,"name":"Train ID","value":"156-26"},{"id":16,"name":"Locomotive ID","value":"4025"},{"id":130,"name":"Impact","value":""},{"id":150,"name":"Time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4025 --day 2017-07-26</v>
      </c>
      <c r="AN68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735</v>
      </c>
      <c r="B69" s="7">
        <v>4008</v>
      </c>
      <c r="C69" s="21" t="s">
        <v>198</v>
      </c>
      <c r="D69" s="21" t="s">
        <v>345</v>
      </c>
      <c r="E69" s="13">
        <v>42942.448923611111</v>
      </c>
      <c r="F69" s="13">
        <v>42942.451145833336</v>
      </c>
      <c r="G69" s="7">
        <v>2</v>
      </c>
      <c r="H69" s="21" t="s">
        <v>532</v>
      </c>
      <c r="I69" s="13">
        <v>42942.476736111108</v>
      </c>
      <c r="J69" s="7">
        <v>0</v>
      </c>
      <c r="K69" s="89" t="str">
        <f>IF(ISEVEN(B69),(B69-1)&amp;"/"&amp;B69,B69&amp;"/"&amp;(B69+1))</f>
        <v>4007/4008</v>
      </c>
      <c r="L69" s="21" t="str">
        <f>VLOOKUP(A69,'Trips&amp;Operators'!$C$1:$G$99999,5,FALSE)</f>
        <v>DAVIS MICHAEL</v>
      </c>
      <c r="M69" s="6">
        <f>I69-F69</f>
        <v>2.5590277771698311E-2</v>
      </c>
      <c r="N69" s="7">
        <f>24*60*SUM($M69:$M69)</f>
        <v>36.849999991245568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-26T09:46:27-0600',mode:absolute,to:'2017-07-26T12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4.5100000000000001E-2</v>
      </c>
      <c r="Z69" s="197">
        <f>RIGHT(H69,LEN(H69)-4)/10000</f>
        <v>23.332799999999999</v>
      </c>
      <c r="AA69" s="197">
        <f>ABS(Z69-Y69)</f>
        <v>23.287699999999997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/stypes="app*4008*20170726*"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157-26 --locoid 4008 --swversion DE.1.0.9.0 --startMP 204:451 --initTime 2017-07-26T10:46:27 --startdatetime 2017-07-26T10:49:39 --delay 2 --endMP 204:233328 --enddatetime 2017-07-26T11:26:30 --enforcementcount 0 &gt;&gt;C:\Users\stu\Documents\GitHub\eaglep3-reporting\EC\2017-07-26-refined-times.txt</v>
      </c>
      <c r="AI69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{"issue":{"subject":"","project_id":79,"tracker_id":40,"status_id":1,"priority_id":2,"assigned_to_id":23,"start_date":"2017-07-26","description":"","custom_fields":[{"id":1,"name":"Subdivision","value":"EC"},{"id":4,"name":"Milepost","value":"23.3328"},{"id":17,"name":"Train ID","value":"157-26"},{"id":16,"name":"Locomotive ID","value":"4008"},{"id":130,"name":"Impact","value":""},{"id":150,"name":"Time of Event (Mountain Time)","value":"11:26:30"},{"id":151,"name":"Denver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4008 --day 2017-07-26</v>
      </c>
      <c r="AN69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743</v>
      </c>
      <c r="B70" s="7">
        <v>4007</v>
      </c>
      <c r="C70" s="21" t="s">
        <v>198</v>
      </c>
      <c r="D70" s="21" t="s">
        <v>891</v>
      </c>
      <c r="E70" s="13">
        <v>42942.484756944446</v>
      </c>
      <c r="F70" s="13">
        <v>42942.487905092596</v>
      </c>
      <c r="G70" s="7">
        <v>1</v>
      </c>
      <c r="H70" s="21" t="s">
        <v>473</v>
      </c>
      <c r="I70" s="13">
        <v>42942.516122685185</v>
      </c>
      <c r="J70" s="7">
        <v>0</v>
      </c>
      <c r="K70" s="89" t="str">
        <f>IF(ISEVEN(B70),(B70-1)&amp;"/"&amp;B70,B70&amp;"/"&amp;(B70+1))</f>
        <v>4007/4008</v>
      </c>
      <c r="L70" s="21" t="str">
        <f>VLOOKUP(A70,'Trips&amp;Operators'!$C$1:$G$99999,5,FALSE)</f>
        <v>DAVIS MICHAEL</v>
      </c>
      <c r="M70" s="6">
        <f>I70-F70</f>
        <v>2.8217592589498963E-2</v>
      </c>
      <c r="N70" s="7">
        <f>24*60*SUM($M70:$M70)</f>
        <v>40.633333328878507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-26T10:38:03-0600',mode:absolute,to:'2017-07-26T13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23.2986</v>
      </c>
      <c r="Z70" s="197">
        <f>RIGHT(H70,LEN(H70)-4)/10000</f>
        <v>1.6299999999999999E-2</v>
      </c>
      <c r="AA70" s="197">
        <f>ABS(Z70-Y70)</f>
        <v>23.282299999999999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/stypes="app*4007*20170726*"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158-26 --locoid 4007 --swversion DE.1.0.9.0 --startMP 204:232986 --initTime 2017-07-26T11:38:03 --startdatetime 2017-07-26T11:42:35 --delay 1 --endMP 204:163 --enddatetime 2017-07-26T12:23:13 --enforcementcount 0 &gt;&gt;C:\Users\stu\Documents\GitHub\eaglep3-reporting\EC\2017-07-26-refined-times.txt</v>
      </c>
      <c r="AI70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{"issue":{"subject":"","project_id":79,"tracker_id":40,"status_id":1,"priority_id":2,"assigned_to_id":23,"start_date":"2017-07-26","description":"","custom_fields":[{"id":1,"name":"Subdivision","value":"EC"},{"id":4,"name":"Milepost","value":"0.0163"},{"id":17,"name":"Train ID","value":"158-26"},{"id":16,"name":"Locomotive ID","value":"4007"},{"id":130,"name":"Impact","value":""},{"id":150,"name":"Time of Event (Mountain Time)","value":"12:23:13"},{"id":151,"name":"Denver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4007 --day 2017-07-26</v>
      </c>
      <c r="AN70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737</v>
      </c>
      <c r="B71" s="7">
        <v>4056</v>
      </c>
      <c r="C71" s="21" t="s">
        <v>198</v>
      </c>
      <c r="D71" s="21" t="s">
        <v>348</v>
      </c>
      <c r="E71" s="13">
        <v>42942.457002314812</v>
      </c>
      <c r="F71" s="13">
        <v>42942.458865740744</v>
      </c>
      <c r="G71" s="7">
        <v>1</v>
      </c>
      <c r="H71" s="21" t="s">
        <v>584</v>
      </c>
      <c r="I71" s="13">
        <v>42942.484131944446</v>
      </c>
      <c r="J71" s="7">
        <v>0</v>
      </c>
      <c r="K71" s="89" t="str">
        <f>IF(ISEVEN(B71),(B71-1)&amp;"/"&amp;B71,B71&amp;"/"&amp;(B71+1))</f>
        <v>4055/4056</v>
      </c>
      <c r="L71" s="21" t="str">
        <f>VLOOKUP(A71,'Trips&amp;Operators'!$C$1:$G$99999,5,FALSE)</f>
        <v>YANG JAN</v>
      </c>
      <c r="M71" s="6">
        <f>I71-F71</f>
        <v>2.5266203701903578E-2</v>
      </c>
      <c r="N71" s="7">
        <f>24*60*SUM($M71:$M71)</f>
        <v>36.383333330741152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-26T09:58:05-0600',mode:absolute,to:'2017-07-26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4.4699999999999997E-2</v>
      </c>
      <c r="Z71" s="197">
        <f>RIGHT(H71,LEN(H71)-4)/10000</f>
        <v>23.331199999999999</v>
      </c>
      <c r="AA71" s="197">
        <f>ABS(Z71-Y71)</f>
        <v>23.2865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/stypes="app*4056*20170726*"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159-26 --locoid 4056 --swversion DE.1.0.9.0 --startMP 204:447 --initTime 2017-07-26T10:58:05 --startdatetime 2017-07-26T11:00:46 --delay 1 --endMP 204:233312 --enddatetime 2017-07-26T11:37:09 --enforcementcount 0 &gt;&gt;C:\Users\stu\Documents\GitHub\eaglep3-reporting\EC\2017-07-26-refined-times.txt</v>
      </c>
      <c r="AI71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{"issue":{"subject":"","project_id":79,"tracker_id":40,"status_id":1,"priority_id":2,"assigned_to_id":23,"start_date":"2017-07-26","description":"","custom_fields":[{"id":1,"name":"Subdivision","value":"EC"},{"id":4,"name":"Milepost","value":"23.3312"},{"id":17,"name":"Train ID","value":"159-26"},{"id":16,"name":"Locomotive ID","value":"4056"},{"id":130,"name":"Impact","value":""},{"id":150,"name":"Time of Event (Mountain Time)","value":"11:37:09"},{"id":151,"name":"Denver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4056 --day 2017-07-26</v>
      </c>
      <c r="AN71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745</v>
      </c>
      <c r="B72" s="7">
        <v>4055</v>
      </c>
      <c r="C72" s="21" t="s">
        <v>198</v>
      </c>
      <c r="D72" s="21" t="s">
        <v>472</v>
      </c>
      <c r="E72" s="13">
        <v>42942.491712962961</v>
      </c>
      <c r="F72" s="13">
        <v>42942.498425925929</v>
      </c>
      <c r="G72" s="7">
        <v>1</v>
      </c>
      <c r="H72" s="21" t="s">
        <v>352</v>
      </c>
      <c r="I72" s="13">
        <v>42942.524143518516</v>
      </c>
      <c r="J72" s="7">
        <v>0</v>
      </c>
      <c r="K72" s="89" t="str">
        <f>IF(ISEVEN(B72),(B72-1)&amp;"/"&amp;B72,B72&amp;"/"&amp;(B72+1))</f>
        <v>4055/4056</v>
      </c>
      <c r="L72" s="21" t="str">
        <f>VLOOKUP(A72,'Trips&amp;Operators'!$C$1:$G$99999,5,FALSE)</f>
        <v>YANG JAN</v>
      </c>
      <c r="M72" s="6">
        <f>I72-F72</f>
        <v>2.5717592587170657E-2</v>
      </c>
      <c r="N72" s="7">
        <f>24*60*SUM($M72:$M72)</f>
        <v>37.033333325525746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-26T10:48:04-0600',mode:absolute,to:'2017-07-26T13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23.3002</v>
      </c>
      <c r="Z72" s="197">
        <f>RIGHT(H72,LEN(H72)-4)/10000</f>
        <v>1.47E-2</v>
      </c>
      <c r="AA72" s="197">
        <f>ABS(Z72-Y72)</f>
        <v>23.285499999999999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/stypes="app*4055*20170726*" /stext=" 18:.+((SYSTEM_STATE.+slice.+state.+changed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160-26 --locoid 4055 --swversion DE.1.0.9.0 --startMP 204:233002 --initTime 2017-07-26T11:48:04 --startdatetime 2017-07-26T11:57:44 --delay 1 --endMP 204:147 --enddatetime 2017-07-26T12:34:46 --enforcementcount 0 &gt;&gt;C:\Users\stu\Documents\GitHub\eaglep3-reporting\EC\2017-07-26-refined-times.txt</v>
      </c>
      <c r="AI72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{"issue":{"subject":"","project_id":79,"tracker_id":40,"status_id":1,"priority_id":2,"assigned_to_id":23,"start_date":"2017-07-26","description":"","custom_fields":[{"id":1,"name":"Subdivision","value":"EC"},{"id":4,"name":"Milepost","value":"0.0147"},{"id":17,"name":"Train ID","value":"160-26"},{"id":16,"name":"Locomotive ID","value":"4055"},{"id":130,"name":"Impact","value":""},{"id":150,"name":"Time of Event (Mountain Time)","value":"12:34:46"},{"id":151,"name":"Denver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4055 --day 2017-07-26</v>
      </c>
      <c r="AN72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739</v>
      </c>
      <c r="B73" s="7">
        <v>4004</v>
      </c>
      <c r="C73" s="21" t="s">
        <v>198</v>
      </c>
      <c r="D73" s="21" t="s">
        <v>565</v>
      </c>
      <c r="E73" s="13">
        <v>42942.466805555552</v>
      </c>
      <c r="F73" s="13">
        <v>42942.469386574077</v>
      </c>
      <c r="G73" s="7">
        <v>1</v>
      </c>
      <c r="H73" s="21" t="s">
        <v>566</v>
      </c>
      <c r="I73" s="13">
        <v>42942.494710648149</v>
      </c>
      <c r="J73" s="7">
        <v>0</v>
      </c>
      <c r="K73" s="89" t="str">
        <f>IF(ISEVEN(B73),(B73-1)&amp;"/"&amp;B73,B73&amp;"/"&amp;(B73+1))</f>
        <v>4003/4004</v>
      </c>
      <c r="L73" s="21" t="str">
        <f>VLOOKUP(A73,'Trips&amp;Operators'!$C$1:$G$99999,5,FALSE)</f>
        <v>STEWART MICHAEL</v>
      </c>
      <c r="M73" s="6">
        <f>I73-F73</f>
        <v>2.5324074071249925E-2</v>
      </c>
      <c r="N73" s="7">
        <f>24*60*SUM($M73:$M73)</f>
        <v>36.466666662599891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-26T10:12:12-0600',mode:absolute,to:'2017-07-26T12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4.4400000000000002E-2</v>
      </c>
      <c r="Z73" s="197">
        <f>RIGHT(H73,LEN(H73)-4)/10000</f>
        <v>23.330100000000002</v>
      </c>
      <c r="AA73" s="197">
        <f>ABS(Z73-Y73)</f>
        <v>23.285700000000002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/stypes="app*4004*20170726*"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161-26 --locoid 4004 --swversion DE.1.0.9.0 --startMP 204:444 --initTime 2017-07-26T11:12:12 --startdatetime 2017-07-26T11:15:55 --delay 1 --endMP 204:233301 --enddatetime 2017-07-26T11:52:23 --enforcementcount 0 &gt;&gt;C:\Users\stu\Documents\GitHub\eaglep3-reporting\EC\2017-07-26-refined-times.txt</v>
      </c>
      <c r="AI73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{"issue":{"subject":"","project_id":79,"tracker_id":40,"status_id":1,"priority_id":2,"assigned_to_id":23,"start_date":"2017-07-26","description":"","custom_fields":[{"id":1,"name":"Subdivision","value":"EC"},{"id":4,"name":"Milepost","value":"23.3301"},{"id":17,"name":"Train ID","value":"161-26"},{"id":16,"name":"Locomotive ID","value":"4004"},{"id":130,"name":"Impact","value":""},{"id":150,"name":"Time of Event (Mountain Time)","value":"11:52:23"},{"id":151,"name":"Denver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4004 --day 2017-07-26</v>
      </c>
      <c r="AN73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749</v>
      </c>
      <c r="B74" s="7">
        <v>4003</v>
      </c>
      <c r="C74" s="21" t="s">
        <v>198</v>
      </c>
      <c r="D74" s="21" t="s">
        <v>892</v>
      </c>
      <c r="E74" s="13">
        <v>42942.504560185182</v>
      </c>
      <c r="F74" s="13">
        <v>42942.508553240739</v>
      </c>
      <c r="G74" s="7">
        <v>2</v>
      </c>
      <c r="H74" s="21" t="s">
        <v>871</v>
      </c>
      <c r="I74" s="13">
        <v>42942.535868055558</v>
      </c>
      <c r="J74" s="7">
        <v>0</v>
      </c>
      <c r="K74" s="89" t="str">
        <f>IF(ISEVEN(B74),(B74-1)&amp;"/"&amp;B74,B74&amp;"/"&amp;(B74+1))</f>
        <v>4003/4004</v>
      </c>
      <c r="L74" s="21" t="str">
        <f>VLOOKUP(A74,'Trips&amp;Operators'!$C$1:$G$99999,5,FALSE)</f>
        <v>STEWART MICHAEL</v>
      </c>
      <c r="M74" s="6">
        <f>I74-F74</f>
        <v>2.7314814818964805E-2</v>
      </c>
      <c r="N74" s="7">
        <f>24*60*SUM($M74:$M74)</f>
        <v>39.33333333930932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-26T11:06:34-0600',mode:absolute,to:'2017-07-26T13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23.295500000000001</v>
      </c>
      <c r="Z74" s="197">
        <f>RIGHT(H74,LEN(H74)-4)/10000</f>
        <v>1.32E-2</v>
      </c>
      <c r="AA74" s="197">
        <f>ABS(Z74-Y74)</f>
        <v>23.282299999999999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/stypes="app*4003*20170726*"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162-26 --locoid 4003 --swversion DE.1.0.9.0 --startMP 204:232955 --initTime 2017-07-26T12:06:34 --startdatetime 2017-07-26T12:12:19 --delay 2 --endMP 204:132 --enddatetime 2017-07-26T12:51:39 --enforcementcount 0 &gt;&gt;C:\Users\stu\Documents\GitHub\eaglep3-reporting\EC\2017-07-26-refined-times.txt</v>
      </c>
      <c r="AI74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{"issue":{"subject":"","project_id":79,"tracker_id":40,"status_id":1,"priority_id":2,"assigned_to_id":23,"start_date":"2017-07-26","description":"","custom_fields":[{"id":1,"name":"Subdivision","value":"EC"},{"id":4,"name":"Milepost","value":"0.0132"},{"id":17,"name":"Train ID","value":"162-26"},{"id":16,"name":"Locomotive ID","value":"4003"},{"id":130,"name":"Impact","value":""},{"id":150,"name":"Time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4003 --day 2017-07-26</v>
      </c>
      <c r="AN74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640</v>
      </c>
      <c r="B75" s="7">
        <v>4024</v>
      </c>
      <c r="C75" s="21" t="s">
        <v>198</v>
      </c>
      <c r="D75" s="21" t="s">
        <v>586</v>
      </c>
      <c r="E75" s="13">
        <v>42942.474178240744</v>
      </c>
      <c r="F75" s="13">
        <v>42942.479699074072</v>
      </c>
      <c r="G75" s="7">
        <v>3</v>
      </c>
      <c r="H75" s="21" t="s">
        <v>568</v>
      </c>
      <c r="I75" s="13">
        <v>42942.505277777775</v>
      </c>
      <c r="J75" s="7">
        <v>0</v>
      </c>
      <c r="K75" s="89" t="str">
        <f>IF(ISEVEN(B75),(B75-1)&amp;"/"&amp;B75,B75&amp;"/"&amp;(B75+1))</f>
        <v>4023/4024</v>
      </c>
      <c r="L75" s="21" t="str">
        <f>VLOOKUP(A75,'Trips&amp;Operators'!$C$1:$G$99999,5,FALSE)</f>
        <v>ELBAUM MIKE</v>
      </c>
      <c r="M75" s="6">
        <f>I75-F75</f>
        <v>2.5578703702194616E-2</v>
      </c>
      <c r="N75" s="7">
        <f>24*60*SUM($M75:$M75)</f>
        <v>36.833333331160247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-26T10:22:49-0600',mode:absolute,to:'2017-07-26T13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4.8399999999999999E-2</v>
      </c>
      <c r="Z75" s="197">
        <f>RIGHT(H75,LEN(H75)-4)/10000</f>
        <v>23.330400000000001</v>
      </c>
      <c r="AA75" s="197">
        <f>ABS(Z75-Y75)</f>
        <v>23.282</v>
      </c>
      <c r="AB75" s="54" t="str">
        <f>VLOOKUP(A75,Enforcements!$C$7:$K$13,8,0)</f>
        <v>Bulletin (2)</v>
      </c>
      <c r="AC75" s="51" t="str">
        <f>VLOOKUP(A75,Enforcements!$C$7:$E$13,3,0)</f>
        <v>GRADE CROSSING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/stypes="app*4024*20170726*"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163-26 --locoid 4024 --swversion DE.1.0.9.0 --startMP 204:484 --initTime 2017-07-26T11:22:49 --startdatetime 2017-07-26T11:30:46 --delay 3 --endMP 204:233304 --enddatetime 2017-07-26T12:07:36 --enforcementcount 0 &gt;&gt;C:\Users\stu\Documents\GitHub\eaglep3-reporting\EC\2017-07-26-refined-times.txt</v>
      </c>
      <c r="AI75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{"issue":{"subject":"","project_id":79,"tracker_id":40,"status_id":1,"priority_id":2,"assigned_to_id":23,"start_date":"2017-07-26","description":"","custom_fields":[{"id":1,"name":"Subdivision","value":"EC"},{"id":4,"name":"Milepost","value":"23.3304"},{"id":17,"name":"Train ID","value":"163-26"},{"id":16,"name":"Locomotive ID","value":"4024"},{"id":130,"name":"Impact","value":""},{"id":150,"name":"Time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4024 --day 2017-07-26</v>
      </c>
      <c r="AN75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642</v>
      </c>
      <c r="B76" s="7">
        <v>4023</v>
      </c>
      <c r="C76" s="21" t="s">
        <v>198</v>
      </c>
      <c r="D76" s="21" t="s">
        <v>582</v>
      </c>
      <c r="E76" s="13">
        <v>42942.507361111115</v>
      </c>
      <c r="F76" s="13">
        <v>42942.518946759257</v>
      </c>
      <c r="G76" s="7">
        <v>1</v>
      </c>
      <c r="H76" s="21" t="s">
        <v>893</v>
      </c>
      <c r="I76" s="13">
        <v>42942.546238425923</v>
      </c>
      <c r="J76" s="7">
        <v>0</v>
      </c>
      <c r="K76" s="89" t="str">
        <f>IF(ISEVEN(B76),(B76-1)&amp;"/"&amp;B76,B76&amp;"/"&amp;(B76+1))</f>
        <v>4023/4024</v>
      </c>
      <c r="L76" s="21" t="str">
        <f>VLOOKUP(A76,'Trips&amp;Operators'!$C$1:$G$99999,5,FALSE)</f>
        <v>ELBAUM MIKE</v>
      </c>
      <c r="M76" s="6">
        <f>I76-F76</f>
        <v>2.7291666665405501E-2</v>
      </c>
      <c r="N76" s="7">
        <f>24*60*SUM($M76:$M76)</f>
        <v>39.299999998183921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-26T11:10:36-0600',mode:absolute,to:'2017-07-26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23.298100000000002</v>
      </c>
      <c r="Z76" s="197">
        <f>RIGHT(H76,LEN(H76)-4)/10000</f>
        <v>1.29E-2</v>
      </c>
      <c r="AA76" s="197">
        <f>ABS(Z76-Y76)</f>
        <v>23.285200000000003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/stypes="app*4023*20170726*"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164-26 --locoid 4023 --swversion DE.1.0.9.0 --startMP 204:232981 --initTime 2017-07-26T12:10:36 --startdatetime 2017-07-26T12:27:17 --delay 1 --endMP 204:129 --enddatetime 2017-07-26T13:06:35 --enforcementcount 0 &gt;&gt;C:\Users\stu\Documents\GitHub\eaglep3-reporting\EC\2017-07-26-refined-times.txt</v>
      </c>
      <c r="AI76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{"issue":{"subject":"","project_id":79,"tracker_id":40,"status_id":1,"priority_id":2,"assigned_to_id":23,"start_date":"2017-07-26","description":"","custom_fields":[{"id":1,"name":"Subdivision","value":"EC"},{"id":4,"name":"Milepost","value":"0.0129"},{"id":17,"name":"Train ID","value":"164-26"},{"id":16,"name":"Locomotive ID","value":"4023"},{"id":130,"name":"Impact","value":""},{"id":150,"name":"Time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4023 --day 2017-07-26</v>
      </c>
      <c r="AN76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4006</v>
      </c>
      <c r="C77" s="21" t="s">
        <v>198</v>
      </c>
      <c r="D77" s="21" t="s">
        <v>585</v>
      </c>
      <c r="E77" s="13">
        <v>42942.486990740741</v>
      </c>
      <c r="F77" s="13">
        <v>42942.490081018521</v>
      </c>
      <c r="G77" s="7">
        <v>1</v>
      </c>
      <c r="H77" s="21" t="s">
        <v>410</v>
      </c>
      <c r="I77" s="13">
        <v>42942.514201388891</v>
      </c>
      <c r="J77" s="7">
        <v>0</v>
      </c>
      <c r="K77" s="89" t="str">
        <f>IF(ISEVEN(B77),(B77-1)&amp;"/"&amp;B77,B77&amp;"/"&amp;(B77+1))</f>
        <v>4005/4006</v>
      </c>
      <c r="L77" s="21" t="str">
        <f>VLOOKUP(A77,'Trips&amp;Operators'!$C$1:$G$99999,5,FALSE)</f>
        <v>BRUDER RICHARD</v>
      </c>
      <c r="M77" s="6">
        <f>I77-F77</f>
        <v>2.4120370369928423E-2</v>
      </c>
      <c r="N77" s="7">
        <f>24*60*SUM($M77:$M77)</f>
        <v>34.73333333269693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-26T10:41:16-0600',mode:absolute,to:'2017-07-26T13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4.7300000000000002E-2</v>
      </c>
      <c r="Z77" s="197">
        <f>RIGHT(H77,LEN(H77)-4)/10000</f>
        <v>23.329699999999999</v>
      </c>
      <c r="AA77" s="197">
        <f>ABS(Z77-Y77)</f>
        <v>23.282399999999999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/stypes="app*4006*20170726*"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165-26 --locoid 4006 --swversion DE.1.0.9.0 --startMP 204:473 --initTime 2017-07-26T11:41:16 --startdatetime 2017-07-26T11:45:43 --delay 1 --endMP 204:233297 --enddatetime 2017-07-26T12:20:27 --enforcementcount 0 &gt;&gt;C:\Users\stu\Documents\GitHub\eaglep3-reporting\EC\2017-07-26-refined-times.txt</v>
      </c>
      <c r="AI77" s="96" t="str">
        <f t="shared" si="5"/>
        <v>echo {"issue":{"subject":"","project_id":79,"tracker_id":40,"status_id":1,"priority_id":2,"assigned_to_id":23,"start_date":"2017-07-26","description":"","custom_fields":[{"id":1,"name":"Subdivision","value":"EC"},{"id":4,"name":"Milepost","value":"23.3297"},{"id":17,"name":"Train ID","value":"165-26"},{"id":16,"name":"Locomotive ID","value":"4006"},{"id":130,"name":"Impact","value":""},{"id":150,"name":"Time of Event (Mountain Time)","value":"12:20:27"},{"id":151,"name":"Denver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4006 --day 2017-07-26</v>
      </c>
      <c r="AN77" s="151" t="str">
        <f t="shared" si="7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754</v>
      </c>
      <c r="B78" s="7">
        <v>4005</v>
      </c>
      <c r="C78" s="21" t="s">
        <v>198</v>
      </c>
      <c r="D78" s="21" t="s">
        <v>477</v>
      </c>
      <c r="E78" s="13">
        <v>42942.525810185187</v>
      </c>
      <c r="F78" s="13">
        <v>42942.529363425929</v>
      </c>
      <c r="G78" s="7">
        <v>1</v>
      </c>
      <c r="H78" s="21" t="s">
        <v>352</v>
      </c>
      <c r="I78" s="13">
        <v>42942.555162037039</v>
      </c>
      <c r="J78" s="7">
        <v>0</v>
      </c>
      <c r="K78" s="89" t="str">
        <f>IF(ISEVEN(B78),(B78-1)&amp;"/"&amp;B78,B78&amp;"/"&amp;(B78+1))</f>
        <v>4005/4006</v>
      </c>
      <c r="L78" s="21" t="str">
        <f>VLOOKUP(A78,'Trips&amp;Operators'!$C$1:$G$99999,5,FALSE)</f>
        <v>BRUDER RICHARD</v>
      </c>
      <c r="M78" s="6">
        <f>I78-F78</f>
        <v>2.5798611110076308E-2</v>
      </c>
      <c r="N78" s="7">
        <f>24*60*SUM($M78:$M78)</f>
        <v>37.149999998509884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-26T11:37:10-0600',mode:absolute,to:'2017-07-26T14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23.297799999999999</v>
      </c>
      <c r="Z78" s="197">
        <f>RIGHT(H78,LEN(H78)-4)/10000</f>
        <v>1.47E-2</v>
      </c>
      <c r="AA78" s="197">
        <f>ABS(Z78-Y78)</f>
        <v>23.283099999999997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/stypes="app*4005*20170726*"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4005 --swversion DE.1.0.9.0 --startMP 204:232978 --initTime 2017-07-26T12:37:10 --startdatetime 2017-07-26T12:42:17 --delay 1 --endMP 204:147 --enddatetime 2017-07-26T13:19:26 --enforcementcount 0 &gt;&gt;C:\Users\stu\Documents\GitHub\eaglep3-reporting\EC\2017-07-26-refined-times.txt</v>
      </c>
      <c r="AI78" s="96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{"issue":{"subject":"","project_id":79,"tracker_id":40,"status_id":1,"priority_id":2,"assigned_to_id":23,"start_date":"2017-07-26","description":"","custom_fields":[{"id":1,"name":"Subdivision","value":"EC"},{"id":4,"name":"Milepost","value":"0.0147"},{"id":17,"name":"Train ID","value":"166-26"},{"id":16,"name":"Locomotive ID","value":"4005"},{"id":130,"name":"Impact","value":""},{"id":150,"name":"Time of Event (Mountain Time)","value":"13:19:26"},{"id":151,"name":"Denver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10">"start /low /b "&amp;dls3logs&amp;" --loco "&amp;B78&amp;" --day "&amp;TEXT(F78,"YYYY-MM-DD")</f>
        <v>start /low /b %USERPROFILE%\Documents\GitHub\eaglep3\Utilities\DownloadLogsFromS3.py --loco 4005 --day 2017-07-26</v>
      </c>
      <c r="AN78" s="151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747</v>
      </c>
      <c r="B79" s="7">
        <v>4002</v>
      </c>
      <c r="C79" s="21" t="s">
        <v>198</v>
      </c>
      <c r="D79" s="21" t="s">
        <v>455</v>
      </c>
      <c r="E79" s="13">
        <v>42942.497175925928</v>
      </c>
      <c r="F79" s="13">
        <v>42942.500520833331</v>
      </c>
      <c r="G79" s="7">
        <v>2</v>
      </c>
      <c r="H79" s="21" t="s">
        <v>894</v>
      </c>
      <c r="I79" s="13">
        <v>42942.525057870371</v>
      </c>
      <c r="J79" s="7">
        <v>0</v>
      </c>
      <c r="K79" s="89" t="str">
        <f>IF(ISEVEN(B79),(B79-1)&amp;"/"&amp;B79,B79&amp;"/"&amp;(B79+1))</f>
        <v>4001/4002</v>
      </c>
      <c r="L79" s="21" t="str">
        <f>VLOOKUP(A79,'Trips&amp;Operators'!$C$1:$G$99999,5,FALSE)</f>
        <v>LEVIN SCOTT</v>
      </c>
      <c r="M79" s="6">
        <f>I79-F79</f>
        <v>2.453703703940846E-2</v>
      </c>
      <c r="N79" s="7">
        <f>24*60*SUM($M79:$M79)</f>
        <v>35.333333336748183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-26T10:55:56-0600',mode:absolute,to:'2017-07-26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4.5999999999999999E-2</v>
      </c>
      <c r="Z79" s="197">
        <f>RIGHT(H79,LEN(H79)-4)/10000</f>
        <v>23.341200000000001</v>
      </c>
      <c r="AA79" s="197">
        <f>ABS(Z79-Y79)</f>
        <v>23.295200000000001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/stypes="app*4002*20170726*"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8"/>
        <v>"%USERPROFILE%\Documents\GitHub\eaglep3\Utilities\RefineRTDCRunTimes.py" --tripid 167-26 --locoid 4002 --swversion DE.1.0.9.0 --startMP 204:460 --initTime 2017-07-26T11:55:56 --startdatetime 2017-07-26T12:00:45 --delay 2 --endMP 204:233412 --enddatetime 2017-07-26T12:36:05 --enforcementcount 0 &gt;&gt;C:\Users\stu\Documents\GitHub\eaglep3-reporting\EC\2017-07-26-refined-times.txt</v>
      </c>
      <c r="AI7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{"issue":{"subject":"","project_id":79,"tracker_id":40,"status_id":1,"priority_id":2,"assigned_to_id":23,"start_date":"2017-07-26","description":"","custom_fields":[{"id":1,"name":"Subdivision","value":"EC"},{"id":4,"name":"Milepost","value":"23.3412"},{"id":17,"name":"Train ID","value":"167-26"},{"id":16,"name":"Locomotive ID","value":"4002"},{"id":130,"name":"Impact","value":""},{"id":150,"name":"Time of Event (Mountain Time)","value":"12:36:05"},{"id":151,"name":"Denver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4002 --day 2017-07-26</v>
      </c>
      <c r="AN79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759</v>
      </c>
      <c r="B80" s="7">
        <v>4001</v>
      </c>
      <c r="C80" s="21" t="s">
        <v>198</v>
      </c>
      <c r="D80" s="21" t="s">
        <v>895</v>
      </c>
      <c r="E80" s="13">
        <v>42942.537233796298</v>
      </c>
      <c r="F80" s="13">
        <v>42942.539756944447</v>
      </c>
      <c r="G80" s="7">
        <v>1</v>
      </c>
      <c r="H80" s="21" t="s">
        <v>896</v>
      </c>
      <c r="I80" s="13">
        <v>42942.565324074072</v>
      </c>
      <c r="J80" s="7">
        <v>0</v>
      </c>
      <c r="K80" s="89" t="str">
        <f>IF(ISEVEN(B80),(B80-1)&amp;"/"&amp;B80,B80&amp;"/"&amp;(B80+1))</f>
        <v>4001/4002</v>
      </c>
      <c r="L80" s="21" t="str">
        <f>VLOOKUP(A80,'Trips&amp;Operators'!$C$1:$G$99999,5,FALSE)</f>
        <v>LEVIN SCOTT</v>
      </c>
      <c r="M80" s="6">
        <f>I80-F80</f>
        <v>2.5567129625414964E-2</v>
      </c>
      <c r="N80" s="7">
        <f>24*60*SUM($M80:$M80)</f>
        <v>36.816666660597548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-26T11:53:37-0600',mode:absolute,to:'2017-07-26T14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23.311299999999999</v>
      </c>
      <c r="Z80" s="197">
        <f>RIGHT(H80,LEN(H80)-4)/10000</f>
        <v>1.2699999999999999E-2</v>
      </c>
      <c r="AA80" s="197">
        <f>ABS(Z80-Y80)</f>
        <v>23.2986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/stypes="app*4001*20170726*"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8"/>
        <v>"%USERPROFILE%\Documents\GitHub\eaglep3\Utilities\RefineRTDCRunTimes.py" --tripid 168-26 --locoid 4001 --swversion DE.1.0.9.0 --startMP 204:233113 --initTime 2017-07-26T12:53:37 --startdatetime 2017-07-26T12:57:15 --delay 1 --endMP 204:127 --enddatetime 2017-07-26T13:34:04 --enforcementcount 0 &gt;&gt;C:\Users\stu\Documents\GitHub\eaglep3-reporting\EC\2017-07-26-refined-times.txt</v>
      </c>
      <c r="AI8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{"issue":{"subject":"","project_id":79,"tracker_id":40,"status_id":1,"priority_id":2,"assigned_to_id":23,"start_date":"2017-07-26","description":"","custom_fields":[{"id":1,"name":"Subdivision","value":"EC"},{"id":4,"name":"Milepost","value":"0.0127"},{"id":17,"name":"Train ID","value":"168-26"},{"id":16,"name":"Locomotive ID","value":"4001"},{"id":130,"name":"Impact","value":""},{"id":150,"name":"Time of Event (Mountain Time)","value":"13:34:04"},{"id":151,"name":"Denver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4001 --day 2017-07-26</v>
      </c>
      <c r="AN80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748</v>
      </c>
      <c r="B81" s="7">
        <v>4016</v>
      </c>
      <c r="C81" s="21" t="s">
        <v>198</v>
      </c>
      <c r="D81" s="21" t="s">
        <v>340</v>
      </c>
      <c r="E81" s="13">
        <v>42942.50409722222</v>
      </c>
      <c r="F81" s="13">
        <v>42942.510937500003</v>
      </c>
      <c r="G81" s="7">
        <v>3</v>
      </c>
      <c r="H81" s="21" t="s">
        <v>897</v>
      </c>
      <c r="I81" s="13">
        <v>42942.53502314815</v>
      </c>
      <c r="J81" s="7">
        <v>0</v>
      </c>
      <c r="K81" s="89" t="str">
        <f>IF(ISEVEN(B81),(B81-1)&amp;"/"&amp;B81,B81&amp;"/"&amp;(B81+1))</f>
        <v>4015/4016</v>
      </c>
      <c r="L81" s="21" t="str">
        <f>VLOOKUP(A81,'Trips&amp;Operators'!$C$1:$G$99999,5,FALSE)</f>
        <v>BIRKHOLZ NADINE</v>
      </c>
      <c r="M81" s="6">
        <f>I81-F81</f>
        <v>2.4085648146865424E-2</v>
      </c>
      <c r="N81" s="7">
        <f>24*60*SUM($M81:$M81)</f>
        <v>34.68333333148621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-26T11:05:54-0600',mode:absolute,to:'2017-07-26T13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4.4600000000000001E-2</v>
      </c>
      <c r="Z81" s="197">
        <f>RIGHT(H81,LEN(H81)-4)/10000</f>
        <v>23.341000000000001</v>
      </c>
      <c r="AA81" s="197">
        <f>ABS(Z81-Y81)</f>
        <v>23.296400000000002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/stypes="app*4016*20170726*"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8"/>
        <v>"%USERPROFILE%\Documents\GitHub\eaglep3\Utilities\RefineRTDCRunTimes.py" --tripid 169-26 --locoid 4016 --swversion DE.1.0.9.0 --startMP 204:446 --initTime 2017-07-26T12:05:54 --startdatetime 2017-07-26T12:15:45 --delay 3 --endMP 204:233410 --enddatetime 2017-07-26T12:50:26 --enforcementcount 0 &gt;&gt;C:\Users\stu\Documents\GitHub\eaglep3-reporting\EC\2017-07-26-refined-times.txt</v>
      </c>
      <c r="AI8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{"issue":{"subject":"","project_id":79,"tracker_id":40,"status_id":1,"priority_id":2,"assigned_to_id":23,"start_date":"2017-07-26","description":"","custom_fields":[{"id":1,"name":"Subdivision","value":"EC"},{"id":4,"name":"Milepost","value":"23.341"},{"id":17,"name":"Train ID","value":"169-26"},{"id":16,"name":"Locomotive ID","value":"4016"},{"id":130,"name":"Impact","value":""},{"id":150,"name":"Time of Event (Mountain Time)","value":"12:50:26"},{"id":151,"name":"Denver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4016 --day 2017-07-26</v>
      </c>
      <c r="AN81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761</v>
      </c>
      <c r="B82" s="7">
        <v>4015</v>
      </c>
      <c r="C82" s="21" t="s">
        <v>198</v>
      </c>
      <c r="D82" s="21" t="s">
        <v>898</v>
      </c>
      <c r="E82" s="13">
        <v>42942.543726851851</v>
      </c>
      <c r="F82" s="13">
        <v>42942.550150462965</v>
      </c>
      <c r="G82" s="7">
        <v>2</v>
      </c>
      <c r="H82" s="21" t="s">
        <v>351</v>
      </c>
      <c r="I82" s="13">
        <v>42942.575810185182</v>
      </c>
      <c r="J82" s="7">
        <v>0</v>
      </c>
      <c r="K82" s="89" t="str">
        <f>IF(ISEVEN(B82),(B82-1)&amp;"/"&amp;B82,B82&amp;"/"&amp;(B82+1))</f>
        <v>4015/4016</v>
      </c>
      <c r="L82" s="21" t="str">
        <f>VLOOKUP(A82,'Trips&amp;Operators'!$C$1:$G$99999,5,FALSE)</f>
        <v>BIRKHOLZ NADINE</v>
      </c>
      <c r="M82" s="6">
        <f>I82-F82</f>
        <v>2.565972221782431E-2</v>
      </c>
      <c r="N82" s="7">
        <f>24*60*SUM($M82:$M82)</f>
        <v>36.949999993667006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-26T12:02:58-0600',mode:absolute,to:'2017-07-26T14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23.312799999999999</v>
      </c>
      <c r="Z82" s="197">
        <f>RIGHT(H82,LEN(H82)-4)/10000</f>
        <v>1.41E-2</v>
      </c>
      <c r="AA82" s="197">
        <f>ABS(Z82-Y82)</f>
        <v>23.2987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/stypes="app*4015*20170726*" /stext=" 19:.+((SYSTEM_STATE.+slice.+state.+changed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8"/>
        <v>"%USERPROFILE%\Documents\GitHub\eaglep3\Utilities\RefineRTDCRunTimes.py" --tripid 170-26 --locoid 4015 --swversion DE.1.0.9.0 --startMP 204:233128 --initTime 2017-07-26T13:02:58 --startdatetime 2017-07-26T13:12:13 --delay 2 --endMP 204:141 --enddatetime 2017-07-26T13:49:10 --enforcementcount 0 &gt;&gt;C:\Users\stu\Documents\GitHub\eaglep3-reporting\EC\2017-07-26-refined-times.txt</v>
      </c>
      <c r="AI82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{"issue":{"subject":"","project_id":79,"tracker_id":40,"status_id":1,"priority_id":2,"assigned_to_id":23,"start_date":"2017-07-26","description":"","custom_fields":[{"id":1,"name":"Subdivision","value":"EC"},{"id":4,"name":"Milepost","value":"0.0141"},{"id":17,"name":"Train ID","value":"170-26"},{"id":16,"name":"Locomotive ID","value":"4015"},{"id":130,"name":"Impact","value":""},{"id":150,"name":"Time of Event (Mountain Time)","value":"13:49:10"},{"id":151,"name":"Denver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4015 --day 2017-07-26</v>
      </c>
      <c r="AN82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4008</v>
      </c>
      <c r="C83" s="21" t="s">
        <v>198</v>
      </c>
      <c r="D83" s="21" t="s">
        <v>583</v>
      </c>
      <c r="E83" s="13">
        <v>42942.517777777779</v>
      </c>
      <c r="F83" s="13">
        <v>42942.521284722221</v>
      </c>
      <c r="G83" s="7">
        <v>1</v>
      </c>
      <c r="H83" s="21" t="s">
        <v>576</v>
      </c>
      <c r="I83" s="13">
        <v>42942.546574074076</v>
      </c>
      <c r="J83" s="7">
        <v>0</v>
      </c>
      <c r="K83" s="89" t="str">
        <f>IF(ISEVEN(B83),(B83-1)&amp;"/"&amp;B83,B83&amp;"/"&amp;(B83+1))</f>
        <v>4007/4008</v>
      </c>
      <c r="L83" s="21" t="str">
        <f>VLOOKUP(A83,'Trips&amp;Operators'!$C$1:$G$99999,5,FALSE)</f>
        <v>DAVIS MICHAEL</v>
      </c>
      <c r="M83" s="6">
        <f>I83-F83</f>
        <v>2.5289351855462883E-2</v>
      </c>
      <c r="N83" s="7">
        <f>24*60*SUM($M83:$M83)</f>
        <v>36.416666671866551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-26T11:25:36-0600',mode:absolute,to:'2017-07-26T14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4.6899999999999997E-2</v>
      </c>
      <c r="Z83" s="197">
        <f>RIGHT(H83,LEN(H83)-4)/10000</f>
        <v>23.3355</v>
      </c>
      <c r="AA83" s="197">
        <f>ABS(Z83-Y83)</f>
        <v>23.288599999999999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/stypes="app*4008*20170726*"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8"/>
        <v>"%USERPROFILE%\Documents\GitHub\eaglep3\Utilities\RefineRTDCRunTimes.py" --tripid 171-26 --locoid 4008 --swversion DE.1.0.9.0 --startMP 204:469 --initTime 2017-07-26T12:25:36 --startdatetime 2017-07-26T12:30:39 --delay 1 --endMP 204:233355 --enddatetime 2017-07-26T13:07:04 --enforcementcount 0 &gt;&gt;C:\Users\stu\Documents\GitHub\eaglep3-reporting\EC\2017-07-26-refined-times.txt</v>
      </c>
      <c r="AI83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{"issue":{"subject":"","project_id":79,"tracker_id":40,"status_id":1,"priority_id":2,"assigned_to_id":23,"start_date":"2017-07-26","description":"","custom_fields":[{"id":1,"name":"Subdivision","value":"EC"},{"id":4,"name":"Milepost","value":"23.3355"},{"id":17,"name":"Train ID","value":"171-26"},{"id":16,"name":"Locomotive ID","value":"4008"},{"id":130,"name":"Impact","value":""},{"id":150,"name":"Time of Event (Mountain Time)","value":"13:07:04"},{"id":151,"name":"Denver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4008 --day 2017-07-26</v>
      </c>
      <c r="AN83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766</v>
      </c>
      <c r="B84" s="7">
        <v>4007</v>
      </c>
      <c r="C84" s="21" t="s">
        <v>198</v>
      </c>
      <c r="D84" s="21" t="s">
        <v>472</v>
      </c>
      <c r="E84" s="13">
        <v>42942.558703703704</v>
      </c>
      <c r="F84" s="13">
        <v>42942.56082175926</v>
      </c>
      <c r="G84" s="7">
        <v>1</v>
      </c>
      <c r="H84" s="21" t="s">
        <v>382</v>
      </c>
      <c r="I84" s="13">
        <v>42942.588912037034</v>
      </c>
      <c r="J84" s="7">
        <v>0</v>
      </c>
      <c r="K84" s="89" t="str">
        <f>IF(ISEVEN(B84),(B84-1)&amp;"/"&amp;B84,B84&amp;"/"&amp;(B84+1))</f>
        <v>4007/4008</v>
      </c>
      <c r="L84" s="21" t="str">
        <f>VLOOKUP(A84,'Trips&amp;Operators'!$C$1:$G$99999,5,FALSE)</f>
        <v>DAVIS MICHAEL</v>
      </c>
      <c r="M84" s="6">
        <f>I84-F84</f>
        <v>2.8090277774026617E-2</v>
      </c>
      <c r="N84" s="7">
        <f>24*60*SUM($M84:$M84)</f>
        <v>40.449999994598329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-26T12:24:32-0600',mode:absolute,to:'2017-07-26T15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23.3002</v>
      </c>
      <c r="Z84" s="197">
        <f>RIGHT(H84,LEN(H84)-4)/10000</f>
        <v>1.4500000000000001E-2</v>
      </c>
      <c r="AA84" s="197">
        <f>ABS(Z84-Y84)</f>
        <v>23.285699999999999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/stypes="app*4007*20170726*" /stext=" 20:.+((SYSTEM_STATE.+slice.+state.+changed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8"/>
        <v>"%USERPROFILE%\Documents\GitHub\eaglep3\Utilities\RefineRTDCRunTimes.py" --tripid 172-26 --locoid 4007 --swversion DE.1.0.9.0 --startMP 204:233002 --initTime 2017-07-26T13:24:32 --startdatetime 2017-07-26T13:27:35 --delay 1 --endMP 204:145 --enddatetime 2017-07-26T14:08:02 --enforcementcount 0 &gt;&gt;C:\Users\stu\Documents\GitHub\eaglep3-reporting\EC\2017-07-26-refined-times.txt</v>
      </c>
      <c r="AI84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{"issue":{"subject":"","project_id":79,"tracker_id":40,"status_id":1,"priority_id":2,"assigned_to_id":23,"start_date":"2017-07-26","description":"","custom_fields":[{"id":1,"name":"Subdivision","value":"EC"},{"id":4,"name":"Milepost","value":"0.0145"},{"id":17,"name":"Train ID","value":"172-26"},{"id":16,"name":"Locomotive ID","value":"4007"},{"id":130,"name":"Impact","value":""},{"id":150,"name":"Time of Event (Mountain Time)","value":"14:08:02"},{"id":151,"name":"Denver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4007 --day 2017-07-26</v>
      </c>
      <c r="AN84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755</v>
      </c>
      <c r="B85" s="7">
        <v>4056</v>
      </c>
      <c r="C85" s="21" t="s">
        <v>198</v>
      </c>
      <c r="D85" s="21" t="s">
        <v>348</v>
      </c>
      <c r="E85" s="13">
        <v>42942.526331018518</v>
      </c>
      <c r="F85" s="13">
        <v>42942.531886574077</v>
      </c>
      <c r="G85" s="7">
        <v>1</v>
      </c>
      <c r="H85" s="21" t="s">
        <v>899</v>
      </c>
      <c r="I85" s="13">
        <v>42942.556666666664</v>
      </c>
      <c r="J85" s="7">
        <v>0</v>
      </c>
      <c r="K85" s="89" t="str">
        <f>IF(ISEVEN(B85),(B85-1)&amp;"/"&amp;B85,B85&amp;"/"&amp;(B85+1))</f>
        <v>4055/4056</v>
      </c>
      <c r="L85" s="21" t="str">
        <f>VLOOKUP(A85,'Trips&amp;Operators'!$C$1:$G$99999,5,FALSE)</f>
        <v>LOPES KIMBERLY</v>
      </c>
      <c r="M85" s="6">
        <f>I85-F85</f>
        <v>2.4780092586297542E-2</v>
      </c>
      <c r="N85" s="7">
        <f>24*60*SUM($M85:$M85)</f>
        <v>35.68333332426846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-26T11:37:55-0600',mode:absolute,to:'2017-07-26T14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4.4699999999999997E-2</v>
      </c>
      <c r="Z85" s="197">
        <f>RIGHT(H85,LEN(H85)-4)/10000</f>
        <v>23.338899999999999</v>
      </c>
      <c r="AA85" s="197">
        <f>ABS(Z85-Y85)</f>
        <v>23.2942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/stypes="app*4056*20170726*"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8"/>
        <v>"%USERPROFILE%\Documents\GitHub\eaglep3\Utilities\RefineRTDCRunTimes.py" --tripid 173-26 --locoid 4056 --swversion DE.1.0.9.0 --startMP 204:447 --initTime 2017-07-26T12:37:55 --startdatetime 2017-07-26T12:45:55 --delay 1 --endMP 204:233389 --enddatetime 2017-07-26T13:21:36 --enforcementcount 0 &gt;&gt;C:\Users\stu\Documents\GitHub\eaglep3-reporting\EC\2017-07-26-refined-times.txt</v>
      </c>
      <c r="AI85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{"issue":{"subject":"","project_id":79,"tracker_id":40,"status_id":1,"priority_id":2,"assigned_to_id":23,"start_date":"2017-07-26","description":"","custom_fields":[{"id":1,"name":"Subdivision","value":"EC"},{"id":4,"name":"Milepost","value":"23.3389"},{"id":17,"name":"Train ID","value":"173-26"},{"id":16,"name":"Locomotive ID","value":"4056"},{"id":130,"name":"Impact","value":""},{"id":150,"name":"Time of Event (Mountain Time)","value":"13:21:36"},{"id":151,"name":"Denver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4056 --day 2017-07-26</v>
      </c>
      <c r="AN85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767</v>
      </c>
      <c r="B86" s="7">
        <v>4055</v>
      </c>
      <c r="C86" s="21" t="s">
        <v>198</v>
      </c>
      <c r="D86" s="21" t="s">
        <v>581</v>
      </c>
      <c r="E86" s="13">
        <v>42942.564293981479</v>
      </c>
      <c r="F86" s="13">
        <v>42942.571134259262</v>
      </c>
      <c r="G86" s="7">
        <v>1</v>
      </c>
      <c r="H86" s="21" t="s">
        <v>352</v>
      </c>
      <c r="I86" s="13">
        <v>42942.596979166665</v>
      </c>
      <c r="J86" s="7">
        <v>0</v>
      </c>
      <c r="K86" s="89" t="str">
        <f>IF(ISEVEN(B86),(B86-1)&amp;"/"&amp;B86,B86&amp;"/"&amp;(B86+1))</f>
        <v>4055/4056</v>
      </c>
      <c r="L86" s="21" t="str">
        <f>VLOOKUP(A86,'Trips&amp;Operators'!$C$1:$G$99999,5,FALSE)</f>
        <v>LOPES KIMBERLY</v>
      </c>
      <c r="M86" s="6">
        <f>I86-F86</f>
        <v>2.5844907402643003E-2</v>
      </c>
      <c r="N86" s="7">
        <f>24*60*SUM($M86:$M86)</f>
        <v>37.216666659805924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-26T12:32:35-0600',mode:absolute,to:'2017-07-26T15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23.306699999999999</v>
      </c>
      <c r="Z86" s="197">
        <f>RIGHT(H86,LEN(H86)-4)/10000</f>
        <v>1.47E-2</v>
      </c>
      <c r="AA86" s="197">
        <f>ABS(Z86-Y86)</f>
        <v>23.291999999999998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/stypes="app*4055*20170726*"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8"/>
        <v>"%USERPROFILE%\Documents\GitHub\eaglep3\Utilities\RefineRTDCRunTimes.py" --tripid 174-26 --locoid 4055 --swversion DE.1.0.9.0 --startMP 204:233067 --initTime 2017-07-26T13:32:35 --startdatetime 2017-07-26T13:42:26 --delay 1 --endMP 204:147 --enddatetime 2017-07-26T14:19:39 --enforcementcount 0 &gt;&gt;C:\Users\stu\Documents\GitHub\eaglep3-reporting\EC\2017-07-26-refined-times.txt</v>
      </c>
      <c r="AI86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{"issue":{"subject":"","project_id":79,"tracker_id":40,"status_id":1,"priority_id":2,"assigned_to_id":23,"start_date":"2017-07-26","description":"","custom_fields":[{"id":1,"name":"Subdivision","value":"EC"},{"id":4,"name":"Milepost","value":"0.0147"},{"id":17,"name":"Train ID","value":"174-26"},{"id":16,"name":"Locomotive ID","value":"4055"},{"id":130,"name":"Impact","value":""},{"id":150,"name":"Time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4055 --day 2017-07-26</v>
      </c>
      <c r="AN86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760</v>
      </c>
      <c r="B87" s="7">
        <v>4004</v>
      </c>
      <c r="C87" s="21" t="s">
        <v>198</v>
      </c>
      <c r="D87" s="21" t="s">
        <v>344</v>
      </c>
      <c r="E87" s="13">
        <v>42942.538229166668</v>
      </c>
      <c r="F87" s="13">
        <v>42942.542222222219</v>
      </c>
      <c r="G87" s="7">
        <v>1</v>
      </c>
      <c r="H87" s="21" t="s">
        <v>470</v>
      </c>
      <c r="I87" s="13">
        <v>42942.56795138889</v>
      </c>
      <c r="J87" s="7">
        <v>0</v>
      </c>
      <c r="K87" s="89" t="str">
        <f>IF(ISEVEN(B87),(B87-1)&amp;"/"&amp;B87,B87&amp;"/"&amp;(B87+1))</f>
        <v>4003/4004</v>
      </c>
      <c r="L87" s="21" t="str">
        <f>VLOOKUP(A87,'Trips&amp;Operators'!$C$1:$G$99999,5,FALSE)</f>
        <v>STEWART MICHAEL</v>
      </c>
      <c r="M87" s="6">
        <f>I87-F87</f>
        <v>2.5729166671226267E-2</v>
      </c>
      <c r="N87" s="7">
        <f>24*60*SUM($M87:$M87)</f>
        <v>37.050000006565824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-26T11:55:03-0600',mode:absolute,to:'2017-07-26T14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4.6600000000000003E-2</v>
      </c>
      <c r="Z87" s="197">
        <f>RIGHT(H87,LEN(H87)-4)/10000</f>
        <v>23.3306</v>
      </c>
      <c r="AA87" s="197">
        <f>ABS(Z87-Y87)</f>
        <v>23.283999999999999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/stypes="app*4004*20170726*"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8"/>
        <v>"%USERPROFILE%\Documents\GitHub\eaglep3\Utilities\RefineRTDCRunTimes.py" --tripid 175-26 --locoid 4004 --swversion DE.1.0.9.0 --startMP 204:466 --initTime 2017-07-26T12:55:03 --startdatetime 2017-07-26T13:00:48 --delay 1 --endMP 204:233306 --enddatetime 2017-07-26T13:37:51 --enforcementcount 0 &gt;&gt;C:\Users\stu\Documents\GitHub\eaglep3-reporting\EC\2017-07-26-refined-times.txt</v>
      </c>
      <c r="AI87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{"issue":{"subject":"","project_id":79,"tracker_id":40,"status_id":1,"priority_id":2,"assigned_to_id":23,"start_date":"2017-07-26","description":"","custom_fields":[{"id":1,"name":"Subdivision","value":"EC"},{"id":4,"name":"Milepost","value":"23.3306"},{"id":17,"name":"Train ID","value":"175-26"},{"id":16,"name":"Locomotive ID","value":"4004"},{"id":130,"name":"Impact","value":""},{"id":150,"name":"Time of Event (Mountain Time)","value":"13:37:51"},{"id":151,"name":"Denver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4004 --day 2017-07-26</v>
      </c>
      <c r="AN87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772</v>
      </c>
      <c r="B88" s="7">
        <v>4003</v>
      </c>
      <c r="C88" s="21" t="s">
        <v>198</v>
      </c>
      <c r="D88" s="21" t="s">
        <v>526</v>
      </c>
      <c r="E88" s="13">
        <v>42942.581053240741</v>
      </c>
      <c r="F88" s="13">
        <v>42942.582453703704</v>
      </c>
      <c r="G88" s="7">
        <v>1</v>
      </c>
      <c r="H88" s="21" t="s">
        <v>474</v>
      </c>
      <c r="I88" s="13">
        <v>42942.609143518515</v>
      </c>
      <c r="J88" s="7">
        <v>0</v>
      </c>
      <c r="K88" s="89" t="str">
        <f>IF(ISEVEN(B88),(B88-1)&amp;"/"&amp;B88,B88&amp;"/"&amp;(B88+1))</f>
        <v>4003/4004</v>
      </c>
      <c r="L88" s="21" t="str">
        <f>VLOOKUP(A88,'Trips&amp;Operators'!$C$1:$G$99999,5,FALSE)</f>
        <v>STEWART MICHAEL</v>
      </c>
      <c r="M88" s="6">
        <f>I88-F88</f>
        <v>2.6689814811106771E-2</v>
      </c>
      <c r="N88" s="7">
        <f>24*60*SUM($M88:$M88)</f>
        <v>38.433333327993751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-26T12:56:43-0600',mode:absolute,to:'2017-07-26T15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23.2989</v>
      </c>
      <c r="Z88" s="197">
        <f>RIGHT(H88,LEN(H88)-4)/10000</f>
        <v>1.6E-2</v>
      </c>
      <c r="AA88" s="197">
        <f>ABS(Z88-Y88)</f>
        <v>23.282900000000001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/stypes="app*4003*20170726*"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8"/>
        <v>"%USERPROFILE%\Documents\GitHub\eaglep3\Utilities\RefineRTDCRunTimes.py" --tripid 176-26 --locoid 4003 --swversion DE.1.0.9.0 --startMP 204:232989 --initTime 2017-07-26T13:56:43 --startdatetime 2017-07-26T13:58:44 --delay 1 --endMP 204:160 --enddatetime 2017-07-26T14:37:10 --enforcementcount 0 &gt;&gt;C:\Users\stu\Documents\GitHub\eaglep3-reporting\EC\2017-07-26-refined-times.txt</v>
      </c>
      <c r="AI88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{"issue":{"subject":"","project_id":79,"tracker_id":40,"status_id":1,"priority_id":2,"assigned_to_id":23,"start_date":"2017-07-26","description":"","custom_fields":[{"id":1,"name":"Subdivision","value":"EC"},{"id":4,"name":"Milepost","value":"0.016"},{"id":17,"name":"Train ID","value":"176-26"},{"id":16,"name":"Locomotive ID","value":"4003"},{"id":130,"name":"Impact","value":""},{"id":150,"name":"Time of Event (Mountain Time)","value":"14:37:10"},{"id":151,"name":"Denver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4003 --day 2017-07-26</v>
      </c>
      <c r="AN88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762</v>
      </c>
      <c r="B89" s="7">
        <v>4024</v>
      </c>
      <c r="C89" s="21" t="s">
        <v>198</v>
      </c>
      <c r="D89" s="21" t="s">
        <v>376</v>
      </c>
      <c r="E89" s="13">
        <v>42942.548194444447</v>
      </c>
      <c r="F89" s="13">
        <v>42942.552581018521</v>
      </c>
      <c r="G89" s="7">
        <v>1</v>
      </c>
      <c r="H89" s="21" t="s">
        <v>900</v>
      </c>
      <c r="I89" s="13">
        <v>42942.576388888891</v>
      </c>
      <c r="J89" s="7">
        <v>0</v>
      </c>
      <c r="K89" s="89" t="str">
        <f>IF(ISEVEN(B89),(B89-1)&amp;"/"&amp;B89,B89&amp;"/"&amp;(B89+1))</f>
        <v>4023/4024</v>
      </c>
      <c r="L89" s="21" t="str">
        <f>VLOOKUP(A89,'Trips&amp;Operators'!$C$1:$G$99999,5,FALSE)</f>
        <v>ELBAUM MIKE</v>
      </c>
      <c r="M89" s="6">
        <f>I89-F89</f>
        <v>2.3807870369637385E-2</v>
      </c>
      <c r="N89" s="7">
        <f>24*60*SUM($M89:$M89)</f>
        <v>34.283333332277834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-26T12:09:24-0600',mode:absolute,to:'2017-07-26T14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4.6199999999999998E-2</v>
      </c>
      <c r="Z89" s="197">
        <f>RIGHT(H89,LEN(H89)-4)/10000</f>
        <v>23.3385</v>
      </c>
      <c r="AA89" s="197">
        <f>ABS(Z89-Y89)</f>
        <v>23.292300000000001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/stypes="app*4024*20170726*"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8"/>
        <v>"%USERPROFILE%\Documents\GitHub\eaglep3\Utilities\RefineRTDCRunTimes.py" --tripid 177-26 --locoid 4024 --swversion DE.1.0.9.0 --startMP 204:462 --initTime 2017-07-26T13:09:24 --startdatetime 2017-07-26T13:15:43 --delay 1 --endMP 204:233385 --enddatetime 2017-07-26T13:50:00 --enforcementcount 0 &gt;&gt;C:\Users\stu\Documents\GitHub\eaglep3-reporting\EC\2017-07-26-refined-times.txt</v>
      </c>
      <c r="AI8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{"issue":{"subject":"","project_id":79,"tracker_id":40,"status_id":1,"priority_id":2,"assigned_to_id":23,"start_date":"2017-07-26","description":"","custom_fields":[{"id":1,"name":"Subdivision","value":"EC"},{"id":4,"name":"Milepost","value":"23.3385"},{"id":17,"name":"Train ID","value":"177-26"},{"id":16,"name":"Locomotive ID","value":"4024"},{"id":130,"name":"Impact","value":""},{"id":150,"name":"Time of Event (Mountain Time)","value":"13:50:00"},{"id":151,"name":"Denver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4024 --day 2017-07-26</v>
      </c>
      <c r="AN89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770</v>
      </c>
      <c r="B90" s="7">
        <v>4023</v>
      </c>
      <c r="C90" s="21" t="s">
        <v>198</v>
      </c>
      <c r="D90" s="21" t="s">
        <v>901</v>
      </c>
      <c r="E90" s="13">
        <v>42942.5778587963</v>
      </c>
      <c r="F90" s="13">
        <v>42942.591851851852</v>
      </c>
      <c r="G90" s="7">
        <v>1</v>
      </c>
      <c r="H90" s="21" t="s">
        <v>349</v>
      </c>
      <c r="I90" s="13">
        <v>42942.617118055554</v>
      </c>
      <c r="J90" s="7">
        <v>0</v>
      </c>
      <c r="K90" s="89" t="str">
        <f>IF(ISEVEN(B90),(B90-1)&amp;"/"&amp;B90,B90&amp;"/"&amp;(B90+1))</f>
        <v>4023/4024</v>
      </c>
      <c r="L90" s="21" t="str">
        <f>VLOOKUP(A90,'Trips&amp;Operators'!$C$1:$G$99999,5,FALSE)</f>
        <v>ELBAUM MIKE</v>
      </c>
      <c r="M90" s="6">
        <f>I90-F90</f>
        <v>2.5266203701903578E-2</v>
      </c>
      <c r="N90" s="7">
        <f>24*60*SUM($M90:$M90)</f>
        <v>36.383333330741152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-26T12:52:07-0600',mode:absolute,to:'2017-07-26T15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23.305299999999999</v>
      </c>
      <c r="Z90" s="197">
        <f>RIGHT(H90,LEN(H90)-4)/10000</f>
        <v>1.3899999999999999E-2</v>
      </c>
      <c r="AA90" s="197">
        <f>ABS(Z90-Y90)</f>
        <v>23.291399999999999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/stypes="app*4023*20170726*"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8"/>
        <v>"%USERPROFILE%\Documents\GitHub\eaglep3\Utilities\RefineRTDCRunTimes.py" --tripid 178-26 --locoid 4023 --swversion DE.1.0.9.0 --startMP 204:233053 --initTime 2017-07-26T13:52:07 --startdatetime 2017-07-26T14:12:16 --delay 1 --endMP 204:139 --enddatetime 2017-07-26T14:48:39 --enforcementcount 0 &gt;&gt;C:\Users\stu\Documents\GitHub\eaglep3-reporting\EC\2017-07-26-refined-times.txt</v>
      </c>
      <c r="AI9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{"issue":{"subject":"","project_id":79,"tracker_id":40,"status_id":1,"priority_id":2,"assigned_to_id":23,"start_date":"2017-07-26","description":"","custom_fields":[{"id":1,"name":"Subdivision","value":"EC"},{"id":4,"name":"Milepost","value":"0.0139"},{"id":17,"name":"Train ID","value":"178-26"},{"id":16,"name":"Locomotive ID","value":"4023"},{"id":130,"name":"Impact","value":""},{"id":150,"name":"Time of Event (Mountain Time)","value":"14:48:39"},{"id":151,"name":"Denver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4023 --day 2017-07-26</v>
      </c>
      <c r="AN90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765</v>
      </c>
      <c r="B91" s="7">
        <v>4006</v>
      </c>
      <c r="C91" s="21" t="s">
        <v>198</v>
      </c>
      <c r="D91" s="21" t="s">
        <v>533</v>
      </c>
      <c r="E91" s="13">
        <v>42942.558553240742</v>
      </c>
      <c r="F91" s="13">
        <v>42942.563020833331</v>
      </c>
      <c r="G91" s="7">
        <v>1</v>
      </c>
      <c r="H91" s="21" t="s">
        <v>889</v>
      </c>
      <c r="I91" s="13">
        <v>42942.588113425925</v>
      </c>
      <c r="J91" s="7">
        <v>0</v>
      </c>
      <c r="K91" s="89" t="str">
        <f>IF(ISEVEN(B91),(B91-1)&amp;"/"&amp;B91,B91&amp;"/"&amp;(B91+1))</f>
        <v>4005/4006</v>
      </c>
      <c r="L91" s="21" t="str">
        <f>VLOOKUP(A91,'Trips&amp;Operators'!$C$1:$G$99999,5,FALSE)</f>
        <v>BRUDER RICHARD</v>
      </c>
      <c r="M91" s="6">
        <f>I91-F91</f>
        <v>2.5092592593864538E-2</v>
      </c>
      <c r="N91" s="7">
        <f>24*60*SUM($M91:$M91)</f>
        <v>36.133333335164934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-26T12:24:19-0600',mode:absolute,to:'2017-07-26T15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4.2599999999999999E-2</v>
      </c>
      <c r="Z91" s="197">
        <f>RIGHT(H91,LEN(H91)-4)/10000</f>
        <v>23.329799999999999</v>
      </c>
      <c r="AA91" s="197">
        <f>ABS(Z91-Y91)</f>
        <v>23.287199999999999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/stypes="app*4006*20170726*"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8"/>
        <v>"%USERPROFILE%\Documents\GitHub\eaglep3\Utilities\RefineRTDCRunTimes.py" --tripid 179-26 --locoid 4006 --swversion DE.1.0.9.0 --startMP 204:426 --initTime 2017-07-26T13:24:19 --startdatetime 2017-07-26T13:30:45 --delay 1 --endMP 204:233298 --enddatetime 2017-07-26T14:06:53 --enforcementcount 0 &gt;&gt;C:\Users\stu\Documents\GitHub\eaglep3-reporting\EC\2017-07-26-refined-times.txt</v>
      </c>
      <c r="AI9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{"issue":{"subject":"","project_id":79,"tracker_id":40,"status_id":1,"priority_id":2,"assigned_to_id":23,"start_date":"2017-07-26","description":"","custom_fields":[{"id":1,"name":"Subdivision","value":"EC"},{"id":4,"name":"Milepost","value":"23.3298"},{"id":17,"name":"Train ID","value":"179-26"},{"id":16,"name":"Locomotive ID","value":"4006"},{"id":130,"name":"Impact","value":""},{"id":150,"name":"Time of Event (Mountain Time)","value":"14:06:53"},{"id":151,"name":"Denver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4006 --day 2017-07-26</v>
      </c>
      <c r="AN91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643</v>
      </c>
      <c r="B92" s="7">
        <v>4005</v>
      </c>
      <c r="C92" s="21" t="s">
        <v>198</v>
      </c>
      <c r="D92" s="21" t="s">
        <v>523</v>
      </c>
      <c r="E92" s="13">
        <v>42942.598530092589</v>
      </c>
      <c r="F92" s="13">
        <v>42942.602361111109</v>
      </c>
      <c r="G92" s="7">
        <v>1</v>
      </c>
      <c r="H92" s="21" t="s">
        <v>341</v>
      </c>
      <c r="I92" s="13">
        <v>42942.628587962965</v>
      </c>
      <c r="J92" s="7">
        <v>0</v>
      </c>
      <c r="K92" s="89" t="str">
        <f>IF(ISEVEN(B92),(B92-1)&amp;"/"&amp;B92,B92&amp;"/"&amp;(B92+1))</f>
        <v>4005/4006</v>
      </c>
      <c r="L92" s="21" t="str">
        <f>VLOOKUP(A92,'Trips&amp;Operators'!$C$1:$G$99999,5,FALSE)</f>
        <v>BRUDER RICHARD</v>
      </c>
      <c r="M92" s="6">
        <f>I92-F92</f>
        <v>2.6226851856335998E-2</v>
      </c>
      <c r="N92" s="7">
        <f>24*60*SUM($M92:$M92)</f>
        <v>37.766666673123837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-26T13:21:53-0600',mode:absolute,to:'2017-07-26T16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23.298500000000001</v>
      </c>
      <c r="Z92" s="197">
        <f>RIGHT(H92,LEN(H92)-4)/10000</f>
        <v>1.4999999999999999E-2</v>
      </c>
      <c r="AA92" s="197">
        <f>ABS(Z92-Y92)</f>
        <v>23.2835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/stypes="app*4005*20170726*" /stext=" 21:.+((SYSTEM_STATE.+slice.+state.+changed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8"/>
        <v>"%USERPROFILE%\Documents\GitHub\eaglep3\Utilities\RefineRTDCRunTimes.py" --tripid 180-26 --locoid 4005 --swversion DE.1.0.9.0 --startMP 204:232985 --initTime 2017-07-26T14:21:53 --startdatetime 2017-07-26T14:27:24 --delay 1 --endMP 204:150 --enddatetime 2017-07-26T15:05:10 --enforcementcount 0 &gt;&gt;C:\Users\stu\Documents\GitHub\eaglep3-reporting\EC\2017-07-26-refined-times.txt</v>
      </c>
      <c r="AI92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{"issue":{"subject":"","project_id":79,"tracker_id":40,"status_id":1,"priority_id":2,"assigned_to_id":23,"start_date":"2017-07-26","description":"","custom_fields":[{"id":1,"name":"Subdivision","value":"EC"},{"id":4,"name":"Milepost","value":"0.015"},{"id":17,"name":"Train ID","value":"180-26"},{"id":16,"name":"Locomotive ID","value":"4005"},{"id":130,"name":"Impact","value":""},{"id":150,"name":"Time of Event (Mountain Time)","value":"15:05:10"},{"id":151,"name":"Denver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4005 --day 2017-07-26</v>
      </c>
      <c r="AN92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769</v>
      </c>
      <c r="B93" s="7">
        <v>4002</v>
      </c>
      <c r="C93" s="21" t="s">
        <v>198</v>
      </c>
      <c r="D93" s="21" t="s">
        <v>533</v>
      </c>
      <c r="E93" s="13">
        <v>42942.56890046296</v>
      </c>
      <c r="F93" s="13">
        <v>42942.573460648149</v>
      </c>
      <c r="G93" s="7">
        <v>1</v>
      </c>
      <c r="H93" s="21" t="s">
        <v>902</v>
      </c>
      <c r="I93" s="13">
        <v>42942.598599537036</v>
      </c>
      <c r="J93" s="7">
        <v>0</v>
      </c>
      <c r="K93" s="89" t="str">
        <f>IF(ISEVEN(B93),(B93-1)&amp;"/"&amp;B93,B93&amp;"/"&amp;(B93+1))</f>
        <v>4001/4002</v>
      </c>
      <c r="L93" s="21" t="str">
        <f>VLOOKUP(A93,'Trips&amp;Operators'!$C$1:$G$99999,5,FALSE)</f>
        <v>LEVIN SCOTT</v>
      </c>
      <c r="M93" s="6">
        <f>I93-F93</f>
        <v>2.5138888886431232E-2</v>
      </c>
      <c r="N93" s="7">
        <f>24*60*SUM($M93:$M93)</f>
        <v>36.199999996460974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-26T12:39:13-0600',mode:absolute,to:'2017-07-26T15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4.2599999999999999E-2</v>
      </c>
      <c r="Z93" s="197">
        <f>RIGHT(H93,LEN(H93)-4)/10000</f>
        <v>23.342199999999998</v>
      </c>
      <c r="AA93" s="197">
        <f>ABS(Z93-Y93)</f>
        <v>23.299599999999998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/stypes="app*4002*20170726*"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8"/>
        <v>"%USERPROFILE%\Documents\GitHub\eaglep3\Utilities\RefineRTDCRunTimes.py" --tripid 181-26 --locoid 4002 --swversion DE.1.0.9.0 --startMP 204:426 --initTime 2017-07-26T13:39:13 --startdatetime 2017-07-26T13:45:47 --delay 1 --endMP 204:233422 --enddatetime 2017-07-26T14:21:59 --enforcementcount 0 &gt;&gt;C:\Users\stu\Documents\GitHub\eaglep3-reporting\EC\2017-07-26-refined-times.txt</v>
      </c>
      <c r="AI93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{"issue":{"subject":"","project_id":79,"tracker_id":40,"status_id":1,"priority_id":2,"assigned_to_id":23,"start_date":"2017-07-26","description":"","custom_fields":[{"id":1,"name":"Subdivision","value":"EC"},{"id":4,"name":"Milepost","value":"23.3422"},{"id":17,"name":"Train ID","value":"181-26"},{"id":16,"name":"Locomotive ID","value":"4002"},{"id":130,"name":"Impact","value":""},{"id":150,"name":"Time of Event (Mountain Time)","value":"14:21:59"},{"id":151,"name":"Denver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4002 --day 2017-07-26</v>
      </c>
      <c r="AN93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777</v>
      </c>
      <c r="B94" s="7">
        <v>4001</v>
      </c>
      <c r="C94" s="21" t="s">
        <v>198</v>
      </c>
      <c r="D94" s="21" t="s">
        <v>903</v>
      </c>
      <c r="E94" s="13">
        <v>42942.609050925923</v>
      </c>
      <c r="F94" s="13">
        <v>42942.612800925926</v>
      </c>
      <c r="G94" s="7">
        <v>2</v>
      </c>
      <c r="H94" s="21" t="s">
        <v>871</v>
      </c>
      <c r="I94" s="13">
        <v>42942.639768518522</v>
      </c>
      <c r="J94" s="7">
        <v>0</v>
      </c>
      <c r="K94" s="89" t="str">
        <f>IF(ISEVEN(B94),(B94-1)&amp;"/"&amp;B94,B94&amp;"/"&amp;(B94+1))</f>
        <v>4001/4002</v>
      </c>
      <c r="L94" s="21" t="str">
        <f>VLOOKUP(A94,'Trips&amp;Operators'!$C$1:$G$99999,5,FALSE)</f>
        <v>LEVIN SCOTT</v>
      </c>
      <c r="M94" s="6">
        <f>I94-F94</f>
        <v>2.6967592595610768E-2</v>
      </c>
      <c r="N94" s="7">
        <f>24*60*SUM($M94:$M94)</f>
        <v>38.833333337679505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-26T13:37:02-0600',mode:absolute,to:'2017-07-26T16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23.309200000000001</v>
      </c>
      <c r="Z94" s="197">
        <f>RIGHT(H94,LEN(H94)-4)/10000</f>
        <v>1.32E-2</v>
      </c>
      <c r="AA94" s="197">
        <f>ABS(Z94-Y94)</f>
        <v>23.295999999999999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/stypes="app*4001*20170726*"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8"/>
        <v>"%USERPROFILE%\Documents\GitHub\eaglep3\Utilities\RefineRTDCRunTimes.py" --tripid 182-26 --locoid 4001 --swversion DE.1.0.9.0 --startMP 204:233092 --initTime 2017-07-26T14:37:02 --startdatetime 2017-07-26T14:42:26 --delay 2 --endMP 204:132 --enddatetime 2017-07-26T15:21:16 --enforcementcount 0 &gt;&gt;C:\Users\stu\Documents\GitHub\eaglep3-reporting\EC\2017-07-26-refined-times.txt</v>
      </c>
      <c r="AI94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{"issue":{"subject":"","project_id":79,"tracker_id":40,"status_id":1,"priority_id":2,"assigned_to_id":23,"start_date":"2017-07-26","description":"","custom_fields":[{"id":1,"name":"Subdivision","value":"EC"},{"id":4,"name":"Milepost","value":"0.0132"},{"id":17,"name":"Train ID","value":"182-26"},{"id":16,"name":"Locomotive ID","value":"4001"},{"id":130,"name":"Impact","value":""},{"id":150,"name":"Time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4001 --day 2017-07-26</v>
      </c>
      <c r="AN94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771</v>
      </c>
      <c r="B95" s="7">
        <v>4016</v>
      </c>
      <c r="C95" s="21" t="s">
        <v>198</v>
      </c>
      <c r="D95" s="21" t="s">
        <v>904</v>
      </c>
      <c r="E95" s="13">
        <v>42942.577951388892</v>
      </c>
      <c r="F95" s="13">
        <v>42942.584143518521</v>
      </c>
      <c r="G95" s="7">
        <v>1</v>
      </c>
      <c r="H95" s="21" t="s">
        <v>905</v>
      </c>
      <c r="I95" s="13">
        <v>42942.609293981484</v>
      </c>
      <c r="J95" s="7">
        <v>0</v>
      </c>
      <c r="K95" s="89" t="str">
        <f>IF(ISEVEN(B95),(B95-1)&amp;"/"&amp;B95,B95&amp;"/"&amp;(B95+1))</f>
        <v>4015/4016</v>
      </c>
      <c r="L95" s="21" t="str">
        <f>VLOOKUP(A95,'Trips&amp;Operators'!$C$1:$G$99999,5,FALSE)</f>
        <v>BIRKHOLZ NADINE</v>
      </c>
      <c r="M95" s="6">
        <f>I95-F95</f>
        <v>2.5150462963210884E-2</v>
      </c>
      <c r="N95" s="7">
        <f>24*60*SUM($M95:$M95)</f>
        <v>36.216666667023674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-26T12:52:15-0600',mode:absolute,to:'2017-07-26T15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4.3700000000000003E-2</v>
      </c>
      <c r="Z95" s="197">
        <f>RIGHT(H95,LEN(H95)-4)/10000</f>
        <v>23.33</v>
      </c>
      <c r="AA95" s="197">
        <f>ABS(Z95-Y95)</f>
        <v>23.286299999999997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/stypes="app*4016*20170726*"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8"/>
        <v>"%USERPROFILE%\Documents\GitHub\eaglep3\Utilities\RefineRTDCRunTimes.py" --tripid 183-26 --locoid 4016 --swversion DE.1.0.9.0 --startMP 204:437 --initTime 2017-07-26T13:52:15 --startdatetime 2017-07-26T14:01:10 --delay 1 --endMP 204:233300 --enddatetime 2017-07-26T14:37:23 --enforcementcount 0 &gt;&gt;C:\Users\stu\Documents\GitHub\eaglep3-reporting\EC\2017-07-26-refined-times.txt</v>
      </c>
      <c r="AI95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{"issue":{"subject":"","project_id":79,"tracker_id":40,"status_id":1,"priority_id":2,"assigned_to_id":23,"start_date":"2017-07-26","description":"","custom_fields":[{"id":1,"name":"Subdivision","value":"EC"},{"id":4,"name":"Milepost","value":"23.33"},{"id":17,"name":"Train ID","value":"183-26"},{"id":16,"name":"Locomotive ID","value":"4016"},{"id":130,"name":"Impact","value":""},{"id":150,"name":"Time of Event (Mountain Time)","value":"14:37:23"},{"id":151,"name":"Denver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0"/>
        <v>start /low /b %USERPROFILE%\Documents\GitHub\eaglep3\Utilities\DownloadLogsFromS3.py --loco 4016 --day 2017-07-26</v>
      </c>
      <c r="AN95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778</v>
      </c>
      <c r="B96" s="7">
        <v>4015</v>
      </c>
      <c r="C96" s="21" t="s">
        <v>198</v>
      </c>
      <c r="D96" s="21" t="s">
        <v>452</v>
      </c>
      <c r="E96" s="13">
        <v>42942.616875</v>
      </c>
      <c r="F96" s="13">
        <v>42942.623124999998</v>
      </c>
      <c r="G96" s="7">
        <v>1</v>
      </c>
      <c r="H96" s="21" t="s">
        <v>341</v>
      </c>
      <c r="I96" s="13">
        <v>42942.650520833333</v>
      </c>
      <c r="J96" s="7">
        <v>0</v>
      </c>
      <c r="K96" s="89" t="str">
        <f>IF(ISEVEN(B96),(B96-1)&amp;"/"&amp;B96,B96&amp;"/"&amp;(B96+1))</f>
        <v>4015/4016</v>
      </c>
      <c r="L96" s="21" t="str">
        <f>VLOOKUP(A96,'Trips&amp;Operators'!$C$1:$G$99999,5,FALSE)</f>
        <v>BIRKHOLZ NADINE</v>
      </c>
      <c r="M96" s="6">
        <f>I96-F96</f>
        <v>2.7395833334594499E-2</v>
      </c>
      <c r="N96" s="7">
        <f>24*60*SUM($M96:$M96)</f>
        <v>39.450000001816079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-26T13:48:18-0600',mode:absolute,to:'2017-07-26T16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23.299399999999999</v>
      </c>
      <c r="Z96" s="197">
        <f>RIGHT(H96,LEN(H96)-4)/10000</f>
        <v>1.4999999999999999E-2</v>
      </c>
      <c r="AA96" s="197">
        <f>ABS(Z96-Y96)</f>
        <v>23.284399999999998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/stypes="app*4015*20170726*"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8"/>
        <v>"%USERPROFILE%\Documents\GitHub\eaglep3\Utilities\RefineRTDCRunTimes.py" --tripid 184-26 --locoid 4015 --swversion DE.1.0.9.0 --startMP 204:232994 --initTime 2017-07-26T14:48:18 --startdatetime 2017-07-26T14:57:18 --delay 1 --endMP 204:150 --enddatetime 2017-07-26T15:36:45 --enforcementcount 0 &gt;&gt;C:\Users\stu\Documents\GitHub\eaglep3-reporting\EC\2017-07-26-refined-times.txt</v>
      </c>
      <c r="AI96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{"issue":{"subject":"","project_id":79,"tracker_id":40,"status_id":1,"priority_id":2,"assigned_to_id":23,"start_date":"2017-07-26","description":"","custom_fields":[{"id":1,"name":"Subdivision","value":"EC"},{"id":4,"name":"Milepost","value":"0.015"},{"id":17,"name":"Train ID","value":"184-26"},{"id":16,"name":"Locomotive ID","value":"4015"},{"id":130,"name":"Impact","value":""},{"id":150,"name":"Time of Event (Mountain Time)","value":"15:36:45"},{"id":151,"name":"Denver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0"/>
        <v>start /low /b %USERPROFILE%\Documents\GitHub\eaglep3\Utilities\DownloadLogsFromS3.py --loco 4015 --day 2017-07-26</v>
      </c>
      <c r="AN96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774</v>
      </c>
      <c r="B97" s="7">
        <v>4008</v>
      </c>
      <c r="C97" s="21" t="s">
        <v>198</v>
      </c>
      <c r="D97" s="21" t="s">
        <v>465</v>
      </c>
      <c r="E97" s="13">
        <v>42942.591909722221</v>
      </c>
      <c r="F97" s="13">
        <v>42942.594201388885</v>
      </c>
      <c r="G97" s="7">
        <v>1</v>
      </c>
      <c r="H97" s="21" t="s">
        <v>906</v>
      </c>
      <c r="I97" s="13">
        <v>42942.621122685188</v>
      </c>
      <c r="J97" s="7">
        <v>0</v>
      </c>
      <c r="K97" s="89" t="str">
        <f>IF(ISEVEN(B97),(B97-1)&amp;"/"&amp;B97,B97&amp;"/"&amp;(B97+1))</f>
        <v>4007/4008</v>
      </c>
      <c r="L97" s="21" t="str">
        <f>VLOOKUP(A97,'Trips&amp;Operators'!$C$1:$G$99999,5,FALSE)</f>
        <v>DAVIS MICHAEL</v>
      </c>
      <c r="M97" s="6">
        <f>I97-F97</f>
        <v>2.6921296303044073E-2</v>
      </c>
      <c r="N97" s="7">
        <f>24*60*SUM($M97:$M97)</f>
        <v>38.766666676383466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-26T13:12:21-0600',mode:absolute,to:'2017-07-26T15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4.3999999999999997E-2</v>
      </c>
      <c r="Z97" s="197">
        <f>RIGHT(H97,LEN(H97)-4)/10000</f>
        <v>23.334099999999999</v>
      </c>
      <c r="AA97" s="197">
        <f>ABS(Z97-Y97)</f>
        <v>23.290099999999999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/stypes="app*4008*20170726*"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8"/>
        <v>"%USERPROFILE%\Documents\GitHub\eaglep3\Utilities\RefineRTDCRunTimes.py" --tripid 185-26 --locoid 4008 --swversion DE.1.0.9.0 --startMP 204:440 --initTime 2017-07-26T14:12:21 --startdatetime 2017-07-26T14:15:39 --delay 1 --endMP 204:233341 --enddatetime 2017-07-26T14:54:25 --enforcementcount 0 &gt;&gt;C:\Users\stu\Documents\GitHub\eaglep3-reporting\EC\2017-07-26-refined-times.txt</v>
      </c>
      <c r="AI97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{"issue":{"subject":"","project_id":79,"tracker_id":40,"status_id":1,"priority_id":2,"assigned_to_id":23,"start_date":"2017-07-26","description":"","custom_fields":[{"id":1,"name":"Subdivision","value":"EC"},{"id":4,"name":"Milepost","value":"23.3341"},{"id":17,"name":"Train ID","value":"185-26"},{"id":16,"name":"Locomotive ID","value":"4008"},{"id":130,"name":"Impact","value":""},{"id":150,"name":"Time of Event (Mountain Time)","value":"14:54:25"},{"id":151,"name":"Denver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0"/>
        <v>start /low /b %USERPROFILE%\Documents\GitHub\eaglep3\Utilities\DownloadLogsFromS3.py --loco 4008 --day 2017-07-26</v>
      </c>
      <c r="AN97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780</v>
      </c>
      <c r="B98" s="7">
        <v>4007</v>
      </c>
      <c r="C98" s="21" t="s">
        <v>198</v>
      </c>
      <c r="D98" s="21" t="s">
        <v>907</v>
      </c>
      <c r="E98" s="13">
        <v>42942.630856481483</v>
      </c>
      <c r="F98" s="13">
        <v>42942.633645833332</v>
      </c>
      <c r="G98" s="7">
        <v>1</v>
      </c>
      <c r="H98" s="21" t="s">
        <v>908</v>
      </c>
      <c r="I98" s="13">
        <v>42942.663206018522</v>
      </c>
      <c r="J98" s="7">
        <v>0</v>
      </c>
      <c r="K98" s="89" t="str">
        <f>IF(ISEVEN(B98),(B98-1)&amp;"/"&amp;B98,B98&amp;"/"&amp;(B98+1))</f>
        <v>4007/4008</v>
      </c>
      <c r="L98" s="21" t="str">
        <f>VLOOKUP(A98,'Trips&amp;Operators'!$C$1:$G$99999,5,FALSE)</f>
        <v>DAVIS MICHAEL</v>
      </c>
      <c r="M98" s="6">
        <f>I98-F98</f>
        <v>2.956018519034842E-2</v>
      </c>
      <c r="N98" s="7">
        <f>24*60*SUM($M98:$M98)</f>
        <v>42.566666674101725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-26T14:08:26-0600',mode:absolute,to:'2017-07-26T16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23.298999999999999</v>
      </c>
      <c r="Z98" s="197">
        <f>RIGHT(H98,LEN(H98)-4)/10000</f>
        <v>1.0500000000000001E-2</v>
      </c>
      <c r="AA98" s="197">
        <f>ABS(Z98-Y98)</f>
        <v>23.288499999999999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/stypes="app*4007*20170726*"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8"/>
        <v>"%USERPROFILE%\Documents\GitHub\eaglep3\Utilities\RefineRTDCRunTimes.py" --tripid 186-26 --locoid 4007 --swversion DE.1.0.9.0 --startMP 204:232990 --initTime 2017-07-26T15:08:26 --startdatetime 2017-07-26T15:12:27 --delay 1 --endMP 204:105 --enddatetime 2017-07-26T15:55:01 --enforcementcount 0 &gt;&gt;C:\Users\stu\Documents\GitHub\eaglep3-reporting\EC\2017-07-26-refined-times.txt</v>
      </c>
      <c r="AI98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{"issue":{"subject":"","project_id":79,"tracker_id":40,"status_id":1,"priority_id":2,"assigned_to_id":23,"start_date":"2017-07-26","description":"","custom_fields":[{"id":1,"name":"Subdivision","value":"EC"},{"id":4,"name":"Milepost","value":"0.0105"},{"id":17,"name":"Train ID","value":"186-26"},{"id":16,"name":"Locomotive ID","value":"4007"},{"id":130,"name":"Impact","value":""},{"id":150,"name":"Time of Event (Mountain Time)","value":"15:55:01"},{"id":151,"name":"Denver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0"/>
        <v>start /low /b %USERPROFILE%\Documents\GitHub\eaglep3\Utilities\DownloadLogsFromS3.py --loco 4007 --day 2017-07-26</v>
      </c>
      <c r="AN98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775</v>
      </c>
      <c r="B99" s="7">
        <v>4056</v>
      </c>
      <c r="C99" s="21" t="s">
        <v>198</v>
      </c>
      <c r="D99" s="21" t="s">
        <v>345</v>
      </c>
      <c r="E99" s="13">
        <v>42942.598761574074</v>
      </c>
      <c r="F99" s="13">
        <v>42942.604687500003</v>
      </c>
      <c r="G99" s="7">
        <v>1</v>
      </c>
      <c r="H99" s="21" t="s">
        <v>458</v>
      </c>
      <c r="I99" s="13">
        <v>42942.629201388889</v>
      </c>
      <c r="J99" s="7">
        <v>0</v>
      </c>
      <c r="K99" s="89" t="str">
        <f>IF(ISEVEN(B99),(B99-1)&amp;"/"&amp;B99,B99&amp;"/"&amp;(B99+1))</f>
        <v>4055/4056</v>
      </c>
      <c r="L99" s="21" t="str">
        <f>VLOOKUP(A99,'Trips&amp;Operators'!$C$1:$G$99999,5,FALSE)</f>
        <v>LOPES KIMBERLY</v>
      </c>
      <c r="M99" s="6">
        <f>I99-F99</f>
        <v>2.4513888885849155E-2</v>
      </c>
      <c r="N99" s="7">
        <f>24*60*SUM($M99:$M99)</f>
        <v>35.299999995622784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-26T13:22:13-0600',mode:absolute,to:'2017-07-26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4.5100000000000001E-2</v>
      </c>
      <c r="Z99" s="197">
        <f>RIGHT(H99,LEN(H99)-4)/10000</f>
        <v>23.331900000000001</v>
      </c>
      <c r="AA99" s="197">
        <f>ABS(Z99-Y99)</f>
        <v>23.286799999999999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/stypes="app*4056*20170726*"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8"/>
        <v>"%USERPROFILE%\Documents\GitHub\eaglep3\Utilities\RefineRTDCRunTimes.py" --tripid 187-26 --locoid 4056 --swversion DE.1.0.9.0 --startMP 204:451 --initTime 2017-07-26T14:22:13 --startdatetime 2017-07-26T14:30:45 --delay 1 --endMP 204:233319 --enddatetime 2017-07-26T15:06:03 --enforcementcount 0 &gt;&gt;C:\Users\stu\Documents\GitHub\eaglep3-reporting\EC\2017-07-26-refined-times.txt</v>
      </c>
      <c r="AI9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{"issue":{"subject":"","project_id":79,"tracker_id":40,"status_id":1,"priority_id":2,"assigned_to_id":23,"start_date":"2017-07-26","description":"","custom_fields":[{"id":1,"name":"Subdivision","value":"EC"},{"id":4,"name":"Milepost","value":"23.3319"},{"id":17,"name":"Train ID","value":"187-26"},{"id":16,"name":"Locomotive ID","value":"4056"},{"id":130,"name":"Impact","value":""},{"id":150,"name":"Time of Event (Mountain Time)","value":"15:06:03"},{"id":151,"name":"Denver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0"/>
        <v>start /low /b %USERPROFILE%\Documents\GitHub\eaglep3\Utilities\DownloadLogsFromS3.py --loco 4056 --day 2017-07-26</v>
      </c>
      <c r="AN99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782</v>
      </c>
      <c r="B100" s="7">
        <v>4055</v>
      </c>
      <c r="C100" s="21" t="s">
        <v>198</v>
      </c>
      <c r="D100" s="21" t="s">
        <v>466</v>
      </c>
      <c r="E100" s="13">
        <v>42942.634652777779</v>
      </c>
      <c r="F100" s="13">
        <v>42942.644236111111</v>
      </c>
      <c r="G100" s="7">
        <v>0</v>
      </c>
      <c r="H100" s="21" t="s">
        <v>909</v>
      </c>
      <c r="I100" s="13">
        <v>42942.67082175926</v>
      </c>
      <c r="J100" s="7">
        <v>0</v>
      </c>
      <c r="K100" s="89" t="str">
        <f>IF(ISEVEN(B100),(B100-1)&amp;"/"&amp;B100,B100&amp;"/"&amp;(B100+1))</f>
        <v>4055/4056</v>
      </c>
      <c r="L100" s="21" t="str">
        <f>VLOOKUP(A100,'Trips&amp;Operators'!$C$1:$G$99999,5,FALSE)</f>
        <v>LOPES KIMBERLY</v>
      </c>
      <c r="M100" s="6">
        <f>I100-F100</f>
        <v>2.658564814919373E-2</v>
      </c>
      <c r="N100" s="7">
        <f>24*60*SUM($M100:$M100)</f>
        <v>38.283333334838971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-26T14:13:54-0600',mode:absolute,to:'2017-07-26T17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23.299800000000001</v>
      </c>
      <c r="Z100" s="197">
        <f>RIGHT(H100,LEN(H100)-4)/10000</f>
        <v>1.3599999999999999E-2</v>
      </c>
      <c r="AA100" s="197">
        <f>ABS(Z100-Y100)</f>
        <v>23.286200000000001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/stypes="app*4055*20170726*" /stext=" 22:.+((SYSTEM_STATE.+slice.+state.+changed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8"/>
        <v>"%USERPROFILE%\Documents\GitHub\eaglep3\Utilities\RefineRTDCRunTimes.py" --tripid 188-26 --locoid 4055 --swversion DE.1.0.9.0 --startMP 204:232998 --initTime 2017-07-26T15:13:54 --startdatetime 2017-07-26T15:27:42 --delay 0 --endMP 204:136 --enddatetime 2017-07-26T16:05:59 --enforcementcount 0 &gt;&gt;C:\Users\stu\Documents\GitHub\eaglep3-reporting\EC\2017-07-26-refined-times.txt</v>
      </c>
      <c r="AI10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{"issue":{"subject":"","project_id":79,"tracker_id":40,"status_id":1,"priority_id":2,"assigned_to_id":23,"start_date":"2017-07-26","description":"","custom_fields":[{"id":1,"name":"Subdivision","value":"EC"},{"id":4,"name":"Milepost","value":"0.0136"},{"id":17,"name":"Train ID","value":"188-26"},{"id":16,"name":"Locomotive ID","value":"4055"},{"id":130,"name":"Impact","value":""},{"id":150,"name":"Time of Event (Mountain Time)","value":"16:05:59"},{"id":151,"name":"Denver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4055 --day 2017-07-26</v>
      </c>
      <c r="AN100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645</v>
      </c>
      <c r="B101" s="7">
        <v>4004</v>
      </c>
      <c r="C101" s="21" t="s">
        <v>198</v>
      </c>
      <c r="D101" s="21" t="s">
        <v>583</v>
      </c>
      <c r="E101" s="13">
        <v>42942.611215277779</v>
      </c>
      <c r="F101" s="13">
        <v>42942.615231481483</v>
      </c>
      <c r="G101" s="7">
        <v>1</v>
      </c>
      <c r="H101" s="21" t="s">
        <v>910</v>
      </c>
      <c r="I101" s="13">
        <v>42942.642164351855</v>
      </c>
      <c r="J101" s="7">
        <v>0</v>
      </c>
      <c r="K101" s="89" t="str">
        <f>IF(ISEVEN(B101),(B101-1)&amp;"/"&amp;B101,B101&amp;"/"&amp;(B101+1))</f>
        <v>4003/4004</v>
      </c>
      <c r="L101" s="21" t="str">
        <f>VLOOKUP(A101,'Trips&amp;Operators'!$C$1:$G$99999,5,FALSE)</f>
        <v>STEWART MICHAEL</v>
      </c>
      <c r="M101" s="6">
        <f>I101-F101</f>
        <v>2.6932870372547768E-2</v>
      </c>
      <c r="N101" s="7">
        <f>24*60*SUM($M101:$M101)</f>
        <v>38.783333336468786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-26T13:40:09-0600',mode:absolute,to:'2017-07-26T16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4.6899999999999997E-2</v>
      </c>
      <c r="Z101" s="197">
        <f>RIGHT(H101,LEN(H101)-4)/10000</f>
        <v>23.293600000000001</v>
      </c>
      <c r="AA101" s="197">
        <f>ABS(Z101-Y101)</f>
        <v>23.246700000000001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/stypes="app*4004*20170726*"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8"/>
        <v>"%USERPROFILE%\Documents\GitHub\eaglep3\Utilities\RefineRTDCRunTimes.py" --tripid 189-26 --locoid 4004 --swversion DE.1.0.9.0 --startMP 204:469 --initTime 2017-07-26T14:40:09 --startdatetime 2017-07-26T14:45:56 --delay 1 --endMP 204:232936 --enddatetime 2017-07-26T15:24:43 --enforcementcount 0 &gt;&gt;C:\Users\stu\Documents\GitHub\eaglep3-reporting\EC\2017-07-26-refined-times.txt</v>
      </c>
      <c r="AI10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{"issue":{"subject":"","project_id":79,"tracker_id":40,"status_id":1,"priority_id":2,"assigned_to_id":23,"start_date":"2017-07-26","description":"","custom_fields":[{"id":1,"name":"Subdivision","value":"EC"},{"id":4,"name":"Milepost","value":"23.2936"},{"id":17,"name":"Train ID","value":"189-26"},{"id":16,"name":"Locomotive ID","value":"4004"},{"id":130,"name":"Impact","value":""},{"id":150,"name":"Time of Event (Mountain Time)","value":"15:24:43"},{"id":151,"name":"Denver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4004 --day 2017-07-26</v>
      </c>
      <c r="AN101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785</v>
      </c>
      <c r="B102" s="7">
        <v>4003</v>
      </c>
      <c r="C102" s="21" t="s">
        <v>198</v>
      </c>
      <c r="D102" s="21" t="s">
        <v>477</v>
      </c>
      <c r="E102" s="13">
        <v>42942.650891203702</v>
      </c>
      <c r="F102" s="13">
        <v>42942.654560185183</v>
      </c>
      <c r="G102" s="7">
        <v>1</v>
      </c>
      <c r="H102" s="21" t="s">
        <v>453</v>
      </c>
      <c r="I102" s="13">
        <v>42942.681284722225</v>
      </c>
      <c r="J102" s="7">
        <v>0</v>
      </c>
      <c r="K102" s="89" t="str">
        <f>IF(ISEVEN(B102),(B102-1)&amp;"/"&amp;B102,B102&amp;"/"&amp;(B102+1))</f>
        <v>4003/4004</v>
      </c>
      <c r="L102" s="21" t="str">
        <f>VLOOKUP(A102,'Trips&amp;Operators'!$C$1:$G$99999,5,FALSE)</f>
        <v>STEWART MICHAEL</v>
      </c>
      <c r="M102" s="6">
        <f>I102-F102</f>
        <v>2.6724537041445728E-2</v>
      </c>
      <c r="N102" s="7">
        <f>24*60*SUM($M102:$M102)</f>
        <v>38.483333339681849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-26T14:37:17-0600',mode:absolute,to:'2017-07-26T17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23.297799999999999</v>
      </c>
      <c r="Z102" s="197">
        <f>RIGHT(H102,LEN(H102)-4)/10000</f>
        <v>1.52E-2</v>
      </c>
      <c r="AA102" s="197">
        <f>ABS(Z102-Y102)</f>
        <v>23.282599999999999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/stypes="app*4003*20170726*"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8"/>
        <v>"%USERPROFILE%\Documents\GitHub\eaglep3\Utilities\RefineRTDCRunTimes.py" --tripid 190-26 --locoid 4003 --swversion DE.1.0.9.0 --startMP 204:232978 --initTime 2017-07-26T15:37:17 --startdatetime 2017-07-26T15:42:34 --delay 1 --endMP 204:152 --enddatetime 2017-07-26T16:21:03 --enforcementcount 0 &gt;&gt;C:\Users\stu\Documents\GitHub\eaglep3-reporting\EC\2017-07-26-refined-times.txt</v>
      </c>
      <c r="AI102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{"issue":{"subject":"","project_id":79,"tracker_id":40,"status_id":1,"priority_id":2,"assigned_to_id":23,"start_date":"2017-07-26","description":"","custom_fields":[{"id":1,"name":"Subdivision","value":"EC"},{"id":4,"name":"Milepost","value":"0.0152"},{"id":17,"name":"Train ID","value":"190-26"},{"id":16,"name":"Locomotive ID","value":"4003"},{"id":130,"name":"Impact","value":""},{"id":150,"name":"Time of Event (Mountain Time)","value":"16:21:03"},{"id":151,"name":"Denver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4003 --day 2017-07-26</v>
      </c>
      <c r="AN102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779</v>
      </c>
      <c r="B103" s="7">
        <v>4024</v>
      </c>
      <c r="C103" s="21" t="s">
        <v>198</v>
      </c>
      <c r="D103" s="21" t="s">
        <v>347</v>
      </c>
      <c r="E103" s="13">
        <v>42942.618321759262</v>
      </c>
      <c r="F103" s="13">
        <v>42942.625543981485</v>
      </c>
      <c r="G103" s="7">
        <v>1</v>
      </c>
      <c r="H103" s="21" t="s">
        <v>531</v>
      </c>
      <c r="I103" s="13">
        <v>42942.650543981479</v>
      </c>
      <c r="J103" s="7">
        <v>0</v>
      </c>
      <c r="K103" s="89" t="str">
        <f>IF(ISEVEN(B103),(B103-1)&amp;"/"&amp;B103,B103&amp;"/"&amp;(B103+1))</f>
        <v>4023/4024</v>
      </c>
      <c r="L103" s="21" t="str">
        <f>VLOOKUP(A103,'Trips&amp;Operators'!$C$1:$G$99999,5,FALSE)</f>
        <v>ELBAUM MIKE</v>
      </c>
      <c r="M103" s="6">
        <f>I103-F103</f>
        <v>2.4999999994179234E-2</v>
      </c>
      <c r="N103" s="7">
        <f>24*60*SUM($M103:$M103)</f>
        <v>35.999999991618097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-26T13:50:23-0600',mode:absolute,to:'2017-07-26T16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4.53E-2</v>
      </c>
      <c r="Z103" s="197">
        <f>RIGHT(H103,LEN(H103)-4)/10000</f>
        <v>23.331399999999999</v>
      </c>
      <c r="AA103" s="197">
        <f>ABS(Z103-Y103)</f>
        <v>23.286099999999998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/stypes="app*4024*20170726*"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8"/>
        <v>"%USERPROFILE%\Documents\GitHub\eaglep3\Utilities\RefineRTDCRunTimes.py" --tripid 191-26 --locoid 4024 --swversion DE.1.0.9.0 --startMP 204:453 --initTime 2017-07-26T14:50:23 --startdatetime 2017-07-26T15:00:47 --delay 1 --endMP 204:233314 --enddatetime 2017-07-26T15:36:47 --enforcementcount 0 &gt;&gt;C:\Users\stu\Documents\GitHub\eaglep3-reporting\EC\2017-07-26-refined-times.txt</v>
      </c>
      <c r="AI103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{"issue":{"subject":"","project_id":79,"tracker_id":40,"status_id":1,"priority_id":2,"assigned_to_id":23,"start_date":"2017-07-26","description":"","custom_fields":[{"id":1,"name":"Subdivision","value":"EC"},{"id":4,"name":"Milepost","value":"23.3314"},{"id":17,"name":"Train ID","value":"191-26"},{"id":16,"name":"Locomotive ID","value":"4024"},{"id":130,"name":"Impact","value":""},{"id":150,"name":"Time of Event (Mountain Time)","value":"15:36:47"},{"id":151,"name":"Denver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4024 --day 2017-07-26</v>
      </c>
      <c r="AN103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786</v>
      </c>
      <c r="B104" s="7">
        <v>4023</v>
      </c>
      <c r="C104" s="21" t="s">
        <v>198</v>
      </c>
      <c r="D104" s="21" t="s">
        <v>466</v>
      </c>
      <c r="E104" s="13">
        <v>42942.651886574073</v>
      </c>
      <c r="F104" s="13">
        <v>42942.664756944447</v>
      </c>
      <c r="G104" s="7">
        <v>1</v>
      </c>
      <c r="H104" s="21" t="s">
        <v>351</v>
      </c>
      <c r="I104" s="13">
        <v>42942.691481481481</v>
      </c>
      <c r="J104" s="7">
        <v>0</v>
      </c>
      <c r="K104" s="89" t="str">
        <f>IF(ISEVEN(B104),(B104-1)&amp;"/"&amp;B104,B104&amp;"/"&amp;(B104+1))</f>
        <v>4023/4024</v>
      </c>
      <c r="L104" s="21" t="str">
        <f>VLOOKUP(A104,'Trips&amp;Operators'!$C$1:$G$99999,5,FALSE)</f>
        <v>ELBAUM MIKE</v>
      </c>
      <c r="M104" s="6">
        <f>I104-F104</f>
        <v>2.6724537034169771E-2</v>
      </c>
      <c r="N104" s="7">
        <f>24*60*SUM($M104:$M104)</f>
        <v>38.48333332920447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-26T14:38:43-0600',mode:absolute,to:'2017-07-26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23.299800000000001</v>
      </c>
      <c r="Z104" s="197">
        <f>RIGHT(H104,LEN(H104)-4)/10000</f>
        <v>1.41E-2</v>
      </c>
      <c r="AA104" s="197">
        <f>ABS(Z104-Y104)</f>
        <v>23.285700000000002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/stypes="app*4023*20170726*"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8"/>
        <v>"%USERPROFILE%\Documents\GitHub\eaglep3\Utilities\RefineRTDCRunTimes.py" --tripid 192-26 --locoid 4023 --swversion DE.1.0.9.0 --startMP 204:232998 --initTime 2017-07-26T15:38:43 --startdatetime 2017-07-26T15:57:15 --delay 1 --endMP 204:141 --enddatetime 2017-07-26T16:35:44 --enforcementcount 0 &gt;&gt;C:\Users\stu\Documents\GitHub\eaglep3-reporting\EC\2017-07-26-refined-times.txt</v>
      </c>
      <c r="AI104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{"issue":{"subject":"","project_id":79,"tracker_id":40,"status_id":1,"priority_id":2,"assigned_to_id":23,"start_date":"2017-07-26","description":"","custom_fields":[{"id":1,"name":"Subdivision","value":"EC"},{"id":4,"name":"Milepost","value":"0.0141"},{"id":17,"name":"Train ID","value":"192-26"},{"id":16,"name":"Locomotive ID","value":"4023"},{"id":130,"name":"Impact","value":""},{"id":150,"name":"Time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4023 --day 2017-07-26</v>
      </c>
      <c r="AN104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781</v>
      </c>
      <c r="B105" s="7">
        <v>4006</v>
      </c>
      <c r="C105" s="21" t="s">
        <v>198</v>
      </c>
      <c r="D105" s="21" t="s">
        <v>583</v>
      </c>
      <c r="E105" s="13">
        <v>42942.632245370369</v>
      </c>
      <c r="F105" s="13">
        <v>42942.635983796295</v>
      </c>
      <c r="G105" s="7">
        <v>1</v>
      </c>
      <c r="H105" s="21" t="s">
        <v>410</v>
      </c>
      <c r="I105" s="13">
        <v>42942.660902777781</v>
      </c>
      <c r="J105" s="7">
        <v>0</v>
      </c>
      <c r="K105" s="89" t="str">
        <f>IF(ISEVEN(B105),(B105-1)&amp;"/"&amp;B105,B105&amp;"/"&amp;(B105+1))</f>
        <v>4005/4006</v>
      </c>
      <c r="L105" s="21" t="str">
        <f>VLOOKUP(A105,'Trips&amp;Operators'!$C$1:$G$99999,5,FALSE)</f>
        <v>BRUDER RICHARD</v>
      </c>
      <c r="M105" s="6">
        <f>I105-F105</f>
        <v>2.4918981485825498E-2</v>
      </c>
      <c r="N105" s="7">
        <f>24*60*SUM($M105:$M105)</f>
        <v>35.883333339588717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-26T14:10:26-0600',mode:absolute,to:'2017-07-26T16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4.6899999999999997E-2</v>
      </c>
      <c r="Z105" s="197">
        <f>RIGHT(H105,LEN(H105)-4)/10000</f>
        <v>23.329699999999999</v>
      </c>
      <c r="AA105" s="197">
        <f>ABS(Z105-Y105)</f>
        <v>23.282799999999998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/stypes="app*4006*20170726*"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8"/>
        <v>"%USERPROFILE%\Documents\GitHub\eaglep3\Utilities\RefineRTDCRunTimes.py" --tripid 193-26 --locoid 4006 --swversion DE.1.0.9.0 --startMP 204:469 --initTime 2017-07-26T15:10:26 --startdatetime 2017-07-26T15:15:49 --delay 1 --endMP 204:233297 --enddatetime 2017-07-26T15:51:42 --enforcementcount 0 &gt;&gt;C:\Users\stu\Documents\GitHub\eaglep3-reporting\EC\2017-07-26-refined-times.txt</v>
      </c>
      <c r="AI105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{"issue":{"subject":"","project_id":79,"tracker_id":40,"status_id":1,"priority_id":2,"assigned_to_id":23,"start_date":"2017-07-26","description":"","custom_fields":[{"id":1,"name":"Subdivision","value":"EC"},{"id":4,"name":"Milepost","value":"23.3297"},{"id":17,"name":"Train ID","value":"193-26"},{"id":16,"name":"Locomotive ID","value":"4006"},{"id":130,"name":"Impact","value":""},{"id":150,"name":"Time of Event (Mountain Time)","value":"15:51:42"},{"id":151,"name":"Denver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4006 --day 2017-07-26</v>
      </c>
      <c r="AN105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791</v>
      </c>
      <c r="B106" s="7">
        <v>4005</v>
      </c>
      <c r="C106" s="21" t="s">
        <v>198</v>
      </c>
      <c r="D106" s="21" t="s">
        <v>564</v>
      </c>
      <c r="E106" s="13">
        <v>42942.672210648147</v>
      </c>
      <c r="F106" s="13">
        <v>42942.675173611111</v>
      </c>
      <c r="G106" s="7">
        <v>1</v>
      </c>
      <c r="H106" s="21" t="s">
        <v>453</v>
      </c>
      <c r="I106" s="13">
        <v>42942.701122685183</v>
      </c>
      <c r="J106" s="7">
        <v>0</v>
      </c>
      <c r="K106" s="89" t="str">
        <f>IF(ISEVEN(B106),(B106-1)&amp;"/"&amp;B106,B106&amp;"/"&amp;(B106+1))</f>
        <v>4005/4006</v>
      </c>
      <c r="L106" s="21" t="str">
        <f>VLOOKUP(A106,'Trips&amp;Operators'!$C$1:$G$99999,5,FALSE)</f>
        <v>BRUDER RICHARD</v>
      </c>
      <c r="M106" s="6">
        <f>I106-F106</f>
        <v>2.5949074071832001E-2</v>
      </c>
      <c r="N106" s="7">
        <f>24*60*SUM($M106:$M106)</f>
        <v>37.366666663438082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-26T15:07:59-0600',mode:absolute,to:'2017-07-26T17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23.297699999999999</v>
      </c>
      <c r="Z106" s="197">
        <f>RIGHT(H106,LEN(H106)-4)/10000</f>
        <v>1.52E-2</v>
      </c>
      <c r="AA106" s="197">
        <f>ABS(Z106-Y106)</f>
        <v>23.282499999999999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/stypes="app*4005*20170726*"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8"/>
        <v>"%USERPROFILE%\Documents\GitHub\eaglep3\Utilities\RefineRTDCRunTimes.py" --tripid 194-26 --locoid 4005 --swversion DE.1.0.9.0 --startMP 204:232977 --initTime 2017-07-26T16:07:59 --startdatetime 2017-07-26T16:12:15 --delay 1 --endMP 204:152 --enddatetime 2017-07-26T16:49:37 --enforcementcount 0 &gt;&gt;C:\Users\stu\Documents\GitHub\eaglep3-reporting\EC\2017-07-26-refined-times.txt</v>
      </c>
      <c r="AI106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{"issue":{"subject":"","project_id":79,"tracker_id":40,"status_id":1,"priority_id":2,"assigned_to_id":23,"start_date":"2017-07-26","description":"","custom_fields":[{"id":1,"name":"Subdivision","value":"EC"},{"id":4,"name":"Milepost","value":"0.0152"},{"id":17,"name":"Train ID","value":"194-26"},{"id":16,"name":"Locomotive ID","value":"4005"},{"id":130,"name":"Impact","value":""},{"id":150,"name":"Time of Event (Mountain Time)","value":"16:49:37"},{"id":151,"name":"Denver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4005 --day 2017-07-26</v>
      </c>
      <c r="AN106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647</v>
      </c>
      <c r="B107" s="7">
        <v>4002</v>
      </c>
      <c r="C107" s="21" t="s">
        <v>198</v>
      </c>
      <c r="D107" s="21" t="s">
        <v>911</v>
      </c>
      <c r="E107" s="13">
        <v>42942.643518518518</v>
      </c>
      <c r="F107" s="13">
        <v>42942.646354166667</v>
      </c>
      <c r="G107" s="7">
        <v>1</v>
      </c>
      <c r="H107" s="21" t="s">
        <v>912</v>
      </c>
      <c r="I107" s="13">
        <v>42942.671296296299</v>
      </c>
      <c r="J107" s="7">
        <v>0</v>
      </c>
      <c r="K107" s="89" t="str">
        <f>IF(ISEVEN(B107),(B107-1)&amp;"/"&amp;B107,B107&amp;"/"&amp;(B107+1))</f>
        <v>4001/4002</v>
      </c>
      <c r="L107" s="21" t="str">
        <f>VLOOKUP(A107,'Trips&amp;Operators'!$C$1:$G$99999,5,FALSE)</f>
        <v>LEVIN SCOTT</v>
      </c>
      <c r="M107" s="6">
        <f>I107-F107</f>
        <v>2.4942129632108845E-2</v>
      </c>
      <c r="N107" s="7">
        <f>24*60*SUM($M107:$M107)</f>
        <v>35.916666670236737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-26T14:26:40-0600',mode:absolute,to:'2017-07-26T17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4.1599999999999998E-2</v>
      </c>
      <c r="Z107" s="197">
        <f>RIGHT(H107,LEN(H107)-4)/10000</f>
        <v>23.334900000000001</v>
      </c>
      <c r="AA107" s="197">
        <f>ABS(Z107-Y107)</f>
        <v>23.293300000000002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/stypes="app*4002*20170726*"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8"/>
        <v>"%USERPROFILE%\Documents\GitHub\eaglep3\Utilities\RefineRTDCRunTimes.py" --tripid 195-26 --locoid 4002 --swversion DE.1.0.9.0 --startMP 204:416 --initTime 2017-07-26T15:26:40 --startdatetime 2017-07-26T15:30:45 --delay 1 --endMP 204:233349 --enddatetime 2017-07-26T16:06:40 --enforcementcount 0 &gt;&gt;C:\Users\stu\Documents\GitHub\eaglep3-reporting\EC\2017-07-26-refined-times.txt</v>
      </c>
      <c r="AI107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{"issue":{"subject":"","project_id":79,"tracker_id":40,"status_id":1,"priority_id":2,"assigned_to_id":23,"start_date":"2017-07-26","description":"","custom_fields":[{"id":1,"name":"Subdivision","value":"EC"},{"id":4,"name":"Milepost","value":"23.3349"},{"id":17,"name":"Train ID","value":"195-26"},{"id":16,"name":"Locomotive ID","value":"4002"},{"id":130,"name":"Impact","value":""},{"id":150,"name":"Time of Event (Mountain Time)","value":"16:06:40"},{"id":151,"name":"Denver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4002 --day 2017-07-26</v>
      </c>
      <c r="AN107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795</v>
      </c>
      <c r="B108" s="7">
        <v>4001</v>
      </c>
      <c r="C108" s="21" t="s">
        <v>198</v>
      </c>
      <c r="D108" s="21" t="s">
        <v>913</v>
      </c>
      <c r="E108" s="13">
        <v>42942.684548611112</v>
      </c>
      <c r="F108" s="13">
        <v>42942.686215277776</v>
      </c>
      <c r="G108" s="7">
        <v>1</v>
      </c>
      <c r="H108" s="21" t="s">
        <v>352</v>
      </c>
      <c r="I108" s="13">
        <v>42942.711828703701</v>
      </c>
      <c r="J108" s="7">
        <v>0</v>
      </c>
      <c r="K108" s="89" t="str">
        <f>IF(ISEVEN(B108),(B108-1)&amp;"/"&amp;B108,B108&amp;"/"&amp;(B108+1))</f>
        <v>4001/4002</v>
      </c>
      <c r="L108" s="21" t="str">
        <f>VLOOKUP(A108,'Trips&amp;Operators'!$C$1:$G$99999,5,FALSE)</f>
        <v>LEVIN SCOTT</v>
      </c>
      <c r="M108" s="6">
        <f>I108-F108</f>
        <v>2.5613425925257616E-2</v>
      </c>
      <c r="N108" s="7">
        <f>24*60*SUM($M108:$M108)</f>
        <v>36.883333332370967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-26T15:25:45-0600',mode:absolute,to:'2017-07-26T18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23.302700000000002</v>
      </c>
      <c r="Z108" s="197">
        <f>RIGHT(H108,LEN(H108)-4)/10000</f>
        <v>1.47E-2</v>
      </c>
      <c r="AA108" s="197">
        <f>ABS(Z108-Y108)</f>
        <v>23.288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/stypes="app*4001*20170726*" /stext=" 23:.+((SYSTEM_STATE.+slice.+state.+changed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8"/>
        <v>"%USERPROFILE%\Documents\GitHub\eaglep3\Utilities\RefineRTDCRunTimes.py" --tripid 196-26 --locoid 4001 --swversion DE.1.0.9.0 --startMP 204:233027 --initTime 2017-07-26T16:25:45 --startdatetime 2017-07-26T16:28:09 --delay 1 --endMP 204:147 --enddatetime 2017-07-26T17:05:02 --enforcementcount 0 &gt;&gt;C:\Users\stu\Documents\GitHub\eaglep3-reporting\EC\2017-07-26-refined-times.txt</v>
      </c>
      <c r="AI108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{"issue":{"subject":"","project_id":79,"tracker_id":40,"status_id":1,"priority_id":2,"assigned_to_id":23,"start_date":"2017-07-26","description":"","custom_fields":[{"id":1,"name":"Subdivision","value":"EC"},{"id":4,"name":"Milepost","value":"0.0147"},{"id":17,"name":"Train ID","value":"196-26"},{"id":16,"name":"Locomotive ID","value":"4001"},{"id":130,"name":"Impact","value":""},{"id":150,"name":"Time of Event (Mountain Time)","value":"17:05:02"},{"id":151,"name":"Denver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4001 --day 2017-07-26</v>
      </c>
      <c r="AN108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787</v>
      </c>
      <c r="B109" s="7">
        <v>4016</v>
      </c>
      <c r="C109" s="21" t="s">
        <v>198</v>
      </c>
      <c r="D109" s="21" t="s">
        <v>348</v>
      </c>
      <c r="E109" s="13">
        <v>42942.652361111112</v>
      </c>
      <c r="F109" s="13">
        <v>42942.656793981485</v>
      </c>
      <c r="G109" s="7">
        <v>1</v>
      </c>
      <c r="H109" s="21" t="s">
        <v>869</v>
      </c>
      <c r="I109" s="13">
        <v>42942.682743055557</v>
      </c>
      <c r="J109" s="7">
        <v>0</v>
      </c>
      <c r="K109" s="89" t="str">
        <f>IF(ISEVEN(B109),(B109-1)&amp;"/"&amp;B109,B109&amp;"/"&amp;(B109+1))</f>
        <v>4015/4016</v>
      </c>
      <c r="L109" s="21" t="str">
        <f>VLOOKUP(A109,'Trips&amp;Operators'!$C$1:$G$99999,5,FALSE)</f>
        <v>BIRKHOLZ NADINE</v>
      </c>
      <c r="M109" s="6">
        <f>I109-F109</f>
        <v>2.5949074071832001E-2</v>
      </c>
      <c r="N109" s="7">
        <f>24*60*SUM($M109:$M109)</f>
        <v>37.366666663438082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-26T14:39:24-0600',mode:absolute,to:'2017-07-26T17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4.4699999999999997E-2</v>
      </c>
      <c r="Z109" s="197">
        <f>RIGHT(H109,LEN(H109)-4)/10000</f>
        <v>23.329899999999999</v>
      </c>
      <c r="AA109" s="197">
        <f>ABS(Z109-Y109)</f>
        <v>23.2852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/stypes="app*4016*20170726*"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8"/>
        <v>"%USERPROFILE%\Documents\GitHub\eaglep3\Utilities\RefineRTDCRunTimes.py" --tripid 197-26 --locoid 4016 --swversion DE.1.0.9.0 --startMP 204:447 --initTime 2017-07-26T15:39:24 --startdatetime 2017-07-26T15:45:47 --delay 1 --endMP 204:233299 --enddatetime 2017-07-26T16:23:09 --enforcementcount 0 &gt;&gt;C:\Users\stu\Documents\GitHub\eaglep3-reporting\EC\2017-07-26-refined-times.txt</v>
      </c>
      <c r="AI10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{"issue":{"subject":"","project_id":79,"tracker_id":40,"status_id":1,"priority_id":2,"assigned_to_id":23,"start_date":"2017-07-26","description":"","custom_fields":[{"id":1,"name":"Subdivision","value":"EC"},{"id":4,"name":"Milepost","value":"23.3299"},{"id":17,"name":"Train ID","value":"197-26"},{"id":16,"name":"Locomotive ID","value":"4016"},{"id":130,"name":"Impact","value":""},{"id":150,"name":"Time of Event (Mountain Time)","value":"16:23:09"},{"id":151,"name":"Denver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4016 --day 2017-07-26</v>
      </c>
      <c r="AN109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796</v>
      </c>
      <c r="B110" s="7">
        <v>4015</v>
      </c>
      <c r="C110" s="21" t="s">
        <v>198</v>
      </c>
      <c r="D110" s="21" t="s">
        <v>891</v>
      </c>
      <c r="E110" s="13">
        <v>42942.686481481483</v>
      </c>
      <c r="F110" s="13">
        <v>42942.696006944447</v>
      </c>
      <c r="G110" s="7">
        <v>4</v>
      </c>
      <c r="H110" s="21" t="s">
        <v>349</v>
      </c>
      <c r="I110" s="13">
        <v>42942.722650462965</v>
      </c>
      <c r="J110" s="7">
        <v>0</v>
      </c>
      <c r="K110" s="89" t="str">
        <f>IF(ISEVEN(B110),(B110-1)&amp;"/"&amp;B110,B110&amp;"/"&amp;(B110+1))</f>
        <v>4015/4016</v>
      </c>
      <c r="L110" s="21" t="str">
        <f>VLOOKUP(A110,'Trips&amp;Operators'!$C$1:$G$99999,5,FALSE)</f>
        <v>BIRKHOLZ NADINE</v>
      </c>
      <c r="M110" s="6">
        <f>I110-F110</f>
        <v>2.6643518518540077E-2</v>
      </c>
      <c r="N110" s="7">
        <f>24*60*SUM($M110:$M110)</f>
        <v>38.366666666697711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-26T15:28:32-0600',mode:absolute,to:'2017-07-26T18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23.2986</v>
      </c>
      <c r="Z110" s="197">
        <f>RIGHT(H110,LEN(H110)-4)/10000</f>
        <v>1.3899999999999999E-2</v>
      </c>
      <c r="AA110" s="197">
        <f>ABS(Z110-Y110)</f>
        <v>23.284700000000001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/stypes="app*4015*20170726*"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8"/>
        <v>"%USERPROFILE%\Documents\GitHub\eaglep3\Utilities\RefineRTDCRunTimes.py" --tripid 198-26 --locoid 4015 --swversion DE.1.0.9.0 --startMP 204:232986 --initTime 2017-07-26T16:28:32 --startdatetime 2017-07-26T16:42:15 --delay 4 --endMP 204:139 --enddatetime 2017-07-26T17:20:37 --enforcementcount 0 &gt;&gt;C:\Users\stu\Documents\GitHub\eaglep3-reporting\EC\2017-07-26-refined-times.txt</v>
      </c>
      <c r="AI11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{"issue":{"subject":"","project_id":79,"tracker_id":40,"status_id":1,"priority_id":2,"assigned_to_id":23,"start_date":"2017-07-26","description":"","custom_fields":[{"id":1,"name":"Subdivision","value":"EC"},{"id":4,"name":"Milepost","value":"0.0139"},{"id":17,"name":"Train ID","value":"198-26"},{"id":16,"name":"Locomotive ID","value":"4015"},{"id":130,"name":"Impact","value":""},{"id":150,"name":"Time of Event (Mountain Time)","value":"17:20:37"},{"id":151,"name":"Denver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4015 --day 2017-07-26</v>
      </c>
      <c r="AN110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789</v>
      </c>
      <c r="B111" s="7">
        <v>4008</v>
      </c>
      <c r="C111" s="21" t="s">
        <v>198</v>
      </c>
      <c r="D111" s="21" t="s">
        <v>876</v>
      </c>
      <c r="E111" s="13">
        <v>42942.665891203702</v>
      </c>
      <c r="F111" s="13">
        <v>42942.667349537034</v>
      </c>
      <c r="G111" s="7">
        <v>1</v>
      </c>
      <c r="H111" s="21" t="s">
        <v>914</v>
      </c>
      <c r="I111" s="13">
        <v>42942.69321759259</v>
      </c>
      <c r="J111" s="7">
        <v>0</v>
      </c>
      <c r="K111" s="89" t="str">
        <f>IF(ISEVEN(B111),(B111-1)&amp;"/"&amp;B111,B111&amp;"/"&amp;(B111+1))</f>
        <v>4007/4008</v>
      </c>
      <c r="L111" s="21" t="str">
        <f>VLOOKUP(A111,'Trips&amp;Operators'!$C$1:$G$99999,5,FALSE)</f>
        <v>DAVIS MICHAEL</v>
      </c>
      <c r="M111" s="6">
        <f>I111-F111</f>
        <v>2.5868055556202307E-2</v>
      </c>
      <c r="N111" s="7">
        <f>24*60*SUM($M111:$M111)</f>
        <v>37.250000000931323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-26T14:58:53-0600',mode:absolute,to:'2017-07-26T17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4.6399999999999997E-2</v>
      </c>
      <c r="Z111" s="197">
        <f>RIGHT(H111,LEN(H111)-4)/10000</f>
        <v>23.332899999999999</v>
      </c>
      <c r="AA111" s="197">
        <f>ABS(Z111-Y111)</f>
        <v>23.2865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/stypes="app*4008*20170726*"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8"/>
        <v>"%USERPROFILE%\Documents\GitHub\eaglep3\Utilities\RefineRTDCRunTimes.py" --tripid 199-26 --locoid 4008 --swversion DE.1.0.9.0 --startMP 204:464 --initTime 2017-07-26T15:58:53 --startdatetime 2017-07-26T16:00:59 --delay 1 --endMP 204:233329 --enddatetime 2017-07-26T16:38:14 --enforcementcount 0 &gt;&gt;C:\Users\stu\Documents\GitHub\eaglep3-reporting\EC\2017-07-26-refined-times.txt</v>
      </c>
      <c r="AI11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{"issue":{"subject":"","project_id":79,"tracker_id":40,"status_id":1,"priority_id":2,"assigned_to_id":23,"start_date":"2017-07-26","description":"","custom_fields":[{"id":1,"name":"Subdivision","value":"EC"},{"id":4,"name":"Milepost","value":"23.3329"},{"id":17,"name":"Train ID","value":"199-26"},{"id":16,"name":"Locomotive ID","value":"4008"},{"id":130,"name":"Impact","value":""},{"id":150,"name":"Time of Event (Mountain Time)","value":"16:38:14"},{"id":151,"name":"Denver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4008 --day 2017-07-26</v>
      </c>
      <c r="AN111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803</v>
      </c>
      <c r="B112" s="7">
        <v>4007</v>
      </c>
      <c r="C112" s="21" t="s">
        <v>198</v>
      </c>
      <c r="D112" s="21" t="s">
        <v>391</v>
      </c>
      <c r="E112" s="13">
        <v>42942.702743055554</v>
      </c>
      <c r="F112" s="13">
        <v>42942.706608796296</v>
      </c>
      <c r="G112" s="7">
        <v>1</v>
      </c>
      <c r="H112" s="21" t="s">
        <v>909</v>
      </c>
      <c r="I112" s="13">
        <v>42942.73474537037</v>
      </c>
      <c r="J112" s="7">
        <v>0</v>
      </c>
      <c r="K112" s="89" t="str">
        <f>IF(ISEVEN(B112),(B112-1)&amp;"/"&amp;B112,B112&amp;"/"&amp;(B112+1))</f>
        <v>4007/4008</v>
      </c>
      <c r="L112" s="21" t="str">
        <f>VLOOKUP(A112,'Trips&amp;Operators'!$C$1:$G$99999,5,FALSE)</f>
        <v>DAVIS MICHAEL</v>
      </c>
      <c r="M112" s="6">
        <f>I112-F112</f>
        <v>2.8136574073869269E-2</v>
      </c>
      <c r="N112" s="7">
        <f>24*60*SUM($M112:$M112)</f>
        <v>40.516666666371748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-26T15:51:57-0600',mode:absolute,to:'2017-07-26T18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23.299600000000002</v>
      </c>
      <c r="Z112" s="197">
        <f>RIGHT(H112,LEN(H112)-4)/10000</f>
        <v>1.3599999999999999E-2</v>
      </c>
      <c r="AA112" s="197">
        <f>ABS(Z112-Y112)</f>
        <v>23.286000000000001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/stypes="app*4007*20170726*"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8"/>
        <v>"%USERPROFILE%\Documents\GitHub\eaglep3\Utilities\RefineRTDCRunTimes.py" --tripid 200-26 --locoid 4007 --swversion DE.1.0.9.0 --startMP 204:232996 --initTime 2017-07-26T16:51:57 --startdatetime 2017-07-26T16:57:31 --delay 1 --endMP 204:136 --enddatetime 2017-07-26T17:38:02 --enforcementcount 0 &gt;&gt;C:\Users\stu\Documents\GitHub\eaglep3-reporting\EC\2017-07-26-refined-times.txt</v>
      </c>
      <c r="AI112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{"issue":{"subject":"","project_id":79,"tracker_id":40,"status_id":1,"priority_id":2,"assigned_to_id":23,"start_date":"2017-07-26","description":"","custom_fields":[{"id":1,"name":"Subdivision","value":"EC"},{"id":4,"name":"Milepost","value":"0.0136"},{"id":17,"name":"Train ID","value":"200-26"},{"id":16,"name":"Locomotive ID","value":"4007"},{"id":130,"name":"Impact","value":""},{"id":150,"name":"Time of Event (Mountain Time)","value":"17:38:02"},{"id":151,"name":"Denver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4007 --day 2017-07-26</v>
      </c>
      <c r="AN112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792</v>
      </c>
      <c r="B113" s="7">
        <v>4056</v>
      </c>
      <c r="C113" s="21" t="s">
        <v>198</v>
      </c>
      <c r="D113" s="21" t="s">
        <v>406</v>
      </c>
      <c r="E113" s="13">
        <v>42942.67255787037</v>
      </c>
      <c r="F113" s="13">
        <v>42942.677662037036</v>
      </c>
      <c r="G113" s="7">
        <v>1</v>
      </c>
      <c r="H113" s="21" t="s">
        <v>562</v>
      </c>
      <c r="I113" s="13">
        <v>42942.703252314815</v>
      </c>
      <c r="J113" s="7">
        <v>0</v>
      </c>
      <c r="K113" s="89" t="str">
        <f>IF(ISEVEN(B113),(B113-1)&amp;"/"&amp;B113,B113&amp;"/"&amp;(B113+1))</f>
        <v>4055/4056</v>
      </c>
      <c r="L113" s="21" t="str">
        <f>VLOOKUP(A113,'Trips&amp;Operators'!$C$1:$G$99999,5,FALSE)</f>
        <v>LOPES KIMBERLY</v>
      </c>
      <c r="M113" s="6">
        <f>I113-F113</f>
        <v>2.5590277778974269E-2</v>
      </c>
      <c r="N113" s="7">
        <f>24*60*SUM($M113:$M113)</f>
        <v>36.850000001722947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-26T15:08:29-0600',mode:absolute,to:'2017-07-26T17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4.58E-2</v>
      </c>
      <c r="Z113" s="197">
        <f>RIGHT(H113,LEN(H113)-4)/10000</f>
        <v>23.333200000000001</v>
      </c>
      <c r="AA113" s="197">
        <f>ABS(Z113-Y113)</f>
        <v>23.287400000000002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/stypes="app*4056*20170726*"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8"/>
        <v>"%USERPROFILE%\Documents\GitHub\eaglep3\Utilities\RefineRTDCRunTimes.py" --tripid 201-26 --locoid 4056 --swversion DE.1.0.9.0 --startMP 204:458 --initTime 2017-07-26T16:08:29 --startdatetime 2017-07-26T16:15:50 --delay 1 --endMP 204:233332 --enddatetime 2017-07-26T16:52:41 --enforcementcount 0 &gt;&gt;C:\Users\stu\Documents\GitHub\eaglep3-reporting\EC\2017-07-26-refined-times.txt</v>
      </c>
      <c r="AI113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{"issue":{"subject":"","project_id":79,"tracker_id":40,"status_id":1,"priority_id":2,"assigned_to_id":23,"start_date":"2017-07-26","description":"","custom_fields":[{"id":1,"name":"Subdivision","value":"EC"},{"id":4,"name":"Milepost","value":"23.3332"},{"id":17,"name":"Train ID","value":"201-26"},{"id":16,"name":"Locomotive ID","value":"4056"},{"id":130,"name":"Impact","value":""},{"id":150,"name":"Time of Event (Mountain Time)","value":"16:52:41"},{"id":151,"name":"Denver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4056 --day 2017-07-26</v>
      </c>
      <c r="AN113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805</v>
      </c>
      <c r="B114" s="7">
        <v>4055</v>
      </c>
      <c r="C114" s="21" t="s">
        <v>198</v>
      </c>
      <c r="D114" s="21" t="s">
        <v>577</v>
      </c>
      <c r="E114" s="13">
        <v>42942.713877314818</v>
      </c>
      <c r="F114" s="13">
        <v>42942.716840277775</v>
      </c>
      <c r="G114" s="7">
        <v>1</v>
      </c>
      <c r="H114" s="21" t="s">
        <v>871</v>
      </c>
      <c r="I114" s="13">
        <v>42942.743194444447</v>
      </c>
      <c r="J114" s="7">
        <v>0</v>
      </c>
      <c r="K114" s="89" t="str">
        <f>IF(ISEVEN(B114),(B114-1)&amp;"/"&amp;B114,B114&amp;"/"&amp;(B114+1))</f>
        <v>4055/4056</v>
      </c>
      <c r="L114" s="21" t="str">
        <f>VLOOKUP(A114,'Trips&amp;Operators'!$C$1:$G$99999,5,FALSE)</f>
        <v>LOPES KIMBERLY</v>
      </c>
      <c r="M114" s="6">
        <f>I114-F114</f>
        <v>2.6354166671808343E-2</v>
      </c>
      <c r="N114" s="7">
        <f>24*60*SUM($M114:$M114)</f>
        <v>37.950000007404014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-26T16:07:59-0600',mode:absolute,to:'2017-07-26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23.301300000000001</v>
      </c>
      <c r="Z114" s="197">
        <f>RIGHT(H114,LEN(H114)-4)/10000</f>
        <v>1.32E-2</v>
      </c>
      <c r="AA114" s="197">
        <f>ABS(Z114-Y114)</f>
        <v>23.2881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/stypes="app*4055*20170726*"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8"/>
        <v>"%USERPROFILE%\Documents\GitHub\eaglep3\Utilities\RefineRTDCRunTimes.py" --tripid 202-26 --locoid 4055 --swversion DE.1.0.9.0 --startMP 204:233013 --initTime 2017-07-26T17:07:59 --startdatetime 2017-07-26T17:12:15 --delay 1 --endMP 204:132 --enddatetime 2017-07-26T17:50:12 --enforcementcount 0 &gt;&gt;C:\Users\stu\Documents\GitHub\eaglep3-reporting\EC\2017-07-26-refined-times.txt</v>
      </c>
      <c r="AI114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{"issue":{"subject":"","project_id":79,"tracker_id":40,"status_id":1,"priority_id":2,"assigned_to_id":23,"start_date":"2017-07-26","description":"","custom_fields":[{"id":1,"name":"Subdivision","value":"EC"},{"id":4,"name":"Milepost","value":"0.0132"},{"id":17,"name":"Train ID","value":"202-26"},{"id":16,"name":"Locomotive ID","value":"4055"},{"id":130,"name":"Impact","value":""},{"id":150,"name":"Time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4055 --day 2017-07-26</v>
      </c>
      <c r="AN114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794</v>
      </c>
      <c r="B115" s="7">
        <v>4004</v>
      </c>
      <c r="C115" s="21" t="s">
        <v>198</v>
      </c>
      <c r="D115" s="21" t="s">
        <v>476</v>
      </c>
      <c r="E115" s="13">
        <v>42942.683530092596</v>
      </c>
      <c r="F115" s="13">
        <v>42942.688090277778</v>
      </c>
      <c r="G115" s="7">
        <v>1</v>
      </c>
      <c r="H115" s="21" t="s">
        <v>889</v>
      </c>
      <c r="I115" s="13">
        <v>42942.71366898148</v>
      </c>
      <c r="J115" s="7">
        <v>0</v>
      </c>
      <c r="K115" s="89" t="str">
        <f>IF(ISEVEN(B115),(B115-1)&amp;"/"&amp;B115,B115&amp;"/"&amp;(B115+1))</f>
        <v>4003/4004</v>
      </c>
      <c r="L115" s="21" t="str">
        <f>VLOOKUP(A115,'Trips&amp;Operators'!$C$1:$G$99999,5,FALSE)</f>
        <v>STEWART MICHAEL</v>
      </c>
      <c r="M115" s="6">
        <f>I115-F115</f>
        <v>2.5578703702194616E-2</v>
      </c>
      <c r="N115" s="7">
        <f>24*60*SUM($M115:$M115)</f>
        <v>36.833333331160247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-26T15:24:17-0600',mode:absolute,to:'2017-07-26T18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4.3799999999999999E-2</v>
      </c>
      <c r="Z115" s="197">
        <f>RIGHT(H115,LEN(H115)-4)/10000</f>
        <v>23.329799999999999</v>
      </c>
      <c r="AA115" s="197">
        <f>ABS(Z115-Y115)</f>
        <v>23.285999999999998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/stypes="app*4004*20170726*"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8"/>
        <v>"%USERPROFILE%\Documents\GitHub\eaglep3\Utilities\RefineRTDCRunTimes.py" --tripid 203-26 --locoid 4004 --swversion DE.1.0.9.0 --startMP 204:438 --initTime 2017-07-26T16:24:17 --startdatetime 2017-07-26T16:30:51 --delay 1 --endMP 204:233298 --enddatetime 2017-07-26T17:07:41 --enforcementcount 0 &gt;&gt;C:\Users\stu\Documents\GitHub\eaglep3-reporting\EC\2017-07-26-refined-times.txt</v>
      </c>
      <c r="AI115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{"issue":{"subject":"","project_id":79,"tracker_id":40,"status_id":1,"priority_id":2,"assigned_to_id":23,"start_date":"2017-07-26","description":"","custom_fields":[{"id":1,"name":"Subdivision","value":"EC"},{"id":4,"name":"Milepost","value":"23.3298"},{"id":17,"name":"Train ID","value":"203-26"},{"id":16,"name":"Locomotive ID","value":"4004"},{"id":130,"name":"Impact","value":""},{"id":150,"name":"Time of Event (Mountain Time)","value":"17:07:41"},{"id":151,"name":"Denver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4004 --day 2017-07-26</v>
      </c>
      <c r="AN115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812</v>
      </c>
      <c r="B116" s="7">
        <v>4003</v>
      </c>
      <c r="C116" s="21" t="s">
        <v>198</v>
      </c>
      <c r="D116" s="21" t="s">
        <v>915</v>
      </c>
      <c r="E116" s="13">
        <v>42942.738599537035</v>
      </c>
      <c r="F116" s="13">
        <v>42942.740011574075</v>
      </c>
      <c r="G116" s="7">
        <v>1</v>
      </c>
      <c r="H116" s="21" t="s">
        <v>578</v>
      </c>
      <c r="I116" s="13">
        <v>42942.758310185185</v>
      </c>
      <c r="J116" s="7">
        <v>0</v>
      </c>
      <c r="K116" s="89" t="str">
        <f>IF(ISEVEN(B116),(B116-1)&amp;"/"&amp;B116,B116&amp;"/"&amp;(B116+1))</f>
        <v>4003/4004</v>
      </c>
      <c r="L116" s="21" t="str">
        <f>VLOOKUP(A116,'Trips&amp;Operators'!$C$1:$G$99999,5,FALSE)</f>
        <v>STEWART MICHAEL</v>
      </c>
      <c r="M116" s="6">
        <f>I116-F116</f>
        <v>1.8298611110367347E-2</v>
      </c>
      <c r="N116" s="7"/>
      <c r="O116" s="7"/>
      <c r="P116" s="7">
        <f>24*60*SUM($M116:$M116)</f>
        <v>26.349999998928979</v>
      </c>
      <c r="Q116" s="22"/>
      <c r="R116" s="170" t="s">
        <v>1057</v>
      </c>
      <c r="S116" s="213">
        <f>1/IF(AG116="EC",12,1)*SUM(U116:U116)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-26T16:43:35-0600',mode:absolute,to:'2017-07-26T19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97" t="str">
        <f>IF(AA116&lt;VLOOKUP(AG116,Variables!$AC$3:$AD$8,2,FALSE),"Y","N")</f>
        <v>Y</v>
      </c>
      <c r="X116" s="197">
        <f>VALUE(LEFT(AD116,4))-VALUE(LEFT(AD115,4))</f>
        <v>1</v>
      </c>
      <c r="Y116" s="197">
        <f>RIGHT(D116,LEN(D116)-4)/10000</f>
        <v>12.7864</v>
      </c>
      <c r="Z116" s="197">
        <f>RIGHT(H116,LEN(H116)-4)/10000</f>
        <v>4.6699999999999998E-2</v>
      </c>
      <c r="AA116" s="197">
        <f>ABS(Z116-Y116)</f>
        <v>12.739700000000001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/stypes="app*4003*20170727*" /stext=" 00:.+((SYSTEM_STATE.+slice.+state.+changed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8"/>
        <v>"%USERPROFILE%\Documents\GitHub\eaglep3\Utilities\RefineRTDCRunTimes.py" --tripid 204-26 --locoid 4003 --swversion DE.1.0.9.0 --startMP 204:127864 --initTime 2017-07-26T17:43:35 --startdatetime 2017-07-26T17:45:37 --delay 1 --endMP 204:467 --enddatetime 2017-07-26T18:11:58 --enforcementcount 0 &gt;&gt;C:\Users\stu\Documents\GitHub\eaglep3-reporting\EC\2017-07-26-refined-times.txt</v>
      </c>
      <c r="AI116" s="96" t="str">
        <f t="shared" si="9"/>
        <v>echo {"issue":{"subject":"Many Wi-MAX data drops","project_id":79,"tracker_id":40,"status_id":1,"priority_id":2,"assigned_to_id":23,"start_date":"2017-07-26","description":"","custom_fields":[{"id":1,"name":"Subdivision","value":"EC"},{"id":4,"name":"Milepost","value":"0.0467"},{"id":17,"name":"Train ID","value":"204-26"},{"id":16,"name":"Locomotive ID","value":"4003"},{"id":130,"name":"Impact","value":""},{"id":150,"name":"Time of Event (Mountain Time)","value":"18:11:58"},{"id":151,"name":"Denver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4003 --day 2017-07-26</v>
      </c>
      <c r="AN116" s="151" t="str">
        <f t="shared" si="11"/>
        <v>echo {"issue":{"subject":"Many Wi-MAX data drops","project_id":30,"tracker_id":4,"status_id":1,"priority_id":1,"assigned_to_id":10,"start_date":"2017-07-27","description":"","custom_fields":[{"id":30,"name":"Category","value":"Issue"},{"id":3,"name":"Functional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798</v>
      </c>
      <c r="B117" s="7">
        <v>4024</v>
      </c>
      <c r="C117" s="21" t="s">
        <v>198</v>
      </c>
      <c r="D117" s="21" t="s">
        <v>345</v>
      </c>
      <c r="E117" s="13">
        <v>42942.693113425928</v>
      </c>
      <c r="F117" s="13">
        <v>42942.698414351849</v>
      </c>
      <c r="G117" s="7">
        <v>1</v>
      </c>
      <c r="H117" s="21" t="s">
        <v>916</v>
      </c>
      <c r="I117" s="13">
        <v>42942.723194444443</v>
      </c>
      <c r="J117" s="7">
        <v>0</v>
      </c>
      <c r="K117" s="89" t="str">
        <f>IF(ISEVEN(B117),(B117-1)&amp;"/"&amp;B117,B117&amp;"/"&amp;(B117+1))</f>
        <v>4023/4024</v>
      </c>
      <c r="L117" s="21" t="str">
        <f>VLOOKUP(A117,'Trips&amp;Operators'!$C$1:$G$99999,5,FALSE)</f>
        <v>ELBAUM MIKE</v>
      </c>
      <c r="M117" s="6">
        <f>I117-F117</f>
        <v>2.4780092593573499E-2</v>
      </c>
      <c r="N117" s="7">
        <f>24*60*SUM($M117:$M117)</f>
        <v>35.683333334745839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-26T15:38:05-0600',mode:absolute,to:'2017-07-26T18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4.5100000000000001E-2</v>
      </c>
      <c r="Z117" s="197">
        <f>RIGHT(H117,LEN(H117)-4)/10000</f>
        <v>23.337399999999999</v>
      </c>
      <c r="AA117" s="197">
        <f>ABS(Z117-Y117)</f>
        <v>23.292299999999997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/stypes="app*4024*20170726*"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8"/>
        <v>"%USERPROFILE%\Documents\GitHub\eaglep3\Utilities\RefineRTDCRunTimes.py" --tripid 205-26 --locoid 4024 --swversion DE.1.0.9.0 --startMP 204:451 --initTime 2017-07-26T16:38:05 --startdatetime 2017-07-26T16:45:43 --delay 1 --endMP 204:233374 --enddatetime 2017-07-26T17:21:24 --enforcementcount 0 &gt;&gt;C:\Users\stu\Documents\GitHub\eaglep3-reporting\EC\2017-07-26-refined-times.txt</v>
      </c>
      <c r="AI117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{"issue":{"subject":"","project_id":79,"tracker_id":40,"status_id":1,"priority_id":2,"assigned_to_id":23,"start_date":"2017-07-26","description":"","custom_fields":[{"id":1,"name":"Subdivision","value":"EC"},{"id":4,"name":"Milepost","value":"23.3374"},{"id":17,"name":"Train ID","value":"205-26"},{"id":16,"name":"Locomotive ID","value":"4024"},{"id":130,"name":"Impact","value":""},{"id":150,"name":"Time of Event (Mountain Time)","value":"17:21:24"},{"id":151,"name":"Denver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4024 --day 2017-07-26</v>
      </c>
      <c r="AN117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808</v>
      </c>
      <c r="B118" s="7">
        <v>4023</v>
      </c>
      <c r="C118" s="21" t="s">
        <v>198</v>
      </c>
      <c r="D118" s="21" t="s">
        <v>581</v>
      </c>
      <c r="E118" s="13">
        <v>42942.724282407406</v>
      </c>
      <c r="F118" s="13">
        <v>42942.737708333334</v>
      </c>
      <c r="G118" s="7">
        <v>0</v>
      </c>
      <c r="H118" s="21" t="s">
        <v>349</v>
      </c>
      <c r="I118" s="13">
        <v>42942.762812499997</v>
      </c>
      <c r="J118" s="7">
        <v>0</v>
      </c>
      <c r="K118" s="89" t="str">
        <f>IF(ISEVEN(B118),(B118-1)&amp;"/"&amp;B118,B118&amp;"/"&amp;(B118+1))</f>
        <v>4023/4024</v>
      </c>
      <c r="L118" s="21" t="str">
        <f>VLOOKUP(A118,'Trips&amp;Operators'!$C$1:$G$99999,5,FALSE)</f>
        <v>ELBAUM MIKE</v>
      </c>
      <c r="M118" s="6">
        <f>I118-F118</f>
        <v>2.5104166663368233E-2</v>
      </c>
      <c r="N118" s="7">
        <f>24*60*SUM($M118:$M118)</f>
        <v>36.149999995250255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-26T16:22:58-0600',mode:absolute,to:'2017-07-26T19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23.306699999999999</v>
      </c>
      <c r="Z118" s="197">
        <f>RIGHT(H118,LEN(H118)-4)/10000</f>
        <v>1.3899999999999999E-2</v>
      </c>
      <c r="AA118" s="197">
        <f>ABS(Z118-Y118)</f>
        <v>23.2928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/stypes="app*4023*20170727*"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8"/>
        <v>"%USERPROFILE%\Documents\GitHub\eaglep3\Utilities\RefineRTDCRunTimes.py" --tripid 206-26 --locoid 4023 --swversion DE.1.0.9.0 --startMP 204:233067 --initTime 2017-07-26T17:22:58 --startdatetime 2017-07-26T17:42:18 --delay 0 --endMP 204:139 --enddatetime 2017-07-26T18:18:27 --enforcementcount 0 &gt;&gt;C:\Users\stu\Documents\GitHub\eaglep3-reporting\EC\2017-07-26-refined-times.txt</v>
      </c>
      <c r="AI118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{"issue":{"subject":"","project_id":79,"tracker_id":40,"status_id":1,"priority_id":2,"assigned_to_id":23,"start_date":"2017-07-26","description":"","custom_fields":[{"id":1,"name":"Subdivision","value":"EC"},{"id":4,"name":"Milepost","value":"0.0139"},{"id":17,"name":"Train ID","value":"206-26"},{"id":16,"name":"Locomotive ID","value":"4023"},{"id":130,"name":"Impact","value":""},{"id":150,"name":"Time of Event (Mountain Time)","value":"18:18:27"},{"id":151,"name":"Denver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4023 --day 2017-07-26</v>
      </c>
      <c r="AN118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804</v>
      </c>
      <c r="B119" s="7">
        <v>4006</v>
      </c>
      <c r="C119" s="21" t="s">
        <v>198</v>
      </c>
      <c r="D119" s="21" t="s">
        <v>917</v>
      </c>
      <c r="E119" s="13">
        <v>42942.704467592594</v>
      </c>
      <c r="F119" s="13">
        <v>42942.70884259259</v>
      </c>
      <c r="G119" s="7">
        <v>1</v>
      </c>
      <c r="H119" s="21" t="s">
        <v>560</v>
      </c>
      <c r="I119" s="13">
        <v>42942.734814814816</v>
      </c>
      <c r="J119" s="7">
        <v>0</v>
      </c>
      <c r="K119" s="89" t="str">
        <f>IF(ISEVEN(B119),(B119-1)&amp;"/"&amp;B119,B119&amp;"/"&amp;(B119+1))</f>
        <v>4005/4006</v>
      </c>
      <c r="L119" s="21" t="str">
        <f>VLOOKUP(A119,'Trips&amp;Operators'!$C$1:$G$99999,5,FALSE)</f>
        <v>BRUDER RICHARD</v>
      </c>
      <c r="M119" s="6">
        <f>I119-F119</f>
        <v>2.5972222225391306E-2</v>
      </c>
      <c r="N119" s="7">
        <f>24*60*SUM($M119:$M119)</f>
        <v>37.400000004563481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-26T15:54:26-0600',mode:absolute,to:'2017-07-26T18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4.9700000000000001E-2</v>
      </c>
      <c r="Z119" s="197">
        <f>RIGHT(H119,LEN(H119)-4)/10000</f>
        <v>23.330200000000001</v>
      </c>
      <c r="AA119" s="197">
        <f>ABS(Z119-Y119)</f>
        <v>23.2805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/stypes="app*4006*20170726*"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8"/>
        <v>"%USERPROFILE%\Documents\GitHub\eaglep3\Utilities\RefineRTDCRunTimes.py" --tripid 207-26 --locoid 4006 --swversion DE.1.0.9.0 --startMP 204:497 --initTime 2017-07-26T16:54:26 --startdatetime 2017-07-26T17:00:44 --delay 1 --endMP 204:233302 --enddatetime 2017-07-26T17:38:08 --enforcementcount 0 &gt;&gt;C:\Users\stu\Documents\GitHub\eaglep3-reporting\EC\2017-07-26-refined-times.txt</v>
      </c>
      <c r="AI11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{"issue":{"subject":"","project_id":79,"tracker_id":40,"status_id":1,"priority_id":2,"assigned_to_id":23,"start_date":"2017-07-26","description":"","custom_fields":[{"id":1,"name":"Subdivision","value":"EC"},{"id":4,"name":"Milepost","value":"23.3302"},{"id":17,"name":"Train ID","value":"207-26"},{"id":16,"name":"Locomotive ID","value":"4006"},{"id":130,"name":"Impact","value":""},{"id":150,"name":"Time of Event (Mountain Time)","value":"17:38:08"},{"id":151,"name":"Denver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4006 --day 2017-07-26</v>
      </c>
      <c r="AN119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814</v>
      </c>
      <c r="B120" s="7">
        <v>4005</v>
      </c>
      <c r="C120" s="21" t="s">
        <v>198</v>
      </c>
      <c r="D120" s="21" t="s">
        <v>466</v>
      </c>
      <c r="E120" s="13">
        <v>42942.744687500002</v>
      </c>
      <c r="F120" s="13">
        <v>42942.748182870368</v>
      </c>
      <c r="G120" s="7">
        <v>1</v>
      </c>
      <c r="H120" s="21" t="s">
        <v>918</v>
      </c>
      <c r="I120" s="13">
        <v>42942.774444444447</v>
      </c>
      <c r="J120" s="7">
        <v>0</v>
      </c>
      <c r="K120" s="89" t="str">
        <f>IF(ISEVEN(B120),(B120-1)&amp;"/"&amp;B120,B120&amp;"/"&amp;(B120+1))</f>
        <v>4005/4006</v>
      </c>
      <c r="L120" s="21" t="str">
        <f>VLOOKUP(A120,'Trips&amp;Operators'!$C$1:$G$99999,5,FALSE)</f>
        <v>BRUDER RICHARD</v>
      </c>
      <c r="M120" s="6">
        <f>I120-F120</f>
        <v>2.6261574079398997E-2</v>
      </c>
      <c r="N120" s="7">
        <f>24*60*SUM($M120:$M120)</f>
        <v>37.816666674334556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-26T16:52:21-0600',mode:absolute,to:'2017-07-26T19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23.299800000000001</v>
      </c>
      <c r="Z120" s="197">
        <f>RIGHT(H120,LEN(H120)-4)/10000</f>
        <v>7.0000000000000001E-3</v>
      </c>
      <c r="AA120" s="197">
        <f>ABS(Z120-Y120)</f>
        <v>23.2928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/stypes="app*4005*20170727*"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8"/>
        <v>"%USERPROFILE%\Documents\GitHub\eaglep3\Utilities\RefineRTDCRunTimes.py" --tripid 208-26 --locoid 4005 --swversion DE.1.0.9.0 --startMP 204:232998 --initTime 2017-07-26T17:52:21 --startdatetime 2017-07-26T17:57:23 --delay 1 --endMP 204:70 --enddatetime 2017-07-26T18:35:12 --enforcementcount 0 &gt;&gt;C:\Users\stu\Documents\GitHub\eaglep3-reporting\EC\2017-07-26-refined-times.txt</v>
      </c>
      <c r="AI12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{"issue":{"subject":"","project_id":79,"tracker_id":40,"status_id":1,"priority_id":2,"assigned_to_id":23,"start_date":"2017-07-26","description":"","custom_fields":[{"id":1,"name":"Subdivision","value":"EC"},{"id":4,"name":"Milepost","value":"0.007"},{"id":17,"name":"Train ID","value":"208-26"},{"id":16,"name":"Locomotive ID","value":"4005"},{"id":130,"name":"Impact","value":""},{"id":150,"name":"Time of Event (Mountain Time)","value":"18:35:12"},{"id":151,"name":"Denver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4005 --day 2017-07-26</v>
      </c>
      <c r="AN120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806</v>
      </c>
      <c r="B121" s="7">
        <v>4002</v>
      </c>
      <c r="C121" s="21" t="s">
        <v>198</v>
      </c>
      <c r="D121" s="21" t="s">
        <v>876</v>
      </c>
      <c r="E121" s="13">
        <v>42942.715358796297</v>
      </c>
      <c r="F121" s="13">
        <v>42942.719340277778</v>
      </c>
      <c r="G121" s="7">
        <v>1</v>
      </c>
      <c r="H121" s="21" t="s">
        <v>894</v>
      </c>
      <c r="I121" s="13">
        <v>42942.744606481479</v>
      </c>
      <c r="J121" s="7">
        <v>0</v>
      </c>
      <c r="K121" s="89" t="str">
        <f>IF(ISEVEN(B121),(B121-1)&amp;"/"&amp;B121,B121&amp;"/"&amp;(B121+1))</f>
        <v>4001/4002</v>
      </c>
      <c r="L121" s="21" t="str">
        <f>VLOOKUP(A121,'Trips&amp;Operators'!$C$1:$G$99999,5,FALSE)</f>
        <v>LEVIN SCOTT</v>
      </c>
      <c r="M121" s="6">
        <f>I121-F121</f>
        <v>2.5266203701903578E-2</v>
      </c>
      <c r="N121" s="7">
        <f>24*60*SUM($M121:$M121)</f>
        <v>36.383333330741152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-26T16:10:07-0600',mode:absolute,to:'2017-07-26T18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4.6399999999999997E-2</v>
      </c>
      <c r="Z121" s="197">
        <f>RIGHT(H121,LEN(H121)-4)/10000</f>
        <v>23.341200000000001</v>
      </c>
      <c r="AA121" s="197">
        <f>ABS(Z121-Y121)</f>
        <v>23.294800000000002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/stypes="app*4002*20170726*"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8"/>
        <v>"%USERPROFILE%\Documents\GitHub\eaglep3\Utilities\RefineRTDCRunTimes.py" --tripid 209-26 --locoid 4002 --swversion DE.1.0.9.0 --startMP 204:464 --initTime 2017-07-26T17:10:07 --startdatetime 2017-07-26T17:15:51 --delay 1 --endMP 204:233412 --enddatetime 2017-07-26T17:52:14 --enforcementcount 0 &gt;&gt;C:\Users\stu\Documents\GitHub\eaglep3-reporting\EC\2017-07-26-refined-times.txt</v>
      </c>
      <c r="AI12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{"issue":{"subject":"","project_id":79,"tracker_id":40,"status_id":1,"priority_id":2,"assigned_to_id":23,"start_date":"2017-07-26","description":"","custom_fields":[{"id":1,"name":"Subdivision","value":"EC"},{"id":4,"name":"Milepost","value":"23.3412"},{"id":17,"name":"Train ID","value":"209-26"},{"id":16,"name":"Locomotive ID","value":"4002"},{"id":130,"name":"Impact","value":""},{"id":150,"name":"Time of Event (Mountain Time)","value":"17:52:14"},{"id":151,"name":"Denver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4002 --day 2017-07-26</v>
      </c>
      <c r="AN121" s="151" t="str">
        <f t="shared" si="11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815</v>
      </c>
      <c r="B122" s="7">
        <v>4001</v>
      </c>
      <c r="C122" s="21" t="s">
        <v>198</v>
      </c>
      <c r="D122" s="21" t="s">
        <v>919</v>
      </c>
      <c r="E122" s="13">
        <v>42942.755439814813</v>
      </c>
      <c r="F122" s="13">
        <v>42942.758587962962</v>
      </c>
      <c r="G122" s="7">
        <v>1</v>
      </c>
      <c r="H122" s="21" t="s">
        <v>351</v>
      </c>
      <c r="I122" s="13">
        <v>42942.784189814818</v>
      </c>
      <c r="J122" s="7">
        <v>0</v>
      </c>
      <c r="K122" s="89" t="str">
        <f>IF(ISEVEN(B122),(B122-1)&amp;"/"&amp;B122,B122&amp;"/"&amp;(B122+1))</f>
        <v>4001/4002</v>
      </c>
      <c r="L122" s="21" t="str">
        <f>VLOOKUP(A122,'Trips&amp;Operators'!$C$1:$G$99999,5,FALSE)</f>
        <v>LEVIN SCOTT</v>
      </c>
      <c r="M122" s="6">
        <f>I122-F122</f>
        <v>2.5601851855753921E-2</v>
      </c>
      <c r="N122" s="7">
        <f>24*60*SUM($M122:$M122)</f>
        <v>36.866666672285646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-26T17:07:50-0600',mode:absolute,to:'2017-07-26T19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23.310700000000001</v>
      </c>
      <c r="Z122" s="197">
        <f>RIGHT(H122,LEN(H122)-4)/10000</f>
        <v>1.41E-2</v>
      </c>
      <c r="AA122" s="197">
        <f>ABS(Z122-Y122)</f>
        <v>23.296600000000002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/stypes="app*4001*20170727*"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8"/>
        <v>"%USERPROFILE%\Documents\GitHub\eaglep3\Utilities\RefineRTDCRunTimes.py" --tripid 210-26 --locoid 4001 --swversion DE.1.0.9.0 --startMP 204:233107 --initTime 2017-07-26T18:07:50 --startdatetime 2017-07-26T18:12:22 --delay 1 --endMP 204:141 --enddatetime 2017-07-26T18:49:14 --enforcementcount 0 &gt;&gt;C:\Users\stu\Documents\GitHub\eaglep3-reporting\EC\2017-07-26-refined-times.txt</v>
      </c>
      <c r="AI122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{"issue":{"subject":"","project_id":79,"tracker_id":40,"status_id":1,"priority_id":2,"assigned_to_id":23,"start_date":"2017-07-26","description":"","custom_fields":[{"id":1,"name":"Subdivision","value":"EC"},{"id":4,"name":"Milepost","value":"0.0141"},{"id":17,"name":"Train ID","value":"210-26"},{"id":16,"name":"Locomotive ID","value":"4001"},{"id":130,"name":"Impact","value":""},{"id":150,"name":"Time of Event (Mountain Time)","value":"18:49:14"},{"id":151,"name":"Denver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4001 --day 2017-07-26</v>
      </c>
      <c r="AN122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809</v>
      </c>
      <c r="B123" s="7">
        <v>4016</v>
      </c>
      <c r="C123" s="21" t="s">
        <v>198</v>
      </c>
      <c r="D123" s="21" t="s">
        <v>396</v>
      </c>
      <c r="E123" s="13">
        <v>42942.724224537036</v>
      </c>
      <c r="F123" s="13">
        <v>42942.729675925926</v>
      </c>
      <c r="G123" s="7">
        <v>1</v>
      </c>
      <c r="H123" s="21" t="s">
        <v>579</v>
      </c>
      <c r="I123" s="13">
        <v>42942.755439814813</v>
      </c>
      <c r="J123" s="7">
        <v>0</v>
      </c>
      <c r="K123" s="89" t="str">
        <f>IF(ISEVEN(B123),(B123-1)&amp;"/"&amp;B123,B123&amp;"/"&amp;(B123+1))</f>
        <v>4015/4016</v>
      </c>
      <c r="L123" s="21" t="str">
        <f>VLOOKUP(A123,'Trips&amp;Operators'!$C$1:$G$99999,5,FALSE)</f>
        <v>BIRKHOLZ NADINE</v>
      </c>
      <c r="M123" s="6">
        <f>I123-F123</f>
        <v>2.5763888887013309E-2</v>
      </c>
      <c r="N123" s="7">
        <f>24*60*SUM($M123:$M123)</f>
        <v>37.099999997299165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-26T16:22:53-0600',mode:absolute,to:'2017-07-26T19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4.5499999999999999E-2</v>
      </c>
      <c r="Z123" s="197">
        <f>RIGHT(H123,LEN(H123)-4)/10000</f>
        <v>23.333400000000001</v>
      </c>
      <c r="AA123" s="197">
        <f>ABS(Z123-Y123)</f>
        <v>23.2879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/stypes="app*4016*20170727*"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8"/>
        <v>"%USERPROFILE%\Documents\GitHub\eaglep3\Utilities\RefineRTDCRunTimes.py" --tripid 211-26 --locoid 4016 --swversion DE.1.0.9.0 --startMP 204:455 --initTime 2017-07-26T17:22:53 --startdatetime 2017-07-26T17:30:44 --delay 1 --endMP 204:233334 --enddatetime 2017-07-26T18:07:50 --enforcementcount 0 &gt;&gt;C:\Users\stu\Documents\GitHub\eaglep3-reporting\EC\2017-07-26-refined-times.txt</v>
      </c>
      <c r="AI123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{"issue":{"subject":"","project_id":79,"tracker_id":40,"status_id":1,"priority_id":2,"assigned_to_id":23,"start_date":"2017-07-26","description":"","custom_fields":[{"id":1,"name":"Subdivision","value":"EC"},{"id":4,"name":"Milepost","value":"23.3334"},{"id":17,"name":"Train ID","value":"211-26"},{"id":16,"name":"Locomotive ID","value":"4016"},{"id":130,"name":"Impact","value":""},{"id":150,"name":"Time of Event (Mountain Time)","value":"18:07:50"},{"id":151,"name":"Denver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4016 --day 2017-07-26</v>
      </c>
      <c r="AN123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817</v>
      </c>
      <c r="B124" s="7">
        <v>4015</v>
      </c>
      <c r="C124" s="21" t="s">
        <v>198</v>
      </c>
      <c r="D124" s="21" t="s">
        <v>874</v>
      </c>
      <c r="E124" s="13">
        <v>42942.763310185182</v>
      </c>
      <c r="F124" s="13">
        <v>42942.768912037034</v>
      </c>
      <c r="G124" s="7">
        <v>1</v>
      </c>
      <c r="H124" s="21" t="s">
        <v>920</v>
      </c>
      <c r="I124" s="13">
        <v>42942.795717592591</v>
      </c>
      <c r="J124" s="7">
        <v>0</v>
      </c>
      <c r="K124" s="89" t="str">
        <f>IF(ISEVEN(B124),(B124-1)&amp;"/"&amp;B124,B124&amp;"/"&amp;(B124+1))</f>
        <v>4015/4016</v>
      </c>
      <c r="L124" s="21" t="str">
        <f>VLOOKUP(A124,'Trips&amp;Operators'!$C$1:$G$99999,5,FALSE)</f>
        <v>BIRKHOLZ NADINE</v>
      </c>
      <c r="M124" s="6">
        <f>I124-F124</f>
        <v>2.6805555557075422E-2</v>
      </c>
      <c r="N124" s="7">
        <f>24*60*SUM($M124:$M124)</f>
        <v>38.600000002188608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-26T17:19:10-0600',mode:absolute,to:'2017-07-26T20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23.300599999999999</v>
      </c>
      <c r="Z124" s="197">
        <f>RIGHT(H124,LEN(H124)-4)/10000</f>
        <v>1.37E-2</v>
      </c>
      <c r="AA124" s="197">
        <f>ABS(Z124-Y124)</f>
        <v>23.286899999999999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/stypes="app*4015*20170727*" /stext=" 01:.+((SYSTEM_STATE.+slice.+state.+changed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8"/>
        <v>"%USERPROFILE%\Documents\GitHub\eaglep3\Utilities\RefineRTDCRunTimes.py" --tripid 212-26 --locoid 4015 --swversion DE.1.0.9.0 --startMP 204:233006 --initTime 2017-07-26T18:19:10 --startdatetime 2017-07-26T18:27:14 --delay 1 --endMP 204:137 --enddatetime 2017-07-26T19:05:50 --enforcementcount 0 &gt;&gt;C:\Users\stu\Documents\GitHub\eaglep3-reporting\EC\2017-07-26-refined-times.txt</v>
      </c>
      <c r="AI124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{"issue":{"subject":"","project_id":79,"tracker_id":40,"status_id":1,"priority_id":2,"assigned_to_id":23,"start_date":"2017-07-26","description":"","custom_fields":[{"id":1,"name":"Subdivision","value":"EC"},{"id":4,"name":"Milepost","value":"0.0137"},{"id":17,"name":"Train ID","value":"212-26"},{"id":16,"name":"Locomotive ID","value":"4015"},{"id":130,"name":"Impact","value":""},{"id":150,"name":"Time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4015 --day 2017-07-26</v>
      </c>
      <c r="AN124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811</v>
      </c>
      <c r="B125" s="7">
        <v>4008</v>
      </c>
      <c r="C125" s="21" t="s">
        <v>198</v>
      </c>
      <c r="D125" s="21" t="s">
        <v>345</v>
      </c>
      <c r="E125" s="13">
        <v>42942.736631944441</v>
      </c>
      <c r="F125" s="13">
        <v>42942.740127314813</v>
      </c>
      <c r="G125" s="7">
        <v>1</v>
      </c>
      <c r="H125" s="21" t="s">
        <v>467</v>
      </c>
      <c r="I125" s="13">
        <v>42942.765659722223</v>
      </c>
      <c r="J125" s="7">
        <v>0</v>
      </c>
      <c r="K125" s="89" t="str">
        <f>IF(ISEVEN(B125),(B125-1)&amp;"/"&amp;B125,B125&amp;"/"&amp;(B125+1))</f>
        <v>4007/4008</v>
      </c>
      <c r="L125" s="21" t="str">
        <f>VLOOKUP(A125,'Trips&amp;Operators'!$C$1:$G$99999,5,FALSE)</f>
        <v>HAITHCOX MICHAEL</v>
      </c>
      <c r="M125" s="6">
        <f>I125-F125</f>
        <v>2.5532407409627922E-2</v>
      </c>
      <c r="N125" s="7">
        <f>24*60*SUM($M125:$M125)</f>
        <v>36.766666669864208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-26T16:40:45-0600',mode:absolute,to:'2017-07-26T19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4.5100000000000001E-2</v>
      </c>
      <c r="Z125" s="197">
        <f>RIGHT(H125,LEN(H125)-4)/10000</f>
        <v>23.329499999999999</v>
      </c>
      <c r="AA125" s="197">
        <f>ABS(Z125-Y125)</f>
        <v>23.284399999999998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/stypes="app*4008*20170727*"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8"/>
        <v>"%USERPROFILE%\Documents\GitHub\eaglep3\Utilities\RefineRTDCRunTimes.py" --tripid 213-26 --locoid 4008 --swversion DE.1.0.9.0 --startMP 204:451 --initTime 2017-07-26T17:40:45 --startdatetime 2017-07-26T17:45:47 --delay 1 --endMP 204:233295 --enddatetime 2017-07-26T18:22:33 --enforcementcount 0 &gt;&gt;C:\Users\stu\Documents\GitHub\eaglep3-reporting\EC\2017-07-26-refined-times.txt</v>
      </c>
      <c r="AI125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{"issue":{"subject":"","project_id":79,"tracker_id":40,"status_id":1,"priority_id":2,"assigned_to_id":23,"start_date":"2017-07-26","description":"","custom_fields":[{"id":1,"name":"Subdivision","value":"EC"},{"id":4,"name":"Milepost","value":"23.3295"},{"id":17,"name":"Train ID","value":"213-26"},{"id":16,"name":"Locomotive ID","value":"4008"},{"id":130,"name":"Impact","value":""},{"id":150,"name":"Time of Event (Mountain Time)","value":"18:22:33"},{"id":151,"name":"Denver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4008 --day 2017-07-26</v>
      </c>
      <c r="AN125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818</v>
      </c>
      <c r="B126" s="7">
        <v>4007</v>
      </c>
      <c r="C126" s="21" t="s">
        <v>198</v>
      </c>
      <c r="D126" s="21" t="s">
        <v>907</v>
      </c>
      <c r="E126" s="13">
        <v>42942.766805555555</v>
      </c>
      <c r="F126" s="13">
        <v>42942.779351851852</v>
      </c>
      <c r="G126" s="7">
        <v>1</v>
      </c>
      <c r="H126" s="21" t="s">
        <v>352</v>
      </c>
      <c r="I126" s="13">
        <v>42942.806585648148</v>
      </c>
      <c r="J126" s="7">
        <v>0</v>
      </c>
      <c r="K126" s="89" t="str">
        <f>IF(ISEVEN(B126),(B126-1)&amp;"/"&amp;B126,B126&amp;"/"&amp;(B126+1))</f>
        <v>4007/4008</v>
      </c>
      <c r="L126" s="21" t="str">
        <f>VLOOKUP(A126,'Trips&amp;Operators'!$C$1:$G$99999,5,FALSE)</f>
        <v>HAITHCOX MICHAEL</v>
      </c>
      <c r="M126" s="6">
        <f>I126-F126</f>
        <v>2.7233796296059154E-2</v>
      </c>
      <c r="N126" s="7">
        <f>24*60*SUM($M126:$M126)</f>
        <v>39.216666666325182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-26T17:24:12-0600',mode:absolute,to:'2017-07-26T20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23.298999999999999</v>
      </c>
      <c r="Z126" s="197">
        <f>RIGHT(H126,LEN(H126)-4)/10000</f>
        <v>1.47E-2</v>
      </c>
      <c r="AA126" s="197">
        <f>ABS(Z126-Y126)</f>
        <v>23.284299999999998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/stypes="app*4007*20170727*"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8"/>
        <v>"%USERPROFILE%\Documents\GitHub\eaglep3\Utilities\RefineRTDCRunTimes.py" --tripid 214-26 --locoid 4007 --swversion DE.1.0.9.0 --startMP 204:232990 --initTime 2017-07-26T18:24:12 --startdatetime 2017-07-26T18:42:16 --delay 1 --endMP 204:147 --enddatetime 2017-07-26T19:21:29 --enforcementcount 0 &gt;&gt;C:\Users\stu\Documents\GitHub\eaglep3-reporting\EC\2017-07-26-refined-times.txt</v>
      </c>
      <c r="AI126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{"issue":{"subject":"","project_id":79,"tracker_id":40,"status_id":1,"priority_id":2,"assigned_to_id":23,"start_date":"2017-07-26","description":"","custom_fields":[{"id":1,"name":"Subdivision","value":"EC"},{"id":4,"name":"Milepost","value":"0.0147"},{"id":17,"name":"Train ID","value":"214-26"},{"id":16,"name":"Locomotive ID","value":"4007"},{"id":130,"name":"Impact","value":""},{"id":150,"name":"Time of Event (Mountain Time)","value":"19:21:29"},{"id":151,"name":"Denver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4007 --day 2017-07-26</v>
      </c>
      <c r="AN126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813</v>
      </c>
      <c r="B127" s="7">
        <v>4056</v>
      </c>
      <c r="C127" s="21" t="s">
        <v>198</v>
      </c>
      <c r="D127" s="21" t="s">
        <v>921</v>
      </c>
      <c r="E127" s="13">
        <v>42942.744606481479</v>
      </c>
      <c r="F127" s="13">
        <v>42942.750532407408</v>
      </c>
      <c r="G127" s="7">
        <v>1</v>
      </c>
      <c r="H127" s="21" t="s">
        <v>922</v>
      </c>
      <c r="I127" s="13">
        <v>42942.774942129632</v>
      </c>
      <c r="J127" s="7">
        <v>0</v>
      </c>
      <c r="K127" s="89" t="str">
        <f>IF(ISEVEN(B127),(B127-1)&amp;"/"&amp;B127,B127&amp;"/"&amp;(B127+1))</f>
        <v>4055/4056</v>
      </c>
      <c r="L127" s="21" t="str">
        <f>VLOOKUP(A127,'Trips&amp;Operators'!$C$1:$G$99999,5,FALSE)</f>
        <v>LOPES KIMBERLY</v>
      </c>
      <c r="M127" s="6">
        <f>I127-F127</f>
        <v>2.4409722223936114E-2</v>
      </c>
      <c r="N127" s="7">
        <f>24*60*SUM($M127:$M127)</f>
        <v>35.150000002468005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-26T16:52:14-0600',mode:absolute,to:'2017-07-26T19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4.3299999999999998E-2</v>
      </c>
      <c r="Z127" s="197">
        <f>RIGHT(H127,LEN(H127)-4)/10000</f>
        <v>23.334599999999998</v>
      </c>
      <c r="AA127" s="197">
        <f>ABS(Z127-Y127)</f>
        <v>23.2913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/stypes="app*4056*20170727*"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8"/>
        <v>"%USERPROFILE%\Documents\GitHub\eaglep3\Utilities\RefineRTDCRunTimes.py" --tripid 215-26 --locoid 4056 --swversion DE.1.0.9.0 --startMP 204:433 --initTime 2017-07-26T17:52:14 --startdatetime 2017-07-26T18:00:46 --delay 1 --endMP 204:233346 --enddatetime 2017-07-26T18:35:55 --enforcementcount 0 &gt;&gt;C:\Users\stu\Documents\GitHub\eaglep3-reporting\EC\2017-07-26-refined-times.txt</v>
      </c>
      <c r="AI127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{"issue":{"subject":"","project_id":79,"tracker_id":40,"status_id":1,"priority_id":2,"assigned_to_id":23,"start_date":"2017-07-26","description":"","custom_fields":[{"id":1,"name":"Subdivision","value":"EC"},{"id":4,"name":"Milepost","value":"23.3346"},{"id":17,"name":"Train ID","value":"215-26"},{"id":16,"name":"Locomotive ID","value":"4056"},{"id":130,"name":"Impact","value":""},{"id":150,"name":"Time of Event (Mountain Time)","value":"18:35:55"},{"id":151,"name":"Denver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4056 --day 2017-07-26</v>
      </c>
      <c r="AN127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822</v>
      </c>
      <c r="B128" s="7">
        <v>4055</v>
      </c>
      <c r="C128" s="21" t="s">
        <v>198</v>
      </c>
      <c r="D128" s="21" t="s">
        <v>575</v>
      </c>
      <c r="E128" s="13">
        <v>42942.78402777778</v>
      </c>
      <c r="F128" s="13">
        <v>42942.789803240739</v>
      </c>
      <c r="G128" s="7">
        <v>1</v>
      </c>
      <c r="H128" s="21" t="s">
        <v>909</v>
      </c>
      <c r="I128" s="13">
        <v>42942.816736111112</v>
      </c>
      <c r="J128" s="7">
        <v>0</v>
      </c>
      <c r="K128" s="89" t="str">
        <f>IF(ISEVEN(B128),(B128-1)&amp;"/"&amp;B128,B128&amp;"/"&amp;(B128+1))</f>
        <v>4055/4056</v>
      </c>
      <c r="L128" s="21" t="str">
        <f>VLOOKUP(A128,'Trips&amp;Operators'!$C$1:$G$99999,5,FALSE)</f>
        <v>LOPES KIMBERLY</v>
      </c>
      <c r="M128" s="6">
        <f>I128-F128</f>
        <v>2.6932870372547768E-2</v>
      </c>
      <c r="N128" s="7">
        <f>24*60*SUM($M128:$M128)</f>
        <v>38.783333336468786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-26T17:49:00-0600',mode:absolute,to:'2017-07-26T20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23.303799999999999</v>
      </c>
      <c r="Z128" s="197">
        <f>RIGHT(H128,LEN(H128)-4)/10000</f>
        <v>1.3599999999999999E-2</v>
      </c>
      <c r="AA128" s="197">
        <f>ABS(Z128-Y128)</f>
        <v>23.290199999999999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/stypes="app*4055*20170727*"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8"/>
        <v>"%USERPROFILE%\Documents\GitHub\eaglep3\Utilities\RefineRTDCRunTimes.py" --tripid 216-26 --locoid 4055 --swversion DE.1.0.9.0 --startMP 204:233038 --initTime 2017-07-26T18:49:00 --startdatetime 2017-07-26T18:57:19 --delay 1 --endMP 204:136 --enddatetime 2017-07-26T19:36:06 --enforcementcount 0 &gt;&gt;C:\Users\stu\Documents\GitHub\eaglep3-reporting\EC\2017-07-26-refined-times.txt</v>
      </c>
      <c r="AI128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{"issue":{"subject":"","project_id":79,"tracker_id":40,"status_id":1,"priority_id":2,"assigned_to_id":23,"start_date":"2017-07-26","description":"","custom_fields":[{"id":1,"name":"Subdivision","value":"EC"},{"id":4,"name":"Milepost","value":"0.0136"},{"id":17,"name":"Train ID","value":"216-26"},{"id":16,"name":"Locomotive ID","value":"4055"},{"id":130,"name":"Impact","value":""},{"id":150,"name":"Time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4055 --day 2017-07-26</v>
      </c>
      <c r="AN128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652</v>
      </c>
      <c r="B129" s="7">
        <v>4028</v>
      </c>
      <c r="C129" s="21" t="s">
        <v>198</v>
      </c>
      <c r="D129" s="21" t="s">
        <v>923</v>
      </c>
      <c r="E129" s="13">
        <v>42942.756249999999</v>
      </c>
      <c r="F129" s="13">
        <v>42942.761157407411</v>
      </c>
      <c r="G129" s="7">
        <v>1</v>
      </c>
      <c r="H129" s="21" t="s">
        <v>566</v>
      </c>
      <c r="I129" s="13">
        <v>42942.786874999998</v>
      </c>
      <c r="J129" s="7">
        <v>0</v>
      </c>
      <c r="K129" s="89" t="str">
        <f>IF(ISEVEN(B129),(B129-1)&amp;"/"&amp;B129,B129&amp;"/"&amp;(B129+1))</f>
        <v>4027/4028</v>
      </c>
      <c r="L129" s="21" t="str">
        <f>VLOOKUP(A129,'Trips&amp;Operators'!$C$1:$G$99999,5,FALSE)</f>
        <v>PAGE MARCUS</v>
      </c>
      <c r="M129" s="6">
        <f>I129-F129</f>
        <v>2.5717592587170657E-2</v>
      </c>
      <c r="N129" s="7">
        <f>24*60*SUM($M129:$M129)</f>
        <v>37.033333325525746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-26T17:09:00-0600',mode:absolute,to:'2017-07-26T19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0.11559999999999999</v>
      </c>
      <c r="Z129" s="197">
        <f>RIGHT(H129,LEN(H129)-4)/10000</f>
        <v>23.330100000000002</v>
      </c>
      <c r="AA129" s="197">
        <f>ABS(Z129-Y129)</f>
        <v>23.214500000000001</v>
      </c>
      <c r="AB129" s="54" t="str">
        <f>VLOOKUP(A129,Enforcements!$C$7:$K$13,8,0)</f>
        <v>Bulletin (2)</v>
      </c>
      <c r="AC129" s="51" t="str">
        <f>VLOOKUP(A129,Enforcements!$C$7:$E$13,3,0)</f>
        <v>GRADE CROSSING</v>
      </c>
      <c r="AD129" s="206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/stypes="app*4028*20170727*"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8"/>
        <v>"%USERPROFILE%\Documents\GitHub\eaglep3\Utilities\RefineRTDCRunTimes.py" --tripid 217-26 --locoid 4028 --swversion DE.1.0.9.0 --startMP 204:1156 --initTime 2017-07-26T18:09:00 --startdatetime 2017-07-26T18:16:04 --delay 1 --endMP 204:233301 --enddatetime 2017-07-26T18:53:06 --enforcementcount 0 &gt;&gt;C:\Users\stu\Documents\GitHub\eaglep3-reporting\EC\2017-07-26-refined-times.txt</v>
      </c>
      <c r="AI12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{"issue":{"subject":"","project_id":79,"tracker_id":40,"status_id":1,"priority_id":2,"assigned_to_id":23,"start_date":"2017-07-26","description":"","custom_fields":[{"id":1,"name":"Subdivision","value":"EC"},{"id":4,"name":"Milepost","value":"23.3301"},{"id":17,"name":"Train ID","value":"217-26"},{"id":16,"name":"Locomotive ID","value":"4028"},{"id":130,"name":"Impact","value":""},{"id":150,"name":"Time of Event (Mountain Time)","value":"18:53:06"},{"id":151,"name":"Denver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4028 --day 2017-07-26</v>
      </c>
      <c r="AN129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824</v>
      </c>
      <c r="B130" s="7">
        <v>4027</v>
      </c>
      <c r="C130" s="21" t="s">
        <v>198</v>
      </c>
      <c r="D130" s="21" t="s">
        <v>475</v>
      </c>
      <c r="E130" s="13">
        <v>42942.794456018521</v>
      </c>
      <c r="F130" s="13">
        <v>42942.800208333334</v>
      </c>
      <c r="G130" s="7">
        <v>1</v>
      </c>
      <c r="H130" s="21" t="s">
        <v>377</v>
      </c>
      <c r="I130" s="13">
        <v>42942.826192129629</v>
      </c>
      <c r="J130" s="7">
        <v>0</v>
      </c>
      <c r="K130" s="89" t="str">
        <f>IF(ISEVEN(B130),(B130-1)&amp;"/"&amp;B130,B130&amp;"/"&amp;(B130+1))</f>
        <v>4027/4028</v>
      </c>
      <c r="L130" s="21" t="str">
        <f>VLOOKUP(A130,'Trips&amp;Operators'!$C$1:$G$99999,5,FALSE)</f>
        <v>PAGE MARCUS</v>
      </c>
      <c r="M130" s="6">
        <f>I130-F130</f>
        <v>2.5983796294895001E-2</v>
      </c>
      <c r="N130" s="7">
        <f>24*60*SUM($M130:$M130)</f>
        <v>37.416666664648801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-26T18:04:01-0600',mode:absolute,to:'2017-07-26T20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23.298200000000001</v>
      </c>
      <c r="Z130" s="197">
        <f>RIGHT(H130,LEN(H130)-4)/10000</f>
        <v>1.54E-2</v>
      </c>
      <c r="AA130" s="197">
        <f>ABS(Z130-Y130)</f>
        <v>23.282800000000002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/stypes="app*4027*20170727*"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8"/>
        <v>"%USERPROFILE%\Documents\GitHub\eaglep3\Utilities\RefineRTDCRunTimes.py" --tripid 218-26 --locoid 4027 --swversion DE.1.0.9.0 --startMP 204:232982 --initTime 2017-07-26T19:04:01 --startdatetime 2017-07-26T19:12:18 --delay 1 --endMP 204:154 --enddatetime 2017-07-26T19:49:43 --enforcementcount 0 &gt;&gt;C:\Users\stu\Documents\GitHub\eaglep3-reporting\EC\2017-07-26-refined-times.txt</v>
      </c>
      <c r="AI13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{"issue":{"subject":"","project_id":79,"tracker_id":40,"status_id":1,"priority_id":2,"assigned_to_id":23,"start_date":"2017-07-26","description":"","custom_fields":[{"id":1,"name":"Subdivision","value":"EC"},{"id":4,"name":"Milepost","value":"0.0154"},{"id":17,"name":"Train ID","value":"218-26"},{"id":16,"name":"Locomotive ID","value":"4027"},{"id":130,"name":"Impact","value":""},{"id":150,"name":"Time of Event (Mountain Time)","value":"19:49:43"},{"id":151,"name":"Denver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4027 --day 2017-07-26</v>
      </c>
      <c r="AN130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653</v>
      </c>
      <c r="B131" s="7">
        <v>4024</v>
      </c>
      <c r="C131" s="21" t="s">
        <v>198</v>
      </c>
      <c r="D131" s="21" t="s">
        <v>578</v>
      </c>
      <c r="E131" s="13">
        <v>42942.765381944446</v>
      </c>
      <c r="F131" s="13">
        <v>42942.77134259259</v>
      </c>
      <c r="G131" s="7">
        <v>2</v>
      </c>
      <c r="H131" s="21" t="s">
        <v>572</v>
      </c>
      <c r="I131" s="13">
        <v>42942.797858796293</v>
      </c>
      <c r="J131" s="7">
        <v>0</v>
      </c>
      <c r="K131" s="89" t="str">
        <f>IF(ISEVEN(B131),(B131-1)&amp;"/"&amp;B131,B131&amp;"/"&amp;(B131+1))</f>
        <v>4023/4024</v>
      </c>
      <c r="L131" s="21" t="str">
        <f>VLOOKUP(A131,'Trips&amp;Operators'!$C$1:$G$99999,5,FALSE)</f>
        <v>LAMAR NEKESHA</v>
      </c>
      <c r="M131" s="6">
        <f>I131-F131</f>
        <v>2.6516203703067731E-2</v>
      </c>
      <c r="N131" s="7">
        <f>24*60*SUM($M131:$M131)</f>
        <v>38.183333332417533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-26T17:22:09-0600',mode:absolute,to:'2017-07-26T20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4.6699999999999998E-2</v>
      </c>
      <c r="Z131" s="197">
        <f>RIGHT(H131,LEN(H131)-4)/10000</f>
        <v>23.3308</v>
      </c>
      <c r="AA131" s="197">
        <f>ABS(Z131-Y131)</f>
        <v>23.284099999999999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/stypes="app*4024*20170727*"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8"/>
        <v>"%USERPROFILE%\Documents\GitHub\eaglep3\Utilities\RefineRTDCRunTimes.py" --tripid 219-26 --locoid 4024 --swversion DE.1.0.9.0 --startMP 204:467 --initTime 2017-07-26T18:22:09 --startdatetime 2017-07-26T18:30:44 --delay 2 --endMP 204:233308 --enddatetime 2017-07-26T19:08:55 --enforcementcount 0 &gt;&gt;C:\Users\stu\Documents\GitHub\eaglep3-reporting\EC\2017-07-26-refined-times.txt</v>
      </c>
      <c r="AI13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{"issue":{"subject":"","project_id":79,"tracker_id":40,"status_id":1,"priority_id":2,"assigned_to_id":23,"start_date":"2017-07-26","description":"","custom_fields":[{"id":1,"name":"Subdivision","value":"EC"},{"id":4,"name":"Milepost","value":"23.3308"},{"id":17,"name":"Train ID","value":"219-26"},{"id":16,"name":"Locomotive ID","value":"4024"},{"id":130,"name":"Impact","value":""},{"id":150,"name":"Time of Event (Mountain Time)","value":"19:08:55"},{"id":151,"name":"Denver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4024 --day 2017-07-26</v>
      </c>
      <c r="AN131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828</v>
      </c>
      <c r="B132" s="7">
        <v>4023</v>
      </c>
      <c r="C132" s="21" t="s">
        <v>198</v>
      </c>
      <c r="D132" s="21" t="s">
        <v>877</v>
      </c>
      <c r="E132" s="13">
        <v>42942.806886574072</v>
      </c>
      <c r="F132" s="13">
        <v>42942.810590277775</v>
      </c>
      <c r="G132" s="7">
        <v>2</v>
      </c>
      <c r="H132" s="21" t="s">
        <v>474</v>
      </c>
      <c r="I132" s="13">
        <v>42942.837731481479</v>
      </c>
      <c r="J132" s="7">
        <v>0</v>
      </c>
      <c r="K132" s="89" t="str">
        <f>IF(ISEVEN(B132),(B132-1)&amp;"/"&amp;B132,B132&amp;"/"&amp;(B132+1))</f>
        <v>4023/4024</v>
      </c>
      <c r="L132" s="21" t="str">
        <f>VLOOKUP(A132,'Trips&amp;Operators'!$C$1:$G$99999,5,FALSE)</f>
        <v>LAMAR NEKESHA</v>
      </c>
      <c r="M132" s="6">
        <f>I132-F132</f>
        <v>2.7141203703649808E-2</v>
      </c>
      <c r="N132" s="7">
        <f>24*60*SUM($M132:$M132)</f>
        <v>39.083333333255723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-26T18:21:55-0600',mode:absolute,to:'2017-07-26T21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23.3004</v>
      </c>
      <c r="Z132" s="197">
        <f>RIGHT(H132,LEN(H132)-4)/10000</f>
        <v>1.6E-2</v>
      </c>
      <c r="AA132" s="197">
        <f>ABS(Z132-Y132)</f>
        <v>23.284400000000002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/stypes="app*4023*20170727*" /stext=" 02:.+((SYSTEM_STATE.+slice.+state.+changed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8"/>
        <v>"%USERPROFILE%\Documents\GitHub\eaglep3\Utilities\RefineRTDCRunTimes.py" --tripid 220-26 --locoid 4023 --swversion DE.1.0.9.0 --startMP 204:233004 --initTime 2017-07-26T19:21:55 --startdatetime 2017-07-26T19:27:15 --delay 2 --endMP 204:160 --enddatetime 2017-07-26T20:06:20 --enforcementcount 0 &gt;&gt;C:\Users\stu\Documents\GitHub\eaglep3-reporting\EC\2017-07-26-refined-times.txt</v>
      </c>
      <c r="AI132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{"issue":{"subject":"","project_id":79,"tracker_id":40,"status_id":1,"priority_id":2,"assigned_to_id":23,"start_date":"2017-07-26","description":"","custom_fields":[{"id":1,"name":"Subdivision","value":"EC"},{"id":4,"name":"Milepost","value":"0.016"},{"id":17,"name":"Train ID","value":"220-26"},{"id":16,"name":"Locomotive ID","value":"4023"},{"id":130,"name":"Impact","value":""},{"id":150,"name":"Time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4023 --day 2017-07-26</v>
      </c>
      <c r="AN132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823</v>
      </c>
      <c r="B133" s="7">
        <v>4002</v>
      </c>
      <c r="C133" s="21" t="s">
        <v>198</v>
      </c>
      <c r="D133" s="21" t="s">
        <v>340</v>
      </c>
      <c r="E133" s="13">
        <v>42942.786053240743</v>
      </c>
      <c r="F133" s="13">
        <v>42942.792245370372</v>
      </c>
      <c r="G133" s="7">
        <v>1</v>
      </c>
      <c r="H133" s="21" t="s">
        <v>470</v>
      </c>
      <c r="I133" s="13">
        <v>42942.817488425928</v>
      </c>
      <c r="J133" s="7">
        <v>0</v>
      </c>
      <c r="K133" s="89" t="str">
        <f>IF(ISEVEN(B133),(B133-1)&amp;"/"&amp;B133,B133&amp;"/"&amp;(B133+1))</f>
        <v>4001/4002</v>
      </c>
      <c r="L133" s="21" t="str">
        <f>VLOOKUP(A133,'Trips&amp;Operators'!$C$1:$G$99999,5,FALSE)</f>
        <v>FORTUNATO FRANK</v>
      </c>
      <c r="M133" s="6">
        <f>I133-F133</f>
        <v>2.5243055555620231E-2</v>
      </c>
      <c r="N133" s="7">
        <f>24*60*SUM($M133:$M133)</f>
        <v>36.350000000093132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-26T17:51:55-0600',mode:absolute,to:'2017-07-26T20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4.4600000000000001E-2</v>
      </c>
      <c r="Z133" s="197">
        <f>RIGHT(H133,LEN(H133)-4)/10000</f>
        <v>23.3306</v>
      </c>
      <c r="AA133" s="197">
        <f>ABS(Z133-Y133)</f>
        <v>23.286000000000001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/stypes="app*4002*20170727*"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8"/>
        <v>"%USERPROFILE%\Documents\GitHub\eaglep3\Utilities\RefineRTDCRunTimes.py" --tripid 221-26 --locoid 4002 --swversion DE.1.0.9.0 --startMP 204:446 --initTime 2017-07-26T18:51:55 --startdatetime 2017-07-26T19:00:50 --delay 1 --endMP 204:233306 --enddatetime 2017-07-26T19:37:11 --enforcementcount 0 &gt;&gt;C:\Users\stu\Documents\GitHub\eaglep3-reporting\EC\2017-07-26-refined-times.txt</v>
      </c>
      <c r="AI133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{"issue":{"subject":"","project_id":79,"tracker_id":40,"status_id":1,"priority_id":2,"assigned_to_id":23,"start_date":"2017-07-26","description":"","custom_fields":[{"id":1,"name":"Subdivision","value":"EC"},{"id":4,"name":"Milepost","value":"23.3306"},{"id":17,"name":"Train ID","value":"221-26"},{"id":16,"name":"Locomotive ID","value":"4002"},{"id":130,"name":"Impact","value":""},{"id":150,"name":"Time of Event (Mountain Time)","value":"19:37:11"},{"id":151,"name":"Denver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4002 --day 2017-07-26</v>
      </c>
      <c r="AN133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654</v>
      </c>
      <c r="B134" s="7">
        <v>4001</v>
      </c>
      <c r="C134" s="21" t="s">
        <v>198</v>
      </c>
      <c r="D134" s="21" t="s">
        <v>924</v>
      </c>
      <c r="E134" s="13">
        <v>42942.821898148148</v>
      </c>
      <c r="F134" s="13">
        <v>42942.831435185188</v>
      </c>
      <c r="G134" s="7">
        <v>1</v>
      </c>
      <c r="H134" s="21" t="s">
        <v>450</v>
      </c>
      <c r="I134" s="13">
        <v>42942.859050925923</v>
      </c>
      <c r="J134" s="7">
        <v>0</v>
      </c>
      <c r="K134" s="89" t="str">
        <f>IF(ISEVEN(B134),(B134-1)&amp;"/"&amp;B134,B134&amp;"/"&amp;(B134+1))</f>
        <v>4001/4002</v>
      </c>
      <c r="L134" s="21" t="str">
        <f>VLOOKUP(A134,'Trips&amp;Operators'!$C$1:$G$99999,5,FALSE)</f>
        <v>FORTUNATO FRANK</v>
      </c>
      <c r="M134" s="6">
        <f>I134-F134</f>
        <v>2.7615740735200234E-2</v>
      </c>
      <c r="N134" s="7">
        <f>24*60*SUM($M134:$M134)</f>
        <v>39.766666658688337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-26T18:43:32-0600',mode:absolute,to:'2017-07-26T21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23.300799999999999</v>
      </c>
      <c r="Z134" s="197">
        <f>RIGHT(H134,LEN(H134)-4)/10000</f>
        <v>1.5800000000000002E-2</v>
      </c>
      <c r="AA134" s="197">
        <f>ABS(Z134-Y134)</f>
        <v>23.285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/stypes="app*4001*20170727*"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8"/>
        <v>"%USERPROFILE%\Documents\GitHub\eaglep3\Utilities\RefineRTDCRunTimes.py" --tripid 222-26 --locoid 4001 --swversion DE.1.0.9.0 --startMP 204:233008 --initTime 2017-07-26T19:43:32 --startdatetime 2017-07-26T19:57:16 --delay 1 --endMP 204:158 --enddatetime 2017-07-26T20:37:02 --enforcementcount 0 &gt;&gt;C:\Users\stu\Documents\GitHub\eaglep3-reporting\EC\2017-07-26-refined-times.txt</v>
      </c>
      <c r="AI134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{"issue":{"subject":"","project_id":79,"tracker_id":40,"status_id":1,"priority_id":2,"assigned_to_id":23,"start_date":"2017-07-26","description":"","custom_fields":[{"id":1,"name":"Subdivision","value":"EC"},{"id":4,"name":"Milepost","value":"0.0158"},{"id":17,"name":"Train ID","value":"222-26"},{"id":16,"name":"Locomotive ID","value":"4001"},{"id":130,"name":"Impact","value":""},{"id":150,"name":"Time of Event (Mountain Time)","value":"20:37:02"},{"id":151,"name":"Denver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4001 --day 2017-07-26</v>
      </c>
      <c r="AN134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02:37:02"},{"id":29,"name":"Sharepoint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829</v>
      </c>
      <c r="B135" s="7">
        <v>4008</v>
      </c>
      <c r="C135" s="21" t="s">
        <v>198</v>
      </c>
      <c r="D135" s="21" t="s">
        <v>476</v>
      </c>
      <c r="E135" s="13">
        <v>42942.809270833335</v>
      </c>
      <c r="F135" s="13">
        <v>42942.813020833331</v>
      </c>
      <c r="G135" s="7">
        <v>1</v>
      </c>
      <c r="H135" s="21" t="s">
        <v>925</v>
      </c>
      <c r="I135" s="13">
        <v>42942.838622685187</v>
      </c>
      <c r="J135" s="7">
        <v>0</v>
      </c>
      <c r="K135" s="89" t="str">
        <f>IF(ISEVEN(B135),(B135-1)&amp;"/"&amp;B135,B135&amp;"/"&amp;(B135+1))</f>
        <v>4007/4008</v>
      </c>
      <c r="L135" s="21" t="str">
        <f>VLOOKUP(A135,'Trips&amp;Operators'!$C$1:$G$99999,5,FALSE)</f>
        <v>HAITHCOX MICHAEL</v>
      </c>
      <c r="M135" s="6">
        <f>I135-F135</f>
        <v>2.5601851855753921E-2</v>
      </c>
      <c r="N135" s="7">
        <f>24*60*SUM($M135:$M135)</f>
        <v>36.866666672285646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-26T18:25:21-0600',mode:absolute,to:'2017-07-26T21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4.3799999999999999E-2</v>
      </c>
      <c r="Z135" s="197">
        <f>RIGHT(H135,LEN(H135)-4)/10000</f>
        <v>23.325299999999999</v>
      </c>
      <c r="AA135" s="197">
        <f>ABS(Z135-Y135)</f>
        <v>23.281499999999998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/stypes="app*4008*20170727*"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8"/>
        <v>"%USERPROFILE%\Documents\GitHub\eaglep3\Utilities\RefineRTDCRunTimes.py" --tripid 223-26 --locoid 4008 --swversion DE.1.0.9.0 --startMP 204:438 --initTime 2017-07-26T19:25:21 --startdatetime 2017-07-26T19:30:45 --delay 1 --endMP 204:233253 --enddatetime 2017-07-26T20:07:37 --enforcementcount 0 &gt;&gt;C:\Users\stu\Documents\GitHub\eaglep3-reporting\EC\2017-07-26-refined-times.txt</v>
      </c>
      <c r="AI135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{"issue":{"subject":"","project_id":79,"tracker_id":40,"status_id":1,"priority_id":2,"assigned_to_id":23,"start_date":"2017-07-26","description":"","custom_fields":[{"id":1,"name":"Subdivision","value":"EC"},{"id":4,"name":"Milepost","value":"23.3253"},{"id":17,"name":"Train ID","value":"223-26"},{"id":16,"name":"Locomotive ID","value":"4008"},{"id":130,"name":"Impact","value":""},{"id":150,"name":"Time of Event (Mountain Time)","value":"20:07:37"},{"id":151,"name":"Denver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4008 --day 2017-07-26</v>
      </c>
      <c r="AN135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833</v>
      </c>
      <c r="B136" s="7">
        <v>4007</v>
      </c>
      <c r="C136" s="21" t="s">
        <v>198</v>
      </c>
      <c r="D136" s="21" t="s">
        <v>525</v>
      </c>
      <c r="E136" s="13">
        <v>42942.841666666667</v>
      </c>
      <c r="F136" s="13">
        <v>42942.852418981478</v>
      </c>
      <c r="G136" s="7">
        <v>1</v>
      </c>
      <c r="H136" s="21" t="s">
        <v>342</v>
      </c>
      <c r="I136" s="13">
        <v>42942.880254629628</v>
      </c>
      <c r="J136" s="7">
        <v>0</v>
      </c>
      <c r="K136" s="89" t="str">
        <f>IF(ISEVEN(B136),(B136-1)&amp;"/"&amp;B136,B136&amp;"/"&amp;(B136+1))</f>
        <v>4007/4008</v>
      </c>
      <c r="L136" s="21" t="str">
        <f>VLOOKUP(A136,'Trips&amp;Operators'!$C$1:$G$99999,5,FALSE)</f>
        <v>HAITHCOX MICHAEL</v>
      </c>
      <c r="M136" s="6">
        <f>I136-F136</f>
        <v>2.7835648150357883E-2</v>
      </c>
      <c r="N136" s="7">
        <f>24*60*SUM($M136:$M136)</f>
        <v>40.083333336515352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-26T19:12:00-0600',mode:absolute,to:'2017-07-26T22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23.296099999999999</v>
      </c>
      <c r="Z136" s="197">
        <f>RIGHT(H136,LEN(H136)-4)/10000</f>
        <v>1.49E-2</v>
      </c>
      <c r="AA136" s="197">
        <f>ABS(Z136-Y136)</f>
        <v>23.281199999999998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/stypes="app*4007*20170727*" /stext=" 03:.+((SYSTEM_STATE.+slice.+state.+changed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8"/>
        <v>"%USERPROFILE%\Documents\GitHub\eaglep3\Utilities\RefineRTDCRunTimes.py" --tripid 224-26 --locoid 4007 --swversion DE.1.0.9.0 --startMP 204:232961 --initTime 2017-07-26T20:12:00 --startdatetime 2017-07-26T20:27:29 --delay 1 --endMP 204:149 --enddatetime 2017-07-26T21:07:34 --enforcementcount 0 &gt;&gt;C:\Users\stu\Documents\GitHub\eaglep3-reporting\EC\2017-07-26-refined-times.txt</v>
      </c>
      <c r="AI136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{"issue":{"subject":"","project_id":79,"tracker_id":40,"status_id":1,"priority_id":2,"assigned_to_id":23,"start_date":"2017-07-26","description":"","custom_fields":[{"id":1,"name":"Subdivision","value":"EC"},{"id":4,"name":"Milepost","value":"0.0149"},{"id":17,"name":"Train ID","value":"224-26"},{"id":16,"name":"Locomotive ID","value":"4007"},{"id":130,"name":"Impact","value":""},{"id":150,"name":"Time of Event (Mountain Time)","value":"21:07:34"},{"id":151,"name":"Denver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4007 --day 2017-07-26</v>
      </c>
      <c r="AN136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832</v>
      </c>
      <c r="B137" s="7">
        <v>4028</v>
      </c>
      <c r="C137" s="21" t="s">
        <v>198</v>
      </c>
      <c r="D137" s="21" t="s">
        <v>585</v>
      </c>
      <c r="E137" s="13">
        <v>42942.827881944446</v>
      </c>
      <c r="F137" s="13">
        <v>42942.833958333336</v>
      </c>
      <c r="G137" s="7">
        <v>1</v>
      </c>
      <c r="H137" s="21" t="s">
        <v>926</v>
      </c>
      <c r="I137" s="13">
        <v>42942.858564814815</v>
      </c>
      <c r="J137" s="7">
        <v>0</v>
      </c>
      <c r="K137" s="89" t="str">
        <f>IF(ISEVEN(B137),(B137-1)&amp;"/"&amp;B137,B137&amp;"/"&amp;(B137+1))</f>
        <v>4027/4028</v>
      </c>
      <c r="L137" s="21" t="str">
        <f>VLOOKUP(A137,'Trips&amp;Operators'!$C$1:$G$99999,5,FALSE)</f>
        <v>PAGE MARCUS</v>
      </c>
      <c r="M137" s="6">
        <f>I137-F137</f>
        <v>2.4606481478258502E-2</v>
      </c>
      <c r="N137" s="7">
        <f>24*60*SUM($M137:$M137)</f>
        <v>35.433333328692243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-26T18:52:09-0600',mode:absolute,to:'2017-07-26T21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4.7300000000000002E-2</v>
      </c>
      <c r="Z137" s="197">
        <f>RIGHT(H137,LEN(H137)-4)/10000</f>
        <v>23.326599999999999</v>
      </c>
      <c r="AA137" s="197">
        <f>ABS(Z137-Y137)</f>
        <v>23.279299999999999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/stypes="app*4028*20170727*"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8"/>
        <v>"%USERPROFILE%\Documents\GitHub\eaglep3\Utilities\RefineRTDCRunTimes.py" --tripid 225-26 --locoid 4028 --swversion DE.1.0.9.0 --startMP 204:473 --initTime 2017-07-26T19:52:09 --startdatetime 2017-07-26T20:00:54 --delay 1 --endMP 204:233266 --enddatetime 2017-07-26T20:36:20 --enforcementcount 0 &gt;&gt;C:\Users\stu\Documents\GitHub\eaglep3-reporting\EC\2017-07-26-refined-times.txt</v>
      </c>
      <c r="AI137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{"issue":{"subject":"","project_id":79,"tracker_id":40,"status_id":1,"priority_id":2,"assigned_to_id":23,"start_date":"2017-07-26","description":"","custom_fields":[{"id":1,"name":"Subdivision","value":"EC"},{"id":4,"name":"Milepost","value":"23.3266"},{"id":17,"name":"Train ID","value":"225-26"},{"id":16,"name":"Locomotive ID","value":"4028"},{"id":130,"name":"Impact","value":""},{"id":150,"name":"Time of Event (Mountain Time)","value":"20:36:20"},{"id":151,"name":"Denver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4028 --day 2017-07-26</v>
      </c>
      <c r="AN137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837</v>
      </c>
      <c r="B138" s="7">
        <v>4027</v>
      </c>
      <c r="C138" s="21" t="s">
        <v>198</v>
      </c>
      <c r="D138" s="21" t="s">
        <v>571</v>
      </c>
      <c r="E138" s="13">
        <v>42942.861400462964</v>
      </c>
      <c r="F138" s="13">
        <v>42942.873136574075</v>
      </c>
      <c r="G138" s="7">
        <v>1</v>
      </c>
      <c r="H138" s="21" t="s">
        <v>382</v>
      </c>
      <c r="I138" s="13">
        <v>42942.900740740741</v>
      </c>
      <c r="J138" s="7">
        <v>0</v>
      </c>
      <c r="K138" s="89" t="str">
        <f>IF(ISEVEN(B138),(B138-1)&amp;"/"&amp;B138,B138&amp;"/"&amp;(B138+1))</f>
        <v>4027/4028</v>
      </c>
      <c r="L138" s="21" t="str">
        <f>VLOOKUP(A138,'Trips&amp;Operators'!$C$1:$G$99999,5,FALSE)</f>
        <v>PAGE MARCUS</v>
      </c>
      <c r="M138" s="6">
        <f>I138-F138</f>
        <v>2.7604166665696539E-2</v>
      </c>
      <c r="N138" s="7">
        <f>24*60*SUM($M138:$M138)</f>
        <v>39.749999998603016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-26T19:40:25-0600',mode:absolute,to:'2017-07-26T22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23.299299999999999</v>
      </c>
      <c r="Z138" s="197">
        <f>RIGHT(H138,LEN(H138)-4)/10000</f>
        <v>1.4500000000000001E-2</v>
      </c>
      <c r="AA138" s="197">
        <f>ABS(Z138-Y138)</f>
        <v>23.284799999999997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/stypes="app*4027*20170727*"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8"/>
        <v>"%USERPROFILE%\Documents\GitHub\eaglep3\Utilities\RefineRTDCRunTimes.py" --tripid 226-26 --locoid 4027 --swversion DE.1.0.9.0 --startMP 204:232993 --initTime 2017-07-26T20:40:25 --startdatetime 2017-07-26T20:57:19 --delay 1 --endMP 204:145 --enddatetime 2017-07-26T21:37:04 --enforcementcount 0 &gt;&gt;C:\Users\stu\Documents\GitHub\eaglep3-reporting\EC\2017-07-26-refined-times.txt</v>
      </c>
      <c r="AI138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{"issue":{"subject":"","project_id":79,"tracker_id":40,"status_id":1,"priority_id":2,"assigned_to_id":23,"start_date":"2017-07-26","description":"","custom_fields":[{"id":1,"name":"Subdivision","value":"EC"},{"id":4,"name":"Milepost","value":"0.0145"},{"id":17,"name":"Train ID","value":"226-26"},{"id":16,"name":"Locomotive ID","value":"4027"},{"id":130,"name":"Impact","value":""},{"id":150,"name":"Time of Event (Mountain Time)","value":"21:37:04"},{"id":151,"name":"Denver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4027 --day 2017-07-26</v>
      </c>
      <c r="AN138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835</v>
      </c>
      <c r="B139" s="7">
        <v>4024</v>
      </c>
      <c r="C139" s="21" t="s">
        <v>198</v>
      </c>
      <c r="D139" s="21" t="s">
        <v>495</v>
      </c>
      <c r="E139" s="13">
        <v>42942.849120370367</v>
      </c>
      <c r="F139" s="13">
        <v>42942.854687500003</v>
      </c>
      <c r="G139" s="7">
        <v>1</v>
      </c>
      <c r="H139" s="21" t="s">
        <v>563</v>
      </c>
      <c r="I139" s="13">
        <v>42942.879618055558</v>
      </c>
      <c r="J139" s="7">
        <v>0</v>
      </c>
      <c r="K139" s="89" t="str">
        <f>IF(ISEVEN(B139),(B139-1)&amp;"/"&amp;B139,B139&amp;"/"&amp;(B139+1))</f>
        <v>4023/4024</v>
      </c>
      <c r="L139" s="21" t="str">
        <f>VLOOKUP(A139,'Trips&amp;Operators'!$C$1:$G$99999,5,FALSE)</f>
        <v>LAMAR NEKESHA</v>
      </c>
      <c r="M139" s="6">
        <f>I139-F139</f>
        <v>2.4930555555329192E-2</v>
      </c>
      <c r="N139" s="7">
        <f>24*60*SUM($M139:$M139)</f>
        <v>35.899999999674037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-26T19:22:44-0600',mode:absolute,to:'2017-07-26T22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4.5699999999999998E-2</v>
      </c>
      <c r="Z139" s="197">
        <f>RIGHT(H139,LEN(H139)-4)/10000</f>
        <v>23.328299999999999</v>
      </c>
      <c r="AA139" s="197">
        <f>ABS(Z139-Y139)</f>
        <v>23.282599999999999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/stypes="app*4024*20170727*"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8"/>
        <v>"%USERPROFILE%\Documents\GitHub\eaglep3\Utilities\RefineRTDCRunTimes.py" --tripid 227-26 --locoid 4024 --swversion DE.1.0.9.0 --startMP 204:457 --initTime 2017-07-26T20:22:44 --startdatetime 2017-07-26T20:30:45 --delay 1 --endMP 204:233283 --enddatetime 2017-07-26T21:06:39 --enforcementcount 0 &gt;&gt;C:\Users\stu\Documents\GitHub\eaglep3-reporting\EC\2017-07-26-refined-times.txt</v>
      </c>
      <c r="AI139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{"issue":{"subject":"","project_id":79,"tracker_id":40,"status_id":1,"priority_id":2,"assigned_to_id":23,"start_date":"2017-07-26","description":"","custom_fields":[{"id":1,"name":"Subdivision","value":"EC"},{"id":4,"name":"Milepost","value":"23.3283"},{"id":17,"name":"Train ID","value":"227-26"},{"id":16,"name":"Locomotive ID","value":"4024"},{"id":130,"name":"Impact","value":""},{"id":150,"name":"Time of Event (Mountain Time)","value":"21:06:39"},{"id":151,"name":"Denver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4024 --day 2017-07-26</v>
      </c>
      <c r="AN139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655</v>
      </c>
      <c r="B140" s="7">
        <v>4023</v>
      </c>
      <c r="C140" s="21" t="s">
        <v>198</v>
      </c>
      <c r="D140" s="21" t="s">
        <v>570</v>
      </c>
      <c r="E140" s="13">
        <v>42942.890509259261</v>
      </c>
      <c r="F140" s="13">
        <v>42942.893912037034</v>
      </c>
      <c r="G140" s="7">
        <v>1</v>
      </c>
      <c r="H140" s="21" t="s">
        <v>341</v>
      </c>
      <c r="I140" s="13">
        <v>42942.922118055554</v>
      </c>
      <c r="J140" s="7">
        <v>0</v>
      </c>
      <c r="K140" s="89" t="str">
        <f>IF(ISEVEN(B140),(B140-1)&amp;"/"&amp;B140,B140&amp;"/"&amp;(B140+1))</f>
        <v>4023/4024</v>
      </c>
      <c r="L140" s="21" t="str">
        <f>VLOOKUP(A140,'Trips&amp;Operators'!$C$1:$G$99999,5,FALSE)</f>
        <v>LAMAR NEKESHA</v>
      </c>
      <c r="M140" s="6">
        <f>I140-F140</f>
        <v>2.8206018519995268E-2</v>
      </c>
      <c r="N140" s="7">
        <f>24*60*SUM($M140:$M140)</f>
        <v>40.616666668793187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-26T20:22:20-0600',mode:absolute,to:'2017-07-26T23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23.297599999999999</v>
      </c>
      <c r="Z140" s="197">
        <f>RIGHT(H140,LEN(H140)-4)/10000</f>
        <v>1.4999999999999999E-2</v>
      </c>
      <c r="AA140" s="197">
        <f>ABS(Z140-Y140)</f>
        <v>23.282599999999999</v>
      </c>
      <c r="AB140" s="54" t="str">
        <f>VLOOKUP(A140,Enforcements!$C$7:$K$13,8,0)</f>
        <v>Bulletin (2)</v>
      </c>
      <c r="AC140" s="51" t="str">
        <f>VLOOKUP(A140,Enforcements!$C$7:$E$13,3,0)</f>
        <v>GRADE CROSSING</v>
      </c>
      <c r="AD140" s="206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/stypes="app*4023*20170727*" /stext=" 04:.+((SYSTEM_STATE.+slice.+state.+changed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8"/>
        <v>"%USERPROFILE%\Documents\GitHub\eaglep3\Utilities\RefineRTDCRunTimes.py" --tripid 228-26 --locoid 4023 --swversion DE.1.0.9.0 --startMP 204:232976 --initTime 2017-07-26T21:22:20 --startdatetime 2017-07-26T21:27:14 --delay 1 --endMP 204:150 --enddatetime 2017-07-26T22:07:51 --enforcementcount 0 &gt;&gt;C:\Users\stu\Documents\GitHub\eaglep3-reporting\EC\2017-07-26-refined-times.txt</v>
      </c>
      <c r="AI140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{"issue":{"subject":"","project_id":79,"tracker_id":40,"status_id":1,"priority_id":2,"assigned_to_id":23,"start_date":"2017-07-26","description":"","custom_fields":[{"id":1,"name":"Subdivision","value":"EC"},{"id":4,"name":"Milepost","value":"0.015"},{"id":17,"name":"Train ID","value":"228-26"},{"id":16,"name":"Locomotive ID","value":"4023"},{"id":130,"name":"Impact","value":""},{"id":150,"name":"Time of Event (Mountain Time)","value":"22:07:51"},{"id":151,"name":"Denver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4023 --day 2017-07-26</v>
      </c>
      <c r="AN140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838</v>
      </c>
      <c r="B141" s="7">
        <v>4002</v>
      </c>
      <c r="C141" s="21" t="s">
        <v>198</v>
      </c>
      <c r="D141" s="21" t="s">
        <v>345</v>
      </c>
      <c r="E141" s="13">
        <v>42942.868854166663</v>
      </c>
      <c r="F141" s="13">
        <v>42942.875497685185</v>
      </c>
      <c r="G141" s="7">
        <v>4</v>
      </c>
      <c r="H141" s="21" t="s">
        <v>580</v>
      </c>
      <c r="I141" s="13">
        <v>42942.901423611111</v>
      </c>
      <c r="J141" s="7">
        <v>0</v>
      </c>
      <c r="K141" s="89" t="str">
        <f>IF(ISEVEN(B141),(B141-1)&amp;"/"&amp;B141,B141&amp;"/"&amp;(B141+1))</f>
        <v>4001/4002</v>
      </c>
      <c r="L141" s="21" t="str">
        <f>VLOOKUP(A141,'Trips&amp;Operators'!$C$1:$G$99999,5,FALSE)</f>
        <v>FORTUNATO FRANK</v>
      </c>
      <c r="M141" s="6">
        <f>I141-F141</f>
        <v>2.5925925925548654E-2</v>
      </c>
      <c r="N141" s="7">
        <f>24*60*SUM($M141:$M141)</f>
        <v>37.333333332790062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-26T19:51:09-0600',mode:absolute,to:'2017-07-26T22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4.5100000000000001E-2</v>
      </c>
      <c r="Z141" s="197">
        <f>RIGHT(H141,LEN(H141)-4)/10000</f>
        <v>23.331700000000001</v>
      </c>
      <c r="AA141" s="197">
        <f>ABS(Z141-Y141)</f>
        <v>23.2866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/stypes="app*4002*20170727*"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8"/>
        <v>"%USERPROFILE%\Documents\GitHub\eaglep3\Utilities\RefineRTDCRunTimes.py" --tripid 229-26 --locoid 4002 --swversion DE.1.0.9.0 --startMP 204:451 --initTime 2017-07-26T20:51:09 --startdatetime 2017-07-26T21:00:43 --delay 4 --endMP 204:233317 --enddatetime 2017-07-26T21:38:03 --enforcementcount 0 &gt;&gt;C:\Users\stu\Documents\GitHub\eaglep3-reporting\EC\2017-07-26-refined-times.txt</v>
      </c>
      <c r="AI141" s="96" t="str">
        <f t="shared" si="9"/>
        <v>echo {"issue":{"subject":"","project_id":79,"tracker_id":40,"status_id":1,"priority_id":2,"assigned_to_id":23,"start_date":"2017-07-26","description":"","custom_fields":[{"id":1,"name":"Subdivision","value":"EC"},{"id":4,"name":"Milepost","value":"23.3317"},{"id":17,"name":"Train ID","value":"229-26"},{"id":16,"name":"Locomotive ID","value":"4002"},{"id":130,"name":"Impact","value":""},{"id":150,"name":"Time of Event (Mountain Time)","value":"21:38:03"},{"id":151,"name":"Denver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4002 --day 2017-07-26</v>
      </c>
      <c r="AN141" s="151" t="str">
        <f t="shared" si="1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03:38:03"},{"id":29,"name":"Sharepoint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845</v>
      </c>
      <c r="B142" s="7">
        <v>4001</v>
      </c>
      <c r="C142" s="21" t="s">
        <v>198</v>
      </c>
      <c r="D142" s="21" t="s">
        <v>452</v>
      </c>
      <c r="E142" s="13">
        <v>42942.903692129628</v>
      </c>
      <c r="F142" s="13">
        <v>42942.915682870371</v>
      </c>
      <c r="G142" s="7">
        <v>1</v>
      </c>
      <c r="H142" s="21" t="s">
        <v>450</v>
      </c>
      <c r="I142" s="13">
        <v>42942.943298611113</v>
      </c>
      <c r="J142" s="7">
        <v>0</v>
      </c>
      <c r="K142" s="89" t="str">
        <f>IF(ISEVEN(B142),(B142-1)&amp;"/"&amp;B142,B142&amp;"/"&amp;(B142+1))</f>
        <v>4001/4002</v>
      </c>
      <c r="L142" s="21" t="str">
        <f>VLOOKUP(A142,'Trips&amp;Operators'!$C$1:$G$99999,5,FALSE)</f>
        <v>FORTUNATO FRANK</v>
      </c>
      <c r="M142" s="6">
        <f>I142-F142</f>
        <v>2.7615740742476191E-2</v>
      </c>
      <c r="N142" s="7">
        <f>24*60*SUM($M142:$M142)</f>
        <v>39.766666669165716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-26T20:41:19-0600',mode:absolute,to:'2017-07-26T23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23.299399999999999</v>
      </c>
      <c r="Z142" s="197">
        <f>RIGHT(H142,LEN(H142)-4)/10000</f>
        <v>1.5800000000000002E-2</v>
      </c>
      <c r="AA142" s="197">
        <f>ABS(Z142-Y142)</f>
        <v>23.2836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/stypes="app*4001*20170727*"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ref="AH142:AH203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230-26 --locoid 4001 --swversion DE.1.0.9.0 --startMP 204:232994 --initTime 2017-07-26T21:41:19 --startdatetime 2017-07-26T21:58:35 --delay 1 --endMP 204:158 --enddatetime 2017-07-26T22:38:21 --enforcementcount 0 &gt;&gt;C:\Users\stu\Documents\GitHub\eaglep3-reporting\EC\2017-07-26-refined-times.txt</v>
      </c>
      <c r="AI142" s="96" t="str">
        <f t="shared" ref="AI142:AI203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{"issue":{"subject":"","project_id":79,"tracker_id":40,"status_id":1,"priority_id":2,"assigned_to_id":23,"start_date":"2017-07-26","description":"","custom_fields":[{"id":1,"name":"Subdivision","value":"EC"},{"id":4,"name":"Milepost","value":"0.0158"},{"id":17,"name":"Train ID","value":"230-26"},{"id":16,"name":"Locomotive ID","value":"4001"},{"id":130,"name":"Impact","value":""},{"id":150,"name":"Time of Event (Mountain Time)","value":"22:38:21"},{"id":151,"name":"Denver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14">"start /low /b "&amp;dls3logs&amp;" --loco "&amp;B142&amp;" --day "&amp;TEXT(F142,"YYYY-MM-DD")</f>
        <v>start /low /b %USERPROFILE%\Documents\GitHub\eaglep3\Utilities\DownloadLogsFromS3.py --loco 4001 --day 2017-07-26</v>
      </c>
      <c r="AN142" s="151" t="str">
        <f t="shared" ref="AN142:AN203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840</v>
      </c>
      <c r="B143" s="7">
        <v>4008</v>
      </c>
      <c r="C143" s="21" t="s">
        <v>198</v>
      </c>
      <c r="D143" s="21" t="s">
        <v>348</v>
      </c>
      <c r="E143" s="13">
        <v>42942.891157407408</v>
      </c>
      <c r="F143" s="13">
        <v>42942.896423611113</v>
      </c>
      <c r="G143" s="7">
        <v>1</v>
      </c>
      <c r="H143" s="21" t="s">
        <v>927</v>
      </c>
      <c r="I143" s="13">
        <v>42942.922418981485</v>
      </c>
      <c r="J143" s="7">
        <v>0</v>
      </c>
      <c r="K143" s="89" t="str">
        <f>IF(ISEVEN(B143),(B143-1)&amp;"/"&amp;B143,B143&amp;"/"&amp;(B143+1))</f>
        <v>4007/4008</v>
      </c>
      <c r="L143" s="21" t="str">
        <f>VLOOKUP(A143,'Trips&amp;Operators'!$C$1:$G$99999,5,FALSE)</f>
        <v>RESPASS AARON</v>
      </c>
      <c r="M143" s="6">
        <f>I143-F143</f>
        <v>2.5995370371674653E-2</v>
      </c>
      <c r="N143" s="7">
        <f>24*60*SUM($M143:$M143)</f>
        <v>37.433333335211501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-26T20:23:16-0600',mode:absolute,to:'2017-07-26T23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4.4699999999999997E-2</v>
      </c>
      <c r="Z143" s="197">
        <f>RIGHT(H143,LEN(H143)-4)/10000</f>
        <v>23.3261</v>
      </c>
      <c r="AA143" s="197">
        <f>ABS(Z143-Y143)</f>
        <v>23.281400000000001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/stypes="app*4008*20170727*"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2"/>
        <v>"%USERPROFILE%\Documents\GitHub\eaglep3\Utilities\RefineRTDCRunTimes.py" --tripid 231-26 --locoid 4008 --swversion DE.1.0.9.0 --startMP 204:447 --initTime 2017-07-26T21:23:16 --startdatetime 2017-07-26T21:30:51 --delay 1 --endMP 204:233261 --enddatetime 2017-07-26T22:08:17 --enforcementcount 0 &gt;&gt;C:\Users\stu\Documents\GitHub\eaglep3-reporting\EC\2017-07-26-refined-times.txt</v>
      </c>
      <c r="AI143" s="96" t="str">
        <f t="shared" si="13"/>
        <v>echo {"issue":{"subject":"","project_id":79,"tracker_id":40,"status_id":1,"priority_id":2,"assigned_to_id":23,"start_date":"2017-07-26","description":"","custom_fields":[{"id":1,"name":"Subdivision","value":"EC"},{"id":4,"name":"Milepost","value":"23.3261"},{"id":17,"name":"Train ID","value":"231-26"},{"id":16,"name":"Locomotive ID","value":"4008"},{"id":130,"name":"Impact","value":""},{"id":150,"name":"Time of Event (Mountain Time)","value":"22:08:17"},{"id":151,"name":"Denver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4"/>
        <v>start /low /b %USERPROFILE%\Documents\GitHub\eaglep3\Utilities\DownloadLogsFromS3.py --loco 4008 --day 2017-07-26</v>
      </c>
      <c r="AN143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847</v>
      </c>
      <c r="B144" s="7">
        <v>4007</v>
      </c>
      <c r="C144" s="21" t="s">
        <v>198</v>
      </c>
      <c r="D144" s="21" t="s">
        <v>391</v>
      </c>
      <c r="E144" s="13">
        <v>42942.924490740741</v>
      </c>
      <c r="F144" s="13">
        <v>42942.936886574076</v>
      </c>
      <c r="G144" s="7">
        <v>1</v>
      </c>
      <c r="H144" s="21" t="s">
        <v>497</v>
      </c>
      <c r="I144" s="13">
        <v>42942.964120370372</v>
      </c>
      <c r="J144" s="7">
        <v>0</v>
      </c>
      <c r="K144" s="89" t="str">
        <f>IF(ISEVEN(B144),(B144-1)&amp;"/"&amp;B144,B144&amp;"/"&amp;(B144+1))</f>
        <v>4007/4008</v>
      </c>
      <c r="L144" s="21" t="str">
        <f>VLOOKUP(A144,'Trips&amp;Operators'!$C$1:$G$99999,5,FALSE)</f>
        <v>RESPASS AARON</v>
      </c>
      <c r="M144" s="6">
        <f>I144-F144</f>
        <v>2.7233796296059154E-2</v>
      </c>
      <c r="N144" s="7">
        <f>24*60*SUM($M144:$M144)</f>
        <v>39.216666666325182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-26T21:11:16-0600',mode:absolute,to:'2017-07-27T00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23.299600000000002</v>
      </c>
      <c r="Z144" s="197">
        <f>RIGHT(H144,LEN(H144)-4)/10000</f>
        <v>1.61E-2</v>
      </c>
      <c r="AA144" s="197">
        <f>ABS(Z144-Y144)</f>
        <v>23.2835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/stypes="app*4007*20170727*" /stext=" 05:.+((SYSTEM_STATE.+slice.+state.+changed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2"/>
        <v>"%USERPROFILE%\Documents\GitHub\eaglep3\Utilities\RefineRTDCRunTimes.py" --tripid 232-26 --locoid 4007 --swversion DE.1.0.9.0 --startMP 204:232996 --initTime 2017-07-26T22:11:16 --startdatetime 2017-07-26T22:29:07 --delay 1 --endMP 204:161 --enddatetime 2017-07-26T23:08:20 --enforcementcount 0 &gt;&gt;C:\Users\stu\Documents\GitHub\eaglep3-reporting\EC\2017-07-26-refined-times.txt</v>
      </c>
      <c r="AI144" s="96" t="str">
        <f t="shared" si="13"/>
        <v>echo {"issue":{"subject":"","project_id":79,"tracker_id":40,"status_id":1,"priority_id":2,"assigned_to_id":23,"start_date":"2017-07-26","description":"","custom_fields":[{"id":1,"name":"Subdivision","value":"EC"},{"id":4,"name":"Milepost","value":"0.0161"},{"id":17,"name":"Train ID","value":"232-26"},{"id":16,"name":"Locomotive ID","value":"4007"},{"id":130,"name":"Impact","value":""},{"id":150,"name":"Time of Event (Mountain Time)","value":"23:08:20"},{"id":151,"name":"Denver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4"/>
        <v>start /low /b %USERPROFILE%\Documents\GitHub\eaglep3\Utilities\DownloadLogsFromS3.py --loco 4007 --day 2017-07-26</v>
      </c>
      <c r="AN144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844</v>
      </c>
      <c r="B145" s="7">
        <v>4028</v>
      </c>
      <c r="C145" s="21" t="s">
        <v>198</v>
      </c>
      <c r="D145" s="21" t="s">
        <v>412</v>
      </c>
      <c r="E145" s="13">
        <v>42942.903252314813</v>
      </c>
      <c r="F145" s="13">
        <v>42942.917256944442</v>
      </c>
      <c r="G145" s="7">
        <v>1</v>
      </c>
      <c r="H145" s="21" t="s">
        <v>527</v>
      </c>
      <c r="I145" s="13">
        <v>42942.942233796297</v>
      </c>
      <c r="J145" s="7">
        <v>0</v>
      </c>
      <c r="K145" s="89" t="str">
        <f>IF(ISEVEN(B145),(B145-1)&amp;"/"&amp;B145,B145&amp;"/"&amp;(B145+1))</f>
        <v>4027/4028</v>
      </c>
      <c r="L145" s="21" t="str">
        <f>VLOOKUP(A145,'Trips&amp;Operators'!$C$1:$G$99999,5,FALSE)</f>
        <v>PAGE MARCUS</v>
      </c>
      <c r="M145" s="6">
        <f>I145-F145</f>
        <v>2.4976851855171844E-2</v>
      </c>
      <c r="N145" s="7">
        <f>24*60*SUM($M145:$M145)</f>
        <v>35.966666671447456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-26T20:40:41-0600',mode:absolute,to:'2017-07-26T23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4.7100000000000003E-2</v>
      </c>
      <c r="Z145" s="197">
        <f>RIGHT(H145,LEN(H145)-4)/10000</f>
        <v>23.3278</v>
      </c>
      <c r="AA145" s="197">
        <f>ABS(Z145-Y145)</f>
        <v>23.2807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/stypes="app*4028*20170727*"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2"/>
        <v>"%USERPROFILE%\Documents\GitHub\eaglep3\Utilities\RefineRTDCRunTimes.py" --tripid 233-26 --locoid 4028 --swversion DE.1.0.9.0 --startMP 204:471 --initTime 2017-07-26T21:40:41 --startdatetime 2017-07-26T22:00:51 --delay 1 --endMP 204:233278 --enddatetime 2017-07-26T22:36:49 --enforcementcount 0 &gt;&gt;C:\Users\stu\Documents\GitHub\eaglep3-reporting\EC\2017-07-26-refined-times.txt</v>
      </c>
      <c r="AI145" s="96" t="str">
        <f t="shared" si="13"/>
        <v>echo {"issue":{"subject":"","project_id":79,"tracker_id":40,"status_id":1,"priority_id":2,"assigned_to_id":23,"start_date":"2017-07-26","description":"","custom_fields":[{"id":1,"name":"Subdivision","value":"EC"},{"id":4,"name":"Milepost","value":"23.3278"},{"id":17,"name":"Train ID","value":"233-26"},{"id":16,"name":"Locomotive ID","value":"4028"},{"id":130,"name":"Impact","value":""},{"id":150,"name":"Time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4"/>
        <v>start /low /b %USERPROFILE%\Documents\GitHub\eaglep3\Utilities\DownloadLogsFromS3.py --loco 4028 --day 2017-07-26</v>
      </c>
      <c r="AN145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657</v>
      </c>
      <c r="B146" s="7">
        <v>4027</v>
      </c>
      <c r="C146" s="21" t="s">
        <v>198</v>
      </c>
      <c r="D146" s="21" t="s">
        <v>391</v>
      </c>
      <c r="E146" s="13">
        <v>42942.948101851849</v>
      </c>
      <c r="F146" s="13">
        <v>42942.956469907411</v>
      </c>
      <c r="G146" s="7">
        <v>1</v>
      </c>
      <c r="H146" s="21" t="s">
        <v>928</v>
      </c>
      <c r="I146" s="13">
        <v>42942.983564814815</v>
      </c>
      <c r="J146" s="7">
        <v>0</v>
      </c>
      <c r="K146" s="89" t="str">
        <f>IF(ISEVEN(B146),(B146-1)&amp;"/"&amp;B146,B146&amp;"/"&amp;(B146+1))</f>
        <v>4027/4028</v>
      </c>
      <c r="L146" s="21" t="str">
        <f>VLOOKUP(A146,'Trips&amp;Operators'!$C$1:$G$99999,5,FALSE)</f>
        <v>PAGE MARCUS</v>
      </c>
      <c r="M146" s="6">
        <f>I146-F146</f>
        <v>2.7094907403807156E-2</v>
      </c>
      <c r="N146" s="7">
        <f>24*60*SUM($M146:$M146)</f>
        <v>39.016666661482304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-26T21:45:16-0600',mode:absolute,to:'2017-07-27T00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23.299600000000002</v>
      </c>
      <c r="Z146" s="197">
        <f>RIGHT(H146,LEN(H146)-4)/10000</f>
        <v>8.8800000000000004E-2</v>
      </c>
      <c r="AA146" s="197">
        <f>ABS(Z146-Y146)</f>
        <v>23.210800000000003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/stypes="app*4027*20170727*" /stext=" 05:.+((SYSTEM_STATE.+slice.+state.+changed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2"/>
        <v>"%USERPROFILE%\Documents\GitHub\eaglep3\Utilities\RefineRTDCRunTimes.py" --tripid 234-26 --locoid 4027 --swversion DE.1.0.9.0 --startMP 204:232996 --initTime 2017-07-26T22:45:16 --startdatetime 2017-07-26T22:57:19 --delay 1 --endMP 204:888 --enddatetime 2017-07-26T23:36:20 --enforcementcount 0 &gt;&gt;C:\Users\stu\Documents\GitHub\eaglep3-reporting\EC\2017-07-26-refined-times.txt</v>
      </c>
      <c r="AI146" s="96" t="str">
        <f t="shared" si="13"/>
        <v>echo {"issue":{"subject":"","project_id":79,"tracker_id":40,"status_id":1,"priority_id":2,"assigned_to_id":23,"start_date":"2017-07-26","description":"","custom_fields":[{"id":1,"name":"Subdivision","value":"EC"},{"id":4,"name":"Milepost","value":"0.0888"},{"id":17,"name":"Train ID","value":"234-26"},{"id":16,"name":"Locomotive ID","value":"4027"},{"id":130,"name":"Impact","value":""},{"id":150,"name":"Time of Event (Mountain Time)","value":"23:36:20"},{"id":151,"name":"Denver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4"/>
        <v>start /low /b %USERPROFILE%\Documents\GitHub\eaglep3\Utilities\DownloadLogsFromS3.py --loco 4027 --day 2017-07-26</v>
      </c>
      <c r="AN146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848</v>
      </c>
      <c r="B147" s="7">
        <v>4024</v>
      </c>
      <c r="C147" s="21" t="s">
        <v>198</v>
      </c>
      <c r="D147" s="21" t="s">
        <v>476</v>
      </c>
      <c r="E147" s="13">
        <v>42942.933518518519</v>
      </c>
      <c r="F147" s="13">
        <v>42942.938240740739</v>
      </c>
      <c r="G147" s="7">
        <v>1</v>
      </c>
      <c r="H147" s="21" t="s">
        <v>410</v>
      </c>
      <c r="I147" s="13">
        <v>42942.96329861111</v>
      </c>
      <c r="J147" s="7">
        <v>0</v>
      </c>
      <c r="K147" s="89" t="str">
        <f>IF(ISEVEN(B147),(B147-1)&amp;"/"&amp;B147,B147&amp;"/"&amp;(B147+1))</f>
        <v>4023/4024</v>
      </c>
      <c r="L147" s="21" t="str">
        <f>VLOOKUP(A147,'Trips&amp;Operators'!$C$1:$G$99999,5,FALSE)</f>
        <v>LAMAR NEKESHA</v>
      </c>
      <c r="M147" s="6">
        <f>I147-F147</f>
        <v>2.5057870370801538E-2</v>
      </c>
      <c r="N147" s="7">
        <f>24*60*SUM($M147:$M147)</f>
        <v>36.083333333954215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-26T21:24:16-0600',mode:absolute,to:'2017-07-27T00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4.3799999999999999E-2</v>
      </c>
      <c r="Z147" s="197">
        <f>RIGHT(H147,LEN(H147)-4)/10000</f>
        <v>23.329699999999999</v>
      </c>
      <c r="AA147" s="197">
        <f>ABS(Z147-Y147)</f>
        <v>23.285899999999998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/stypes="app*4024*20170727*"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2"/>
        <v>"%USERPROFILE%\Documents\GitHub\eaglep3\Utilities\RefineRTDCRunTimes.py" --tripid 235-26 --locoid 4024 --swversion DE.1.0.9.0 --startMP 204:438 --initTime 2017-07-26T22:24:16 --startdatetime 2017-07-26T22:31:04 --delay 1 --endMP 204:233297 --enddatetime 2017-07-26T23:07:09 --enforcementcount 0 &gt;&gt;C:\Users\stu\Documents\GitHub\eaglep3-reporting\EC\2017-07-26-refined-times.txt</v>
      </c>
      <c r="AI147" s="96" t="str">
        <f t="shared" si="13"/>
        <v>echo {"issue":{"subject":"","project_id":79,"tracker_id":40,"status_id":1,"priority_id":2,"assigned_to_id":23,"start_date":"2017-07-26","description":"","custom_fields":[{"id":1,"name":"Subdivision","value":"EC"},{"id":4,"name":"Milepost","value":"23.3297"},{"id":17,"name":"Train ID","value":"235-26"},{"id":16,"name":"Locomotive ID","value":"4024"},{"id":130,"name":"Impact","value":""},{"id":150,"name":"Time of Event (Mountain Time)","value":"23:07:09"},{"id":151,"name":"Denver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4"/>
        <v>start /low /b %USERPROFILE%\Documents\GitHub\eaglep3\Utilities\DownloadLogsFromS3.py --loco 4024 --day 2017-07-26</v>
      </c>
      <c r="AN147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05:07:09"},{"id":29,"name":"Sharepoint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853</v>
      </c>
      <c r="B148" s="7">
        <v>4023</v>
      </c>
      <c r="C148" s="21" t="s">
        <v>198</v>
      </c>
      <c r="D148" s="21" t="s">
        <v>526</v>
      </c>
      <c r="E148" s="13">
        <v>42942.973553240743</v>
      </c>
      <c r="F148" s="13">
        <v>42942.977233796293</v>
      </c>
      <c r="G148" s="7">
        <v>1</v>
      </c>
      <c r="H148" s="21" t="s">
        <v>529</v>
      </c>
      <c r="I148" s="13">
        <v>42943.00439814815</v>
      </c>
      <c r="J148" s="7">
        <v>0</v>
      </c>
      <c r="K148" s="89" t="str">
        <f>IF(ISEVEN(B148),(B148-1)&amp;"/"&amp;B148,B148&amp;"/"&amp;(B148+1))</f>
        <v>4023/4024</v>
      </c>
      <c r="L148" s="21" t="str">
        <f>VLOOKUP(A148,'Trips&amp;Operators'!$C$1:$G$99999,5,FALSE)</f>
        <v>LAMAR NEKESHA</v>
      </c>
      <c r="M148" s="6">
        <f>I148-F148</f>
        <v>2.7164351857209112E-2</v>
      </c>
      <c r="N148" s="7">
        <f>24*60*SUM($M148:$M148)</f>
        <v>39.116666674381122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-26T22:21:55-0600',mode:absolute,to:'2017-07-27T01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23.2989</v>
      </c>
      <c r="Z148" s="197">
        <f>RIGHT(H148,LEN(H148)-4)/10000</f>
        <v>1.6899999999999998E-2</v>
      </c>
      <c r="AA148" s="197">
        <f>ABS(Z148-Y148)</f>
        <v>23.282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/stypes="app*4023*20170727*" /stext=" 06:.+((SYSTEM_STATE.+slice.+state.+changed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2"/>
        <v>"%USERPROFILE%\Documents\GitHub\eaglep3\Utilities\RefineRTDCRunTimes.py" --tripid 236-26 --locoid 4023 --swversion DE.1.0.9.0 --startMP 204:232989 --initTime 2017-07-26T23:21:55 --startdatetime 2017-07-26T23:27:13 --delay 1 --endMP 204:169 --enddatetime 2017-07-27T00:06:20 --enforcementcount 0 &gt;&gt;C:\Users\stu\Documents\GitHub\eaglep3-reporting\EC\2017-07-26-refined-times.txt</v>
      </c>
      <c r="AI148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{"issue":{"subject":"","project_id":79,"tracker_id":40,"status_id":1,"priority_id":2,"assigned_to_id":23,"start_date":"2017-07-27","description":"","custom_fields":[{"id":1,"name":"Subdivision","value":"EC"},{"id":4,"name":"Milepost","value":"0.0169"},{"id":17,"name":"Train ID","value":"236-26"},{"id":16,"name":"Locomotive ID","value":"4023"},{"id":130,"name":"Impact","value":""},{"id":150,"name":"Time of Event (Mountain Time)","value":"00:06:20"},{"id":151,"name":"Denver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4"/>
        <v>start /low /b %USERPROFILE%\Documents\GitHub\eaglep3\Utilities\DownloadLogsFromS3.py --loco 4023 --day 2017-07-26</v>
      </c>
      <c r="AN148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851</v>
      </c>
      <c r="B149" s="7">
        <v>4002</v>
      </c>
      <c r="C149" s="21" t="s">
        <v>198</v>
      </c>
      <c r="D149" s="21" t="s">
        <v>904</v>
      </c>
      <c r="E149" s="13">
        <v>42942.948761574073</v>
      </c>
      <c r="F149" s="13">
        <v>42942.958819444444</v>
      </c>
      <c r="G149" s="7">
        <v>2</v>
      </c>
      <c r="H149" s="21" t="s">
        <v>580</v>
      </c>
      <c r="I149" s="13">
        <v>42942.984097222223</v>
      </c>
      <c r="J149" s="7">
        <v>0</v>
      </c>
      <c r="K149" s="89" t="str">
        <f>IF(ISEVEN(B149),(B149-1)&amp;"/"&amp;B149,B149&amp;"/"&amp;(B149+1))</f>
        <v>4001/4002</v>
      </c>
      <c r="L149" s="21" t="str">
        <f>VLOOKUP(A149,'Trips&amp;Operators'!$C$1:$G$99999,5,FALSE)</f>
        <v>FORTUNATO FRANK</v>
      </c>
      <c r="M149" s="6">
        <f>I149-F149</f>
        <v>2.527777777868323E-2</v>
      </c>
      <c r="N149" s="7">
        <f>24*60*SUM($M149:$M149)</f>
        <v>36.400000001303852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-26T21:46:13-0600',mode:absolute,to:'2017-07-27T00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4.3700000000000003E-2</v>
      </c>
      <c r="Z149" s="197">
        <f>RIGHT(H149,LEN(H149)-4)/10000</f>
        <v>23.331700000000001</v>
      </c>
      <c r="AA149" s="197">
        <f>ABS(Z149-Y149)</f>
        <v>23.288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/stypes="app*4002*20170727*"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2"/>
        <v>"%USERPROFILE%\Documents\GitHub\eaglep3\Utilities\RefineRTDCRunTimes.py" --tripid 237-26 --locoid 4002 --swversion DE.1.0.9.0 --startMP 204:437 --initTime 2017-07-26T22:46:13 --startdatetime 2017-07-26T23:00:42 --delay 2 --endMP 204:233317 --enddatetime 2017-07-26T23:37:06 --enforcementcount 0 &gt;&gt;C:\Users\stu\Documents\GitHub\eaglep3-reporting\EC\2017-07-26-refined-times.txt</v>
      </c>
      <c r="AI149" s="96" t="str">
        <f t="shared" si="13"/>
        <v>echo {"issue":{"subject":"","project_id":79,"tracker_id":40,"status_id":1,"priority_id":2,"assigned_to_id":23,"start_date":"2017-07-26","description":"","custom_fields":[{"id":1,"name":"Subdivision","value":"EC"},{"id":4,"name":"Milepost","value":"23.3317"},{"id":17,"name":"Train ID","value":"237-26"},{"id":16,"name":"Locomotive ID","value":"4002"},{"id":130,"name":"Impact","value":""},{"id":150,"name":"Time of Event (Mountain Time)","value":"23:37:06"},{"id":151,"name":"Denver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4"/>
        <v>start /low /b %USERPROFILE%\Documents\GitHub\eaglep3\Utilities\DownloadLogsFromS3.py --loco 4002 --day 2017-07-26</v>
      </c>
      <c r="AN149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05:37:06"},{"id":29,"name":"Sharepoint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854</v>
      </c>
      <c r="B150" s="7">
        <v>4001</v>
      </c>
      <c r="C150" s="21" t="s">
        <v>198</v>
      </c>
      <c r="D150" s="21" t="s">
        <v>452</v>
      </c>
      <c r="E150" s="13">
        <v>42942.985543981478</v>
      </c>
      <c r="F150" s="13">
        <v>42942.998645833337</v>
      </c>
      <c r="G150" s="7">
        <v>0</v>
      </c>
      <c r="H150" s="21" t="s">
        <v>349</v>
      </c>
      <c r="I150" s="13">
        <v>42943.025370370371</v>
      </c>
      <c r="J150" s="7">
        <v>0</v>
      </c>
      <c r="K150" s="89" t="str">
        <f>IF(ISEVEN(B150),(B150-1)&amp;"/"&amp;B150,B150&amp;"/"&amp;(B150+1))</f>
        <v>4001/4002</v>
      </c>
      <c r="L150" s="21" t="str">
        <f>VLOOKUP(A150,'Trips&amp;Operators'!$C$1:$G$99999,5,FALSE)</f>
        <v>FORTUNATO FRANK</v>
      </c>
      <c r="M150" s="6">
        <f>I150-F150</f>
        <v>2.6724537034169771E-2</v>
      </c>
      <c r="N150" s="7">
        <f>24*60*SUM($M150:$M150)</f>
        <v>38.48333332920447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-26T22:39:11-0600',mode:absolute,to:'2017-07-27T01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23.299399999999999</v>
      </c>
      <c r="Z150" s="197">
        <f>RIGHT(H150,LEN(H150)-4)/10000</f>
        <v>1.3899999999999999E-2</v>
      </c>
      <c r="AA150" s="197">
        <f>ABS(Z150-Y150)</f>
        <v>23.285499999999999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/stypes="app*4001*20170727*" /stext=" 06:.+((SYSTEM_STATE.+slice.+state.+changed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2"/>
        <v>"%USERPROFILE%\Documents\GitHub\eaglep3\Utilities\RefineRTDCRunTimes.py" --tripid 238-26 --locoid 4001 --swversion DE.1.0.9.0 --startMP 204:232994 --initTime 2017-07-26T23:39:11 --startdatetime 2017-07-26T23:58:03 --delay 0 --endMP 204:139 --enddatetime 2017-07-27T00:36:32 --enforcementcount 0 &gt;&gt;C:\Users\stu\Documents\GitHub\eaglep3-reporting\EC\2017-07-26-refined-times.txt</v>
      </c>
      <c r="AI150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{"issue":{"subject":"","project_id":79,"tracker_id":40,"status_id":1,"priority_id":2,"assigned_to_id":23,"start_date":"2017-07-27","description":"","custom_fields":[{"id":1,"name":"Subdivision","value":"EC"},{"id":4,"name":"Milepost","value":"0.0139"},{"id":17,"name":"Train ID","value":"238-26"},{"id":16,"name":"Locomotive ID","value":"4001"},{"id":130,"name":"Impact","value":""},{"id":150,"name":"Time of Event (Mountain Time)","value":"00:36:32"},{"id":151,"name":"Denver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4"/>
        <v>start /low /b %USERPROFILE%\Documents\GitHub\eaglep3\Utilities\DownloadLogsFromS3.py --loco 4001 --day 2017-07-26</v>
      </c>
      <c r="AN150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06:36:32"},{"id":29,"name":"Sharepoint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852</v>
      </c>
      <c r="B151" s="7">
        <v>4008</v>
      </c>
      <c r="C151" s="21" t="s">
        <v>198</v>
      </c>
      <c r="D151" s="21" t="s">
        <v>340</v>
      </c>
      <c r="E151" s="13">
        <v>42942.966122685182</v>
      </c>
      <c r="F151" s="13">
        <v>42942.979699074072</v>
      </c>
      <c r="G151" s="7">
        <v>1</v>
      </c>
      <c r="H151" s="21" t="s">
        <v>927</v>
      </c>
      <c r="I151" s="13">
        <v>42943.005243055559</v>
      </c>
      <c r="J151" s="7">
        <v>0</v>
      </c>
      <c r="K151" s="89" t="str">
        <f>IF(ISEVEN(B151),(B151-1)&amp;"/"&amp;B151,B151&amp;"/"&amp;(B151+1))</f>
        <v>4007/4008</v>
      </c>
      <c r="L151" s="21" t="str">
        <f>VLOOKUP(A151,'Trips&amp;Operators'!$C$1:$G$99999,5,FALSE)</f>
        <v>HAITHCOX MICHAEL</v>
      </c>
      <c r="M151" s="6">
        <f>I151-F151</f>
        <v>2.5543981486407574E-2</v>
      </c>
      <c r="N151" s="7">
        <f>24*60*SUM($M151:$M151)</f>
        <v>36.783333340426907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-26T22:11:13-0600',mode:absolute,to:'2017-07-27T01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4.4600000000000001E-2</v>
      </c>
      <c r="Z151" s="197">
        <f>RIGHT(H151,LEN(H151)-4)/10000</f>
        <v>23.3261</v>
      </c>
      <c r="AA151" s="197">
        <f>ABS(Z151-Y151)</f>
        <v>23.281500000000001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/stypes="app*4008*20170727*"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2"/>
        <v>"%USERPROFILE%\Documents\GitHub\eaglep3\Utilities\RefineRTDCRunTimes.py" --tripid 239-26 --locoid 4008 --swversion DE.1.0.9.0 --startMP 204:446 --initTime 2017-07-26T23:11:13 --startdatetime 2017-07-26T23:30:46 --delay 1 --endMP 204:233261 --enddatetime 2017-07-27T00:07:33 --enforcementcount 0 &gt;&gt;C:\Users\stu\Documents\GitHub\eaglep3-reporting\EC\2017-07-26-refined-times.txt</v>
      </c>
      <c r="AI151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{"issue":{"subject":"","project_id":79,"tracker_id":40,"status_id":1,"priority_id":2,"assigned_to_id":23,"start_date":"2017-07-27","description":"","custom_fields":[{"id":1,"name":"Subdivision","value":"EC"},{"id":4,"name":"Milepost","value":"23.3261"},{"id":17,"name":"Train ID","value":"239-26"},{"id":16,"name":"Locomotive ID","value":"4008"},{"id":130,"name":"Impact","value":""},{"id":150,"name":"Time of Event (Mountain Time)","value":"00:07:33"},{"id":151,"name":"Denver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14"/>
        <v>start /low /b %USERPROFILE%\Documents\GitHub\eaglep3\Utilities\DownloadLogsFromS3.py --loco 4008 --day 2017-07-26</v>
      </c>
      <c r="AN151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06:07:33"},{"id":29,"name":"Sharepoint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856</v>
      </c>
      <c r="B152" s="7">
        <v>4007</v>
      </c>
      <c r="C152" s="21" t="s">
        <v>198</v>
      </c>
      <c r="D152" s="21" t="s">
        <v>452</v>
      </c>
      <c r="E152" s="13">
        <v>42943.009351851855</v>
      </c>
      <c r="F152" s="13">
        <v>42943.018958333334</v>
      </c>
      <c r="G152" s="7">
        <v>1</v>
      </c>
      <c r="H152" s="21" t="s">
        <v>473</v>
      </c>
      <c r="I152" s="13">
        <v>42943.046388888892</v>
      </c>
      <c r="J152" s="7">
        <v>0</v>
      </c>
      <c r="K152" s="89" t="str">
        <f>IF(ISEVEN(B152),(B152-1)&amp;"/"&amp;B152,B152&amp;"/"&amp;(B152+1))</f>
        <v>4007/4008</v>
      </c>
      <c r="L152" s="21" t="str">
        <f>VLOOKUP(A152,'Trips&amp;Operators'!$C$1:$G$99999,5,FALSE)</f>
        <v>HAITHCOX MICHAEL</v>
      </c>
      <c r="M152" s="6">
        <f>I152-F152</f>
        <v>2.7430555557657499E-2</v>
      </c>
      <c r="N152" s="7">
        <f>24*60*SUM($M152:$M152)</f>
        <v>39.500000003026798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-26T23:13:28-0600',mode:absolute,to:'2017-07-27T02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23.299399999999999</v>
      </c>
      <c r="Z152" s="197">
        <f>RIGHT(H152,LEN(H152)-4)/10000</f>
        <v>1.6299999999999999E-2</v>
      </c>
      <c r="AA152" s="197">
        <f>ABS(Z152-Y152)</f>
        <v>23.283099999999997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 &amp; aws s3 cp s3://rtdc.mdm.uploadarchive.raw/RTDC4007/ "%USERPROFILE%\AppData\Local\Temp\OnboardLogs"\RTDC4007\2017-07-28 --exclude "*" --recursive --include "*20170728*" &amp; "%USERPROFILE%\Documents\GitHub\mrs-test-scripts\Headless Mode &amp; Sideloading\WalkAndUnGZ.bat" "%USERPROFILE%\AppData\Local\Temp\OnboardLogs"\RTDC4007\2017-07-28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/stypes="app*4007*20170727*" /stext=" 07:.+((SYSTEM_STATE.+slice.+state.+changed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2"/>
        <v>"%USERPROFILE%\Documents\GitHub\eaglep3\Utilities\RefineRTDCRunTimes.py" --tripid 240-26 --locoid 4007 --swversion DE.1.0.9.0 --startMP 204:232994 --initTime 2017-07-27T00:13:28 --startdatetime 2017-07-27T00:27:18 --delay 1 --endMP 204:163 --enddatetime 2017-07-27T01:06:48 --enforcementcount 0 &gt;&gt;C:\Users\stu\Documents\GitHub\eaglep3-reporting\EC\2017-07-26-refined-times.txt</v>
      </c>
      <c r="AI152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{"issue":{"subject":"","project_id":79,"tracker_id":40,"status_id":1,"priority_id":2,"assigned_to_id":23,"start_date":"2017-07-27","description":"","custom_fields":[{"id":1,"name":"Subdivision","value":"EC"},{"id":4,"name":"Milepost","value":"0.0163"},{"id":17,"name":"Train ID","value":"240-26"},{"id":16,"name":"Locomotive ID","value":"4007"},{"id":130,"name":"Impact","value":""},{"id":150,"name":"Time of Event (Mountain Time)","value":"01:06:48"},{"id":151,"name":"Denver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14"/>
        <v>start /low /b %USERPROFILE%\Documents\GitHub\eaglep3\Utilities\DownloadLogsFromS3.py --loco 4007 --day 2017-07-27</v>
      </c>
      <c r="AN152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855</v>
      </c>
      <c r="B153" s="7">
        <v>4004</v>
      </c>
      <c r="C153" s="21" t="s">
        <v>198</v>
      </c>
      <c r="D153" s="21" t="s">
        <v>929</v>
      </c>
      <c r="E153" s="13">
        <v>42942.991990740738</v>
      </c>
      <c r="F153" s="13">
        <v>42943.000532407408</v>
      </c>
      <c r="G153" s="7">
        <v>1</v>
      </c>
      <c r="H153" s="21" t="s">
        <v>470</v>
      </c>
      <c r="I153" s="13">
        <v>42943.025243055556</v>
      </c>
      <c r="J153" s="7">
        <v>0</v>
      </c>
      <c r="K153" s="89" t="str">
        <f>IF(ISEVEN(B153),(B153-1)&amp;"/"&amp;B153,B153&amp;"/"&amp;(B153+1))</f>
        <v>4003/4004</v>
      </c>
      <c r="L153" s="21" t="str">
        <f>VLOOKUP(A153,'Trips&amp;Operators'!$C$1:$G$99999,5,FALSE)</f>
        <v>PAGE MARCUS</v>
      </c>
      <c r="M153" s="6">
        <f>I153-F153</f>
        <v>2.47106481474475E-2</v>
      </c>
      <c r="N153" s="7">
        <f>24*60*SUM($M153:$M153)</f>
        <v>35.583333332324401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-26T22:48:28-0600',mode:absolute,to:'2017-07-27T01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4.2000000000000003E-2</v>
      </c>
      <c r="Z153" s="197">
        <f>RIGHT(H153,LEN(H153)-4)/10000</f>
        <v>23.3306</v>
      </c>
      <c r="AA153" s="197">
        <f>ABS(Z153-Y153)</f>
        <v>23.288599999999999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 &amp; 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/stypes="app*4004*20170727*"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2"/>
        <v>"%USERPROFILE%\Documents\GitHub\eaglep3\Utilities\RefineRTDCRunTimes.py" --tripid 241-26 --locoid 4004 --swversion DE.1.0.9.0 --startMP 204:420 --initTime 2017-07-26T23:48:28 --startdatetime 2017-07-27T00:00:46 --delay 1 --endMP 204:233306 --enddatetime 2017-07-27T00:36:21 --enforcementcount 0 &gt;&gt;C:\Users\stu\Documents\GitHub\eaglep3-reporting\EC\2017-07-26-refined-times.txt</v>
      </c>
      <c r="AI153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{"issue":{"subject":"","project_id":79,"tracker_id":40,"status_id":1,"priority_id":2,"assigned_to_id":23,"start_date":"2017-07-27","description":"","custom_fields":[{"id":1,"name":"Subdivision","value":"EC"},{"id":4,"name":"Milepost","value":"23.3306"},{"id":17,"name":"Train ID","value":"241-26"},{"id":16,"name":"Locomotive ID","value":"4004"},{"id":130,"name":"Impact","value":""},{"id":150,"name":"Time of Event (Mountain Time)","value":"00:36:21"},{"id":151,"name":"Denver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4"/>
        <v>start /low /b %USERPROFILE%\Documents\GitHub\eaglep3\Utilities\DownloadLogsFromS3.py --loco 4004 --day 2017-07-27</v>
      </c>
      <c r="AN153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06:36:21"},{"id":29,"name":"Sharepoint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859</v>
      </c>
      <c r="B154" s="7">
        <v>4003</v>
      </c>
      <c r="C154" s="21" t="s">
        <v>198</v>
      </c>
      <c r="D154" s="21" t="s">
        <v>466</v>
      </c>
      <c r="E154" s="13">
        <v>42943.034548611111</v>
      </c>
      <c r="F154" s="13">
        <v>42943.039780092593</v>
      </c>
      <c r="G154" s="7">
        <v>1</v>
      </c>
      <c r="H154" s="21" t="s">
        <v>450</v>
      </c>
      <c r="I154" s="13">
        <v>42943.065983796296</v>
      </c>
      <c r="J154" s="7">
        <v>0</v>
      </c>
      <c r="K154" s="89" t="str">
        <f>IF(ISEVEN(B154),(B154-1)&amp;"/"&amp;B154,B154&amp;"/"&amp;(B154+1))</f>
        <v>4003/4004</v>
      </c>
      <c r="L154" s="21" t="str">
        <f>VLOOKUP(A154,'Trips&amp;Operators'!$C$1:$G$99999,5,FALSE)</f>
        <v>PAGE MARCUS</v>
      </c>
      <c r="M154" s="6">
        <f>I154-F154</f>
        <v>2.6203703702776693E-2</v>
      </c>
      <c r="N154" s="7">
        <f>24*60*SUM($M154:$M154)</f>
        <v>37.733333331998438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-26T23:49:45-0600',mode:absolute,to:'2017-07-27T02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23.299800000000001</v>
      </c>
      <c r="Z154" s="197">
        <f>RIGHT(H154,LEN(H154)-4)/10000</f>
        <v>1.5800000000000002E-2</v>
      </c>
      <c r="AA154" s="197">
        <f>ABS(Z154-Y154)</f>
        <v>23.284000000000002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 &amp; aws s3 cp s3://rtdc.mdm.uploadarchive.raw/RTDC4003/ "%USERPROFILE%\AppData\Local\Temp\OnboardLogs"\RTDC4003\2017-07-28 --exclude "*" --recursive --include "*20170728*" &amp; "%USERPROFILE%\Documents\GitHub\mrs-test-scripts\Headless Mode &amp; Sideloading\WalkAndUnGZ.bat" "%USERPROFILE%\AppData\Local\Temp\OnboardLogs"\RTDC4003\2017-07-28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/stypes="app*4003*20170727*" /stext=" 07:.+((SYSTEM_STATE.+slice.+state.+changed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2"/>
        <v>"%USERPROFILE%\Documents\GitHub\eaglep3\Utilities\RefineRTDCRunTimes.py" --tripid 242-26 --locoid 4003 --swversion DE.1.0.9.0 --startMP 204:232998 --initTime 2017-07-27T00:49:45 --startdatetime 2017-07-27T00:57:17 --delay 1 --endMP 204:158 --enddatetime 2017-07-27T01:35:01 --enforcementcount 0 &gt;&gt;C:\Users\stu\Documents\GitHub\eaglep3-reporting\EC\2017-07-26-refined-times.txt</v>
      </c>
      <c r="AI154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{"issue":{"subject":"","project_id":79,"tracker_id":40,"status_id":1,"priority_id":2,"assigned_to_id":23,"start_date":"2017-07-27","description":"","custom_fields":[{"id":1,"name":"Subdivision","value":"EC"},{"id":4,"name":"Milepost","value":"0.0158"},{"id":17,"name":"Train ID","value":"242-26"},{"id":16,"name":"Locomotive ID","value":"4003"},{"id":130,"name":"Impact","value":""},{"id":150,"name":"Time of Event (Mountain Time)","value":"01:35:01"},{"id":151,"name":"Denver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14"/>
        <v>start /low /b %USERPROFILE%\Documents\GitHub\eaglep3\Utilities\DownloadLogsFromS3.py --loco 4003 --day 2017-07-27</v>
      </c>
      <c r="AN154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07:35:01"},{"id":29,"name":"Sharepoint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857</v>
      </c>
      <c r="B155" s="7">
        <v>4024</v>
      </c>
      <c r="C155" s="21" t="s">
        <v>198</v>
      </c>
      <c r="D155" s="21" t="s">
        <v>583</v>
      </c>
      <c r="E155" s="13">
        <v>42943.016180555554</v>
      </c>
      <c r="F155" s="13">
        <v>42943.021365740744</v>
      </c>
      <c r="G155" s="7">
        <v>1</v>
      </c>
      <c r="H155" s="21" t="s">
        <v>566</v>
      </c>
      <c r="I155" s="13">
        <v>42943.045729166668</v>
      </c>
      <c r="J155" s="7">
        <v>0</v>
      </c>
      <c r="K155" s="89" t="str">
        <f>IF(ISEVEN(B155),(B155-1)&amp;"/"&amp;B155,B155&amp;"/"&amp;(B155+1))</f>
        <v>4023/4024</v>
      </c>
      <c r="L155" s="21" t="str">
        <f>VLOOKUP(A155,'Trips&amp;Operators'!$C$1:$G$99999,5,FALSE)</f>
        <v>LAMAR NEKESHA</v>
      </c>
      <c r="M155" s="6">
        <f>I155-F155</f>
        <v>2.4363425924093463E-2</v>
      </c>
      <c r="N155" s="7">
        <f>24*60*SUM($M155:$M155)</f>
        <v>35.083333330694586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-26T23:23:18-0600',mode:absolute,to:'2017-07-27T02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4.6899999999999997E-2</v>
      </c>
      <c r="Z155" s="197">
        <f>RIGHT(H155,LEN(H155)-4)/10000</f>
        <v>23.330100000000002</v>
      </c>
      <c r="AA155" s="197">
        <f>ABS(Z155-Y155)</f>
        <v>23.283200000000001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 &amp; 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/stypes="app*4024*20170727*"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2"/>
        <v>"%USERPROFILE%\Documents\GitHub\eaglep3\Utilities\RefineRTDCRunTimes.py" --tripid 243-26 --locoid 4024 --swversion DE.1.0.9.0 --startMP 204:469 --initTime 2017-07-27T00:23:18 --startdatetime 2017-07-27T00:30:46 --delay 1 --endMP 204:233301 --enddatetime 2017-07-27T01:05:51 --enforcementcount 0 &gt;&gt;C:\Users\stu\Documents\GitHub\eaglep3-reporting\EC\2017-07-26-refined-times.txt</v>
      </c>
      <c r="AI155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{"issue":{"subject":"","project_id":79,"tracker_id":40,"status_id":1,"priority_id":2,"assigned_to_id":23,"start_date":"2017-07-27","description":"","custom_fields":[{"id":1,"name":"Subdivision","value":"EC"},{"id":4,"name":"Milepost","value":"23.3301"},{"id":17,"name":"Train ID","value":"243-26"},{"id":16,"name":"Locomotive ID","value":"4024"},{"id":130,"name":"Impact","value":""},{"id":150,"name":"Time of Event (Mountain Time)","value":"01:05:51"},{"id":151,"name":"Denver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4"/>
        <v>start /low /b %USERPROFILE%\Documents\GitHub\eaglep3\Utilities\DownloadLogsFromS3.py --loco 4024 --day 2017-07-27</v>
      </c>
      <c r="AN155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861</v>
      </c>
      <c r="B156" s="7">
        <v>4023</v>
      </c>
      <c r="C156" s="21" t="s">
        <v>198</v>
      </c>
      <c r="D156" s="21" t="s">
        <v>875</v>
      </c>
      <c r="E156" s="13">
        <v>42943.056886574072</v>
      </c>
      <c r="F156" s="13">
        <v>42943.060937499999</v>
      </c>
      <c r="G156" s="7">
        <v>3</v>
      </c>
      <c r="H156" s="21" t="s">
        <v>450</v>
      </c>
      <c r="I156" s="13">
        <v>42943.087175925924</v>
      </c>
      <c r="J156" s="7">
        <v>0</v>
      </c>
      <c r="K156" s="89" t="str">
        <f>IF(ISEVEN(B156),(B156-1)&amp;"/"&amp;B156,B156&amp;"/"&amp;(B156+1))</f>
        <v>4023/4024</v>
      </c>
      <c r="L156" s="21" t="str">
        <f>VLOOKUP(A156,'Trips&amp;Operators'!$C$1:$G$99999,5,FALSE)</f>
        <v>LAMAR NEKESHA</v>
      </c>
      <c r="M156" s="6">
        <f>I156-F156</f>
        <v>2.6238425925839692E-2</v>
      </c>
      <c r="N156" s="7">
        <f>24*60*SUM($M156:$M156)</f>
        <v>37.783333333209157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-27T00:21:55-0600',mode:absolute,to:'2017-07-27T03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23.2971</v>
      </c>
      <c r="Z156" s="197">
        <f>RIGHT(H156,LEN(H156)-4)/10000</f>
        <v>1.5800000000000002E-2</v>
      </c>
      <c r="AA156" s="197">
        <f>ABS(Z156-Y156)</f>
        <v>23.281300000000002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 &amp; aws s3 cp s3://rtdc.mdm.uploadarchive.raw/RTDC4023/ "%USERPROFILE%\AppData\Local\Temp\OnboardLogs"\RTDC4023\2017-07-28 --exclude "*" --recursive --include "*20170728*" &amp; "%USERPROFILE%\Documents\GitHub\mrs-test-scripts\Headless Mode &amp; Sideloading\WalkAndUnGZ.bat" "%USERPROFILE%\AppData\Local\Temp\OnboardLogs"\RTDC4023\2017-07-28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/stypes="app*4023*20170727*" /stext=" 08:.+((SYSTEM_STATE.+slice.+state.+changed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2"/>
        <v>"%USERPROFILE%\Documents\GitHub\eaglep3\Utilities\RefineRTDCRunTimes.py" --tripid 244-26 --locoid 4023 --swversion DE.1.0.9.0 --startMP 204:232971 --initTime 2017-07-27T01:21:55 --startdatetime 2017-07-27T01:27:45 --delay 3 --endMP 204:158 --enddatetime 2017-07-27T02:05:32 --enforcementcount 0 &gt;&gt;C:\Users\stu\Documents\GitHub\eaglep3-reporting\EC\2017-07-26-refined-times.txt</v>
      </c>
      <c r="AI156" s="96" t="str">
        <f t="shared" si="13"/>
        <v>echo {"issue":{"subject":"","project_id":79,"tracker_id":40,"status_id":1,"priority_id":2,"assigned_to_id":23,"start_date":"2017-07-27","description":"","custom_fields":[{"id":1,"name":"Subdivision","value":"EC"},{"id":4,"name":"Milepost","value":"0.0158"},{"id":17,"name":"Train ID","value":"244-26"},{"id":16,"name":"Locomotive ID","value":"4023"},{"id":130,"name":"Impact","value":""},{"id":150,"name":"Time of Event (Mountain Time)","value":"02:05:32"},{"id":151,"name":"Denver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4"/>
        <v>start /low /b %USERPROFILE%\Documents\GitHub\eaglep3\Utilities\DownloadLogsFromS3.py --loco 4023 --day 2017-07-27</v>
      </c>
      <c r="AN156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08:05:32"},{"id":29,"name":"Sharepoint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674</v>
      </c>
      <c r="B157" s="7">
        <v>4045</v>
      </c>
      <c r="C157" s="21" t="s">
        <v>198</v>
      </c>
      <c r="D157" s="21" t="s">
        <v>979</v>
      </c>
      <c r="E157" s="13">
        <v>42942.213935185187</v>
      </c>
      <c r="F157" s="13">
        <v>42942.21565972222</v>
      </c>
      <c r="G157" s="7">
        <v>2</v>
      </c>
      <c r="H157" s="21" t="s">
        <v>980</v>
      </c>
      <c r="I157" s="13">
        <v>42942.227986111109</v>
      </c>
      <c r="J157" s="7">
        <v>0</v>
      </c>
      <c r="K157" s="89" t="str">
        <f>IF(ISEVEN(B157),(B157-1)&amp;"/"&amp;B157,B157&amp;"/"&amp;(B157+1))</f>
        <v>4045/4046</v>
      </c>
      <c r="L157" s="21" t="str">
        <f>VLOOKUP(A157,'Trips&amp;Operators'!$C$1:$G$99999,5,FALSE)</f>
        <v>MACDONALD THOMAS</v>
      </c>
      <c r="M157" s="6">
        <f>I157-F157</f>
        <v>1.2326388889050577E-2</v>
      </c>
      <c r="N157" s="7">
        <f>24*60*SUM($M157:$M157)</f>
        <v>17.750000000232831</v>
      </c>
      <c r="O157" s="7"/>
      <c r="P157" s="7"/>
      <c r="Q157" s="22"/>
      <c r="R157" s="170" t="s">
        <v>1061</v>
      </c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-26T04:08:04-0600',mode:absolute,to:'2017-07-26T06:28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556</v>
      </c>
      <c r="Y157" s="197">
        <f>RIGHT(D157,LEN(D157)-4)/10000</f>
        <v>5.8452000000000002</v>
      </c>
      <c r="Z157" s="197">
        <f>RIGHT(H157,LEN(H157)-4)/10000</f>
        <v>6.9400000000000003E-2</v>
      </c>
      <c r="AA157" s="197">
        <f>ABS(Z157-Y157)</f>
        <v>5.7758000000000003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/stypes="app*4045*20170726*" /stext=" 11:.+((SYSTEM_STATE.+slice.+state.+changed )|(ment ac)|(multiple cpu faults)|(system.+state.+changed )|(\[timeout)|(PRM\|1\|D)|(kpr)|(kdp)|(train st.+moving)|(\|lc)|(penalty))"</v>
      </c>
      <c r="AG157" s="209" t="str">
        <f>DetSubdiv(A157)</f>
        <v>NW</v>
      </c>
      <c r="AH157" s="78" t="str">
        <f t="shared" si="12"/>
        <v>"%USERPROFILE%\Documents\GitHub\eaglep3\Utilities\RefineRTDCRunTimes.py" --tripid 800-26 --locoid 4045 --swversion DE.1.0.9.0 --startMP 300:58452 --initTime 2017-07-26T05:08:04 --startdatetime 2017-07-26T05:10:33 --delay 2 --endMP 204:694 --enddatetime 2017-07-26T05:28:18 --enforcementcount 0 &gt;&gt;C:\Users\stu\Documents\GitHub\eaglep3-reporting\EC\2017-07-26-refined-times.txt</v>
      </c>
      <c r="AI157" s="96" t="str">
        <f t="shared" si="13"/>
        <v>echo {"issue":{"subject":"Minor onboard in-route failure caused signal status unknown banner","project_id":79,"tracker_id":40,"status_id":1,"priority_id":2,"assigned_to_id":23,"start_date":"2017-07-26","description":"","custom_fields":[{"id":1,"name":"Subdivision","value":"NW"},{"id":4,"name":"Milepost","value":"0.0694"},{"id":17,"name":"Train ID","value":"800-26"},{"id":16,"name":"Locomotive ID","value":"4045"},{"id":130,"name":"Impact","value":""},{"id":150,"name":"Time of Event (Mountain Time)","value":"05:28:18"},{"id":151,"name":"Denver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4"/>
        <v>start /low /b %USERPROFILE%\Documents\GitHub\eaglep3\Utilities\DownloadLogsFromS3.py --loco 4045 --day 2017-07-26</v>
      </c>
      <c r="AN157" s="151" t="str">
        <f t="shared" si="15"/>
        <v>echo {"issue":{"subject":"Minor onboard in-route failure caused signal status unknown banner","project_id":30,"tracker_id":4,"status_id":1,"priority_id":1,"assigned_to_id":10,"start_date":"2017-07-26","description":"","custom_fields":[{"id":30,"name":"Category","value":"Issue"},{"id":3,"name":"Functional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11:28:18"},{"id":29,"name":"Sharepoint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680</v>
      </c>
      <c r="B158" s="7">
        <v>4046</v>
      </c>
      <c r="C158" s="21" t="s">
        <v>198</v>
      </c>
      <c r="D158" s="21" t="s">
        <v>981</v>
      </c>
      <c r="E158" s="13">
        <v>42942.22965277778</v>
      </c>
      <c r="F158" s="13">
        <v>42942.244513888887</v>
      </c>
      <c r="G158" s="7">
        <v>1</v>
      </c>
      <c r="H158" s="21" t="s">
        <v>982</v>
      </c>
      <c r="I158" s="13">
        <v>42942.253252314818</v>
      </c>
      <c r="J158" s="7">
        <v>0</v>
      </c>
      <c r="K158" s="89" t="str">
        <f>IF(ISEVEN(B158),(B158-1)&amp;"/"&amp;B158,B158&amp;"/"&amp;(B158+1))</f>
        <v>4045/4046</v>
      </c>
      <c r="L158" s="21" t="str">
        <f>VLOOKUP(A158,'Trips&amp;Operators'!$C$1:$G$99999,5,FALSE)</f>
        <v>MACDONALD THOMAS</v>
      </c>
      <c r="M158" s="6">
        <f>I158-F158</f>
        <v>8.7384259313694201E-3</v>
      </c>
      <c r="N158" s="7">
        <f>24*60*SUM($M158:$M158)</f>
        <v>12.583333341171965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-26T04:30:42-0600',mode:absolute,to:'2017-07-26T07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0.1</v>
      </c>
      <c r="Z158" s="197">
        <f>RIGHT(H158,LEN(H158)-4)/10000</f>
        <v>5.8912000000000004</v>
      </c>
      <c r="AA158" s="197">
        <f>ABS(Z158-Y158)</f>
        <v>5.7912000000000008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/stypes="app*4046*20170726*" /stext=" 12:.+((SYSTEM_STATE.+slice.+state.+changed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12"/>
        <v>"%USERPROFILE%\Documents\GitHub\eaglep3\Utilities\RefineRTDCRunTimes.py" --tripid 801-26 --locoid 4046 --swversion DE.1.0.9.0 --startMP 204:1000 --initTime 2017-07-26T05:30:42 --startdatetime 2017-07-26T05:52:06 --delay 1 --endMP 300:58912 --enddatetime 2017-07-26T06:04:41 --enforcementcount 0 &gt;&gt;C:\Users\stu\Documents\GitHub\eaglep3-reporting\EC\2017-07-26-refined-times.txt</v>
      </c>
      <c r="AI158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{"issue":{"subject":"","project_id":79,"tracker_id":40,"status_id":1,"priority_id":2,"assigned_to_id":23,"start_date":"2017-07-26","description":"","custom_fields":[{"id":1,"name":"Subdivision","value":"NW"},{"id":4,"name":"Milepost","value":"5.8912"},{"id":17,"name":"Train ID","value":"801-26"},{"id":16,"name":"Locomotive ID","value":"4046"},{"id":130,"name":"Impact","value":""},{"id":150,"name":"Time of Event (Mountain Time)","value":"06:04:41"},{"id":151,"name":"Denver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4"/>
        <v>start /low /b %USERPROFILE%\Documents\GitHub\eaglep3\Utilities\DownloadLogsFromS3.py --loco 4046 --day 2017-07-26</v>
      </c>
      <c r="AN158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619</v>
      </c>
      <c r="B159" s="7">
        <v>4045</v>
      </c>
      <c r="C159" s="21" t="s">
        <v>198</v>
      </c>
      <c r="D159" s="21" t="s">
        <v>601</v>
      </c>
      <c r="E159" s="13">
        <v>42942.254050925927</v>
      </c>
      <c r="F159" s="13">
        <v>42942.255277777775</v>
      </c>
      <c r="G159" s="7">
        <v>1</v>
      </c>
      <c r="H159" s="21" t="s">
        <v>606</v>
      </c>
      <c r="I159" s="13">
        <v>42942.268240740741</v>
      </c>
      <c r="J159" s="7">
        <v>0</v>
      </c>
      <c r="K159" s="89" t="str">
        <f>IF(ISEVEN(B159),(B159-1)&amp;"/"&amp;B159,B159&amp;"/"&amp;(B159+1))</f>
        <v>4045/4046</v>
      </c>
      <c r="L159" s="21" t="str">
        <f>VLOOKUP(A159,'Trips&amp;Operators'!$C$1:$G$99999,5,FALSE)</f>
        <v>MACDONALD THOMAS</v>
      </c>
      <c r="M159" s="6">
        <f>I159-F159</f>
        <v>1.2962962966412306E-2</v>
      </c>
      <c r="N159" s="7">
        <f>24*60*SUM($M159:$M159)</f>
        <v>18.66666667163372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-26T05:05:50-0600',mode:absolute,to:'2017-07-26T07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5.8589000000000002</v>
      </c>
      <c r="Z159" s="197">
        <f>RIGHT(H159,LEN(H159)-4)/10000</f>
        <v>7.3800000000000004E-2</v>
      </c>
      <c r="AA159" s="197">
        <f>ABS(Z159-Y159)</f>
        <v>5.7850999999999999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/stypes="app*4045*20170726*"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2"/>
        <v>"%USERPROFILE%\Documents\GitHub\eaglep3\Utilities\RefineRTDCRunTimes.py" --tripid 802-26 --locoid 4045 --swversion DE.1.0.9.0 --startMP 300:58589 --initTime 2017-07-26T06:05:50 --startdatetime 2017-07-26T06:07:36 --delay 1 --endMP 204:738 --enddatetime 2017-07-26T06:26:16 --enforcementcount 0 &gt;&gt;C:\Users\stu\Documents\GitHub\eaglep3-reporting\EC\2017-07-26-refined-times.txt</v>
      </c>
      <c r="AI159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{"issue":{"subject":"","project_id":79,"tracker_id":40,"status_id":1,"priority_id":2,"assigned_to_id":23,"start_date":"2017-07-26","description":"","custom_fields":[{"id":1,"name":"Subdivision","value":"NW"},{"id":4,"name":"Milepost","value":"0.0738"},{"id":17,"name":"Train ID","value":"802-26"},{"id":16,"name":"Locomotive ID","value":"4045"},{"id":130,"name":"Impact","value":""},{"id":150,"name":"Time of Event (Mountain Time)","value":"06:26:16"},{"id":151,"name":"Denver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4"/>
        <v>start /low /b %USERPROFILE%\Documents\GitHub\eaglep3\Utilities\DownloadLogsFromS3.py --loco 4045 --day 2017-07-26</v>
      </c>
      <c r="AN159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687</v>
      </c>
      <c r="B160" s="7">
        <v>4014</v>
      </c>
      <c r="C160" s="21" t="s">
        <v>198</v>
      </c>
      <c r="D160" s="21" t="s">
        <v>481</v>
      </c>
      <c r="E160" s="13">
        <v>42942.261678240742</v>
      </c>
      <c r="F160" s="13">
        <v>42942.265405092592</v>
      </c>
      <c r="G160" s="7">
        <v>1</v>
      </c>
      <c r="H160" s="21" t="s">
        <v>536</v>
      </c>
      <c r="I160" s="13">
        <v>42942.275636574072</v>
      </c>
      <c r="J160" s="7">
        <v>0</v>
      </c>
      <c r="K160" s="89" t="str">
        <f>IF(ISEVEN(B160),(B160-1)&amp;"/"&amp;B160,B160&amp;"/"&amp;(B160+1))</f>
        <v>4013/4014</v>
      </c>
      <c r="L160" s="21" t="str">
        <f>VLOOKUP(A160,'Trips&amp;Operators'!$C$1:$G$99999,5,FALSE)</f>
        <v>ANDERS STEVEN</v>
      </c>
      <c r="M160" s="6">
        <f>I160-F160</f>
        <v>1.0231481479422655E-2</v>
      </c>
      <c r="N160" s="7">
        <f>24*60*SUM($M160:$M160)</f>
        <v>14.733333330368623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-26T05:16:49-0600',mode:absolute,to:'2017-07-26T07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9.8799999999999999E-2</v>
      </c>
      <c r="Z160" s="197">
        <f>RIGHT(H160,LEN(H160)-4)/10000</f>
        <v>5.8944000000000001</v>
      </c>
      <c r="AA160" s="197">
        <f>ABS(Z160-Y160)</f>
        <v>5.7956000000000003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/stypes="app*4014*20170726*"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2"/>
        <v>"%USERPROFILE%\Documents\GitHub\eaglep3\Utilities\RefineRTDCRunTimes.py" --tripid 803-26 --locoid 4014 --swversion DE.1.0.9.0 --startMP 204:988 --initTime 2017-07-26T06:16:49 --startdatetime 2017-07-26T06:22:11 --delay 1 --endMP 300:58944 --enddatetime 2017-07-26T06:36:55 --enforcementcount 0 &gt;&gt;C:\Users\stu\Documents\GitHub\eaglep3-reporting\EC\2017-07-26-refined-times.txt</v>
      </c>
      <c r="AI160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{"issue":{"subject":"","project_id":79,"tracker_id":40,"status_id":1,"priority_id":2,"assigned_to_id":23,"start_date":"2017-07-26","description":"","custom_fields":[{"id":1,"name":"Subdivision","value":"NW"},{"id":4,"name":"Milepost","value":"5.8944"},{"id":17,"name":"Train ID","value":"803-26"},{"id":16,"name":"Locomotive ID","value":"4014"},{"id":130,"name":"Impact","value":""},{"id":150,"name":"Time of Event (Mountain Time)","value":"06:36:55"},{"id":151,"name":"Denver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4"/>
        <v>start /low /b %USERPROFILE%\Documents\GitHub\eaglep3\Utilities\DownloadLogsFromS3.py --loco 4014 --day 2017-07-26</v>
      </c>
      <c r="AN160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12:36:55"},{"id":29,"name":"Sharepoint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620</v>
      </c>
      <c r="B161" s="7">
        <v>4013</v>
      </c>
      <c r="C161" s="21" t="s">
        <v>198</v>
      </c>
      <c r="D161" s="21" t="s">
        <v>498</v>
      </c>
      <c r="E161" s="13">
        <v>42942.276828703703</v>
      </c>
      <c r="F161" s="13">
        <v>42942.306527777779</v>
      </c>
      <c r="G161" s="7">
        <v>1</v>
      </c>
      <c r="H161" s="21" t="s">
        <v>596</v>
      </c>
      <c r="I161" s="13">
        <v>42942.316041666665</v>
      </c>
      <c r="J161" s="7">
        <v>0</v>
      </c>
      <c r="K161" s="89" t="str">
        <f>IF(ISEVEN(B161),(B161-1)&amp;"/"&amp;B161,B161&amp;"/"&amp;(B161+1))</f>
        <v>4013/4014</v>
      </c>
      <c r="L161" s="21" t="str">
        <f>VLOOKUP(A161,'Trips&amp;Operators'!$C$1:$G$99999,5,FALSE)</f>
        <v>ANDERS STEVEN</v>
      </c>
      <c r="M161" s="6">
        <f>I161-F161</f>
        <v>9.5138888864312321E-3</v>
      </c>
      <c r="N161" s="7">
        <f>24*60*SUM($M161:$M161)</f>
        <v>13.699999996460974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-26T05:38:38-0600',mode:absolute,to:'2017-07-26T08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5.8635999999999999</v>
      </c>
      <c r="Z161" s="197">
        <f>RIGHT(H161,LEN(H161)-4)/10000</f>
        <v>7.0999999999999994E-2</v>
      </c>
      <c r="AA161" s="197">
        <f>ABS(Z161-Y161)</f>
        <v>5.7926000000000002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/stypes="app*4013*20170726*" /stext=" 13:.+((SYSTEM_STATE.+slice.+state.+changed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2"/>
        <v>"%USERPROFILE%\Documents\GitHub\eaglep3\Utilities\RefineRTDCRunTimes.py" --tripid 804-26 --locoid 4013 --swversion DE.1.0.9.0 --startMP 300:58636 --initTime 2017-07-26T06:38:38 --startdatetime 2017-07-26T07:21:24 --delay 1 --endMP 204:710 --enddatetime 2017-07-26T07:35:06 --enforcementcount 0 &gt;&gt;C:\Users\stu\Documents\GitHub\eaglep3-reporting\EC\2017-07-26-refined-times.txt</v>
      </c>
      <c r="AI161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{"issue":{"subject":"","project_id":79,"tracker_id":40,"status_id":1,"priority_id":2,"assigned_to_id":23,"start_date":"2017-07-26","description":"","custom_fields":[{"id":1,"name":"Subdivision","value":"NW"},{"id":4,"name":"Milepost","value":"0.071"},{"id":17,"name":"Train ID","value":"804-26"},{"id":16,"name":"Locomotive ID","value":"4013"},{"id":130,"name":"Impact","value":""},{"id":150,"name":"Time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14"/>
        <v>start /low /b %USERPROFILE%\Documents\GitHub\eaglep3\Utilities\DownloadLogsFromS3.py --loco 4013 --day 2017-07-26</v>
      </c>
      <c r="AN161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690</v>
      </c>
      <c r="B162" s="7">
        <v>4046</v>
      </c>
      <c r="C162" s="21" t="s">
        <v>198</v>
      </c>
      <c r="D162" s="21" t="s">
        <v>983</v>
      </c>
      <c r="E162" s="13">
        <v>42942.269212962965</v>
      </c>
      <c r="F162" s="13">
        <v>42942.286249999997</v>
      </c>
      <c r="G162" s="7">
        <v>1</v>
      </c>
      <c r="H162" s="21" t="s">
        <v>982</v>
      </c>
      <c r="I162" s="13">
        <v>42942.295081018521</v>
      </c>
      <c r="J162" s="7">
        <v>0</v>
      </c>
      <c r="K162" s="89" t="str">
        <f>IF(ISEVEN(B162),(B162-1)&amp;"/"&amp;B162,B162&amp;"/"&amp;(B162+1))</f>
        <v>4045/4046</v>
      </c>
      <c r="L162" s="21" t="str">
        <f>VLOOKUP(A162,'Trips&amp;Operators'!$C$1:$G$99999,5,FALSE)</f>
        <v>MACDONALD THOMAS</v>
      </c>
      <c r="M162" s="6">
        <f>I162-F162</f>
        <v>8.8310185237787664E-3</v>
      </c>
      <c r="N162" s="7">
        <f>24*60*SUM($M162:$M162)</f>
        <v>12.716666674241424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-26T05:27:40-0600',mode:absolute,to:'2017-07-26T08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0.10349999999999999</v>
      </c>
      <c r="Z162" s="197">
        <f>RIGHT(H162,LEN(H162)-4)/10000</f>
        <v>5.8912000000000004</v>
      </c>
      <c r="AA162" s="197">
        <f>ABS(Z162-Y162)</f>
        <v>5.7877000000000001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/stypes="app*4046*20170726*" /stext=" 13:.+((SYSTEM_STATE.+slice.+state.+changed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2"/>
        <v>"%USERPROFILE%\Documents\GitHub\eaglep3\Utilities\RefineRTDCRunTimes.py" --tripid 805-26 --locoid 4046 --swversion DE.1.0.9.0 --startMP 204:1035 --initTime 2017-07-26T06:27:40 --startdatetime 2017-07-26T06:52:12 --delay 1 --endMP 300:58912 --enddatetime 2017-07-26T07:04:55 --enforcementcount 0 &gt;&gt;C:\Users\stu\Documents\GitHub\eaglep3-reporting\EC\2017-07-26-refined-times.txt</v>
      </c>
      <c r="AI162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{"issue":{"subject":"","project_id":79,"tracker_id":40,"status_id":1,"priority_id":2,"assigned_to_id":23,"start_date":"2017-07-26","description":"","custom_fields":[{"id":1,"name":"Subdivision","value":"NW"},{"id":4,"name":"Milepost","value":"5.8912"},{"id":17,"name":"Train ID","value":"805-26"},{"id":16,"name":"Locomotive ID","value":"4046"},{"id":130,"name":"Impact","value":""},{"id":150,"name":"Time of Event (Mountain Time)","value":"07:04:55"},{"id":151,"name":"Denver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4"/>
        <v>start /low /b %USERPROFILE%\Documents\GitHub\eaglep3\Utilities\DownloadLogsFromS3.py --loco 4046 --day 2017-07-26</v>
      </c>
      <c r="AN162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695</v>
      </c>
      <c r="B163" s="7">
        <v>4045</v>
      </c>
      <c r="C163" s="21" t="s">
        <v>198</v>
      </c>
      <c r="D163" s="21" t="s">
        <v>607</v>
      </c>
      <c r="E163" s="13">
        <v>42942.297349537039</v>
      </c>
      <c r="F163" s="13">
        <v>42942.298530092594</v>
      </c>
      <c r="G163" s="7">
        <v>1</v>
      </c>
      <c r="H163" s="21" t="s">
        <v>984</v>
      </c>
      <c r="I163" s="13">
        <v>42942.309189814812</v>
      </c>
      <c r="J163" s="7">
        <v>0</v>
      </c>
      <c r="K163" s="89" t="str">
        <f>IF(ISEVEN(B163),(B163-1)&amp;"/"&amp;B163,B163&amp;"/"&amp;(B163+1))</f>
        <v>4045/4046</v>
      </c>
      <c r="L163" s="21" t="str">
        <f>VLOOKUP(A163,'Trips&amp;Operators'!$C$1:$G$99999,5,FALSE)</f>
        <v>MACDONALD THOMAS</v>
      </c>
      <c r="M163" s="6">
        <f>I163-F163</f>
        <v>1.0659722218406387E-2</v>
      </c>
      <c r="N163" s="7">
        <f>24*60*SUM($M163:$M163)</f>
        <v>15.349999994505197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-26T06:08:11-0600',mode:absolute,to:'2017-07-26T08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5.8592000000000004</v>
      </c>
      <c r="Z163" s="197">
        <f>RIGHT(H163,LEN(H163)-4)/10000</f>
        <v>7.6600000000000001E-2</v>
      </c>
      <c r="AA163" s="197">
        <f>ABS(Z163-Y163)</f>
        <v>5.7826000000000004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/stypes="app*4045*20170726*"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2"/>
        <v>"%USERPROFILE%\Documents\GitHub\eaglep3\Utilities\RefineRTDCRunTimes.py" --tripid 806-26 --locoid 4045 --swversion DE.1.0.9.0 --startMP 300:58592 --initTime 2017-07-26T07:08:11 --startdatetime 2017-07-26T07:09:53 --delay 1 --endMP 204:766 --enddatetime 2017-07-26T07:25:14 --enforcementcount 0 &gt;&gt;C:\Users\stu\Documents\GitHub\eaglep3-reporting\EC\2017-07-26-refined-times.txt</v>
      </c>
      <c r="AI163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{"issue":{"subject":"","project_id":79,"tracker_id":40,"status_id":1,"priority_id":2,"assigned_to_id":23,"start_date":"2017-07-26","description":"","custom_fields":[{"id":1,"name":"Subdivision","value":"NW"},{"id":4,"name":"Milepost","value":"0.0766"},{"id":17,"name":"Train ID","value":"806-26"},{"id":16,"name":"Locomotive ID","value":"4045"},{"id":130,"name":"Impact","value":""},{"id":150,"name":"Time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4"/>
        <v>start /low /b %USERPROFILE%\Documents\GitHub\eaglep3\Utilities\DownloadLogsFromS3.py --loco 4045 --day 2017-07-26</v>
      </c>
      <c r="AN163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697</v>
      </c>
      <c r="B164" s="7">
        <v>4014</v>
      </c>
      <c r="C164" s="21" t="s">
        <v>198</v>
      </c>
      <c r="D164" s="21" t="s">
        <v>985</v>
      </c>
      <c r="E164" s="13">
        <v>42942.303865740738</v>
      </c>
      <c r="F164" s="13">
        <v>42942.306527777779</v>
      </c>
      <c r="G164" s="7">
        <v>1</v>
      </c>
      <c r="H164" s="21" t="s">
        <v>597</v>
      </c>
      <c r="I164" s="13">
        <v>42942.316041666665</v>
      </c>
      <c r="J164" s="7">
        <v>0</v>
      </c>
      <c r="K164" s="89" t="str">
        <f>IF(ISEVEN(B164),(B164-1)&amp;"/"&amp;B164,B164&amp;"/"&amp;(B164+1))</f>
        <v>4013/4014</v>
      </c>
      <c r="L164" s="21" t="str">
        <f>VLOOKUP(A164,'Trips&amp;Operators'!$C$1:$G$99999,5,FALSE)</f>
        <v>ANDERS STEVEN</v>
      </c>
      <c r="M164" s="6">
        <f>I164-F164</f>
        <v>9.5138888864312321E-3</v>
      </c>
      <c r="N164" s="7">
        <f>24*60*SUM($M164:$M164)</f>
        <v>13.699999996460974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-26T06:17:34-0600',mode:absolute,to:'2017-07-26T08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0.1002</v>
      </c>
      <c r="Z164" s="197">
        <f>RIGHT(H164,LEN(H164)-4)/10000</f>
        <v>5.8948</v>
      </c>
      <c r="AA164" s="197">
        <f>ABS(Z164-Y164)</f>
        <v>5.7946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/stypes="app*4014*20170726*"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2"/>
        <v>"%USERPROFILE%\Documents\GitHub\eaglep3\Utilities\RefineRTDCRunTimes.py" --tripid 807-26 --locoid 4014 --swversion DE.1.0.9.0 --startMP 204:1002 --initTime 2017-07-26T07:17:34 --startdatetime 2017-07-26T07:21:24 --delay 1 --endMP 300:58948 --enddatetime 2017-07-26T07:35:06 --enforcementcount 0 &gt;&gt;C:\Users\stu\Documents\GitHub\eaglep3-reporting\EC\2017-07-26-refined-times.txt</v>
      </c>
      <c r="AI164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{"issue":{"subject":"","project_id":79,"tracker_id":40,"status_id":1,"priority_id":2,"assigned_to_id":23,"start_date":"2017-07-26","description":"","custom_fields":[{"id":1,"name":"Subdivision","value":"NW"},{"id":4,"name":"Milepost","value":"5.8948"},{"id":17,"name":"Train ID","value":"807-26"},{"id":16,"name":"Locomotive ID","value":"4014"},{"id":130,"name":"Impact","value":""},{"id":150,"name":"Time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14"/>
        <v>start /low /b %USERPROFILE%\Documents\GitHub\eaglep3\Utilities\DownloadLogsFromS3.py --loco 4014 --day 2017-07-26</v>
      </c>
      <c r="AN164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700</v>
      </c>
      <c r="B165" s="7">
        <v>4013</v>
      </c>
      <c r="C165" s="21" t="s">
        <v>198</v>
      </c>
      <c r="D165" s="21" t="s">
        <v>603</v>
      </c>
      <c r="E165" s="13">
        <v>42942.317083333335</v>
      </c>
      <c r="F165" s="13">
        <v>42942.318391203706</v>
      </c>
      <c r="G165" s="7">
        <v>1</v>
      </c>
      <c r="H165" s="21" t="s">
        <v>986</v>
      </c>
      <c r="I165" s="13">
        <v>42942.330520833333</v>
      </c>
      <c r="J165" s="7">
        <v>0</v>
      </c>
      <c r="K165" s="89" t="str">
        <f>IF(ISEVEN(B165),(B165-1)&amp;"/"&amp;B165,B165&amp;"/"&amp;(B165+1))</f>
        <v>4013/4014</v>
      </c>
      <c r="L165" s="21" t="str">
        <f>VLOOKUP(A165,'Trips&amp;Operators'!$C$1:$G$99999,5,FALSE)</f>
        <v>ANDERS STEVEN</v>
      </c>
      <c r="M165" s="6">
        <f>I165-F165</f>
        <v>1.2129629627452232E-2</v>
      </c>
      <c r="N165" s="7">
        <f>24*60*SUM($M165:$M165)</f>
        <v>17.466666663531214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-26T06:36:36-0600',mode:absolute,to:'2017-07-26T08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5.8628</v>
      </c>
      <c r="Z165" s="197">
        <f>RIGHT(H165,LEN(H165)-4)/10000</f>
        <v>6.9900000000000004E-2</v>
      </c>
      <c r="AA165" s="197">
        <f>ABS(Z165-Y165)</f>
        <v>5.7929000000000004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/stypes="app*4013*20170726*"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2"/>
        <v>"%USERPROFILE%\Documents\GitHub\eaglep3\Utilities\RefineRTDCRunTimes.py" --tripid 808-26 --locoid 4013 --swversion DE.1.0.9.0 --startMP 300:58628 --initTime 2017-07-26T07:36:36 --startdatetime 2017-07-26T07:38:29 --delay 1 --endMP 204:699 --enddatetime 2017-07-26T07:55:57 --enforcementcount 0 &gt;&gt;C:\Users\stu\Documents\GitHub\eaglep3-reporting\EC\2017-07-26-refined-times.txt</v>
      </c>
      <c r="AI165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{"issue":{"subject":"","project_id":79,"tracker_id":40,"status_id":1,"priority_id":2,"assigned_to_id":23,"start_date":"2017-07-26","description":"","custom_fields":[{"id":1,"name":"Subdivision","value":"NW"},{"id":4,"name":"Milepost","value":"0.0699"},{"id":17,"name":"Train ID","value":"808-26"},{"id":16,"name":"Locomotive ID","value":"4013"},{"id":130,"name":"Impact","value":""},{"id":150,"name":"Time of Event (Mountain Time)","value":"07:55:57"},{"id":151,"name":"Denver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4"/>
        <v>start /low /b %USERPROFILE%\Documents\GitHub\eaglep3\Utilities\DownloadLogsFromS3.py --loco 4013 --day 2017-07-26</v>
      </c>
      <c r="AN165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699</v>
      </c>
      <c r="B166" s="7">
        <v>4046</v>
      </c>
      <c r="C166" s="21" t="s">
        <v>198</v>
      </c>
      <c r="D166" s="21" t="s">
        <v>987</v>
      </c>
      <c r="E166" s="13">
        <v>42942.310300925928</v>
      </c>
      <c r="F166" s="13">
        <v>42942.327696759261</v>
      </c>
      <c r="G166" s="7">
        <v>1</v>
      </c>
      <c r="H166" s="21" t="s">
        <v>988</v>
      </c>
      <c r="I166" s="13">
        <v>42942.336817129632</v>
      </c>
      <c r="J166" s="7">
        <v>0</v>
      </c>
      <c r="K166" s="89" t="str">
        <f>IF(ISEVEN(B166),(B166-1)&amp;"/"&amp;B166,B166&amp;"/"&amp;(B166+1))</f>
        <v>4045/4046</v>
      </c>
      <c r="L166" s="21" t="str">
        <f>VLOOKUP(A166,'Trips&amp;Operators'!$C$1:$G$99999,5,FALSE)</f>
        <v>MACDONALD THOMAS</v>
      </c>
      <c r="M166" s="6">
        <f>I166-F166</f>
        <v>9.1203703705104999E-3</v>
      </c>
      <c r="N166" s="7">
        <f>24*60*SUM($M166:$M166)</f>
        <v>13.13333333353512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-26T06:26:50-0600',mode:absolute,to:'2017-07-26T09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197" t="str">
        <f>IF(AA166&lt;VLOOKUP(AG166,Variables!$AC$3:$AD$8,2,FALSE),"Y","N")</f>
        <v>N</v>
      </c>
      <c r="X166" s="197">
        <f t="shared" ref="X166:X170" si="16">VALUE(LEFT(AD166,4))-VALUE(LEFT(AD165,4))</f>
        <v>1</v>
      </c>
      <c r="Y166" s="197">
        <f>RIGHT(D166,LEN(D166)-4)/10000</f>
        <v>0.10340000000000001</v>
      </c>
      <c r="Z166" s="197">
        <f>RIGHT(H166,LEN(H166)-4)/10000</f>
        <v>5.8914</v>
      </c>
      <c r="AA166" s="197">
        <f>ABS(Z166-Y166)</f>
        <v>5.7880000000000003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/stypes="app*4046*20170726*" /stext=" 14:.+((SYSTEM_STATE.+slice.+state.+changed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2"/>
        <v>"%USERPROFILE%\Documents\GitHub\eaglep3\Utilities\RefineRTDCRunTimes.py" --tripid 809-26 --locoid 4046 --swversion DE.1.0.9.0 --startMP 204:1034 --initTime 2017-07-26T07:26:50 --startdatetime 2017-07-26T07:51:53 --delay 1 --endMP 300:58914 --enddatetime 2017-07-26T08:05:01 --enforcementcount 0 &gt;&gt;C:\Users\stu\Documents\GitHub\eaglep3-reporting\EC\2017-07-26-refined-times.txt</v>
      </c>
      <c r="AI166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{"issue":{"subject":"","project_id":79,"tracker_id":40,"status_id":1,"priority_id":2,"assigned_to_id":23,"start_date":"2017-07-26","description":"","custom_fields":[{"id":1,"name":"Subdivision","value":"NW"},{"id":4,"name":"Milepost","value":"5.8914"},{"id":17,"name":"Train ID","value":"809-26"},{"id":16,"name":"Locomotive ID","value":"4046"},{"id":130,"name":"Impact","value":""},{"id":150,"name":"Time of Event (Mountain Time)","value":"08:05:01"},{"id":151,"name":"Denver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14"/>
        <v>start /low /b %USERPROFILE%\Documents\GitHub\eaglep3\Utilities\DownloadLogsFromS3.py --loco 4046 --day 2017-07-26</v>
      </c>
      <c r="AN166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624</v>
      </c>
      <c r="B167" s="7">
        <v>4045</v>
      </c>
      <c r="C167" s="21" t="s">
        <v>198</v>
      </c>
      <c r="D167" s="21" t="s">
        <v>601</v>
      </c>
      <c r="E167" s="13">
        <v>42942.337696759256</v>
      </c>
      <c r="F167" s="13">
        <v>42942.338958333334</v>
      </c>
      <c r="G167" s="7">
        <v>0</v>
      </c>
      <c r="H167" s="21" t="s">
        <v>538</v>
      </c>
      <c r="I167" s="13">
        <v>42942.351087962961</v>
      </c>
      <c r="J167" s="7">
        <v>0</v>
      </c>
      <c r="K167" s="89" t="str">
        <f>IF(ISEVEN(B167),(B167-1)&amp;"/"&amp;B167,B167&amp;"/"&amp;(B167+1))</f>
        <v>4045/4046</v>
      </c>
      <c r="L167" s="21" t="str">
        <f>VLOOKUP(A167,'Trips&amp;Operators'!$C$1:$G$99999,5,FALSE)</f>
        <v>MACDONALD THOMAS</v>
      </c>
      <c r="M167" s="6">
        <f>I167-F167</f>
        <v>1.2129629627452232E-2</v>
      </c>
      <c r="N167" s="7">
        <f>24*60*SUM($M167:$M167)</f>
        <v>17.466666663531214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-26T07:06:17-0600',mode:absolute,to:'2017-07-26T09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197" t="str">
        <f>IF(AA167&lt;VLOOKUP(AG167,Variables!$AC$3:$AD$8,2,FALSE),"Y","N")</f>
        <v>N</v>
      </c>
      <c r="X167" s="197">
        <f t="shared" si="16"/>
        <v>1</v>
      </c>
      <c r="Y167" s="197">
        <f>RIGHT(D167,LEN(D167)-4)/10000</f>
        <v>5.8589000000000002</v>
      </c>
      <c r="Z167" s="197">
        <f>RIGHT(H167,LEN(H167)-4)/10000</f>
        <v>7.4999999999999997E-2</v>
      </c>
      <c r="AA167" s="197">
        <f>ABS(Z167-Y167)</f>
        <v>5.7839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/stypes="app*4045*20170726*"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2"/>
        <v>"%USERPROFILE%\Documents\GitHub\eaglep3\Utilities\RefineRTDCRunTimes.py" --tripid 810-26 --locoid 4045 --swversion DE.1.0.9.0 --startMP 300:58589 --initTime 2017-07-26T08:06:17 --startdatetime 2017-07-26T08:08:06 --delay 0 --endMP 204:750 --enddatetime 2017-07-26T08:25:34 --enforcementcount 0 &gt;&gt;C:\Users\stu\Documents\GitHub\eaglep3-reporting\EC\2017-07-26-refined-times.txt</v>
      </c>
      <c r="AI167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{"issue":{"subject":"","project_id":79,"tracker_id":40,"status_id":1,"priority_id":2,"assigned_to_id":23,"start_date":"2017-07-26","description":"","custom_fields":[{"id":1,"name":"Subdivision","value":"NW"},{"id":4,"name":"Milepost","value":"0.075"},{"id":17,"name":"Train ID","value":"810-26"},{"id":16,"name":"Locomotive ID","value":"4045"},{"id":130,"name":"Impact","value":""},{"id":150,"name":"Time of Event (Mountain Time)","value":"08:25:34"},{"id":151,"name":"Denver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4"/>
        <v>start /low /b %USERPROFILE%\Documents\GitHub\eaglep3\Utilities\DownloadLogsFromS3.py --loco 4045 --day 2017-07-26</v>
      </c>
      <c r="AN167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707</v>
      </c>
      <c r="B168" s="7">
        <v>4014</v>
      </c>
      <c r="C168" s="21" t="s">
        <v>198</v>
      </c>
      <c r="D168" s="21" t="s">
        <v>539</v>
      </c>
      <c r="E168" s="13">
        <v>42942.346319444441</v>
      </c>
      <c r="F168" s="13">
        <v>42942.348217592589</v>
      </c>
      <c r="G168" s="7">
        <v>1</v>
      </c>
      <c r="H168" s="21" t="s">
        <v>989</v>
      </c>
      <c r="I168" s="13">
        <v>42942.358530092592</v>
      </c>
      <c r="J168" s="7">
        <v>0</v>
      </c>
      <c r="K168" s="89" t="str">
        <f>IF(ISEVEN(B168),(B168-1)&amp;"/"&amp;B168,B168&amp;"/"&amp;(B168+1))</f>
        <v>4013/4014</v>
      </c>
      <c r="L168" s="21" t="str">
        <f>VLOOKUP(A168,'Trips&amp;Operators'!$C$1:$G$99999,5,FALSE)</f>
        <v>ANDERS STEVEN</v>
      </c>
      <c r="M168" s="6">
        <f>I168-F168</f>
        <v>1.0312500002328306E-2</v>
      </c>
      <c r="N168" s="7">
        <f>24*60*SUM($M168:$M168)</f>
        <v>14.850000003352761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-26T07:18:42-0600',mode:absolute,to:'2017-07-26T09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197" t="str">
        <f>IF(AA168&lt;VLOOKUP(AG168,Variables!$AC$3:$AD$8,2,FALSE),"Y","N")</f>
        <v>N</v>
      </c>
      <c r="X168" s="197">
        <f t="shared" si="16"/>
        <v>1</v>
      </c>
      <c r="Y168" s="197">
        <f>RIGHT(D168,LEN(D168)-4)/10000</f>
        <v>9.9299999999999999E-2</v>
      </c>
      <c r="Z168" s="197">
        <f>RIGHT(H168,LEN(H168)-4)/10000</f>
        <v>5.8956</v>
      </c>
      <c r="AA168" s="197">
        <f>ABS(Z168-Y168)</f>
        <v>5.7962999999999996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/stypes="app*4014*20170726*"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2"/>
        <v>"%USERPROFILE%\Documents\GitHub\eaglep3\Utilities\RefineRTDCRunTimes.py" --tripid 811-26 --locoid 4014 --swversion DE.1.0.9.0 --startMP 204:993 --initTime 2017-07-26T08:18:42 --startdatetime 2017-07-26T08:21:26 --delay 1 --endMP 300:58956 --enddatetime 2017-07-26T08:36:17 --enforcementcount 0 &gt;&gt;C:\Users\stu\Documents\GitHub\eaglep3-reporting\EC\2017-07-26-refined-times.txt</v>
      </c>
      <c r="AI168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{"issue":{"subject":"","project_id":79,"tracker_id":40,"status_id":1,"priority_id":2,"assigned_to_id":23,"start_date":"2017-07-26","description":"","custom_fields":[{"id":1,"name":"Subdivision","value":"NW"},{"id":4,"name":"Milepost","value":"5.8956"},{"id":17,"name":"Train ID","value":"811-26"},{"id":16,"name":"Locomotive ID","value":"4014"},{"id":130,"name":"Impact","value":""},{"id":150,"name":"Time of Event (Mountain Time)","value":"08:36:17"},{"id":151,"name":"Denver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4"/>
        <v>start /low /b %USERPROFILE%\Documents\GitHub\eaglep3\Utilities\DownloadLogsFromS3.py --loco 4014 --day 2017-07-26</v>
      </c>
      <c r="AN168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711</v>
      </c>
      <c r="B169" s="7">
        <v>4013</v>
      </c>
      <c r="C169" s="21" t="s">
        <v>198</v>
      </c>
      <c r="D169" s="21" t="s">
        <v>990</v>
      </c>
      <c r="E169" s="13">
        <v>42942.360092592593</v>
      </c>
      <c r="F169" s="13">
        <v>42942.361724537041</v>
      </c>
      <c r="G169" s="7">
        <v>1</v>
      </c>
      <c r="H169" s="21" t="s">
        <v>991</v>
      </c>
      <c r="I169" s="13">
        <v>42942.372037037036</v>
      </c>
      <c r="J169" s="7">
        <v>0</v>
      </c>
      <c r="K169" s="89" t="str">
        <f>IF(ISEVEN(B169),(B169-1)&amp;"/"&amp;B169,B169&amp;"/"&amp;(B169+1))</f>
        <v>4013/4014</v>
      </c>
      <c r="L169" s="21" t="str">
        <f>VLOOKUP(A169,'Trips&amp;Operators'!$C$1:$G$99999,5,FALSE)</f>
        <v>ANDERS STEVEN</v>
      </c>
      <c r="M169" s="6">
        <f>I169-F169</f>
        <v>1.0312499995052349E-2</v>
      </c>
      <c r="N169" s="7">
        <f>24*60*SUM($M169:$M169)</f>
        <v>14.849999992875382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-26T07:38:32-0600',mode:absolute,to:'2017-07-26T09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197" t="str">
        <f>IF(AA169&lt;VLOOKUP(AG169,Variables!$AC$3:$AD$8,2,FALSE),"Y","N")</f>
        <v>N</v>
      </c>
      <c r="X169" s="197">
        <f t="shared" si="16"/>
        <v>1</v>
      </c>
      <c r="Y169" s="197">
        <f>RIGHT(D169,LEN(D169)-4)/10000</f>
        <v>5.8638000000000003</v>
      </c>
      <c r="Z169" s="197">
        <f>RIGHT(H169,LEN(H169)-4)/10000</f>
        <v>6.8500000000000005E-2</v>
      </c>
      <c r="AA169" s="197">
        <f>ABS(Z169-Y169)</f>
        <v>5.7953000000000001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/stypes="app*4013*20170726*"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2"/>
        <v>"%USERPROFILE%\Documents\GitHub\eaglep3\Utilities\RefineRTDCRunTimes.py" --tripid 812-26 --locoid 4013 --swversion DE.1.0.9.0 --startMP 300:58638 --initTime 2017-07-26T08:38:32 --startdatetime 2017-07-26T08:40:53 --delay 1 --endMP 204:685 --enddatetime 2017-07-26T08:55:44 --enforcementcount 0 &gt;&gt;C:\Users\stu\Documents\GitHub\eaglep3-reporting\EC\2017-07-26-refined-times.txt</v>
      </c>
      <c r="AI169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{"issue":{"subject":"","project_id":79,"tracker_id":40,"status_id":1,"priority_id":2,"assigned_to_id":23,"start_date":"2017-07-26","description":"","custom_fields":[{"id":1,"name":"Subdivision","value":"NW"},{"id":4,"name":"Milepost","value":"0.0685"},{"id":17,"name":"Train ID","value":"812-26"},{"id":16,"name":"Locomotive ID","value":"4013"},{"id":130,"name":"Impact","value":""},{"id":150,"name":"Time of Event (Mountain Time)","value":"08:55:44"},{"id":151,"name":"Denver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4"/>
        <v>start /low /b %USERPROFILE%\Documents\GitHub\eaglep3\Utilities\DownloadLogsFromS3.py --loco 4013 --day 2017-07-26</v>
      </c>
      <c r="AN169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719</v>
      </c>
      <c r="B170" s="7">
        <v>4014</v>
      </c>
      <c r="C170" s="21" t="s">
        <v>198</v>
      </c>
      <c r="D170" s="21" t="s">
        <v>595</v>
      </c>
      <c r="E170" s="13">
        <v>42942.38753472222</v>
      </c>
      <c r="F170" s="13">
        <v>42942.389814814815</v>
      </c>
      <c r="G170" s="7">
        <v>2</v>
      </c>
      <c r="H170" s="21" t="s">
        <v>535</v>
      </c>
      <c r="I170" s="13">
        <v>42942.399131944447</v>
      </c>
      <c r="J170" s="7">
        <v>0</v>
      </c>
      <c r="K170" s="89" t="str">
        <f>IF(ISEVEN(B170),(B170-1)&amp;"/"&amp;B170,B170&amp;"/"&amp;(B170+1))</f>
        <v>4013/4014</v>
      </c>
      <c r="L170" s="21" t="str">
        <f>VLOOKUP(A170,'Trips&amp;Operators'!$C$1:$G$99999,5,FALSE)</f>
        <v>ANDERS STEVEN</v>
      </c>
      <c r="M170" s="6">
        <f>I170-F170</f>
        <v>9.3171296321088448E-3</v>
      </c>
      <c r="N170" s="7">
        <f>24*60*SUM($M170:$M170)</f>
        <v>13.416666670236737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-26T08:18:03-0600',mode:absolute,to:'2017-07-26T10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97" t="str">
        <f>IF(AA170&lt;VLOOKUP(AG170,Variables!$AC$3:$AD$8,2,FALSE),"Y","N")</f>
        <v>N</v>
      </c>
      <c r="X170" s="197">
        <f t="shared" si="16"/>
        <v>1</v>
      </c>
      <c r="Y170" s="197">
        <f>RIGHT(D170,LEN(D170)-4)/10000</f>
        <v>9.6500000000000002E-2</v>
      </c>
      <c r="Z170" s="197">
        <f>RIGHT(H170,LEN(H170)-4)/10000</f>
        <v>5.8935000000000004</v>
      </c>
      <c r="AA170" s="197">
        <f>ABS(Z170-Y170)</f>
        <v>5.7970000000000006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/stypes="app*4014*20170726*" /stext=" 15:.+((SYSTEM_STATE.+slice.+state.+changed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2"/>
        <v>"%USERPROFILE%\Documents\GitHub\eaglep3\Utilities\RefineRTDCRunTimes.py" --tripid 813-26 --locoid 4014 --swversion DE.1.0.9.0 --startMP 204:965 --initTime 2017-07-26T09:18:03 --startdatetime 2017-07-26T09:21:20 --delay 2 --endMP 300:58935 --enddatetime 2017-07-26T09:34:45 --enforcementcount 0 &gt;&gt;C:\Users\stu\Documents\GitHub\eaglep3-reporting\EC\2017-07-26-refined-times.txt</v>
      </c>
      <c r="AI170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{"issue":{"subject":"","project_id":79,"tracker_id":40,"status_id":1,"priority_id":2,"assigned_to_id":23,"start_date":"2017-07-26","description":"","custom_fields":[{"id":1,"name":"Subdivision","value":"NW"},{"id":4,"name":"Milepost","value":"5.8935"},{"id":17,"name":"Train ID","value":"813-26"},{"id":16,"name":"Locomotive ID","value":"4014"},{"id":130,"name":"Impact","value":""},{"id":150,"name":"Time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4"/>
        <v>start /low /b %USERPROFILE%\Documents\GitHub\eaglep3\Utilities\DownloadLogsFromS3.py --loco 4014 --day 2017-07-26</v>
      </c>
      <c r="AN170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722</v>
      </c>
      <c r="B171" s="7">
        <v>4013</v>
      </c>
      <c r="C171" s="21" t="s">
        <v>198</v>
      </c>
      <c r="D171" s="21" t="s">
        <v>992</v>
      </c>
      <c r="E171" s="13">
        <v>42942.400104166663</v>
      </c>
      <c r="F171" s="13">
        <v>42942.401574074072</v>
      </c>
      <c r="G171" s="7">
        <v>1</v>
      </c>
      <c r="H171" s="21" t="s">
        <v>600</v>
      </c>
      <c r="I171" s="13">
        <v>42942.41333333333</v>
      </c>
      <c r="J171" s="7">
        <v>0</v>
      </c>
      <c r="K171" s="89" t="str">
        <f>IF(ISEVEN(B171),(B171-1)&amp;"/"&amp;B171,B171&amp;"/"&amp;(B171+1))</f>
        <v>4013/4014</v>
      </c>
      <c r="L171" s="21" t="str">
        <f>VLOOKUP(A171,'Trips&amp;Operators'!$C$1:$G$99999,5,FALSE)</f>
        <v>ANDERS STEVEN</v>
      </c>
      <c r="M171" s="6">
        <f>I171-F171</f>
        <v>1.1759259257814847E-2</v>
      </c>
      <c r="N171" s="7">
        <f>24*60*SUM($M171:$M171)</f>
        <v>16.93333333125338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-26T08:36:09-0600',mode:absolute,to:'2017-07-26T10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5.8619000000000003</v>
      </c>
      <c r="Z171" s="197">
        <f>RIGHT(H171,LEN(H171)-4)/10000</f>
        <v>7.2599999999999998E-2</v>
      </c>
      <c r="AA171" s="197">
        <f>ABS(Z171-Y171)</f>
        <v>5.7893000000000008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/stypes="app*4013*20170726*"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2"/>
        <v>"%USERPROFILE%\Documents\GitHub\eaglep3\Utilities\RefineRTDCRunTimes.py" --tripid 814-26 --locoid 4013 --swversion DE.1.0.9.0 --startMP 300:58619 --initTime 2017-07-26T09:36:09 --startdatetime 2017-07-26T09:38:16 --delay 1 --endMP 204:726 --enddatetime 2017-07-26T09:55:12 --enforcementcount 0 &gt;&gt;C:\Users\stu\Documents\GitHub\eaglep3-reporting\EC\2017-07-26-refined-times.txt</v>
      </c>
      <c r="AI171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{"issue":{"subject":"","project_id":79,"tracker_id":40,"status_id":1,"priority_id":2,"assigned_to_id":23,"start_date":"2017-07-26","description":"","custom_fields":[{"id":1,"name":"Subdivision","value":"NW"},{"id":4,"name":"Milepost","value":"0.0726"},{"id":17,"name":"Train ID","value":"814-26"},{"id":16,"name":"Locomotive ID","value":"4013"},{"id":130,"name":"Impact","value":""},{"id":150,"name":"Time of Event (Mountain Time)","value":"09:55:12"},{"id":151,"name":"Denver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4"/>
        <v>start /low /b %USERPROFILE%\Documents\GitHub\eaglep3\Utilities\DownloadLogsFromS3.py --loco 4013 --day 2017-07-26</v>
      </c>
      <c r="AN171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731</v>
      </c>
      <c r="B172" s="7">
        <v>4014</v>
      </c>
      <c r="C172" s="21" t="s">
        <v>198</v>
      </c>
      <c r="D172" s="21" t="s">
        <v>605</v>
      </c>
      <c r="E172" s="13">
        <v>42942.4294212963</v>
      </c>
      <c r="F172" s="13">
        <v>42942.431608796294</v>
      </c>
      <c r="G172" s="7">
        <v>1</v>
      </c>
      <c r="H172" s="21" t="s">
        <v>993</v>
      </c>
      <c r="I172" s="13">
        <v>42942.441724537035</v>
      </c>
      <c r="J172" s="7">
        <v>0</v>
      </c>
      <c r="K172" s="89" t="str">
        <f>IF(ISEVEN(B172),(B172-1)&amp;"/"&amp;B172,B172&amp;"/"&amp;(B172+1))</f>
        <v>4013/4014</v>
      </c>
      <c r="L172" s="21" t="str">
        <f>VLOOKUP(A172,'Trips&amp;Operators'!$C$1:$G$99999,5,FALSE)</f>
        <v>ANDERS STEVEN</v>
      </c>
      <c r="M172" s="6">
        <f>I172-F172</f>
        <v>1.0115740740729962E-2</v>
      </c>
      <c r="N172" s="7">
        <f>24*60*SUM($M172:$M172)</f>
        <v>14.566666666651145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-26T09:18:22-0600',mode:absolute,to:'2017-07-26T11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0.1014</v>
      </c>
      <c r="Z172" s="197">
        <f>RIGHT(H172,LEN(H172)-4)/10000</f>
        <v>5.8960999999999997</v>
      </c>
      <c r="AA172" s="197">
        <f>ABS(Z172-Y172)</f>
        <v>5.7946999999999997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/stypes="app*4014*20170726*" /stext=" 16:.+((SYSTEM_STATE.+slice.+state.+changed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2"/>
        <v>"%USERPROFILE%\Documents\GitHub\eaglep3\Utilities\RefineRTDCRunTimes.py" --tripid 815-26 --locoid 4014 --swversion DE.1.0.9.0 --startMP 204:1014 --initTime 2017-07-26T10:18:22 --startdatetime 2017-07-26T10:21:31 --delay 1 --endMP 300:58961 --enddatetime 2017-07-26T10:36:05 --enforcementcount 0 &gt;&gt;C:\Users\stu\Documents\GitHub\eaglep3-reporting\EC\2017-07-26-refined-times.txt</v>
      </c>
      <c r="AI172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{"issue":{"subject":"","project_id":79,"tracker_id":40,"status_id":1,"priority_id":2,"assigned_to_id":23,"start_date":"2017-07-26","description":"","custom_fields":[{"id":1,"name":"Subdivision","value":"NW"},{"id":4,"name":"Milepost","value":"5.8961"},{"id":17,"name":"Train ID","value":"815-26"},{"id":16,"name":"Locomotive ID","value":"4014"},{"id":130,"name":"Impact","value":""},{"id":150,"name":"Time of Event (Mountain Time)","value":"10:36:05"},{"id":151,"name":"Denver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4"/>
        <v>start /low /b %USERPROFILE%\Documents\GitHub\eaglep3\Utilities\DownloadLogsFromS3.py --loco 4014 --day 2017-07-26</v>
      </c>
      <c r="AN172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637</v>
      </c>
      <c r="B173" s="7">
        <v>4013</v>
      </c>
      <c r="C173" s="21" t="s">
        <v>198</v>
      </c>
      <c r="D173" s="21" t="s">
        <v>994</v>
      </c>
      <c r="E173" s="13">
        <v>42942.442893518521</v>
      </c>
      <c r="F173" s="13">
        <v>42942.444444444445</v>
      </c>
      <c r="G173" s="7">
        <v>1</v>
      </c>
      <c r="H173" s="21" t="s">
        <v>986</v>
      </c>
      <c r="I173" s="13">
        <v>42942.455775462964</v>
      </c>
      <c r="J173" s="7">
        <v>0</v>
      </c>
      <c r="K173" s="89" t="str">
        <f>IF(ISEVEN(B173),(B173-1)&amp;"/"&amp;B173,B173&amp;"/"&amp;(B173+1))</f>
        <v>4013/4014</v>
      </c>
      <c r="L173" s="21" t="str">
        <f>VLOOKUP(A173,'Trips&amp;Operators'!$C$1:$G$99999,5,FALSE)</f>
        <v>ANDERS STEVEN</v>
      </c>
      <c r="M173" s="6">
        <f>I173-F173</f>
        <v>1.1331018518831115E-2</v>
      </c>
      <c r="N173" s="7">
        <f>24*60*SUM($M173:$M173)</f>
        <v>16.316666667116806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-26T09:37:46-0600',mode:absolute,to:'2017-07-26T11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5.8659999999999997</v>
      </c>
      <c r="Z173" s="197">
        <f>RIGHT(H173,LEN(H173)-4)/10000</f>
        <v>6.9900000000000004E-2</v>
      </c>
      <c r="AA173" s="197">
        <f>ABS(Z173-Y173)</f>
        <v>5.7961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/stypes="app*4013*20170726*"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2"/>
        <v>"%USERPROFILE%\Documents\GitHub\eaglep3\Utilities\RefineRTDCRunTimes.py" --tripid 816-26 --locoid 4013 --swversion DE.1.0.9.0 --startMP 300:58660 --initTime 2017-07-26T10:37:46 --startdatetime 2017-07-26T10:40:00 --delay 1 --endMP 204:699 --enddatetime 2017-07-26T10:56:19 --enforcementcount 0 &gt;&gt;C:\Users\stu\Documents\GitHub\eaglep3-reporting\EC\2017-07-26-refined-times.txt</v>
      </c>
      <c r="AI173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{"issue":{"subject":"","project_id":79,"tracker_id":40,"status_id":1,"priority_id":2,"assigned_to_id":23,"start_date":"2017-07-26","description":"","custom_fields":[{"id":1,"name":"Subdivision","value":"NW"},{"id":4,"name":"Milepost","value":"0.0699"},{"id":17,"name":"Train ID","value":"816-26"},{"id":16,"name":"Locomotive ID","value":"4013"},{"id":130,"name":"Impact","value":""},{"id":150,"name":"Time of Event (Mountain Time)","value":"10:56:19"},{"id":151,"name":"Denver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4"/>
        <v>start /low /b %USERPROFILE%\Documents\GitHub\eaglep3\Utilities\DownloadLogsFromS3.py --loco 4013 --day 2017-07-26</v>
      </c>
      <c r="AN173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639</v>
      </c>
      <c r="B174" s="7">
        <v>4014</v>
      </c>
      <c r="C174" s="21" t="s">
        <v>198</v>
      </c>
      <c r="D174" s="21" t="s">
        <v>995</v>
      </c>
      <c r="E174" s="13">
        <v>42942.47079861111</v>
      </c>
      <c r="F174" s="13">
        <v>42942.473217592589</v>
      </c>
      <c r="G174" s="7">
        <v>2</v>
      </c>
      <c r="H174" s="21" t="s">
        <v>598</v>
      </c>
      <c r="I174" s="13">
        <v>42942.483402777776</v>
      </c>
      <c r="J174" s="7">
        <v>0</v>
      </c>
      <c r="K174" s="89" t="str">
        <f>IF(ISEVEN(B174),(B174-1)&amp;"/"&amp;B174,B174&amp;"/"&amp;(B174+1))</f>
        <v>4013/4014</v>
      </c>
      <c r="L174" s="21" t="str">
        <f>VLOOKUP(A174,'Trips&amp;Operators'!$C$1:$G$99999,5,FALSE)</f>
        <v>ANDERS STEVEN</v>
      </c>
      <c r="M174" s="6">
        <f>I174-F174</f>
        <v>1.0185185186855961E-2</v>
      </c>
      <c r="N174" s="7">
        <f>24*60*SUM($M174:$M174)</f>
        <v>14.666666669072583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-26T10:17:57-0600',mode:absolute,to:'2017-07-26T12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9.9000000000000005E-2</v>
      </c>
      <c r="Z174" s="197">
        <f>RIGHT(H174,LEN(H174)-4)/10000</f>
        <v>5.8940999999999999</v>
      </c>
      <c r="AA174" s="197">
        <f>ABS(Z174-Y174)</f>
        <v>5.7950999999999997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/stypes="app*4014*20170726*" /stext=" 17:.+((SYSTEM_STATE.+slice.+state.+changed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2"/>
        <v>"%USERPROFILE%\Documents\GitHub\eaglep3\Utilities\RefineRTDCRunTimes.py" --tripid 817-26 --locoid 4014 --swversion DE.1.0.9.0 --startMP 204:990 --initTime 2017-07-26T11:17:57 --startdatetime 2017-07-26T11:21:26 --delay 2 --endMP 300:58941 --enddatetime 2017-07-26T11:36:06 --enforcementcount 0 &gt;&gt;C:\Users\stu\Documents\GitHub\eaglep3-reporting\EC\2017-07-26-refined-times.txt</v>
      </c>
      <c r="AI174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{"issue":{"subject":"","project_id":79,"tracker_id":40,"status_id":1,"priority_id":2,"assigned_to_id":23,"start_date":"2017-07-26","description":"","custom_fields":[{"id":1,"name":"Subdivision","value":"NW"},{"id":4,"name":"Milepost","value":"5.8941"},{"id":17,"name":"Train ID","value":"817-26"},{"id":16,"name":"Locomotive ID","value":"4014"},{"id":130,"name":"Impact","value":""},{"id":150,"name":"Time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4"/>
        <v>start /low /b %USERPROFILE%\Documents\GitHub\eaglep3\Utilities\DownloadLogsFromS3.py --loco 4014 --day 2017-07-26</v>
      </c>
      <c r="AN174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742</v>
      </c>
      <c r="B175" s="7">
        <v>4013</v>
      </c>
      <c r="C175" s="21" t="s">
        <v>198</v>
      </c>
      <c r="D175" s="21" t="s">
        <v>480</v>
      </c>
      <c r="E175" s="13">
        <v>42942.484340277777</v>
      </c>
      <c r="F175" s="13">
        <v>42942.485636574071</v>
      </c>
      <c r="G175" s="7">
        <v>1</v>
      </c>
      <c r="H175" s="21" t="s">
        <v>996</v>
      </c>
      <c r="I175" s="13">
        <v>42942.49690972222</v>
      </c>
      <c r="J175" s="7">
        <v>0</v>
      </c>
      <c r="K175" s="89" t="str">
        <f>IF(ISEVEN(B175),(B175-1)&amp;"/"&amp;B175,B175&amp;"/"&amp;(B175+1))</f>
        <v>4013/4014</v>
      </c>
      <c r="L175" s="21" t="str">
        <f>VLOOKUP(A175,'Trips&amp;Operators'!$C$1:$G$99999,5,FALSE)</f>
        <v>ANDERS STEVEN</v>
      </c>
      <c r="M175" s="6">
        <f>I175-F175</f>
        <v>1.1273148149484769E-2</v>
      </c>
      <c r="N175" s="7">
        <f>24*60*SUM($M175:$M175)</f>
        <v>16.233333335258067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-26T10:37:27-0600',mode:absolute,to:'2017-07-26T12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5.8625999999999996</v>
      </c>
      <c r="Z175" s="197">
        <f>RIGHT(H175,LEN(H175)-4)/10000</f>
        <v>6.7299999999999999E-2</v>
      </c>
      <c r="AA175" s="197">
        <f>ABS(Z175-Y175)</f>
        <v>5.7952999999999992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/stypes="app*4013*20170726*"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2"/>
        <v>"%USERPROFILE%\Documents\GitHub\eaglep3\Utilities\RefineRTDCRunTimes.py" --tripid 818-26 --locoid 4013 --swversion DE.1.0.9.0 --startMP 300:58626 --initTime 2017-07-26T11:37:27 --startdatetime 2017-07-26T11:39:19 --delay 1 --endMP 204:673 --enddatetime 2017-07-26T11:55:33 --enforcementcount 0 &gt;&gt;C:\Users\stu\Documents\GitHub\eaglep3-reporting\EC\2017-07-26-refined-times.txt</v>
      </c>
      <c r="AI175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{"issue":{"subject":"","project_id":79,"tracker_id":40,"status_id":1,"priority_id":2,"assigned_to_id":23,"start_date":"2017-07-26","description":"","custom_fields":[{"id":1,"name":"Subdivision","value":"NW"},{"id":4,"name":"Milepost","value":"0.0673"},{"id":17,"name":"Train ID","value":"818-26"},{"id":16,"name":"Locomotive ID","value":"4013"},{"id":130,"name":"Impact","value":""},{"id":150,"name":"Time of Event (Mountain Time)","value":"11:55:33"},{"id":151,"name":"Denver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4"/>
        <v>start /low /b %USERPROFILE%\Documents\GitHub\eaglep3\Utilities\DownloadLogsFromS3.py --loco 4013 --day 2017-07-26</v>
      </c>
      <c r="AN175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750</v>
      </c>
      <c r="B176" s="7">
        <v>4014</v>
      </c>
      <c r="C176" s="21" t="s">
        <v>198</v>
      </c>
      <c r="D176" s="21" t="s">
        <v>997</v>
      </c>
      <c r="E176" s="13">
        <v>42942.508449074077</v>
      </c>
      <c r="F176" s="13">
        <v>42942.515092592592</v>
      </c>
      <c r="G176" s="7">
        <v>1</v>
      </c>
      <c r="H176" s="21" t="s">
        <v>998</v>
      </c>
      <c r="I176" s="13">
        <v>42942.525729166664</v>
      </c>
      <c r="J176" s="7">
        <v>0</v>
      </c>
      <c r="K176" s="89" t="str">
        <f>IF(ISEVEN(B176),(B176-1)&amp;"/"&amp;B176,B176&amp;"/"&amp;(B176+1))</f>
        <v>4013/4014</v>
      </c>
      <c r="L176" s="21" t="str">
        <f>VLOOKUP(A176,'Trips&amp;Operators'!$C$1:$G$99999,5,FALSE)</f>
        <v>ANDERS STEVEN</v>
      </c>
      <c r="M176" s="6">
        <f>I176-F176</f>
        <v>1.063657407212304E-2</v>
      </c>
      <c r="N176" s="7">
        <f>24*60*SUM($M176:$M176)</f>
        <v>15.316666663857177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-26T11:12:10-0600',mode:absolute,to:'2017-07-26T13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9.4799999999999995E-2</v>
      </c>
      <c r="Z176" s="197">
        <f>RIGHT(H176,LEN(H176)-4)/10000</f>
        <v>5.8954000000000004</v>
      </c>
      <c r="AA176" s="197">
        <f>ABS(Z176-Y176)</f>
        <v>5.8006000000000002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/stypes="app*4014*20170726*" /stext=" 18:.+((SYSTEM_STATE.+slice.+state.+changed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2"/>
        <v>"%USERPROFILE%\Documents\GitHub\eaglep3\Utilities\RefineRTDCRunTimes.py" --tripid 819-26 --locoid 4014 --swversion DE.1.0.9.0 --startMP 204:948 --initTime 2017-07-26T12:12:10 --startdatetime 2017-07-26T12:21:44 --delay 1 --endMP 300:58954 --enddatetime 2017-07-26T12:37:03 --enforcementcount 0 &gt;&gt;C:\Users\stu\Documents\GitHub\eaglep3-reporting\EC\2017-07-26-refined-times.txt</v>
      </c>
      <c r="AI176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{"issue":{"subject":"","project_id":79,"tracker_id":40,"status_id":1,"priority_id":2,"assigned_to_id":23,"start_date":"2017-07-26","description":"","custom_fields":[{"id":1,"name":"Subdivision","value":"NW"},{"id":4,"name":"Milepost","value":"5.8954"},{"id":17,"name":"Train ID","value":"819-26"},{"id":16,"name":"Locomotive ID","value":"4014"},{"id":130,"name":"Impact","value":""},{"id":150,"name":"Time of Event (Mountain Time)","value":"12:37:03"},{"id":151,"name":"Denver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4"/>
        <v>start /low /b %USERPROFILE%\Documents\GitHub\eaglep3\Utilities\DownloadLogsFromS3.py --loco 4014 --day 2017-07-26</v>
      </c>
      <c r="AN176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758</v>
      </c>
      <c r="B177" s="7">
        <v>4013</v>
      </c>
      <c r="C177" s="21" t="s">
        <v>198</v>
      </c>
      <c r="D177" s="21" t="s">
        <v>999</v>
      </c>
      <c r="E177" s="13">
        <v>42942.52721064815</v>
      </c>
      <c r="F177" s="13">
        <v>42942.529108796298</v>
      </c>
      <c r="G177" s="7">
        <v>1</v>
      </c>
      <c r="H177" s="21" t="s">
        <v>1000</v>
      </c>
      <c r="I177" s="13">
        <v>42942.540706018517</v>
      </c>
      <c r="J177" s="7">
        <v>0</v>
      </c>
      <c r="K177" s="89" t="str">
        <f>IF(ISEVEN(B177),(B177-1)&amp;"/"&amp;B177,B177&amp;"/"&amp;(B177+1))</f>
        <v>4013/4014</v>
      </c>
      <c r="L177" s="21" t="str">
        <f>VLOOKUP(A177,'Trips&amp;Operators'!$C$1:$G$99999,5,FALSE)</f>
        <v>ANDERS STEVEN</v>
      </c>
      <c r="M177" s="6">
        <f>I177-F177</f>
        <v>1.1597222219279502E-2</v>
      </c>
      <c r="N177" s="7">
        <f>24*60*SUM($M177:$M177)</f>
        <v>16.699999995762482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-26T11:39:11-0600',mode:absolute,to:'2017-07-26T13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5.8639999999999999</v>
      </c>
      <c r="Z177" s="197">
        <f>RIGHT(H177,LEN(H177)-4)/10000</f>
        <v>7.1199999999999999E-2</v>
      </c>
      <c r="AA177" s="197">
        <f>ABS(Z177-Y177)</f>
        <v>5.7927999999999997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/stypes="app*4013*20170726*"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2"/>
        <v>"%USERPROFILE%\Documents\GitHub\eaglep3\Utilities\RefineRTDCRunTimes.py" --tripid 820-26 --locoid 4013 --swversion DE.1.0.9.0 --startMP 300:58640 --initTime 2017-07-26T12:39:11 --startdatetime 2017-07-26T12:41:55 --delay 1 --endMP 204:712 --enddatetime 2017-07-26T12:58:37 --enforcementcount 0 &gt;&gt;C:\Users\stu\Documents\GitHub\eaglep3-reporting\EC\2017-07-26-refined-times.txt</v>
      </c>
      <c r="AI177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{"issue":{"subject":"","project_id":79,"tracker_id":40,"status_id":1,"priority_id":2,"assigned_to_id":23,"start_date":"2017-07-26","description":"","custom_fields":[{"id":1,"name":"Subdivision","value":"NW"},{"id":4,"name":"Milepost","value":"0.0712"},{"id":17,"name":"Train ID","value":"820-26"},{"id":16,"name":"Locomotive ID","value":"4013"},{"id":130,"name":"Impact","value":""},{"id":150,"name":"Time of Event (Mountain Time)","value":"12:58:37"},{"id":151,"name":"Denver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4"/>
        <v>start /low /b %USERPROFILE%\Documents\GitHub\eaglep3\Utilities\DownloadLogsFromS3.py --loco 4013 --day 2017-07-26</v>
      </c>
      <c r="AN177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764</v>
      </c>
      <c r="B178" s="7">
        <v>4014</v>
      </c>
      <c r="C178" s="21" t="s">
        <v>198</v>
      </c>
      <c r="D178" s="21" t="s">
        <v>599</v>
      </c>
      <c r="E178" s="13">
        <v>42942.551481481481</v>
      </c>
      <c r="F178" s="13">
        <v>42942.556458333333</v>
      </c>
      <c r="G178" s="7">
        <v>1</v>
      </c>
      <c r="H178" s="21" t="s">
        <v>1001</v>
      </c>
      <c r="I178" s="13">
        <v>42942.56621527778</v>
      </c>
      <c r="J178" s="7">
        <v>0</v>
      </c>
      <c r="K178" s="89" t="str">
        <f>IF(ISEVEN(B178),(B178-1)&amp;"/"&amp;B178,B178&amp;"/"&amp;(B178+1))</f>
        <v>4013/4014</v>
      </c>
      <c r="L178" s="21" t="str">
        <f>VLOOKUP(A178,'Trips&amp;Operators'!$C$1:$G$99999,5,FALSE)</f>
        <v>GONZALEZ ARMANDO</v>
      </c>
      <c r="M178" s="6">
        <f>I178-F178</f>
        <v>9.7569444478722289E-3</v>
      </c>
      <c r="N178" s="7">
        <f>24*60*SUM($M178:$M178)</f>
        <v>14.05000000493601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-26T12:14:08-0600',mode:absolute,to:'2017-07-26T14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0.1004</v>
      </c>
      <c r="Z178" s="197">
        <f>RIGHT(H178,LEN(H178)-4)/10000</f>
        <v>5.8967000000000001</v>
      </c>
      <c r="AA178" s="197">
        <f>ABS(Z178-Y178)</f>
        <v>5.7963000000000005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/stypes="app*4014*20170726*" /stext=" 19:.+((SYSTEM_STATE.+slice.+state.+changed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2"/>
        <v>"%USERPROFILE%\Documents\GitHub\eaglep3\Utilities\RefineRTDCRunTimes.py" --tripid 821-26 --locoid 4014 --swversion DE.1.0.9.0 --startMP 204:1004 --initTime 2017-07-26T13:14:08 --startdatetime 2017-07-26T13:21:18 --delay 1 --endMP 300:58967 --enddatetime 2017-07-26T13:35:21 --enforcementcount 0 &gt;&gt;C:\Users\stu\Documents\GitHub\eaglep3-reporting\EC\2017-07-26-refined-times.txt</v>
      </c>
      <c r="AI178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{"issue":{"subject":"","project_id":79,"tracker_id":40,"status_id":1,"priority_id":2,"assigned_to_id":23,"start_date":"2017-07-26","description":"","custom_fields":[{"id":1,"name":"Subdivision","value":"NW"},{"id":4,"name":"Milepost","value":"5.8967"},{"id":17,"name":"Train ID","value":"821-26"},{"id":16,"name":"Locomotive ID","value":"4014"},{"id":130,"name":"Impact","value":""},{"id":150,"name":"Time of Event (Mountain Time)","value":"13:35:21"},{"id":151,"name":"Denver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4"/>
        <v>start /low /b %USERPROFILE%\Documents\GitHub\eaglep3\Utilities\DownloadLogsFromS3.py --loco 4014 --day 2017-07-26</v>
      </c>
      <c r="AN178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768</v>
      </c>
      <c r="B179" s="7">
        <v>4013</v>
      </c>
      <c r="C179" s="21" t="s">
        <v>198</v>
      </c>
      <c r="D179" s="21" t="s">
        <v>1002</v>
      </c>
      <c r="E179" s="13">
        <v>42942.567303240743</v>
      </c>
      <c r="F179" s="13">
        <v>42942.569050925929</v>
      </c>
      <c r="G179" s="7">
        <v>1</v>
      </c>
      <c r="H179" s="21" t="s">
        <v>499</v>
      </c>
      <c r="I179" s="13">
        <v>42942.581053240741</v>
      </c>
      <c r="J179" s="7">
        <v>0</v>
      </c>
      <c r="K179" s="89" t="str">
        <f>IF(ISEVEN(B179),(B179-1)&amp;"/"&amp;B179,B179&amp;"/"&amp;(B179+1))</f>
        <v>4013/4014</v>
      </c>
      <c r="L179" s="21" t="str">
        <f>VLOOKUP(A179,'Trips&amp;Operators'!$C$1:$G$99999,5,FALSE)</f>
        <v>GONZALEZ ARMANDO</v>
      </c>
      <c r="M179" s="6">
        <f>I179-F179</f>
        <v>1.2002314811979886E-2</v>
      </c>
      <c r="N179" s="7">
        <f>24*60*SUM($M179:$M179)</f>
        <v>17.283333329251036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-26T12:36:55-0600',mode:absolute,to:'2017-07-26T14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5.8654999999999999</v>
      </c>
      <c r="Z179" s="197">
        <f>RIGHT(H179,LEN(H179)-4)/10000</f>
        <v>6.8699999999999997E-2</v>
      </c>
      <c r="AA179" s="197">
        <f>ABS(Z179-Y179)</f>
        <v>5.7968000000000002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/stypes="app*4013*20170726*"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2"/>
        <v>"%USERPROFILE%\Documents\GitHub\eaglep3\Utilities\RefineRTDCRunTimes.py" --tripid 822-26 --locoid 4013 --swversion DE.1.0.9.0 --startMP 300:58655 --initTime 2017-07-26T13:36:55 --startdatetime 2017-07-26T13:39:26 --delay 1 --endMP 204:687 --enddatetime 2017-07-26T13:56:43 --enforcementcount 0 &gt;&gt;C:\Users\stu\Documents\GitHub\eaglep3-reporting\EC\2017-07-26-refined-times.txt</v>
      </c>
      <c r="AI179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{"issue":{"subject":"","project_id":79,"tracker_id":40,"status_id":1,"priority_id":2,"assigned_to_id":23,"start_date":"2017-07-26","description":"","custom_fields":[{"id":1,"name":"Subdivision","value":"NW"},{"id":4,"name":"Milepost","value":"0.0687"},{"id":17,"name":"Train ID","value":"822-26"},{"id":16,"name":"Locomotive ID","value":"4013"},{"id":130,"name":"Impact","value":""},{"id":150,"name":"Time of Event (Mountain Time)","value":"13:56:43"},{"id":151,"name":"Denver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4"/>
        <v>start /low /b %USERPROFILE%\Documents\GitHub\eaglep3\Utilities\DownloadLogsFromS3.py --loco 4013 --day 2017-07-26</v>
      </c>
      <c r="AN179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773</v>
      </c>
      <c r="B180" s="7">
        <v>4014</v>
      </c>
      <c r="C180" s="21" t="s">
        <v>198</v>
      </c>
      <c r="D180" s="21" t="s">
        <v>539</v>
      </c>
      <c r="E180" s="13">
        <v>42942.591527777775</v>
      </c>
      <c r="F180" s="13">
        <v>42942.598113425927</v>
      </c>
      <c r="G180" s="7">
        <v>1</v>
      </c>
      <c r="H180" s="21" t="s">
        <v>1003</v>
      </c>
      <c r="I180" s="13">
        <v>42942.608043981483</v>
      </c>
      <c r="J180" s="7">
        <v>0</v>
      </c>
      <c r="K180" s="89" t="str">
        <f>IF(ISEVEN(B180),(B180-1)&amp;"/"&amp;B180,B180&amp;"/"&amp;(B180+1))</f>
        <v>4013/4014</v>
      </c>
      <c r="L180" s="21" t="str">
        <f>VLOOKUP(A180,'Trips&amp;Operators'!$C$1:$G$99999,5,FALSE)</f>
        <v>GONZALEZ ARMANDO</v>
      </c>
      <c r="M180" s="6">
        <f>I180-F180</f>
        <v>9.930555555911269E-3</v>
      </c>
      <c r="N180" s="7">
        <f>24*60*SUM($M180:$M180)</f>
        <v>14.300000000512227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-26T13:11:48-0600',mode:absolute,to:'2017-07-26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9.9299999999999999E-2</v>
      </c>
      <c r="Z180" s="197">
        <f>RIGHT(H180,LEN(H180)-4)/10000</f>
        <v>5.8959999999999999</v>
      </c>
      <c r="AA180" s="197">
        <f>ABS(Z180-Y180)</f>
        <v>5.7966999999999995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/stypes="app*4014*20170726*" /stext=" 20:.+((SYSTEM_STATE.+slice.+state.+changed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2"/>
        <v>"%USERPROFILE%\Documents\GitHub\eaglep3\Utilities\RefineRTDCRunTimes.py" --tripid 823-26 --locoid 4014 --swversion DE.1.0.9.0 --startMP 204:993 --initTime 2017-07-26T14:11:48 --startdatetime 2017-07-26T14:21:17 --delay 1 --endMP 300:58960 --enddatetime 2017-07-26T14:35:35 --enforcementcount 0 &gt;&gt;C:\Users\stu\Documents\GitHub\eaglep3-reporting\EC\2017-07-26-refined-times.txt</v>
      </c>
      <c r="AI180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{"issue":{"subject":"","project_id":79,"tracker_id":40,"status_id":1,"priority_id":2,"assigned_to_id":23,"start_date":"2017-07-26","description":"","custom_fields":[{"id":1,"name":"Subdivision","value":"NW"},{"id":4,"name":"Milepost","value":"5.896"},{"id":17,"name":"Train ID","value":"823-26"},{"id":16,"name":"Locomotive ID","value":"4014"},{"id":130,"name":"Impact","value":""},{"id":150,"name":"Time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4"/>
        <v>start /low /b %USERPROFILE%\Documents\GitHub\eaglep3\Utilities\DownloadLogsFromS3.py --loco 4014 --day 2017-07-26</v>
      </c>
      <c r="AN180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776</v>
      </c>
      <c r="B181" s="7">
        <v>4013</v>
      </c>
      <c r="C181" s="21" t="s">
        <v>198</v>
      </c>
      <c r="D181" s="21" t="s">
        <v>1004</v>
      </c>
      <c r="E181" s="13">
        <v>42942.609027777777</v>
      </c>
      <c r="F181" s="13">
        <v>42942.610810185186</v>
      </c>
      <c r="G181" s="7">
        <v>1</v>
      </c>
      <c r="H181" s="21" t="s">
        <v>1005</v>
      </c>
      <c r="I181" s="13">
        <v>42942.621701388889</v>
      </c>
      <c r="J181" s="7">
        <v>0</v>
      </c>
      <c r="K181" s="89" t="str">
        <f>IF(ISEVEN(B181),(B181-1)&amp;"/"&amp;B181,B181&amp;"/"&amp;(B181+1))</f>
        <v>4013/4014</v>
      </c>
      <c r="L181" s="21" t="str">
        <f>VLOOKUP(A181,'Trips&amp;Operators'!$C$1:$G$99999,5,FALSE)</f>
        <v>GONZALEZ ARMANDO</v>
      </c>
      <c r="M181" s="6">
        <f>I181-F181</f>
        <v>1.0891203703067731E-2</v>
      </c>
      <c r="N181" s="7">
        <f>24*60*SUM($M181:$M181)</f>
        <v>15.683333332417533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-26T13:37:00-0600',mode:absolute,to:'2017-07-26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5.8648999999999996</v>
      </c>
      <c r="Z181" s="197">
        <f>RIGHT(H181,LEN(H181)-4)/10000</f>
        <v>6.9099999999999995E-2</v>
      </c>
      <c r="AA181" s="197">
        <f>ABS(Z181-Y181)</f>
        <v>5.7957999999999998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/stypes="app*4013*20170726*"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2"/>
        <v>"%USERPROFILE%\Documents\GitHub\eaglep3\Utilities\RefineRTDCRunTimes.py" --tripid 824-26 --locoid 4013 --swversion DE.1.0.9.0 --startMP 300:58649 --initTime 2017-07-26T14:37:00 --startdatetime 2017-07-26T14:39:34 --delay 1 --endMP 204:691 --enddatetime 2017-07-26T14:55:15 --enforcementcount 0 &gt;&gt;C:\Users\stu\Documents\GitHub\eaglep3-reporting\EC\2017-07-26-refined-times.txt</v>
      </c>
      <c r="AI181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{"issue":{"subject":"","project_id":79,"tracker_id":40,"status_id":1,"priority_id":2,"assigned_to_id":23,"start_date":"2017-07-26","description":"","custom_fields":[{"id":1,"name":"Subdivision","value":"NW"},{"id":4,"name":"Milepost","value":"0.0691"},{"id":17,"name":"Train ID","value":"824-26"},{"id":16,"name":"Locomotive ID","value":"4013"},{"id":130,"name":"Impact","value":""},{"id":150,"name":"Time of Event (Mountain Time)","value":"14:55:15"},{"id":151,"name":"Denver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4"/>
        <v>start /low /b %USERPROFILE%\Documents\GitHub\eaglep3\Utilities\DownloadLogsFromS3.py --loco 4013 --day 2017-07-26</v>
      </c>
      <c r="AN181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783</v>
      </c>
      <c r="B182" s="7">
        <v>4014</v>
      </c>
      <c r="C182" s="21" t="s">
        <v>198</v>
      </c>
      <c r="D182" s="21" t="s">
        <v>537</v>
      </c>
      <c r="E182" s="13">
        <v>42942.634942129633</v>
      </c>
      <c r="F182" s="13">
        <v>42942.639756944445</v>
      </c>
      <c r="G182" s="7">
        <v>1</v>
      </c>
      <c r="H182" s="21" t="s">
        <v>989</v>
      </c>
      <c r="I182" s="13">
        <v>42942.649710648147</v>
      </c>
      <c r="J182" s="7">
        <v>0</v>
      </c>
      <c r="K182" s="89" t="str">
        <f>IF(ISEVEN(B182),(B182-1)&amp;"/"&amp;B182,B182&amp;"/"&amp;(B182+1))</f>
        <v>4013/4014</v>
      </c>
      <c r="L182" s="21" t="str">
        <f>VLOOKUP(A182,'Trips&amp;Operators'!$C$1:$G$99999,5,FALSE)</f>
        <v>GONZALEZ ARMANDO</v>
      </c>
      <c r="M182" s="6">
        <f>I182-F182</f>
        <v>9.9537037021946162E-3</v>
      </c>
      <c r="N182" s="7">
        <f>24*60*SUM($M182:$M182)</f>
        <v>14.333333331160247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-26T14:14:19-0600',mode:absolute,to:'2017-07-26T16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9.7600000000000006E-2</v>
      </c>
      <c r="Z182" s="197">
        <f>RIGHT(H182,LEN(H182)-4)/10000</f>
        <v>5.8956</v>
      </c>
      <c r="AA182" s="197">
        <f>ABS(Z182-Y182)</f>
        <v>5.798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/stypes="app*4014*20170726*" /stext=" 21:.+((SYSTEM_STATE.+slice.+state.+changed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2"/>
        <v>"%USERPROFILE%\Documents\GitHub\eaglep3\Utilities\RefineRTDCRunTimes.py" --tripid 825-26 --locoid 4014 --swversion DE.1.0.9.0 --startMP 204:976 --initTime 2017-07-26T15:14:19 --startdatetime 2017-07-26T15:21:15 --delay 1 --endMP 300:58956 --enddatetime 2017-07-26T15:35:35 --enforcementcount 0 &gt;&gt;C:\Users\stu\Documents\GitHub\eaglep3-reporting\EC\2017-07-26-refined-times.txt</v>
      </c>
      <c r="AI182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{"issue":{"subject":"","project_id":79,"tracker_id":40,"status_id":1,"priority_id":2,"assigned_to_id":23,"start_date":"2017-07-26","description":"","custom_fields":[{"id":1,"name":"Subdivision","value":"NW"},{"id":4,"name":"Milepost","value":"5.8956"},{"id":17,"name":"Train ID","value":"825-26"},{"id":16,"name":"Locomotive ID","value":"4014"},{"id":130,"name":"Impact","value":""},{"id":150,"name":"Time of Event (Mountain Time)","value":"15:35:35"},{"id":151,"name":"Denver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4"/>
        <v>start /low /b %USERPROFILE%\Documents\GitHub\eaglep3\Utilities\DownloadLogsFromS3.py --loco 4014 --day 2017-07-26</v>
      </c>
      <c r="AN182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784</v>
      </c>
      <c r="B183" s="7">
        <v>4013</v>
      </c>
      <c r="C183" s="21" t="s">
        <v>198</v>
      </c>
      <c r="D183" s="21" t="s">
        <v>1006</v>
      </c>
      <c r="E183" s="13">
        <v>42942.650729166664</v>
      </c>
      <c r="F183" s="13">
        <v>42942.652280092596</v>
      </c>
      <c r="G183" s="7">
        <v>1</v>
      </c>
      <c r="H183" s="21" t="s">
        <v>996</v>
      </c>
      <c r="I183" s="13">
        <v>42942.663865740738</v>
      </c>
      <c r="J183" s="7">
        <v>0</v>
      </c>
      <c r="K183" s="89" t="str">
        <f>IF(ISEVEN(B183),(B183-1)&amp;"/"&amp;B183,B183&amp;"/"&amp;(B183+1))</f>
        <v>4013/4014</v>
      </c>
      <c r="L183" s="21" t="str">
        <f>VLOOKUP(A183,'Trips&amp;Operators'!$C$1:$G$99999,5,FALSE)</f>
        <v>GONZALEZ ARMANDO</v>
      </c>
      <c r="M183" s="6">
        <f>I183-F183</f>
        <v>1.1585648142499849E-2</v>
      </c>
      <c r="N183" s="7">
        <f>24*60*SUM($M183:$M183)</f>
        <v>16.683333325199783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-26T14:37:03-0600',mode:absolute,to:'2017-07-26T16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5.8643000000000001</v>
      </c>
      <c r="Z183" s="197">
        <f>RIGHT(H183,LEN(H183)-4)/10000</f>
        <v>6.7299999999999999E-2</v>
      </c>
      <c r="AA183" s="197">
        <f>ABS(Z183-Y183)</f>
        <v>5.7969999999999997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/stypes="app*4013*20170726*"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2"/>
        <v>"%USERPROFILE%\Documents\GitHub\eaglep3\Utilities\RefineRTDCRunTimes.py" --tripid 826-26 --locoid 4013 --swversion DE.1.0.9.0 --startMP 300:58643 --initTime 2017-07-26T15:37:03 --startdatetime 2017-07-26T15:39:17 --delay 1 --endMP 204:673 --enddatetime 2017-07-26T15:55:58 --enforcementcount 0 &gt;&gt;C:\Users\stu\Documents\GitHub\eaglep3-reporting\EC\2017-07-26-refined-times.txt</v>
      </c>
      <c r="AI183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{"issue":{"subject":"","project_id":79,"tracker_id":40,"status_id":1,"priority_id":2,"assigned_to_id":23,"start_date":"2017-07-26","description":"","custom_fields":[{"id":1,"name":"Subdivision","value":"NW"},{"id":4,"name":"Milepost","value":"0.0673"},{"id":17,"name":"Train ID","value":"826-26"},{"id":16,"name":"Locomotive ID","value":"4013"},{"id":130,"name":"Impact","value":""},{"id":150,"name":"Time of Event (Mountain Time)","value":"15:55:58"},{"id":151,"name":"Denver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4"/>
        <v>start /low /b %USERPROFILE%\Documents\GitHub\eaglep3\Utilities\DownloadLogsFromS3.py --loco 4013 --day 2017-07-26</v>
      </c>
      <c r="AN183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788</v>
      </c>
      <c r="B184" s="7">
        <v>4046</v>
      </c>
      <c r="C184" s="21" t="s">
        <v>198</v>
      </c>
      <c r="D184" s="21" t="s">
        <v>1007</v>
      </c>
      <c r="E184" s="13">
        <v>42942.658263888887</v>
      </c>
      <c r="F184" s="13">
        <v>42942.660682870373</v>
      </c>
      <c r="G184" s="7">
        <v>1</v>
      </c>
      <c r="H184" s="21" t="s">
        <v>1008</v>
      </c>
      <c r="I184" s="13">
        <v>42942.669768518521</v>
      </c>
      <c r="J184" s="7">
        <v>0</v>
      </c>
      <c r="K184" s="89" t="str">
        <f>IF(ISEVEN(B184),(B184-1)&amp;"/"&amp;B184,B184&amp;"/"&amp;(B184+1))</f>
        <v>4045/4046</v>
      </c>
      <c r="L184" s="21" t="str">
        <f>VLOOKUP(A184,'Trips&amp;Operators'!$C$1:$G$99999,5,FALSE)</f>
        <v>CASSIDY BRANDON</v>
      </c>
      <c r="M184" s="6">
        <f>I184-F184</f>
        <v>9.0856481474475004E-3</v>
      </c>
      <c r="N184" s="7">
        <f>24*60*SUM($M184:$M184)</f>
        <v>13.083333332324401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-26T14:47:54-0600',mode:absolute,to:'2017-07-26T17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9.7900000000000001E-2</v>
      </c>
      <c r="Z184" s="197">
        <f>RIGHT(H184,LEN(H184)-4)/10000</f>
        <v>5.8952</v>
      </c>
      <c r="AA184" s="197">
        <f>ABS(Z184-Y184)</f>
        <v>5.7972999999999999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/stypes="app*4046*20170726*" /stext=" 22:.+((SYSTEM_STATE.+slice.+state.+changed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2"/>
        <v>"%USERPROFILE%\Documents\GitHub\eaglep3\Utilities\RefineRTDCRunTimes.py" --tripid 827-26 --locoid 4046 --swversion DE.1.0.9.0 --startMP 204:979 --initTime 2017-07-26T15:47:54 --startdatetime 2017-07-26T15:51:23 --delay 1 --endMP 300:58952 --enddatetime 2017-07-26T16:04:28 --enforcementcount 0 &gt;&gt;C:\Users\stu\Documents\GitHub\eaglep3-reporting\EC\2017-07-26-refined-times.txt</v>
      </c>
      <c r="AI184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{"issue":{"subject":"","project_id":79,"tracker_id":40,"status_id":1,"priority_id":2,"assigned_to_id":23,"start_date":"2017-07-26","description":"","custom_fields":[{"id":1,"name":"Subdivision","value":"NW"},{"id":4,"name":"Milepost","value":"5.8952"},{"id":17,"name":"Train ID","value":"827-26"},{"id":16,"name":"Locomotive ID","value":"4046"},{"id":130,"name":"Impact","value":""},{"id":150,"name":"Time of Event (Mountain Time)","value":"16:04:28"},{"id":151,"name":"Denver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4"/>
        <v>start /low /b %USERPROFILE%\Documents\GitHub\eaglep3\Utilities\DownloadLogsFromS3.py --loco 4046 --day 2017-07-26</v>
      </c>
      <c r="AN184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790</v>
      </c>
      <c r="B185" s="7">
        <v>4045</v>
      </c>
      <c r="C185" s="21" t="s">
        <v>198</v>
      </c>
      <c r="D185" s="21" t="s">
        <v>540</v>
      </c>
      <c r="E185" s="13">
        <v>42942.670995370368</v>
      </c>
      <c r="F185" s="13">
        <v>42942.674247685187</v>
      </c>
      <c r="G185" s="7">
        <v>1</v>
      </c>
      <c r="H185" s="21" t="s">
        <v>1009</v>
      </c>
      <c r="I185" s="13">
        <v>42942.684340277781</v>
      </c>
      <c r="J185" s="7">
        <v>0</v>
      </c>
      <c r="K185" s="89" t="str">
        <f>IF(ISEVEN(B185),(B185-1)&amp;"/"&amp;B185,B185&amp;"/"&amp;(B185+1))</f>
        <v>4045/4046</v>
      </c>
      <c r="L185" s="21" t="str">
        <f>VLOOKUP(A185,'Trips&amp;Operators'!$C$1:$G$99999,5,FALSE)</f>
        <v>CASSIDY BRANDON</v>
      </c>
      <c r="M185" s="6">
        <f>I185-F185</f>
        <v>1.0092592594446614E-2</v>
      </c>
      <c r="N185" s="7">
        <f>24*60*SUM($M185:$M185)</f>
        <v>14.533333336003125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-26T15:06:14-0600',mode:absolute,to:'2017-07-26T17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5.8634000000000004</v>
      </c>
      <c r="Z185" s="197">
        <f>RIGHT(H185,LEN(H185)-4)/10000</f>
        <v>6.1499999999999999E-2</v>
      </c>
      <c r="AA185" s="197">
        <f>ABS(Z185-Y185)</f>
        <v>5.8019000000000007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/stypes="app*4045*20170726*"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2"/>
        <v>"%USERPROFILE%\Documents\GitHub\eaglep3\Utilities\RefineRTDCRunTimes.py" --tripid 828-26 --locoid 4045 --swversion DE.1.0.9.0 --startMP 300:58634 --initTime 2017-07-26T16:06:14 --startdatetime 2017-07-26T16:10:55 --delay 1 --endMP 204:615 --enddatetime 2017-07-26T16:25:27 --enforcementcount 0 &gt;&gt;C:\Users\stu\Documents\GitHub\eaglep3-reporting\EC\2017-07-26-refined-times.txt</v>
      </c>
      <c r="AI185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{"issue":{"subject":"","project_id":79,"tracker_id":40,"status_id":1,"priority_id":2,"assigned_to_id":23,"start_date":"2017-07-26","description":"","custom_fields":[{"id":1,"name":"Subdivision","value":"NW"},{"id":4,"name":"Milepost","value":"0.0615"},{"id":17,"name":"Train ID","value":"828-26"},{"id":16,"name":"Locomotive ID","value":"4045"},{"id":130,"name":"Impact","value":""},{"id":150,"name":"Time of Event (Mountain Time)","value":"16:25:27"},{"id":151,"name":"Denver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4"/>
        <v>start /low /b %USERPROFILE%\Documents\GitHub\eaglep3\Utilities\DownloadLogsFromS3.py --loco 4045 --day 2017-07-26</v>
      </c>
      <c r="AN185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793</v>
      </c>
      <c r="B186" s="7">
        <v>4014</v>
      </c>
      <c r="C186" s="21" t="s">
        <v>198</v>
      </c>
      <c r="D186" s="21" t="s">
        <v>1010</v>
      </c>
      <c r="E186" s="13">
        <v>42942.677939814814</v>
      </c>
      <c r="F186" s="13">
        <v>42942.68167824074</v>
      </c>
      <c r="G186" s="7">
        <v>1</v>
      </c>
      <c r="H186" s="21" t="s">
        <v>998</v>
      </c>
      <c r="I186" s="13">
        <v>42942.691203703704</v>
      </c>
      <c r="J186" s="7">
        <v>0</v>
      </c>
      <c r="K186" s="89" t="str">
        <f>IF(ISEVEN(B186),(B186-1)&amp;"/"&amp;B186,B186&amp;"/"&amp;(B186+1))</f>
        <v>4013/4014</v>
      </c>
      <c r="L186" s="21" t="str">
        <f>VLOOKUP(A186,'Trips&amp;Operators'!$C$1:$G$99999,5,FALSE)</f>
        <v>GONZALEZ ARMANDO</v>
      </c>
      <c r="M186" s="6">
        <f>I186-F186</f>
        <v>9.5254629632108845E-3</v>
      </c>
      <c r="N186" s="7">
        <f>24*60*SUM($M186:$M186)</f>
        <v>13.716666667023674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-26T15:16:14-0600',mode:absolute,to:'2017-07-26T17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9.74E-2</v>
      </c>
      <c r="Z186" s="197">
        <f>RIGHT(H186,LEN(H186)-4)/10000</f>
        <v>5.8954000000000004</v>
      </c>
      <c r="AA186" s="197">
        <f>ABS(Z186-Y186)</f>
        <v>5.798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/stypes="app*4014*20170726*"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2"/>
        <v>"%USERPROFILE%\Documents\GitHub\eaglep3\Utilities\RefineRTDCRunTimes.py" --tripid 829-26 --locoid 4014 --swversion DE.1.0.9.0 --startMP 204:974 --initTime 2017-07-26T16:16:14 --startdatetime 2017-07-26T16:21:37 --delay 1 --endMP 300:58954 --enddatetime 2017-07-26T16:35:20 --enforcementcount 0 &gt;&gt;C:\Users\stu\Documents\GitHub\eaglep3-reporting\EC\2017-07-26-refined-times.txt</v>
      </c>
      <c r="AI186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{"issue":{"subject":"","project_id":79,"tracker_id":40,"status_id":1,"priority_id":2,"assigned_to_id":23,"start_date":"2017-07-26","description":"","custom_fields":[{"id":1,"name":"Subdivision","value":"NW"},{"id":4,"name":"Milepost","value":"5.8954"},{"id":17,"name":"Train ID","value":"829-26"},{"id":16,"name":"Locomotive ID","value":"4014"},{"id":130,"name":"Impact","value":""},{"id":150,"name":"Time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4"/>
        <v>start /low /b %USERPROFILE%\Documents\GitHub\eaglep3\Utilities\DownloadLogsFromS3.py --loco 4014 --day 2017-07-26</v>
      </c>
      <c r="AN186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797</v>
      </c>
      <c r="B187" s="7">
        <v>4013</v>
      </c>
      <c r="C187" s="21" t="s">
        <v>198</v>
      </c>
      <c r="D187" s="21" t="s">
        <v>1011</v>
      </c>
      <c r="E187" s="13">
        <v>42942.692164351851</v>
      </c>
      <c r="F187" s="13">
        <v>42942.693680555552</v>
      </c>
      <c r="G187" s="7">
        <v>1</v>
      </c>
      <c r="H187" s="21" t="s">
        <v>478</v>
      </c>
      <c r="I187" s="13">
        <v>42942.705312500002</v>
      </c>
      <c r="J187" s="7">
        <v>0</v>
      </c>
      <c r="K187" s="89" t="str">
        <f>IF(ISEVEN(B187),(B187-1)&amp;"/"&amp;B187,B187&amp;"/"&amp;(B187+1))</f>
        <v>4013/4014</v>
      </c>
      <c r="L187" s="21" t="str">
        <f>VLOOKUP(A187,'Trips&amp;Operators'!$C$1:$G$99999,5,FALSE)</f>
        <v>GONZALEZ ARMANDO</v>
      </c>
      <c r="M187" s="6">
        <f>I187-F187</f>
        <v>1.1631944449618459E-2</v>
      </c>
      <c r="N187" s="7">
        <f>24*60*SUM($M187:$M187)</f>
        <v>16.750000007450581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-26T15:36:43-0600',mode:absolute,to:'2017-07-26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5.8644999999999996</v>
      </c>
      <c r="Z187" s="197">
        <f>RIGHT(H187,LEN(H187)-4)/10000</f>
        <v>6.8400000000000002E-2</v>
      </c>
      <c r="AA187" s="197">
        <f>ABS(Z187-Y187)</f>
        <v>5.7961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/stypes="app*4013*20170726*"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2"/>
        <v>"%USERPROFILE%\Documents\GitHub\eaglep3\Utilities\RefineRTDCRunTimes.py" --tripid 830-26 --locoid 4013 --swversion DE.1.0.9.0 --startMP 300:58645 --initTime 2017-07-26T16:36:43 --startdatetime 2017-07-26T16:38:54 --delay 1 --endMP 204:684 --enddatetime 2017-07-26T16:55:39 --enforcementcount 0 &gt;&gt;C:\Users\stu\Documents\GitHub\eaglep3-reporting\EC\2017-07-26-refined-times.txt</v>
      </c>
      <c r="AI187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{"issue":{"subject":"","project_id":79,"tracker_id":40,"status_id":1,"priority_id":2,"assigned_to_id":23,"start_date":"2017-07-26","description":"","custom_fields":[{"id":1,"name":"Subdivision","value":"NW"},{"id":4,"name":"Milepost","value":"0.0684"},{"id":17,"name":"Train ID","value":"830-26"},{"id":16,"name":"Locomotive ID","value":"4013"},{"id":130,"name":"Impact","value":""},{"id":150,"name":"Time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4"/>
        <v>start /low /b %USERPROFILE%\Documents\GitHub\eaglep3\Utilities\DownloadLogsFromS3.py --loco 4013 --day 2017-07-26</v>
      </c>
      <c r="AN187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802</v>
      </c>
      <c r="B188" s="7">
        <v>4046</v>
      </c>
      <c r="C188" s="21" t="s">
        <v>198</v>
      </c>
      <c r="D188" s="21" t="s">
        <v>1012</v>
      </c>
      <c r="E188" s="13">
        <v>42942.698206018518</v>
      </c>
      <c r="F188" s="13">
        <v>42942.702407407407</v>
      </c>
      <c r="G188" s="7">
        <v>1</v>
      </c>
      <c r="H188" s="21" t="s">
        <v>1013</v>
      </c>
      <c r="I188" s="13">
        <v>42942.711574074077</v>
      </c>
      <c r="J188" s="7">
        <v>0</v>
      </c>
      <c r="K188" s="89" t="str">
        <f>IF(ISEVEN(B188),(B188-1)&amp;"/"&amp;B188,B188&amp;"/"&amp;(B188+1))</f>
        <v>4045/4046</v>
      </c>
      <c r="L188" s="21" t="str">
        <f>VLOOKUP(A188,'Trips&amp;Operators'!$C$1:$G$99999,5,FALSE)</f>
        <v>CASSIDY BRANDON</v>
      </c>
      <c r="M188" s="6">
        <f>I188-F188</f>
        <v>9.1666666703531519E-3</v>
      </c>
      <c r="N188" s="7">
        <f>24*60*SUM($M188:$M188)</f>
        <v>13.200000005308539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-26T15:45:25-0600',mode:absolute,to:'2017-07-26T18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9.2999999999999999E-2</v>
      </c>
      <c r="Z188" s="197">
        <f>RIGHT(H188,LEN(H188)-4)/10000</f>
        <v>5.8920000000000003</v>
      </c>
      <c r="AA188" s="197">
        <f>ABS(Z188-Y188)</f>
        <v>5.7990000000000004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/stypes="app*4046*20170726*" /stext=" 23:.+((SYSTEM_STATE.+slice.+state.+changed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2"/>
        <v>"%USERPROFILE%\Documents\GitHub\eaglep3\Utilities\RefineRTDCRunTimes.py" --tripid 831-26 --locoid 4046 --swversion DE.1.0.9.0 --startMP 204:930 --initTime 2017-07-26T16:45:25 --startdatetime 2017-07-26T16:51:28 --delay 1 --endMP 300:58920 --enddatetime 2017-07-26T17:04:40 --enforcementcount 0 &gt;&gt;C:\Users\stu\Documents\GitHub\eaglep3-reporting\EC\2017-07-26-refined-times.txt</v>
      </c>
      <c r="AI188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{"issue":{"subject":"","project_id":79,"tracker_id":40,"status_id":1,"priority_id":2,"assigned_to_id":23,"start_date":"2017-07-26","description":"","custom_fields":[{"id":1,"name":"Subdivision","value":"NW"},{"id":4,"name":"Milepost","value":"5.892"},{"id":17,"name":"Train ID","value":"831-26"},{"id":16,"name":"Locomotive ID","value":"4046"},{"id":130,"name":"Impact","value":""},{"id":150,"name":"Time of Event (Mountain Time)","value":"17:04:40"},{"id":151,"name":"Denver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4"/>
        <v>start /low /b %USERPROFILE%\Documents\GitHub\eaglep3\Utilities\DownloadLogsFromS3.py --loco 4046 --day 2017-07-26</v>
      </c>
      <c r="AN188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649</v>
      </c>
      <c r="B189" s="7">
        <v>4045</v>
      </c>
      <c r="C189" s="21" t="s">
        <v>198</v>
      </c>
      <c r="D189" s="21" t="s">
        <v>1014</v>
      </c>
      <c r="E189" s="13">
        <v>42942.712824074071</v>
      </c>
      <c r="F189" s="13">
        <v>42942.716226851851</v>
      </c>
      <c r="G189" s="7">
        <v>1</v>
      </c>
      <c r="H189" s="21" t="s">
        <v>1015</v>
      </c>
      <c r="I189" s="13">
        <v>42942.725671296299</v>
      </c>
      <c r="J189" s="7">
        <v>0</v>
      </c>
      <c r="K189" s="89" t="str">
        <f>IF(ISEVEN(B189),(B189-1)&amp;"/"&amp;B189,B189&amp;"/"&amp;(B189+1))</f>
        <v>4045/4046</v>
      </c>
      <c r="L189" s="21" t="str">
        <f>VLOOKUP(A189,'Trips&amp;Operators'!$C$1:$G$99999,5,FALSE)</f>
        <v>CASSIDY BRANDON</v>
      </c>
      <c r="M189" s="6">
        <f>I189-F189</f>
        <v>9.4444444475811906E-3</v>
      </c>
      <c r="N189" s="7">
        <f>24*60*SUM($M189:$M189)</f>
        <v>13.600000004516914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-26T16:06:28-0600',mode:absolute,to:'2017-07-26T18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5.8596000000000004</v>
      </c>
      <c r="Z189" s="197">
        <f>RIGHT(H189,LEN(H189)-4)/10000</f>
        <v>7.7799999999999994E-2</v>
      </c>
      <c r="AA189" s="197">
        <f>ABS(Z189-Y189)</f>
        <v>5.7818000000000005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/stypes="app*4045*20170726*"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2"/>
        <v>"%USERPROFILE%\Documents\GitHub\eaglep3\Utilities\RefineRTDCRunTimes.py" --tripid 832-26 --locoid 4045 --swversion DE.1.0.9.0 --startMP 300:58596 --initTime 2017-07-26T17:06:28 --startdatetime 2017-07-26T17:11:22 --delay 1 --endMP 204:778 --enddatetime 2017-07-26T17:24:58 --enforcementcount 0 &gt;&gt;C:\Users\stu\Documents\GitHub\eaglep3-reporting\EC\2017-07-26-refined-times.txt</v>
      </c>
      <c r="AI189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{"issue":{"subject":"","project_id":79,"tracker_id":40,"status_id":1,"priority_id":2,"assigned_to_id":23,"start_date":"2017-07-26","description":"","custom_fields":[{"id":1,"name":"Subdivision","value":"NW"},{"id":4,"name":"Milepost","value":"0.0778"},{"id":17,"name":"Train ID","value":"832-26"},{"id":16,"name":"Locomotive ID","value":"4045"},{"id":130,"name":"Impact","value":""},{"id":150,"name":"Time of Event (Mountain Time)","value":"17:24:58"},{"id":151,"name":"Denver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4"/>
        <v>start /low /b %USERPROFILE%\Documents\GitHub\eaglep3\Utilities\DownloadLogsFromS3.py --loco 4045 --day 2017-07-26</v>
      </c>
      <c r="AN189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807</v>
      </c>
      <c r="B190" s="7">
        <v>4014</v>
      </c>
      <c r="C190" s="21" t="s">
        <v>198</v>
      </c>
      <c r="D190" s="21" t="s">
        <v>1016</v>
      </c>
      <c r="E190" s="13">
        <v>42942.719513888886</v>
      </c>
      <c r="F190" s="13">
        <v>42942.723113425927</v>
      </c>
      <c r="G190" s="7">
        <v>1</v>
      </c>
      <c r="H190" s="21" t="s">
        <v>1017</v>
      </c>
      <c r="I190" s="13">
        <v>42942.733784722222</v>
      </c>
      <c r="J190" s="7">
        <v>0</v>
      </c>
      <c r="K190" s="89" t="str">
        <f>IF(ISEVEN(B190),(B190-1)&amp;"/"&amp;B190,B190&amp;"/"&amp;(B190+1))</f>
        <v>4013/4014</v>
      </c>
      <c r="L190" s="21" t="str">
        <f>VLOOKUP(A190,'Trips&amp;Operators'!$C$1:$G$99999,5,FALSE)</f>
        <v>GONZALEZ ARMANDO</v>
      </c>
      <c r="M190" s="6">
        <f>I190-F190</f>
        <v>1.0671296295186039E-2</v>
      </c>
      <c r="N190" s="7">
        <f>24*60*SUM($M190:$M190)</f>
        <v>15.366666665067896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-26T16:16:06-0600',mode:absolute,to:'2017-07-26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9.8299999999999998E-2</v>
      </c>
      <c r="Z190" s="197">
        <f>RIGHT(H190,LEN(H190)-4)/10000</f>
        <v>5.8963000000000001</v>
      </c>
      <c r="AA190" s="197">
        <f>ABS(Z190-Y190)</f>
        <v>5.798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/stypes="app*4014*20170726*"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2"/>
        <v>"%USERPROFILE%\Documents\GitHub\eaglep3\Utilities\RefineRTDCRunTimes.py" --tripid 833-26 --locoid 4014 --swversion DE.1.0.9.0 --startMP 204:983 --initTime 2017-07-26T17:16:06 --startdatetime 2017-07-26T17:21:17 --delay 1 --endMP 300:58963 --enddatetime 2017-07-26T17:36:39 --enforcementcount 0 &gt;&gt;C:\Users\stu\Documents\GitHub\eaglep3-reporting\EC\2017-07-26-refined-times.txt</v>
      </c>
      <c r="AI190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{"issue":{"subject":"","project_id":79,"tracker_id":40,"status_id":1,"priority_id":2,"assigned_to_id":23,"start_date":"2017-07-26","description":"","custom_fields":[{"id":1,"name":"Subdivision","value":"NW"},{"id":4,"name":"Milepost","value":"5.8963"},{"id":17,"name":"Train ID","value":"833-26"},{"id":16,"name":"Locomotive ID","value":"4014"},{"id":130,"name":"Impact","value":""},{"id":150,"name":"Time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4"/>
        <v>start /low /b %USERPROFILE%\Documents\GitHub\eaglep3\Utilities\DownloadLogsFromS3.py --loco 4014 --day 2017-07-26</v>
      </c>
      <c r="AN190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810</v>
      </c>
      <c r="B191" s="7">
        <v>4013</v>
      </c>
      <c r="C191" s="21" t="s">
        <v>198</v>
      </c>
      <c r="D191" s="21" t="s">
        <v>1018</v>
      </c>
      <c r="E191" s="13">
        <v>42942.734629629631</v>
      </c>
      <c r="F191" s="13">
        <v>42942.735868055555</v>
      </c>
      <c r="G191" s="7">
        <v>1</v>
      </c>
      <c r="H191" s="21" t="s">
        <v>1019</v>
      </c>
      <c r="I191" s="13">
        <v>42942.747037037036</v>
      </c>
      <c r="J191" s="7">
        <v>0</v>
      </c>
      <c r="K191" s="89" t="str">
        <f>IF(ISEVEN(B191),(B191-1)&amp;"/"&amp;B191,B191&amp;"/"&amp;(B191+1))</f>
        <v>4013/4014</v>
      </c>
      <c r="L191" s="21" t="str">
        <f>VLOOKUP(A191,'Trips&amp;Operators'!$C$1:$G$99999,5,FALSE)</f>
        <v>GONZALEZ ARMANDO</v>
      </c>
      <c r="M191" s="6">
        <f>I191-F191</f>
        <v>1.116898148029577E-2</v>
      </c>
      <c r="N191" s="7">
        <f>24*60*SUM($M191:$M191)</f>
        <v>16.083333331625909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-26T16:37:52-0600',mode:absolute,to:'2017-07-26T18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5.8640999999999996</v>
      </c>
      <c r="Z191" s="197">
        <f>RIGHT(H191,LEN(H191)-4)/10000</f>
        <v>6.9599999999999995E-2</v>
      </c>
      <c r="AA191" s="197">
        <f>ABS(Z191-Y191)</f>
        <v>5.7944999999999993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/stypes="app*4013*20170726*"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2"/>
        <v>"%USERPROFILE%\Documents\GitHub\eaglep3\Utilities\RefineRTDCRunTimes.py" --tripid 834-26 --locoid 4013 --swversion DE.1.0.9.0 --startMP 300:58641 --initTime 2017-07-26T17:37:52 --startdatetime 2017-07-26T17:39:39 --delay 1 --endMP 204:696 --enddatetime 2017-07-26T17:55:44 --enforcementcount 0 &gt;&gt;C:\Users\stu\Documents\GitHub\eaglep3-reporting\EC\2017-07-26-refined-times.txt</v>
      </c>
      <c r="AI191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{"issue":{"subject":"","project_id":79,"tracker_id":40,"status_id":1,"priority_id":2,"assigned_to_id":23,"start_date":"2017-07-26","description":"","custom_fields":[{"id":1,"name":"Subdivision","value":"NW"},{"id":4,"name":"Milepost","value":"0.0696"},{"id":17,"name":"Train ID","value":"834-26"},{"id":16,"name":"Locomotive ID","value":"4013"},{"id":130,"name":"Impact","value":""},{"id":150,"name":"Time of Event (Mountain Time)","value":"17:55:44"},{"id":151,"name":"Denver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4"/>
        <v>start /low /b %USERPROFILE%\Documents\GitHub\eaglep3\Utilities\DownloadLogsFromS3.py --loco 4013 --day 2017-07-26</v>
      </c>
      <c r="AN191" s="151" t="str">
        <f t="shared" si="15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650</v>
      </c>
      <c r="B192" s="7">
        <v>4046</v>
      </c>
      <c r="C192" s="21" t="s">
        <v>198</v>
      </c>
      <c r="D192" s="21" t="s">
        <v>1020</v>
      </c>
      <c r="E192" s="13">
        <v>42942.738726851851</v>
      </c>
      <c r="F192" s="13">
        <v>42942.744131944448</v>
      </c>
      <c r="G192" s="7">
        <v>1</v>
      </c>
      <c r="H192" s="21" t="s">
        <v>1021</v>
      </c>
      <c r="I192" s="13">
        <v>42942.75277777778</v>
      </c>
      <c r="J192" s="7">
        <v>0</v>
      </c>
      <c r="K192" s="89" t="str">
        <f>IF(ISEVEN(B192),(B192-1)&amp;"/"&amp;B192,B192&amp;"/"&amp;(B192+1))</f>
        <v>4045/4046</v>
      </c>
      <c r="L192" s="21" t="str">
        <f>VLOOKUP(A192,'Trips&amp;Operators'!$C$1:$G$99999,5,FALSE)</f>
        <v>CASSIDY BRANDON</v>
      </c>
      <c r="M192" s="6">
        <f>I192-F192</f>
        <v>8.6458333316841163E-3</v>
      </c>
      <c r="N192" s="7">
        <f>24*60*SUM($M192:$M192)</f>
        <v>12.449999997625127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-26T16:43:46-0600',mode:absolute,to:'2017-07-26T19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0.1079</v>
      </c>
      <c r="Z192" s="197">
        <f>RIGHT(H192,LEN(H192)-4)/10000</f>
        <v>5.8897000000000004</v>
      </c>
      <c r="AA192" s="197">
        <f>ABS(Z192-Y192)</f>
        <v>5.7818000000000005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/stypes="app*4046*20170727*" /stext=" 00:.+((SYSTEM_STATE.+slice.+state.+changed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2"/>
        <v>"%USERPROFILE%\Documents\GitHub\eaglep3\Utilities\RefineRTDCRunTimes.py" --tripid 835-26 --locoid 4046 --swversion DE.1.0.9.0 --startMP 204:1079 --initTime 2017-07-26T17:43:46 --startdatetime 2017-07-26T17:51:33 --delay 1 --endMP 300:58897 --enddatetime 2017-07-26T18:04:00 --enforcementcount 0 &gt;&gt;C:\Users\stu\Documents\GitHub\eaglep3-reporting\EC\2017-07-26-refined-times.txt</v>
      </c>
      <c r="AI192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{"issue":{"subject":"","project_id":79,"tracker_id":40,"status_id":1,"priority_id":2,"assigned_to_id":23,"start_date":"2017-07-26","description":"","custom_fields":[{"id":1,"name":"Subdivision","value":"NW"},{"id":4,"name":"Milepost","value":"5.8897"},{"id":17,"name":"Train ID","value":"835-26"},{"id":16,"name":"Locomotive ID","value":"4046"},{"id":130,"name":"Impact","value":""},{"id":150,"name":"Time of Event (Mountain Time)","value":"18:04:00"},{"id":151,"name":"Denver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4"/>
        <v>start /low /b %USERPROFILE%\Documents\GitHub\eaglep3\Utilities\DownloadLogsFromS3.py --loco 4046 --day 2017-07-26</v>
      </c>
      <c r="AN192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651</v>
      </c>
      <c r="B193" s="7">
        <v>4045</v>
      </c>
      <c r="C193" s="21" t="s">
        <v>198</v>
      </c>
      <c r="D193" s="21" t="s">
        <v>1022</v>
      </c>
      <c r="E193" s="13">
        <v>42942.754155092596</v>
      </c>
      <c r="F193" s="13">
        <v>42942.757696759261</v>
      </c>
      <c r="G193" s="7">
        <v>1</v>
      </c>
      <c r="H193" s="21" t="s">
        <v>608</v>
      </c>
      <c r="I193" s="13">
        <v>42942.767604166664</v>
      </c>
      <c r="J193" s="7">
        <v>0</v>
      </c>
      <c r="K193" s="89" t="str">
        <f>IF(ISEVEN(B193),(B193-1)&amp;"/"&amp;B193,B193&amp;"/"&amp;(B193+1))</f>
        <v>4045/4046</v>
      </c>
      <c r="L193" s="21" t="str">
        <f>VLOOKUP(A193,'Trips&amp;Operators'!$C$1:$G$99999,5,FALSE)</f>
        <v>CASSIDY BRANDON</v>
      </c>
      <c r="M193" s="6">
        <f>I193-F193</f>
        <v>9.9074074023519643E-3</v>
      </c>
      <c r="N193" s="7">
        <f>24*60*SUM($M193:$M193)</f>
        <v>14.266666659386829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-26T17:05:59-0600',mode:absolute,to:'2017-07-26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5.8586999999999998</v>
      </c>
      <c r="Z193" s="197">
        <f>RIGHT(H193,LEN(H193)-4)/10000</f>
        <v>6.1899999999999997E-2</v>
      </c>
      <c r="AA193" s="197">
        <f>ABS(Z193-Y193)</f>
        <v>5.7968000000000002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/stypes="app*4045*20170727*"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2"/>
        <v>"%USERPROFILE%\Documents\GitHub\eaglep3\Utilities\RefineRTDCRunTimes.py" --tripid 836-26 --locoid 4045 --swversion DE.1.0.9.0 --startMP 300:58587 --initTime 2017-07-26T18:05:59 --startdatetime 2017-07-26T18:11:05 --delay 1 --endMP 204:619 --enddatetime 2017-07-26T18:25:21 --enforcementcount 0 &gt;&gt;C:\Users\stu\Documents\GitHub\eaglep3-reporting\EC\2017-07-26-refined-times.txt</v>
      </c>
      <c r="AI193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{"issue":{"subject":"","project_id":79,"tracker_id":40,"status_id":1,"priority_id":2,"assigned_to_id":23,"start_date":"2017-07-26","description":"","custom_fields":[{"id":1,"name":"Subdivision","value":"NW"},{"id":4,"name":"Milepost","value":"0.0619"},{"id":17,"name":"Train ID","value":"836-26"},{"id":16,"name":"Locomotive ID","value":"4045"},{"id":130,"name":"Impact","value":""},{"id":150,"name":"Time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4"/>
        <v>start /low /b %USERPROFILE%\Documents\GitHub\eaglep3\Utilities\DownloadLogsFromS3.py --loco 4045 --day 2017-07-26</v>
      </c>
      <c r="AN193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816</v>
      </c>
      <c r="B194" s="7">
        <v>4014</v>
      </c>
      <c r="C194" s="21" t="s">
        <v>198</v>
      </c>
      <c r="D194" s="21" t="s">
        <v>479</v>
      </c>
      <c r="E194" s="13">
        <v>42942.76152777778</v>
      </c>
      <c r="F194" s="13">
        <v>42942.764861111114</v>
      </c>
      <c r="G194" s="7">
        <v>1</v>
      </c>
      <c r="H194" s="21" t="s">
        <v>602</v>
      </c>
      <c r="I194" s="13">
        <v>42942.774745370371</v>
      </c>
      <c r="J194" s="7">
        <v>0</v>
      </c>
      <c r="K194" s="89" t="str">
        <f>IF(ISEVEN(B194),(B194-1)&amp;"/"&amp;B194,B194&amp;"/"&amp;(B194+1))</f>
        <v>4013/4014</v>
      </c>
      <c r="L194" s="21" t="str">
        <f>VLOOKUP(A194,'Trips&amp;Operators'!$C$1:$G$99999,5,FALSE)</f>
        <v>GONZALEZ ARMANDO</v>
      </c>
      <c r="M194" s="6">
        <f>I194-F194</f>
        <v>9.8842592560686171E-3</v>
      </c>
      <c r="N194" s="7">
        <f>24*60*SUM($M194:$M194)</f>
        <v>14.233333328738809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-26T17:16:36-0600',mode:absolute,to:'2017-07-26T19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9.8500000000000004E-2</v>
      </c>
      <c r="Z194" s="197">
        <f>RIGHT(H194,LEN(H194)-4)/10000</f>
        <v>5.8958000000000004</v>
      </c>
      <c r="AA194" s="197">
        <f>ABS(Z194-Y194)</f>
        <v>5.7973000000000008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/stypes="app*4014*20170727*"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2"/>
        <v>"%USERPROFILE%\Documents\GitHub\eaglep3\Utilities\RefineRTDCRunTimes.py" --tripid 837-26 --locoid 4014 --swversion DE.1.0.9.0 --startMP 204:985 --initTime 2017-07-26T18:16:36 --startdatetime 2017-07-26T18:21:24 --delay 1 --endMP 300:58958 --enddatetime 2017-07-26T18:35:38 --enforcementcount 0 &gt;&gt;C:\Users\stu\Documents\GitHub\eaglep3-reporting\EC\2017-07-26-refined-times.txt</v>
      </c>
      <c r="AI194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{"issue":{"subject":"","project_id":79,"tracker_id":40,"status_id":1,"priority_id":2,"assigned_to_id":23,"start_date":"2017-07-26","description":"","custom_fields":[{"id":1,"name":"Subdivision","value":"NW"},{"id":4,"name":"Milepost","value":"5.8958"},{"id":17,"name":"Train ID","value":"837-26"},{"id":16,"name":"Locomotive ID","value":"4014"},{"id":130,"name":"Impact","value":""},{"id":150,"name":"Time of Event (Mountain Time)","value":"18:35:38"},{"id":151,"name":"Denver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4"/>
        <v>start /low /b %USERPROFILE%\Documents\GitHub\eaglep3\Utilities\DownloadLogsFromS3.py --loco 4014 --day 2017-07-26</v>
      </c>
      <c r="AN194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819</v>
      </c>
      <c r="B195" s="7">
        <v>4013</v>
      </c>
      <c r="C195" s="21" t="s">
        <v>198</v>
      </c>
      <c r="D195" s="21" t="s">
        <v>498</v>
      </c>
      <c r="E195" s="13">
        <v>42942.775868055556</v>
      </c>
      <c r="F195" s="13">
        <v>42942.777199074073</v>
      </c>
      <c r="G195" s="7">
        <v>1</v>
      </c>
      <c r="H195" s="21" t="s">
        <v>1019</v>
      </c>
      <c r="I195" s="13">
        <v>42942.788993055554</v>
      </c>
      <c r="J195" s="7">
        <v>0</v>
      </c>
      <c r="K195" s="89" t="str">
        <f>IF(ISEVEN(B195),(B195-1)&amp;"/"&amp;B195,B195&amp;"/"&amp;(B195+1))</f>
        <v>4013/4014</v>
      </c>
      <c r="L195" s="21" t="str">
        <f>VLOOKUP(A195,'Trips&amp;Operators'!$C$1:$G$99999,5,FALSE)</f>
        <v>GONZALEZ ARMANDO</v>
      </c>
      <c r="M195" s="6">
        <f>I195-F195</f>
        <v>1.1793981480877846E-2</v>
      </c>
      <c r="N195" s="7">
        <f>24*60*SUM($M195:$M195)</f>
        <v>16.983333332464099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-26T17:37:15-0600',mode:absolute,to:'2017-07-26T19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5.8635999999999999</v>
      </c>
      <c r="Z195" s="197">
        <f>RIGHT(H195,LEN(H195)-4)/10000</f>
        <v>6.9599999999999995E-2</v>
      </c>
      <c r="AA195" s="197">
        <f>ABS(Z195-Y195)</f>
        <v>5.7939999999999996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/stypes="app*4013*20170727*"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2"/>
        <v>"%USERPROFILE%\Documents\GitHub\eaglep3\Utilities\RefineRTDCRunTimes.py" --tripid 838-26 --locoid 4013 --swversion DE.1.0.9.0 --startMP 300:58636 --initTime 2017-07-26T18:37:15 --startdatetime 2017-07-26T18:39:10 --delay 1 --endMP 204:696 --enddatetime 2017-07-26T18:56:09 --enforcementcount 0 &gt;&gt;C:\Users\stu\Documents\GitHub\eaglep3-reporting\EC\2017-07-26-refined-times.txt</v>
      </c>
      <c r="AI195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{"issue":{"subject":"","project_id":79,"tracker_id":40,"status_id":1,"priority_id":2,"assigned_to_id":23,"start_date":"2017-07-26","description":"","custom_fields":[{"id":1,"name":"Subdivision","value":"NW"},{"id":4,"name":"Milepost","value":"0.0696"},{"id":17,"name":"Train ID","value":"838-26"},{"id":16,"name":"Locomotive ID","value":"4013"},{"id":130,"name":"Impact","value":""},{"id":150,"name":"Time of Event (Mountain Time)","value":"18:56:09"},{"id":151,"name":"Denver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4"/>
        <v>start /low /b %USERPROFILE%\Documents\GitHub\eaglep3\Utilities\DownloadLogsFromS3.py --loco 4013 --day 2017-07-26</v>
      </c>
      <c r="AN195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821</v>
      </c>
      <c r="B196" s="7">
        <v>4046</v>
      </c>
      <c r="C196" s="21" t="s">
        <v>198</v>
      </c>
      <c r="D196" s="21" t="s">
        <v>1023</v>
      </c>
      <c r="E196" s="13">
        <v>42942.777233796296</v>
      </c>
      <c r="F196" s="13">
        <v>42942.785624999997</v>
      </c>
      <c r="G196" s="7">
        <v>1</v>
      </c>
      <c r="H196" s="21" t="s">
        <v>602</v>
      </c>
      <c r="I196" s="13">
        <v>42942.794965277775</v>
      </c>
      <c r="J196" s="7">
        <v>0</v>
      </c>
      <c r="K196" s="89" t="str">
        <f>IF(ISEVEN(B196),(B196-1)&amp;"/"&amp;B196,B196&amp;"/"&amp;(B196+1))</f>
        <v>4045/4046</v>
      </c>
      <c r="L196" s="21" t="str">
        <f>VLOOKUP(A196,'Trips&amp;Operators'!$C$1:$G$99999,5,FALSE)</f>
        <v>CASSIDY BRANDON</v>
      </c>
      <c r="M196" s="6">
        <f>I196-F196</f>
        <v>9.340277778392192E-3</v>
      </c>
      <c r="N196" s="7">
        <f>24*60*SUM($M196:$M196)</f>
        <v>13.450000000884756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-26T17:39:13-0600',mode:absolute,to:'2017-07-26T20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9.1600000000000001E-2</v>
      </c>
      <c r="Z196" s="197">
        <f>RIGHT(H196,LEN(H196)-4)/10000</f>
        <v>5.8958000000000004</v>
      </c>
      <c r="AA196" s="197">
        <f>ABS(Z196-Y196)</f>
        <v>5.8042000000000007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/stypes="app*4046*20170727*" /stext=" 01:.+((SYSTEM_STATE.+slice.+state.+changed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2"/>
        <v>"%USERPROFILE%\Documents\GitHub\eaglep3\Utilities\RefineRTDCRunTimes.py" --tripid 839-26 --locoid 4046 --swversion DE.1.0.9.0 --startMP 204:916 --initTime 2017-07-26T18:39:13 --startdatetime 2017-07-26T18:51:18 --delay 1 --endMP 300:58958 --enddatetime 2017-07-26T19:04:45 --enforcementcount 0 &gt;&gt;C:\Users\stu\Documents\GitHub\eaglep3-reporting\EC\2017-07-26-refined-times.txt</v>
      </c>
      <c r="AI196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{"issue":{"subject":"","project_id":79,"tracker_id":40,"status_id":1,"priority_id":2,"assigned_to_id":23,"start_date":"2017-07-26","description":"","custom_fields":[{"id":1,"name":"Subdivision","value":"NW"},{"id":4,"name":"Milepost","value":"5.8958"},{"id":17,"name":"Train ID","value":"839-26"},{"id":16,"name":"Locomotive ID","value":"4046"},{"id":130,"name":"Impact","value":""},{"id":150,"name":"Time of Event (Mountain Time)","value":"19:04:45"},{"id":151,"name":"Denver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4"/>
        <v>start /low /b %USERPROFILE%\Documents\GitHub\eaglep3\Utilities\DownloadLogsFromS3.py --loco 4046 --day 2017-07-26</v>
      </c>
      <c r="AN196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830</v>
      </c>
      <c r="B197" s="7">
        <v>4013</v>
      </c>
      <c r="C197" s="21" t="s">
        <v>198</v>
      </c>
      <c r="D197" s="21" t="s">
        <v>480</v>
      </c>
      <c r="E197" s="13">
        <v>42942.817060185182</v>
      </c>
      <c r="F197" s="13">
        <v>42942.81858796296</v>
      </c>
      <c r="G197" s="7">
        <v>1</v>
      </c>
      <c r="H197" s="21" t="s">
        <v>991</v>
      </c>
      <c r="I197" s="13">
        <v>42942.830254629633</v>
      </c>
      <c r="J197" s="7">
        <v>0</v>
      </c>
      <c r="K197" s="89" t="str">
        <f>IF(ISEVEN(B197),(B197-1)&amp;"/"&amp;B197,B197&amp;"/"&amp;(B197+1))</f>
        <v>4013/4014</v>
      </c>
      <c r="L197" s="21" t="str">
        <f>VLOOKUP(A197,'Trips&amp;Operators'!$C$1:$G$99999,5,FALSE)</f>
        <v>GONZALEZ ARMANDO</v>
      </c>
      <c r="M197" s="6">
        <f>I197-F197</f>
        <v>1.1666666672681458E-2</v>
      </c>
      <c r="N197" s="7">
        <f>24*60*SUM($M197:$M197)</f>
        <v>16.8000000086613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-26T18:36:34-0600',mode:absolute,to:'2017-07-26T20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5.8625999999999996</v>
      </c>
      <c r="Z197" s="197">
        <f>RIGHT(H197,LEN(H197)-4)/10000</f>
        <v>6.8500000000000005E-2</v>
      </c>
      <c r="AA197" s="197">
        <f>ABS(Z197-Y197)</f>
        <v>5.7940999999999994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/stypes="app*4013*20170727*"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2"/>
        <v>"%USERPROFILE%\Documents\GitHub\eaglep3\Utilities\RefineRTDCRunTimes.py" --tripid 840-26 --locoid 4013 --swversion DE.1.0.9.0 --startMP 300:58626 --initTime 2017-07-26T19:36:34 --startdatetime 2017-07-26T19:38:46 --delay 1 --endMP 204:685 --enddatetime 2017-07-26T19:55:34 --enforcementcount 0 &gt;&gt;C:\Users\stu\Documents\GitHub\eaglep3-reporting\EC\2017-07-26-refined-times.txt</v>
      </c>
      <c r="AI197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{"issue":{"subject":"","project_id":79,"tracker_id":40,"status_id":1,"priority_id":2,"assigned_to_id":23,"start_date":"2017-07-26","description":"","custom_fields":[{"id":1,"name":"Subdivision","value":"NW"},{"id":4,"name":"Milepost","value":"0.0685"},{"id":17,"name":"Train ID","value":"840-26"},{"id":16,"name":"Locomotive ID","value":"4013"},{"id":130,"name":"Impact","value":""},{"id":150,"name":"Time of Event (Mountain Time)","value":"19:55:34"},{"id":151,"name":"Denver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4"/>
        <v>start /low /b %USERPROFILE%\Documents\GitHub\eaglep3\Utilities\DownloadLogsFromS3.py --loco 4013 --day 2017-07-26</v>
      </c>
      <c r="AN197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827</v>
      </c>
      <c r="B198" s="7">
        <v>4014</v>
      </c>
      <c r="C198" s="21" t="s">
        <v>198</v>
      </c>
      <c r="D198" s="21" t="s">
        <v>1010</v>
      </c>
      <c r="E198" s="13">
        <v>42942.803368055553</v>
      </c>
      <c r="F198" s="13">
        <v>42942.806435185186</v>
      </c>
      <c r="G198" s="7">
        <v>1</v>
      </c>
      <c r="H198" s="21" t="s">
        <v>598</v>
      </c>
      <c r="I198" s="13">
        <v>42942.816145833334</v>
      </c>
      <c r="J198" s="7">
        <v>0</v>
      </c>
      <c r="K198" s="89" t="str">
        <f>IF(ISEVEN(B198),(B198-1)&amp;"/"&amp;B198,B198&amp;"/"&amp;(B198+1))</f>
        <v>4013/4014</v>
      </c>
      <c r="L198" s="21" t="str">
        <f>VLOOKUP(A198,'Trips&amp;Operators'!$C$1:$G$99999,5,FALSE)</f>
        <v>GONZALEZ ARMANDO</v>
      </c>
      <c r="M198" s="6">
        <f>I198-F198</f>
        <v>9.710648148029577E-3</v>
      </c>
      <c r="N198" s="7">
        <f>24*60*SUM($M198:$M198)</f>
        <v>13.983333333162591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-26T18:16:51-0600',mode:absolute,to:'2017-07-26T20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9.74E-2</v>
      </c>
      <c r="Z198" s="197">
        <f>RIGHT(H198,LEN(H198)-4)/10000</f>
        <v>5.8940999999999999</v>
      </c>
      <c r="AA198" s="197">
        <f>ABS(Z198-Y198)</f>
        <v>5.7966999999999995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/stypes="app*4014*20170727*"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2"/>
        <v>"%USERPROFILE%\Documents\GitHub\eaglep3\Utilities\RefineRTDCRunTimes.py" --tripid 841-26 --locoid 4014 --swversion DE.1.0.9.0 --startMP 204:974 --initTime 2017-07-26T19:16:51 --startdatetime 2017-07-26T19:21:16 --delay 1 --endMP 300:58941 --enddatetime 2017-07-26T19:35:15 --enforcementcount 0 &gt;&gt;C:\Users\stu\Documents\GitHub\eaglep3-reporting\EC\2017-07-26-refined-times.txt</v>
      </c>
      <c r="AI198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{"issue":{"subject":"","project_id":79,"tracker_id":40,"status_id":1,"priority_id":2,"assigned_to_id":23,"start_date":"2017-07-26","description":"","custom_fields":[{"id":1,"name":"Subdivision","value":"NW"},{"id":4,"name":"Milepost","value":"5.8941"},{"id":17,"name":"Train ID","value":"841-26"},{"id":16,"name":"Locomotive ID","value":"4014"},{"id":130,"name":"Impact","value":""},{"id":150,"name":"Time of Event (Mountain Time)","value":"19:35:15"},{"id":151,"name":"Denver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4"/>
        <v>start /low /b %USERPROFILE%\Documents\GitHub\eaglep3\Utilities\DownloadLogsFromS3.py --loco 4014 --day 2017-07-26</v>
      </c>
      <c r="AN198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836</v>
      </c>
      <c r="B199" s="7">
        <v>4013</v>
      </c>
      <c r="C199" s="21" t="s">
        <v>198</v>
      </c>
      <c r="D199" s="21" t="s">
        <v>1004</v>
      </c>
      <c r="E199" s="13">
        <v>42942.8594212963</v>
      </c>
      <c r="F199" s="13">
        <v>42942.860856481479</v>
      </c>
      <c r="G199" s="7">
        <v>1</v>
      </c>
      <c r="H199" s="21" t="s">
        <v>996</v>
      </c>
      <c r="I199" s="13">
        <v>42942.871874999997</v>
      </c>
      <c r="J199" s="7">
        <v>0</v>
      </c>
      <c r="K199" s="89" t="str">
        <f>IF(ISEVEN(B199),(B199-1)&amp;"/"&amp;B199,B199&amp;"/"&amp;(B199+1))</f>
        <v>4013/4014</v>
      </c>
      <c r="L199" s="21" t="str">
        <f>VLOOKUP(A199,'Trips&amp;Operators'!$C$1:$G$99999,5,FALSE)</f>
        <v>GONZALEZ ARMANDO</v>
      </c>
      <c r="M199" s="6">
        <f>I199-F199</f>
        <v>1.1018518518540077E-2</v>
      </c>
      <c r="N199" s="7">
        <f>24*60*SUM($M199:$M199)</f>
        <v>15.866666666697711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-26T19:37:34-0600',mode:absolute,to:'2017-07-26T21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5.8648999999999996</v>
      </c>
      <c r="Z199" s="197">
        <f>RIGHT(H199,LEN(H199)-4)/10000</f>
        <v>6.7299999999999999E-2</v>
      </c>
      <c r="AA199" s="197">
        <f>ABS(Z199-Y199)</f>
        <v>5.7975999999999992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/stypes="app*4013*20170727*" /stext=" 02:.+((SYSTEM_STATE.+slice.+state.+changed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2"/>
        <v>"%USERPROFILE%\Documents\GitHub\eaglep3\Utilities\RefineRTDCRunTimes.py" --tripid 842-26 --locoid 4013 --swversion DE.1.0.9.0 --startMP 300:58649 --initTime 2017-07-26T20:37:34 --startdatetime 2017-07-26T20:39:38 --delay 1 --endMP 204:673 --enddatetime 2017-07-26T20:55:30 --enforcementcount 0 &gt;&gt;C:\Users\stu\Documents\GitHub\eaglep3-reporting\EC\2017-07-26-refined-times.txt</v>
      </c>
      <c r="AI199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{"issue":{"subject":"","project_id":79,"tracker_id":40,"status_id":1,"priority_id":2,"assigned_to_id":23,"start_date":"2017-07-26","description":"","custom_fields":[{"id":1,"name":"Subdivision","value":"NW"},{"id":4,"name":"Milepost","value":"0.0673"},{"id":17,"name":"Train ID","value":"842-26"},{"id":16,"name":"Locomotive ID","value":"4013"},{"id":130,"name":"Impact","value":""},{"id":150,"name":"Time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4"/>
        <v>start /low /b %USERPROFILE%\Documents\GitHub\eaglep3\Utilities\DownloadLogsFromS3.py --loco 4013 --day 2017-07-26</v>
      </c>
      <c r="AN199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834</v>
      </c>
      <c r="B200" s="7">
        <v>4014</v>
      </c>
      <c r="C200" s="21" t="s">
        <v>198</v>
      </c>
      <c r="D200" s="21" t="s">
        <v>1024</v>
      </c>
      <c r="E200" s="13">
        <v>42942.843425925923</v>
      </c>
      <c r="F200" s="13">
        <v>42942.848124999997</v>
      </c>
      <c r="G200" s="7">
        <v>1</v>
      </c>
      <c r="H200" s="21" t="s">
        <v>1025</v>
      </c>
      <c r="I200" s="13">
        <v>42942.858194444445</v>
      </c>
      <c r="J200" s="7">
        <v>0</v>
      </c>
      <c r="K200" s="89" t="str">
        <f>IF(ISEVEN(B200),(B200-1)&amp;"/"&amp;B200,B200&amp;"/"&amp;(B200+1))</f>
        <v>4013/4014</v>
      </c>
      <c r="L200" s="21" t="str">
        <f>VLOOKUP(A200,'Trips&amp;Operators'!$C$1:$G$99999,5,FALSE)</f>
        <v>GONZALEZ ARMANDO</v>
      </c>
      <c r="M200" s="6">
        <f>I200-F200</f>
        <v>1.0069444448163267E-2</v>
      </c>
      <c r="N200" s="7">
        <f>24*60*SUM($M200:$M200)</f>
        <v>14.500000005355105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-26T19:14:32-0600',mode:absolute,to:'2017-07-26T21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9.6699999999999994E-2</v>
      </c>
      <c r="Z200" s="197">
        <f>RIGHT(H200,LEN(H200)-4)/10000</f>
        <v>5.8971</v>
      </c>
      <c r="AA200" s="197">
        <f>ABS(Z200-Y200)</f>
        <v>5.8003999999999998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/stypes="app*4014*20170727*"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2"/>
        <v>"%USERPROFILE%\Documents\GitHub\eaglep3\Utilities\RefineRTDCRunTimes.py" --tripid 843-26 --locoid 4014 --swversion DE.1.0.9.0 --startMP 204:967 --initTime 2017-07-26T20:14:32 --startdatetime 2017-07-26T20:21:18 --delay 1 --endMP 300:58971 --enddatetime 2017-07-26T20:35:48 --enforcementcount 0 &gt;&gt;C:\Users\stu\Documents\GitHub\eaglep3-reporting\EC\2017-07-26-refined-times.txt</v>
      </c>
      <c r="AI200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{"issue":{"subject":"","project_id":79,"tracker_id":40,"status_id":1,"priority_id":2,"assigned_to_id":23,"start_date":"2017-07-26","description":"","custom_fields":[{"id":1,"name":"Subdivision","value":"NW"},{"id":4,"name":"Milepost","value":"5.8971"},{"id":17,"name":"Train ID","value":"843-26"},{"id":16,"name":"Locomotive ID","value":"4014"},{"id":130,"name":"Impact","value":""},{"id":150,"name":"Time of Event (Mountain Time)","value":"20:35:48"},{"id":151,"name":"Denver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4"/>
        <v>start /low /b %USERPROFILE%\Documents\GitHub\eaglep3\Utilities\DownloadLogsFromS3.py --loco 4014 --day 2017-07-26</v>
      </c>
      <c r="AN200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02:35:48"},{"id":29,"name":"Sharepoint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843</v>
      </c>
      <c r="B201" s="7">
        <v>4013</v>
      </c>
      <c r="C201" s="21" t="s">
        <v>198</v>
      </c>
      <c r="D201" s="21" t="s">
        <v>1006</v>
      </c>
      <c r="E201" s="13">
        <v>42942.899837962963</v>
      </c>
      <c r="F201" s="13">
        <v>42942.901678240742</v>
      </c>
      <c r="G201" s="7">
        <v>1</v>
      </c>
      <c r="H201" s="21" t="s">
        <v>499</v>
      </c>
      <c r="I201" s="13">
        <v>42942.912499999999</v>
      </c>
      <c r="J201" s="7">
        <v>0</v>
      </c>
      <c r="K201" s="89" t="str">
        <f>IF(ISEVEN(B201),(B201-1)&amp;"/"&amp;B201,B201&amp;"/"&amp;(B201+1))</f>
        <v>4013/4014</v>
      </c>
      <c r="L201" s="21" t="str">
        <f>VLOOKUP(A201,'Trips&amp;Operators'!$C$1:$G$99999,5,FALSE)</f>
        <v>CASSIDY BRANDON</v>
      </c>
      <c r="M201" s="6">
        <f>I201-F201</f>
        <v>1.0821759256941732E-2</v>
      </c>
      <c r="N201" s="7">
        <f>24*60*SUM($M201:$M201)</f>
        <v>15.583333329996094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-26T20:35:46-0600',mode:absolute,to:'2017-07-26T22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5.8643000000000001</v>
      </c>
      <c r="Z201" s="197">
        <f>RIGHT(H201,LEN(H201)-4)/10000</f>
        <v>6.8699999999999997E-2</v>
      </c>
      <c r="AA201" s="197">
        <f>ABS(Z201-Y201)</f>
        <v>5.7956000000000003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/stypes="app*4013*20170727*" /stext=" 03:.+((SYSTEM_STATE.+slice.+state.+changed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2"/>
        <v>"%USERPROFILE%\Documents\GitHub\eaglep3\Utilities\RefineRTDCRunTimes.py" --tripid 844-26 --locoid 4013 --swversion DE.1.0.9.0 --startMP 300:58643 --initTime 2017-07-26T21:35:46 --startdatetime 2017-07-26T21:38:25 --delay 1 --endMP 204:687 --enddatetime 2017-07-26T21:54:00 --enforcementcount 0 &gt;&gt;C:\Users\stu\Documents\GitHub\eaglep3-reporting\EC\2017-07-26-refined-times.txt</v>
      </c>
      <c r="AI201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{"issue":{"subject":"","project_id":79,"tracker_id":40,"status_id":1,"priority_id":2,"assigned_to_id":23,"start_date":"2017-07-26","description":"","custom_fields":[{"id":1,"name":"Subdivision","value":"NW"},{"id":4,"name":"Milepost","value":"0.0687"},{"id":17,"name":"Train ID","value":"844-26"},{"id":16,"name":"Locomotive ID","value":"4013"},{"id":130,"name":"Impact","value":""},{"id":150,"name":"Time of Event (Mountain Time)","value":"21:54:00"},{"id":151,"name":"Denver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4"/>
        <v>start /low /b %USERPROFILE%\Documents\GitHub\eaglep3\Utilities\DownloadLogsFromS3.py --loco 4013 --day 2017-07-26</v>
      </c>
      <c r="AN201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03:54:00"},{"id":29,"name":"Sharepoint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839</v>
      </c>
      <c r="B202" s="7">
        <v>4014</v>
      </c>
      <c r="C202" s="21" t="s">
        <v>198</v>
      </c>
      <c r="D202" s="21" t="s">
        <v>595</v>
      </c>
      <c r="E202" s="13">
        <v>42942.874756944446</v>
      </c>
      <c r="F202" s="13">
        <v>42942.88989583333</v>
      </c>
      <c r="G202" s="7">
        <v>1</v>
      </c>
      <c r="H202" s="21" t="s">
        <v>604</v>
      </c>
      <c r="I202" s="13">
        <v>42942.898923611108</v>
      </c>
      <c r="J202" s="7">
        <v>0</v>
      </c>
      <c r="K202" s="89" t="str">
        <f>IF(ISEVEN(B202),(B202-1)&amp;"/"&amp;B202,B202&amp;"/"&amp;(B202+1))</f>
        <v>4013/4014</v>
      </c>
      <c r="L202" s="21" t="str">
        <f>VLOOKUP(A202,'Trips&amp;Operators'!$C$1:$G$99999,5,FALSE)</f>
        <v>CASSIDY BRANDON</v>
      </c>
      <c r="M202" s="6">
        <f>I202-F202</f>
        <v>9.0277777781011537E-3</v>
      </c>
      <c r="N202" s="7">
        <f>24*60*SUM($M202:$M202)</f>
        <v>13.000000000465661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-26T19:59:39-0600',mode:absolute,to:'2017-07-26T22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9.6500000000000002E-2</v>
      </c>
      <c r="Z202" s="197">
        <f>RIGHT(H202,LEN(H202)-4)/10000</f>
        <v>5.8949999999999996</v>
      </c>
      <c r="AA202" s="197">
        <f>ABS(Z202-Y202)</f>
        <v>5.7984999999999998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/stypes="app*4014*20170727*"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2"/>
        <v>"%USERPROFILE%\Documents\GitHub\eaglep3\Utilities\RefineRTDCRunTimes.py" --tripid 845-26 --locoid 4014 --swversion DE.1.0.9.0 --startMP 204:965 --initTime 2017-07-26T20:59:39 --startdatetime 2017-07-26T21:21:27 --delay 1 --endMP 300:58950 --enddatetime 2017-07-26T21:34:27 --enforcementcount 0 &gt;&gt;C:\Users\stu\Documents\GitHub\eaglep3-reporting\EC\2017-07-26-refined-times.txt</v>
      </c>
      <c r="AI202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{"issue":{"subject":"","project_id":79,"tracker_id":40,"status_id":1,"priority_id":2,"assigned_to_id":23,"start_date":"2017-07-26","description":"","custom_fields":[{"id":1,"name":"Subdivision","value":"NW"},{"id":4,"name":"Milepost","value":"5.895"},{"id":17,"name":"Train ID","value":"845-26"},{"id":16,"name":"Locomotive ID","value":"4014"},{"id":130,"name":"Impact","value":""},{"id":150,"name":"Time of Event (Mountain Time)","value":"21:34:27"},{"id":151,"name":"Denver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4"/>
        <v>start /low /b %USERPROFILE%\Documents\GitHub\eaglep3\Utilities\DownloadLogsFromS3.py --loco 4014 --day 2017-07-26</v>
      </c>
      <c r="AN202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846</v>
      </c>
      <c r="B203" s="7">
        <v>4014</v>
      </c>
      <c r="C203" s="21" t="s">
        <v>198</v>
      </c>
      <c r="D203" s="21" t="s">
        <v>1024</v>
      </c>
      <c r="E203" s="13">
        <v>42942.918483796297</v>
      </c>
      <c r="F203" s="13">
        <v>42942.931435185186</v>
      </c>
      <c r="G203" s="7">
        <v>1</v>
      </c>
      <c r="H203" s="21" t="s">
        <v>535</v>
      </c>
      <c r="I203" s="13">
        <v>42942.941134259258</v>
      </c>
      <c r="J203" s="7">
        <v>0</v>
      </c>
      <c r="K203" s="89" t="str">
        <f>IF(ISEVEN(B203),(B203-1)&amp;"/"&amp;B203,B203&amp;"/"&amp;(B203+1))</f>
        <v>4013/4014</v>
      </c>
      <c r="L203" s="21" t="str">
        <f>VLOOKUP(A203,'Trips&amp;Operators'!$C$1:$G$99999,5,FALSE)</f>
        <v>CASSIDY BRANDON</v>
      </c>
      <c r="M203" s="6">
        <f>I203-F203</f>
        <v>9.6990740712499246E-3</v>
      </c>
      <c r="N203" s="7">
        <f>24*60*SUM($M203:$M203)</f>
        <v>13.966666662599891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-26T21:02:37-0600',mode:absolute,to:'2017-07-26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2</v>
      </c>
      <c r="Y203" s="197">
        <f>RIGHT(D203,LEN(D203)-4)/10000</f>
        <v>9.6699999999999994E-2</v>
      </c>
      <c r="Z203" s="197">
        <f>RIGHT(H203,LEN(H203)-4)/10000</f>
        <v>5.8935000000000004</v>
      </c>
      <c r="AA203" s="197">
        <f>ABS(Z203-Y203)</f>
        <v>5.7968000000000002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847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/stypes="app*4014*20170727*" /stext=" 04:.+((SYSTEM_STATE.+slice.+state.+changed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2"/>
        <v>"%USERPROFILE%\Documents\GitHub\eaglep3\Utilities\RefineRTDCRunTimes.py" --tripid 847-26 --locoid 4014 --swversion DE.1.0.9.0 --startMP 204:967 --initTime 2017-07-26T22:02:37 --startdatetime 2017-07-26T22:21:16 --delay 1 --endMP 300:58935 --enddatetime 2017-07-26T22:35:14 --enforcementcount 0 &gt;&gt;C:\Users\stu\Documents\GitHub\eaglep3-reporting\EC\2017-07-26-refined-times.txt</v>
      </c>
      <c r="AI203" s="96" t="str">
        <f t="shared" si="13"/>
        <v>echo {"issue":{"subject":"","project_id":79,"tracker_id":40,"status_id":1,"priority_id":2,"assigned_to_id":23,"start_date":"2017-07-26","description":"","custom_fields":[{"id":1,"name":"Subdivision","value":"NW"},{"id":4,"name":"Milepost","value":"5.8935"},{"id":17,"name":"Train ID","value":"847-26"},{"id":16,"name":"Locomotive ID","value":"4014"},{"id":130,"name":"Impact","value":""},{"id":150,"name":"Time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4"/>
        <v>start /low /b %USERPROFILE%\Documents\GitHub\eaglep3\Utilities\DownloadLogsFromS3.py --loco 4014 --day 2017-07-26</v>
      </c>
      <c r="AN203" s="151" t="str">
        <f t="shared" si="15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658</v>
      </c>
      <c r="B204" s="7">
        <v>4001</v>
      </c>
      <c r="C204" s="21" t="s">
        <v>198</v>
      </c>
      <c r="D204" s="21" t="s">
        <v>930</v>
      </c>
      <c r="E204" s="13">
        <v>42942.117881944447</v>
      </c>
      <c r="F204" s="13">
        <v>42942.120497685188</v>
      </c>
      <c r="G204" s="7">
        <v>3</v>
      </c>
      <c r="H204" s="21" t="s">
        <v>342</v>
      </c>
      <c r="I204" s="13">
        <v>42942.126203703701</v>
      </c>
      <c r="J204" s="7">
        <v>0</v>
      </c>
      <c r="K204" s="89" t="str">
        <f>IF(ISEVEN(B204),(B204-1)&amp;"/"&amp;B204,B204&amp;"/"&amp;(B204+1))</f>
        <v>4001/4002</v>
      </c>
      <c r="L204" s="21" t="str">
        <f>VLOOKUP(A204,'Trips&amp;Operators'!$C$1:$G$99999,5,FALSE)</f>
        <v>BONDS REYNALDO</v>
      </c>
      <c r="M204" s="6">
        <f>I204-F204</f>
        <v>5.7060185135924257E-3</v>
      </c>
      <c r="N204" s="7">
        <f>24*60*SUM($M204:$M204)</f>
        <v>8.2166666595730931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-26T01:49:45-0600',mode:absolute,to:'2017-07-26T04:01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4" s="197" t="str">
        <f>IF(AA204&lt;VLOOKUP(AG204,Variables!$AC$3:$AD$8,2,FALSE),"Y","N")</f>
        <v>Y</v>
      </c>
      <c r="X204" s="197">
        <f>VALUE(LEFT(AD204,4))-VALUE(LEFT(AD203,4))</f>
        <v>-547</v>
      </c>
      <c r="Y204" s="197">
        <f>RIGHT(D204,LEN(D204)-4)/10000</f>
        <v>2.3561000000000001</v>
      </c>
      <c r="Z204" s="197">
        <f>RIGHT(H204,LEN(H204)-4)/10000</f>
        <v>1.49E-2</v>
      </c>
      <c r="AA204" s="197">
        <f>ABS(Z204-Y204)</f>
        <v>2.3412000000000002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300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/stypes="app*4001*20170726*" /stext=" 09:.+((SYSTEM_STATE.+slice.+state.+changed )|(ment ac)|(multiple cpu faults)|(system.+state.+changed )|(\[timeout)|(PRM\|1\|D)|(kpr)|(kdp)|(train st.+moving)|(\|lc)|(penalty))"</v>
      </c>
      <c r="AG204" s="209" t="str">
        <f>DetSubdiv(A204)</f>
        <v>Other</v>
      </c>
      <c r="AH204" s="78" t="str">
        <f t="shared" ref="AH204:AH251" si="1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300-26 --locoid 4001 --swversion DE.1.0.9.0 --startMP 300:23561 --initTime 2017-07-26T02:49:45 --startdatetime 2017-07-26T02:53:31 --delay 3 --endMP 204:149 --enddatetime 2017-07-26T03:01:44 --enforcementcount 0 &gt;&gt;C:\Users\stu\Documents\GitHub\eaglep3-reporting\EC\2017-07-26-refined-times.txt</v>
      </c>
      <c r="AI204" s="96" t="str">
        <f t="shared" ref="AI204:AI251" si="1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{"issue":{"subject":"","project_id":79,"tracker_id":40,"status_id":1,"priority_id":2,"assigned_to_id":23,"start_date":"2017-07-26","description":"","custom_fields":[{"id":1,"name":"Subdivision","value":"Other"},{"id":4,"name":"Milepost","value":"0.0149"},{"id":17,"name":"Train ID","value":"300-26"},{"id":16,"name":"Locomotive ID","value":"4001"},{"id":130,"name":"Impact","value":""},{"id":150,"name":"Time of Event (Mountain Time)","value":"03:01:44"},{"id":151,"name":"Denver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51" si="19">"start /low /b "&amp;dls3logs&amp;" --loco "&amp;B204&amp;" --day "&amp;TEXT(F204,"YYYY-MM-DD")</f>
        <v>start /low /b %USERPROFILE%\Documents\GitHub\eaglep3\Utilities\DownloadLogsFromS3.py --loco 4001 --day 2017-07-26</v>
      </c>
      <c r="AN204" s="151" t="str">
        <f t="shared" ref="AN204:AN251" si="20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09:01:44"},{"id":29,"name":"Sharepoint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662</v>
      </c>
      <c r="B205" s="7">
        <v>4007</v>
      </c>
      <c r="C205" s="21" t="s">
        <v>198</v>
      </c>
      <c r="D205" s="21" t="s">
        <v>931</v>
      </c>
      <c r="E205" s="13">
        <v>42942.138622685183</v>
      </c>
      <c r="F205" s="13">
        <v>42942.143090277779</v>
      </c>
      <c r="G205" s="7">
        <v>6</v>
      </c>
      <c r="H205" s="21" t="s">
        <v>343</v>
      </c>
      <c r="I205" s="13">
        <v>42942.148657407408</v>
      </c>
      <c r="J205" s="7">
        <v>0</v>
      </c>
      <c r="K205" s="89" t="str">
        <f>IF(ISEVEN(B205),(B205-1)&amp;"/"&amp;B205,B205&amp;"/"&amp;(B205+1))</f>
        <v>4007/4008</v>
      </c>
      <c r="L205" s="21" t="str">
        <f>VLOOKUP(A205,'Trips&amp;Operators'!$C$1:$G$99999,5,FALSE)</f>
        <v>MAELZER KURT</v>
      </c>
      <c r="M205" s="6">
        <f>I205-F205</f>
        <v>5.5671296286163852E-3</v>
      </c>
      <c r="N205" s="7">
        <f>24*60*SUM($M205:$M205)</f>
        <v>8.0166666652075946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-26T02:19:37-0600',mode:absolute,to:'2017-07-26T04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2</v>
      </c>
      <c r="Y205" s="197">
        <f>RIGHT(D205,LEN(D205)-4)/10000</f>
        <v>2.2046999999999999</v>
      </c>
      <c r="Z205" s="197">
        <f>RIGHT(H205,LEN(H205)-4)/10000</f>
        <v>1.43E-2</v>
      </c>
      <c r="AA205" s="197">
        <f>ABS(Z205-Y205)</f>
        <v>2.1903999999999999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302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/stypes="app*4007*20170726*" /stext=" 09:.+((SYSTEM_STATE.+slice.+state.+changed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17"/>
        <v>"%USERPROFILE%\Documents\GitHub\eaglep3\Utilities\RefineRTDCRunTimes.py" --tripid 302-26 --locoid 4007 --swversion DE.1.0.9.0 --startMP 300:22047 --initTime 2017-07-26T03:19:37 --startdatetime 2017-07-26T03:26:03 --delay 6 --endMP 204:143 --enddatetime 2017-07-26T03:34:04 --enforcementcount 0 &gt;&gt;C:\Users\stu\Documents\GitHub\eaglep3-reporting\EC\2017-07-26-refined-times.txt</v>
      </c>
      <c r="AI205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{"issue":{"subject":"","project_id":79,"tracker_id":40,"status_id":1,"priority_id":2,"assigned_to_id":23,"start_date":"2017-07-26","description":"","custom_fields":[{"id":1,"name":"Subdivision","value":"Other"},{"id":4,"name":"Milepost","value":"0.0143"},{"id":17,"name":"Train ID","value":"302-26"},{"id":16,"name":"Locomotive ID","value":"4007"},{"id":130,"name":"Impact","value":""},{"id":150,"name":"Time of Event (Mountain Time)","value":"03:34:04"},{"id":151,"name":"Denver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9"/>
        <v>start /low /b %USERPROFILE%\Documents\GitHub\eaglep3\Utilities\DownloadLogsFromS3.py --loco 4007 --day 2017-07-26</v>
      </c>
      <c r="AN205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09:34:04"},{"id":29,"name":"Sharepoint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826</v>
      </c>
      <c r="B206" s="7">
        <v>4016</v>
      </c>
      <c r="C206" s="21" t="s">
        <v>198</v>
      </c>
      <c r="D206" s="21" t="s">
        <v>932</v>
      </c>
      <c r="E206" s="13">
        <v>42942.798206018517</v>
      </c>
      <c r="F206" s="13">
        <v>42942.800324074073</v>
      </c>
      <c r="G206" s="7">
        <v>1</v>
      </c>
      <c r="H206" s="21" t="s">
        <v>933</v>
      </c>
      <c r="I206" s="13">
        <v>42942.80773148148</v>
      </c>
      <c r="J206" s="7">
        <v>0</v>
      </c>
      <c r="K206" s="89" t="str">
        <f>IF(ISEVEN(B206),(B206-1)&amp;"/"&amp;B206,B206&amp;"/"&amp;(B206+1))</f>
        <v>4015/4016</v>
      </c>
      <c r="L206" s="21" t="str">
        <f>VLOOKUP(A206,'Trips&amp;Operators'!$C$1:$G$99999,5,FALSE)</f>
        <v>BIRKHOLZ NADINE</v>
      </c>
      <c r="M206" s="6">
        <f>I206-F206</f>
        <v>7.4074074072996154E-3</v>
      </c>
      <c r="N206" s="7">
        <f>24*60*SUM($M206:$M206)</f>
        <v>10.666666666511446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-26T18:09:25-0600',mode:absolute,to:'2017-07-26T20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4.2799999999999998E-2</v>
      </c>
      <c r="Z206" s="197">
        <f>RIGHT(H206,LEN(H206)-4)/10000</f>
        <v>2.3306</v>
      </c>
      <c r="AA206" s="197">
        <f>ABS(Z206-Y206)</f>
        <v>2.2877999999999998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303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/stypes="app*4016*20170727*" /stext=" 01:.+((SYSTEM_STATE.+slice.+state.+changed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17"/>
        <v>"%USERPROFILE%\Documents\GitHub\eaglep3\Utilities\RefineRTDCRunTimes.py" --tripid 303-26 --locoid 4016 --swversion DE.1.0.9.0 --startMP 204:428 --initTime 2017-07-26T19:09:25 --startdatetime 2017-07-26T19:12:28 --delay 1 --endMP 300:23306 --enddatetime 2017-07-26T19:23:08 --enforcementcount 0 &gt;&gt;C:\Users\stu\Documents\GitHub\eaglep3-reporting\EC\2017-07-26-refined-times.txt</v>
      </c>
      <c r="AI206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{"issue":{"subject":"","project_id":79,"tracker_id":40,"status_id":1,"priority_id":2,"assigned_to_id":23,"start_date":"2017-07-26","description":"","custom_fields":[{"id":1,"name":"Subdivision","value":"Other"},{"id":4,"name":"Milepost","value":"2.3306"},{"id":17,"name":"Train ID","value":"303-26"},{"id":16,"name":"Locomotive ID","value":"4016"},{"id":130,"name":"Impact","value":""},{"id":150,"name":"Time of Event (Mountain Time)","value":"19:23:08"},{"id":151,"name":"Denver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9"/>
        <v>start /low /b %USERPROFILE%\Documents\GitHub\eaglep3\Utilities\DownloadLogsFromS3.py --loco 4016 --day 2017-07-26</v>
      </c>
      <c r="AN206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664</v>
      </c>
      <c r="B207" s="7">
        <v>4003</v>
      </c>
      <c r="C207" s="21" t="s">
        <v>198</v>
      </c>
      <c r="D207" s="21" t="s">
        <v>934</v>
      </c>
      <c r="E207" s="13">
        <v>42942.159085648149</v>
      </c>
      <c r="F207" s="13">
        <v>42942.161249999997</v>
      </c>
      <c r="G207" s="7">
        <v>1</v>
      </c>
      <c r="H207" s="21" t="s">
        <v>382</v>
      </c>
      <c r="I207" s="13">
        <v>42942.161446759259</v>
      </c>
      <c r="J207" s="7">
        <v>0</v>
      </c>
      <c r="K207" s="89" t="str">
        <f>IF(ISEVEN(B207),(B207-1)&amp;"/"&amp;B207,B207&amp;"/"&amp;(B207+1))</f>
        <v>4003/4004</v>
      </c>
      <c r="L207" s="21" t="str">
        <f>VLOOKUP(A207,'Trips&amp;Operators'!$C$1:$G$99999,5,FALSE)</f>
        <v>STARKS ANGELINA</v>
      </c>
      <c r="M207" s="6">
        <f>I207-F207</f>
        <v>1.9675926159834489E-4</v>
      </c>
      <c r="N207" s="7">
        <f>24*60*SUM($M207:$M207)</f>
        <v>0.28333333670161664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-26T02:49:05-0600',mode:absolute,to:'2017-07-26T04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2.6095999999999999</v>
      </c>
      <c r="Z207" s="197">
        <f>RIGHT(H207,LEN(H207)-4)/10000</f>
        <v>1.4500000000000001E-2</v>
      </c>
      <c r="AA207" s="197">
        <f>ABS(Z207-Y207)</f>
        <v>2.5951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304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/stypes="app*4003*20170726*"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17"/>
        <v>"%USERPROFILE%\Documents\GitHub\eaglep3\Utilities\RefineRTDCRunTimes.py" --tripid 304-26 --locoid 4003 --swversion DE.1.0.9.0 --startMP 300:26096 --initTime 2017-07-26T03:49:05 --startdatetime 2017-07-26T03:52:12 --delay 1 --endMP 204:145 --enddatetime 2017-07-26T03:52:29 --enforcementcount 0 &gt;&gt;C:\Users\stu\Documents\GitHub\eaglep3-reporting\EC\2017-07-26-refined-times.txt</v>
      </c>
      <c r="AI207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{"issue":{"subject":"","project_id":79,"tracker_id":40,"status_id":1,"priority_id":2,"assigned_to_id":23,"start_date":"2017-07-26","description":"","custom_fields":[{"id":1,"name":"Subdivision","value":"Other"},{"id":4,"name":"Milepost","value":"0.0145"},{"id":17,"name":"Train ID","value":"304-26"},{"id":16,"name":"Locomotive ID","value":"4003"},{"id":130,"name":"Impact","value":""},{"id":150,"name":"Time of Event (Mountain Time)","value":"03:52:29"},{"id":151,"name":"Denver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19"/>
        <v>start /low /b %USERPROFILE%\Documents\GitHub\eaglep3\Utilities\DownloadLogsFromS3.py --loco 4003 --day 2017-07-26</v>
      </c>
      <c r="AN207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09:52:29"},{"id":29,"name":"Sharepoint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831</v>
      </c>
      <c r="B208" s="7">
        <v>4056</v>
      </c>
      <c r="C208" s="21" t="s">
        <v>198</v>
      </c>
      <c r="D208" s="21" t="s">
        <v>585</v>
      </c>
      <c r="E208" s="13">
        <v>42942.818425925929</v>
      </c>
      <c r="F208" s="13">
        <v>42942.819386574076</v>
      </c>
      <c r="G208" s="7">
        <v>1</v>
      </c>
      <c r="H208" s="21" t="s">
        <v>346</v>
      </c>
      <c r="I208" s="13">
        <v>42942.827499999999</v>
      </c>
      <c r="J208" s="7">
        <v>0</v>
      </c>
      <c r="K208" s="89" t="str">
        <f>IF(ISEVEN(B208),(B208-1)&amp;"/"&amp;B208,B208&amp;"/"&amp;(B208+1))</f>
        <v>4055/4056</v>
      </c>
      <c r="L208" s="21" t="str">
        <f>VLOOKUP(A208,'Trips&amp;Operators'!$C$1:$G$99999,5,FALSE)</f>
        <v>LOPES KIMBERLY</v>
      </c>
      <c r="M208" s="6">
        <f>I208-F208</f>
        <v>8.1134259235113859E-3</v>
      </c>
      <c r="N208" s="7">
        <f>24*60*SUM($M208:$M208)</f>
        <v>11.683333329856396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-26T18:38:32-0600',mode:absolute,to:'2017-07-26T20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4.7300000000000002E-2</v>
      </c>
      <c r="Z208" s="197">
        <f>RIGHT(H208,LEN(H208)-4)/10000</f>
        <v>2.3346</v>
      </c>
      <c r="AA208" s="197">
        <f>ABS(Z208-Y208)</f>
        <v>2.2873000000000001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305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s3://rtdc.mdm.uploadarchive.raw/RTDC4056/ "%USERPROFILE%\AppData\Local\Temp\OnboardLogs"\RTDC4056\2017-07-26 --exclude "*" --recursive --include "*20170726*" &amp; "%USERPROFILE%\Documents\GitHub\mrs-test-scripts\Headless Mode &amp; Sideloading\WalkAndUnGZ.bat" "%USERPROFILE%\AppData\Local\Temp\OnboardLogs"\RTDC4056\2017-07-26 &amp; 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/stypes="app*4056*20170727*" /stext=" 01:.+((SYSTEM_STATE.+slice.+state.+changed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17"/>
        <v>"%USERPROFILE%\Documents\GitHub\eaglep3\Utilities\RefineRTDCRunTimes.py" --tripid 305-26 --locoid 4056 --swversion DE.1.0.9.0 --startMP 204:473 --initTime 2017-07-26T19:38:32 --startdatetime 2017-07-26T19:39:55 --delay 1 --endMP 300:23346 --enddatetime 2017-07-26T19:51:36 --enforcementcount 0 &gt;&gt;C:\Users\stu\Documents\GitHub\eaglep3-reporting\EC\2017-07-26-refined-times.txt</v>
      </c>
      <c r="AI208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{"issue":{"subject":"","project_id":79,"tracker_id":40,"status_id":1,"priority_id":2,"assigned_to_id":23,"start_date":"2017-07-26","description":"","custom_fields":[{"id":1,"name":"Subdivision","value":"Other"},{"id":4,"name":"Milepost","value":"2.3346"},{"id":17,"name":"Train ID","value":"305-26"},{"id":16,"name":"Locomotive ID","value":"4056"},{"id":130,"name":"Impact","value":""},{"id":150,"name":"Time of Event (Mountain Time)","value":"19:51:36"},{"id":151,"name":"Denver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9"/>
        <v>start /low /b %USERPROFILE%\Documents\GitHub\eaglep3\Utilities\DownloadLogsFromS3.py --loco 4056 --day 2017-07-26</v>
      </c>
      <c r="AN208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666</v>
      </c>
      <c r="B209" s="7">
        <v>4023</v>
      </c>
      <c r="C209" s="21" t="s">
        <v>198</v>
      </c>
      <c r="D209" s="21" t="s">
        <v>935</v>
      </c>
      <c r="E209" s="13">
        <v>42942.16982638889</v>
      </c>
      <c r="F209" s="13">
        <v>42942.175613425927</v>
      </c>
      <c r="G209" s="7">
        <v>8</v>
      </c>
      <c r="H209" s="21" t="s">
        <v>590</v>
      </c>
      <c r="I209" s="13">
        <v>42942.18136574074</v>
      </c>
      <c r="J209" s="7">
        <v>0</v>
      </c>
      <c r="K209" s="89" t="str">
        <f>IF(ISEVEN(B209),(B209-1)&amp;"/"&amp;B209,B209&amp;"/"&amp;(B209+1))</f>
        <v>4023/4024</v>
      </c>
      <c r="L209" s="21" t="str">
        <f>VLOOKUP(A209,'Trips&amp;Operators'!$C$1:$G$99999,5,FALSE)</f>
        <v>NICHOLSON WESLEY</v>
      </c>
      <c r="M209" s="6">
        <f>I209-F209</f>
        <v>5.7523148134350777E-3</v>
      </c>
      <c r="N209" s="7">
        <f>24*60*SUM($M209:$M209)</f>
        <v>8.2833333313465118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-26T03:04:33-0600',mode:absolute,to:'2017-07-26T05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2.2764000000000002</v>
      </c>
      <c r="Z209" s="197">
        <f>RIGHT(H209,LEN(H209)-4)/10000</f>
        <v>1.67E-2</v>
      </c>
      <c r="AA209" s="197">
        <f>ABS(Z209-Y209)</f>
        <v>2.2597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306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/stypes="app*4023*20170726*" /stext=" 10:.+((SYSTEM_STATE.+slice.+state.+changed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17"/>
        <v>"%USERPROFILE%\Documents\GitHub\eaglep3\Utilities\RefineRTDCRunTimes.py" --tripid 306-26 --locoid 4023 --swversion DE.1.0.9.0 --startMP 300:22764 --initTime 2017-07-26T04:04:33 --startdatetime 2017-07-26T04:12:53 --delay 8 --endMP 204:167 --enddatetime 2017-07-26T04:21:10 --enforcementcount 0 &gt;&gt;C:\Users\stu\Documents\GitHub\eaglep3-reporting\EC\2017-07-26-refined-times.txt</v>
      </c>
      <c r="AI209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{"issue":{"subject":"","project_id":79,"tracker_id":40,"status_id":1,"priority_id":2,"assigned_to_id":23,"start_date":"2017-07-26","description":"","custom_fields":[{"id":1,"name":"Subdivision","value":"Other"},{"id":4,"name":"Milepost","value":"0.0167"},{"id":17,"name":"Train ID","value":"306-26"},{"id":16,"name":"Locomotive ID","value":"4023"},{"id":130,"name":"Impact","value":""},{"id":150,"name":"Time of Event (Mountain Time)","value":"04:21:10"},{"id":151,"name":"Denver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9"/>
        <v>start /low /b %USERPROFILE%\Documents\GitHub\eaglep3\Utilities\DownloadLogsFromS3.py --loco 4023 --day 2017-07-26</v>
      </c>
      <c r="AN209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858</v>
      </c>
      <c r="B210" s="7">
        <v>4002</v>
      </c>
      <c r="C210" s="21" t="s">
        <v>198</v>
      </c>
      <c r="D210" s="21" t="s">
        <v>456</v>
      </c>
      <c r="E210" s="13">
        <v>42943.028229166666</v>
      </c>
      <c r="F210" s="13">
        <v>42943.029513888891</v>
      </c>
      <c r="G210" s="7">
        <v>1</v>
      </c>
      <c r="H210" s="21" t="s">
        <v>346</v>
      </c>
      <c r="I210" s="13">
        <v>42943.036979166667</v>
      </c>
      <c r="J210" s="7">
        <v>0</v>
      </c>
      <c r="K210" s="89" t="str">
        <f>IF(ISEVEN(B210),(B210-1)&amp;"/"&amp;B210,B210&amp;"/"&amp;(B210+1))</f>
        <v>4001/4002</v>
      </c>
      <c r="L210" s="21" t="str">
        <f>VLOOKUP(A210,'Trips&amp;Operators'!$C$1:$G$99999,5,FALSE)</f>
        <v>FORTUNATO FRANK</v>
      </c>
      <c r="M210" s="6">
        <f>I210-F210</f>
        <v>7.4652777766459621E-3</v>
      </c>
      <c r="N210" s="7">
        <f>24*60*SUM($M210:$M210)</f>
        <v>10.749999998370185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-26T23:40:39-0600',mode:absolute,to:'2017-07-27T01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4.4900000000000002E-2</v>
      </c>
      <c r="Z210" s="197">
        <f>RIGHT(H210,LEN(H210)-4)/10000</f>
        <v>2.3346</v>
      </c>
      <c r="AA210" s="197">
        <f>ABS(Z210-Y210)</f>
        <v>2.2896999999999998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307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 &amp; aws s3 cp s3://rtdc.mdm.uploadarchive.raw/RTDC4002/ "%USERPROFILE%\AppData\Local\Temp\OnboardLogs"\RTDC4002\2017-07-28 --exclude "*" --recursive --include "*20170728*" &amp; "%USERPROFILE%\Documents\GitHub\mrs-test-scripts\Headless Mode &amp; Sideloading\WalkAndUnGZ.bat" "%USERPROFILE%\AppData\Local\Temp\OnboardLogs"\RTDC4002\2017-07-28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/stypes="app*4002*20170727*" /stext=" 06:.+((SYSTEM_STATE.+slice.+state.+changed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17"/>
        <v>"%USERPROFILE%\Documents\GitHub\eaglep3\Utilities\RefineRTDCRunTimes.py" --tripid 307-26 --locoid 4002 --swversion DE.1.0.9.0 --startMP 204:449 --initTime 2017-07-27T00:40:39 --startdatetime 2017-07-27T00:42:30 --delay 1 --endMP 300:23346 --enddatetime 2017-07-27T00:53:15 --enforcementcount 0 &gt;&gt;C:\Users\stu\Documents\GitHub\eaglep3-reporting\EC\2017-07-26-refined-times.txt</v>
      </c>
      <c r="AI210" s="96" t="str">
        <f t="shared" si="18"/>
        <v>echo {"issue":{"subject":"","project_id":79,"tracker_id":40,"status_id":1,"priority_id":2,"assigned_to_id":23,"start_date":"2017-07-27","description":"","custom_fields":[{"id":1,"name":"Subdivision","value":"Other"},{"id":4,"name":"Milepost","value":"2.3346"},{"id":17,"name":"Train ID","value":"307-26"},{"id":16,"name":"Locomotive ID","value":"4002"},{"id":130,"name":"Impact","value":""},{"id":150,"name":"Time of Event (Mountain Time)","value":"00:53:15"},{"id":151,"name":"Denver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9"/>
        <v>start /low /b %USERPROFILE%\Documents\GitHub\eaglep3\Utilities\DownloadLogsFromS3.py --loco 4002 --day 2017-07-27</v>
      </c>
      <c r="AN210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06:53:15"},{"id":29,"name":"Sharepoint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667</v>
      </c>
      <c r="B211" s="7">
        <v>4005</v>
      </c>
      <c r="C211" s="21" t="s">
        <v>198</v>
      </c>
      <c r="D211" s="21" t="s">
        <v>936</v>
      </c>
      <c r="E211" s="13">
        <v>42942.179560185185</v>
      </c>
      <c r="F211" s="13">
        <v>42942.182604166665</v>
      </c>
      <c r="G211" s="7">
        <v>4</v>
      </c>
      <c r="H211" s="21" t="s">
        <v>529</v>
      </c>
      <c r="I211" s="13">
        <v>42942.188032407408</v>
      </c>
      <c r="J211" s="7">
        <v>0</v>
      </c>
      <c r="K211" s="89" t="str">
        <f>IF(ISEVEN(B211),(B211-1)&amp;"/"&amp;B211,B211&amp;"/"&amp;(B211+1))</f>
        <v>4005/4006</v>
      </c>
      <c r="L211" s="21" t="str">
        <f>VLOOKUP(A211,'Trips&amp;Operators'!$C$1:$G$99999,5,FALSE)</f>
        <v>DAVIS WENDY</v>
      </c>
      <c r="M211" s="6">
        <f>I211-F211</f>
        <v>5.4282407436403446E-3</v>
      </c>
      <c r="N211" s="7">
        <f>24*60*SUM($M211:$M211)</f>
        <v>7.8166666708420962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-26T03:18:34-0600',mode:absolute,to:'2017-07-26T05:30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2.3302999999999998</v>
      </c>
      <c r="Z211" s="197">
        <f>RIGHT(H211,LEN(H211)-4)/10000</f>
        <v>1.6899999999999998E-2</v>
      </c>
      <c r="AA211" s="197">
        <f>ABS(Z211-Y211)</f>
        <v>2.3133999999999997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308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/stypes="app*4005*20170726*" /stext=" 10:.+((SYSTEM_STATE.+slice.+state.+changed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17"/>
        <v>"%USERPROFILE%\Documents\GitHub\eaglep3\Utilities\RefineRTDCRunTimes.py" --tripid 308-26 --locoid 4005 --swversion DE.1.0.9.0 --startMP 300:23303 --initTime 2017-07-26T04:18:34 --startdatetime 2017-07-26T04:22:57 --delay 4 --endMP 204:169 --enddatetime 2017-07-26T04:30:46 --enforcementcount 0 &gt;&gt;C:\Users\stu\Documents\GitHub\eaglep3-reporting\EC\2017-07-26-refined-times.txt</v>
      </c>
      <c r="AI211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{"issue":{"subject":"","project_id":79,"tracker_id":40,"status_id":1,"priority_id":2,"assigned_to_id":23,"start_date":"2017-07-26","description":"","custom_fields":[{"id":1,"name":"Subdivision","value":"Other"},{"id":4,"name":"Milepost","value":"0.0169"},{"id":17,"name":"Train ID","value":"308-26"},{"id":16,"name":"Locomotive ID","value":"4005"},{"id":130,"name":"Impact","value":""},{"id":150,"name":"Time of Event (Mountain Time)","value":"04:30:46"},{"id":151,"name":"Denver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9"/>
        <v>start /low /b %USERPROFILE%\Documents\GitHub\eaglep3\Utilities\DownloadLogsFromS3.py --loco 4005 --day 2017-07-26</v>
      </c>
      <c r="AN211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10:30:46"},{"id":29,"name":"Sharepoint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860</v>
      </c>
      <c r="B212" s="7">
        <v>4008</v>
      </c>
      <c r="C212" s="21" t="s">
        <v>198</v>
      </c>
      <c r="D212" s="21" t="s">
        <v>917</v>
      </c>
      <c r="E212" s="13">
        <v>42943.048831018517</v>
      </c>
      <c r="F212" s="13">
        <v>42943.049942129626</v>
      </c>
      <c r="G212" s="7">
        <v>1</v>
      </c>
      <c r="H212" s="21" t="s">
        <v>346</v>
      </c>
      <c r="I212" s="13">
        <v>42943.057569444441</v>
      </c>
      <c r="J212" s="7">
        <v>0</v>
      </c>
      <c r="K212" s="89" t="str">
        <f>IF(ISEVEN(B212),(B212-1)&amp;"/"&amp;B212,B212&amp;"/"&amp;(B212+1))</f>
        <v>4007/4008</v>
      </c>
      <c r="L212" s="21" t="str">
        <f>VLOOKUP(A212,'Trips&amp;Operators'!$C$1:$G$99999,5,FALSE)</f>
        <v>HAITHCOX MICHAEL</v>
      </c>
      <c r="M212" s="6">
        <f>I212-F212</f>
        <v>7.6273148151813075E-3</v>
      </c>
      <c r="N212" s="7">
        <f>24*60*SUM($M212:$M212)</f>
        <v>10.983333333861083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-27T00:10:19-0600',mode:absolute,to:'2017-07-27T02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4.9700000000000001E-2</v>
      </c>
      <c r="Z212" s="197">
        <f>RIGHT(H212,LEN(H212)-4)/10000</f>
        <v>2.3346</v>
      </c>
      <c r="AA212" s="197">
        <f>ABS(Z212-Y212)</f>
        <v>2.2848999999999999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309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 &amp; aws s3 cp s3://rtdc.mdm.uploadarchive.raw/RTDC4008/ "%USERPROFILE%\AppData\Local\Temp\OnboardLogs"\RTDC4008\2017-07-28 --exclude "*" --recursive --include "*20170728*" &amp; "%USERPROFILE%\Documents\GitHub\mrs-test-scripts\Headless Mode &amp; Sideloading\WalkAndUnGZ.bat" "%USERPROFILE%\AppData\Local\Temp\OnboardLogs"\RTDC4008\2017-07-28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/stypes="app*4008*20170727*" /stext=" 07:.+((SYSTEM_STATE.+slice.+state.+changed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17"/>
        <v>"%USERPROFILE%\Documents\GitHub\eaglep3\Utilities\RefineRTDCRunTimes.py" --tripid 309-26 --locoid 4008 --swversion DE.1.0.9.0 --startMP 204:497 --initTime 2017-07-27T01:10:19 --startdatetime 2017-07-27T01:11:55 --delay 1 --endMP 300:23346 --enddatetime 2017-07-27T01:22:54 --enforcementcount 0 &gt;&gt;C:\Users\stu\Documents\GitHub\eaglep3-reporting\EC\2017-07-26-refined-times.txt</v>
      </c>
      <c r="AI212" s="96" t="str">
        <f t="shared" si="18"/>
        <v>echo {"issue":{"subject":"","project_id":79,"tracker_id":40,"status_id":1,"priority_id":2,"assigned_to_id":23,"start_date":"2017-07-27","description":"","custom_fields":[{"id":1,"name":"Subdivision","value":"Other"},{"id":4,"name":"Milepost","value":"2.3346"},{"id":17,"name":"Train ID","value":"309-26"},{"id":16,"name":"Locomotive ID","value":"4008"},{"id":130,"name":"Impact","value":""},{"id":150,"name":"Time of Event (Mountain Time)","value":"01:22:54"},{"id":151,"name":"Denver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9"/>
        <v>start /low /b %USERPROFILE%\Documents\GitHub\eaglep3\Utilities\DownloadLogsFromS3.py --loco 4008 --day 2017-07-27</v>
      </c>
      <c r="AN212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07:22:54"},{"id":29,"name":"Sharepoint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672</v>
      </c>
      <c r="B213" s="7">
        <v>4015</v>
      </c>
      <c r="C213" s="21" t="s">
        <v>198</v>
      </c>
      <c r="D213" s="21" t="s">
        <v>937</v>
      </c>
      <c r="E213" s="13">
        <v>42942.204317129632</v>
      </c>
      <c r="F213" s="13">
        <v>42942.207499999997</v>
      </c>
      <c r="G213" s="7">
        <v>4</v>
      </c>
      <c r="H213" s="21" t="s">
        <v>349</v>
      </c>
      <c r="I213" s="13">
        <v>42942.212534722225</v>
      </c>
      <c r="J213" s="7">
        <v>0</v>
      </c>
      <c r="K213" s="89" t="str">
        <f>IF(ISEVEN(B213),(B213-1)&amp;"/"&amp;B213,B213&amp;"/"&amp;(B213+1))</f>
        <v>4015/4016</v>
      </c>
      <c r="L213" s="21" t="str">
        <f>VLOOKUP(A213,'Trips&amp;Operators'!$C$1:$G$99999,5,FALSE)</f>
        <v>LOZA FIDEL</v>
      </c>
      <c r="M213" s="6">
        <f>I213-F213</f>
        <v>5.0347222277196124E-3</v>
      </c>
      <c r="N213" s="7">
        <f>24*60*SUM($M213:$M213)</f>
        <v>7.2500000079162419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-26T03:54:13-0600',mode:absolute,to:'2017-07-26T06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2.3389000000000002</v>
      </c>
      <c r="Z213" s="197">
        <f>RIGHT(H213,LEN(H213)-4)/10000</f>
        <v>1.3899999999999999E-2</v>
      </c>
      <c r="AA213" s="197">
        <f>ABS(Z213-Y213)</f>
        <v>2.3250000000000002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310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/stypes="app*4015*20170726*" /stext=" 11:.+((SYSTEM_STATE.+slice.+state.+changed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17"/>
        <v>"%USERPROFILE%\Documents\GitHub\eaglep3\Utilities\RefineRTDCRunTimes.py" --tripid 310-26 --locoid 4015 --swversion DE.1.0.9.0 --startMP 300:23389 --initTime 2017-07-26T04:54:13 --startdatetime 2017-07-26T04:58:48 --delay 4 --endMP 204:139 --enddatetime 2017-07-26T05:06:03 --enforcementcount 0 &gt;&gt;C:\Users\stu\Documents\GitHub\eaglep3-reporting\EC\2017-07-26-refined-times.txt</v>
      </c>
      <c r="AI213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{"issue":{"subject":"","project_id":79,"tracker_id":40,"status_id":1,"priority_id":2,"assigned_to_id":23,"start_date":"2017-07-26","description":"","custom_fields":[{"id":1,"name":"Subdivision","value":"Other"},{"id":4,"name":"Milepost","value":"0.0139"},{"id":17,"name":"Train ID","value":"310-26"},{"id":16,"name":"Locomotive ID","value":"4015"},{"id":130,"name":"Impact","value":""},{"id":150,"name":"Time of Event (Mountain Time)","value":"05:06:03"},{"id":151,"name":"Denver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9"/>
        <v>start /low /b %USERPROFILE%\Documents\GitHub\eaglep3\Utilities\DownloadLogsFromS3.py --loco 4015 --day 2017-07-26</v>
      </c>
      <c r="AN213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862</v>
      </c>
      <c r="B214" s="7">
        <v>4004</v>
      </c>
      <c r="C214" s="21" t="s">
        <v>198</v>
      </c>
      <c r="D214" s="21" t="s">
        <v>406</v>
      </c>
      <c r="E214" s="13">
        <v>42943.06759259259</v>
      </c>
      <c r="F214" s="13">
        <v>42943.069236111114</v>
      </c>
      <c r="G214" s="7">
        <v>1</v>
      </c>
      <c r="H214" s="21" t="s">
        <v>592</v>
      </c>
      <c r="I214" s="13">
        <v>42943.079594907409</v>
      </c>
      <c r="J214" s="7">
        <v>0</v>
      </c>
      <c r="K214" s="89" t="str">
        <f>IF(ISEVEN(B214),(B214-1)&amp;"/"&amp;B214,B214&amp;"/"&amp;(B214+1))</f>
        <v>4003/4004</v>
      </c>
      <c r="L214" s="21" t="str">
        <f>VLOOKUP(A214,'Trips&amp;Operators'!$C$1:$G$99999,5,FALSE)</f>
        <v>PAGE MARCUS</v>
      </c>
      <c r="M214" s="6">
        <f>I214-F214</f>
        <v>1.0358796294895001E-2</v>
      </c>
      <c r="N214" s="7">
        <f>24*60*SUM($M214:$M214)</f>
        <v>14.916666664648801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-27T00:37:20-0600',mode:absolute,to:'2017-07-27T02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4.58E-2</v>
      </c>
      <c r="Z214" s="197">
        <f>RIGHT(H214,LEN(H214)-4)/10000</f>
        <v>2.3300999999999998</v>
      </c>
      <c r="AA214" s="197">
        <f>ABS(Z214-Y214)</f>
        <v>2.2843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311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 &amp; aws s3 cp s3://rtdc.mdm.uploadarchive.raw/RTDC4004/ "%USERPROFILE%\AppData\Local\Temp\OnboardLogs"\RTDC4004\2017-07-28 --exclude "*" --recursive --include "*20170728*" &amp; "%USERPROFILE%\Documents\GitHub\mrs-test-scripts\Headless Mode &amp; Sideloading\WalkAndUnGZ.bat" "%USERPROFILE%\AppData\Local\Temp\OnboardLogs"\RTDC4004\2017-07-28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/stypes="app*4004*20170727*" /stext=" 07:.+((SYSTEM_STATE.+slice.+state.+changed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17"/>
        <v>"%USERPROFILE%\Documents\GitHub\eaglep3\Utilities\RefineRTDCRunTimes.py" --tripid 311-26 --locoid 4004 --swversion DE.1.0.9.0 --startMP 204:458 --initTime 2017-07-27T01:37:20 --startdatetime 2017-07-27T01:39:42 --delay 1 --endMP 300:23301 --enddatetime 2017-07-27T01:54:37 --enforcementcount 0 &gt;&gt;C:\Users\stu\Documents\GitHub\eaglep3-reporting\EC\2017-07-26-refined-times.txt</v>
      </c>
      <c r="AI214" s="96" t="str">
        <f t="shared" si="18"/>
        <v>echo {"issue":{"subject":"","project_id":79,"tracker_id":40,"status_id":1,"priority_id":2,"assigned_to_id":23,"start_date":"2017-07-27","description":"","custom_fields":[{"id":1,"name":"Subdivision","value":"Other"},{"id":4,"name":"Milepost","value":"2.3301"},{"id":17,"name":"Train ID","value":"311-26"},{"id":16,"name":"Locomotive ID","value":"4004"},{"id":130,"name":"Impact","value":""},{"id":150,"name":"Time of Event (Mountain Time)","value":"01:54:37"},{"id":151,"name":"Denver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9"/>
        <v>start /low /b %USERPROFILE%\Documents\GitHub\eaglep3\Utilities\DownloadLogsFromS3.py --loco 4004 --day 2017-07-27</v>
      </c>
      <c r="AN214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07:54:37"},{"id":29,"name":"Sharepoint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678</v>
      </c>
      <c r="B215" s="7">
        <v>4055</v>
      </c>
      <c r="C215" s="21" t="s">
        <v>198</v>
      </c>
      <c r="D215" s="21" t="s">
        <v>938</v>
      </c>
      <c r="E215" s="13">
        <v>42942.222893518519</v>
      </c>
      <c r="F215" s="13">
        <v>42942.226550925923</v>
      </c>
      <c r="G215" s="7">
        <v>5</v>
      </c>
      <c r="H215" s="21" t="s">
        <v>352</v>
      </c>
      <c r="I215" s="13">
        <v>42942.232303240744</v>
      </c>
      <c r="J215" s="7">
        <v>0</v>
      </c>
      <c r="K215" s="89" t="str">
        <f>IF(ISEVEN(B215),(B215-1)&amp;"/"&amp;B215,B215&amp;"/"&amp;(B215+1))</f>
        <v>4055/4056</v>
      </c>
      <c r="L215" s="21" t="str">
        <f>VLOOKUP(A215,'Trips&amp;Operators'!$C$1:$G$99999,5,FALSE)</f>
        <v>YANG JAN</v>
      </c>
      <c r="M215" s="6">
        <f>I215-F215</f>
        <v>5.7523148207110353E-3</v>
      </c>
      <c r="N215" s="7">
        <f>24*60*SUM($M215:$M215)</f>
        <v>8.2833333418238908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-26T04:20:58-0600',mode:absolute,to:'2017-07-26T06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2.3738999999999999</v>
      </c>
      <c r="Z215" s="197">
        <f>RIGHT(H215,LEN(H215)-4)/10000</f>
        <v>1.47E-2</v>
      </c>
      <c r="AA215" s="197">
        <f>ABS(Z215-Y215)</f>
        <v>2.3592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312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s3://rtdc.mdm.uploadarchive.raw/RTDC4055/ "%USERPROFILE%\AppData\Local\Temp\OnboardLogs"\RTDC4055\2017-07-26 --exclude "*" --recursive --include "*20170726*" &amp; "%USERPROFILE%\Documents\GitHub\mrs-test-scripts\Headless Mode &amp; Sideloading\WalkAndUnGZ.bat" "%USERPROFILE%\AppData\Local\Temp\OnboardLogs"\RTDC4055\2017-07-26 &amp; 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/stypes="app*4055*20170726*"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17"/>
        <v>"%USERPROFILE%\Documents\GitHub\eaglep3\Utilities\RefineRTDCRunTimes.py" --tripid 312-26 --locoid 4055 --swversion DE.1.0.9.0 --startMP 300:23739 --initTime 2017-07-26T05:20:58 --startdatetime 2017-07-26T05:26:14 --delay 5 --endMP 204:147 --enddatetime 2017-07-26T05:34:31 --enforcementcount 0 &gt;&gt;C:\Users\stu\Documents\GitHub\eaglep3-reporting\EC\2017-07-26-refined-times.txt</v>
      </c>
      <c r="AI215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{"issue":{"subject":"","project_id":79,"tracker_id":40,"status_id":1,"priority_id":2,"assigned_to_id":23,"start_date":"2017-07-26","description":"","custom_fields":[{"id":1,"name":"Subdivision","value":"Other"},{"id":4,"name":"Milepost","value":"0.0147"},{"id":17,"name":"Train ID","value":"312-26"},{"id":16,"name":"Locomotive ID","value":"4055"},{"id":130,"name":"Impact","value":""},{"id":150,"name":"Time of Event (Mountain Time)","value":"05:34:31"},{"id":151,"name":"Denver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9"/>
        <v>start /low /b %USERPROFILE%\Documents\GitHub\eaglep3\Utilities\DownloadLogsFromS3.py --loco 4055 --day 2017-07-26</v>
      </c>
      <c r="AN215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554</v>
      </c>
      <c r="B216" s="7">
        <v>4018</v>
      </c>
      <c r="C216" s="21" t="s">
        <v>198</v>
      </c>
      <c r="D216" s="21" t="s">
        <v>591</v>
      </c>
      <c r="E216" s="13">
        <v>42942.089826388888</v>
      </c>
      <c r="F216" s="13">
        <v>42942.096296296295</v>
      </c>
      <c r="G216" s="7">
        <v>1</v>
      </c>
      <c r="H216" s="21" t="s">
        <v>346</v>
      </c>
      <c r="I216" s="13">
        <v>42942.102314814816</v>
      </c>
      <c r="J216" s="7">
        <v>0</v>
      </c>
      <c r="K216" s="89" t="str">
        <f>IF(ISEVEN(B216),(B216-1)&amp;"/"&amp;B216,B216&amp;"/"&amp;(B216+1))</f>
        <v>4017/4018</v>
      </c>
      <c r="L216" s="21" t="str">
        <f>VLOOKUP(A216,'Trips&amp;Operators'!$C$1:$G$99999,5,FALSE)</f>
        <v>LAMAR NEKESHA</v>
      </c>
      <c r="M216" s="6">
        <f>I216-F216</f>
        <v>6.0185185211594217E-3</v>
      </c>
      <c r="N216" s="7">
        <f>24*60*SUM($M216:$M216)</f>
        <v>8.6666666704695672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-26T01:09:21-0600',mode:absolute,to:'2017-07-26T03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4.8599999999999997E-2</v>
      </c>
      <c r="Z216" s="197">
        <f>RIGHT(H216,LEN(H216)-4)/10000</f>
        <v>2.3346</v>
      </c>
      <c r="AA216" s="197">
        <f>ABS(Z216-Y216)</f>
        <v>2.286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313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s3://rtdc.mdm.uploadarchive.raw/RTDC4018/ "%USERPROFILE%\AppData\Local\Temp\OnboardLogs"\RTDC4018\2017-07-26 --exclude "*" --recursive --include "*20170726*" &amp; "%USERPROFILE%\Documents\GitHub\mrs-test-scripts\Headless Mode &amp; Sideloading\WalkAndUnGZ.bat" "%USERPROFILE%\AppData\Local\Temp\OnboardLogs"\RTDC4018\2017-07-26 &amp; aws s3 cp s3://rtdc.mdm.uploadarchive.raw/RTDC4018/ "%USERPROFILE%\AppData\Local\Temp\OnboardLogs"\RTDC4018\2017-07-27 --exclude "*" --recursive --include "*20170727*" &amp; "%USERPROFILE%\Documents\GitHub\mrs-test-scripts\Headless Mode &amp; Sideloading\WalkAndUnGZ.bat" "%USERPROFILE%\AppData\Local\Temp\OnboardLogs"\RTDC4018\2017-07-27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/stypes="app*4018*20170726*" /stext=" 08:.+((SYSTEM_STATE.+slice.+state.+changed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17"/>
        <v>"%USERPROFILE%\Documents\GitHub\eaglep3\Utilities\RefineRTDCRunTimes.py" --tripid 313-25 --locoid 4018 --swversion DE.1.0.9.0 --startMP 204:486 --initTime 2017-07-26T02:09:21 --startdatetime 2017-07-26T02:18:40 --delay 1 --endMP 300:23346 --enddatetime 2017-07-26T02:27:20 --enforcementcount 0 &gt;&gt;C:\Users\stu\Documents\GitHub\eaglep3-reporting\EC\2017-07-26-refined-times.txt</v>
      </c>
      <c r="AI216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{"issue":{"subject":"","project_id":79,"tracker_id":40,"status_id":1,"priority_id":2,"assigned_to_id":23,"start_date":"2017-07-26","description":"","custom_fields":[{"id":1,"name":"Subdivision","value":"Other"},{"id":4,"name":"Milepost","value":"2.3346"},{"id":17,"name":"Train ID","value":"313-25"},{"id":16,"name":"Locomotive ID","value":"4018"},{"id":130,"name":"Impact","value":""},{"id":150,"name":"Time of Event (Mountain Time)","value":"02:27:20"},{"id":151,"name":"Denver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9"/>
        <v>start /low /b %USERPROFILE%\Documents\GitHub\eaglep3\Utilities\DownloadLogsFromS3.py --loco 4018 --day 2017-07-26</v>
      </c>
      <c r="AN216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08:27:20"},{"id":29,"name":"Sharepoint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863</v>
      </c>
      <c r="B217" s="7">
        <v>4024</v>
      </c>
      <c r="C217" s="21" t="s">
        <v>198</v>
      </c>
      <c r="D217" s="21" t="s">
        <v>876</v>
      </c>
      <c r="E217" s="13">
        <v>42943.088969907411</v>
      </c>
      <c r="F217" s="13">
        <v>42943.091990740744</v>
      </c>
      <c r="G217" s="7">
        <v>1</v>
      </c>
      <c r="H217" s="21" t="s">
        <v>346</v>
      </c>
      <c r="I217" s="13">
        <v>42943.100914351853</v>
      </c>
      <c r="J217" s="7">
        <v>0</v>
      </c>
      <c r="K217" s="89" t="str">
        <f>IF(ISEVEN(B217),(B217-1)&amp;"/"&amp;B217,B217&amp;"/"&amp;(B217+1))</f>
        <v>4023/4024</v>
      </c>
      <c r="L217" s="21" t="str">
        <f>VLOOKUP(A217,'Trips&amp;Operators'!$C$1:$G$99999,5,FALSE)</f>
        <v>LAMAR NEKESHA</v>
      </c>
      <c r="M217" s="6">
        <f>I217-F217</f>
        <v>8.923611108912155E-3</v>
      </c>
      <c r="N217" s="7">
        <f>24*60*SUM($M217:$M217)</f>
        <v>12.849999996833503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-27T01:08:07-0600',mode:absolute,to:'2017-07-27T03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0</v>
      </c>
      <c r="Y217" s="197">
        <f>RIGHT(D217,LEN(D217)-4)/10000</f>
        <v>4.6399999999999997E-2</v>
      </c>
      <c r="Z217" s="197">
        <f>RIGHT(H217,LEN(H217)-4)/10000</f>
        <v>2.3346</v>
      </c>
      <c r="AA217" s="197">
        <f>ABS(Z217-Y217)</f>
        <v>2.2881999999999998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313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 &amp; 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/stypes="app*4024*20170727*" /stext=" 08:.+((SYSTEM_STATE.+slice.+state.+changed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17"/>
        <v>"%USERPROFILE%\Documents\GitHub\eaglep3\Utilities\RefineRTDCRunTimes.py" --tripid 313-26 --locoid 4024 --swversion DE.1.0.9.0 --startMP 204:464 --initTime 2017-07-27T02:08:07 --startdatetime 2017-07-27T02:12:28 --delay 1 --endMP 300:23346 --enddatetime 2017-07-27T02:25:19 --enforcementcount 0 &gt;&gt;C:\Users\stu\Documents\GitHub\eaglep3-reporting\EC\2017-07-26-refined-times.txt</v>
      </c>
      <c r="AI217" s="96" t="str">
        <f t="shared" si="18"/>
        <v>echo {"issue":{"subject":"","project_id":79,"tracker_id":40,"status_id":1,"priority_id":2,"assigned_to_id":23,"start_date":"2017-07-27","description":"","custom_fields":[{"id":1,"name":"Subdivision","value":"Other"},{"id":4,"name":"Milepost","value":"2.3346"},{"id":17,"name":"Train ID","value":"313-26"},{"id":16,"name":"Locomotive ID","value":"4024"},{"id":130,"name":"Impact","value":""},{"id":150,"name":"Time of Event (Mountain Time)","value":"02:25:19"},{"id":151,"name":"Denver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9"/>
        <v>start /low /b %USERPROFILE%\Documents\GitHub\eaglep3\Utilities\DownloadLogsFromS3.py --loco 4024 --day 2017-07-27</v>
      </c>
      <c r="AN217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08:25:19"},{"id":29,"name":"Sharepoint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615</v>
      </c>
      <c r="B218" s="7">
        <v>4046</v>
      </c>
      <c r="C218" s="21" t="s">
        <v>198</v>
      </c>
      <c r="D218" s="21" t="s">
        <v>1029</v>
      </c>
      <c r="E218" s="13">
        <v>42942.203275462962</v>
      </c>
      <c r="F218" s="13">
        <v>42942.206863425927</v>
      </c>
      <c r="G218" s="7">
        <v>5</v>
      </c>
      <c r="H218" s="21" t="s">
        <v>1025</v>
      </c>
      <c r="I218" s="13">
        <v>42942.212361111109</v>
      </c>
      <c r="J218" s="7">
        <v>0</v>
      </c>
      <c r="K218" s="89" t="str">
        <f>IF(ISEVEN(B218),(B218-1)&amp;"/"&amp;B218,B218&amp;"/"&amp;(B218+1))</f>
        <v>4045/4046</v>
      </c>
      <c r="L218" s="21" t="str">
        <f>VLOOKUP(A218,'Trips&amp;Operators'!$C$1:$G$99999,5,FALSE)</f>
        <v>MACDONALD THOMAS</v>
      </c>
      <c r="M218" s="6">
        <f>I218-F218</f>
        <v>5.4976851824903861E-3</v>
      </c>
      <c r="N218" s="7">
        <f>24*60*SUM($M218:$M218)</f>
        <v>7.9166666627861559</v>
      </c>
      <c r="O218" s="7"/>
      <c r="P218" s="7"/>
      <c r="Q218" s="22"/>
      <c r="R218" s="170"/>
      <c r="S218" s="213">
        <f>1/IF(AG218="EC",12,1)*SUM(U218:U218)</f>
        <v>0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-26T03:52:43-0600',mode:absolute,to:'2017-07-26T06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588</v>
      </c>
      <c r="Y218" s="197">
        <f>RIGHT(D218,LEN(D218)-4)/10000</f>
        <v>3.0106000000000002</v>
      </c>
      <c r="Z218" s="197">
        <f>RIGHT(H218,LEN(H218)-4)/10000</f>
        <v>5.8971</v>
      </c>
      <c r="AA218" s="197">
        <f>ABS(Z218-Y218)</f>
        <v>2.8864999999999998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901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/stypes="app*4046*20170726*" /stext=" 11:.+((SYSTEM_STATE.+slice.+state.+changed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17"/>
        <v>"%USERPROFILE%\Documents\GitHub\eaglep3\Utilities\RefineRTDCRunTimes.py" --tripid 901-26 --locoid 4046 --swversion DE.1.0.9.0 --startMP 300:30106 --initTime 2017-07-26T04:52:43 --startdatetime 2017-07-26T04:57:53 --delay 5 --endMP 300:58971 --enddatetime 2017-07-26T05:05:48 --enforcementcount 0 &gt;&gt;C:\Users\stu\Documents\GitHub\eaglep3-reporting\EC\2017-07-26-refined-times.txt</v>
      </c>
      <c r="AI218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{"issue":{"subject":"","project_id":79,"tracker_id":40,"status_id":1,"priority_id":2,"assigned_to_id":23,"start_date":"2017-07-26","description":"","custom_fields":[{"id":1,"name":"Subdivision","value":"Other"},{"id":4,"name":"Milepost","value":"5.8971"},{"id":17,"name":"Train ID","value":"901-26"},{"id":16,"name":"Locomotive ID","value":"4046"},{"id":130,"name":"Impact","value":""},{"id":150,"name":"Time of Event (Mountain Time)","value":"05:05:48"},{"id":151,"name":"Denver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9"/>
        <v>start /low /b %USERPROFILE%\Documents\GitHub\eaglep3\Utilities\DownloadLogsFromS3.py --loco 4046 --day 2017-07-26</v>
      </c>
      <c r="AN218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618</v>
      </c>
      <c r="B219" s="7">
        <v>4013</v>
      </c>
      <c r="C219" s="21" t="s">
        <v>198</v>
      </c>
      <c r="D219" s="21" t="s">
        <v>1030</v>
      </c>
      <c r="E219" s="13">
        <v>42942.238333333335</v>
      </c>
      <c r="F219" s="13">
        <v>42942.241539351853</v>
      </c>
      <c r="G219" s="7">
        <v>4</v>
      </c>
      <c r="H219" s="21" t="s">
        <v>1031</v>
      </c>
      <c r="I219" s="13">
        <v>42942.24858796296</v>
      </c>
      <c r="J219" s="7">
        <v>0</v>
      </c>
      <c r="K219" s="89" t="str">
        <f>IF(ISEVEN(B219),(B219-1)&amp;"/"&amp;B219,B219&amp;"/"&amp;(B219+1))</f>
        <v>4013/4014</v>
      </c>
      <c r="L219" s="21" t="str">
        <f>VLOOKUP(A219,'Trips&amp;Operators'!$C$1:$G$99999,5,FALSE)</f>
        <v>STORY SAMANTHA</v>
      </c>
      <c r="M219" s="6">
        <f>I219-F219</f>
        <v>7.0486111071659252E-3</v>
      </c>
      <c r="N219" s="7">
        <f>24*60*SUM($M219:$M219)</f>
        <v>10.149999994318932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-26T04:43:12-0600',mode:absolute,to:'2017-07-26T06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1</v>
      </c>
      <c r="Y219" s="197">
        <f>RIGHT(D219,LEN(D219)-4)/10000</f>
        <v>2.3534999999999999</v>
      </c>
      <c r="Z219" s="197">
        <f>RIGHT(H219,LEN(H219)-4)/10000</f>
        <v>7.0599999999999996E-2</v>
      </c>
      <c r="AA219" s="197">
        <f>ABS(Z219-Y219)</f>
        <v>2.2828999999999997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902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/stypes="app*4013*20170726*" /stext=" 11:.+((SYSTEM_STATE.+slice.+state.+changed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17"/>
        <v>"%USERPROFILE%\Documents\GitHub\eaglep3\Utilities\RefineRTDCRunTimes.py" --tripid 902-26 --locoid 4013 --swversion DE.1.0.9.0 --startMP 300:23535 --initTime 2017-07-26T05:43:12 --startdatetime 2017-07-26T05:47:49 --delay 4 --endMP 204:706 --enddatetime 2017-07-26T05:57:58 --enforcementcount 0 &gt;&gt;C:\Users\stu\Documents\GitHub\eaglep3-reporting\EC\2017-07-26-refined-times.txt</v>
      </c>
      <c r="AI219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{"issue":{"subject":"","project_id":79,"tracker_id":40,"status_id":1,"priority_id":2,"assigned_to_id":23,"start_date":"2017-07-26","description":"","custom_fields":[{"id":1,"name":"Subdivision","value":"Other"},{"id":4,"name":"Milepost","value":"0.0706"},{"id":17,"name":"Train ID","value":"902-26"},{"id":16,"name":"Locomotive ID","value":"4013"},{"id":130,"name":"Impact","value":""},{"id":150,"name":"Time of Event (Mountain Time)","value":"05:57:58"},{"id":151,"name":"Denver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9"/>
        <v>start /low /b %USERPROFILE%\Documents\GitHub\eaglep3\Utilities\DownloadLogsFromS3.py --loco 4013 --day 2017-07-26</v>
      </c>
      <c r="AN219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11:57:58"},{"id":29,"name":"Sharepoint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710</v>
      </c>
      <c r="B220" s="7">
        <v>4046</v>
      </c>
      <c r="C220" s="21" t="s">
        <v>198</v>
      </c>
      <c r="D220" s="21" t="s">
        <v>1032</v>
      </c>
      <c r="E220" s="13">
        <v>42942.352534722224</v>
      </c>
      <c r="F220" s="13">
        <v>42942.353680555556</v>
      </c>
      <c r="G220" s="7">
        <v>1</v>
      </c>
      <c r="H220" s="21" t="s">
        <v>1033</v>
      </c>
      <c r="I220" s="13">
        <v>42942.359675925924</v>
      </c>
      <c r="J220" s="7">
        <v>0</v>
      </c>
      <c r="K220" s="89" t="str">
        <f>IF(ISEVEN(B220),(B220-1)&amp;"/"&amp;B220,B220&amp;"/"&amp;(B220+1))</f>
        <v>4045/4046</v>
      </c>
      <c r="L220" s="21" t="str">
        <f>VLOOKUP(A220,'Trips&amp;Operators'!$C$1:$G$99999,5,FALSE)</f>
        <v>MACDONALD THOMAS</v>
      </c>
      <c r="M220" s="6">
        <f>I220-F220</f>
        <v>5.9953703676001169E-3</v>
      </c>
      <c r="N220" s="7">
        <f>24*60*SUM($M220:$M220)</f>
        <v>8.6333333293441683</v>
      </c>
      <c r="O220" s="7"/>
      <c r="P220" s="7"/>
      <c r="Q220" s="22"/>
      <c r="R220" s="170"/>
      <c r="S220" s="213">
        <f>1/IF(AG220="EC",12,1)*SUM(U220:U220)</f>
        <v>1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-26T07:27:39-0600',mode:absolute,to:'2017-07-26T09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0.1046</v>
      </c>
      <c r="Z220" s="197">
        <f>RIGHT(H220,LEN(H220)-4)/10000</f>
        <v>2.4256000000000002</v>
      </c>
      <c r="AA220" s="197">
        <f>ABS(Z220-Y220)</f>
        <v>2.3210000000000002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903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/stypes="app*4046*20170726*" /stext=" 14:.+((SYSTEM_STATE.+slice.+state.+changed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17"/>
        <v>"%USERPROFILE%\Documents\GitHub\eaglep3\Utilities\RefineRTDCRunTimes.py" --tripid 903-26 --locoid 4046 --swversion DE.1.0.9.0 --startMP 204:1046 --initTime 2017-07-26T08:27:39 --startdatetime 2017-07-26T08:29:18 --delay 1 --endMP 300:24256 --enddatetime 2017-07-26T08:37:56 --enforcementcount 0 &gt;&gt;C:\Users\stu\Documents\GitHub\eaglep3-reporting\EC\2017-07-26-refined-times.txt</v>
      </c>
      <c r="AI220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{"issue":{"subject":"","project_id":79,"tracker_id":40,"status_id":1,"priority_id":2,"assigned_to_id":23,"start_date":"2017-07-26","description":"","custom_fields":[{"id":1,"name":"Subdivision","value":"Other"},{"id":4,"name":"Milepost","value":"2.4256"},{"id":17,"name":"Train ID","value":"903-26"},{"id":16,"name":"Locomotive ID","value":"4046"},{"id":130,"name":"Impact","value":""},{"id":150,"name":"Time of Event (Mountain Time)","value":"08:37:56"},{"id":151,"name":"Denver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9"/>
        <v>start /low /b %USERPROFILE%\Documents\GitHub\eaglep3\Utilities\DownloadLogsFromS3.py --loco 4046 --day 2017-07-26</v>
      </c>
      <c r="AN220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646</v>
      </c>
      <c r="B221" s="7">
        <v>4045</v>
      </c>
      <c r="C221" s="21" t="s">
        <v>198</v>
      </c>
      <c r="D221" s="21" t="s">
        <v>1034</v>
      </c>
      <c r="E221" s="13">
        <v>42942.640405092592</v>
      </c>
      <c r="F221" s="13">
        <v>42942.64234953704</v>
      </c>
      <c r="G221" s="7">
        <v>2</v>
      </c>
      <c r="H221" s="21" t="s">
        <v>1019</v>
      </c>
      <c r="I221" s="13">
        <v>42942.647268518522</v>
      </c>
      <c r="J221" s="7">
        <v>0</v>
      </c>
      <c r="K221" s="89" t="str">
        <f>IF(ISEVEN(B221),(B221-1)&amp;"/"&amp;B221,B221&amp;"/"&amp;(B221+1))</f>
        <v>4045/4046</v>
      </c>
      <c r="L221" s="21" t="str">
        <f>VLOOKUP(A221,'Trips&amp;Operators'!$C$1:$G$99999,5,FALSE)</f>
        <v>CASSIDY BRANDON</v>
      </c>
      <c r="M221" s="6">
        <f>I221-F221</f>
        <v>4.9189814817509614E-3</v>
      </c>
      <c r="N221" s="7">
        <f>24*60*SUM($M221:$M221)</f>
        <v>7.0833333337213844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-26T14:22:11-0600',mode:absolute,to:'2017-07-26T16:32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2.3610000000000002</v>
      </c>
      <c r="Z221" s="197">
        <f>RIGHT(H221,LEN(H221)-4)/10000</f>
        <v>6.9599999999999995E-2</v>
      </c>
      <c r="AA221" s="197">
        <f>ABS(Z221-Y221)</f>
        <v>2.2914000000000003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904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/stypes="app*4045*20170726*" /stext=" 21:.+((SYSTEM_STATE.+slice.+state.+changed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17"/>
        <v>"%USERPROFILE%\Documents\GitHub\eaglep3\Utilities\RefineRTDCRunTimes.py" --tripid 904-26 --locoid 4045 --swversion DE.1.0.9.0 --startMP 300:23610 --initTime 2017-07-26T15:22:11 --startdatetime 2017-07-26T15:24:59 --delay 2 --endMP 204:696 --enddatetime 2017-07-26T15:32:04 --enforcementcount 0 &gt;&gt;C:\Users\stu\Documents\GitHub\eaglep3-reporting\EC\2017-07-26-refined-times.txt</v>
      </c>
      <c r="AI221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{"issue":{"subject":"","project_id":79,"tracker_id":40,"status_id":1,"priority_id":2,"assigned_to_id":23,"start_date":"2017-07-26","description":"","custom_fields":[{"id":1,"name":"Subdivision","value":"Other"},{"id":4,"name":"Milepost","value":"0.0696"},{"id":17,"name":"Train ID","value":"904-26"},{"id":16,"name":"Locomotive ID","value":"4045"},{"id":130,"name":"Impact","value":""},{"id":150,"name":"Time of Event (Mountain Time)","value":"15:32:04"},{"id":151,"name":"Denver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9"/>
        <v>start /low /b %USERPROFILE%\Documents\GitHub\eaglep3\Utilities\DownloadLogsFromS3.py --loco 4045 --day 2017-07-26</v>
      </c>
      <c r="AN221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21:32:04"},{"id":29,"name":"Sharepoint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825</v>
      </c>
      <c r="B222" s="7">
        <v>4045</v>
      </c>
      <c r="C222" s="21" t="s">
        <v>198</v>
      </c>
      <c r="D222" s="21" t="s">
        <v>1035</v>
      </c>
      <c r="E222" s="13">
        <v>42942.796319444446</v>
      </c>
      <c r="F222" s="13">
        <v>42942.797673611109</v>
      </c>
      <c r="G222" s="7">
        <v>1</v>
      </c>
      <c r="H222" s="21" t="s">
        <v>1036</v>
      </c>
      <c r="I222" s="13">
        <v>42942.804398148146</v>
      </c>
      <c r="J222" s="7">
        <v>0</v>
      </c>
      <c r="K222" s="89" t="str">
        <f>IF(ISEVEN(B222),(B222-1)&amp;"/"&amp;B222,B222&amp;"/"&amp;(B222+1))</f>
        <v>4045/4046</v>
      </c>
      <c r="L222" s="21" t="str">
        <f>VLOOKUP(A222,'Trips&amp;Operators'!$C$1:$G$99999,5,FALSE)</f>
        <v>CASSIDY BRANDON</v>
      </c>
      <c r="M222" s="6">
        <f>I222-F222</f>
        <v>6.7245370373711921E-3</v>
      </c>
      <c r="N222" s="7">
        <f>24*60*SUM($M222:$M222)</f>
        <v>9.6833333338145167</v>
      </c>
      <c r="O222" s="7"/>
      <c r="P222" s="7"/>
      <c r="Q222" s="22"/>
      <c r="R222" s="170"/>
      <c r="S222" s="213">
        <f>1/IF(AG222="EC",12,1)*SUM(U222:U222)</f>
        <v>0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-26T18:06:42-0600',mode:absolute,to:'2017-07-26T20:18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2</v>
      </c>
      <c r="Y222" s="197">
        <f>RIGHT(D222,LEN(D222)-4)/10000</f>
        <v>5.8632</v>
      </c>
      <c r="Z222" s="197">
        <f>RIGHT(H222,LEN(H222)-4)/10000</f>
        <v>2.8769</v>
      </c>
      <c r="AA222" s="197">
        <f>ABS(Z222-Y222)</f>
        <v>2.9863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906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/stypes="app*4045*20170727*" /stext=" 01:.+((SYSTEM_STATE.+slice.+state.+changed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17"/>
        <v>"%USERPROFILE%\Documents\GitHub\eaglep3\Utilities\RefineRTDCRunTimes.py" --tripid 906-26 --locoid 4045 --swversion DE.1.0.9.0 --startMP 300:58632 --initTime 2017-07-26T19:06:42 --startdatetime 2017-07-26T19:08:39 --delay 1 --endMP 300:28769 --enddatetime 2017-07-26T19:18:20 --enforcementcount 0 &gt;&gt;C:\Users\stu\Documents\GitHub\eaglep3-reporting\EC\2017-07-26-refined-times.txt</v>
      </c>
      <c r="AI222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{"issue":{"subject":"","project_id":79,"tracker_id":40,"status_id":1,"priority_id":2,"assigned_to_id":23,"start_date":"2017-07-26","description":"","custom_fields":[{"id":1,"name":"Subdivision","value":"Other"},{"id":4,"name":"Milepost","value":"2.8769"},{"id":17,"name":"Train ID","value":"906-26"},{"id":16,"name":"Locomotive ID","value":"4045"},{"id":130,"name":"Impact","value":""},{"id":150,"name":"Time of Event (Mountain Time)","value":"19:18:20"},{"id":151,"name":"Denver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9"/>
        <v>start /low /b %USERPROFILE%\Documents\GitHub\eaglep3\Utilities\DownloadLogsFromS3.py --loco 4045 --day 2017-07-26</v>
      </c>
      <c r="AN222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01:18:20"},{"id":29,"name":"Sharepoint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656</v>
      </c>
      <c r="B223" s="7">
        <v>4013</v>
      </c>
      <c r="C223" s="21" t="s">
        <v>198</v>
      </c>
      <c r="D223" s="21" t="s">
        <v>603</v>
      </c>
      <c r="E223" s="13">
        <v>42942.942407407405</v>
      </c>
      <c r="F223" s="13">
        <v>42942.943935185183</v>
      </c>
      <c r="G223" s="7">
        <v>1</v>
      </c>
      <c r="H223" s="21" t="s">
        <v>610</v>
      </c>
      <c r="I223" s="13">
        <v>42942.952210648145</v>
      </c>
      <c r="J223" s="7">
        <v>0</v>
      </c>
      <c r="K223" s="89" t="str">
        <f>IF(ISEVEN(B223),(B223-1)&amp;"/"&amp;B223,B223&amp;"/"&amp;(B223+1))</f>
        <v>4013/4014</v>
      </c>
      <c r="L223" s="21" t="str">
        <f>VLOOKUP(A223,'Trips&amp;Operators'!$C$1:$G$99999,5,FALSE)</f>
        <v>CASSIDY BRANDON</v>
      </c>
      <c r="M223" s="6">
        <f>I223-F223</f>
        <v>8.2754629620467313E-3</v>
      </c>
      <c r="N223" s="7">
        <f>24*60*SUM($M223:$M223)</f>
        <v>11.916666665347293</v>
      </c>
      <c r="O223" s="7"/>
      <c r="P223" s="7"/>
      <c r="Q223" s="22"/>
      <c r="R223" s="170"/>
      <c r="S223" s="213">
        <f>1/IF(AG223="EC",12,1)*SUM(U223:U223)</f>
        <v>0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-26T21:37:04-0600',mode:absolute,to:'2017-07-26T23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2</v>
      </c>
      <c r="Y223" s="197">
        <f>RIGHT(D223,LEN(D223)-4)/10000</f>
        <v>5.8628</v>
      </c>
      <c r="Z223" s="197">
        <f>RIGHT(H223,LEN(H223)-4)/10000</f>
        <v>2.8795000000000002</v>
      </c>
      <c r="AA223" s="197">
        <f>ABS(Z223-Y223)</f>
        <v>2.9832999999999998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908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/stypes="app*4013*20170727*" /stext=" 04:.+((SYSTEM_STATE.+slice.+state.+changed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17"/>
        <v>"%USERPROFILE%\Documents\GitHub\eaglep3\Utilities\RefineRTDCRunTimes.py" --tripid 908-26 --locoid 4013 --swversion DE.1.0.9.0 --startMP 300:58628 --initTime 2017-07-26T22:37:04 --startdatetime 2017-07-26T22:39:16 --delay 1 --endMP 300:28795 --enddatetime 2017-07-26T22:51:11 --enforcementcount 0 &gt;&gt;C:\Users\stu\Documents\GitHub\eaglep3-reporting\EC\2017-07-26-refined-times.txt</v>
      </c>
      <c r="AI223" s="96" t="str">
        <f t="shared" si="18"/>
        <v>echo {"issue":{"subject":"","project_id":79,"tracker_id":40,"status_id":1,"priority_id":2,"assigned_to_id":23,"start_date":"2017-07-26","description":"","custom_fields":[{"id":1,"name":"Subdivision","value":"Other"},{"id":4,"name":"Milepost","value":"2.8795"},{"id":17,"name":"Train ID","value":"908-26"},{"id":16,"name":"Locomotive ID","value":"4013"},{"id":130,"name":"Impact","value":""},{"id":150,"name":"Time of Event (Mountain Time)","value":"22:51:11"},{"id":151,"name":"Denver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9"/>
        <v>start /low /b %USERPROFILE%\Documents\GitHub\eaglep3\Utilities\DownloadLogsFromS3.py --loco 4013 --day 2017-07-26</v>
      </c>
      <c r="AN223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734</v>
      </c>
      <c r="B224" s="7">
        <v>4065</v>
      </c>
      <c r="C224" s="21" t="s">
        <v>198</v>
      </c>
      <c r="D224" s="21" t="s">
        <v>939</v>
      </c>
      <c r="E224" s="13">
        <v>42942.559918981482</v>
      </c>
      <c r="F224" s="13">
        <v>42942.563101851854</v>
      </c>
      <c r="G224" s="7">
        <v>2</v>
      </c>
      <c r="H224" s="21" t="s">
        <v>610</v>
      </c>
      <c r="I224" s="13">
        <v>42942.581516203703</v>
      </c>
      <c r="J224" s="7">
        <v>0</v>
      </c>
      <c r="K224" s="89" t="str">
        <f>IF(ISEVEN(B224),(B224-1)&amp;"/"&amp;B224,B224&amp;"/"&amp;(B224+1))</f>
        <v>4065/4066</v>
      </c>
      <c r="L224" s="21" t="str">
        <f>VLOOKUP(A224,'Trips&amp;Operators'!$C$1:$G$99999,5,FALSE)</f>
        <v>DE LA ROSA ALEX</v>
      </c>
      <c r="M224" s="6">
        <f>I224-F224</f>
        <v>1.841435184906004E-2</v>
      </c>
      <c r="N224" s="7">
        <f>24*60*SUM($M224:$M224)</f>
        <v>26.516666662646458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-26T12:26:17-0600',mode:absolute,to:'2017-07-26T14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-858</v>
      </c>
      <c r="Y224" s="197">
        <f>RIGHT(D224,LEN(D224)-4)/10000</f>
        <v>11.2195</v>
      </c>
      <c r="Z224" s="197">
        <f>RIGHT(H224,LEN(H224)-4)/10000</f>
        <v>2.8795000000000002</v>
      </c>
      <c r="AA224" s="197">
        <f>ABS(Z224-Y224)</f>
        <v>8.34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50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/stypes="app*4065*20170726*" /stext=" 19:.+((SYSTEM_STATE.+slice.+state.+changed )|(ment ac)|(multiple cpu faults)|(system.+state.+changed )|(\[timeout)|(PRM\|1\|D)|(kpr)|(kdp)|(train st.+moving)|(\|lc)|(penalty))"</v>
      </c>
      <c r="AG224" s="209" t="str">
        <f>DetSubdiv(A224)</f>
        <v>Shuttle/Test</v>
      </c>
      <c r="AH224" s="78" t="str">
        <f t="shared" si="17"/>
        <v>"%USERPROFILE%\Documents\GitHub\eaglep3\Utilities\RefineRTDCRunTimes.py" --tripid 50-26 --locoid 4065 --swversion DE.1.0.9.0 --startMP 300:112195 --initTime 2017-07-26T13:26:17 --startdatetime 2017-07-26T13:30:52 --delay 2 --endMP 300:28795 --enddatetime 2017-07-26T13:57:23 --enforcementcount 0 &gt;&gt;C:\Users\stu\Documents\GitHub\eaglep3-reporting\EC\2017-07-26-refined-times.txt</v>
      </c>
      <c r="AI224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2.8795"},{"id":17,"name":"Train ID","value":"50-26"},{"id":16,"name":"Locomotive ID","value":"4065"},{"id":130,"name":"Impact","value":""},{"id":150,"name":"Time of Event (Mountain Time)","value":"13:57:23"},{"id":151,"name":"Denver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9"/>
        <v>start /low /b %USERPROFILE%\Documents\GitHub\eaglep3\Utilities\DownloadLogsFromS3.py --loco 4065 --day 2017-07-26</v>
      </c>
      <c r="AN224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734</v>
      </c>
      <c r="B225" s="7">
        <v>4065</v>
      </c>
      <c r="C225" s="21" t="s">
        <v>198</v>
      </c>
      <c r="D225" s="21" t="s">
        <v>940</v>
      </c>
      <c r="E225" s="13">
        <v>42942.447592592594</v>
      </c>
      <c r="F225" s="13">
        <v>42942.451585648145</v>
      </c>
      <c r="G225" s="7">
        <v>1</v>
      </c>
      <c r="H225" s="21" t="s">
        <v>342</v>
      </c>
      <c r="I225" s="13">
        <v>42942.476319444446</v>
      </c>
      <c r="J225" s="7">
        <v>0</v>
      </c>
      <c r="K225" s="89" t="str">
        <f>IF(ISEVEN(B225),(B225-1)&amp;"/"&amp;B225,B225&amp;"/"&amp;(B225+1))</f>
        <v>4065/4066</v>
      </c>
      <c r="L225" s="21" t="str">
        <f>VLOOKUP(A225,'Trips&amp;Operators'!$C$1:$G$99999,5,FALSE)</f>
        <v>DE LA ROSA ALEX</v>
      </c>
      <c r="M225" s="6">
        <f>I225-F225</f>
        <v>2.4733796301006805E-2</v>
      </c>
      <c r="N225" s="7">
        <f>24*60*SUM($M225:$M225)</f>
        <v>35.616666673449799</v>
      </c>
      <c r="O225" s="7"/>
      <c r="P225" s="7"/>
      <c r="Q225" s="22"/>
      <c r="R225" s="170"/>
      <c r="S225" s="213">
        <f>1/IF(AG225="EC",12,1)*SUM(U225:U225)</f>
        <v>1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-26T09:44:32-0600',mode:absolute,to:'2017-07-26T12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0</v>
      </c>
      <c r="Y225" s="197">
        <f>RIGHT(D225,LEN(D225)-4)/10000</f>
        <v>11.2202</v>
      </c>
      <c r="Z225" s="197">
        <f>RIGHT(H225,LEN(H225)-4)/10000</f>
        <v>1.49E-2</v>
      </c>
      <c r="AA225" s="197">
        <f>ABS(Z225-Y225)</f>
        <v>11.205299999999999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50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/stypes="app*4065*20170726*" /stext=" 17:.+((SYSTEM_STATE.+slice.+state.+changed )|(ment ac)|(multiple cpu faults)|(system.+state.+changed )|(\[timeout)|(PRM\|1\|D)|(kpr)|(kdp)|(train st.+moving)|(\|lc)|(penalty))"</v>
      </c>
      <c r="AG225" s="209" t="str">
        <f>DetSubdiv(A225)</f>
        <v>Shuttle/Test</v>
      </c>
      <c r="AH225" s="78" t="str">
        <f t="shared" si="17"/>
        <v>"%USERPROFILE%\Documents\GitHub\eaglep3\Utilities\RefineRTDCRunTimes.py" --tripid 50-26 --locoid 4065 --swversion DE.1.0.9.0 --startMP 300:112202 --initTime 2017-07-26T10:44:32 --startdatetime 2017-07-26T10:50:17 --delay 1 --endMP 204:149 --enddatetime 2017-07-26T11:25:54 --enforcementcount 0 &gt;&gt;C:\Users\stu\Documents\GitHub\eaglep3-reporting\EC\2017-07-26-refined-times.txt</v>
      </c>
      <c r="AI225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0.0149"},{"id":17,"name":"Train ID","value":"50-26"},{"id":16,"name":"Locomotive ID","value":"4065"},{"id":130,"name":"Impact","value":""},{"id":150,"name":"Time of Event (Mountain Time)","value":"11:25:54"},{"id":151,"name":"Denver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9"/>
        <v>start /low /b %USERPROFILE%\Documents\GitHub\eaglep3\Utilities\DownloadLogsFromS3.py --loco 4065 --day 2017-07-26</v>
      </c>
      <c r="AN225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635</v>
      </c>
      <c r="B226" s="7">
        <v>4002</v>
      </c>
      <c r="C226" s="21" t="s">
        <v>198</v>
      </c>
      <c r="D226" s="21" t="s">
        <v>348</v>
      </c>
      <c r="E226" s="13">
        <v>42942.127800925926</v>
      </c>
      <c r="F226" s="13">
        <v>42942.137118055558</v>
      </c>
      <c r="G226" s="7">
        <v>1</v>
      </c>
      <c r="H226" s="21" t="s">
        <v>941</v>
      </c>
      <c r="I226" s="13">
        <v>42942.138182870367</v>
      </c>
      <c r="J226" s="7">
        <v>0</v>
      </c>
      <c r="K226" s="89" t="str">
        <f>IF(ISEVEN(B226),(B226-1)&amp;"/"&amp;B226,B226&amp;"/"&amp;(B226+1))</f>
        <v>4001/4002</v>
      </c>
      <c r="L226" s="21" t="str">
        <f>VLOOKUP(A226,'Trips&amp;Operators'!$C$1:$G$99999,5,FALSE)</f>
        <v>SPECTOR MICHAEL</v>
      </c>
      <c r="M226" s="6">
        <f>I226-F226</f>
        <v>1.0648148090695031E-3</v>
      </c>
      <c r="N226" s="7">
        <f>24*60*SUM($M226:$M226)</f>
        <v>1.5333333250600845</v>
      </c>
      <c r="O226" s="7"/>
      <c r="P226" s="7"/>
      <c r="Q226" s="22"/>
      <c r="R226" s="170"/>
      <c r="S226" s="213">
        <f>1/IF(AG226="EC",12,1)*SUM(U226:U226)</f>
        <v>0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-26T02:04:02-0600',mode:absolute,to:'2017-07-26T04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1</v>
      </c>
      <c r="Y226" s="197">
        <f>RIGHT(D226,LEN(D226)-4)/10000</f>
        <v>4.4699999999999997E-2</v>
      </c>
      <c r="Z226" s="197">
        <f>RIGHT(H226,LEN(H226)-4)/10000</f>
        <v>0.35659999999999997</v>
      </c>
      <c r="AA226" s="197">
        <f>ABS(Z226-Y226)</f>
        <v>0.31189999999999996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51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/stypes="app*4002*20170726*" /stext=" 09:.+((SYSTEM_STATE.+slice.+state.+changed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17"/>
        <v>"%USERPROFILE%\Documents\GitHub\eaglep3\Utilities\RefineRTDCRunTimes.py" --tripid 51-26 --locoid 4002 --swversion DE.1.0.9.0 --startMP 204:447 --initTime 2017-07-26T03:04:02 --startdatetime 2017-07-26T03:17:27 --delay 1 --endMP 204:3566 --enddatetime 2017-07-26T03:18:59 --enforcementcount 0 &gt;&gt;C:\Users\stu\Documents\GitHub\eaglep3-reporting\EC\2017-07-26-refined-times.txt</v>
      </c>
      <c r="AI226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0.3566"},{"id":17,"name":"Train ID","value":"51-26"},{"id":16,"name":"Locomotive ID","value":"4002"},{"id":130,"name":"Impact","value":""},{"id":150,"name":"Time of Event (Mountain Time)","value":"03:18:59"},{"id":151,"name":"Denver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9"/>
        <v>start /low /b %USERPROFILE%\Documents\GitHub\eaglep3\Utilities\DownloadLogsFromS3.py --loco 4002 --day 2017-07-26</v>
      </c>
      <c r="AN226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09:18:59"},{"id":29,"name":"Sharepoint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635</v>
      </c>
      <c r="B227" s="7">
        <v>4066</v>
      </c>
      <c r="C227" s="21" t="s">
        <v>198</v>
      </c>
      <c r="D227" s="21" t="s">
        <v>942</v>
      </c>
      <c r="E227" s="13">
        <v>42942.748437499999</v>
      </c>
      <c r="F227" s="13">
        <v>42942.750393518516</v>
      </c>
      <c r="G227" s="7">
        <v>1</v>
      </c>
      <c r="H227" s="21" t="s">
        <v>346</v>
      </c>
      <c r="I227" s="13">
        <v>42942.75440972222</v>
      </c>
      <c r="J227" s="7">
        <v>0</v>
      </c>
      <c r="K227" s="89" t="str">
        <f>IF(ISEVEN(B227),(B227-1)&amp;"/"&amp;B227,B227&amp;"/"&amp;(B227+1))</f>
        <v>4065/4066</v>
      </c>
      <c r="L227" s="21" t="str">
        <f>VLOOKUP(A227,'Trips&amp;Operators'!$C$1:$G$99999,5,FALSE)</f>
        <v>SPECTOR MICHAEL</v>
      </c>
      <c r="M227" s="6">
        <f>I227-F227</f>
        <v>4.016203703940846E-3</v>
      </c>
      <c r="N227" s="7">
        <f>24*60*SUM($M227:$M227)</f>
        <v>5.7833333336748183</v>
      </c>
      <c r="O227" s="7"/>
      <c r="P227" s="7"/>
      <c r="Q227" s="22"/>
      <c r="R227" s="170"/>
      <c r="S227" s="213">
        <f>1/IF(AG227="EC",12,1)*SUM(U227:U227)</f>
        <v>0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-26T16:57:45-0600',mode:absolute,to:'2017-07-26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0</v>
      </c>
      <c r="Y227" s="197">
        <f>RIGHT(D227,LEN(D227)-4)/10000</f>
        <v>2.2079</v>
      </c>
      <c r="Z227" s="197">
        <f>RIGHT(H227,LEN(H227)-4)/10000</f>
        <v>2.3346</v>
      </c>
      <c r="AA227" s="197">
        <f>ABS(Z227-Y227)</f>
        <v>0.12670000000000003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s3://rtdc.mdm.uploadarchive.raw/RTDC4066/ "%USERPROFILE%\AppData\Local\Temp\OnboardLogs"\RTDC4066\2017-07-26 --exclude "*" --recursive --include "*20170726*" &amp; "%USERPROFILE%\Documents\GitHub\mrs-test-scripts\Headless Mode &amp; Sideloading\WalkAndUnGZ.bat" "%USERPROFILE%\AppData\Local\Temp\OnboardLogs"\RTDC4066\2017-07-26 &amp; 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/stypes="app*4066*20170727*" /stext=" 00:.+((SYSTEM_STATE.+slice.+state.+changed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17"/>
        <v>"%USERPROFILE%\Documents\GitHub\eaglep3\Utilities\RefineRTDCRunTimes.py" --tripid 51-26 --locoid 4066 --swversion DE.1.0.9.0 --startMP 300:22079 --initTime 2017-07-26T17:57:45 --startdatetime 2017-07-26T18:00:34 --delay 1 --endMP 300:23346 --enddatetime 2017-07-26T18:06:21 --enforcementcount 0 &gt;&gt;C:\Users\stu\Documents\GitHub\eaglep3-reporting\EC\2017-07-26-refined-times.txt</v>
      </c>
      <c r="AI227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2.3346"},{"id":17,"name":"Train ID","value":"51-26"},{"id":16,"name":"Locomotive ID","value":"4066"},{"id":130,"name":"Impact","value":""},{"id":150,"name":"Time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9"/>
        <v>start /low /b %USERPROFILE%\Documents\GitHub\eaglep3\Utilities\DownloadLogsFromS3.py --loco 4066 --day 2017-07-26</v>
      </c>
      <c r="AN227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635</v>
      </c>
      <c r="B228" s="7">
        <v>4066</v>
      </c>
      <c r="C228" s="21" t="s">
        <v>198</v>
      </c>
      <c r="D228" s="21" t="s">
        <v>943</v>
      </c>
      <c r="E228" s="13">
        <v>42942.543078703704</v>
      </c>
      <c r="F228" s="13">
        <v>42942.545555555553</v>
      </c>
      <c r="G228" s="7">
        <v>2</v>
      </c>
      <c r="H228" s="21" t="s">
        <v>944</v>
      </c>
      <c r="I228" s="13">
        <v>42942.558472222219</v>
      </c>
      <c r="J228" s="7">
        <v>0</v>
      </c>
      <c r="K228" s="89" t="str">
        <f>IF(ISEVEN(B228),(B228-1)&amp;"/"&amp;B228,B228&amp;"/"&amp;(B228+1))</f>
        <v>4065/4066</v>
      </c>
      <c r="L228" s="21" t="str">
        <f>VLOOKUP(A228,'Trips&amp;Operators'!$C$1:$G$99999,5,FALSE)</f>
        <v>SPECTOR MICHAEL</v>
      </c>
      <c r="M228" s="6">
        <f>I228-F228</f>
        <v>1.2916666666569654E-2</v>
      </c>
      <c r="N228" s="7">
        <f>24*60*SUM($M228:$M228)</f>
        <v>18.599999999860302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-26T12:02:02-0600',mode:absolute,to:'2017-07-26T14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0</v>
      </c>
      <c r="Y228" s="197">
        <f>RIGHT(D228,LEN(D228)-4)/10000</f>
        <v>3.9525000000000001</v>
      </c>
      <c r="Z228" s="197">
        <f>RIGHT(H228,LEN(H228)-4)/10000</f>
        <v>11.2515</v>
      </c>
      <c r="AA228" s="197">
        <f>ABS(Z228-Y228)</f>
        <v>7.2989999999999995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51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s3://rtdc.mdm.uploadarchive.raw/RTDC4066/ "%USERPROFILE%\AppData\Local\Temp\OnboardLogs"\RTDC4066\2017-07-26 --exclude "*" --recursive --include "*20170726*" &amp; "%USERPROFILE%\Documents\GitHub\mrs-test-scripts\Headless Mode &amp; Sideloading\WalkAndUnGZ.bat" "%USERPROFILE%\AppData\Local\Temp\OnboardLogs"\RTDC4066\2017-07-26 &amp; 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/stypes="app*4066*20170726*" /stext=" 19:.+((SYSTEM_STATE.+slice.+state.+changed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17"/>
        <v>"%USERPROFILE%\Documents\GitHub\eaglep3\Utilities\RefineRTDCRunTimes.py" --tripid 51-26 --locoid 4066 --swversion DE.1.0.9.0 --startMP 300:39525 --initTime 2017-07-26T13:02:02 --startdatetime 2017-07-26T13:05:36 --delay 2 --endMP 300:112515 --enddatetime 2017-07-26T13:24:12 --enforcementcount 0 &gt;&gt;C:\Users\stu\Documents\GitHub\eaglep3-reporting\EC\2017-07-26-refined-times.txt</v>
      </c>
      <c r="AI228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11.2515"},{"id":17,"name":"Train ID","value":"51-26"},{"id":16,"name":"Locomotive ID","value":"4066"},{"id":130,"name":"Impact","value":""},{"id":150,"name":"Time of Event (Mountain Time)","value":"13:24:12"},{"id":151,"name":"Denver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9"/>
        <v>start /low /b %USERPROFILE%\Documents\GitHub\eaglep3\Utilities\DownloadLogsFromS3.py --loco 4066 --day 2017-07-26</v>
      </c>
      <c r="AN228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19:24:12"},{"id":29,"name":"Sharepoint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635</v>
      </c>
      <c r="B229" s="7">
        <v>4066</v>
      </c>
      <c r="C229" s="21" t="s">
        <v>198</v>
      </c>
      <c r="D229" s="21" t="s">
        <v>945</v>
      </c>
      <c r="E229" s="13">
        <v>42942.424039351848</v>
      </c>
      <c r="F229" s="13">
        <v>42942.426504629628</v>
      </c>
      <c r="G229" s="7">
        <v>2</v>
      </c>
      <c r="H229" s="21" t="s">
        <v>946</v>
      </c>
      <c r="I229" s="13">
        <v>42942.445856481485</v>
      </c>
      <c r="J229" s="7">
        <v>0</v>
      </c>
      <c r="K229" s="89" t="str">
        <f>IF(ISEVEN(B229),(B229-1)&amp;"/"&amp;B229,B229&amp;"/"&amp;(B229+1))</f>
        <v>4065/4066</v>
      </c>
      <c r="L229" s="21" t="str">
        <f>VLOOKUP(A229,'Trips&amp;Operators'!$C$1:$G$99999,5,FALSE)</f>
        <v>SPECTOR MICHAEL</v>
      </c>
      <c r="M229" s="6">
        <f>I229-F229</f>
        <v>1.9351851857209112E-2</v>
      </c>
      <c r="N229" s="7">
        <f>24*60*SUM($M229:$M229)</f>
        <v>27.866666674381122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-26T09:10:37-0600',mode:absolute,to:'2017-07-26T11:42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0</v>
      </c>
      <c r="Y229" s="197">
        <f>RIGHT(D229,LEN(D229)-4)/10000</f>
        <v>3.9525999999999999</v>
      </c>
      <c r="Z229" s="197">
        <f>RIGHT(H229,LEN(H229)-4)/10000</f>
        <v>11.251300000000001</v>
      </c>
      <c r="AA229" s="197">
        <f>ABS(Z229-Y229)</f>
        <v>7.2987000000000002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51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s3://rtdc.mdm.uploadarchive.raw/RTDC4066/ "%USERPROFILE%\AppData\Local\Temp\OnboardLogs"\RTDC4066\2017-07-26 --exclude "*" --recursive --include "*20170726*" &amp; "%USERPROFILE%\Documents\GitHub\mrs-test-scripts\Headless Mode &amp; Sideloading\WalkAndUnGZ.bat" "%USERPROFILE%\AppData\Local\Temp\OnboardLogs"\RTDC4066\2017-07-26 &amp; 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/stypes="app*4066*20170726*" /stext=" 16:.+((SYSTEM_STATE.+slice.+state.+changed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17"/>
        <v>"%USERPROFILE%\Documents\GitHub\eaglep3\Utilities\RefineRTDCRunTimes.py" --tripid 51-26 --locoid 4066 --swversion DE.1.0.9.0 --startMP 300:39526 --initTime 2017-07-26T10:10:37 --startdatetime 2017-07-26T10:14:10 --delay 2 --endMP 300:112513 --enddatetime 2017-07-26T10:42:02 --enforcementcount 0 &gt;&gt;C:\Users\stu\Documents\GitHub\eaglep3-reporting\EC\2017-07-26-refined-times.txt</v>
      </c>
      <c r="AI229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11.2513"},{"id":17,"name":"Train ID","value":"51-26"},{"id":16,"name":"Locomotive ID","value":"4066"},{"id":130,"name":"Impact","value":""},{"id":150,"name":"Time of Event (Mountain Time)","value":"10:42:02"},{"id":151,"name":"Denver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9"/>
        <v>start /low /b %USERPROFILE%\Documents\GitHub\eaglep3\Utilities\DownloadLogsFromS3.py --loco 4066 --day 2017-07-26</v>
      </c>
      <c r="AN229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16:42:02"},{"id":29,"name":"Sharepoint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663</v>
      </c>
      <c r="B230" s="7">
        <v>4001</v>
      </c>
      <c r="C230" s="21" t="s">
        <v>198</v>
      </c>
      <c r="D230" s="21" t="s">
        <v>947</v>
      </c>
      <c r="E230" s="13">
        <v>42942.139074074075</v>
      </c>
      <c r="F230" s="13">
        <v>42942.140439814815</v>
      </c>
      <c r="G230" s="7">
        <v>1</v>
      </c>
      <c r="H230" s="21" t="s">
        <v>948</v>
      </c>
      <c r="I230" s="13">
        <v>42942.141412037039</v>
      </c>
      <c r="J230" s="7">
        <v>0</v>
      </c>
      <c r="K230" s="89" t="str">
        <f>IF(ISEVEN(B230),(B230-1)&amp;"/"&amp;B230,B230&amp;"/"&amp;(B230+1))</f>
        <v>4001/4002</v>
      </c>
      <c r="L230" s="21" t="str">
        <f>VLOOKUP(A230,'Trips&amp;Operators'!$C$1:$G$99999,5,FALSE)</f>
        <v>SPECTOR MICHAEL</v>
      </c>
      <c r="M230" s="6">
        <f>I230-F230</f>
        <v>9.7222222393611446E-4</v>
      </c>
      <c r="N230" s="7">
        <f>24*60*SUM($M230:$M230)</f>
        <v>1.4000000024680048</v>
      </c>
      <c r="O230" s="7"/>
      <c r="P230" s="7"/>
      <c r="Q230" s="22"/>
      <c r="R230" s="170"/>
      <c r="S230" s="213">
        <f>1/IF(AG230="EC",12,1)*SUM(U230:U230)</f>
        <v>0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-26T02:20:16-0600',mode:absolute,to:'2017-07-26T04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1</v>
      </c>
      <c r="Y230" s="197">
        <f>RIGHT(D230,LEN(D230)-4)/10000</f>
        <v>0.3231</v>
      </c>
      <c r="Z230" s="197">
        <f>RIGHT(H230,LEN(H230)-4)/10000</f>
        <v>0.1171</v>
      </c>
      <c r="AA230" s="197">
        <f>ABS(Z230-Y230)</f>
        <v>0.20600000000000002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52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/stypes="app*4001*20170726*" /stext=" 09:.+((SYSTEM_STATE.+slice.+state.+changed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17"/>
        <v>"%USERPROFILE%\Documents\GitHub\eaglep3\Utilities\RefineRTDCRunTimes.py" --tripid 52-26 --locoid 4001 --swversion DE.1.0.9.0 --startMP 204:3231 --initTime 2017-07-26T03:20:16 --startdatetime 2017-07-26T03:22:14 --delay 1 --endMP 204:1171 --enddatetime 2017-07-26T03:23:38 --enforcementcount 0 &gt;&gt;C:\Users\stu\Documents\GitHub\eaglep3-reporting\EC\2017-07-26-refined-times.txt</v>
      </c>
      <c r="AI230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0.1171"},{"id":17,"name":"Train ID","value":"52-26"},{"id":16,"name":"Locomotive ID","value":"4001"},{"id":130,"name":"Impact","value":""},{"id":150,"name":"Time of Event (Mountain Time)","value":"03:23:38"},{"id":151,"name":"Denver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9"/>
        <v>start /low /b %USERPROFILE%\Documents\GitHub\eaglep3\Utilities\DownloadLogsFromS3.py --loco 4001 --day 2017-07-26</v>
      </c>
      <c r="AN230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09:23:38"},{"id":29,"name":"Sharepoint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641</v>
      </c>
      <c r="B231" s="7">
        <v>4066</v>
      </c>
      <c r="C231" s="21" t="s">
        <v>198</v>
      </c>
      <c r="D231" s="21" t="s">
        <v>949</v>
      </c>
      <c r="E231" s="13">
        <v>42942.498263888891</v>
      </c>
      <c r="F231" s="13">
        <v>42942.505659722221</v>
      </c>
      <c r="G231" s="7">
        <v>2</v>
      </c>
      <c r="H231" s="21" t="s">
        <v>950</v>
      </c>
      <c r="I231" s="13">
        <v>42942.524293981478</v>
      </c>
      <c r="J231" s="7">
        <v>0</v>
      </c>
      <c r="K231" s="89" t="str">
        <f>IF(ISEVEN(B231),(B231-1)&amp;"/"&amp;B231,B231&amp;"/"&amp;(B231+1))</f>
        <v>4065/4066</v>
      </c>
      <c r="L231" s="21" t="str">
        <f>VLOOKUP(A231,'Trips&amp;Operators'!$C$1:$G$99999,5,FALSE)</f>
        <v>SANTIZO D. EDY</v>
      </c>
      <c r="M231" s="6">
        <f>I231-F231</f>
        <v>1.8634259256941732E-2</v>
      </c>
      <c r="N231" s="7">
        <f>24*60*SUM($M231:$M231)</f>
        <v>26.833333329996094</v>
      </c>
      <c r="O231" s="7"/>
      <c r="P231" s="7"/>
      <c r="Q231" s="22"/>
      <c r="R231" s="170"/>
      <c r="S231" s="213">
        <f>1/IF(AG231="EC",12,1)*SUM(U231:U231)</f>
        <v>1</v>
      </c>
      <c r="T231" s="195" t="str">
        <f>IF(ISEVEN(LEFT(AD231,4)),"Southbound","NorthBound")</f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-26T10:57:30-0600',mode:absolute,to:'2017-07-26T13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1</v>
      </c>
      <c r="Y231" s="197">
        <f>RIGHT(D231,LEN(D231)-4)/10000</f>
        <v>4.48E-2</v>
      </c>
      <c r="Z231" s="197">
        <f>RIGHT(H231,LEN(H231)-4)/10000</f>
        <v>11.257199999999999</v>
      </c>
      <c r="AA231" s="197">
        <f>ABS(Z231-Y231)</f>
        <v>11.212399999999999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53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s3://rtdc.mdm.uploadarchive.raw/RTDC4066/ "%USERPROFILE%\AppData\Local\Temp\OnboardLogs"\RTDC4066\2017-07-26 --exclude "*" --recursive --include "*20170726*" &amp; "%USERPROFILE%\Documents\GitHub\mrs-test-scripts\Headless Mode &amp; Sideloading\WalkAndUnGZ.bat" "%USERPROFILE%\AppData\Local\Temp\OnboardLogs"\RTDC4066\2017-07-26 &amp; 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/stypes="app*4066*20170726*" /stext=" 18:.+((SYSTEM_STATE.+slice.+state.+changed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17"/>
        <v>"%USERPROFILE%\Documents\GitHub\eaglep3\Utilities\RefineRTDCRunTimes.py" --tripid 53-26 --locoid 4066 --swversion DE.1.0.9.0 --startMP 204:448 --initTime 2017-07-26T11:57:30 --startdatetime 2017-07-26T12:08:09 --delay 2 --endMP 300:112572 --enddatetime 2017-07-26T12:34:59 --enforcementcount 0 &gt;&gt;C:\Users\stu\Documents\GitHub\eaglep3-reporting\EC\2017-07-26-refined-times.txt</v>
      </c>
      <c r="AI231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11.2572"},{"id":17,"name":"Train ID","value":"53-26"},{"id":16,"name":"Locomotive ID","value":"4066"},{"id":130,"name":"Impact","value":""},{"id":150,"name":"Time of Event (Mountain Time)","value":"12:34:59"},{"id":151,"name":"Denver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9"/>
        <v>start /low /b %USERPROFILE%\Documents\GitHub\eaglep3\Utilities\DownloadLogsFromS3.py --loco 4066 --day 2017-07-26</v>
      </c>
      <c r="AN231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641</v>
      </c>
      <c r="B232" s="7">
        <v>4066</v>
      </c>
      <c r="C232" s="21" t="s">
        <v>198</v>
      </c>
      <c r="D232" s="21" t="s">
        <v>951</v>
      </c>
      <c r="E232" s="13">
        <v>42942.375011574077</v>
      </c>
      <c r="F232" s="13">
        <v>42942.379826388889</v>
      </c>
      <c r="G232" s="7">
        <v>6</v>
      </c>
      <c r="H232" s="21" t="s">
        <v>952</v>
      </c>
      <c r="I232" s="13">
        <v>42942.394884259258</v>
      </c>
      <c r="J232" s="7">
        <v>0</v>
      </c>
      <c r="K232" s="89" t="str">
        <f>IF(ISEVEN(B232),(B232-1)&amp;"/"&amp;B232,B232&amp;"/"&amp;(B232+1))</f>
        <v>4065/4066</v>
      </c>
      <c r="L232" s="21" t="str">
        <f>VLOOKUP(A232,'Trips&amp;Operators'!$C$1:$G$99999,5,FALSE)</f>
        <v>SANTIZO D. EDY</v>
      </c>
      <c r="M232" s="6">
        <f>I232-F232</f>
        <v>1.505787036876427E-2</v>
      </c>
      <c r="N232" s="7">
        <f>24*60*SUM($M232:$M232)</f>
        <v>21.683333331020549</v>
      </c>
      <c r="O232" s="7"/>
      <c r="P232" s="7"/>
      <c r="Q232" s="22"/>
      <c r="R232" s="170"/>
      <c r="S232" s="213">
        <f>1/IF(AG232="EC",12,1)*SUM(U232:U232)</f>
        <v>0</v>
      </c>
      <c r="T232" s="195" t="str">
        <f>IF(ISEVEN(LEFT(AD232,4)),"Southbound","NorthBound")</f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-26T08:00:01-0600',mode:absolute,to:'2017-07-26T10:28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0</v>
      </c>
      <c r="Y232" s="197">
        <f>RIGHT(D232,LEN(D232)-4)/10000</f>
        <v>3.1818</v>
      </c>
      <c r="Z232" s="197">
        <f>RIGHT(H232,LEN(H232)-4)/10000</f>
        <v>11.2576</v>
      </c>
      <c r="AA232" s="197">
        <f>ABS(Z232-Y232)</f>
        <v>8.075800000000001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53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s3://rtdc.mdm.uploadarchive.raw/RTDC4066/ "%USERPROFILE%\AppData\Local\Temp\OnboardLogs"\RTDC4066\2017-07-26 --exclude "*" --recursive --include "*20170726*" &amp; "%USERPROFILE%\Documents\GitHub\mrs-test-scripts\Headless Mode &amp; Sideloading\WalkAndUnGZ.bat" "%USERPROFILE%\AppData\Local\Temp\OnboardLogs"\RTDC4066\2017-07-26 &amp; 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/stypes="app*4066*20170726*" /stext=" 15:.+((SYSTEM_STATE.+slice.+state.+changed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17"/>
        <v>"%USERPROFILE%\Documents\GitHub\eaglep3\Utilities\RefineRTDCRunTimes.py" --tripid 53-26 --locoid 4066 --swversion DE.1.0.9.0 --startMP 300:31818 --initTime 2017-07-26T09:00:01 --startdatetime 2017-07-26T09:06:57 --delay 6 --endMP 300:112576 --enddatetime 2017-07-26T09:28:38 --enforcementcount 0 &gt;&gt;C:\Users\stu\Documents\GitHub\eaglep3-reporting\EC\2017-07-26-refined-times.txt</v>
      </c>
      <c r="AI232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11.2576"},{"id":17,"name":"Train ID","value":"53-26"},{"id":16,"name":"Locomotive ID","value":"4066"},{"id":130,"name":"Impact","value":""},{"id":150,"name":"Time of Event (Mountain Time)","value":"09:28:38"},{"id":151,"name":"Denver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9"/>
        <v>start /low /b %USERPROFILE%\Documents\GitHub\eaglep3\Utilities\DownloadLogsFromS3.py --loco 4066 --day 2017-07-26</v>
      </c>
      <c r="AN232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15:28:38"},{"id":29,"name":"Sharepoint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631</v>
      </c>
      <c r="B233" s="7">
        <v>4065</v>
      </c>
      <c r="C233" s="21" t="s">
        <v>198</v>
      </c>
      <c r="D233" s="21" t="s">
        <v>953</v>
      </c>
      <c r="E233" s="13">
        <v>42942.406793981485</v>
      </c>
      <c r="F233" s="13">
        <v>42942.408391203702</v>
      </c>
      <c r="G233" s="7">
        <v>1</v>
      </c>
      <c r="H233" s="21" t="s">
        <v>954</v>
      </c>
      <c r="I233" s="13">
        <v>42942.420810185184</v>
      </c>
      <c r="J233" s="7">
        <v>0</v>
      </c>
      <c r="K233" s="89" t="str">
        <f>IF(ISEVEN(B233),(B233-1)&amp;"/"&amp;B233,B233&amp;"/"&amp;(B233+1))</f>
        <v>4065/4066</v>
      </c>
      <c r="L233" s="21" t="str">
        <f>VLOOKUP(A233,'Trips&amp;Operators'!$C$1:$G$99999,5,FALSE)</f>
        <v>SANTIZO D. EDY</v>
      </c>
      <c r="M233" s="6">
        <f>I233-F233</f>
        <v>1.2418981481459923E-2</v>
      </c>
      <c r="N233" s="7">
        <f>24*60*SUM($M233:$M233)</f>
        <v>17.883333333302289</v>
      </c>
      <c r="O233" s="7"/>
      <c r="P233" s="7"/>
      <c r="Q233" s="22"/>
      <c r="R233" s="170"/>
      <c r="S233" s="213">
        <f>1/IF(AG233="EC",12,1)*SUM(U233:U233)</f>
        <v>0</v>
      </c>
      <c r="T233" s="195" t="str">
        <f>IF(ISEVEN(LEFT(AD233,4)),"Southbound","NorthBound")</f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-26T08:45:47-0600',mode:absolute,to:'2017-07-26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1</v>
      </c>
      <c r="Y233" s="197">
        <f>RIGHT(D233,LEN(D233)-4)/10000</f>
        <v>11.215199999999999</v>
      </c>
      <c r="Z233" s="197">
        <f>RIGHT(H233,LEN(H233)-4)/10000</f>
        <v>3.9211999999999998</v>
      </c>
      <c r="AA233" s="197">
        <f>ABS(Z233-Y233)</f>
        <v>7.2939999999999996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54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/stypes="app*4065*20170726*" /stext=" 16:.+((SYSTEM_STATE.+slice.+state.+changed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17"/>
        <v>"%USERPROFILE%\Documents\GitHub\eaglep3\Utilities\RefineRTDCRunTimes.py" --tripid 54-26 --locoid 4065 --swversion DE.1.0.9.0 --startMP 300:112152 --initTime 2017-07-26T09:45:47 --startdatetime 2017-07-26T09:48:05 --delay 1 --endMP 300:39212 --enddatetime 2017-07-26T10:05:58 --enforcementcount 0 &gt;&gt;C:\Users\stu\Documents\GitHub\eaglep3-reporting\EC\2017-07-26-refined-times.txt</v>
      </c>
      <c r="AI233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3.9212"},{"id":17,"name":"Train ID","value":"54-26"},{"id":16,"name":"Locomotive ID","value":"4065"},{"id":130,"name":"Impact","value":""},{"id":150,"name":"Time of Event (Mountain Time)","value":"10:05:58"},{"id":151,"name":"Denver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9"/>
        <v>start /low /b %USERPROFILE%\Documents\GitHub\eaglep3\Utilities\DownloadLogsFromS3.py --loco 4065 --day 2017-07-26</v>
      </c>
      <c r="AN233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631</v>
      </c>
      <c r="B234" s="7">
        <v>4065</v>
      </c>
      <c r="C234" s="21" t="s">
        <v>198</v>
      </c>
      <c r="D234" s="21" t="s">
        <v>955</v>
      </c>
      <c r="E234" s="13">
        <v>42942.396793981483</v>
      </c>
      <c r="F234" s="13">
        <v>42942.408391203702</v>
      </c>
      <c r="G234" s="7">
        <v>1</v>
      </c>
      <c r="H234" s="21" t="s">
        <v>956</v>
      </c>
      <c r="I234" s="13">
        <v>42942.420810185184</v>
      </c>
      <c r="J234" s="7">
        <v>0</v>
      </c>
      <c r="K234" s="89" t="str">
        <f>IF(ISEVEN(B234),(B234-1)&amp;"/"&amp;B234,B234&amp;"/"&amp;(B234+1))</f>
        <v>4065/4066</v>
      </c>
      <c r="L234" s="21" t="str">
        <f>VLOOKUP(A234,'Trips&amp;Operators'!$C$1:$G$99999,5,FALSE)</f>
        <v>SANTIZO D. EDY</v>
      </c>
      <c r="M234" s="6">
        <f>I234-F234</f>
        <v>1.2418981481459923E-2</v>
      </c>
      <c r="N234" s="7">
        <f>24*60*SUM($M234:$M234)</f>
        <v>17.883333333302289</v>
      </c>
      <c r="O234" s="7"/>
      <c r="P234" s="7"/>
      <c r="Q234" s="22"/>
      <c r="R234" s="170"/>
      <c r="S234" s="213">
        <f>1/IF(AG234="EC",12,1)*SUM(U234:U234)</f>
        <v>0</v>
      </c>
      <c r="T234" s="195" t="str">
        <f>IF(ISEVEN(LEFT(AD234,4)),"Southbound","NorthBound")</f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-07-26T08:31:23-0600',mode:absolute,to:'2017-07-26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0</v>
      </c>
      <c r="Y234" s="197">
        <f>RIGHT(D234,LEN(D234)-4)/10000</f>
        <v>11.219099999999999</v>
      </c>
      <c r="Z234" s="197">
        <f>RIGHT(H234,LEN(H234)-4)/10000</f>
        <v>11.209300000000001</v>
      </c>
      <c r="AA234" s="197">
        <f>ABS(Z234-Y234)</f>
        <v>9.7999999999984766E-3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>VALUE(LEFT(A234,LEN(A234)-3))</f>
        <v>54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/stypes="app*4065*20170726*" /stext=" 16:.+((SYSTEM_STATE.+slice.+state.+changed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17"/>
        <v>"%USERPROFILE%\Documents\GitHub\eaglep3\Utilities\RefineRTDCRunTimes.py" --tripid 54-26 --locoid 4065 --swversion DE.1.0.9.0 --startMP 300:112191 --initTime 2017-07-26T09:31:23 --startdatetime 2017-07-26T09:48:05 --delay 1 --endMP 300:112093 --enddatetime 2017-07-26T10:05:58 --enforcementcount 0 &gt;&gt;C:\Users\stu\Documents\GitHub\eaglep3-reporting\EC\2017-07-26-refined-times.txt</v>
      </c>
      <c r="AI234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11.2093"},{"id":17,"name":"Train ID","value":"54-26"},{"id":16,"name":"Locomotive ID","value":"4065"},{"id":130,"name":"Impact","value":""},{"id":150,"name":"Time of Event (Mountain Time)","value":"10:05:58"},{"id":151,"name":"Denver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9"/>
        <v>start /low /b %USERPROFILE%\Documents\GitHub\eaglep3\Utilities\DownloadLogsFromS3.py --loco 4065 --day 2017-07-26</v>
      </c>
      <c r="AN234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631</v>
      </c>
      <c r="B235" s="7">
        <v>4065</v>
      </c>
      <c r="C235" s="21" t="s">
        <v>198</v>
      </c>
      <c r="D235" s="21" t="s">
        <v>957</v>
      </c>
      <c r="E235" s="13">
        <v>42942.526712962965</v>
      </c>
      <c r="F235" s="13">
        <v>42942.529247685183</v>
      </c>
      <c r="G235" s="7">
        <v>1</v>
      </c>
      <c r="H235" s="21" t="s">
        <v>958</v>
      </c>
      <c r="I235" s="13">
        <v>42942.540729166663</v>
      </c>
      <c r="J235" s="7">
        <v>0</v>
      </c>
      <c r="K235" s="89" t="str">
        <f>IF(ISEVEN(B235),(B235-1)&amp;"/"&amp;B235,B235&amp;"/"&amp;(B235+1))</f>
        <v>4065/4066</v>
      </c>
      <c r="L235" s="21" t="str">
        <f>VLOOKUP(A235,'Trips&amp;Operators'!$C$1:$G$99999,5,FALSE)</f>
        <v>SANTIZO D. EDY</v>
      </c>
      <c r="M235" s="6">
        <f>I235-F235</f>
        <v>1.1481481480586808E-2</v>
      </c>
      <c r="N235" s="7">
        <f>24*60*SUM($M235:$M235)</f>
        <v>16.533333332045004</v>
      </c>
      <c r="O235" s="7"/>
      <c r="P235" s="7"/>
      <c r="Q235" s="22"/>
      <c r="R235" s="170"/>
      <c r="S235" s="213">
        <f>1/IF(AG235="EC",12,1)*SUM(U235:U235)</f>
        <v>0</v>
      </c>
      <c r="T235" s="195" t="str">
        <f>IF(ISEVEN(LEFT(AD235,4)),"Southbound","NorthBound")</f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-07-26T11:38:28-0600',mode:absolute,to:'2017-07-26T13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0</v>
      </c>
      <c r="Y235" s="197">
        <f>RIGHT(D235,LEN(D235)-4)/10000</f>
        <v>11.225099999999999</v>
      </c>
      <c r="Z235" s="197">
        <f>RIGHT(H235,LEN(H235)-4)/10000</f>
        <v>3.9201000000000001</v>
      </c>
      <c r="AA235" s="197">
        <f>ABS(Z235-Y235)</f>
        <v>7.3049999999999997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>VALUE(LEFT(A235,LEN(A235)-3))</f>
        <v>54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/stypes="app*4065*20170726*" /stext=" 18:.+((SYSTEM_STATE.+slice.+state.+changed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17"/>
        <v>"%USERPROFILE%\Documents\GitHub\eaglep3\Utilities\RefineRTDCRunTimes.py" --tripid 54-26 --locoid 4065 --swversion DE.1.0.9.0 --startMP 300:112251 --initTime 2017-07-26T12:38:28 --startdatetime 2017-07-26T12:42:07 --delay 1 --endMP 300:39201 --enddatetime 2017-07-26T12:58:39 --enforcementcount 0 &gt;&gt;C:\Users\stu\Documents\GitHub\eaglep3-reporting\EC\2017-07-26-refined-times.txt</v>
      </c>
      <c r="AI235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3.9201"},{"id":17,"name":"Train ID","value":"54-26"},{"id":16,"name":"Locomotive ID","value":"4065"},{"id":130,"name":"Impact","value":""},{"id":150,"name":"Time of Event (Mountain Time)","value":"12:58:39"},{"id":151,"name":"Denver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9"/>
        <v>start /low /b %USERPROFILE%\Documents\GitHub\eaglep3\Utilities\DownloadLogsFromS3.py --loco 4065 --day 2017-07-26</v>
      </c>
      <c r="AN235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726</v>
      </c>
      <c r="B236" s="7">
        <v>4025</v>
      </c>
      <c r="C236" s="21" t="s">
        <v>198</v>
      </c>
      <c r="D236" s="21" t="s">
        <v>959</v>
      </c>
      <c r="E236" s="13">
        <v>42942.422118055554</v>
      </c>
      <c r="F236" s="13">
        <v>42942.423402777778</v>
      </c>
      <c r="G236" s="7">
        <v>1</v>
      </c>
      <c r="H236" s="21" t="s">
        <v>351</v>
      </c>
      <c r="I236" s="13">
        <v>42942.424629629626</v>
      </c>
      <c r="J236" s="7">
        <v>0</v>
      </c>
      <c r="K236" s="89" t="str">
        <f>IF(ISEVEN(B236),(B236-1)&amp;"/"&amp;B236,B236&amp;"/"&amp;(B236+1))</f>
        <v>4025/4026</v>
      </c>
      <c r="L236" s="21" t="str">
        <f>VLOOKUP(A236,'Trips&amp;Operators'!$C$1:$G$99999,5,FALSE)</f>
        <v>BEAM ROSS</v>
      </c>
      <c r="M236" s="6">
        <f>I236-F236</f>
        <v>1.2268518476048484E-3</v>
      </c>
      <c r="N236" s="7">
        <f>24*60*SUM($M236:$M236)</f>
        <v>1.7666666605509818</v>
      </c>
      <c r="O236" s="7"/>
      <c r="P236" s="7"/>
      <c r="Q236" s="22"/>
      <c r="R236" s="170"/>
      <c r="S236" s="213">
        <f>1/IF(AG236="EC",12,1)*SUM(U236:U236)</f>
        <v>0</v>
      </c>
      <c r="T236" s="195" t="str">
        <f>IF(ISEVEN(LEFT(AD236,4)),"Southbound","NorthBound")</f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-07-26T09:07:51-0600',mode:absolute,to:'2017-07-26T11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1</v>
      </c>
      <c r="Y236" s="197">
        <f>RIGHT(D236,LEN(D236)-4)/10000</f>
        <v>0.30580000000000002</v>
      </c>
      <c r="Z236" s="197">
        <f>RIGHT(H236,LEN(H236)-4)/10000</f>
        <v>1.41E-2</v>
      </c>
      <c r="AA236" s="197">
        <f>ABS(Z236-Y236)</f>
        <v>0.29170000000000001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>VALUE(LEFT(A236,LEN(A236)-3))</f>
        <v>55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 &amp; aws s3 cp s3://rtdc.mdm.uploadarchive.raw/RTDC4025/ "%USERPROFILE%\AppData\Local\Temp\OnboardLogs"\RTDC4025\2017-07-27 --exclude "*" --recursive --include "*20170727*" &amp; "%USERPROFILE%\Documents\GitHub\mrs-test-scripts\Headless Mode &amp; Sideloading\WalkAndUnGZ.bat" "%USERPROFILE%\AppData\Local\Temp\OnboardLogs"\RTDC4025\2017-07-27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/stypes="app*4025*20170726*" /stext=" 16:.+((SYSTEM_STATE.+slice.+state.+changed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17"/>
        <v>"%USERPROFILE%\Documents\GitHub\eaglep3\Utilities\RefineRTDCRunTimes.py" --tripid 55-26 --locoid 4025 --swversion DE.1.0.9.0 --startMP 204:3058 --initTime 2017-07-26T10:07:51 --startdatetime 2017-07-26T10:09:42 --delay 1 --endMP 204:141 --enddatetime 2017-07-26T10:11:28 --enforcementcount 0 &gt;&gt;C:\Users\stu\Documents\GitHub\eaglep3-reporting\EC\2017-07-26-refined-times.txt</v>
      </c>
      <c r="AI236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0.0141"},{"id":17,"name":"Train ID","value":"55-26"},{"id":16,"name":"Locomotive ID","value":"4025"},{"id":130,"name":"Impact","value":""},{"id":150,"name":"Time of Event (Mountain Time)","value":"10:11:28"},{"id":151,"name":"Denver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9"/>
        <v>start /low /b %USERPROFILE%\Documents\GitHub\eaglep3\Utilities\DownloadLogsFromS3.py --loco 4025 --day 2017-07-26</v>
      </c>
      <c r="AN236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726</v>
      </c>
      <c r="B237" s="7">
        <v>4026</v>
      </c>
      <c r="C237" s="21" t="s">
        <v>198</v>
      </c>
      <c r="D237" s="21" t="s">
        <v>960</v>
      </c>
      <c r="E237" s="13">
        <v>42942.418506944443</v>
      </c>
      <c r="F237" s="13">
        <v>42942.423402777778</v>
      </c>
      <c r="G237" s="7">
        <v>2</v>
      </c>
      <c r="H237" s="21" t="s">
        <v>961</v>
      </c>
      <c r="I237" s="13">
        <v>42942.424629629626</v>
      </c>
      <c r="J237" s="7">
        <v>0</v>
      </c>
      <c r="K237" s="89" t="str">
        <f>IF(ISEVEN(B237),(B237-1)&amp;"/"&amp;B237,B237&amp;"/"&amp;(B237+1))</f>
        <v>4025/4026</v>
      </c>
      <c r="L237" s="21" t="str">
        <f>VLOOKUP(A237,'Trips&amp;Operators'!$C$1:$G$99999,5,FALSE)</f>
        <v>BEAM ROSS</v>
      </c>
      <c r="M237" s="6">
        <f>I237-F237</f>
        <v>1.2268518476048484E-3</v>
      </c>
      <c r="N237" s="7">
        <f>24*60*SUM($M237:$M237)</f>
        <v>1.7666666605509818</v>
      </c>
      <c r="O237" s="7"/>
      <c r="P237" s="7"/>
      <c r="Q237" s="22"/>
      <c r="R237" s="170"/>
      <c r="S237" s="213">
        <f>1/IF(AG237="EC",12,1)*SUM(U237:U237)</f>
        <v>0</v>
      </c>
      <c r="T237" s="195" t="str">
        <f>IF(ISEVEN(LEFT(AD237,4)),"Southbound","NorthBound")</f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-07-26T09:02:39-0600',mode:absolute,to:'2017-07-26T11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0</v>
      </c>
      <c r="Y237" s="197">
        <f>RIGHT(D237,LEN(D237)-4)/10000</f>
        <v>0.14940000000000001</v>
      </c>
      <c r="Z237" s="197">
        <f>RIGHT(H237,LEN(H237)-4)/10000</f>
        <v>0.33650000000000002</v>
      </c>
      <c r="AA237" s="197">
        <f>ABS(Z237-Y237)</f>
        <v>0.18710000000000002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>VALUE(LEFT(A237,LEN(A237)-3))</f>
        <v>55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 &amp; aws s3 cp s3://rtdc.mdm.uploadarchive.raw/RTDC4026/ "%USERPROFILE%\AppData\Local\Temp\OnboardLogs"\RTDC4026\2017-07-27 --exclude "*" --recursive --include "*20170727*" &amp; "%USERPROFILE%\Documents\GitHub\mrs-test-scripts\Headless Mode &amp; Sideloading\WalkAndUnGZ.bat" "%USERPROFILE%\AppData\Local\Temp\OnboardLogs"\RTDC4026\2017-07-27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/stypes="app*4026*20170726*" /stext=" 16:.+((SYSTEM_STATE.+slice.+state.+changed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17"/>
        <v>"%USERPROFILE%\Documents\GitHub\eaglep3\Utilities\RefineRTDCRunTimes.py" --tripid 55-26 --locoid 4026 --swversion DE.1.0.9.0 --startMP 204:1494 --initTime 2017-07-26T10:02:39 --startdatetime 2017-07-26T10:09:42 --delay 2 --endMP 204:3365 --enddatetime 2017-07-26T10:11:28 --enforcementcount 0 &gt;&gt;C:\Users\stu\Documents\GitHub\eaglep3-reporting\EC\2017-07-26-refined-times.txt</v>
      </c>
      <c r="AI237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0.3365"},{"id":17,"name":"Train ID","value":"55-26"},{"id":16,"name":"Locomotive ID","value":"4026"},{"id":130,"name":"Impact","value":""},{"id":150,"name":"Time of Event (Mountain Time)","value":"10:11:28"},{"id":151,"name":"Denver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9"/>
        <v>start /low /b %USERPROFILE%\Documents\GitHub\eaglep3\Utilities\DownloadLogsFromS3.py --loco 4026 --day 2017-07-26</v>
      </c>
      <c r="AN237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638</v>
      </c>
      <c r="B238" s="7">
        <v>4041</v>
      </c>
      <c r="C238" s="21" t="s">
        <v>198</v>
      </c>
      <c r="D238" s="21" t="s">
        <v>962</v>
      </c>
      <c r="E238" s="13">
        <v>42942.445555555554</v>
      </c>
      <c r="F238" s="13">
        <v>42942.452986111108</v>
      </c>
      <c r="G238" s="7">
        <v>10</v>
      </c>
      <c r="H238" s="21" t="s">
        <v>963</v>
      </c>
      <c r="I238" s="13">
        <v>42942.457962962966</v>
      </c>
      <c r="J238" s="7">
        <v>0</v>
      </c>
      <c r="K238" s="89" t="str">
        <f>IF(ISEVEN(B238),(B238-1)&amp;"/"&amp;B238,B238&amp;"/"&amp;(B238+1))</f>
        <v>4041/4042</v>
      </c>
      <c r="L238" s="21" t="str">
        <f>VLOOKUP(A238,'Trips&amp;Operators'!$C$1:$G$99999,5,FALSE)</f>
        <v>ROMERO CHAD</v>
      </c>
      <c r="M238" s="6">
        <f>I238-F238</f>
        <v>4.9768518583732657E-3</v>
      </c>
      <c r="N238" s="7">
        <f>24*60*SUM($M238:$M238)</f>
        <v>7.1666666760575026</v>
      </c>
      <c r="O238" s="7"/>
      <c r="P238" s="7"/>
      <c r="Q238" s="22"/>
      <c r="R238" s="170"/>
      <c r="S238" s="213">
        <f>1/IF(AG238="EC",12,1)*SUM(U238:U238)</f>
        <v>1</v>
      </c>
      <c r="T238" s="195" t="str">
        <f>IF(ISEVEN(LEFT(AD238,4)),"Southbound","NorthBound")</f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-07-26T09:41:36-0600',mode:absolute,to:'2017-07-26T11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1</v>
      </c>
      <c r="Y238" s="197">
        <f>RIGHT(D238,LEN(D238)-4)/10000</f>
        <v>2.1842000000000001</v>
      </c>
      <c r="Z238" s="197">
        <f>RIGHT(H238,LEN(H238)-4)/10000</f>
        <v>9.5200000000000007E-2</v>
      </c>
      <c r="AA238" s="197">
        <f>ABS(Z238-Y238)</f>
        <v>2.089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>VALUE(LEFT(A238,LEN(A238)-3))</f>
        <v>56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 &amp; 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/stypes="app*4041*20170726*" /stext=" 16:.+((SYSTEM_STATE.+slice.+state.+changed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17"/>
        <v>"%USERPROFILE%\Documents\GitHub\eaglep3\Utilities\RefineRTDCRunTimes.py" --tripid 56-26 --locoid 4041 --swversion DE.1.0.9.0 --startMP 300:21842 --initTime 2017-07-26T10:41:36 --startdatetime 2017-07-26T10:52:18 --delay 10 --endMP 204:952 --enddatetime 2017-07-26T10:59:28 --enforcementcount 0 &gt;&gt;C:\Users\stu\Documents\GitHub\eaglep3-reporting\EC\2017-07-26-refined-times.txt</v>
      </c>
      <c r="AI238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0.0952"},{"id":17,"name":"Train ID","value":"56-26"},{"id":16,"name":"Locomotive ID","value":"4041"},{"id":130,"name":"Impact","value":""},{"id":150,"name":"Time of Event (Mountain Time)","value":"10:59:28"},{"id":151,"name":"Denver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9"/>
        <v>start /low /b %USERPROFILE%\Documents\GitHub\eaglep3\Utilities\DownloadLogsFromS3.py --loco 4041 --day 2017-07-26</v>
      </c>
      <c r="AN238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16:59:28"},{"id":29,"name":"Sharepoint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741</v>
      </c>
      <c r="B239" s="7">
        <v>4042</v>
      </c>
      <c r="C239" s="21" t="s">
        <v>198</v>
      </c>
      <c r="D239" s="21" t="s">
        <v>964</v>
      </c>
      <c r="E239" s="13">
        <v>42942.474178240744</v>
      </c>
      <c r="F239" s="13">
        <v>42942.479351851849</v>
      </c>
      <c r="G239" s="7">
        <v>1</v>
      </c>
      <c r="H239" s="21" t="s">
        <v>965</v>
      </c>
      <c r="I239" s="13">
        <v>42942.486631944441</v>
      </c>
      <c r="J239" s="7">
        <v>0</v>
      </c>
      <c r="K239" s="89" t="str">
        <f>IF(ISEVEN(B239),(B239-1)&amp;"/"&amp;B239,B239&amp;"/"&amp;(B239+1))</f>
        <v>4041/4042</v>
      </c>
      <c r="L239" s="21" t="str">
        <f>VLOOKUP(A239,'Trips&amp;Operators'!$C$1:$G$99999,5,FALSE)</f>
        <v>STARKS ANGELINA</v>
      </c>
      <c r="M239" s="6">
        <f>I239-F239</f>
        <v>7.2800925918272696E-3</v>
      </c>
      <c r="N239" s="7">
        <f>24*60*SUM($M239:$M239)</f>
        <v>10.483333332231268</v>
      </c>
      <c r="O239" s="7"/>
      <c r="P239" s="7"/>
      <c r="Q239" s="22"/>
      <c r="R239" s="170"/>
      <c r="S239" s="213">
        <f>1/IF(AG239="EC",12,1)*SUM(U239:U239)</f>
        <v>1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-07-26T10:22:49-0600',mode:absolute,to:'2017-07-26T12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1</v>
      </c>
      <c r="Y239" s="197">
        <f>RIGHT(D239,LEN(D239)-4)/10000</f>
        <v>0.1249</v>
      </c>
      <c r="Z239" s="197">
        <f>RIGHT(H239,LEN(H239)-4)/10000</f>
        <v>2.4235000000000002</v>
      </c>
      <c r="AA239" s="197">
        <f>ABS(Z239-Y239)</f>
        <v>2.2986000000000004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>VALUE(LEFT(A239,LEN(A239)-3))</f>
        <v>57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s3://rtdc.mdm.uploadarchive.raw/RTDC4042/ "%USERPROFILE%\AppData\Local\Temp\OnboardLogs"\RTDC4042\2017-07-26 --exclude "*" --recursive --include "*20170726*" &amp; "%USERPROFILE%\Documents\GitHub\mrs-test-scripts\Headless Mode &amp; Sideloading\WalkAndUnGZ.bat" "%USERPROFILE%\AppData\Local\Temp\OnboardLogs"\RTDC4042\2017-07-26 &amp; 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/stypes="app*4042*20170726*" /stext=" 17:.+((SYSTEM_STATE.+slice.+state.+changed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17"/>
        <v>"%USERPROFILE%\Documents\GitHub\eaglep3\Utilities\RefineRTDCRunTimes.py" --tripid 57-26 --locoid 4042 --swversion DE.1.0.9.0 --startMP 204:1249 --initTime 2017-07-26T11:22:49 --startdatetime 2017-07-26T11:30:16 --delay 1 --endMP 300:24235 --enddatetime 2017-07-26T11:40:45 --enforcementcount 0 &gt;&gt;C:\Users\stu\Documents\GitHub\eaglep3-reporting\EC\2017-07-26-refined-times.txt</v>
      </c>
      <c r="AI239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2.4235"},{"id":17,"name":"Train ID","value":"57-26"},{"id":16,"name":"Locomotive ID","value":"4042"},{"id":130,"name":"Impact","value":""},{"id":150,"name":"Time of Event (Mountain Time)","value":"11:40:45"},{"id":151,"name":"Denver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9"/>
        <v>start /low /b %USERPROFILE%\Documents\GitHub\eaglep3\Utilities\DownloadLogsFromS3.py --loco 4042 --day 2017-07-26</v>
      </c>
      <c r="AN239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17:40:45"},{"id":29,"name":"Sharepoint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648</v>
      </c>
      <c r="B240" s="7">
        <v>4027</v>
      </c>
      <c r="C240" s="21" t="s">
        <v>198</v>
      </c>
      <c r="D240" s="21" t="s">
        <v>966</v>
      </c>
      <c r="E240" s="13">
        <v>42942.7033912037</v>
      </c>
      <c r="F240" s="13">
        <v>42942.706979166665</v>
      </c>
      <c r="G240" s="7">
        <v>4</v>
      </c>
      <c r="H240" s="21" t="s">
        <v>609</v>
      </c>
      <c r="I240" s="13">
        <v>42942.708611111113</v>
      </c>
      <c r="J240" s="7">
        <v>0</v>
      </c>
      <c r="K240" s="89" t="str">
        <f>IF(ISEVEN(B240),(B240-1)&amp;"/"&amp;B240,B240&amp;"/"&amp;(B240+1))</f>
        <v>4027/4028</v>
      </c>
      <c r="L240" s="21" t="str">
        <f>VLOOKUP(A240,'Trips&amp;Operators'!$C$1:$G$99999,5,FALSE)</f>
        <v>NELSON ARIANE</v>
      </c>
      <c r="M240" s="6">
        <f>I240-F240</f>
        <v>1.6319444475811906E-3</v>
      </c>
      <c r="N240" s="7">
        <f>24*60*SUM($M240:$M240)</f>
        <v>2.3500000045169145</v>
      </c>
      <c r="O240" s="7"/>
      <c r="P240" s="7"/>
      <c r="Q240" s="22"/>
      <c r="R240" s="170"/>
      <c r="S240" s="213">
        <f>1/IF(AG240="EC",12,1)*SUM(U240:U240)</f>
        <v>0</v>
      </c>
      <c r="T240" s="195" t="str">
        <f>IF(ISEVEN(LEFT(AD240,4)),"Southbound","NorthBound")</f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-07-26T15:52:53-0600',mode:absolute,to:'2017-07-26T18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1</v>
      </c>
      <c r="Y240" s="197">
        <f>RIGHT(D240,LEN(D240)-4)/10000</f>
        <v>0.31809999999999999</v>
      </c>
      <c r="Z240" s="197">
        <f>RIGHT(H240,LEN(H240)-4)/10000</f>
        <v>8.9899999999999994E-2</v>
      </c>
      <c r="AA240" s="197">
        <f>ABS(Z240-Y240)</f>
        <v>0.22820000000000001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>VALUE(LEFT(A240,LEN(A240)-3))</f>
        <v>58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/stypes="app*4027*20170726*" /stext=" 23:.+((SYSTEM_STATE.+slice.+state.+changed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17"/>
        <v>"%USERPROFILE%\Documents\GitHub\eaglep3\Utilities\RefineRTDCRunTimes.py" --tripid 58-26 --locoid 4027 --swversion DE.1.0.9.0 --startMP 204:3181 --initTime 2017-07-26T16:52:53 --startdatetime 2017-07-26T16:58:03 --delay 4 --endMP 204:899 --enddatetime 2017-07-26T17:00:24 --enforcementcount 0 &gt;&gt;C:\Users\stu\Documents\GitHub\eaglep3-reporting\EC\2017-07-26-refined-times.txt</v>
      </c>
      <c r="AI240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0.0899"},{"id":17,"name":"Train ID","value":"58-26"},{"id":16,"name":"Locomotive ID","value":"4027"},{"id":130,"name":"Impact","value":""},{"id":150,"name":"Time of Event (Mountain Time)","value":"17:00:24"},{"id":151,"name":"Denver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9"/>
        <v>start /low /b %USERPROFILE%\Documents\GitHub\eaglep3\Utilities\DownloadLogsFromS3.py --loco 4027 --day 2017-07-26</v>
      </c>
      <c r="AN240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648</v>
      </c>
      <c r="B241" s="7">
        <v>4028</v>
      </c>
      <c r="C241" s="21" t="s">
        <v>198</v>
      </c>
      <c r="D241" s="21" t="s">
        <v>967</v>
      </c>
      <c r="E241" s="13">
        <v>42942.693668981483</v>
      </c>
      <c r="F241" s="13">
        <v>42942.706979166665</v>
      </c>
      <c r="G241" s="7">
        <v>1</v>
      </c>
      <c r="H241" s="21" t="s">
        <v>968</v>
      </c>
      <c r="I241" s="13">
        <v>42942.708611111113</v>
      </c>
      <c r="J241" s="7">
        <v>0</v>
      </c>
      <c r="K241" s="89" t="str">
        <f>IF(ISEVEN(B241),(B241-1)&amp;"/"&amp;B241,B241&amp;"/"&amp;(B241+1))</f>
        <v>4027/4028</v>
      </c>
      <c r="L241" s="21" t="str">
        <f>VLOOKUP(A241,'Trips&amp;Operators'!$C$1:$G$99999,5,FALSE)</f>
        <v>NELSON ARIANE</v>
      </c>
      <c r="M241" s="6">
        <f>I241-F241</f>
        <v>1.6319444475811906E-3</v>
      </c>
      <c r="N241" s="7">
        <f>24*60*SUM($M241:$M241)</f>
        <v>2.3500000045169145</v>
      </c>
      <c r="O241" s="7"/>
      <c r="P241" s="7"/>
      <c r="Q241" s="22"/>
      <c r="R241" s="170"/>
      <c r="S241" s="213">
        <f>1/IF(AG241="EC",12,1)*SUM(U241:U241)</f>
        <v>0</v>
      </c>
      <c r="T241" s="195" t="str">
        <f>IF(ISEVEN(LEFT(AD241,4)),"Southbound","NorthBound")</f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-07-26T15:38:53-0600',mode:absolute,to:'2017-07-26T18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0</v>
      </c>
      <c r="Y241" s="197">
        <f>RIGHT(D241,LEN(D241)-4)/10000</f>
        <v>0.1462</v>
      </c>
      <c r="Z241" s="197">
        <f>RIGHT(H241,LEN(H241)-4)/10000</f>
        <v>0.3513</v>
      </c>
      <c r="AA241" s="197">
        <f>ABS(Z241-Y241)</f>
        <v>0.2051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>VALUE(LEFT(A241,LEN(A241)-3))</f>
        <v>58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/stypes="app*4028*20170726*" /stext=" 23:.+((SYSTEM_STATE.+slice.+state.+changed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17"/>
        <v>"%USERPROFILE%\Documents\GitHub\eaglep3\Utilities\RefineRTDCRunTimes.py" --tripid 58-26 --locoid 4028 --swversion DE.1.0.9.0 --startMP 204:1462 --initTime 2017-07-26T16:38:53 --startdatetime 2017-07-26T16:58:03 --delay 1 --endMP 204:3513 --enddatetime 2017-07-26T17:00:24 --enforcementcount 0 &gt;&gt;C:\Users\stu\Documents\GitHub\eaglep3-reporting\EC\2017-07-26-refined-times.txt</v>
      </c>
      <c r="AI241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0.3513"},{"id":17,"name":"Train ID","value":"58-26"},{"id":16,"name":"Locomotive ID","value":"4028"},{"id":130,"name":"Impact","value":""},{"id":150,"name":"Time of Event (Mountain Time)","value":"17:00:24"},{"id":151,"name":"Denver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9"/>
        <v>start /low /b %USERPROFILE%\Documents\GitHub\eaglep3\Utilities\DownloadLogsFromS3.py --loco 4028 --day 2017-07-26</v>
      </c>
      <c r="AN241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706</v>
      </c>
      <c r="B242" s="7">
        <v>4001</v>
      </c>
      <c r="C242" s="21" t="s">
        <v>198</v>
      </c>
      <c r="D242" s="21" t="s">
        <v>969</v>
      </c>
      <c r="E242" s="13">
        <v>42942.340289351851</v>
      </c>
      <c r="F242" s="13">
        <v>42942.341770833336</v>
      </c>
      <c r="G242" s="7">
        <v>1</v>
      </c>
      <c r="H242" s="21" t="s">
        <v>343</v>
      </c>
      <c r="I242" s="13">
        <v>42942.343252314815</v>
      </c>
      <c r="J242" s="7">
        <v>0</v>
      </c>
      <c r="K242" s="89" t="str">
        <f>IF(ISEVEN(B242),(B242-1)&amp;"/"&amp;B242,B242&amp;"/"&amp;(B242+1))</f>
        <v>4001/4002</v>
      </c>
      <c r="L242" s="21" t="str">
        <f>VLOOKUP(A242,'Trips&amp;Operators'!$C$1:$G$99999,5,FALSE)</f>
        <v>SPECTOR MICHAEL</v>
      </c>
      <c r="M242" s="6">
        <f>I242-F242</f>
        <v>1.48148147854954E-3</v>
      </c>
      <c r="N242" s="7">
        <f>24*60*SUM($M242:$M242)</f>
        <v>2.1333333291113377</v>
      </c>
      <c r="O242" s="7"/>
      <c r="P242" s="7"/>
      <c r="Q242" s="22"/>
      <c r="R242" s="170"/>
      <c r="S242" s="213">
        <f>1/IF(AG242="EC",12,1)*SUM(U242:U242)</f>
        <v>0</v>
      </c>
      <c r="T242" s="195" t="str">
        <f>IF(ISEVEN(LEFT(AD242,4)),"Southbound","NorthBound")</f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-07-26T07:10:01-0600',mode:absolute,to:'2017-07-26T09:14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3</v>
      </c>
      <c r="Y242" s="197">
        <f>RIGHT(D242,LEN(D242)-4)/10000</f>
        <v>0.32529999999999998</v>
      </c>
      <c r="Z242" s="197">
        <f>RIGHT(H242,LEN(H242)-4)/10000</f>
        <v>1.43E-2</v>
      </c>
      <c r="AA242" s="197">
        <f>ABS(Z242-Y242)</f>
        <v>0.311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>VALUE(LEFT(A242,LEN(A242)-3))</f>
        <v>61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/stypes="app*4001*20170726*" /stext=" 14:.+((SYSTEM_STATE.+slice.+state.+changed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17"/>
        <v>"%USERPROFILE%\Documents\GitHub\eaglep3\Utilities\RefineRTDCRunTimes.py" --tripid 61-26 --locoid 4001 --swversion DE.1.0.9.0 --startMP 204:3253 --initTime 2017-07-26T08:10:01 --startdatetime 2017-07-26T08:12:09 --delay 1 --endMP 204:143 --enddatetime 2017-07-26T08:14:17 --enforcementcount 0 &gt;&gt;C:\Users\stu\Documents\GitHub\eaglep3-reporting\EC\2017-07-26-refined-times.txt</v>
      </c>
      <c r="AI242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0.0143"},{"id":17,"name":"Train ID","value":"61-26"},{"id":16,"name":"Locomotive ID","value":"4001"},{"id":130,"name":"Impact","value":""},{"id":150,"name":"Time of Event (Mountain Time)","value":"08:14:17"},{"id":151,"name":"Denver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9"/>
        <v>start /low /b %USERPROFILE%\Documents\GitHub\eaglep3\Utilities\DownloadLogsFromS3.py --loco 4001 --day 2017-07-26</v>
      </c>
      <c r="AN242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14:14:17"},{"id":29,"name":"Sharepoint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706</v>
      </c>
      <c r="B243" s="7">
        <v>4002</v>
      </c>
      <c r="C243" s="21" t="s">
        <v>198</v>
      </c>
      <c r="D243" s="21" t="s">
        <v>970</v>
      </c>
      <c r="E243" s="13">
        <v>42942.336793981478</v>
      </c>
      <c r="F243" s="13">
        <v>42942.341770833336</v>
      </c>
      <c r="G243" s="7">
        <v>2</v>
      </c>
      <c r="H243" s="21" t="s">
        <v>971</v>
      </c>
      <c r="I243" s="13">
        <v>42942.343252314815</v>
      </c>
      <c r="J243" s="7">
        <v>0</v>
      </c>
      <c r="K243" s="89" t="str">
        <f>IF(ISEVEN(B243),(B243-1)&amp;"/"&amp;B243,B243&amp;"/"&amp;(B243+1))</f>
        <v>4001/4002</v>
      </c>
      <c r="L243" s="21" t="str">
        <f>VLOOKUP(A243,'Trips&amp;Operators'!$C$1:$G$99999,5,FALSE)</f>
        <v>SPECTOR MICHAEL</v>
      </c>
      <c r="M243" s="6">
        <f>I243-F243</f>
        <v>1.48148147854954E-3</v>
      </c>
      <c r="N243" s="7">
        <f>24*60*SUM($M243:$M243)</f>
        <v>2.1333333291113377</v>
      </c>
      <c r="O243" s="7"/>
      <c r="P243" s="7"/>
      <c r="Q243" s="22"/>
      <c r="R243" s="170"/>
      <c r="S243" s="213">
        <f>1/IF(AG243="EC",12,1)*SUM(U243:U243)</f>
        <v>0</v>
      </c>
      <c r="T243" s="195" t="str">
        <f>IF(ISEVEN(LEFT(AD243,4)),"Southbound","NorthBound")</f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-07-26T07:04:59-0600',mode:absolute,to:'2017-07-26T09:14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0</v>
      </c>
      <c r="Y243" s="197">
        <f>RIGHT(D243,LEN(D243)-4)/10000</f>
        <v>0.14899999999999999</v>
      </c>
      <c r="Z243" s="197">
        <f>RIGHT(H243,LEN(H243)-4)/10000</f>
        <v>0.35339999999999999</v>
      </c>
      <c r="AA243" s="197">
        <f>ABS(Z243-Y243)</f>
        <v>0.2044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>VALUE(LEFT(A243,LEN(A243)-3))</f>
        <v>61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/stypes="app*4002*20170726*" /stext=" 14:.+((SYSTEM_STATE.+slice.+state.+changed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17"/>
        <v>"%USERPROFILE%\Documents\GitHub\eaglep3\Utilities\RefineRTDCRunTimes.py" --tripid 61-26 --locoid 4002 --swversion DE.1.0.9.0 --startMP 204:1490 --initTime 2017-07-26T08:04:59 --startdatetime 2017-07-26T08:12:09 --delay 2 --endMP 204:3534 --enddatetime 2017-07-26T08:14:17 --enforcementcount 0 &gt;&gt;C:\Users\stu\Documents\GitHub\eaglep3-reporting\EC\2017-07-26-refined-times.txt</v>
      </c>
      <c r="AI243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0.3534"},{"id":17,"name":"Train ID","value":"61-26"},{"id":16,"name":"Locomotive ID","value":"4002"},{"id":130,"name":"Impact","value":""},{"id":150,"name":"Time of Event (Mountain Time)","value":"08:14:17"},{"id":151,"name":"Denver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9"/>
        <v>start /low /b %USERPROFILE%\Documents\GitHub\eaglep3\Utilities\DownloadLogsFromS3.py --loco 4002 --day 2017-07-26</v>
      </c>
      <c r="AN243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14:14:17"},{"id":29,"name":"Sharepoint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753</v>
      </c>
      <c r="B244" s="7">
        <v>4027</v>
      </c>
      <c r="C244" s="21" t="s">
        <v>198</v>
      </c>
      <c r="D244" s="21" t="s">
        <v>972</v>
      </c>
      <c r="E244" s="13">
        <v>42942.531655092593</v>
      </c>
      <c r="F244" s="13">
        <v>42942.532708333332</v>
      </c>
      <c r="G244" s="7">
        <v>1</v>
      </c>
      <c r="H244" s="21" t="s">
        <v>973</v>
      </c>
      <c r="I244" s="13">
        <v>42942.537881944445</v>
      </c>
      <c r="J244" s="7">
        <v>0</v>
      </c>
      <c r="K244" s="89" t="str">
        <f>IF(ISEVEN(B244),(B244-1)&amp;"/"&amp;B244,B244&amp;"/"&amp;(B244+1))</f>
        <v>4027/4028</v>
      </c>
      <c r="L244" s="21" t="str">
        <f>VLOOKUP(A244,'Trips&amp;Operators'!$C$1:$G$99999,5,FALSE)</f>
        <v>ROBINSON KADDIBA</v>
      </c>
      <c r="M244" s="6">
        <f>I244-F244</f>
        <v>5.173611112695653E-3</v>
      </c>
      <c r="N244" s="7">
        <f>24*60*SUM($M244:$M244)</f>
        <v>7.4500000022817403</v>
      </c>
      <c r="O244" s="7"/>
      <c r="P244" s="7"/>
      <c r="Q244" s="22"/>
      <c r="R244" s="170"/>
      <c r="S244" s="213">
        <f>1/IF(AG244="EC",12,1)*SUM(U244:U244)</f>
        <v>1</v>
      </c>
      <c r="T244" s="195" t="str">
        <f>IF(ISEVEN(LEFT(AD244,4)),"Southbound","NorthBound")</f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-07-26T11:45:35-0600',mode:absolute,to:'2017-07-26T13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1</v>
      </c>
      <c r="Y244" s="197">
        <f>RIGHT(D244,LEN(D244)-4)/10000</f>
        <v>1.9145000000000001</v>
      </c>
      <c r="Z244" s="197">
        <f>RIGHT(H244,LEN(H244)-4)/10000</f>
        <v>0.11600000000000001</v>
      </c>
      <c r="AA244" s="197">
        <f>ABS(Z244-Y244)</f>
        <v>1.7985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>VALUE(LEFT(A244,LEN(A244)-3))</f>
        <v>62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/stypes="app*4027*20170726*" /stext=" 18:.+((SYSTEM_STATE.+slice.+state.+changed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17"/>
        <v>"%USERPROFILE%\Documents\GitHub\eaglep3\Utilities\RefineRTDCRunTimes.py" --tripid 62-26 --locoid 4027 --swversion DE.1.0.9.0 --startMP 300:19145 --initTime 2017-07-26T12:45:35 --startdatetime 2017-07-26T12:47:06 --delay 1 --endMP 204:1160 --enddatetime 2017-07-26T12:54:33 --enforcementcount 0 &gt;&gt;C:\Users\stu\Documents\GitHub\eaglep3-reporting\EC\2017-07-26-refined-times.txt</v>
      </c>
      <c r="AI244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0.116"},{"id":17,"name":"Train ID","value":"62-26"},{"id":16,"name":"Locomotive ID","value":"4027"},{"id":130,"name":"Impact","value":""},{"id":150,"name":"Time of Event (Mountain Time)","value":"12:54:33"},{"id":151,"name":"Denver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9"/>
        <v>start /low /b %USERPROFILE%\Documents\GitHub\eaglep3\Utilities\DownloadLogsFromS3.py --loco 4027 --day 2017-07-26</v>
      </c>
      <c r="AN244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753</v>
      </c>
      <c r="B245" s="7">
        <v>4027</v>
      </c>
      <c r="C245" s="21" t="s">
        <v>198</v>
      </c>
      <c r="D245" s="21" t="s">
        <v>974</v>
      </c>
      <c r="E245" s="13">
        <v>42942.52449074074</v>
      </c>
      <c r="F245" s="13">
        <v>42942.532708333332</v>
      </c>
      <c r="G245" s="7">
        <v>5</v>
      </c>
      <c r="H245" s="21" t="s">
        <v>975</v>
      </c>
      <c r="I245" s="13">
        <v>42942.537881944445</v>
      </c>
      <c r="J245" s="7">
        <v>0</v>
      </c>
      <c r="K245" s="89" t="str">
        <f>IF(ISEVEN(B245),(B245-1)&amp;"/"&amp;B245,B245&amp;"/"&amp;(B245+1))</f>
        <v>4027/4028</v>
      </c>
      <c r="L245" s="21" t="str">
        <f>VLOOKUP(A245,'Trips&amp;Operators'!$C$1:$G$99999,5,FALSE)</f>
        <v>ROBINSON KADDIBA</v>
      </c>
      <c r="M245" s="6">
        <f>I245-F245</f>
        <v>5.173611112695653E-3</v>
      </c>
      <c r="N245" s="7">
        <f>24*60*SUM($M245:$M245)</f>
        <v>7.4500000022817403</v>
      </c>
      <c r="O245" s="7"/>
      <c r="P245" s="7"/>
      <c r="Q245" s="22"/>
      <c r="R245" s="170"/>
      <c r="S245" s="213">
        <f>1/IF(AG245="EC",12,1)*SUM(U245:U245)</f>
        <v>0</v>
      </c>
      <c r="T245" s="195" t="str">
        <f>IF(ISEVEN(LEFT(AD245,4)),"Southbound","NorthBound")</f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-07-26T11:35:16-0600',mode:absolute,to:'2017-07-26T13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0</v>
      </c>
      <c r="Y245" s="197">
        <f>RIGHT(D245,LEN(D245)-4)/10000</f>
        <v>2.27</v>
      </c>
      <c r="Z245" s="197">
        <f>RIGHT(H245,LEN(H245)-4)/10000</f>
        <v>1.915</v>
      </c>
      <c r="AA245" s="197">
        <f>ABS(Z245-Y245)</f>
        <v>0.35499999999999998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>VALUE(LEFT(A245,LEN(A245)-3))</f>
        <v>62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/stypes="app*4027*20170726*" /stext=" 18:.+((SYSTEM_STATE.+slice.+state.+changed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17"/>
        <v>"%USERPROFILE%\Documents\GitHub\eaglep3\Utilities\RefineRTDCRunTimes.py" --tripid 62-26 --locoid 4027 --swversion DE.1.0.9.0 --startMP 300:22700 --initTime 2017-07-26T12:35:16 --startdatetime 2017-07-26T12:47:06 --delay 5 --endMP 300:19150 --enddatetime 2017-07-26T12:54:33 --enforcementcount 0 &gt;&gt;C:\Users\stu\Documents\GitHub\eaglep3-reporting\EC\2017-07-26-refined-times.txt</v>
      </c>
      <c r="AI245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1.915"},{"id":17,"name":"Train ID","value":"62-26"},{"id":16,"name":"Locomotive ID","value":"4027"},{"id":130,"name":"Impact","value":""},{"id":150,"name":"Time of Event (Mountain Time)","value":"12:54:33"},{"id":151,"name":"Denver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9"/>
        <v>start /low /b %USERPROFILE%\Documents\GitHub\eaglep3\Utilities\DownloadLogsFromS3.py --loco 4027 --day 2017-07-26</v>
      </c>
      <c r="AN245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746</v>
      </c>
      <c r="B246" s="7">
        <v>4015</v>
      </c>
      <c r="C246" s="21" t="s">
        <v>198</v>
      </c>
      <c r="D246" s="21" t="s">
        <v>976</v>
      </c>
      <c r="E246" s="13">
        <v>42942.499016203707</v>
      </c>
      <c r="F246" s="13">
        <v>42942.500324074077</v>
      </c>
      <c r="G246" s="7">
        <v>1</v>
      </c>
      <c r="H246" s="21" t="s">
        <v>349</v>
      </c>
      <c r="I246" s="13">
        <v>42942.501608796294</v>
      </c>
      <c r="J246" s="7">
        <v>0</v>
      </c>
      <c r="K246" s="89" t="str">
        <f>IF(ISEVEN(B246),(B246-1)&amp;"/"&amp;B246,B246&amp;"/"&amp;(B246+1))</f>
        <v>4015/4016</v>
      </c>
      <c r="L246" s="21" t="str">
        <f>VLOOKUP(A246,'Trips&amp;Operators'!$C$1:$G$99999,5,FALSE)</f>
        <v>MOSES BRADLEY</v>
      </c>
      <c r="M246" s="6">
        <f>I246-F246</f>
        <v>1.2847222169511952E-3</v>
      </c>
      <c r="N246" s="7">
        <f>24*60*SUM($M246:$M246)</f>
        <v>1.849999992409721</v>
      </c>
      <c r="O246" s="7"/>
      <c r="P246" s="7"/>
      <c r="Q246" s="22"/>
      <c r="R246" s="170"/>
      <c r="S246" s="213">
        <f>1/IF(AG246="EC",12,1)*SUM(U246:U246)</f>
        <v>0</v>
      </c>
      <c r="T246" s="195" t="str">
        <f>IF(ISEVEN(LEFT(AD246,4)),"Southbound","NorthBound")</f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-07-26T10:58:35-0600',mode:absolute,to:'2017-07-26T13:02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1</v>
      </c>
      <c r="Y246" s="197">
        <f>RIGHT(D246,LEN(D246)-4)/10000</f>
        <v>0.33389999999999997</v>
      </c>
      <c r="Z246" s="197">
        <f>RIGHT(H246,LEN(H246)-4)/10000</f>
        <v>1.3899999999999999E-2</v>
      </c>
      <c r="AA246" s="197">
        <f>ABS(Z246-Y246)</f>
        <v>0.31999999999999995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>VALUE(LEFT(A246,LEN(A246)-3))</f>
        <v>63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s3://rtdc.mdm.uploadarchive.raw/RTDC4015/ "%USERPROFILE%\AppData\Local\Temp\OnboardLogs"\RTDC4015\2017-07-26 --exclude "*" --recursive --include "*20170726*" &amp; "%USERPROFILE%\Documents\GitHub\mrs-test-scripts\Headless Mode &amp; Sideloading\WalkAndUnGZ.bat" "%USERPROFILE%\AppData\Local\Temp\OnboardLogs"\RTDC4015\2017-07-26 &amp; aws s3 cp s3://rtdc.mdm.uploadarchive.raw/RTDC4015/ "%USERPROFILE%\AppData\Local\Temp\OnboardLogs"\RTDC4015\2017-07-27 --exclude "*" --recursive --include "*20170727*" &amp; "%USERPROFILE%\Documents\GitHub\mrs-test-scripts\Headless Mode &amp; Sideloading\WalkAndUnGZ.bat" "%USERPROFILE%\AppData\Local\Temp\OnboardLogs"\RTDC4015\2017-07-27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/stypes="app*4015*20170726*" /stext=" 18:.+((SYSTEM_STATE.+slice.+state.+changed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17"/>
        <v>"%USERPROFILE%\Documents\GitHub\eaglep3\Utilities\RefineRTDCRunTimes.py" --tripid 63-26 --locoid 4015 --swversion DE.1.0.9.0 --startMP 204:3339 --initTime 2017-07-26T11:58:35 --startdatetime 2017-07-26T12:00:28 --delay 1 --endMP 204:139 --enddatetime 2017-07-26T12:02:19 --enforcementcount 0 &gt;&gt;C:\Users\stu\Documents\GitHub\eaglep3-reporting\EC\2017-07-26-refined-times.txt</v>
      </c>
      <c r="AI246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0.0139"},{"id":17,"name":"Train ID","value":"63-26"},{"id":16,"name":"Locomotive ID","value":"4015"},{"id":130,"name":"Impact","value":""},{"id":150,"name":"Time of Event (Mountain Time)","value":"12:02:19"},{"id":151,"name":"Denver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9"/>
        <v>start /low /b %USERPROFILE%\Documents\GitHub\eaglep3\Utilities\DownloadLogsFromS3.py --loco 4015 --day 2017-07-26</v>
      </c>
      <c r="AN246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18:02:19"},{"id":29,"name":"Sharepoint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746</v>
      </c>
      <c r="B247" s="7">
        <v>4016</v>
      </c>
      <c r="C247" s="21" t="s">
        <v>198</v>
      </c>
      <c r="D247" s="21" t="s">
        <v>970</v>
      </c>
      <c r="E247" s="13">
        <v>42942.494629629633</v>
      </c>
      <c r="F247" s="13">
        <v>42942.500324074077</v>
      </c>
      <c r="G247" s="7">
        <v>1</v>
      </c>
      <c r="H247" s="21" t="s">
        <v>977</v>
      </c>
      <c r="I247" s="13">
        <v>42942.501608796294</v>
      </c>
      <c r="J247" s="7">
        <v>0</v>
      </c>
      <c r="K247" s="89" t="str">
        <f>IF(ISEVEN(B247),(B247-1)&amp;"/"&amp;B247,B247&amp;"/"&amp;(B247+1))</f>
        <v>4015/4016</v>
      </c>
      <c r="L247" s="21" t="str">
        <f>VLOOKUP(A247,'Trips&amp;Operators'!$C$1:$G$99999,5,FALSE)</f>
        <v>MOSES BRADLEY</v>
      </c>
      <c r="M247" s="6">
        <f>I247-F247</f>
        <v>1.2847222169511952E-3</v>
      </c>
      <c r="N247" s="7">
        <f>24*60*SUM($M247:$M247)</f>
        <v>1.849999992409721</v>
      </c>
      <c r="O247" s="7"/>
      <c r="P247" s="7"/>
      <c r="Q247" s="22"/>
      <c r="R247" s="170"/>
      <c r="S247" s="213">
        <f>1/IF(AG247="EC",12,1)*SUM(U247:U247)</f>
        <v>0</v>
      </c>
      <c r="T247" s="195" t="str">
        <f>IF(ISEVEN(LEFT(AD247,4)),"Southbound","NorthBound")</f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-07-26T10:52:16-0600',mode:absolute,to:'2017-07-26T13:02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0</v>
      </c>
      <c r="Y247" s="197">
        <f>RIGHT(D247,LEN(D247)-4)/10000</f>
        <v>0.14899999999999999</v>
      </c>
      <c r="Z247" s="197">
        <f>RIGHT(H247,LEN(H247)-4)/10000</f>
        <v>0.36559999999999998</v>
      </c>
      <c r="AA247" s="197">
        <f>ABS(Z247-Y247)</f>
        <v>0.21659999999999999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>VALUE(LEFT(A247,LEN(A247)-3))</f>
        <v>63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s3://rtdc.mdm.uploadarchive.raw/RTDC4016/ "%USERPROFILE%\AppData\Local\Temp\OnboardLogs"\RTDC4016\2017-07-26 --exclude "*" --recursive --include "*20170726*" &amp; "%USERPROFILE%\Documents\GitHub\mrs-test-scripts\Headless Mode &amp; Sideloading\WalkAndUnGZ.bat" "%USERPROFILE%\AppData\Local\Temp\OnboardLogs"\RTDC4016\2017-07-26 &amp; aws s3 cp s3://rtdc.mdm.uploadarchive.raw/RTDC4016/ "%USERPROFILE%\AppData\Local\Temp\OnboardLogs"\RTDC4016\2017-07-27 --exclude "*" --recursive --include "*20170727*" &amp; "%USERPROFILE%\Documents\GitHub\mrs-test-scripts\Headless Mode &amp; Sideloading\WalkAndUnGZ.bat" "%USERPROFILE%\AppData\Local\Temp\OnboardLogs"\RTDC4016\2017-07-27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/stypes="app*4016*20170726*" /stext=" 18:.+((SYSTEM_STATE.+slice.+state.+changed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17"/>
        <v>"%USERPROFILE%\Documents\GitHub\eaglep3\Utilities\RefineRTDCRunTimes.py" --tripid 63-26 --locoid 4016 --swversion DE.1.0.9.0 --startMP 204:1490 --initTime 2017-07-26T11:52:16 --startdatetime 2017-07-26T12:00:28 --delay 1 --endMP 204:3656 --enddatetime 2017-07-26T12:02:19 --enforcementcount 0 &gt;&gt;C:\Users\stu\Documents\GitHub\eaglep3-reporting\EC\2017-07-26-refined-times.txt</v>
      </c>
      <c r="AI247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0.3656"},{"id":17,"name":"Train ID","value":"63-26"},{"id":16,"name":"Locomotive ID","value":"4016"},{"id":130,"name":"Impact","value":""},{"id":150,"name":"Time of Event (Mountain Time)","value":"12:02:19"},{"id":151,"name":"Denver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19"/>
        <v>start /low /b %USERPROFILE%\Documents\GitHub\eaglep3\Utilities\DownloadLogsFromS3.py --loco 4016 --day 2017-07-26</v>
      </c>
      <c r="AN247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18:02:19"},{"id":29,"name":"Sharepoint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751</v>
      </c>
      <c r="B248" s="7">
        <v>4026</v>
      </c>
      <c r="C248" s="21" t="s">
        <v>198</v>
      </c>
      <c r="D248" s="21" t="s">
        <v>978</v>
      </c>
      <c r="E248" s="13">
        <v>42942.509444444448</v>
      </c>
      <c r="F248" s="13">
        <v>42942.511759259258</v>
      </c>
      <c r="G248" s="7">
        <v>1</v>
      </c>
      <c r="H248" s="21" t="s">
        <v>346</v>
      </c>
      <c r="I248" s="13">
        <v>42942.517048611109</v>
      </c>
      <c r="J248" s="7">
        <v>0</v>
      </c>
      <c r="K248" s="89" t="str">
        <f>IF(ISEVEN(B248),(B248-1)&amp;"/"&amp;B248,B248&amp;"/"&amp;(B248+1))</f>
        <v>4025/4026</v>
      </c>
      <c r="L248" s="21" t="str">
        <f>VLOOKUP(A248,'Trips&amp;Operators'!$C$1:$G$99999,5,FALSE)</f>
        <v>ROBINSON KADDIBA</v>
      </c>
      <c r="M248" s="6">
        <f>I248-F248</f>
        <v>5.2893518513883464E-3</v>
      </c>
      <c r="N248" s="7">
        <f>24*60*SUM($M248:$M248)</f>
        <v>7.6166666659992188</v>
      </c>
      <c r="O248" s="7"/>
      <c r="P248" s="7"/>
      <c r="Q248" s="22"/>
      <c r="R248" s="170"/>
      <c r="S248" s="213">
        <f>1/IF(AG248="EC",12,1)*SUM(U248:U248)</f>
        <v>1</v>
      </c>
      <c r="T248" s="195" t="str">
        <f>IF(ISEVEN(LEFT(AD248,4)),"Southbound","NorthBound")</f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-07-26T11:13:36-0600',mode:absolute,to:'2017-07-26T13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8" s="197" t="str">
        <f>IF(AA248&lt;VLOOKUP(AG248,Variables!$AC$3:$AD$8,2,FALSE),"Y","N")</f>
        <v>Y</v>
      </c>
      <c r="X248" s="197">
        <f>VALUE(LEFT(AD248,4))-VALUE(LEFT(AD247,4))</f>
        <v>2</v>
      </c>
      <c r="Y248" s="197">
        <f>RIGHT(D248,LEN(D248)-4)/10000</f>
        <v>0.1157</v>
      </c>
      <c r="Z248" s="197">
        <f>RIGHT(H248,LEN(H248)-4)/10000</f>
        <v>2.3346</v>
      </c>
      <c r="AA248" s="197">
        <f>ABS(Z248-Y248)</f>
        <v>2.2189000000000001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>VALUE(LEFT(A248,LEN(A248)-3))</f>
        <v>65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s3://rtdc.mdm.uploadarchive.raw/RTDC4026/ "%USERPROFILE%\AppData\Local\Temp\OnboardLogs"\RTDC4026\2017-07-26 --exclude "*" --recursive --include "*20170726*" &amp; "%USERPROFILE%\Documents\GitHub\mrs-test-scripts\Headless Mode &amp; Sideloading\WalkAndUnGZ.bat" "%USERPROFILE%\AppData\Local\Temp\OnboardLogs"\RTDC4026\2017-07-26 &amp; aws s3 cp s3://rtdc.mdm.uploadarchive.raw/RTDC4026/ "%USERPROFILE%\AppData\Local\Temp\OnboardLogs"\RTDC4026\2017-07-27 --exclude "*" --recursive --include "*20170727*" &amp; "%USERPROFILE%\Documents\GitHub\mrs-test-scripts\Headless Mode &amp; Sideloading\WalkAndUnGZ.bat" "%USERPROFILE%\AppData\Local\Temp\OnboardLogs"\RTDC4026\2017-07-27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/stypes="app*4026*20170726*" /stext=" 18:.+((SYSTEM_STATE.+slice.+state.+changed )|(ment ac)|(multiple cpu faults)|(system.+state.+changed )|(\[timeout)|(PRM\|1\|D)|(kpr)|(kdp)|(train st.+moving)|(\|lc)|(penalty))"</v>
      </c>
      <c r="AG248" s="209" t="str">
        <f>DetSubdiv(A248)</f>
        <v>Shuttle/Test</v>
      </c>
      <c r="AH248" s="78" t="str">
        <f t="shared" si="17"/>
        <v>"%USERPROFILE%\Documents\GitHub\eaglep3\Utilities\RefineRTDCRunTimes.py" --tripid 65-26 --locoid 4026 --swversion DE.1.0.9.0 --startMP 204:1157 --initTime 2017-07-26T12:13:36 --startdatetime 2017-07-26T12:16:56 --delay 1 --endMP 300:23346 --enddatetime 2017-07-26T12:24:33 --enforcementcount 0 &gt;&gt;C:\Users\stu\Documents\GitHub\eaglep3-reporting\EC\2017-07-26-refined-times.txt</v>
      </c>
      <c r="AI248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2.3346"},{"id":17,"name":"Train ID","value":"65-26"},{"id":16,"name":"Locomotive ID","value":"4026"},{"id":130,"name":"Impact","value":""},{"id":150,"name":"Time of Event (Mountain Time)","value":"12:24:33"},{"id":151,"name":"Denver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19"/>
        <v>start /low /b %USERPROFILE%\Documents\GitHub\eaglep3\Utilities\DownloadLogsFromS3.py --loco 4026 --day 2017-07-26</v>
      </c>
      <c r="AN248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18:24:33"},{"id":29,"name":"Sharepoint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801</v>
      </c>
      <c r="B249" s="7">
        <v>4040</v>
      </c>
      <c r="C249" s="21" t="s">
        <v>198</v>
      </c>
      <c r="D249" s="21" t="s">
        <v>593</v>
      </c>
      <c r="E249" s="13">
        <v>42942.69599537037</v>
      </c>
      <c r="F249" s="13">
        <v>42942.705405092594</v>
      </c>
      <c r="G249" s="7">
        <v>1</v>
      </c>
      <c r="H249" s="21" t="s">
        <v>592</v>
      </c>
      <c r="I249" s="13">
        <v>42942.711840277778</v>
      </c>
      <c r="J249" s="7">
        <v>0</v>
      </c>
      <c r="K249" s="89" t="str">
        <f>IF(ISEVEN(B249),(B249-1)&amp;"/"&amp;B249,B249&amp;"/"&amp;(B249+1))</f>
        <v>4039/4040</v>
      </c>
      <c r="L249" s="21" t="str">
        <f>VLOOKUP(A249,'Trips&amp;Operators'!$C$1:$G$99999,5,FALSE)</f>
        <v>MOSES BRADLEY</v>
      </c>
      <c r="M249" s="6">
        <f>I249-F249</f>
        <v>6.435185183363501E-3</v>
      </c>
      <c r="N249" s="7">
        <f>24*60*SUM($M249:$M249)</f>
        <v>9.2666666640434414</v>
      </c>
      <c r="O249" s="7"/>
      <c r="P249" s="7"/>
      <c r="Q249" s="22"/>
      <c r="R249" s="170"/>
      <c r="S249" s="213">
        <f>1/IF(AG249="EC",12,1)*SUM(U249:U249)</f>
        <v>1</v>
      </c>
      <c r="T249" s="195" t="str">
        <f>IF(ISEVEN(LEFT(AD249,4)),"Southbound","NorthBound")</f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-07-26T15:42:14-0600',mode:absolute,to:'2017-07-26T18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9" s="197" t="str">
        <f>IF(AA249&lt;VLOOKUP(AG249,Variables!$AC$3:$AD$8,2,FALSE),"Y","N")</f>
        <v>Y</v>
      </c>
      <c r="X249" s="197">
        <f>VALUE(LEFT(AD249,4))-VALUE(LEFT(AD248,4))</f>
        <v>4</v>
      </c>
      <c r="Y249" s="197">
        <f>RIGHT(D249,LEN(D249)-4)/10000</f>
        <v>0.1152</v>
      </c>
      <c r="Z249" s="197">
        <f>RIGHT(H249,LEN(H249)-4)/10000</f>
        <v>2.3300999999999998</v>
      </c>
      <c r="AA249" s="197">
        <f>ABS(Z249-Y249)</f>
        <v>2.2148999999999996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>VALUE(LEFT(A249,LEN(A249)-3))</f>
        <v>69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s3://rtdc.mdm.uploadarchive.raw/RTDC4040/ "%USERPROFILE%\AppData\Local\Temp\OnboardLogs"\RTDC4040\2017-07-26 --exclude "*" --recursive --include "*20170726*" &amp; "%USERPROFILE%\Documents\GitHub\mrs-test-scripts\Headless Mode &amp; Sideloading\WalkAndUnGZ.bat" "%USERPROFILE%\AppData\Local\Temp\OnboardLogs"\RTDC4040\2017-07-26 &amp; aws s3 cp s3://rtdc.mdm.uploadarchive.raw/RTDC4040/ "%USERPROFILE%\AppData\Local\Temp\OnboardLogs"\RTDC4040\2017-07-27 --exclude "*" --recursive --include "*20170727*" &amp; "%USERPROFILE%\Documents\GitHub\mrs-test-scripts\Headless Mode &amp; Sideloading\WalkAndUnGZ.bat" "%USERPROFILE%\AppData\Local\Temp\OnboardLogs"\RTDC4040\2017-07-27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/stypes="app*4040*20170726*" /stext=" 23:.+((SYSTEM_STATE.+slice.+state.+changed )|(ment ac)|(multiple cpu faults)|(system.+state.+changed )|(\[timeout)|(PRM\|1\|D)|(kpr)|(kdp)|(train st.+moving)|(\|lc)|(penalty))"</v>
      </c>
      <c r="AG249" s="209" t="str">
        <f>DetSubdiv(A249)</f>
        <v>Shuttle/Test</v>
      </c>
      <c r="AH249" s="78" t="str">
        <f t="shared" si="17"/>
        <v>"%USERPROFILE%\Documents\GitHub\eaglep3\Utilities\RefineRTDCRunTimes.py" --tripid 69-26 --locoid 4040 --swversion DE.1.0.9.0 --startMP 204:1152 --initTime 2017-07-26T16:42:14 --startdatetime 2017-07-26T16:55:47 --delay 1 --endMP 300:23301 --enddatetime 2017-07-26T17:05:03 --enforcementcount 0 &gt;&gt;C:\Users\stu\Documents\GitHub\eaglep3-reporting\EC\2017-07-26-refined-times.txt</v>
      </c>
      <c r="AI249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2.3301"},{"id":17,"name":"Train ID","value":"69-26"},{"id":16,"name":"Locomotive ID","value":"4040"},{"id":130,"name":"Impact","value":""},{"id":150,"name":"Time of Event (Mountain Time)","value":"17:05:03"},{"id":151,"name":"Denver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9"/>
        <v>start /low /b %USERPROFILE%\Documents\GitHub\eaglep3\Utilities\DownloadLogsFromS3.py --loco 4040 --day 2017-07-26</v>
      </c>
      <c r="AN249" s="151" t="str">
        <f t="shared" si="20"/>
        <v>echo {"issue":{"subject":"","project_id":30,"tracker_id":4,"status_id":1,"priority_id":1,"assigned_to_id":10,"start_date":"2017-07-26","description":"","custom_fields":[{"id":30,"name":"Category","value":"Issue"},{"id":3,"name":"Functional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UTC","value":"2017-07-26 23:05:03"},{"id":29,"name":"Sharepoint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849</v>
      </c>
      <c r="B250" s="7">
        <v>4004</v>
      </c>
      <c r="C250" s="21" t="s">
        <v>198</v>
      </c>
      <c r="D250" s="21" t="s">
        <v>1026</v>
      </c>
      <c r="E250" s="13">
        <v>42942.943078703705</v>
      </c>
      <c r="F250" s="13">
        <v>42942.945393518516</v>
      </c>
      <c r="G250" s="7">
        <v>1</v>
      </c>
      <c r="H250" s="21" t="s">
        <v>1027</v>
      </c>
      <c r="I250" s="13">
        <v>42942.946226851855</v>
      </c>
      <c r="J250" s="7">
        <v>0</v>
      </c>
      <c r="K250" s="89" t="str">
        <f>IF(ISEVEN(B250),(B250-1)&amp;"/"&amp;B250,B250&amp;"/"&amp;(B250+1))</f>
        <v>4003/4004</v>
      </c>
      <c r="L250" s="21" t="str">
        <f>VLOOKUP(A250,'Trips&amp;Operators'!$C$1:$G$99999,5,FALSE)</f>
        <v>MAGEE KENYA</v>
      </c>
      <c r="M250" s="6">
        <f>I250-F250</f>
        <v>8.3333333896007389E-4</v>
      </c>
      <c r="N250" s="7">
        <f>24*60*SUM($M250:$M250)</f>
        <v>1.2000000081025064</v>
      </c>
      <c r="O250" s="7"/>
      <c r="P250" s="7"/>
      <c r="Q250" s="22"/>
      <c r="R250" s="170"/>
      <c r="S250" s="213">
        <f>1/IF(AG250="EC",12,1)*SUM(U250:U250)</f>
        <v>0</v>
      </c>
      <c r="T250" s="195" t="str">
        <f>IF(ISEVEN(LEFT(AD250,4)),"Southbound","NorthBound")</f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-07-26T21:38:02-0600',mode:absolute,to:'2017-07-26T23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0" s="197" t="str">
        <f>IF(AA250&lt;VLOOKUP(AG250,Variables!$AC$3:$AD$8,2,FALSE),"Y","N")</f>
        <v>Y</v>
      </c>
      <c r="X250" s="197">
        <f>VALUE(LEFT(AD250,4))-VALUE(LEFT(AD249,4))</f>
        <v>18</v>
      </c>
      <c r="Y250" s="197">
        <f>RIGHT(D250,LEN(D250)-4)/10000</f>
        <v>0.115</v>
      </c>
      <c r="Z250" s="197">
        <f>RIGHT(H250,LEN(H250)-4)/10000</f>
        <v>0.36349999999999999</v>
      </c>
      <c r="AA250" s="197">
        <f>ABS(Z250-Y250)</f>
        <v>0.2485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>VALUE(LEFT(A250,LEN(A250)-3))</f>
        <v>87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/stypes="app*4004*20170727*" /stext=" 04:.+((SYSTEM_STATE.+slice.+state.+changed )|(ment ac)|(multiple cpu faults)|(system.+state.+changed )|(\[timeout)|(PRM\|1\|D)|(kpr)|(kdp)|(train st.+moving)|(\|lc)|(penalty))"</v>
      </c>
      <c r="AG250" s="209" t="str">
        <f>DetSubdiv(A250)</f>
        <v>Shuttle/Test</v>
      </c>
      <c r="AH250" s="78" t="str">
        <f t="shared" si="17"/>
        <v>"%USERPROFILE%\Documents\GitHub\eaglep3\Utilities\RefineRTDCRunTimes.py" --tripid 87-26 --locoid 4004 --swversion DE.1.0.9.0 --startMP 204:1150 --initTime 2017-07-26T22:38:02 --startdatetime 2017-07-26T22:41:22 --delay 1 --endMP 204:3635 --enddatetime 2017-07-26T22:42:34 --enforcementcount 0 &gt;&gt;C:\Users\stu\Documents\GitHub\eaglep3-reporting\EC\2017-07-26-refined-times.txt</v>
      </c>
      <c r="AI250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0.3635"},{"id":17,"name":"Train ID","value":"87-26"},{"id":16,"name":"Locomotive ID","value":"4004"},{"id":130,"name":"Impact","value":""},{"id":150,"name":"Time of Event (Mountain Time)","value":"22:42:34"},{"id":151,"name":"Denver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19"/>
        <v>start /low /b %USERPROFILE%\Documents\GitHub\eaglep3\Utilities\DownloadLogsFromS3.py --loco 4004 --day 2017-07-26</v>
      </c>
      <c r="AN250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850</v>
      </c>
      <c r="B251" s="7">
        <v>4003</v>
      </c>
      <c r="C251" s="21" t="s">
        <v>198</v>
      </c>
      <c r="D251" s="21" t="s">
        <v>1028</v>
      </c>
      <c r="E251" s="13">
        <v>42942.94703703704</v>
      </c>
      <c r="F251" s="13">
        <v>42942.948553240742</v>
      </c>
      <c r="G251" s="7">
        <v>1</v>
      </c>
      <c r="H251" s="21" t="s">
        <v>893</v>
      </c>
      <c r="I251" s="13">
        <v>42942.949872685182</v>
      </c>
      <c r="J251" s="7">
        <v>0</v>
      </c>
      <c r="K251" s="89" t="str">
        <f>IF(ISEVEN(B251),(B251-1)&amp;"/"&amp;B251,B251&amp;"/"&amp;(B251+1))</f>
        <v>4003/4004</v>
      </c>
      <c r="L251" s="21" t="str">
        <f>VLOOKUP(A251,'Trips&amp;Operators'!$C$1:$G$99999,5,FALSE)</f>
        <v>MAGEE KENYA</v>
      </c>
      <c r="M251" s="6">
        <f>I251-F251</f>
        <v>1.3194444400141947E-3</v>
      </c>
      <c r="N251" s="7">
        <f>24*60*SUM($M251:$M251)</f>
        <v>1.8999999936204404</v>
      </c>
      <c r="O251" s="7"/>
      <c r="P251" s="7"/>
      <c r="Q251" s="22"/>
      <c r="R251" s="170"/>
      <c r="S251" s="213">
        <f>1/IF(AG251="EC",12,1)*SUM(U251:U251)</f>
        <v>0</v>
      </c>
      <c r="T251" s="195" t="str">
        <f>IF(ISEVEN(LEFT(AD251,4)),"Southbound","NorthBound")</f>
        <v>Southbound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-07-26T21:43:44-0600',mode:absolute,to:'2017-07-26T23:47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1" s="197" t="str">
        <f>IF(AA251&lt;VLOOKUP(AG251,Variables!$AC$3:$AD$8,2,FALSE),"Y","N")</f>
        <v>Y</v>
      </c>
      <c r="X251" s="197">
        <f>VALUE(LEFT(AD251,4))-VALUE(LEFT(AD250,4))</f>
        <v>1</v>
      </c>
      <c r="Y251" s="197">
        <f>RIGHT(D251,LEN(D251)-4)/10000</f>
        <v>0.33279999999999998</v>
      </c>
      <c r="Z251" s="197">
        <f>RIGHT(H251,LEN(H251)-4)/10000</f>
        <v>1.29E-2</v>
      </c>
      <c r="AA251" s="197">
        <f>ABS(Z251-Y251)</f>
        <v>0.31989999999999996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>VALUE(LEFT(A251,LEN(A251)-3))</f>
        <v>88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/stypes="app*4003*20170727*" /stext=" 04:.+((SYSTEM_STATE.+slice.+state.+changed )|(ment ac)|(multiple cpu faults)|(system.+state.+changed )|(\[timeout)|(PRM\|1\|D)|(kpr)|(kdp)|(train st.+moving)|(\|lc)|(penalty))"</v>
      </c>
      <c r="AG251" s="209" t="str">
        <f>DetSubdiv(A251)</f>
        <v>Shuttle/Test</v>
      </c>
      <c r="AH251" s="78" t="str">
        <f t="shared" si="17"/>
        <v>"%USERPROFILE%\Documents\GitHub\eaglep3\Utilities\RefineRTDCRunTimes.py" --tripid 88-26 --locoid 4003 --swversion DE.1.0.9.0 --startMP 204:3328 --initTime 2017-07-26T22:43:44 --startdatetime 2017-07-26T22:45:55 --delay 1 --endMP 204:129 --enddatetime 2017-07-26T22:47:49 --enforcementcount 0 &gt;&gt;C:\Users\stu\Documents\GitHub\eaglep3-reporting\EC\2017-07-26-refined-times.txt</v>
      </c>
      <c r="AI251" s="96" t="str">
        <f t="shared" si="18"/>
        <v>echo {"issue":{"subject":"","project_id":79,"tracker_id":40,"status_id":1,"priority_id":2,"assigned_to_id":23,"start_date":"2017-07-26","description":"","custom_fields":[{"id":1,"name":"Subdivision","value":"Shuttle/Test"},{"id":4,"name":"Milepost","value":"0.0129"},{"id":17,"name":"Train ID","value":"88-26"},{"id":16,"name":"Locomotive ID","value":"4003"},{"id":130,"name":"Impact","value":""},{"id":150,"name":"Time of Event (Mountain Time)","value":"22:47:49"},{"id":151,"name":"Denver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19"/>
        <v>start /low /b %USERPROFILE%\Documents\GitHub\eaglep3\Utilities\DownloadLogsFromS3.py --loco 4003 --day 2017-07-26</v>
      </c>
      <c r="AN251" s="151" t="str">
        <f t="shared" si="2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04:47:49"},{"id":29,"name":"Sharepoint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</sheetData>
  <autoFilter ref="A12:AG262">
    <sortState ref="A13:AG262">
      <sortCondition ref="AG13:AG251"/>
      <sortCondition ref="AD13:AD251"/>
    </sortState>
  </autoFilter>
  <sortState ref="A13:AN219">
    <sortCondition ref="AG13:AG219"/>
    <sortCondition ref="AD13:AD219"/>
  </sortState>
  <mergeCells count="1">
    <mergeCell ref="A11:P11"/>
  </mergeCells>
  <conditionalFormatting sqref="W11:W12 W267:X1048576 W13:X251">
    <cfRule type="cellIs" dxfId="10" priority="415" operator="equal">
      <formula>"Y"</formula>
    </cfRule>
  </conditionalFormatting>
  <conditionalFormatting sqref="X267:X1048576 X13:X251">
    <cfRule type="cellIs" dxfId="9" priority="398" operator="greaterThan">
      <formula>1</formula>
    </cfRule>
  </conditionalFormatting>
  <conditionalFormatting sqref="X267:X1048576 X12:X251">
    <cfRule type="cellIs" dxfId="8" priority="395" operator="equal">
      <formula>0</formula>
    </cfRule>
  </conditionalFormatting>
  <conditionalFormatting sqref="A13:S25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abSelected="1" topLeftCell="A2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41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404</v>
      </c>
      <c r="X6" s="208" t="s">
        <v>397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42942.458113425928</v>
      </c>
      <c r="B7" s="30" t="s">
        <v>616</v>
      </c>
      <c r="C7" s="30" t="s">
        <v>633</v>
      </c>
      <c r="D7" s="30" t="s">
        <v>49</v>
      </c>
      <c r="E7" s="30" t="s">
        <v>187</v>
      </c>
      <c r="F7" s="42">
        <v>0</v>
      </c>
      <c r="G7" s="42">
        <v>213</v>
      </c>
      <c r="H7" s="42">
        <v>33371</v>
      </c>
      <c r="I7" s="42">
        <v>33124</v>
      </c>
      <c r="J7" s="30" t="s">
        <v>188</v>
      </c>
      <c r="K7" s="42">
        <v>33257</v>
      </c>
      <c r="L7" s="131" t="s">
        <v>51</v>
      </c>
      <c r="M7" s="132">
        <f>CONVERT((I7-K7)/10000,"mi","ft")*IF(L7="Increasing Mileposts (1)",-1,1)</f>
        <v>-70.224000000000004</v>
      </c>
      <c r="N7" s="133" t="str">
        <f>VLOOKUP(C7,'Trips&amp;Operators'!$C$1:$G$99999,5,FALSE)</f>
        <v>STARKS ANGELINA</v>
      </c>
      <c r="O7" s="203" t="s">
        <v>180</v>
      </c>
      <c r="P7" s="134" t="s">
        <v>408</v>
      </c>
      <c r="Q7" s="30"/>
      <c r="R7" s="81" t="str">
        <f>VLOOKUP(C7,'Train Runs'!$A$13:$AE$9921,31,0)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S7" s="84" t="str">
        <f>VLOOKUP(C7,'Train Runs'!$A$13:$AE$9921,22,0)</f>
        <v>https://d0f6bd738d7f1b3e5a7ca70fe4ff75f0.us-east-1.aws.found.io/app/kibana#/discover/Steve-Slow-Train-Analysis-(2080s-and-2083s)?_g=(refreshInterval:(display:Off,pause:!f,section:0,value:0),time:(from:'2017-07-26T09:18:22-0600',mode:absolute,to:'2017-07-26T12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/stypes="*4003*201707261*" /stext=" 16:.+((SYSTEM_STATE.+slice.+state.+changed )|(ment ac)|(multiple cpu faults)|(system.+state.+changed )|(\[timeout)|(PRM\|1\|D)|(kpr)|(kdp)|(train st.+moving)|(\|lc)|(penalty))"</v>
      </c>
      <c r="U7" s="9" t="str">
        <f>MID(B7,13,4)</f>
        <v>4003</v>
      </c>
      <c r="V7" s="31">
        <f>A7-utc_offset/24</f>
        <v>42942.708113425928</v>
      </c>
      <c r="W7" s="45" t="str">
        <f>DetSubdiv(C7)</f>
        <v>EC</v>
      </c>
      <c r="X7" s="22">
        <f>VALUE(LEFT(C7,LEN(C7)-3))</f>
        <v>148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arrival","project_id":79,"tracker_id":40,"status_id":1,"priority_id":2,"assigned_to_id":23,"start_date":"2017-07-26","description":"","custom_fields":[{"id":1,"name":"Subdivision","value":"EC"},{"id":4,"name":"Milepost","value":"3.3257"},{"id":17,"name":"Train ID","value":"148-26"},{"id":16,"name":"Locomotive ID","value":"4003"},{"id":130,"name":"Impact","value":""},{"id":150,"name":"Time of Event (Mountain Time)","value":"10:59:41"},{"id":151,"name":"Denver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/c/Users/stu/AppData/Local/Temp/OnboardLogs/RTDC4003 --include="*4003*201707261*"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"%USERPROFILE%\AppData\Local\Temp\OnboardLogs"\RTDC4003\*4003*201707261* &gt;&gt; 2017-07-26-SliceDisagreementCheck.txt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4003 --day 2017-07-26</v>
      </c>
    </row>
    <row r="8" spans="1:32" s="1" customFormat="1" x14ac:dyDescent="0.25">
      <c r="A8" s="31">
        <v>42942.915231481478</v>
      </c>
      <c r="B8" s="30" t="s">
        <v>489</v>
      </c>
      <c r="C8" s="30" t="s">
        <v>655</v>
      </c>
      <c r="D8" s="30" t="s">
        <v>49</v>
      </c>
      <c r="E8" s="30" t="s">
        <v>187</v>
      </c>
      <c r="F8" s="42">
        <v>0</v>
      </c>
      <c r="G8" s="42">
        <v>213</v>
      </c>
      <c r="H8" s="42">
        <v>33297</v>
      </c>
      <c r="I8" s="42">
        <v>33140</v>
      </c>
      <c r="J8" s="30" t="s">
        <v>188</v>
      </c>
      <c r="K8" s="42">
        <v>33257</v>
      </c>
      <c r="L8" s="131" t="s">
        <v>51</v>
      </c>
      <c r="M8" s="132">
        <f>CONVERT((I8-K8)/10000,"mi","ft")*IF(L8="Increasing Mileposts (1)",-1,1)</f>
        <v>-61.776000000000003</v>
      </c>
      <c r="N8" s="133" t="str">
        <f>VLOOKUP(C8,'Trips&amp;Operators'!$C$1:$G$99999,5,FALSE)</f>
        <v>LAMAR NEKESHA</v>
      </c>
      <c r="O8" s="203" t="s">
        <v>180</v>
      </c>
      <c r="P8" s="134" t="s">
        <v>408</v>
      </c>
      <c r="Q8" s="30"/>
      <c r="R8" s="81" t="str">
        <f>VLOOKUP(C8,'Train Runs'!$A$13:$AE$9921,31,0)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S8" s="84" t="str">
        <f>VLOOKUP(C8,'Train Runs'!$A$13:$AE$9921,22,0)</f>
        <v>https://d0f6bd738d7f1b3e5a7ca70fe4ff75f0.us-east-1.aws.found.io/app/kibana#/discover/Steve-Slow-Train-Analysis-(2080s-and-2083s)?_g=(refreshInterval:(display:Off,pause:!f,section:0,value:0),time:(from:'2017-07-26T20:22:20-0600',mode:absolute,to:'2017-07-26T23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/stypes="*4023*201707270*" /stext=" 03:.+((SYSTEM_STATE.+slice.+state.+changed )|(ment ac)|(multiple cpu faults)|(system.+state.+changed )|(\[timeout)|(PRM\|1\|D)|(kpr)|(kdp)|(train st.+moving)|(\|lc)|(penalty))"</v>
      </c>
      <c r="U8" s="9" t="str">
        <f>MID(B8,13,4)</f>
        <v>4023</v>
      </c>
      <c r="V8" s="31">
        <f>A8-utc_offset/24</f>
        <v>42943.165231481478</v>
      </c>
      <c r="W8" s="45" t="str">
        <f>DetSubdiv(C8)</f>
        <v>EC</v>
      </c>
      <c r="X8" s="22">
        <f>VALUE(LEFT(C8,LEN(C8)-3))</f>
        <v>228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arrival","project_id":79,"tracker_id":40,"status_id":1,"priority_id":2,"assigned_to_id":23,"start_date":"2017-07-26","description":"","custom_fields":[{"id":1,"name":"Subdivision","value":"EC"},{"id":4,"name":"Milepost","value":"3.3257"},{"id":17,"name":"Train ID","value":"228-26"},{"id":16,"name":"Locomotive ID","value":"4023"},{"id":130,"name":"Impact","value":""},{"id":150,"name":"Time of Event (Mountain Time)","value":"21:57:56"},{"id":151,"name":"Denver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/c/Users/stu/AppData/Local/Temp/OnboardLogs/RTDC4023 --include="*4023*201707270*"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"%USERPROFILE%\AppData\Local\Temp\OnboardLogs"\RTDC4023\*4023*201707270* &gt;&gt; 2017-07-26-SliceDisagreementCheck.txt</v>
      </c>
      <c r="AE8" s="145" t="str">
        <f t="shared" ref="AE8:AE49" si="1">"start /low /b "&amp;dls3logs&amp;" --loco "&amp;U8&amp;" --day "&amp;TEXT(V8,"YYYY-MM-DD")</f>
        <v>start /low /b %USERPROFILE%\Documents\GitHub\eaglep3\Utilities\DownloadLogsFromS3.py --loco 4023 --day 2017-07-27</v>
      </c>
    </row>
    <row r="9" spans="1:32" s="1" customFormat="1" x14ac:dyDescent="0.25">
      <c r="A9" s="31">
        <v>42942.488819444443</v>
      </c>
      <c r="B9" s="30" t="s">
        <v>459</v>
      </c>
      <c r="C9" s="30" t="s">
        <v>640</v>
      </c>
      <c r="D9" s="30" t="s">
        <v>49</v>
      </c>
      <c r="E9" s="30" t="s">
        <v>187</v>
      </c>
      <c r="F9" s="42">
        <v>370</v>
      </c>
      <c r="G9" s="42">
        <v>483</v>
      </c>
      <c r="H9" s="42">
        <v>61962</v>
      </c>
      <c r="I9" s="42">
        <v>63415</v>
      </c>
      <c r="J9" s="30" t="s">
        <v>188</v>
      </c>
      <c r="K9" s="42">
        <v>63069</v>
      </c>
      <c r="L9" s="131" t="s">
        <v>50</v>
      </c>
      <c r="M9" s="132">
        <f>CONVERT((I9-K9)/10000,"mi","ft")*IF(L9="Increasing Mileposts (1)",-1,1)</f>
        <v>-182.68799999999999</v>
      </c>
      <c r="N9" s="133" t="str">
        <f>VLOOKUP(C9,'Trips&amp;Operators'!$C$1:$G$99999,5,FALSE)</f>
        <v>ELBAUM MIKE</v>
      </c>
      <c r="O9" s="203" t="s">
        <v>180</v>
      </c>
      <c r="P9" s="134" t="s">
        <v>408</v>
      </c>
      <c r="Q9" s="30"/>
      <c r="R9" s="81" t="str">
        <f>VLOOKUP(C9,'Train Runs'!$A$13:$AE$9921,31,0)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S9" s="84" t="str">
        <f>VLOOKUP(C9,'Train Runs'!$A$13:$AE$9921,22,0)</f>
        <v>https://d0f6bd738d7f1b3e5a7ca70fe4ff75f0.us-east-1.aws.found.io/app/kibana#/discover/Steve-Slow-Train-Analysis-(2080s-and-2083s)?_g=(refreshInterval:(display:Off,pause:!f,section:0,value:0),time:(from:'2017-07-26T10:22:49-0600',mode:absolute,to:'2017-07-26T13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/stypes="*4024*201707261*" /stext=" 17:.+((SYSTEM_STATE.+slice.+state.+changed )|(ment ac)|(multiple cpu faults)|(system.+state.+changed )|(\[timeout)|(PRM\|1\|D)|(kpr)|(kdp)|(train st.+moving)|(\|lc)|(penalty))"</v>
      </c>
      <c r="U9" s="9" t="str">
        <f>MID(B9,13,4)</f>
        <v>4024</v>
      </c>
      <c r="V9" s="31">
        <f>A9-utc_offset/24</f>
        <v>42942.738819444443</v>
      </c>
      <c r="W9" s="45" t="str">
        <f>DetSubdiv(C9)</f>
        <v>EC</v>
      </c>
      <c r="X9" s="22">
        <f>VALUE(LEFT(C9,LEN(C9)-3))</f>
        <v>163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arrival","project_id":79,"tracker_id":40,"status_id":1,"priority_id":2,"assigned_to_id":23,"start_date":"2017-07-26","description":"","custom_fields":[{"id":1,"name":"Subdivision","value":"EC"},{"id":4,"name":"Milepost","value":"6.3069"},{"id":17,"name":"Train ID","value":"163-26"},{"id":16,"name":"Locomotive ID","value":"4024"},{"id":130,"name":"Impact","value":""},{"id":150,"name":"Time of Event (Mountain Time)","value":"11:43:54"},{"id":151,"name":"Denver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/c/Users/stu/AppData/Local/Temp/OnboardLogs/RTDC4024 --include="*4024*201707261*"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"%USERPROFILE%\AppData\Local\Temp\OnboardLogs"\RTDC4024\*4024*201707261* &gt;&gt; 2017-07-26-SliceDisagreementCheck.txt</v>
      </c>
      <c r="AE9" s="145" t="str">
        <f t="shared" si="1"/>
        <v>start /low /b %USERPROFILE%\Documents\GitHub\eaglep3\Utilities\DownloadLogsFromS3.py --loco 4024 --day 2017-07-26</v>
      </c>
    </row>
    <row r="10" spans="1:32" s="1" customFormat="1" x14ac:dyDescent="0.25">
      <c r="A10" s="31">
        <v>42942.200960648152</v>
      </c>
      <c r="B10" s="30" t="s">
        <v>459</v>
      </c>
      <c r="C10" s="30" t="s">
        <v>613</v>
      </c>
      <c r="D10" s="30" t="s">
        <v>49</v>
      </c>
      <c r="E10" s="30" t="s">
        <v>187</v>
      </c>
      <c r="F10" s="42">
        <v>0</v>
      </c>
      <c r="G10" s="42">
        <v>609</v>
      </c>
      <c r="H10" s="42">
        <v>77430</v>
      </c>
      <c r="I10" s="42">
        <v>79340</v>
      </c>
      <c r="J10" s="30" t="s">
        <v>188</v>
      </c>
      <c r="K10" s="42">
        <v>78349</v>
      </c>
      <c r="L10" s="131" t="s">
        <v>50</v>
      </c>
      <c r="M10" s="132">
        <f>CONVERT((I10-K10)/10000,"mi","ft")*IF(L10="Increasing Mileposts (1)",-1,1)</f>
        <v>-523.24800000000005</v>
      </c>
      <c r="N10" s="133" t="str">
        <f>VLOOKUP(C10,'Trips&amp;Operators'!$C$1:$G$99999,5,FALSE)</f>
        <v>NICHOLSON WESLEY</v>
      </c>
      <c r="O10" s="203" t="s">
        <v>180</v>
      </c>
      <c r="P10" s="134" t="s">
        <v>408</v>
      </c>
      <c r="Q10" s="30"/>
      <c r="R10" s="81" t="str">
        <f>VLOOKUP(C10,'Train Runs'!$A$13:$AE$9921,31,0)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S10" s="84" t="str">
        <f>VLOOKUP(C10,'Train Runs'!$A$13:$AE$9921,22,0)</f>
        <v>https://d0f6bd738d7f1b3e5a7ca70fe4ff75f0.us-east-1.aws.found.io/app/kibana#/discover/Steve-Slow-Train-Analysis-(2080s-and-2083s)?_g=(refreshInterval:(display:Off,pause:!f,section:0,value:0),time:(from:'2017-07-26T03:24:13-0600',mode:absolute,to:'2017-07-26T06:13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/stypes="*4024*201707261*" /stext=" 10:.+((SYSTEM_STATE.+slice.+state.+changed )|(ment ac)|(multiple cpu faults)|(system.+state.+changed )|(\[timeout)|(PRM\|1\|D)|(kpr)|(kdp)|(train st.+moving)|(\|lc)|(penalty))"</v>
      </c>
      <c r="U10" s="9" t="str">
        <f>MID(B10,13,4)</f>
        <v>4024</v>
      </c>
      <c r="V10" s="31">
        <f>A10-utc_offset/24</f>
        <v>42942.450960648152</v>
      </c>
      <c r="W10" s="45" t="str">
        <f>DetSubdiv(C10)</f>
        <v>EC</v>
      </c>
      <c r="X10" s="22">
        <f>VALUE(LEFT(C10,LEN(C10)-3))</f>
        <v>107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arrival","project_id":79,"tracker_id":40,"status_id":1,"priority_id":2,"assigned_to_id":23,"start_date":"2017-07-26","description":"","custom_fields":[{"id":1,"name":"Subdivision","value":"EC"},{"id":4,"name":"Milepost","value":"7.8349"},{"id":17,"name":"Train ID","value":"107-26"},{"id":16,"name":"Locomotive ID","value":"4024"},{"id":130,"name":"Impact","value":""},{"id":150,"name":"Time of Event (Mountain Time)","value":"04:49:23"},{"id":151,"name":"Denver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/c/Users/stu/AppData/Local/Temp/OnboardLogs/RTDC4024 --include="*4024*201707261*"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"%USERPROFILE%\AppData\Local\Temp\OnboardLogs"\RTDC4024\*4024*201707261* &gt;&gt; 2017-07-26-SliceDisagreementCheck.txt</v>
      </c>
      <c r="AE10" s="145" t="str">
        <f t="shared" si="1"/>
        <v>start /low /b %USERPROFILE%\Documents\GitHub\eaglep3\Utilities\DownloadLogsFromS3.py --loco 4024 --day 2017-07-26</v>
      </c>
    </row>
    <row r="11" spans="1:32" s="1" customFormat="1" x14ac:dyDescent="0.25">
      <c r="A11" s="31">
        <v>42942.431817129633</v>
      </c>
      <c r="B11" s="30" t="s">
        <v>409</v>
      </c>
      <c r="C11" s="30" t="s">
        <v>632</v>
      </c>
      <c r="D11" s="30" t="s">
        <v>49</v>
      </c>
      <c r="E11" s="30" t="s">
        <v>187</v>
      </c>
      <c r="F11" s="42">
        <v>340</v>
      </c>
      <c r="G11" s="42">
        <v>395</v>
      </c>
      <c r="H11" s="42">
        <v>104636</v>
      </c>
      <c r="I11" s="42">
        <v>103373</v>
      </c>
      <c r="J11" s="30" t="s">
        <v>188</v>
      </c>
      <c r="K11" s="42">
        <v>103800</v>
      </c>
      <c r="L11" s="131" t="s">
        <v>51</v>
      </c>
      <c r="M11" s="132">
        <f>CONVERT((I11-K11)/10000,"mi","ft")*IF(L11="Increasing Mileposts (1)",-1,1)</f>
        <v>-225.45599999999999</v>
      </c>
      <c r="N11" s="133" t="str">
        <f>VLOOKUP(C11,'Trips&amp;Operators'!$C$1:$G$99999,5,FALSE)</f>
        <v>MAELZER KURT</v>
      </c>
      <c r="O11" s="203" t="s">
        <v>180</v>
      </c>
      <c r="P11" s="134" t="s">
        <v>408</v>
      </c>
      <c r="Q11" s="30"/>
      <c r="R11" s="81" t="str">
        <f>VLOOKUP(C11,'Train Runs'!$A$13:$AE$9921,31,0)</f>
        <v>aws s3 cp s3://rtdc.mdm.uploadarchive.raw/RTDC4007/ "%USERPROFILE%\AppData\Local\Temp\OnboardLogs"\RTDC4007\2017-07-26 --exclude "*" --recursive --include "*20170726*" &amp; "%USERPROFILE%\Documents\GitHub\mrs-test-scripts\Headless Mode &amp; Sideloading\WalkAndUnGZ.bat" "%USERPROFILE%\AppData\Local\Temp\OnboardLogs"\RTDC4007\2017-07-26 &amp; aws s3 cp s3://rtdc.mdm.uploadarchive.raw/RTDC4007/ "%USERPROFILE%\AppData\Local\Temp\OnboardLogs"\RTDC4007\2017-07-27 --exclude "*" --recursive --include "*20170727*" &amp; "%USERPROFILE%\Documents\GitHub\mrs-test-scripts\Headless Mode &amp; Sideloading\WalkAndUnGZ.bat" "%USERPROFILE%\AppData\Local\Temp\OnboardLogs"\RTDC4007\2017-07-27</v>
      </c>
      <c r="S11" s="84" t="str">
        <f>VLOOKUP(C11,'Train Runs'!$A$13:$AE$9921,22,0)</f>
        <v>https://d0f6bd738d7f1b3e5a7ca70fe4ff75f0.us-east-1.aws.found.io/app/kibana#/discover/Steve-Slow-Train-Analysis-(2080s-and-2083s)?_g=(refreshInterval:(display:Off,pause:!f,section:0,value:0),time:(from:'2017-07-26T08:53:32-0600',mode:absolute,to:'2017-07-26T11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/stypes="*4007*201707261*" /stext=" 16:.+((SYSTEM_STATE.+slice.+state.+changed )|(ment ac)|(multiple cpu faults)|(system.+state.+changed )|(\[timeout)|(PRM\|1\|D)|(kpr)|(kdp)|(train st.+moving)|(\|lc)|(penalty))"</v>
      </c>
      <c r="U11" s="9" t="str">
        <f>MID(B11,13,4)</f>
        <v>4007</v>
      </c>
      <c r="V11" s="31">
        <f>A11-utc_offset/24</f>
        <v>42942.681817129633</v>
      </c>
      <c r="W11" s="45" t="str">
        <f>DetSubdiv(C11)</f>
        <v>EC</v>
      </c>
      <c r="X11" s="22">
        <f>VALUE(LEFT(C11,LEN(C11)-3))</f>
        <v>144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arrival","project_id":79,"tracker_id":40,"status_id":1,"priority_id":2,"assigned_to_id":23,"start_date":"2017-07-26","description":"","custom_fields":[{"id":1,"name":"Subdivision","value":"EC"},{"id":4,"name":"Milepost","value":"10.38"},{"id":17,"name":"Train ID","value":"144-26"},{"id":16,"name":"Locomotive ID","value":"4007"},{"id":130,"name":"Impact","value":""},{"id":150,"name":"Time of Event (Mountain Time)","value":"10:21:49"},{"id":151,"name":"Denver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/c/Users/stu/AppData/Local/Temp/OnboardLogs/RTDC4007 --include="*4007*201707261*"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"%USERPROFILE%\AppData\Local\Temp\OnboardLogs"\RTDC4007\*4007*201707261* &gt;&gt; 2017-07-26-SliceDisagreementCheck.txt</v>
      </c>
      <c r="AE11" s="145" t="str">
        <f t="shared" si="1"/>
        <v>start /low /b %USERPROFILE%\Documents\GitHub\eaglep3\Utilities\DownloadLogsFromS3.py --loco 4007 --day 2017-07-26</v>
      </c>
    </row>
    <row r="12" spans="1:32" s="1" customFormat="1" x14ac:dyDescent="0.25">
      <c r="A12" s="31">
        <v>42942.775092592594</v>
      </c>
      <c r="B12" s="30" t="s">
        <v>506</v>
      </c>
      <c r="C12" s="30" t="s">
        <v>652</v>
      </c>
      <c r="D12" s="30" t="s">
        <v>49</v>
      </c>
      <c r="E12" s="30" t="s">
        <v>187</v>
      </c>
      <c r="F12" s="42">
        <v>740</v>
      </c>
      <c r="G12" s="42">
        <v>791</v>
      </c>
      <c r="H12" s="42">
        <v>107233</v>
      </c>
      <c r="I12" s="42">
        <v>111182</v>
      </c>
      <c r="J12" s="30" t="s">
        <v>188</v>
      </c>
      <c r="K12" s="42">
        <v>108954</v>
      </c>
      <c r="L12" s="131" t="s">
        <v>50</v>
      </c>
      <c r="M12" s="132">
        <f>CONVERT((I12-K12)/10000,"mi","ft")*IF(L12="Increasing Mileposts (1)",-1,1)</f>
        <v>-1176.384</v>
      </c>
      <c r="N12" s="133" t="str">
        <f>VLOOKUP(C12,'Trips&amp;Operators'!$C$1:$G$99999,5,FALSE)</f>
        <v>PAGE MARCUS</v>
      </c>
      <c r="O12" s="203" t="s">
        <v>180</v>
      </c>
      <c r="P12" s="134" t="s">
        <v>408</v>
      </c>
      <c r="Q12" s="30"/>
      <c r="R12" s="81" t="str">
        <f>VLOOKUP(C12,'Train Runs'!$A$13:$AE$9921,31,0)</f>
        <v>aws s3 cp s3://rtdc.mdm.uploadarchive.raw/RTDC4028/ "%USERPROFILE%\AppData\Local\Temp\OnboardLogs"\RTDC4028\2017-07-26 --exclude "*" --recursive --include "*20170726*" &amp; "%USERPROFILE%\Documents\GitHub\mrs-test-scripts\Headless Mode &amp; Sideloading\WalkAndUnGZ.bat" "%USERPROFILE%\AppData\Local\Temp\OnboardLogs"\RTDC4028\2017-07-26 &amp; 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</v>
      </c>
      <c r="S12" s="84" t="str">
        <f>VLOOKUP(C12,'Train Runs'!$A$13:$AE$9921,22,0)</f>
        <v>https://d0f6bd738d7f1b3e5a7ca70fe4ff75f0.us-east-1.aws.found.io/app/kibana#/discover/Steve-Slow-Train-Analysis-(2080s-and-2083s)?_g=(refreshInterval:(display:Off,pause:!f,section:0,value:0),time:(from:'2017-07-26T17:09:00-0600',mode:absolute,to:'2017-07-26T19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/stypes="*4028*201707270*" /stext=" 00:.+((SYSTEM_STATE.+slice.+state.+changed )|(ment ac)|(multiple cpu faults)|(system.+state.+changed )|(\[timeout)|(PRM\|1\|D)|(kpr)|(kdp)|(train st.+moving)|(\|lc)|(penalty))"</v>
      </c>
      <c r="U12" s="9" t="str">
        <f>MID(B12,13,4)</f>
        <v>4028</v>
      </c>
      <c r="V12" s="31">
        <f>A12-utc_offset/24</f>
        <v>42943.025092592594</v>
      </c>
      <c r="W12" s="45" t="str">
        <f>DetSubdiv(C12)</f>
        <v>EC</v>
      </c>
      <c r="X12" s="22">
        <f>VALUE(LEFT(C12,LEN(C12)-3))</f>
        <v>217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arrival","project_id":79,"tracker_id":40,"status_id":1,"priority_id":2,"assigned_to_id":23,"start_date":"2017-07-26","description":"","custom_fields":[{"id":1,"name":"Subdivision","value":"EC"},{"id":4,"name":"Milepost","value":"10.8954"},{"id":17,"name":"Train ID","value":"217-26"},{"id":16,"name":"Locomotive ID","value":"4028"},{"id":130,"name":"Impact","value":""},{"id":150,"name":"Time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/c/Users/stu/AppData/Local/Temp/OnboardLogs/RTDC4028 --include="*4028*201707270*"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"%USERPROFILE%\AppData\Local\Temp\OnboardLogs"\RTDC4028\*4028*201707270* &gt;&gt; 2017-07-26-SliceDisagreementCheck.txt</v>
      </c>
      <c r="AE12" s="145" t="str">
        <f t="shared" si="1"/>
        <v>start /low /b %USERPROFILE%\Documents\GitHub\eaglep3\Utilities\DownloadLogsFromS3.py --loco 4028 --day 2017-07-27</v>
      </c>
    </row>
    <row r="13" spans="1:32" s="1" customFormat="1" x14ac:dyDescent="0.25">
      <c r="A13" s="31">
        <v>42942.229768518519</v>
      </c>
      <c r="B13" s="30" t="s">
        <v>616</v>
      </c>
      <c r="C13" s="30" t="s">
        <v>617</v>
      </c>
      <c r="D13" s="30" t="s">
        <v>49</v>
      </c>
      <c r="E13" s="30" t="s">
        <v>187</v>
      </c>
      <c r="F13" s="42">
        <v>0</v>
      </c>
      <c r="G13" s="42">
        <v>124</v>
      </c>
      <c r="H13" s="42">
        <v>109466</v>
      </c>
      <c r="I13" s="42">
        <v>109358</v>
      </c>
      <c r="J13" s="30" t="s">
        <v>188</v>
      </c>
      <c r="K13" s="42">
        <v>109135</v>
      </c>
      <c r="L13" s="131" t="s">
        <v>51</v>
      </c>
      <c r="M13" s="132">
        <f>CONVERT((I13-K13)/10000,"mi","ft")*IF(L13="Increasing Mileposts (1)",-1,1)</f>
        <v>117.744</v>
      </c>
      <c r="N13" s="133" t="str">
        <f>VLOOKUP(C13,'Trips&amp;Operators'!$C$1:$G$99999,5,FALSE)</f>
        <v>STARKS ANGELINA</v>
      </c>
      <c r="O13" s="203" t="s">
        <v>180</v>
      </c>
      <c r="P13" s="134" t="s">
        <v>1058</v>
      </c>
      <c r="Q13" s="30"/>
      <c r="R13" s="81" t="str">
        <f>VLOOKUP(C13,'Train Runs'!$A$13:$AE$9921,31,0)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S13" s="84" t="str">
        <f>VLOOKUP(C13,'Train Runs'!$A$13:$AE$9921,22,0)</f>
        <v>https://d0f6bd738d7f1b3e5a7ca70fe4ff75f0.us-east-1.aws.found.io/app/kibana#/discover/Steve-Slow-Train-Analysis-(2080s-and-2083s)?_g=(refreshInterval:(display:Off,pause:!f,section:0,value:0),time:(from:'2017-07-26T03:55:12-0600',mode:absolute,to:'2017-07-26T06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/stypes="*4003*201707261*" /stext=" 11:.+((SYSTEM_STATE.+slice.+state.+changed )|(ment ac)|(multiple cpu faults)|(system.+state.+changed )|(\[timeout)|(PRM\|1\|D)|(kpr)|(kdp)|(train st.+moving)|(\|lc)|(penalty))"</v>
      </c>
      <c r="U13" s="9" t="str">
        <f>MID(B13,13,4)</f>
        <v>4003</v>
      </c>
      <c r="V13" s="31">
        <f>A13-utc_offset/24</f>
        <v>42942.479768518519</v>
      </c>
      <c r="W13" s="45" t="str">
        <f>DetSubdiv(C13)</f>
        <v>EC</v>
      </c>
      <c r="X13" s="22">
        <f>VALUE(LEFT(C13,LEN(C13)-3))</f>
        <v>106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C","project_id":79,"tracker_id":40,"status_id":1,"priority_id":2,"assigned_to_id":23,"start_date":"2017-07-26","description":"","custom_fields":[{"id":1,"name":"Subdivision","value":"EC"},{"id":4,"name":"Milepost","value":"10.9135"},{"id":17,"name":"Train ID","value":"106-26"},{"id":16,"name":"Locomotive ID","value":"4003"},{"id":130,"name":"Impact","value":""},{"id":150,"name":"Time of Event (Mountain Time)","value":"05:30:52"},{"id":151,"name":"Denver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/c/Users/stu/AppData/Local/Temp/OnboardLogs/RTDC4003 --include="*4003*201707261*"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"%USERPROFILE%\AppData\Local\Temp\OnboardLogs"\RTDC4003\*4003*201707261* &gt;&gt; 2017-07-26-SliceDisagreementCheck.txt</v>
      </c>
      <c r="AE13" s="145" t="str">
        <f t="shared" si="1"/>
        <v>start /low /b %USERPROFILE%\Documents\GitHub\eaglep3\Utilities\DownloadLogsFromS3.py --loco 4003 --day 2017-07-26</v>
      </c>
    </row>
    <row r="14" spans="1:32" x14ac:dyDescent="0.25">
      <c r="A14" s="31">
        <v>42942.843310185184</v>
      </c>
      <c r="B14" s="30" t="s">
        <v>387</v>
      </c>
      <c r="C14" s="30" t="s">
        <v>654</v>
      </c>
      <c r="D14" s="30" t="s">
        <v>49</v>
      </c>
      <c r="E14" s="30" t="s">
        <v>187</v>
      </c>
      <c r="F14" s="42">
        <v>350</v>
      </c>
      <c r="G14" s="42">
        <v>402</v>
      </c>
      <c r="H14" s="42">
        <v>110170</v>
      </c>
      <c r="I14" s="42">
        <v>108974</v>
      </c>
      <c r="J14" s="30" t="s">
        <v>188</v>
      </c>
      <c r="K14" s="42">
        <v>109135</v>
      </c>
      <c r="L14" s="131" t="s">
        <v>51</v>
      </c>
      <c r="M14" s="132">
        <f>CONVERT((I14-K14)/10000,"mi","ft")*IF(L14="Increasing Mileposts (1)",-1,1)</f>
        <v>-85.007999999999996</v>
      </c>
      <c r="N14" s="133" t="str">
        <f>VLOOKUP(C14,'Trips&amp;Operators'!$C$1:$G$99999,5,FALSE)</f>
        <v>FORTUNATO FRANK</v>
      </c>
      <c r="O14" s="203" t="s">
        <v>180</v>
      </c>
      <c r="P14" s="134" t="s">
        <v>408</v>
      </c>
      <c r="Q14" s="30"/>
      <c r="R14" s="81" t="str">
        <f>VLOOKUP(C14,'Train Runs'!$A$13:$AE$9921,31,0)</f>
        <v>aws s3 cp s3://rtdc.mdm.uploadarchive.raw/RTDC4001/ "%USERPROFILE%\AppData\Local\Temp\OnboardLogs"\RTDC4001\2017-07-26 --exclude "*" --recursive --include "*20170726*" &amp; "%USERPROFILE%\Documents\GitHub\mrs-test-scripts\Headless Mode &amp; Sideloading\WalkAndUnGZ.bat" "%USERPROFILE%\AppData\Local\Temp\OnboardLogs"\RTDC4001\2017-07-26 &amp; aws s3 cp s3://rtdc.mdm.uploadarchive.raw/RTDC4001/ "%USERPROFILE%\AppData\Local\Temp\OnboardLogs"\RTDC4001\2017-07-27 --exclude "*" --recursive --include "*20170727*" &amp; "%USERPROFILE%\Documents\GitHub\mrs-test-scripts\Headless Mode &amp; Sideloading\WalkAndUnGZ.bat" "%USERPROFILE%\AppData\Local\Temp\OnboardLogs"\RTDC4001\2017-07-27</v>
      </c>
      <c r="S14" s="84" t="str">
        <f>VLOOKUP(C14,'Train Runs'!$A$13:$AE$9921,22,0)</f>
        <v>https://d0f6bd738d7f1b3e5a7ca70fe4ff75f0.us-east-1.aws.found.io/app/kibana#/discover/Steve-Slow-Train-Analysis-(2080s-and-2083s)?_g=(refreshInterval:(display:Off,pause:!f,section:0,value:0),time:(from:'2017-07-26T18:43:32-0600',mode:absolute,to:'2017-07-26T21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/stypes="*4001*201707270*" /stext=" 02:.+((SYSTEM_STATE.+slice.+state.+changed )|(ment ac)|(multiple cpu faults)|(system.+state.+changed )|(\[timeout)|(PRM\|1\|D)|(kpr)|(kdp)|(train st.+moving)|(\|lc)|(penalty))"</v>
      </c>
      <c r="U14" s="9" t="str">
        <f>MID(B14,13,4)</f>
        <v>4001</v>
      </c>
      <c r="V14" s="31">
        <f>A14-utc_offset/24</f>
        <v>42943.093310185184</v>
      </c>
      <c r="W14" s="45" t="str">
        <f>DetSubdiv(C14)</f>
        <v>EC</v>
      </c>
      <c r="X14" s="22">
        <f>VALUE(LEFT(C14,LEN(C14)-3))</f>
        <v>222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arrival","project_id":79,"tracker_id":40,"status_id":1,"priority_id":2,"assigned_to_id":23,"start_date":"2017-07-26","description":"","custom_fields":[{"id":1,"name":"Subdivision","value":"EC"},{"id":4,"name":"Milepost","value":"10.9135"},{"id":17,"name":"Train ID","value":"222-26"},{"id":16,"name":"Locomotive ID","value":"4001"},{"id":130,"name":"Impact","value":""},{"id":150,"name":"Time of Event (Mountain Time)","value":"20:14:22"},{"id":151,"name":"Denver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/c/Users/stu/AppData/Local/Temp/OnboardLogs/RTDC4001 --include="*4001*201707270*"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"%USERPROFILE%\AppData\Local\Temp\OnboardLogs"\RTDC4001\*4001*201707270* &gt;&gt; 2017-07-26-SliceDisagreementCheck.txt</v>
      </c>
      <c r="AE14" s="145" t="str">
        <f t="shared" si="1"/>
        <v>start /low /b %USERPROFILE%\Documents\GitHub\eaglep3\Utilities\DownloadLogsFromS3.py --loco 4001 --day 2017-07-27</v>
      </c>
      <c r="AF14" s="1"/>
    </row>
    <row r="15" spans="1:32" x14ac:dyDescent="0.25">
      <c r="A15" s="31">
        <v>42942.539861111109</v>
      </c>
      <c r="B15" s="30" t="s">
        <v>489</v>
      </c>
      <c r="C15" s="30" t="s">
        <v>642</v>
      </c>
      <c r="D15" s="30" t="s">
        <v>49</v>
      </c>
      <c r="E15" s="30" t="s">
        <v>196</v>
      </c>
      <c r="F15" s="42">
        <v>200</v>
      </c>
      <c r="G15" s="42">
        <v>279</v>
      </c>
      <c r="H15" s="42">
        <v>31392</v>
      </c>
      <c r="I15" s="42">
        <v>30871</v>
      </c>
      <c r="J15" s="30" t="s">
        <v>197</v>
      </c>
      <c r="K15" s="42">
        <v>30562</v>
      </c>
      <c r="L15" s="131" t="s">
        <v>51</v>
      </c>
      <c r="M15" s="132">
        <f>CONVERT((I15-K15)/10000,"mi","ft")*IF(L15="Increasing Mileposts (1)",-1,1)</f>
        <v>163.15199999999999</v>
      </c>
      <c r="N15" s="133" t="str">
        <f>VLOOKUP(C15,'Trips&amp;Operators'!$C$1:$G$99999,5,FALSE)</f>
        <v>ELBAUM MIKE</v>
      </c>
      <c r="O15" s="203" t="s">
        <v>180</v>
      </c>
      <c r="P15" s="134"/>
      <c r="Q15" s="30"/>
      <c r="R15" s="81" t="str">
        <f>VLOOKUP(C15,'Train Runs'!$A$13:$AE$9921,31,0)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S15" s="84" t="str">
        <f>VLOOKUP(C15,'Train Runs'!$A$13:$AE$9921,22,0)</f>
        <v>https://d0f6bd738d7f1b3e5a7ca70fe4ff75f0.us-east-1.aws.found.io/app/kibana#/discover/Steve-Slow-Train-Analysis-(2080s-and-2083s)?_g=(refreshInterval:(display:Off,pause:!f,section:0,value:0),time:(from:'2017-07-26T11:10:36-0600',mode:absolute,to:'2017-07-26T14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/stypes="*4023*201707261*" /stext=" 18:.+((SYSTEM_STATE.+slice.+state.+changed )|(ment ac)|(multiple cpu faults)|(system.+state.+changed )|(\[timeout)|(PRM\|1\|D)|(kpr)|(kdp)|(train st.+moving)|(\|lc)|(penalty))"</v>
      </c>
      <c r="U15" s="9" t="str">
        <f>MID(B15,13,4)</f>
        <v>4023</v>
      </c>
      <c r="V15" s="31">
        <f>A15-utc_offset/24</f>
        <v>42942.789861111109</v>
      </c>
      <c r="W15" s="45" t="str">
        <f>DetSubdiv(C15)</f>
        <v>EC</v>
      </c>
      <c r="X15" s="22">
        <f>VALUE(LEFT(C15,LEN(C15)-3))</f>
        <v>164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{"issue":{"subject":"","project_id":79,"tracker_id":40,"status_id":1,"priority_id":2,"assigned_to_id":23,"start_date":"2017-07-26","description":"","custom_fields":[{"id":1,"name":"Subdivision","value":"EC"},{"id":4,"name":"Milepost","value":"3.0562"},{"id":17,"name":"Train ID","value":"164-26"},{"id":16,"name":"Locomotive ID","value":"4023"},{"id":130,"name":"Impact","value":""},{"id":150,"name":"Time of Event (Mountain Time)","value":"12:57:24"},{"id":151,"name":"Denver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/c/Users/stu/AppData/Local/Temp/OnboardLogs/RTDC4023 --include="*4023*201707261*"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"%USERPROFILE%\AppData\Local\Temp\OnboardLogs"\RTDC4023\*4023*201707261* &gt;&gt; 2017-07-26-SliceDisagreementCheck.txt</v>
      </c>
      <c r="AE15" s="145" t="str">
        <f t="shared" si="1"/>
        <v>start /low /b %USERPROFILE%\Documents\GitHub\eaglep3\Utilities\DownloadLogsFromS3.py --loco 4023 --day 2017-07-26</v>
      </c>
      <c r="AF15" s="1"/>
    </row>
    <row r="16" spans="1:32" x14ac:dyDescent="0.25">
      <c r="A16" s="31">
        <v>42942.366944444446</v>
      </c>
      <c r="B16" s="30" t="s">
        <v>625</v>
      </c>
      <c r="C16" s="30" t="s">
        <v>626</v>
      </c>
      <c r="D16" s="30" t="s">
        <v>49</v>
      </c>
      <c r="E16" s="30" t="s">
        <v>196</v>
      </c>
      <c r="F16" s="42">
        <v>350</v>
      </c>
      <c r="G16" s="42">
        <v>535</v>
      </c>
      <c r="H16" s="42">
        <v>222622</v>
      </c>
      <c r="I16" s="42">
        <v>224213</v>
      </c>
      <c r="J16" s="30" t="s">
        <v>197</v>
      </c>
      <c r="K16" s="42">
        <v>224578</v>
      </c>
      <c r="L16" s="131" t="s">
        <v>50</v>
      </c>
      <c r="M16" s="132">
        <f>CONVERT((I16-K16)/10000,"mi","ft")*IF(L16="Increasing Mileposts (1)",-1,1)</f>
        <v>192.72</v>
      </c>
      <c r="N16" s="133" t="str">
        <f>VLOOKUP(C16,'Trips&amp;Operators'!$C$1:$G$99999,5,FALSE)</f>
        <v>DAVIS WENDY</v>
      </c>
      <c r="O16" s="203" t="s">
        <v>180</v>
      </c>
      <c r="P16" s="134"/>
      <c r="Q16" s="30"/>
      <c r="R16" s="81" t="str">
        <f>VLOOKUP(C16,'Train Runs'!$A$13:$AE$9921,31,0)</f>
        <v>aws s3 cp s3://rtdc.mdm.uploadarchive.raw/RTDC4006/ "%USERPROFILE%\AppData\Local\Temp\OnboardLogs"\RTDC4006\2017-07-26 --exclude "*" --recursive --include "*20170726*" &amp; "%USERPROFILE%\Documents\GitHub\mrs-test-scripts\Headless Mode &amp; Sideloading\WalkAndUnGZ.bat" "%USERPROFILE%\AppData\Local\Temp\OnboardLogs"\RTDC4006\2017-07-26 &amp; 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</v>
      </c>
      <c r="S16" s="84" t="str">
        <f>VLOOKUP(C16,'Train Runs'!$A$13:$AE$9921,22,0)</f>
        <v>https://d0f6bd738d7f1b3e5a7ca70fe4ff75f0.us-east-1.aws.found.io/app/kibana#/discover/Steve-Slow-Train-Analysis-(2080s-and-2083s)?_g=(refreshInterval:(display:Off,pause:!f,section:0,value:0),time:(from:'2017-07-26T07:09:40-0600',mode:absolute,to:'2017-07-26T09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/stypes="*4006*201707261*" /stext=" 14:.+((SYSTEM_STATE.+slice.+state.+changed )|(ment ac)|(multiple cpu faults)|(system.+state.+changed )|(\[timeout)|(PRM\|1\|D)|(kpr)|(kdp)|(train st.+moving)|(\|lc)|(penalty))"</v>
      </c>
      <c r="U16" s="9" t="str">
        <f>MID(B16,13,4)</f>
        <v>4006</v>
      </c>
      <c r="V16" s="31">
        <f>A16-utc_offset/24</f>
        <v>42942.616944444446</v>
      </c>
      <c r="W16" s="45" t="str">
        <f>DetSubdiv(C16)</f>
        <v>EC</v>
      </c>
      <c r="X16" s="22">
        <f>VALUE(LEFT(C16,LEN(C16)-3))</f>
        <v>137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{"issue":{"subject":"","project_id":79,"tracker_id":40,"status_id":1,"priority_id":2,"assigned_to_id":23,"start_date":"2017-07-26","description":"","custom_fields":[{"id":1,"name":"Subdivision","value":"EC"},{"id":4,"name":"Milepost","value":"22.4578"},{"id":17,"name":"Train ID","value":"137-26"},{"id":16,"name":"Locomotive ID","value":"4006"},{"id":130,"name":"Impact","value":""},{"id":150,"name":"Time of Event (Mountain Time)","value":"08:48:24"},{"id":151,"name":"Denver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/c/Users/stu/AppData/Local/Temp/OnboardLogs/RTDC4006 --include="*4006*201707261*"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"%USERPROFILE%\AppData\Local\Temp\OnboardLogs"\RTDC4006\*4006*201707261* &gt;&gt; 2017-07-26-SliceDisagreementCheck.txt</v>
      </c>
      <c r="AE16" s="145" t="str">
        <f t="shared" si="1"/>
        <v>start /low /b %USERPROFILE%\Documents\GitHub\eaglep3\Utilities\DownloadLogsFromS3.py --loco 4006 --day 2017-07-26</v>
      </c>
      <c r="AF16" s="1"/>
    </row>
    <row r="17" spans="1:32" x14ac:dyDescent="0.25">
      <c r="A17" s="31">
        <v>42942.3125</v>
      </c>
      <c r="B17" s="30" t="s">
        <v>622</v>
      </c>
      <c r="C17" s="30" t="s">
        <v>623</v>
      </c>
      <c r="D17" s="30" t="s">
        <v>96</v>
      </c>
      <c r="E17" s="30" t="s">
        <v>196</v>
      </c>
      <c r="F17" s="42">
        <v>550</v>
      </c>
      <c r="G17" s="42">
        <v>600</v>
      </c>
      <c r="H17" s="42">
        <v>222134</v>
      </c>
      <c r="I17" s="42">
        <v>219857</v>
      </c>
      <c r="J17" s="30" t="s">
        <v>197</v>
      </c>
      <c r="K17" s="42">
        <v>224581</v>
      </c>
      <c r="L17" s="131" t="s">
        <v>51</v>
      </c>
      <c r="M17" s="132">
        <f>CONVERT((I17-K17)/10000,"mi","ft")*IF(L17="Increasing Mileposts (1)",-1,1)</f>
        <v>-2494.2719999999999</v>
      </c>
      <c r="N17" s="133" t="str">
        <f>VLOOKUP(C17,'Trips&amp;Operators'!$C$1:$G$99999,5,FALSE)</f>
        <v>DAVIS WENDY</v>
      </c>
      <c r="O17" s="203" t="s">
        <v>180</v>
      </c>
      <c r="P17" s="134"/>
      <c r="Q17" s="30"/>
      <c r="R17" s="81" t="str">
        <f>VLOOKUP(C17,'Train Runs'!$A$13:$AE$9921,31,0)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S17" s="84" t="str">
        <f>VLOOKUP(C17,'Train Runs'!$A$13:$AE$9921,22,0)</f>
        <v>https://d0f6bd738d7f1b3e5a7ca70fe4ff75f0.us-east-1.aws.found.io/app/kibana#/discover/Steve-Slow-Train-Analysis-(2080s-and-2083s)?_g=(refreshInterval:(display:Off,pause:!f,section:0,value:0),time:(from:'2017-07-26T06:23:51-0600',mode:absolute,to:'2017-07-26T09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/stypes="*4005*201707261*" /stext=" 13:.+((SYSTEM_STATE.+slice.+state.+changed )|(ment ac)|(multiple cpu faults)|(system.+state.+changed )|(\[timeout)|(PRM\|1\|D)|(kpr)|(kdp)|(train st.+moving)|(\|lc)|(penalty))"</v>
      </c>
      <c r="U17" s="9" t="str">
        <f>MID(B17,13,4)</f>
        <v>4005</v>
      </c>
      <c r="V17" s="31">
        <f>A17-utc_offset/24</f>
        <v>42942.5625</v>
      </c>
      <c r="W17" s="45" t="str">
        <f>DetSubdiv(C17)</f>
        <v>EC</v>
      </c>
      <c r="X17" s="22">
        <f>VALUE(LEFT(C17,LEN(C17)-3))</f>
        <v>124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{"issue":{"subject":"","project_id":79,"tracker_id":40,"status_id":1,"priority_id":2,"assigned_to_id":23,"start_date":"2017-07-26","description":"","custom_fields":[{"id":1,"name":"Subdivision","value":"EC"},{"id":4,"name":"Milepost","value":"22.4581"},{"id":17,"name":"Train ID","value":"124-26"},{"id":16,"name":"Locomotive ID","value":"4005"},{"id":130,"name":"Impact","value":""},{"id":150,"name":"Time of Event (Mountain Time)","value":"07:30:00"},{"id":151,"name":"Denver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/c/Users/stu/AppData/Local/Temp/OnboardLogs/RTDC4005 --include="*4005*201707261*"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"%USERPROFILE%\AppData\Local\Temp\OnboardLogs"\RTDC4005\*4005*201707261* &gt;&gt; 2017-07-26-SliceDisagreementCheck.txt</v>
      </c>
      <c r="AE17" s="145" t="str">
        <f t="shared" si="1"/>
        <v>start /low /b %USERPROFILE%\Documents\GitHub\eaglep3\Utilities\DownloadLogsFromS3.py --loco 4005 --day 2017-07-26</v>
      </c>
      <c r="AF17" s="1"/>
    </row>
    <row r="18" spans="1:32" x14ac:dyDescent="0.25">
      <c r="A18" s="31">
        <v>42942.302430555559</v>
      </c>
      <c r="B18" s="30" t="s">
        <v>489</v>
      </c>
      <c r="C18" s="30" t="s">
        <v>621</v>
      </c>
      <c r="D18" s="30" t="s">
        <v>96</v>
      </c>
      <c r="E18" s="30" t="s">
        <v>196</v>
      </c>
      <c r="F18" s="42">
        <v>350</v>
      </c>
      <c r="G18" s="42">
        <v>405</v>
      </c>
      <c r="H18" s="42">
        <v>224829</v>
      </c>
      <c r="I18" s="42">
        <v>223217</v>
      </c>
      <c r="J18" s="30" t="s">
        <v>197</v>
      </c>
      <c r="K18" s="42">
        <v>228668</v>
      </c>
      <c r="L18" s="131" t="s">
        <v>51</v>
      </c>
      <c r="M18" s="132">
        <f>CONVERT((I18-K18)/10000,"mi","ft")*IF(L18="Increasing Mileposts (1)",-1,1)</f>
        <v>-2878.1280000000002</v>
      </c>
      <c r="N18" s="133" t="str">
        <f>VLOOKUP(C18,'Trips&amp;Operators'!$C$1:$G$99999,5,FALSE)</f>
        <v>NICHOLSON WESLEY</v>
      </c>
      <c r="O18" s="203" t="s">
        <v>180</v>
      </c>
      <c r="P18" s="134"/>
      <c r="Q18" s="30"/>
      <c r="R18" s="81" t="str">
        <f>VLOOKUP(C18,'Train Runs'!$A$13:$AE$9921,31,0)</f>
        <v>aws s3 cp s3://rtdc.mdm.uploadarchive.raw/RTDC4023/ "%USERPROFILE%\AppData\Local\Temp\OnboardLogs"\RTDC4023\2017-07-26 --exclude "*" --recursive --include "*20170726*" &amp; "%USERPROFILE%\Documents\GitHub\mrs-test-scripts\Headless Mode &amp; Sideloading\WalkAndUnGZ.bat" "%USERPROFILE%\AppData\Local\Temp\OnboardLogs"\RTDC4023\2017-07-26 &amp; aws s3 cp s3://rtdc.mdm.uploadarchive.raw/RTDC4023/ "%USERPROFILE%\AppData\Local\Temp\OnboardLogs"\RTDC4023\2017-07-27 --exclude "*" --recursive --include "*20170727*" &amp; "%USERPROFILE%\Documents\GitHub\mrs-test-scripts\Headless Mode &amp; Sideloading\WalkAndUnGZ.bat" "%USERPROFILE%\AppData\Local\Temp\OnboardLogs"\RTDC4023\2017-07-27</v>
      </c>
      <c r="S18" s="84" t="str">
        <f>VLOOKUP(C18,'Train Runs'!$A$13:$AE$9921,22,0)</f>
        <v>https://d0f6bd738d7f1b3e5a7ca70fe4ff75f0.us-east-1.aws.found.io/app/kibana#/discover/Steve-Slow-Train-Analysis-(2080s-and-2083s)?_g=(refreshInterval:(display:Off,pause:!f,section:0,value:0),time:(from:'2017-07-26T05:57:34-0600',mode:absolute,to:'2017-07-26T08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/stypes="*4023*201707261*" /stext=" 13:.+((SYSTEM_STATE.+slice.+state.+changed )|(ment ac)|(multiple cpu faults)|(system.+state.+changed )|(\[timeout)|(PRM\|1\|D)|(kpr)|(kdp)|(train st.+moving)|(\|lc)|(penalty))"</v>
      </c>
      <c r="U18" s="9" t="str">
        <f>MID(B18,13,4)</f>
        <v>4023</v>
      </c>
      <c r="V18" s="31">
        <f>A18-utc_offset/24</f>
        <v>42942.552430555559</v>
      </c>
      <c r="W18" s="45" t="str">
        <f>DetSubdiv(C18)</f>
        <v>EC</v>
      </c>
      <c r="X18" s="22">
        <f>VALUE(LEFT(C18,LEN(C18)-3))</f>
        <v>122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{"issue":{"subject":"","project_id":79,"tracker_id":40,"status_id":1,"priority_id":2,"assigned_to_id":23,"start_date":"2017-07-26","description":"","custom_fields":[{"id":1,"name":"Subdivision","value":"EC"},{"id":4,"name":"Milepost","value":"22.8668"},{"id":17,"name":"Train ID","value":"122-26"},{"id":16,"name":"Locomotive ID","value":"4023"},{"id":130,"name":"Impact","value":""},{"id":150,"name":"Time of Event (Mountain Time)","value":"07:15:30"},{"id":151,"name":"Denver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/c/Users/stu/AppData/Local/Temp/OnboardLogs/RTDC4023 --include="*4023*201707261*"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"%USERPROFILE%\AppData\Local\Temp\OnboardLogs"\RTDC4023\*4023*201707261* &gt;&gt; 2017-07-26-SliceDisagreementCheck.txt</v>
      </c>
      <c r="AE18" s="145" t="str">
        <f t="shared" si="1"/>
        <v>start /low /b %USERPROFILE%\Documents\GitHub\eaglep3\Utilities\DownloadLogsFromS3.py --loco 4023 --day 2017-07-26</v>
      </c>
      <c r="AF18" s="1"/>
    </row>
    <row r="19" spans="1:32" x14ac:dyDescent="0.25">
      <c r="A19" s="31">
        <v>42942.789351851854</v>
      </c>
      <c r="B19" s="30" t="s">
        <v>459</v>
      </c>
      <c r="C19" s="30" t="s">
        <v>653</v>
      </c>
      <c r="D19" s="30" t="s">
        <v>49</v>
      </c>
      <c r="E19" s="30" t="s">
        <v>628</v>
      </c>
      <c r="F19" s="42">
        <v>0</v>
      </c>
      <c r="G19" s="42">
        <v>763</v>
      </c>
      <c r="H19" s="42">
        <v>147261</v>
      </c>
      <c r="I19" s="42">
        <v>151087</v>
      </c>
      <c r="J19" s="30" t="s">
        <v>629</v>
      </c>
      <c r="K19" s="42">
        <v>149694</v>
      </c>
      <c r="L19" s="131" t="s">
        <v>50</v>
      </c>
      <c r="M19" s="132">
        <f>CONVERT((I19-K19)/10000,"mi","ft")*IF(L19="Increasing Mileposts (1)",-1,1)</f>
        <v>-735.50400000000002</v>
      </c>
      <c r="N19" s="133" t="str">
        <f>VLOOKUP(C19,'Trips&amp;Operators'!$C$1:$G$99999,5,FALSE)</f>
        <v>LAMAR NEKESHA</v>
      </c>
      <c r="O19" s="203" t="s">
        <v>484</v>
      </c>
      <c r="P19" s="134" t="s">
        <v>501</v>
      </c>
      <c r="Q19" s="30"/>
      <c r="R19" s="81" t="str">
        <f>VLOOKUP(C19,'Train Runs'!$A$13:$AE$9921,31,0)</f>
        <v>aws s3 cp s3://rtdc.mdm.uploadarchive.raw/RTDC4024/ "%USERPROFILE%\AppData\Local\Temp\OnboardLogs"\RTDC4024\2017-07-26 --exclude "*" --recursive --include "*20170726*" &amp; "%USERPROFILE%\Documents\GitHub\mrs-test-scripts\Headless Mode &amp; Sideloading\WalkAndUnGZ.bat" "%USERPROFILE%\AppData\Local\Temp\OnboardLogs"\RTDC4024\2017-07-26 &amp; 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</v>
      </c>
      <c r="S19" s="84" t="str">
        <f>VLOOKUP(C19,'Train Runs'!$A$13:$AE$9921,22,0)</f>
        <v>https://d0f6bd738d7f1b3e5a7ca70fe4ff75f0.us-east-1.aws.found.io/app/kibana#/discover/Steve-Slow-Train-Analysis-(2080s-and-2083s)?_g=(refreshInterval:(display:Off,pause:!f,section:0,value:0),time:(from:'2017-07-26T17:22:09-0600',mode:absolute,to:'2017-07-26T20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/stypes="*4024*201707270*" /stext=" 00:.+((SYSTEM_STATE.+slice.+state.+changed )|(ment ac)|(multiple cpu faults)|(system.+state.+changed )|(\[timeout)|(PRM\|1\|D)|(kpr)|(kdp)|(train st.+moving)|(\|lc)|(penalty))"</v>
      </c>
      <c r="U19" s="9" t="str">
        <f>MID(B19,13,4)</f>
        <v>4024</v>
      </c>
      <c r="V19" s="31">
        <f>A19-utc_offset/24</f>
        <v>42943.039351851854</v>
      </c>
      <c r="W19" s="45" t="str">
        <f>DetSubdiv(C19)</f>
        <v>EC</v>
      </c>
      <c r="X19" s="22">
        <f>VALUE(LEFT(C19,LEN(C19)-3))</f>
        <v>219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drop","project_id":79,"tracker_id":40,"status_id":1,"priority_id":2,"assigned_to_id":23,"start_date":"2017-07-26","description":"","custom_fields":[{"id":1,"name":"Subdivision","value":"EC"},{"id":4,"name":"Milepost","value":"14.9694"},{"id":17,"name":"Train ID","value":"219-26"},{"id":16,"name":"Locomotive ID","value":"4024"},{"id":130,"name":"Impact","value":""},{"id":150,"name":"Time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/c/Users/stu/AppData/Local/Temp/OnboardLogs/RTDC4024 --include="*4024*201707270*"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"%USERPROFILE%\AppData\Local\Temp\OnboardLogs"\RTDC4024\*4024*201707270* &gt;&gt; 2017-07-26-SliceDisagreementCheck.txt</v>
      </c>
      <c r="AE19" s="145" t="str">
        <f t="shared" si="1"/>
        <v>start /low /b %USERPROFILE%\Documents\GitHub\eaglep3\Utilities\DownloadLogsFromS3.py --loco 4024 --day 2017-07-27</v>
      </c>
      <c r="AF19" s="1"/>
    </row>
    <row r="20" spans="1:32" x14ac:dyDescent="0.25">
      <c r="A20" s="31">
        <v>42942.370937500003</v>
      </c>
      <c r="B20" s="30" t="s">
        <v>616</v>
      </c>
      <c r="C20" s="30" t="s">
        <v>627</v>
      </c>
      <c r="D20" s="30" t="s">
        <v>96</v>
      </c>
      <c r="E20" s="30" t="s">
        <v>628</v>
      </c>
      <c r="F20" s="42">
        <v>200</v>
      </c>
      <c r="G20" s="42">
        <v>268</v>
      </c>
      <c r="H20" s="42">
        <v>152969</v>
      </c>
      <c r="I20" s="42">
        <v>152027</v>
      </c>
      <c r="J20" s="30" t="s">
        <v>629</v>
      </c>
      <c r="K20" s="42">
        <v>157300</v>
      </c>
      <c r="L20" s="131" t="s">
        <v>51</v>
      </c>
      <c r="M20" s="132">
        <f>CONVERT((I20-K20)/10000,"mi","ft")*IF(L20="Increasing Mileposts (1)",-1,1)</f>
        <v>-2784.1439999999998</v>
      </c>
      <c r="N20" s="133" t="str">
        <f>VLOOKUP(C20,'Trips&amp;Operators'!$C$1:$G$99999,5,FALSE)</f>
        <v>STARKS ANGELINA</v>
      </c>
      <c r="O20" s="203" t="s">
        <v>180</v>
      </c>
      <c r="P20" s="134" t="s">
        <v>1059</v>
      </c>
      <c r="Q20" s="30"/>
      <c r="R20" s="81" t="str">
        <f>VLOOKUP(C20,'Train Runs'!$A$13:$AE$9921,31,0)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S20" s="84" t="str">
        <f>VLOOKUP(C20,'Train Runs'!$A$13:$AE$9921,22,0)</f>
        <v>https://d0f6bd738d7f1b3e5a7ca70fe4ff75f0.us-east-1.aws.found.io/app/kibana#/discover/Steve-Slow-Train-Analysis-(2080s-and-2083s)?_g=(refreshInterval:(display:Off,pause:!f,section:0,value:0),time:(from:'2017-07-26T07:37:50-0600',mode:absolute,to:'2017-07-26T10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/stypes="*4003*201707261*" /stext=" 14:.+((SYSTEM_STATE.+slice.+state.+changed )|(ment ac)|(multiple cpu faults)|(system.+state.+changed )|(\[timeout)|(PRM\|1\|D)|(kpr)|(kdp)|(train st.+moving)|(\|lc)|(penalty))"</v>
      </c>
      <c r="U20" s="9" t="str">
        <f>MID(B20,13,4)</f>
        <v>4003</v>
      </c>
      <c r="V20" s="31">
        <f>A20-utc_offset/24</f>
        <v>42942.620937500003</v>
      </c>
      <c r="W20" s="45" t="str">
        <f>DetSubdiv(C20)</f>
        <v>EC</v>
      </c>
      <c r="X20" s="22">
        <f>VALUE(LEFT(C20,LEN(C20)-3))</f>
        <v>134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-07-26","description":"","custom_fields":[{"id":1,"name":"Subdivision","value":"EC"},{"id":4,"name":"Milepost","value":"15.73"},{"id":17,"name":"Train ID","value":"134-26"},{"id":16,"name":"Locomotive ID","value":"4003"},{"id":130,"name":"Impact","value":""},{"id":150,"name":"Time of Event (Mountain Time)","value":"08:54:09"},{"id":151,"name":"Denver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/c/Users/stu/AppData/Local/Temp/OnboardLogs/RTDC4003 --include="*4003*201707261*"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"%USERPROFILE%\AppData\Local\Temp\OnboardLogs"\RTDC4003\*4003*201707261* &gt;&gt; 2017-07-26-SliceDisagreementCheck.txt</v>
      </c>
      <c r="AE20" s="145" t="str">
        <f t="shared" si="1"/>
        <v>start /low /b %USERPROFILE%\Documents\GitHub\eaglep3\Utilities\DownloadLogsFromS3.py --loco 4003 --day 2017-07-26</v>
      </c>
      <c r="AF20" s="1"/>
    </row>
    <row r="21" spans="1:32" x14ac:dyDescent="0.25">
      <c r="A21" s="31">
        <v>42942.438472222224</v>
      </c>
      <c r="B21" s="30" t="s">
        <v>616</v>
      </c>
      <c r="C21" s="30" t="s">
        <v>633</v>
      </c>
      <c r="D21" s="30" t="s">
        <v>49</v>
      </c>
      <c r="E21" s="30" t="s">
        <v>628</v>
      </c>
      <c r="F21" s="42">
        <v>0</v>
      </c>
      <c r="G21" s="42">
        <v>726</v>
      </c>
      <c r="H21" s="42">
        <v>213096</v>
      </c>
      <c r="I21" s="42">
        <v>209482</v>
      </c>
      <c r="J21" s="30" t="s">
        <v>629</v>
      </c>
      <c r="K21" s="42">
        <v>210941</v>
      </c>
      <c r="L21" s="131" t="s">
        <v>51</v>
      </c>
      <c r="M21" s="132">
        <f>CONVERT((I21-K21)/10000,"mi","ft")*IF(L21="Increasing Mileposts (1)",-1,1)</f>
        <v>-770.35199999999998</v>
      </c>
      <c r="N21" s="133" t="str">
        <f>VLOOKUP(C21,'Trips&amp;Operators'!$C$1:$G$99999,5,FALSE)</f>
        <v>STARKS ANGELINA</v>
      </c>
      <c r="O21" s="203" t="s">
        <v>484</v>
      </c>
      <c r="P21" s="134" t="s">
        <v>501</v>
      </c>
      <c r="Q21" s="30"/>
      <c r="R21" s="81" t="str">
        <f>VLOOKUP(C21,'Train Runs'!$A$13:$AE$9921,31,0)</f>
        <v>aws s3 cp s3://rtdc.mdm.uploadarchive.raw/RTDC4003/ "%USERPROFILE%\AppData\Local\Temp\OnboardLogs"\RTDC4003\2017-07-26 --exclude "*" --recursive --include "*20170726*" &amp; "%USERPROFILE%\Documents\GitHub\mrs-test-scripts\Headless Mode &amp; Sideloading\WalkAndUnGZ.bat" "%USERPROFILE%\AppData\Local\Temp\OnboardLogs"\RTDC4003\2017-07-26 &amp; aws s3 cp s3://rtdc.mdm.uploadarchive.raw/RTDC4003/ "%USERPROFILE%\AppData\Local\Temp\OnboardLogs"\RTDC4003\2017-07-27 --exclude "*" --recursive --include "*20170727*" &amp; "%USERPROFILE%\Documents\GitHub\mrs-test-scripts\Headless Mode &amp; Sideloading\WalkAndUnGZ.bat" "%USERPROFILE%\AppData\Local\Temp\OnboardLogs"\RTDC4003\2017-07-27</v>
      </c>
      <c r="S21" s="84" t="str">
        <f>VLOOKUP(C21,'Train Runs'!$A$13:$AE$9921,22,0)</f>
        <v>https://d0f6bd738d7f1b3e5a7ca70fe4ff75f0.us-east-1.aws.found.io/app/kibana#/discover/Steve-Slow-Train-Analysis-(2080s-and-2083s)?_g=(refreshInterval:(display:Off,pause:!f,section:0,value:0),time:(from:'2017-07-26T09:18:22-0600',mode:absolute,to:'2017-07-26T12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/stypes="*4003*201707261*" /stext=" 16:.+((SYSTEM_STATE.+slice.+state.+changed )|(ment ac)|(multiple cpu faults)|(system.+state.+changed )|(\[timeout)|(PRM\|1\|D)|(kpr)|(kdp)|(train st.+moving)|(\|lc)|(penalty))"</v>
      </c>
      <c r="U21" s="9" t="str">
        <f>MID(B21,13,4)</f>
        <v>4003</v>
      </c>
      <c r="V21" s="31">
        <f>A21-utc_offset/24</f>
        <v>42942.688472222224</v>
      </c>
      <c r="W21" s="45" t="str">
        <f>DetSubdiv(C21)</f>
        <v>EC</v>
      </c>
      <c r="X21" s="22">
        <f>VALUE(LEFT(C21,LEN(C21)-3))</f>
        <v>148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drop","project_id":79,"tracker_id":40,"status_id":1,"priority_id":2,"assigned_to_id":23,"start_date":"2017-07-26","description":"","custom_fields":[{"id":1,"name":"Subdivision","value":"EC"},{"id":4,"name":"Milepost","value":"21.0941"},{"id":17,"name":"Train ID","value":"148-26"},{"id":16,"name":"Locomotive ID","value":"4003"},{"id":130,"name":"Impact","value":""},{"id":150,"name":"Time of Event (Mountain Time)","value":"10:31:24"},{"id":151,"name":"Denver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/c/Users/stu/AppData/Local/Temp/OnboardLogs/RTDC4003 --include="*4003*201707261*"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"%USERPROFILE%\AppData\Local\Temp\OnboardLogs"\RTDC4003\*4003*201707261* &gt;&gt; 2017-07-26-SliceDisagreementCheck.txt</v>
      </c>
      <c r="AE21" s="145" t="str">
        <f t="shared" si="1"/>
        <v>start /low /b %USERPROFILE%\Documents\GitHub\eaglep3\Utilities\DownloadLogsFromS3.py --loco 4003 --day 2017-07-26</v>
      </c>
      <c r="AF21" s="1"/>
    </row>
    <row r="22" spans="1:32" x14ac:dyDescent="0.25">
      <c r="A22" s="31">
        <v>42942.204363425924</v>
      </c>
      <c r="B22" s="30" t="s">
        <v>483</v>
      </c>
      <c r="C22" s="30" t="s">
        <v>614</v>
      </c>
      <c r="D22" s="30" t="s">
        <v>49</v>
      </c>
      <c r="E22" s="30" t="s">
        <v>181</v>
      </c>
      <c r="F22" s="42">
        <v>0</v>
      </c>
      <c r="G22" s="42">
        <v>47</v>
      </c>
      <c r="H22" s="42">
        <v>167</v>
      </c>
      <c r="I22" s="42">
        <v>129</v>
      </c>
      <c r="J22" s="30" t="s">
        <v>182</v>
      </c>
      <c r="K22" s="42">
        <v>1</v>
      </c>
      <c r="L22" s="131" t="s">
        <v>51</v>
      </c>
      <c r="M22" s="132">
        <f>CONVERT((I22-K22)/10000,"mi","ft")*IF(L22="Increasing Mileposts (1)",-1,1)</f>
        <v>67.584000000000003</v>
      </c>
      <c r="N22" s="133" t="str">
        <f>VLOOKUP(C22,'Trips&amp;Operators'!$C$1:$G$99999,5,FALSE)</f>
        <v>BONDS REYNALDO</v>
      </c>
      <c r="O22" s="203" t="s">
        <v>180</v>
      </c>
      <c r="P22" s="134"/>
      <c r="Q22" s="30"/>
      <c r="R22" s="81" t="str">
        <f>VLOOKUP(C22,'Train Runs'!$A$13:$AE$9921,31,0)</f>
        <v>aws s3 cp s3://rtdc.mdm.uploadarchive.raw/RTDC4025/ "%USERPROFILE%\AppData\Local\Temp\OnboardLogs"\RTDC4025\2017-07-26 --exclude "*" --recursive --include "*20170726*" &amp; "%USERPROFILE%\Documents\GitHub\mrs-test-scripts\Headless Mode &amp; Sideloading\WalkAndUnGZ.bat" "%USERPROFILE%\AppData\Local\Temp\OnboardLogs"\RTDC4025\2017-07-26 &amp; aws s3 cp s3://rtdc.mdm.uploadarchive.raw/RTDC4025/ "%USERPROFILE%\AppData\Local\Temp\OnboardLogs"\RTDC4025\2017-07-27 --exclude "*" --recursive --include "*20170727*" &amp; "%USERPROFILE%\Documents\GitHub\mrs-test-scripts\Headless Mode &amp; Sideloading\WalkAndUnGZ.bat" "%USERPROFILE%\AppData\Local\Temp\OnboardLogs"\RTDC4025\2017-07-27</v>
      </c>
      <c r="S22" s="84" t="str">
        <f>VLOOKUP(C22,'Train Runs'!$A$13:$AE$9921,22,0)</f>
        <v>https://d0f6bd738d7f1b3e5a7ca70fe4ff75f0.us-east-1.aws.found.io/app/kibana#/discover/Steve-Slow-Train-Analysis-(2080s-and-2083s)?_g=(refreshInterval:(display:Off,pause:!f,section:0,value:0),time:(from:'2017-07-26T03:00:01-0600',mode:absolute,to:'2017-07-26T05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/stypes="*4025*201707261*" /stext=" 10:.+((SYSTEM_STATE.+slice.+state.+changed )|(ment ac)|(multiple cpu faults)|(system.+state.+changed )|(\[timeout)|(PRM\|1\|D)|(kpr)|(kdp)|(train st.+moving)|(\|lc)|(penalty))"</v>
      </c>
      <c r="U22" s="9" t="str">
        <f>MID(B22,13,4)</f>
        <v>4025</v>
      </c>
      <c r="V22" s="31">
        <f>A22-utc_offset/24</f>
        <v>42942.454363425924</v>
      </c>
      <c r="W22" s="45" t="str">
        <f>DetSubdiv(C22)</f>
        <v>EC</v>
      </c>
      <c r="X22" s="22">
        <f>VALUE(LEFT(C22,LEN(C22)-3))</f>
        <v>102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{"issue":{"subject":"","project_id":79,"tracker_id":40,"status_id":1,"priority_id":2,"assigned_to_id":23,"start_date":"2017-07-26","description":"","custom_fields":[{"id":1,"name":"Subdivision","value":"EC"},{"id":4,"name":"Milepost","value":"0.0001"},{"id":17,"name":"Train ID","value":"102-26"},{"id":16,"name":"Locomotive ID","value":"4025"},{"id":130,"name":"Impact","value":""},{"id":150,"name":"Time of Event (Mountain Time)","value":"04:54:17"},{"id":151,"name":"Denver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/c/Users/stu/AppData/Local/Temp/OnboardLogs/RTDC4025 --include="*4025*201707261*"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"%USERPROFILE%\AppData\Local\Temp\OnboardLogs"\RTDC4025\*4025*201707261* &gt;&gt; 2017-07-26-SliceDisagreementCheck.txt</v>
      </c>
      <c r="AE22" s="145" t="str">
        <f t="shared" si="1"/>
        <v>start /low /b %USERPROFILE%\Documents\GitHub\eaglep3\Utilities\DownloadLogsFromS3.py --loco 4025 --day 2017-07-26</v>
      </c>
      <c r="AF22" s="1"/>
    </row>
    <row r="23" spans="1:32" x14ac:dyDescent="0.25">
      <c r="A23" s="31">
        <v>42942.628587962965</v>
      </c>
      <c r="B23" s="30" t="s">
        <v>622</v>
      </c>
      <c r="C23" s="30" t="s">
        <v>643</v>
      </c>
      <c r="D23" s="30" t="s">
        <v>49</v>
      </c>
      <c r="E23" s="30" t="s">
        <v>181</v>
      </c>
      <c r="F23" s="42">
        <v>0</v>
      </c>
      <c r="G23" s="42">
        <v>50</v>
      </c>
      <c r="H23" s="42">
        <v>165</v>
      </c>
      <c r="I23" s="42">
        <v>119</v>
      </c>
      <c r="J23" s="30" t="s">
        <v>182</v>
      </c>
      <c r="K23" s="42">
        <v>1</v>
      </c>
      <c r="L23" s="131" t="s">
        <v>51</v>
      </c>
      <c r="M23" s="132">
        <f>CONVERT((I23-K23)/10000,"mi","ft")*IF(L23="Increasing Mileposts (1)",-1,1)</f>
        <v>62.304000000000002</v>
      </c>
      <c r="N23" s="133" t="str">
        <f>VLOOKUP(C23,'Trips&amp;Operators'!$C$1:$G$99999,5,FALSE)</f>
        <v>BRUDER RICHARD</v>
      </c>
      <c r="O23" s="203" t="s">
        <v>180</v>
      </c>
      <c r="P23" s="134"/>
      <c r="Q23" s="30"/>
      <c r="R23" s="81" t="str">
        <f>VLOOKUP(C23,'Train Runs'!$A$13:$AE$9921,31,0)</f>
        <v>aws s3 cp s3://rtdc.mdm.uploadarchive.raw/RTDC4005/ "%USERPROFILE%\AppData\Local\Temp\OnboardLogs"\RTDC4005\2017-07-26 --exclude "*" --recursive --include "*20170726*" &amp; "%USERPROFILE%\Documents\GitHub\mrs-test-scripts\Headless Mode &amp; Sideloading\WalkAndUnGZ.bat" "%USERPROFILE%\AppData\Local\Temp\OnboardLogs"\RTDC4005\2017-07-26 &amp; 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</v>
      </c>
      <c r="S23" s="84" t="str">
        <f>VLOOKUP(C23,'Train Runs'!$A$13:$AE$9921,22,0)</f>
        <v>https://d0f6bd738d7f1b3e5a7ca70fe4ff75f0.us-east-1.aws.found.io/app/kibana#/discover/Steve-Slow-Train-Analysis-(2080s-and-2083s)?_g=(refreshInterval:(display:Off,pause:!f,section:0,value:0),time:(from:'2017-07-26T13:21:53-0600',mode:absolute,to:'2017-07-26T16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/stypes="*4005*201707262*" /stext=" 21:.+((SYSTEM_STATE.+slice.+state.+changed )|(ment ac)|(multiple cpu faults)|(system.+state.+changed )|(\[timeout)|(PRM\|1\|D)|(kpr)|(kdp)|(train st.+moving)|(\|lc)|(penalty))"</v>
      </c>
      <c r="U23" s="9" t="str">
        <f>MID(B23,13,4)</f>
        <v>4005</v>
      </c>
      <c r="V23" s="31">
        <f>A23-utc_offset/24</f>
        <v>42942.878587962965</v>
      </c>
      <c r="W23" s="45" t="str">
        <f>DetSubdiv(C23)</f>
        <v>EC</v>
      </c>
      <c r="X23" s="22">
        <f>VALUE(LEFT(C23,LEN(C23)-3))</f>
        <v>180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{"issue":{"subject":"","project_id":79,"tracker_id":40,"status_id":1,"priority_id":2,"assigned_to_id":23,"start_date":"2017-07-26","description":"","custom_fields":[{"id":1,"name":"Subdivision","value":"EC"},{"id":4,"name":"Milepost","value":"0.0001"},{"id":17,"name":"Train ID","value":"180-26"},{"id":16,"name":"Locomotive ID","value":"4005"},{"id":130,"name":"Impact","value":""},{"id":150,"name":"Time of Event (Mountain Time)","value":"15:05:10"},{"id":151,"name":"Denver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/c/Users/stu/AppData/Local/Temp/OnboardLogs/RTDC4005 --include="*4005*201707262*"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"%USERPROFILE%\AppData\Local\Temp\OnboardLogs"\RTDC4005\*4005*201707262* &gt;&gt; 2017-07-26-SliceDisagreementCheck.txt</v>
      </c>
      <c r="AE23" s="145" t="str">
        <f t="shared" si="1"/>
        <v>start /low /b %USERPROFILE%\Documents\GitHub\eaglep3\Utilities\DownloadLogsFromS3.py --loco 4005 --day 2017-07-26</v>
      </c>
      <c r="AF23" s="1"/>
    </row>
    <row r="24" spans="1:32" x14ac:dyDescent="0.25">
      <c r="A24" s="31">
        <v>42942.983553240738</v>
      </c>
      <c r="B24" s="30" t="s">
        <v>503</v>
      </c>
      <c r="C24" s="30" t="s">
        <v>657</v>
      </c>
      <c r="D24" s="30" t="s">
        <v>49</v>
      </c>
      <c r="E24" s="30" t="s">
        <v>181</v>
      </c>
      <c r="F24" s="42">
        <v>0</v>
      </c>
      <c r="G24" s="42">
        <v>11</v>
      </c>
      <c r="H24" s="42">
        <v>860</v>
      </c>
      <c r="I24" s="42">
        <v>854</v>
      </c>
      <c r="J24" s="30" t="s">
        <v>182</v>
      </c>
      <c r="K24" s="42">
        <v>839</v>
      </c>
      <c r="L24" s="131" t="s">
        <v>51</v>
      </c>
      <c r="M24" s="132">
        <f>CONVERT((I24-K24)/10000,"mi","ft")*IF(L24="Increasing Mileposts (1)",-1,1)</f>
        <v>7.92</v>
      </c>
      <c r="N24" s="133" t="str">
        <f>VLOOKUP(C24,'Trips&amp;Operators'!$C$1:$G$99999,5,FALSE)</f>
        <v>PAGE MARCUS</v>
      </c>
      <c r="O24" s="203" t="s">
        <v>180</v>
      </c>
      <c r="P24" s="134"/>
      <c r="Q24" s="30"/>
      <c r="R24" s="81" t="str">
        <f>VLOOKUP(C24,'Train Runs'!$A$13:$AE$9921,31,0)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S24" s="84" t="str">
        <f>VLOOKUP(C24,'Train Runs'!$A$13:$AE$9921,22,0)</f>
        <v>https://d0f6bd738d7f1b3e5a7ca70fe4ff75f0.us-east-1.aws.found.io/app/kibana#/discover/Steve-Slow-Train-Analysis-(2080s-and-2083s)?_g=(refreshInterval:(display:Off,pause:!f,section:0,value:0),time:(from:'2017-07-26T21:45:16-0600',mode:absolute,to:'2017-07-27T00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/stypes="*4027*201707270*" /stext=" 05:.+((SYSTEM_STATE.+slice.+state.+changed )|(ment ac)|(multiple cpu faults)|(system.+state.+changed )|(\[timeout)|(PRM\|1\|D)|(kpr)|(kdp)|(train st.+moving)|(\|lc)|(penalty))"</v>
      </c>
      <c r="U24" s="9" t="str">
        <f>MID(B24,13,4)</f>
        <v>4027</v>
      </c>
      <c r="V24" s="31">
        <f>A24-utc_offset/24</f>
        <v>42943.233553240738</v>
      </c>
      <c r="W24" s="45" t="str">
        <f>DetSubdiv(C24)</f>
        <v>EC</v>
      </c>
      <c r="X24" s="22">
        <f>VALUE(LEFT(C24,LEN(C24)-3))</f>
        <v>234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{"issue":{"subject":"","project_id":79,"tracker_id":40,"status_id":1,"priority_id":2,"assigned_to_id":23,"start_date":"2017-07-26","description":"","custom_fields":[{"id":1,"name":"Subdivision","value":"EC"},{"id":4,"name":"Milepost","value":"0.0839"},{"id":17,"name":"Train ID","value":"234-26"},{"id":16,"name":"Locomotive ID","value":"4027"},{"id":130,"name":"Impact","value":""},{"id":150,"name":"Time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/c/Users/stu/AppData/Local/Temp/OnboardLogs/RTDC4027 --include="*4027*201707270*"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"%USERPROFILE%\AppData\Local\Temp\OnboardLogs"\RTDC4027\*4027*201707270* &gt;&gt; 2017-07-26-SliceDisagreementCheck.txt</v>
      </c>
      <c r="AE24" s="145" t="str">
        <f t="shared" si="1"/>
        <v>start /low /b %USERPROFILE%\Documents\GitHub\eaglep3\Utilities\DownloadLogsFromS3.py --loco 4027 --day 2017-07-27</v>
      </c>
      <c r="AF24" s="1"/>
    </row>
    <row r="25" spans="1:32" x14ac:dyDescent="0.25">
      <c r="A25" s="31">
        <v>42942.184803240743</v>
      </c>
      <c r="B25" s="30" t="s">
        <v>378</v>
      </c>
      <c r="C25" s="30" t="s">
        <v>612</v>
      </c>
      <c r="D25" s="30" t="s">
        <v>49</v>
      </c>
      <c r="E25" s="30" t="s">
        <v>181</v>
      </c>
      <c r="F25" s="42">
        <v>0</v>
      </c>
      <c r="G25" s="42">
        <v>53</v>
      </c>
      <c r="H25" s="42">
        <v>233381</v>
      </c>
      <c r="I25" s="42">
        <v>233415</v>
      </c>
      <c r="J25" s="30" t="s">
        <v>182</v>
      </c>
      <c r="K25" s="42">
        <v>233491</v>
      </c>
      <c r="L25" s="131" t="s">
        <v>50</v>
      </c>
      <c r="M25" s="132">
        <f>CONVERT((I25-K25)/10000,"mi","ft")*IF(L25="Increasing Mileposts (1)",-1,1)</f>
        <v>40.128</v>
      </c>
      <c r="N25" s="133" t="str">
        <f>VLOOKUP(C25,'Trips&amp;Operators'!$C$1:$G$99999,5,FALSE)</f>
        <v>MAELZER KURT</v>
      </c>
      <c r="O25" s="203" t="s">
        <v>180</v>
      </c>
      <c r="P25" s="134"/>
      <c r="Q25" s="30"/>
      <c r="R25" s="81" t="str">
        <f>VLOOKUP(C25,'Train Runs'!$A$13:$AE$9921,31,0)</f>
        <v>aws s3 cp s3://rtdc.mdm.uploadarchive.raw/RTDC4008/ "%USERPROFILE%\AppData\Local\Temp\OnboardLogs"\RTDC4008\2017-07-26 --exclude "*" --recursive --include "*20170726*" &amp; "%USERPROFILE%\Documents\GitHub\mrs-test-scripts\Headless Mode &amp; Sideloading\WalkAndUnGZ.bat" "%USERPROFILE%\AppData\Local\Temp\OnboardLogs"\RTDC4008\2017-07-26 &amp; aws s3 cp s3://rtdc.mdm.uploadarchive.raw/RTDC4008/ "%USERPROFILE%\AppData\Local\Temp\OnboardLogs"\RTDC4008\2017-07-27 --exclude "*" --recursive --include "*20170727*" &amp; "%USERPROFILE%\Documents\GitHub\mrs-test-scripts\Headless Mode &amp; Sideloading\WalkAndUnGZ.bat" "%USERPROFILE%\AppData\Local\Temp\OnboardLogs"\RTDC4008\2017-07-27</v>
      </c>
      <c r="S25" s="84" t="str">
        <f>VLOOKUP(C25,'Train Runs'!$A$13:$AE$9921,22,0)</f>
        <v>https://d0f6bd738d7f1b3e5a7ca70fe4ff75f0.us-east-1.aws.found.io/app/kibana#/discover/Steve-Slow-Train-Analysis-(2080s-and-2083s)?_g=(refreshInterval:(display:Off,pause:!f,section:0,value:0),time:(from:'2017-07-26T02:36:54-0600',mode:absolute,to:'2017-07-26T05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/stypes="*4008*201707261*" /stext=" 10:.+((SYSTEM_STATE.+slice.+state.+changed )|(ment ac)|(multiple cpu faults)|(system.+state.+changed )|(\[timeout)|(PRM\|1\|D)|(kpr)|(kdp)|(train st.+moving)|(\|lc)|(penalty))"</v>
      </c>
      <c r="U25" s="9" t="str">
        <f>MID(B25,13,4)</f>
        <v>4008</v>
      </c>
      <c r="V25" s="31">
        <f>A25-utc_offset/24</f>
        <v>42942.434803240743</v>
      </c>
      <c r="W25" s="45" t="str">
        <f>DetSubdiv(C25)</f>
        <v>EC</v>
      </c>
      <c r="X25" s="22">
        <f>VALUE(LEFT(C25,LEN(C25)-3))</f>
        <v>103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{"issue":{"subject":"","project_id":79,"tracker_id":40,"status_id":1,"priority_id":2,"assigned_to_id":23,"start_date":"2017-07-26","description":"","custom_fields":[{"id":1,"name":"Subdivision","value":"EC"},{"id":4,"name":"Milepost","value":"23.3491"},{"id":17,"name":"Train ID","value":"103-26"},{"id":16,"name":"Locomotive ID","value":"4008"},{"id":130,"name":"Impact","value":""},{"id":150,"name":"Time of Event (Mountain Time)","value":"04:26:07"},{"id":151,"name":"Denver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/c/Users/stu/AppData/Local/Temp/OnboardLogs/RTDC4008 --include="*4008*201707261*"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"%USERPROFILE%\AppData\Local\Temp\OnboardLogs"\RTDC4008\*4008*201707261* &gt;&gt; 2017-07-26-SliceDisagreementCheck.txt</v>
      </c>
      <c r="AE25" s="145" t="str">
        <f t="shared" si="1"/>
        <v>start /low /b %USERPROFILE%\Documents\GitHub\eaglep3\Utilities\DownloadLogsFromS3.py --loco 4008 --day 2017-07-26</v>
      </c>
      <c r="AF25" s="1"/>
    </row>
    <row r="26" spans="1:32" x14ac:dyDescent="0.25">
      <c r="A26" s="31">
        <v>42942.451643518521</v>
      </c>
      <c r="B26" s="30" t="s">
        <v>388</v>
      </c>
      <c r="C26" s="30" t="s">
        <v>636</v>
      </c>
      <c r="D26" s="30" t="s">
        <v>49</v>
      </c>
      <c r="E26" s="30" t="s">
        <v>181</v>
      </c>
      <c r="F26" s="42">
        <v>0</v>
      </c>
      <c r="G26" s="42">
        <v>102</v>
      </c>
      <c r="H26" s="42">
        <v>233049</v>
      </c>
      <c r="I26" s="42">
        <v>233192</v>
      </c>
      <c r="J26" s="30" t="s">
        <v>182</v>
      </c>
      <c r="K26" s="42">
        <v>233491</v>
      </c>
      <c r="L26" s="131" t="s">
        <v>50</v>
      </c>
      <c r="M26" s="132">
        <f>CONVERT((I26-K26)/10000,"mi","ft")*IF(L26="Increasing Mileposts (1)",-1,1)</f>
        <v>157.87200000000001</v>
      </c>
      <c r="N26" s="133" t="str">
        <f>VLOOKUP(C26,'Trips&amp;Operators'!$C$1:$G$99999,5,FALSE)</f>
        <v>HAUSER FRANK</v>
      </c>
      <c r="O26" s="203" t="s">
        <v>180</v>
      </c>
      <c r="P26" s="134"/>
      <c r="Q26" s="30"/>
      <c r="R26" s="81" t="str">
        <f>VLOOKUP(C26,'Train Runs'!$A$13:$AE$9921,31,0)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S26" s="84" t="str">
        <f>VLOOKUP(C26,'Train Runs'!$A$13:$AE$9921,22,0)</f>
        <v>https://d0f6bd738d7f1b3e5a7ca70fe4ff75f0.us-east-1.aws.found.io/app/kibana#/discover/Steve-Slow-Train-Analysis-(2080s-and-2083s)?_g=(refreshInterval:(display:Off,pause:!f,section:0,value:0),time:(from:'2017-07-26T09:09:23-0600',mode:absolute,to:'2017-07-26T11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/stypes="*4002*201707261*" /stext=" 16:.+((SYSTEM_STATE.+slice.+state.+changed )|(ment ac)|(multiple cpu faults)|(system.+state.+changed )|(\[timeout)|(PRM\|1\|D)|(kpr)|(kdp)|(train st.+moving)|(\|lc)|(penalty))"</v>
      </c>
      <c r="U26" s="9" t="str">
        <f>MID(B26,13,4)</f>
        <v>4002</v>
      </c>
      <c r="V26" s="31">
        <f>A26-utc_offset/24</f>
        <v>42942.701643518521</v>
      </c>
      <c r="W26" s="45" t="str">
        <f>DetSubdiv(C26)</f>
        <v>EC</v>
      </c>
      <c r="X26" s="22">
        <f>VALUE(LEFT(C26,LEN(C26)-3))</f>
        <v>153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{"issue":{"subject":"","project_id":79,"tracker_id":40,"status_id":1,"priority_id":2,"assigned_to_id":23,"start_date":"2017-07-26","description":"","custom_fields":[{"id":1,"name":"Subdivision","value":"EC"},{"id":4,"name":"Milepost","value":"23.3491"},{"id":17,"name":"Train ID","value":"153-26"},{"id":16,"name":"Locomotive ID","value":"4002"},{"id":130,"name":"Impact","value":""},{"id":150,"name":"Time of Event (Mountain Time)","value":"10:50:22"},{"id":151,"name":"Denver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/c/Users/stu/AppData/Local/Temp/OnboardLogs/RTDC4002 --include="*4002*201707261*"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"%USERPROFILE%\AppData\Local\Temp\OnboardLogs"\RTDC4002\*4002*201707261* &gt;&gt; 2017-07-26-SliceDisagreementCheck.txt</v>
      </c>
      <c r="AE26" s="145" t="str">
        <f t="shared" si="1"/>
        <v>start /low /b %USERPROFILE%\Documents\GitHub\eaglep3\Utilities\DownloadLogsFromS3.py --loco 4002 --day 2017-07-26</v>
      </c>
      <c r="AF26" s="1"/>
    </row>
    <row r="27" spans="1:32" s="20" customFormat="1" x14ac:dyDescent="0.25">
      <c r="A27" s="31">
        <v>42942.642164351855</v>
      </c>
      <c r="B27" s="30" t="s">
        <v>644</v>
      </c>
      <c r="C27" s="30" t="s">
        <v>645</v>
      </c>
      <c r="D27" s="30" t="s">
        <v>49</v>
      </c>
      <c r="E27" s="30" t="s">
        <v>181</v>
      </c>
      <c r="F27" s="42">
        <v>0</v>
      </c>
      <c r="G27" s="42">
        <v>167</v>
      </c>
      <c r="H27" s="42">
        <v>232706</v>
      </c>
      <c r="I27" s="42">
        <v>232969</v>
      </c>
      <c r="J27" s="30" t="s">
        <v>182</v>
      </c>
      <c r="K27" s="42">
        <v>233491</v>
      </c>
      <c r="L27" s="131" t="s">
        <v>50</v>
      </c>
      <c r="M27" s="132">
        <f>CONVERT((I27-K27)/10000,"mi","ft")*IF(L27="Increasing Mileposts (1)",-1,1)</f>
        <v>275.61599999999999</v>
      </c>
      <c r="N27" s="133" t="str">
        <f>VLOOKUP(C27,'Trips&amp;Operators'!$C$1:$G$99999,5,FALSE)</f>
        <v>STEWART MICHAEL</v>
      </c>
      <c r="O27" s="203" t="s">
        <v>180</v>
      </c>
      <c r="P27" s="134"/>
      <c r="Q27" s="30"/>
      <c r="R27" s="81" t="str">
        <f>VLOOKUP(C27,'Train Runs'!$A$13:$AE$9921,31,0)</f>
        <v>aws s3 cp s3://rtdc.mdm.uploadarchive.raw/RTDC4004/ "%USERPROFILE%\AppData\Local\Temp\OnboardLogs"\RTDC4004\2017-07-26 --exclude "*" --recursive --include "*20170726*" &amp; "%USERPROFILE%\Documents\GitHub\mrs-test-scripts\Headless Mode &amp; Sideloading\WalkAndUnGZ.bat" "%USERPROFILE%\AppData\Local\Temp\OnboardLogs"\RTDC4004\2017-07-26 &amp; aws s3 cp s3://rtdc.mdm.uploadarchive.raw/RTDC4004/ "%USERPROFILE%\AppData\Local\Temp\OnboardLogs"\RTDC4004\2017-07-27 --exclude "*" --recursive --include "*20170727*" &amp; "%USERPROFILE%\Documents\GitHub\mrs-test-scripts\Headless Mode &amp; Sideloading\WalkAndUnGZ.bat" "%USERPROFILE%\AppData\Local\Temp\OnboardLogs"\RTDC4004\2017-07-27</v>
      </c>
      <c r="S27" s="84" t="str">
        <f>VLOOKUP(C27,'Train Runs'!$A$13:$AE$9921,22,0)</f>
        <v>https://d0f6bd738d7f1b3e5a7ca70fe4ff75f0.us-east-1.aws.found.io/app/kibana#/discover/Steve-Slow-Train-Analysis-(2080s-and-2083s)?_g=(refreshInterval:(display:Off,pause:!f,section:0,value:0),time:(from:'2017-07-26T13:40:09-0600',mode:absolute,to:'2017-07-26T16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/stypes="*4004*201707262*" /stext=" 21:.+((SYSTEM_STATE.+slice.+state.+changed )|(ment ac)|(multiple cpu faults)|(system.+state.+changed )|(\[timeout)|(PRM\|1\|D)|(kpr)|(kdp)|(train st.+moving)|(\|lc)|(penalty))"</v>
      </c>
      <c r="U27" s="9" t="str">
        <f>MID(B27,13,4)</f>
        <v>4004</v>
      </c>
      <c r="V27" s="31">
        <f>A27-utc_offset/24</f>
        <v>42942.892164351855</v>
      </c>
      <c r="W27" s="45" t="str">
        <f>DetSubdiv(C27)</f>
        <v>EC</v>
      </c>
      <c r="X27" s="22">
        <f>VALUE(LEFT(C27,LEN(C27)-3))</f>
        <v>189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{"issue":{"subject":"","project_id":79,"tracker_id":40,"status_id":1,"priority_id":2,"assigned_to_id":23,"start_date":"2017-07-26","description":"","custom_fields":[{"id":1,"name":"Subdivision","value":"EC"},{"id":4,"name":"Milepost","value":"23.3491"},{"id":17,"name":"Train ID","value":"189-26"},{"id":16,"name":"Locomotive ID","value":"4004"},{"id":130,"name":"Impact","value":""},{"id":150,"name":"Time of Event (Mountain Time)","value":"15:24:43"},{"id":151,"name":"Denver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/c/Users/stu/AppData/Local/Temp/OnboardLogs/RTDC4004 --include="*4004*201707262*"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"%USERPROFILE%\AppData\Local\Temp\OnboardLogs"\RTDC4004\*4004*201707262* &gt;&gt; 2017-07-26-SliceDisagreementCheck.txt</v>
      </c>
      <c r="AE27" s="145" t="str">
        <f t="shared" si="1"/>
        <v>start /low /b %USERPROFILE%\Documents\GitHub\eaglep3\Utilities\DownloadLogsFromS3.py --loco 4004 --day 2017-07-26</v>
      </c>
      <c r="AF27" s="1"/>
    </row>
    <row r="28" spans="1:32" x14ac:dyDescent="0.25">
      <c r="A28" s="31">
        <v>42942.671307870369</v>
      </c>
      <c r="B28" s="30" t="s">
        <v>388</v>
      </c>
      <c r="C28" s="30" t="s">
        <v>647</v>
      </c>
      <c r="D28" s="30" t="s">
        <v>49</v>
      </c>
      <c r="E28" s="30" t="s">
        <v>181</v>
      </c>
      <c r="F28" s="42">
        <v>0</v>
      </c>
      <c r="G28" s="42">
        <v>44</v>
      </c>
      <c r="H28" s="42">
        <v>233334</v>
      </c>
      <c r="I28" s="42">
        <v>233381</v>
      </c>
      <c r="J28" s="30" t="s">
        <v>182</v>
      </c>
      <c r="K28" s="42">
        <v>233491</v>
      </c>
      <c r="L28" s="131" t="s">
        <v>50</v>
      </c>
      <c r="M28" s="132">
        <f>CONVERT((I28-K28)/10000,"mi","ft")*IF(L28="Increasing Mileposts (1)",-1,1)</f>
        <v>58.08</v>
      </c>
      <c r="N28" s="133" t="str">
        <f>VLOOKUP(C28,'Trips&amp;Operators'!$C$1:$G$99999,5,FALSE)</f>
        <v>LEVIN SCOTT</v>
      </c>
      <c r="O28" s="203" t="s">
        <v>180</v>
      </c>
      <c r="P28" s="134"/>
      <c r="Q28" s="30"/>
      <c r="R28" s="81" t="str">
        <f>VLOOKUP(C28,'Train Runs'!$A$13:$AE$9921,31,0)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S28" s="84" t="str">
        <f>VLOOKUP(C28,'Train Runs'!$A$13:$AE$9921,22,0)</f>
        <v>https://d0f6bd738d7f1b3e5a7ca70fe4ff75f0.us-east-1.aws.found.io/app/kibana#/discover/Steve-Slow-Train-Analysis-(2080s-and-2083s)?_g=(refreshInterval:(display:Off,pause:!f,section:0,value:0),time:(from:'2017-07-26T14:26:40-0600',mode:absolute,to:'2017-07-26T17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/stypes="*4002*201707262*" /stext=" 22:.+((SYSTEM_STATE.+slice.+state.+changed )|(ment ac)|(multiple cpu faults)|(system.+state.+changed )|(\[timeout)|(PRM\|1\|D)|(kpr)|(kdp)|(train st.+moving)|(\|lc)|(penalty))"</v>
      </c>
      <c r="U28" s="9" t="str">
        <f>MID(B28,13,4)</f>
        <v>4002</v>
      </c>
      <c r="V28" s="31">
        <f>A28-utc_offset/24</f>
        <v>42942.921307870369</v>
      </c>
      <c r="W28" s="45" t="str">
        <f>DetSubdiv(C28)</f>
        <v>EC</v>
      </c>
      <c r="X28" s="22">
        <f>VALUE(LEFT(C28,LEN(C28)-3))</f>
        <v>195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{"issue":{"subject":"","project_id":79,"tracker_id":40,"status_id":1,"priority_id":2,"assigned_to_id":23,"start_date":"2017-07-26","description":"","custom_fields":[{"id":1,"name":"Subdivision","value":"EC"},{"id":4,"name":"Milepost","value":"23.3491"},{"id":17,"name":"Train ID","value":"195-26"},{"id":16,"name":"Locomotive ID","value":"4002"},{"id":130,"name":"Impact","value":""},{"id":150,"name":"Time of Event (Mountain Time)","value":"16:06:41"},{"id":151,"name":"Denver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/c/Users/stu/AppData/Local/Temp/OnboardLogs/RTDC4002 --include="*4002*201707262*"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"%USERPROFILE%\AppData\Local\Temp\OnboardLogs"\RTDC4002\*4002*201707262* &gt;&gt; 2017-07-26-SliceDisagreementCheck.txt</v>
      </c>
      <c r="AE28" s="145" t="str">
        <f t="shared" si="1"/>
        <v>start /low /b %USERPROFILE%\Documents\GitHub\eaglep3\Utilities\DownloadLogsFromS3.py --loco 4002 --day 2017-07-26</v>
      </c>
      <c r="AF28" s="1"/>
    </row>
    <row r="29" spans="1:32" x14ac:dyDescent="0.25">
      <c r="A29" s="31">
        <v>42942.26321759259</v>
      </c>
      <c r="B29" s="30" t="s">
        <v>390</v>
      </c>
      <c r="C29" s="30" t="s">
        <v>619</v>
      </c>
      <c r="D29" s="30" t="s">
        <v>49</v>
      </c>
      <c r="E29" s="30" t="s">
        <v>196</v>
      </c>
      <c r="F29" s="42">
        <v>300</v>
      </c>
      <c r="G29" s="42">
        <v>536</v>
      </c>
      <c r="H29" s="42">
        <v>25580</v>
      </c>
      <c r="I29" s="42">
        <v>23851</v>
      </c>
      <c r="J29" s="30" t="s">
        <v>197</v>
      </c>
      <c r="K29" s="42">
        <v>23561</v>
      </c>
      <c r="L29" s="131" t="s">
        <v>51</v>
      </c>
      <c r="M29" s="132">
        <f>CONVERT((I29-K29)/10000,"mi","ft")*IF(L29="Increasing Mileposts (1)",-1,1)</f>
        <v>153.12</v>
      </c>
      <c r="N29" s="133" t="str">
        <f>VLOOKUP(C29,'Trips&amp;Operators'!$C$1:$G$99999,5,FALSE)</f>
        <v>MACDONALD THOMAS</v>
      </c>
      <c r="O29" s="203" t="s">
        <v>180</v>
      </c>
      <c r="P29" s="134"/>
      <c r="Q29" s="30"/>
      <c r="R29" s="81" t="str">
        <f>VLOOKUP(C29,'Train Runs'!$A$13:$AE$9921,31,0)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S29" s="84" t="str">
        <f>VLOOKUP(C29,'Train Runs'!$A$13:$AE$9921,22,0)</f>
        <v>https://d0f6bd738d7f1b3e5a7ca70fe4ff75f0.us-east-1.aws.found.io/app/kibana#/discover/Steve-Slow-Train-Analysis-(2080s-and-2083s)?_g=(refreshInterval:(display:Off,pause:!f,section:0,value:0),time:(from:'2017-07-26T05:05:50-0600',mode:absolute,to:'2017-07-26T07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/stypes="*4045*201707261*" /stext=" 12:.+((SYSTEM_STATE.+slice.+state.+changed )|(ment ac)|(multiple cpu faults)|(system.+state.+changed )|(\[timeout)|(PRM\|1\|D)|(kpr)|(kdp)|(train st.+moving)|(\|lc)|(penalty))"</v>
      </c>
      <c r="U29" s="9" t="str">
        <f>MID(B29,13,4)</f>
        <v>4045</v>
      </c>
      <c r="V29" s="31">
        <f>A29-utc_offset/24</f>
        <v>42942.51321759259</v>
      </c>
      <c r="W29" s="45" t="str">
        <f>DetSubdiv(C29)</f>
        <v>NW</v>
      </c>
      <c r="X29" s="22">
        <f>VALUE(LEFT(C29,LEN(C29)-3))</f>
        <v>802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{"issue":{"subject":"","project_id":79,"tracker_id":40,"status_id":1,"priority_id":2,"assigned_to_id":23,"start_date":"2017-07-26","description":"","custom_fields":[{"id":1,"name":"Subdivision","value":"NW"},{"id":4,"name":"Milepost","value":"2.3561"},{"id":17,"name":"Train ID","value":"802-26"},{"id":16,"name":"Locomotive ID","value":"4045"},{"id":130,"name":"Impact","value":""},{"id":150,"name":"Time of Event (Mountain Time)","value":"06:19:02"},{"id":151,"name":"Denver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/c/Users/stu/AppData/Local/Temp/OnboardLogs/RTDC4045 --include="*4045*201707261*"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"%USERPROFILE%\AppData\Local\Temp\OnboardLogs"\RTDC4045\*4045*201707261* &gt;&gt; 2017-07-26-SliceDisagreementCheck.txt</v>
      </c>
      <c r="AE29" s="145" t="str">
        <f t="shared" si="1"/>
        <v>start /low /b %USERPROFILE%\Documents\GitHub\eaglep3\Utilities\DownloadLogsFromS3.py --loco 4045 --day 2017-07-26</v>
      </c>
      <c r="AF29" s="1"/>
    </row>
    <row r="30" spans="1:32" x14ac:dyDescent="0.25">
      <c r="A30" s="31">
        <v>42942.34275462963</v>
      </c>
      <c r="B30" s="30" t="s">
        <v>390</v>
      </c>
      <c r="C30" s="30" t="s">
        <v>624</v>
      </c>
      <c r="D30" s="30" t="s">
        <v>96</v>
      </c>
      <c r="E30" s="30" t="s">
        <v>196</v>
      </c>
      <c r="F30" s="42">
        <v>150</v>
      </c>
      <c r="G30" s="42">
        <v>205</v>
      </c>
      <c r="H30" s="42">
        <v>56997</v>
      </c>
      <c r="I30" s="42">
        <v>56553</v>
      </c>
      <c r="J30" s="30" t="s">
        <v>197</v>
      </c>
      <c r="K30" s="42">
        <v>59050</v>
      </c>
      <c r="L30" s="131" t="s">
        <v>51</v>
      </c>
      <c r="M30" s="132">
        <f>CONVERT((I30-K30)/10000,"mi","ft")*IF(L30="Increasing Mileposts (1)",-1,1)</f>
        <v>-1318.4159999999999</v>
      </c>
      <c r="N30" s="133" t="str">
        <f>VLOOKUP(C30,'Trips&amp;Operators'!$C$1:$G$99999,5,FALSE)</f>
        <v>MACDONALD THOMAS</v>
      </c>
      <c r="O30" s="203" t="s">
        <v>180</v>
      </c>
      <c r="P30" s="134"/>
      <c r="Q30" s="30"/>
      <c r="R30" s="81" t="str">
        <f>VLOOKUP(C30,'Train Runs'!$A$13:$AE$9921,31,0)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S30" s="84" t="str">
        <f>VLOOKUP(C30,'Train Runs'!$A$13:$AE$9921,22,0)</f>
        <v>https://d0f6bd738d7f1b3e5a7ca70fe4ff75f0.us-east-1.aws.found.io/app/kibana#/discover/Steve-Slow-Train-Analysis-(2080s-and-2083s)?_g=(refreshInterval:(display:Off,pause:!f,section:0,value:0),time:(from:'2017-07-26T07:06:17-0600',mode:absolute,to:'2017-07-26T09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/stypes="*4045*201707261*" /stext=" 14:.+((SYSTEM_STATE.+slice.+state.+changed )|(ment ac)|(multiple cpu faults)|(system.+state.+changed )|(\[timeout)|(PRM\|1\|D)|(kpr)|(kdp)|(train st.+moving)|(\|lc)|(penalty))"</v>
      </c>
      <c r="U30" s="9" t="str">
        <f>MID(B30,13,4)</f>
        <v>4045</v>
      </c>
      <c r="V30" s="31">
        <f>A30-utc_offset/24</f>
        <v>42942.59275462963</v>
      </c>
      <c r="W30" s="45" t="str">
        <f>DetSubdiv(C30)</f>
        <v>NW</v>
      </c>
      <c r="X30" s="22">
        <f>VALUE(LEFT(C30,LEN(C30)-3))</f>
        <v>810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{"issue":{"subject":"","project_id":79,"tracker_id":40,"status_id":1,"priority_id":2,"assigned_to_id":23,"start_date":"2017-07-26","description":"","custom_fields":[{"id":1,"name":"Subdivision","value":"NW"},{"id":4,"name":"Milepost","value":"5.905"},{"id":17,"name":"Train ID","value":"810-26"},{"id":16,"name":"Locomotive ID","value":"4045"},{"id":130,"name":"Impact","value":""},{"id":150,"name":"Time of Event (Mountain Time)","value":"08:13:34"},{"id":151,"name":"Denver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/c/Users/stu/AppData/Local/Temp/OnboardLogs/RTDC4045 --include="*4045*201707261*"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"%USERPROFILE%\AppData\Local\Temp\OnboardLogs"\RTDC4045\*4045*201707261* &gt;&gt; 2017-07-26-SliceDisagreementCheck.txt</v>
      </c>
      <c r="AE30" s="145" t="str">
        <f t="shared" si="1"/>
        <v>start /low /b %USERPROFILE%\Documents\GitHub\eaglep3\Utilities\DownloadLogsFromS3.py --loco 4045 --day 2017-07-26</v>
      </c>
      <c r="AF30" s="1"/>
    </row>
    <row r="31" spans="1:32" x14ac:dyDescent="0.25">
      <c r="A31" s="31">
        <v>42942.289502314816</v>
      </c>
      <c r="B31" s="30" t="s">
        <v>357</v>
      </c>
      <c r="C31" s="30" t="s">
        <v>620</v>
      </c>
      <c r="D31" s="30" t="s">
        <v>49</v>
      </c>
      <c r="E31" s="30" t="s">
        <v>181</v>
      </c>
      <c r="F31" s="42">
        <v>0</v>
      </c>
      <c r="G31" s="42">
        <v>40</v>
      </c>
      <c r="H31" s="42">
        <v>731</v>
      </c>
      <c r="I31" s="42">
        <v>689</v>
      </c>
      <c r="J31" s="30" t="s">
        <v>182</v>
      </c>
      <c r="K31" s="42">
        <v>575</v>
      </c>
      <c r="L31" s="131" t="s">
        <v>51</v>
      </c>
      <c r="M31" s="132">
        <f>CONVERT((I31-K31)/10000,"mi","ft")*IF(L31="Increasing Mileposts (1)",-1,1)</f>
        <v>60.192</v>
      </c>
      <c r="N31" s="133" t="str">
        <f>VLOOKUP(C31,'Trips&amp;Operators'!$C$1:$G$99999,5,FALSE)</f>
        <v>ANDERS STEVEN</v>
      </c>
      <c r="O31" s="203" t="s">
        <v>180</v>
      </c>
      <c r="P31" s="134"/>
      <c r="Q31" s="30"/>
      <c r="R31" s="81" t="str">
        <f>VLOOKUP(C31,'Train Runs'!$A$13:$AE$9921,31,0)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S31" s="84" t="str">
        <f>VLOOKUP(C31,'Train Runs'!$A$13:$AE$9921,22,0)</f>
        <v>https://d0f6bd738d7f1b3e5a7ca70fe4ff75f0.us-east-1.aws.found.io/app/kibana#/discover/Steve-Slow-Train-Analysis-(2080s-and-2083s)?_g=(refreshInterval:(display:Off,pause:!f,section:0,value:0),time:(from:'2017-07-26T05:38:38-0600',mode:absolute,to:'2017-07-26T08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/stypes="*4013*201707261*" /stext=" 12:.+((SYSTEM_STATE.+slice.+state.+changed )|(ment ac)|(multiple cpu faults)|(system.+state.+changed )|(\[timeout)|(PRM\|1\|D)|(kpr)|(kdp)|(train st.+moving)|(\|lc)|(penalty))"</v>
      </c>
      <c r="U31" s="9" t="str">
        <f>MID(B31,13,4)</f>
        <v>4013</v>
      </c>
      <c r="V31" s="31">
        <f>A31-utc_offset/24</f>
        <v>42942.539502314816</v>
      </c>
      <c r="W31" s="45" t="str">
        <f>DetSubdiv(C31)</f>
        <v>NW</v>
      </c>
      <c r="X31" s="22">
        <f>VALUE(LEFT(C31,LEN(C31)-3))</f>
        <v>804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{"issue":{"subject":"","project_id":79,"tracker_id":40,"status_id":1,"priority_id":2,"assigned_to_id":23,"start_date":"2017-07-26","description":"","custom_fields":[{"id":1,"name":"Subdivision","value":"NW"},{"id":4,"name":"Milepost","value":"0.0575"},{"id":17,"name":"Train ID","value":"804-26"},{"id":16,"name":"Locomotive ID","value":"4013"},{"id":130,"name":"Impact","value":""},{"id":150,"name":"Time of Event (Mountain Time)","value":"06:56:53"},{"id":151,"name":"Denver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/c/Users/stu/AppData/Local/Temp/OnboardLogs/RTDC4013 --include="*4013*201707261*"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"%USERPROFILE%\AppData\Local\Temp\OnboardLogs"\RTDC4013\*4013*201707261* &gt;&gt; 2017-07-26-SliceDisagreementCheck.txt</v>
      </c>
      <c r="AE31" s="145" t="str">
        <f t="shared" si="1"/>
        <v>start /low /b %USERPROFILE%\Documents\GitHub\eaglep3\Utilities\DownloadLogsFromS3.py --loco 4013 --day 2017-07-26</v>
      </c>
      <c r="AF31" s="1"/>
    </row>
    <row r="32" spans="1:32" x14ac:dyDescent="0.25">
      <c r="A32" s="31">
        <v>42942.455763888887</v>
      </c>
      <c r="B32" s="30" t="s">
        <v>357</v>
      </c>
      <c r="C32" s="30" t="s">
        <v>637</v>
      </c>
      <c r="D32" s="30" t="s">
        <v>49</v>
      </c>
      <c r="E32" s="30" t="s">
        <v>181</v>
      </c>
      <c r="F32" s="42">
        <v>0</v>
      </c>
      <c r="G32" s="42">
        <v>22</v>
      </c>
      <c r="H32" s="42">
        <v>671</v>
      </c>
      <c r="I32" s="42">
        <v>666</v>
      </c>
      <c r="J32" s="30" t="s">
        <v>182</v>
      </c>
      <c r="K32" s="42">
        <v>575</v>
      </c>
      <c r="L32" s="131" t="s">
        <v>51</v>
      </c>
      <c r="M32" s="132">
        <f>CONVERT((I32-K32)/10000,"mi","ft")*IF(L32="Increasing Mileposts (1)",-1,1)</f>
        <v>48.048000000000002</v>
      </c>
      <c r="N32" s="133" t="str">
        <f>VLOOKUP(C32,'Trips&amp;Operators'!$C$1:$G$99999,5,FALSE)</f>
        <v>ANDERS STEVEN</v>
      </c>
      <c r="O32" s="203" t="s">
        <v>180</v>
      </c>
      <c r="P32" s="134"/>
      <c r="Q32" s="30"/>
      <c r="R32" s="81" t="str">
        <f>VLOOKUP(C32,'Train Runs'!$A$13:$AE$9921,31,0)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S32" s="84" t="str">
        <f>VLOOKUP(C32,'Train Runs'!$A$13:$AE$9921,22,0)</f>
        <v>https://d0f6bd738d7f1b3e5a7ca70fe4ff75f0.us-east-1.aws.found.io/app/kibana#/discover/Steve-Slow-Train-Analysis-(2080s-and-2083s)?_g=(refreshInterval:(display:Off,pause:!f,section:0,value:0),time:(from:'2017-07-26T09:37:46-0600',mode:absolute,to:'2017-07-26T11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/stypes="*4013*201707261*" /stext=" 16:.+((SYSTEM_STATE.+slice.+state.+changed )|(ment ac)|(multiple cpu faults)|(system.+state.+changed )|(\[timeout)|(PRM\|1\|D)|(kpr)|(kdp)|(train st.+moving)|(\|lc)|(penalty))"</v>
      </c>
      <c r="U32" s="9" t="str">
        <f>MID(B32,13,4)</f>
        <v>4013</v>
      </c>
      <c r="V32" s="31">
        <f>A32-utc_offset/24</f>
        <v>42942.705763888887</v>
      </c>
      <c r="W32" s="45" t="str">
        <f>DetSubdiv(C32)</f>
        <v>NW</v>
      </c>
      <c r="X32" s="22">
        <f>VALUE(LEFT(C32,LEN(C32)-3))</f>
        <v>816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{"issue":{"subject":"","project_id":79,"tracker_id":40,"status_id":1,"priority_id":2,"assigned_to_id":23,"start_date":"2017-07-26","description":"","custom_fields":[{"id":1,"name":"Subdivision","value":"NW"},{"id":4,"name":"Milepost","value":"0.0575"},{"id":17,"name":"Train ID","value":"816-26"},{"id":16,"name":"Locomotive ID","value":"4013"},{"id":130,"name":"Impact","value":""},{"id":150,"name":"Time of Event (Mountain Time)","value":"10:56:18"},{"id":151,"name":"Denver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/c/Users/stu/AppData/Local/Temp/OnboardLogs/RTDC4013 --include="*4013*201707261*"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"%USERPROFILE%\AppData\Local\Temp\OnboardLogs"\RTDC4013\*4013*201707261* &gt;&gt; 2017-07-26-SliceDisagreementCheck.txt</v>
      </c>
      <c r="AE32" s="145" t="str">
        <f t="shared" si="1"/>
        <v>start /low /b %USERPROFILE%\Documents\GitHub\eaglep3\Utilities\DownloadLogsFromS3.py --loco 4013 --day 2017-07-26</v>
      </c>
      <c r="AF32" s="1"/>
    </row>
    <row r="33" spans="1:32" x14ac:dyDescent="0.25">
      <c r="A33" s="31">
        <v>42942.725671296299</v>
      </c>
      <c r="B33" s="30" t="s">
        <v>390</v>
      </c>
      <c r="C33" s="30" t="s">
        <v>649</v>
      </c>
      <c r="D33" s="30" t="s">
        <v>49</v>
      </c>
      <c r="E33" s="30" t="s">
        <v>181</v>
      </c>
      <c r="F33" s="42">
        <v>0</v>
      </c>
      <c r="G33" s="42">
        <v>78</v>
      </c>
      <c r="H33" s="42">
        <v>827</v>
      </c>
      <c r="I33" s="42">
        <v>759</v>
      </c>
      <c r="J33" s="30" t="s">
        <v>182</v>
      </c>
      <c r="K33" s="42">
        <v>575</v>
      </c>
      <c r="L33" s="131" t="s">
        <v>51</v>
      </c>
      <c r="M33" s="132">
        <f>CONVERT((I33-K33)/10000,"mi","ft")*IF(L33="Increasing Mileposts (1)",-1,1)</f>
        <v>97.152000000000001</v>
      </c>
      <c r="N33" s="133" t="str">
        <f>VLOOKUP(C33,'Trips&amp;Operators'!$C$1:$G$99999,5,FALSE)</f>
        <v>CASSIDY BRANDON</v>
      </c>
      <c r="O33" s="203" t="s">
        <v>180</v>
      </c>
      <c r="P33" s="134"/>
      <c r="Q33" s="30"/>
      <c r="R33" s="81" t="str">
        <f>VLOOKUP(C33,'Train Runs'!$A$13:$AE$9921,31,0)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S33" s="84" t="str">
        <f>VLOOKUP(C33,'Train Runs'!$A$13:$AE$9921,22,0)</f>
        <v>https://d0f6bd738d7f1b3e5a7ca70fe4ff75f0.us-east-1.aws.found.io/app/kibana#/discover/Steve-Slow-Train-Analysis-(2080s-and-2083s)?_g=(refreshInterval:(display:Off,pause:!f,section:0,value:0),time:(from:'2017-07-26T16:06:28-0600',mode:absolute,to:'2017-07-26T18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/stypes="*4045*201707262*" /stext=" 23:.+((SYSTEM_STATE.+slice.+state.+changed )|(ment ac)|(multiple cpu faults)|(system.+state.+changed )|(\[timeout)|(PRM\|1\|D)|(kpr)|(kdp)|(train st.+moving)|(\|lc)|(penalty))"</v>
      </c>
      <c r="U33" s="9" t="str">
        <f>MID(B33,13,4)</f>
        <v>4045</v>
      </c>
      <c r="V33" s="31">
        <f>A33-utc_offset/24</f>
        <v>42942.975671296299</v>
      </c>
      <c r="W33" s="45" t="str">
        <f>DetSubdiv(C33)</f>
        <v>NW</v>
      </c>
      <c r="X33" s="22">
        <f>VALUE(LEFT(C33,LEN(C33)-3))</f>
        <v>832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{"issue":{"subject":"","project_id":79,"tracker_id":40,"status_id":1,"priority_id":2,"assigned_to_id":23,"start_date":"2017-07-26","description":"","custom_fields":[{"id":1,"name":"Subdivision","value":"NW"},{"id":4,"name":"Milepost","value":"0.0575"},{"id":17,"name":"Train ID","value":"832-26"},{"id":16,"name":"Locomotive ID","value":"4045"},{"id":130,"name":"Impact","value":""},{"id":150,"name":"Time of Event (Mountain Time)","value":"17:24:58"},{"id":151,"name":"Denver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/c/Users/stu/AppData/Local/Temp/OnboardLogs/RTDC4045 --include="*4045*201707262*"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"%USERPROFILE%\AppData\Local\Temp\OnboardLogs"\RTDC4045\*4045*201707262* &gt;&gt; 2017-07-26-SliceDisagreementCheck.txt</v>
      </c>
      <c r="AE33" s="145" t="str">
        <f t="shared" si="1"/>
        <v>start /low /b %USERPROFILE%\Documents\GitHub\eaglep3\Utilities\DownloadLogsFromS3.py --loco 4045 --day 2017-07-26</v>
      </c>
      <c r="AF33" s="1"/>
    </row>
    <row r="34" spans="1:32" x14ac:dyDescent="0.25">
      <c r="A34" s="31">
        <v>42942.767604166664</v>
      </c>
      <c r="B34" s="30" t="s">
        <v>390</v>
      </c>
      <c r="C34" s="30" t="s">
        <v>651</v>
      </c>
      <c r="D34" s="30" t="s">
        <v>96</v>
      </c>
      <c r="E34" s="30" t="s">
        <v>181</v>
      </c>
      <c r="F34" s="42">
        <v>0</v>
      </c>
      <c r="G34" s="42">
        <v>6</v>
      </c>
      <c r="H34" s="42">
        <v>575</v>
      </c>
      <c r="I34" s="42">
        <v>0</v>
      </c>
      <c r="J34" s="30" t="s">
        <v>182</v>
      </c>
      <c r="K34" s="42">
        <v>575</v>
      </c>
      <c r="L34" s="131" t="s">
        <v>51</v>
      </c>
      <c r="M34" s="132">
        <f>CONVERT((I34-K34)/10000,"mi","ft")*IF(L34="Increasing Mileposts (1)",-1,1)</f>
        <v>-303.60000000000002</v>
      </c>
      <c r="N34" s="133" t="str">
        <f>VLOOKUP(C34,'Trips&amp;Operators'!$C$1:$G$99999,5,FALSE)</f>
        <v>CASSIDY BRANDON</v>
      </c>
      <c r="O34" s="203" t="s">
        <v>180</v>
      </c>
      <c r="P34" s="134"/>
      <c r="Q34" s="30"/>
      <c r="R34" s="81" t="str">
        <f>VLOOKUP(C34,'Train Runs'!$A$13:$AE$9921,31,0)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S34" s="84" t="str">
        <f>VLOOKUP(C34,'Train Runs'!$A$13:$AE$9921,22,0)</f>
        <v>https://d0f6bd738d7f1b3e5a7ca70fe4ff75f0.us-east-1.aws.found.io/app/kibana#/discover/Steve-Slow-Train-Analysis-(2080s-and-2083s)?_g=(refreshInterval:(display:Off,pause:!f,section:0,value:0),time:(from:'2017-07-26T17:05:59-0600',mode:absolute,to:'2017-07-26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/stypes="*4045*201707270*" /stext=" 00:.+((SYSTEM_STATE.+slice.+state.+changed )|(ment ac)|(multiple cpu faults)|(system.+state.+changed )|(\[timeout)|(PRM\|1\|D)|(kpr)|(kdp)|(train st.+moving)|(\|lc)|(penalty))"</v>
      </c>
      <c r="U34" s="9" t="str">
        <f>MID(B34,13,4)</f>
        <v>4045</v>
      </c>
      <c r="V34" s="31">
        <f>A34-utc_offset/24</f>
        <v>42943.017604166664</v>
      </c>
      <c r="W34" s="45" t="str">
        <f>DetSubdiv(C34)</f>
        <v>NW</v>
      </c>
      <c r="X34" s="22">
        <f>VALUE(LEFT(C34,LEN(C34)-3))</f>
        <v>836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{"issue":{"subject":"","project_id":79,"tracker_id":40,"status_id":1,"priority_id":2,"assigned_to_id":23,"start_date":"2017-07-26","description":"","custom_fields":[{"id":1,"name":"Subdivision","value":"NW"},{"id":4,"name":"Milepost","value":"0.0575"},{"id":17,"name":"Train ID","value":"836-26"},{"id":16,"name":"Locomotive ID","value":"4045"},{"id":130,"name":"Impact","value":""},{"id":150,"name":"Time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/c/Users/stu/AppData/Local/Temp/OnboardLogs/RTDC4045 --include="*4045*201707270*"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"%USERPROFILE%\AppData\Local\Temp\OnboardLogs"\RTDC4045\*4045*201707270* &gt;&gt; 2017-07-26-SliceDisagreementCheck.txt</v>
      </c>
      <c r="AE34" s="145" t="str">
        <f t="shared" si="1"/>
        <v>start /low /b %USERPROFILE%\Documents\GitHub\eaglep3\Utilities\DownloadLogsFromS3.py --loco 4045 --day 2017-07-27</v>
      </c>
      <c r="AF34" s="1"/>
    </row>
    <row r="35" spans="1:32" x14ac:dyDescent="0.25">
      <c r="A35" s="31">
        <v>42942.482847222222</v>
      </c>
      <c r="B35" s="30" t="s">
        <v>363</v>
      </c>
      <c r="C35" s="30" t="s">
        <v>639</v>
      </c>
      <c r="D35" s="30" t="s">
        <v>49</v>
      </c>
      <c r="E35" s="30" t="s">
        <v>181</v>
      </c>
      <c r="F35" s="42">
        <v>0</v>
      </c>
      <c r="G35" s="42">
        <v>91</v>
      </c>
      <c r="H35" s="42">
        <v>58681</v>
      </c>
      <c r="I35" s="42">
        <v>58762</v>
      </c>
      <c r="J35" s="30" t="s">
        <v>182</v>
      </c>
      <c r="K35" s="42">
        <v>59048</v>
      </c>
      <c r="L35" s="131" t="s">
        <v>50</v>
      </c>
      <c r="M35" s="132">
        <f>CONVERT((I35-K35)/10000,"mi","ft")*IF(L35="Increasing Mileposts (1)",-1,1)</f>
        <v>151.00800000000001</v>
      </c>
      <c r="N35" s="133" t="str">
        <f>VLOOKUP(C35,'Trips&amp;Operators'!$C$1:$G$99999,5,FALSE)</f>
        <v>ANDERS STEVEN</v>
      </c>
      <c r="O35" s="203" t="s">
        <v>180</v>
      </c>
      <c r="P35" s="134"/>
      <c r="Q35" s="30"/>
      <c r="R35" s="81" t="str">
        <f>VLOOKUP(C35,'Train Runs'!$A$13:$AE$9921,31,0)</f>
        <v>aws s3 cp s3://rtdc.mdm.uploadarchive.raw/RTDC4014/ "%USERPROFILE%\AppData\Local\Temp\OnboardLogs"\RTDC4014\2017-07-26 --exclude "*" --recursive --include "*20170726*" &amp; "%USERPROFILE%\Documents\GitHub\mrs-test-scripts\Headless Mode &amp; Sideloading\WalkAndUnGZ.bat" "%USERPROFILE%\AppData\Local\Temp\OnboardLogs"\RTDC4014\2017-07-26 &amp; aws s3 cp s3://rtdc.mdm.uploadarchive.raw/RTDC4014/ "%USERPROFILE%\AppData\Local\Temp\OnboardLogs"\RTDC4014\2017-07-27 --exclude "*" --recursive --include "*20170727*" &amp; "%USERPROFILE%\Documents\GitHub\mrs-test-scripts\Headless Mode &amp; Sideloading\WalkAndUnGZ.bat" "%USERPROFILE%\AppData\Local\Temp\OnboardLogs"\RTDC4014\2017-07-27</v>
      </c>
      <c r="S35" s="84" t="str">
        <f>VLOOKUP(C35,'Train Runs'!$A$13:$AE$9921,22,0)</f>
        <v>https://d0f6bd738d7f1b3e5a7ca70fe4ff75f0.us-east-1.aws.found.io/app/kibana#/discover/Steve-Slow-Train-Analysis-(2080s-and-2083s)?_g=(refreshInterval:(display:Off,pause:!f,section:0,value:0),time:(from:'2017-07-26T10:17:57-0600',mode:absolute,to:'2017-07-26T12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/stypes="*4014*201707261*" /stext=" 17:.+((SYSTEM_STATE.+slice.+state.+changed )|(ment ac)|(multiple cpu faults)|(system.+state.+changed )|(\[timeout)|(PRM\|1\|D)|(kpr)|(kdp)|(train st.+moving)|(\|lc)|(penalty))"</v>
      </c>
      <c r="U35" s="9" t="str">
        <f>MID(B35,13,4)</f>
        <v>4014</v>
      </c>
      <c r="V35" s="31">
        <f>A35-utc_offset/24</f>
        <v>42942.732847222222</v>
      </c>
      <c r="W35" s="45" t="str">
        <f>DetSubdiv(C35)</f>
        <v>NW</v>
      </c>
      <c r="X35" s="22">
        <f>VALUE(LEFT(C35,LEN(C35)-3))</f>
        <v>817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{"issue":{"subject":"","project_id":79,"tracker_id":40,"status_id":1,"priority_id":2,"assigned_to_id":23,"start_date":"2017-07-26","description":"","custom_fields":[{"id":1,"name":"Subdivision","value":"NW"},{"id":4,"name":"Milepost","value":"5.9048"},{"id":17,"name":"Train ID","value":"817-26"},{"id":16,"name":"Locomotive ID","value":"4014"},{"id":130,"name":"Impact","value":""},{"id":150,"name":"Time of Event (Mountain Time)","value":"11:35:18"},{"id":151,"name":"Denver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/c/Users/stu/AppData/Local/Temp/OnboardLogs/RTDC4014 --include="*4014*201707261*"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"%USERPROFILE%\AppData\Local\Temp\OnboardLogs"\RTDC4014\*4014*201707261* &gt;&gt; 2017-07-26-SliceDisagreementCheck.txt</v>
      </c>
      <c r="AE35" s="145" t="str">
        <f t="shared" si="1"/>
        <v>start /low /b %USERPROFILE%\Documents\GitHub\eaglep3\Utilities\DownloadLogsFromS3.py --loco 4014 --day 2017-07-26</v>
      </c>
      <c r="AF35" s="1"/>
    </row>
    <row r="36" spans="1:32" x14ac:dyDescent="0.25">
      <c r="A36" s="31">
        <v>42942.752789351849</v>
      </c>
      <c r="B36" s="30" t="s">
        <v>389</v>
      </c>
      <c r="C36" s="30" t="s">
        <v>650</v>
      </c>
      <c r="D36" s="30" t="s">
        <v>49</v>
      </c>
      <c r="E36" s="30" t="s">
        <v>181</v>
      </c>
      <c r="F36" s="42">
        <v>0</v>
      </c>
      <c r="G36" s="42">
        <v>67</v>
      </c>
      <c r="H36" s="42">
        <v>58867</v>
      </c>
      <c r="I36" s="42">
        <v>58929</v>
      </c>
      <c r="J36" s="30" t="s">
        <v>182</v>
      </c>
      <c r="K36" s="42">
        <v>59048</v>
      </c>
      <c r="L36" s="131" t="s">
        <v>50</v>
      </c>
      <c r="M36" s="132">
        <f>CONVERT((I36-K36)/10000,"mi","ft")*IF(L36="Increasing Mileposts (1)",-1,1)</f>
        <v>62.832000000000001</v>
      </c>
      <c r="N36" s="133" t="str">
        <f>VLOOKUP(C36,'Trips&amp;Operators'!$C$1:$G$99999,5,FALSE)</f>
        <v>CASSIDY BRANDON</v>
      </c>
      <c r="O36" s="203" t="s">
        <v>180</v>
      </c>
      <c r="P36" s="134"/>
      <c r="Q36" s="30"/>
      <c r="R36" s="81" t="str">
        <f>VLOOKUP(C36,'Train Runs'!$A$13:$AE$9921,31,0)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S36" s="84" t="str">
        <f>VLOOKUP(C36,'Train Runs'!$A$13:$AE$9921,22,0)</f>
        <v>https://d0f6bd738d7f1b3e5a7ca70fe4ff75f0.us-east-1.aws.found.io/app/kibana#/discover/Steve-Slow-Train-Analysis-(2080s-and-2083s)?_g=(refreshInterval:(display:Off,pause:!f,section:0,value:0),time:(from:'2017-07-26T16:43:46-0600',mode:absolute,to:'2017-07-26T19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/stypes="*4046*201707270*" /stext=" 00:.+((SYSTEM_STATE.+slice.+state.+changed )|(ment ac)|(multiple cpu faults)|(system.+state.+changed )|(\[timeout)|(PRM\|1\|D)|(kpr)|(kdp)|(train st.+moving)|(\|lc)|(penalty))"</v>
      </c>
      <c r="U36" s="9" t="str">
        <f>MID(B36,13,4)</f>
        <v>4046</v>
      </c>
      <c r="V36" s="31">
        <f>A36-utc_offset/24</f>
        <v>42943.002789351849</v>
      </c>
      <c r="W36" s="45" t="str">
        <f>DetSubdiv(C36)</f>
        <v>NW</v>
      </c>
      <c r="X36" s="22">
        <f>VALUE(LEFT(C36,LEN(C36)-3))</f>
        <v>835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{"issue":{"subject":"","project_id":79,"tracker_id":40,"status_id":1,"priority_id":2,"assigned_to_id":23,"start_date":"2017-07-26","description":"","custom_fields":[{"id":1,"name":"Subdivision","value":"NW"},{"id":4,"name":"Milepost","value":"5.9048"},{"id":17,"name":"Train ID","value":"835-26"},{"id":16,"name":"Locomotive ID","value":"4046"},{"id":130,"name":"Impact","value":""},{"id":150,"name":"Time of Event (Mountain Time)","value":"18:04:01"},{"id":151,"name":"Denver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/c/Users/stu/AppData/Local/Temp/OnboardLogs/RTDC4046 --include="*4046*201707270*"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"%USERPROFILE%\AppData\Local\Temp\OnboardLogs"\RTDC4046\*4046*201707270* &gt;&gt; 2017-07-26-SliceDisagreementCheck.txt</v>
      </c>
      <c r="AE36" s="145" t="str">
        <f t="shared" si="1"/>
        <v>start /low /b %USERPROFILE%\Documents\GitHub\eaglep3\Utilities\DownloadLogsFromS3.py --loco 4046 --day 2017-07-27</v>
      </c>
      <c r="AF36" s="1"/>
    </row>
    <row r="37" spans="1:32" x14ac:dyDescent="0.25">
      <c r="A37" s="31">
        <v>42942.947500000002</v>
      </c>
      <c r="B37" s="30" t="s">
        <v>357</v>
      </c>
      <c r="C37" s="30" t="s">
        <v>656</v>
      </c>
      <c r="D37" s="30" t="s">
        <v>49</v>
      </c>
      <c r="E37" s="30" t="s">
        <v>628</v>
      </c>
      <c r="F37" s="42">
        <v>0</v>
      </c>
      <c r="G37" s="42">
        <v>281</v>
      </c>
      <c r="H37" s="42">
        <v>34622</v>
      </c>
      <c r="I37" s="42">
        <v>33995</v>
      </c>
      <c r="J37" s="30" t="s">
        <v>629</v>
      </c>
      <c r="K37" s="42">
        <v>33261</v>
      </c>
      <c r="L37" s="131" t="s">
        <v>51</v>
      </c>
      <c r="M37" s="132">
        <f>CONVERT((I37-K37)/10000,"mi","ft")*IF(L37="Increasing Mileposts (1)",-1,1)</f>
        <v>387.55200000000002</v>
      </c>
      <c r="N37" s="133" t="str">
        <f>VLOOKUP(C37,'Trips&amp;Operators'!$C$1:$G$99999,5,FALSE)</f>
        <v>CASSIDY BRANDON</v>
      </c>
      <c r="O37" s="203" t="s">
        <v>180</v>
      </c>
      <c r="P37" s="134"/>
      <c r="Q37" s="30"/>
      <c r="R37" s="81" t="str">
        <f>VLOOKUP(C37,'Train Runs'!$A$13:$AE$9921,31,0)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S37" s="84" t="str">
        <f>VLOOKUP(C37,'Train Runs'!$A$13:$AE$9921,22,0)</f>
        <v>https://d0f6bd738d7f1b3e5a7ca70fe4ff75f0.us-east-1.aws.found.io/app/kibana#/discover/Steve-Slow-Train-Analysis-(2080s-and-2083s)?_g=(refreshInterval:(display:Off,pause:!f,section:0,value:0),time:(from:'2017-07-26T21:37:04-0600',mode:absolute,to:'2017-07-26T23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/stypes="*4013*201707270*" /stext=" 04:.+((SYSTEM_STATE.+slice.+state.+changed )|(ment ac)|(multiple cpu faults)|(system.+state.+changed )|(\[timeout)|(PRM\|1\|D)|(kpr)|(kdp)|(train st.+moving)|(\|lc)|(penalty))"</v>
      </c>
      <c r="U37" s="9" t="str">
        <f>MID(B37,13,4)</f>
        <v>4013</v>
      </c>
      <c r="V37" s="31">
        <f>A37-utc_offset/24</f>
        <v>42943.197500000002</v>
      </c>
      <c r="W37" s="45" t="str">
        <f>DetSubdiv(C37)</f>
        <v>Other</v>
      </c>
      <c r="X37" s="22">
        <f>VALUE(LEFT(C37,LEN(C37)-3))</f>
        <v>908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{"issue":{"subject":"","project_id":79,"tracker_id":40,"status_id":1,"priority_id":2,"assigned_to_id":23,"start_date":"2017-07-26","description":"","custom_fields":[{"id":1,"name":"Subdivision","value":"Other"},{"id":4,"name":"Milepost","value":"3.3261"},{"id":17,"name":"Train ID","value":"908-26"},{"id":16,"name":"Locomotive ID","value":"4013"},{"id":130,"name":"Impact","value":""},{"id":150,"name":"Time of Event (Mountain Time)","value":"22:44:24"},{"id":151,"name":"Denver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/c/Users/stu/AppData/Local/Temp/OnboardLogs/RTDC4013 --include="*4013*201707270*"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"%USERPROFILE%\AppData\Local\Temp\OnboardLogs"\RTDC4013\*4013*201707270* &gt;&gt; 2017-07-26-SliceDisagreementCheck.txt</v>
      </c>
      <c r="AE37" s="145" t="str">
        <f t="shared" si="1"/>
        <v>start /low /b %USERPROFILE%\Documents\GitHub\eaglep3\Utilities\DownloadLogsFromS3.py --loco 4013 --day 2017-07-27</v>
      </c>
      <c r="AF37" s="1"/>
    </row>
    <row r="38" spans="1:32" x14ac:dyDescent="0.25">
      <c r="A38" s="31">
        <v>42942.248576388891</v>
      </c>
      <c r="B38" s="30" t="s">
        <v>357</v>
      </c>
      <c r="C38" s="30" t="s">
        <v>618</v>
      </c>
      <c r="D38" s="30" t="s">
        <v>49</v>
      </c>
      <c r="E38" s="30" t="s">
        <v>181</v>
      </c>
      <c r="F38" s="42">
        <v>0</v>
      </c>
      <c r="G38" s="42">
        <v>36</v>
      </c>
      <c r="H38" s="42">
        <v>677</v>
      </c>
      <c r="I38" s="42">
        <v>663</v>
      </c>
      <c r="J38" s="30" t="s">
        <v>182</v>
      </c>
      <c r="K38" s="42">
        <v>575</v>
      </c>
      <c r="L38" s="131" t="s">
        <v>51</v>
      </c>
      <c r="M38" s="132">
        <f>CONVERT((I38-K38)/10000,"mi","ft")*IF(L38="Increasing Mileposts (1)",-1,1)</f>
        <v>46.463999999999999</v>
      </c>
      <c r="N38" s="133" t="str">
        <f>VLOOKUP(C38,'Trips&amp;Operators'!$C$1:$G$99999,5,FALSE)</f>
        <v>STORY SAMANTHA</v>
      </c>
      <c r="O38" s="203" t="s">
        <v>180</v>
      </c>
      <c r="P38" s="134"/>
      <c r="Q38" s="30"/>
      <c r="R38" s="81" t="str">
        <f>VLOOKUP(C38,'Train Runs'!$A$13:$AE$9921,31,0)</f>
        <v>aws s3 cp s3://rtdc.mdm.uploadarchive.raw/RTDC4013/ "%USERPROFILE%\AppData\Local\Temp\OnboardLogs"\RTDC4013\2017-07-26 --exclude "*" --recursive --include "*20170726*" &amp; "%USERPROFILE%\Documents\GitHub\mrs-test-scripts\Headless Mode &amp; Sideloading\WalkAndUnGZ.bat" "%USERPROFILE%\AppData\Local\Temp\OnboardLogs"\RTDC4013\2017-07-26 &amp; aws s3 cp s3://rtdc.mdm.uploadarchive.raw/RTDC4013/ "%USERPROFILE%\AppData\Local\Temp\OnboardLogs"\RTDC4013\2017-07-27 --exclude "*" --recursive --include "*20170727*" &amp; "%USERPROFILE%\Documents\GitHub\mrs-test-scripts\Headless Mode &amp; Sideloading\WalkAndUnGZ.bat" "%USERPROFILE%\AppData\Local\Temp\OnboardLogs"\RTDC4013\2017-07-27</v>
      </c>
      <c r="S38" s="84" t="str">
        <f>VLOOKUP(C38,'Train Runs'!$A$13:$AE$9921,22,0)</f>
        <v>https://d0f6bd738d7f1b3e5a7ca70fe4ff75f0.us-east-1.aws.found.io/app/kibana#/discover/Steve-Slow-Train-Analysis-(2080s-and-2083s)?_g=(refreshInterval:(display:Off,pause:!f,section:0,value:0),time:(from:'2017-07-26T04:43:12-0600',mode:absolute,to:'2017-07-26T06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/stypes="*4013*201707261*" /stext=" 11:.+((SYSTEM_STATE.+slice.+state.+changed )|(ment ac)|(multiple cpu faults)|(system.+state.+changed )|(\[timeout)|(PRM\|1\|D)|(kpr)|(kdp)|(train st.+moving)|(\|lc)|(penalty))"</v>
      </c>
      <c r="U38" s="9" t="str">
        <f>MID(B38,13,4)</f>
        <v>4013</v>
      </c>
      <c r="V38" s="31">
        <f>A38-utc_offset/24</f>
        <v>42942.498576388891</v>
      </c>
      <c r="W38" s="45" t="str">
        <f>DetSubdiv(C38)</f>
        <v>Other</v>
      </c>
      <c r="X38" s="22">
        <f>VALUE(LEFT(C38,LEN(C38)-3))</f>
        <v>902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{"issue":{"subject":"","project_id":79,"tracker_id":40,"status_id":1,"priority_id":2,"assigned_to_id":23,"start_date":"2017-07-26","description":"","custom_fields":[{"id":1,"name":"Subdivision","value":"Other"},{"id":4,"name":"Milepost","value":"0.0575"},{"id":17,"name":"Train ID","value":"902-26"},{"id":16,"name":"Locomotive ID","value":"4013"},{"id":130,"name":"Impact","value":""},{"id":150,"name":"Time of Event (Mountain Time)","value":"05:57:57"},{"id":151,"name":"Denver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/c/Users/stu/AppData/Local/Temp/OnboardLogs/RTDC4013 --include="*4013*201707261*"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"%USERPROFILE%\AppData\Local\Temp\OnboardLogs"\RTDC4013\*4013*201707261* &gt;&gt; 2017-07-26-SliceDisagreementCheck.txt</v>
      </c>
      <c r="AE38" s="145" t="str">
        <f t="shared" si="1"/>
        <v>start /low /b %USERPROFILE%\Documents\GitHub\eaglep3\Utilities\DownloadLogsFromS3.py --loco 4013 --day 2017-07-26</v>
      </c>
      <c r="AF38" s="1"/>
    </row>
    <row r="39" spans="1:32" x14ac:dyDescent="0.25">
      <c r="A39" s="31">
        <v>42942.647268518522</v>
      </c>
      <c r="B39" s="30" t="s">
        <v>390</v>
      </c>
      <c r="C39" s="30" t="s">
        <v>646</v>
      </c>
      <c r="D39" s="30" t="s">
        <v>49</v>
      </c>
      <c r="E39" s="30" t="s">
        <v>181</v>
      </c>
      <c r="F39" s="42">
        <v>0</v>
      </c>
      <c r="G39" s="42">
        <v>41</v>
      </c>
      <c r="H39" s="42">
        <v>699</v>
      </c>
      <c r="I39" s="42">
        <v>671</v>
      </c>
      <c r="J39" s="30" t="s">
        <v>182</v>
      </c>
      <c r="K39" s="42">
        <v>575</v>
      </c>
      <c r="L39" s="131" t="s">
        <v>51</v>
      </c>
      <c r="M39" s="132">
        <f>CONVERT((I39-K39)/10000,"mi","ft")*IF(L39="Increasing Mileposts (1)",-1,1)</f>
        <v>50.688000000000002</v>
      </c>
      <c r="N39" s="133" t="str">
        <f>VLOOKUP(C39,'Trips&amp;Operators'!$C$1:$G$99999,5,FALSE)</f>
        <v>CASSIDY BRANDON</v>
      </c>
      <c r="O39" s="203" t="s">
        <v>180</v>
      </c>
      <c r="P39" s="134"/>
      <c r="Q39" s="30"/>
      <c r="R39" s="81" t="str">
        <f>VLOOKUP(C39,'Train Runs'!$A$13:$AE$9921,31,0)</f>
        <v>aws s3 cp s3://rtdc.mdm.uploadarchive.raw/RTDC4045/ "%USERPROFILE%\AppData\Local\Temp\OnboardLogs"\RTDC4045\2017-07-26 --exclude "*" --recursive --include "*20170726*" &amp; "%USERPROFILE%\Documents\GitHub\mrs-test-scripts\Headless Mode &amp; Sideloading\WalkAndUnGZ.bat" "%USERPROFILE%\AppData\Local\Temp\OnboardLogs"\RTDC4045\2017-07-26 &amp; 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</v>
      </c>
      <c r="S39" s="84" t="str">
        <f>VLOOKUP(C39,'Train Runs'!$A$13:$AE$9921,22,0)</f>
        <v>https://d0f6bd738d7f1b3e5a7ca70fe4ff75f0.us-east-1.aws.found.io/app/kibana#/discover/Steve-Slow-Train-Analysis-(2080s-and-2083s)?_g=(refreshInterval:(display:Off,pause:!f,section:0,value:0),time:(from:'2017-07-26T14:22:11-0600',mode:absolute,to:'2017-07-26T16:32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/stypes="*4045*201707262*" /stext=" 21:.+((SYSTEM_STATE.+slice.+state.+changed )|(ment ac)|(multiple cpu faults)|(system.+state.+changed )|(\[timeout)|(PRM\|1\|D)|(kpr)|(kdp)|(train st.+moving)|(\|lc)|(penalty))"</v>
      </c>
      <c r="U39" s="9" t="str">
        <f>MID(B39,13,4)</f>
        <v>4045</v>
      </c>
      <c r="V39" s="31">
        <f>A39-utc_offset/24</f>
        <v>42942.897268518522</v>
      </c>
      <c r="W39" s="45" t="str">
        <f>DetSubdiv(C39)</f>
        <v>Other</v>
      </c>
      <c r="X39" s="22">
        <f>VALUE(LEFT(C39,LEN(C39)-3))</f>
        <v>904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{"issue":{"subject":"","project_id":79,"tracker_id":40,"status_id":1,"priority_id":2,"assigned_to_id":23,"start_date":"2017-07-26","description":"","custom_fields":[{"id":1,"name":"Subdivision","value":"Other"},{"id":4,"name":"Milepost","value":"0.0575"},{"id":17,"name":"Train ID","value":"904-26"},{"id":16,"name":"Locomotive ID","value":"4045"},{"id":130,"name":"Impact","value":""},{"id":150,"name":"Time of Event (Mountain Time)","value":"15:32:04"},{"id":151,"name":"Denver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/c/Users/stu/AppData/Local/Temp/OnboardLogs/RTDC4045 --include="*4045*201707262*"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"%USERPROFILE%\AppData\Local\Temp\OnboardLogs"\RTDC4045\*4045*201707262* &gt;&gt; 2017-07-26-SliceDisagreementCheck.txt</v>
      </c>
      <c r="AE39" s="145" t="str">
        <f t="shared" si="1"/>
        <v>start /low /b %USERPROFILE%\Documents\GitHub\eaglep3\Utilities\DownloadLogsFromS3.py --loco 4045 --day 2017-07-26</v>
      </c>
      <c r="AF39" s="1"/>
    </row>
    <row r="40" spans="1:32" x14ac:dyDescent="0.25">
      <c r="A40" s="31">
        <v>42942.212372685186</v>
      </c>
      <c r="B40" s="30" t="s">
        <v>389</v>
      </c>
      <c r="C40" s="30" t="s">
        <v>615</v>
      </c>
      <c r="D40" s="30" t="s">
        <v>49</v>
      </c>
      <c r="E40" s="30" t="s">
        <v>181</v>
      </c>
      <c r="F40" s="42">
        <v>0</v>
      </c>
      <c r="G40" s="42">
        <v>36</v>
      </c>
      <c r="H40" s="42">
        <v>58969</v>
      </c>
      <c r="I40" s="42">
        <v>59005</v>
      </c>
      <c r="J40" s="30" t="s">
        <v>182</v>
      </c>
      <c r="K40" s="42">
        <v>59048</v>
      </c>
      <c r="L40" s="131" t="s">
        <v>50</v>
      </c>
      <c r="M40" s="132">
        <f>CONVERT((I40-K40)/10000,"mi","ft")*IF(L40="Increasing Mileposts (1)",-1,1)</f>
        <v>22.704000000000001</v>
      </c>
      <c r="N40" s="133" t="str">
        <f>VLOOKUP(C40,'Trips&amp;Operators'!$C$1:$G$99999,5,FALSE)</f>
        <v>MACDONALD THOMAS</v>
      </c>
      <c r="O40" s="203" t="s">
        <v>180</v>
      </c>
      <c r="P40" s="134"/>
      <c r="Q40" s="30"/>
      <c r="R40" s="81" t="str">
        <f>VLOOKUP(C40,'Train Runs'!$A$13:$AE$9921,31,0)</f>
        <v>aws s3 cp s3://rtdc.mdm.uploadarchive.raw/RTDC4046/ "%USERPROFILE%\AppData\Local\Temp\OnboardLogs"\RTDC4046\2017-07-26 --exclude "*" --recursive --include "*20170726*" &amp; "%USERPROFILE%\Documents\GitHub\mrs-test-scripts\Headless Mode &amp; Sideloading\WalkAndUnGZ.bat" "%USERPROFILE%\AppData\Local\Temp\OnboardLogs"\RTDC4046\2017-07-26 &amp; 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</v>
      </c>
      <c r="S40" s="84" t="str">
        <f>VLOOKUP(C40,'Train Runs'!$A$13:$AE$9921,22,0)</f>
        <v>https://d0f6bd738d7f1b3e5a7ca70fe4ff75f0.us-east-1.aws.found.io/app/kibana#/discover/Steve-Slow-Train-Analysis-(2080s-and-2083s)?_g=(refreshInterval:(display:Off,pause:!f,section:0,value:0),time:(from:'2017-07-26T03:52:43-0600',mode:absolute,to:'2017-07-26T06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/stypes="*4046*201707261*" /stext=" 11:.+((SYSTEM_STATE.+slice.+state.+changed )|(ment ac)|(multiple cpu faults)|(system.+state.+changed )|(\[timeout)|(PRM\|1\|D)|(kpr)|(kdp)|(train st.+moving)|(\|lc)|(penalty))"</v>
      </c>
      <c r="U40" s="9" t="str">
        <f>MID(B40,13,4)</f>
        <v>4046</v>
      </c>
      <c r="V40" s="31">
        <f>A40-utc_offset/24</f>
        <v>42942.462372685186</v>
      </c>
      <c r="W40" s="45" t="str">
        <f>DetSubdiv(C40)</f>
        <v>Other</v>
      </c>
      <c r="X40" s="22">
        <f>VALUE(LEFT(C40,LEN(C40)-3))</f>
        <v>901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{"issue":{"subject":"","project_id":79,"tracker_id":40,"status_id":1,"priority_id":2,"assigned_to_id":23,"start_date":"2017-07-26","description":"","custom_fields":[{"id":1,"name":"Subdivision","value":"Other"},{"id":4,"name":"Milepost","value":"5.9048"},{"id":17,"name":"Train ID","value":"901-26"},{"id":16,"name":"Locomotive ID","value":"4046"},{"id":130,"name":"Impact","value":""},{"id":150,"name":"Time of Event (Mountain Time)","value":"05:05:49"},{"id":151,"name":"Denver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/c/Users/stu/AppData/Local/Temp/OnboardLogs/RTDC4046 --include="*4046*201707261*"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"%USERPROFILE%\AppData\Local\Temp\OnboardLogs"\RTDC4046\*4046*201707261* &gt;&gt; 2017-07-26-SliceDisagreementCheck.txt</v>
      </c>
      <c r="AE40" s="145" t="str">
        <f t="shared" si="1"/>
        <v>start /low /b %USERPROFILE%\Documents\GitHub\eaglep3\Utilities\DownloadLogsFromS3.py --loco 4046 --day 2017-07-26</v>
      </c>
      <c r="AF40" s="1"/>
    </row>
    <row r="41" spans="1:32" x14ac:dyDescent="0.25">
      <c r="A41" s="31">
        <v>42942.403009259258</v>
      </c>
      <c r="B41" s="30" t="s">
        <v>630</v>
      </c>
      <c r="C41" s="30" t="s">
        <v>631</v>
      </c>
      <c r="D41" s="30" t="s">
        <v>96</v>
      </c>
      <c r="E41" s="30" t="s">
        <v>628</v>
      </c>
      <c r="F41" s="42">
        <v>0</v>
      </c>
      <c r="G41" s="42">
        <v>3</v>
      </c>
      <c r="H41" s="42">
        <v>112093</v>
      </c>
      <c r="I41" s="42">
        <v>112093</v>
      </c>
      <c r="J41" s="30" t="s">
        <v>629</v>
      </c>
      <c r="K41" s="42">
        <v>112097</v>
      </c>
      <c r="L41" s="131" t="s">
        <v>51</v>
      </c>
      <c r="M41" s="132">
        <f>CONVERT((I41-K41)/10000,"mi","ft")*IF(L41="Increasing Mileposts (1)",-1,1)</f>
        <v>-2.1120000000000001</v>
      </c>
      <c r="N41" s="133" t="str">
        <f>VLOOKUP(C41,'Trips&amp;Operators'!$C$1:$G$99999,5,FALSE)</f>
        <v>SANTIZO D. EDY</v>
      </c>
      <c r="O41" s="203" t="s">
        <v>180</v>
      </c>
      <c r="P41" s="134"/>
      <c r="Q41" s="30"/>
      <c r="R41" s="81" t="str">
        <f>VLOOKUP(C41,'Train Runs'!$A$13:$AE$9921,31,0)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S41" s="84" t="str">
        <f>VLOOKUP(C41,'Train Runs'!$A$13:$AE$9921,22,0)</f>
        <v>https://d0f6bd738d7f1b3e5a7ca70fe4ff75f0.us-east-1.aws.found.io/app/kibana#/discover/Steve-Slow-Train-Analysis-(2080s-and-2083s)?_g=(refreshInterval:(display:Off,pause:!f,section:0,value:0),time:(from:'2017-07-26T08:45:47-0600',mode:absolute,to:'2017-07-26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/stypes="*4065*201707261*" /stext=" 15:.+((SYSTEM_STATE.+slice.+state.+changed )|(ment ac)|(multiple cpu faults)|(system.+state.+changed )|(\[timeout)|(PRM\|1\|D)|(kpr)|(kdp)|(train st.+moving)|(\|lc)|(penalty))"</v>
      </c>
      <c r="U41" s="9" t="str">
        <f>MID(B41,13,4)</f>
        <v>4065</v>
      </c>
      <c r="V41" s="31">
        <f>A41-utc_offset/24</f>
        <v>42942.653009259258</v>
      </c>
      <c r="W41" s="45" t="str">
        <f>DetSubdiv(C41)</f>
        <v>Shuttle/Test</v>
      </c>
      <c r="X41" s="22">
        <f>VALUE(LEFT(C41,LEN(C41)-3))</f>
        <v>54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11.2097"},{"id":17,"name":"Train ID","value":"54-26"},{"id":16,"name":"Locomotive ID","value":"4065"},{"id":130,"name":"Impact","value":""},{"id":150,"name":"Time of Event (Mountain Time)","value":"09:40:20"},{"id":151,"name":"Denver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/c/Users/stu/AppData/Local/Temp/OnboardLogs/RTDC4065 --include="*4065*201707261*"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"%USERPROFILE%\AppData\Local\Temp\OnboardLogs"\RTDC4065\*4065*201707261* &gt;&gt; 2017-07-26-SliceDisagreementCheck.txt</v>
      </c>
      <c r="AE41" s="145" t="str">
        <f t="shared" si="1"/>
        <v>start /low /b %USERPROFILE%\Documents\GitHub\eaglep3\Utilities\DownloadLogsFromS3.py --loco 4065 --day 2017-07-26</v>
      </c>
      <c r="AF41" s="1"/>
    </row>
    <row r="42" spans="1:32" x14ac:dyDescent="0.25">
      <c r="A42" s="31">
        <v>42942.40353009259</v>
      </c>
      <c r="B42" s="30" t="s">
        <v>630</v>
      </c>
      <c r="C42" s="30" t="s">
        <v>631</v>
      </c>
      <c r="D42" s="30" t="s">
        <v>96</v>
      </c>
      <c r="E42" s="30" t="s">
        <v>628</v>
      </c>
      <c r="F42" s="42">
        <v>0</v>
      </c>
      <c r="G42" s="42">
        <v>7</v>
      </c>
      <c r="H42" s="42">
        <v>112092</v>
      </c>
      <c r="I42" s="42">
        <v>112088</v>
      </c>
      <c r="J42" s="30" t="s">
        <v>629</v>
      </c>
      <c r="K42" s="42">
        <v>112097</v>
      </c>
      <c r="L42" s="131" t="s">
        <v>51</v>
      </c>
      <c r="M42" s="132">
        <f>CONVERT((I42-K42)/10000,"mi","ft")*IF(L42="Increasing Mileposts (1)",-1,1)</f>
        <v>-4.7519999999999998</v>
      </c>
      <c r="N42" s="133" t="str">
        <f>VLOOKUP(C42,'Trips&amp;Operators'!$C$1:$G$99999,5,FALSE)</f>
        <v>SANTIZO D. EDY</v>
      </c>
      <c r="O42" s="203" t="s">
        <v>180</v>
      </c>
      <c r="P42" s="134"/>
      <c r="Q42" s="30"/>
      <c r="R42" s="81" t="str">
        <f>VLOOKUP(C42,'Train Runs'!$A$13:$AE$9921,31,0)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S42" s="84" t="str">
        <f>VLOOKUP(C42,'Train Runs'!$A$13:$AE$9921,22,0)</f>
        <v>https://d0f6bd738d7f1b3e5a7ca70fe4ff75f0.us-east-1.aws.found.io/app/kibana#/discover/Steve-Slow-Train-Analysis-(2080s-and-2083s)?_g=(refreshInterval:(display:Off,pause:!f,section:0,value:0),time:(from:'2017-07-26T08:45:47-0600',mode:absolute,to:'2017-07-26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/stypes="*4065*201707261*" /stext=" 15:.+((SYSTEM_STATE.+slice.+state.+changed )|(ment ac)|(multiple cpu faults)|(system.+state.+changed )|(\[timeout)|(PRM\|1\|D)|(kpr)|(kdp)|(train st.+moving)|(\|lc)|(penalty))"</v>
      </c>
      <c r="U42" s="9" t="str">
        <f>MID(B42,13,4)</f>
        <v>4065</v>
      </c>
      <c r="V42" s="31">
        <f>A42-utc_offset/24</f>
        <v>42942.65353009259</v>
      </c>
      <c r="W42" s="45" t="str">
        <f>DetSubdiv(C42)</f>
        <v>Shuttle/Test</v>
      </c>
      <c r="X42" s="22">
        <f>VALUE(LEFT(C42,LEN(C42)-3))</f>
        <v>54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11.2097"},{"id":17,"name":"Train ID","value":"54-26"},{"id":16,"name":"Locomotive ID","value":"4065"},{"id":130,"name":"Impact","value":""},{"id":150,"name":"Time of Event (Mountain Time)","value":"09:41:05"},{"id":151,"name":"Denver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/c/Users/stu/AppData/Local/Temp/OnboardLogs/RTDC4065 --include="*4065*201707261*"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"%USERPROFILE%\AppData\Local\Temp\OnboardLogs"\RTDC4065\*4065*201707261* &gt;&gt; 2017-07-26-SliceDisagreementCheck.txt</v>
      </c>
      <c r="AE42" s="145" t="str">
        <f t="shared" si="1"/>
        <v>start /low /b %USERPROFILE%\Documents\GitHub\eaglep3\Utilities\DownloadLogsFromS3.py --loco 4065 --day 2017-07-26</v>
      </c>
      <c r="AF42" s="1"/>
    </row>
    <row r="43" spans="1:32" x14ac:dyDescent="0.25">
      <c r="A43" s="31">
        <v>42942.405474537038</v>
      </c>
      <c r="B43" s="30" t="s">
        <v>630</v>
      </c>
      <c r="C43" s="30" t="s">
        <v>631</v>
      </c>
      <c r="D43" s="30" t="s">
        <v>96</v>
      </c>
      <c r="E43" s="30" t="s">
        <v>628</v>
      </c>
      <c r="F43" s="42">
        <v>0</v>
      </c>
      <c r="G43" s="42">
        <v>7</v>
      </c>
      <c r="H43" s="42">
        <v>112087</v>
      </c>
      <c r="I43" s="42">
        <v>112083</v>
      </c>
      <c r="J43" s="30" t="s">
        <v>629</v>
      </c>
      <c r="K43" s="42">
        <v>112097</v>
      </c>
      <c r="L43" s="131" t="s">
        <v>51</v>
      </c>
      <c r="M43" s="132">
        <f>CONVERT((I43-K43)/10000,"mi","ft")*IF(L43="Increasing Mileposts (1)",-1,1)</f>
        <v>-7.3920000000000003</v>
      </c>
      <c r="N43" s="133" t="str">
        <f>VLOOKUP(C43,'Trips&amp;Operators'!$C$1:$G$99999,5,FALSE)</f>
        <v>SANTIZO D. EDY</v>
      </c>
      <c r="O43" s="203" t="s">
        <v>180</v>
      </c>
      <c r="P43" s="134"/>
      <c r="Q43" s="30"/>
      <c r="R43" s="81" t="str">
        <f>VLOOKUP(C43,'Train Runs'!$A$13:$AE$9921,31,0)</f>
        <v>aws s3 cp s3://rtdc.mdm.uploadarchive.raw/RTDC4065/ "%USERPROFILE%\AppData\Local\Temp\OnboardLogs"\RTDC4065\2017-07-26 --exclude "*" --recursive --include "*20170726*" &amp; "%USERPROFILE%\Documents\GitHub\mrs-test-scripts\Headless Mode &amp; Sideloading\WalkAndUnGZ.bat" "%USERPROFILE%\AppData\Local\Temp\OnboardLogs"\RTDC4065\2017-07-26 &amp; 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</v>
      </c>
      <c r="S43" s="84" t="str">
        <f>VLOOKUP(C43,'Train Runs'!$A$13:$AE$9921,22,0)</f>
        <v>https://d0f6bd738d7f1b3e5a7ca70fe4ff75f0.us-east-1.aws.found.io/app/kibana#/discover/Steve-Slow-Train-Analysis-(2080s-and-2083s)?_g=(refreshInterval:(display:Off,pause:!f,section:0,value:0),time:(from:'2017-07-26T08:45:47-0600',mode:absolute,to:'2017-07-26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/stypes="*4065*201707261*" /stext=" 15:.+((SYSTEM_STATE.+slice.+state.+changed )|(ment ac)|(multiple cpu faults)|(system.+state.+changed )|(\[timeout)|(PRM\|1\|D)|(kpr)|(kdp)|(train st.+moving)|(\|lc)|(penalty))"</v>
      </c>
      <c r="U43" s="9" t="str">
        <f>MID(B43,13,4)</f>
        <v>4065</v>
      </c>
      <c r="V43" s="31">
        <f>A43-utc_offset/24</f>
        <v>42942.655474537038</v>
      </c>
      <c r="W43" s="45" t="str">
        <f>DetSubdiv(C43)</f>
        <v>Shuttle/Test</v>
      </c>
      <c r="X43" s="22">
        <f>VALUE(LEFT(C43,LEN(C43)-3))</f>
        <v>54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11.2097"},{"id":17,"name":"Train ID","value":"54-26"},{"id":16,"name":"Locomotive ID","value":"4065"},{"id":130,"name":"Impact","value":""},{"id":150,"name":"Time of Event (Mountain Time)","value":"09:43:53"},{"id":151,"name":"Denver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/c/Users/stu/AppData/Local/Temp/OnboardLogs/RTDC4065 --include="*4065*201707261*"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"%USERPROFILE%\AppData\Local\Temp\OnboardLogs"\RTDC4065\*4065*201707261* &gt;&gt; 2017-07-26-SliceDisagreementCheck.txt</v>
      </c>
      <c r="AE43" s="145" t="str">
        <f t="shared" si="1"/>
        <v>start /low /b %USERPROFILE%\Documents\GitHub\eaglep3\Utilities\DownloadLogsFromS3.py --loco 4065 --day 2017-07-26</v>
      </c>
      <c r="AF43" s="1"/>
    </row>
    <row r="44" spans="1:32" x14ac:dyDescent="0.25">
      <c r="A44" s="31">
        <v>42942.457962962966</v>
      </c>
      <c r="B44" s="30" t="s">
        <v>417</v>
      </c>
      <c r="C44" s="30" t="s">
        <v>638</v>
      </c>
      <c r="D44" s="30" t="s">
        <v>49</v>
      </c>
      <c r="E44" s="30" t="s">
        <v>181</v>
      </c>
      <c r="F44" s="42">
        <v>0</v>
      </c>
      <c r="G44" s="42">
        <v>38</v>
      </c>
      <c r="H44" s="42">
        <v>949</v>
      </c>
      <c r="I44" s="42">
        <v>919</v>
      </c>
      <c r="J44" s="30" t="s">
        <v>182</v>
      </c>
      <c r="K44" s="42">
        <v>826</v>
      </c>
      <c r="L44" s="131" t="s">
        <v>51</v>
      </c>
      <c r="M44" s="132">
        <f>CONVERT((I44-K44)/10000,"mi","ft")*IF(L44="Increasing Mileposts (1)",-1,1)</f>
        <v>49.103999999999999</v>
      </c>
      <c r="N44" s="133" t="str">
        <f>VLOOKUP(C44,'Trips&amp;Operators'!$C$1:$G$99999,5,FALSE)</f>
        <v>ROMERO CHAD</v>
      </c>
      <c r="O44" s="203" t="s">
        <v>180</v>
      </c>
      <c r="P44" s="134"/>
      <c r="Q44" s="30"/>
      <c r="R44" s="81" t="str">
        <f>VLOOKUP(C44,'Train Runs'!$A$13:$AE$9921,31,0)</f>
        <v>aws s3 cp s3://rtdc.mdm.uploadarchive.raw/RTDC4041/ "%USERPROFILE%\AppData\Local\Temp\OnboardLogs"\RTDC4041\2017-07-26 --exclude "*" --recursive --include "*20170726*" &amp; "%USERPROFILE%\Documents\GitHub\mrs-test-scripts\Headless Mode &amp; Sideloading\WalkAndUnGZ.bat" "%USERPROFILE%\AppData\Local\Temp\OnboardLogs"\RTDC4041\2017-07-26 &amp; 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</v>
      </c>
      <c r="S44" s="84" t="str">
        <f>VLOOKUP(C44,'Train Runs'!$A$13:$AE$9921,22,0)</f>
        <v>https://d0f6bd738d7f1b3e5a7ca70fe4ff75f0.us-east-1.aws.found.io/app/kibana#/discover/Steve-Slow-Train-Analysis-(2080s-and-2083s)?_g=(refreshInterval:(display:Off,pause:!f,section:0,value:0),time:(from:'2017-07-26T09:41:36-0600',mode:absolute,to:'2017-07-26T11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/stypes="*4041*201707261*" /stext=" 16:.+((SYSTEM_STATE.+slice.+state.+changed )|(ment ac)|(multiple cpu faults)|(system.+state.+changed )|(\[timeout)|(PRM\|1\|D)|(kpr)|(kdp)|(train st.+moving)|(\|lc)|(penalty))"</v>
      </c>
      <c r="U44" s="9" t="str">
        <f>MID(B44,13,4)</f>
        <v>4041</v>
      </c>
      <c r="V44" s="31">
        <f>A44-utc_offset/24</f>
        <v>42942.707962962966</v>
      </c>
      <c r="W44" s="45" t="str">
        <f>DetSubdiv(C44)</f>
        <v>Shuttle/Test</v>
      </c>
      <c r="X44" s="22">
        <f>VALUE(LEFT(C44,LEN(C44)-3))</f>
        <v>56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0.0826"},{"id":17,"name":"Train ID","value":"56-26"},{"id":16,"name":"Locomotive ID","value":"4041"},{"id":130,"name":"Impact","value":""},{"id":150,"name":"Time of Event (Mountain Time)","value":"10:59:28"},{"id":151,"name":"Denver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/c/Users/stu/AppData/Local/Temp/OnboardLogs/RTDC4041 --include="*4041*201707261*"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"%USERPROFILE%\AppData\Local\Temp\OnboardLogs"\RTDC4041\*4041*201707261* &gt;&gt; 2017-07-26-SliceDisagreementCheck.txt</v>
      </c>
      <c r="AE44" s="145" t="str">
        <f t="shared" si="1"/>
        <v>start /low /b %USERPROFILE%\Documents\GitHub\eaglep3\Utilities\DownloadLogsFromS3.py --loco 4041 --day 2017-07-26</v>
      </c>
      <c r="AF44" s="1"/>
    </row>
    <row r="45" spans="1:32" x14ac:dyDescent="0.25">
      <c r="A45" s="31">
        <v>42942.708611111113</v>
      </c>
      <c r="B45" s="30" t="s">
        <v>503</v>
      </c>
      <c r="C45" s="30" t="s">
        <v>648</v>
      </c>
      <c r="D45" s="30" t="s">
        <v>49</v>
      </c>
      <c r="E45" s="30" t="s">
        <v>181</v>
      </c>
      <c r="F45" s="42">
        <v>0</v>
      </c>
      <c r="G45" s="42">
        <v>13</v>
      </c>
      <c r="H45" s="42">
        <v>896</v>
      </c>
      <c r="I45" s="42">
        <v>888</v>
      </c>
      <c r="J45" s="30" t="s">
        <v>182</v>
      </c>
      <c r="K45" s="42">
        <v>839</v>
      </c>
      <c r="L45" s="131" t="s">
        <v>51</v>
      </c>
      <c r="M45" s="132">
        <f>CONVERT((I45-K45)/10000,"mi","ft")*IF(L45="Increasing Mileposts (1)",-1,1)</f>
        <v>25.872</v>
      </c>
      <c r="N45" s="133" t="str">
        <f>VLOOKUP(C45,'Trips&amp;Operators'!$C$1:$G$99999,5,FALSE)</f>
        <v>NELSON ARIANE</v>
      </c>
      <c r="O45" s="203" t="s">
        <v>180</v>
      </c>
      <c r="P45" s="134"/>
      <c r="Q45" s="30"/>
      <c r="R45" s="81" t="str">
        <f>VLOOKUP(C45,'Train Runs'!$A$13:$AE$9921,31,0)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S45" s="84" t="str">
        <f>VLOOKUP(C45,'Train Runs'!$A$13:$AE$9921,22,0)</f>
        <v>https://d0f6bd738d7f1b3e5a7ca70fe4ff75f0.us-east-1.aws.found.io/app/kibana#/discover/Steve-Slow-Train-Analysis-(2080s-and-2083s)?_g=(refreshInterval:(display:Off,pause:!f,section:0,value:0),time:(from:'2017-07-26T15:52:53-0600',mode:absolute,to:'2017-07-26T18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/stypes="*4027*201707262*" /stext=" 23:.+((SYSTEM_STATE.+slice.+state.+changed )|(ment ac)|(multiple cpu faults)|(system.+state.+changed )|(\[timeout)|(PRM\|1\|D)|(kpr)|(kdp)|(train st.+moving)|(\|lc)|(penalty))"</v>
      </c>
      <c r="U45" s="9" t="str">
        <f>MID(B45,13,4)</f>
        <v>4027</v>
      </c>
      <c r="V45" s="31">
        <f>A45-utc_offset/24</f>
        <v>42942.958611111113</v>
      </c>
      <c r="W45" s="45" t="str">
        <f>DetSubdiv(C45)</f>
        <v>Shuttle/Test</v>
      </c>
      <c r="X45" s="22">
        <f>VALUE(LEFT(C45,LEN(C45)-3))</f>
        <v>58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0.0839"},{"id":17,"name":"Train ID","value":"58-26"},{"id":16,"name":"Locomotive ID","value":"4027"},{"id":130,"name":"Impact","value":""},{"id":150,"name":"Time of Event (Mountain Time)","value":"17:00:24"},{"id":151,"name":"Denver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/c/Users/stu/AppData/Local/Temp/OnboardLogs/RTDC4027 --include="*4027*201707262*"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"%USERPROFILE%\AppData\Local\Temp\OnboardLogs"\RTDC4027\*4027*201707262* &gt;&gt; 2017-07-26-SliceDisagreementCheck.txt</v>
      </c>
      <c r="AE45" s="145" t="str">
        <f t="shared" si="1"/>
        <v>start /low /b %USERPROFILE%\Documents\GitHub\eaglep3\Utilities\DownloadLogsFromS3.py --loco 4027 --day 2017-07-26</v>
      </c>
      <c r="AF45" s="1"/>
    </row>
    <row r="46" spans="1:32" x14ac:dyDescent="0.25">
      <c r="A46" s="31">
        <v>42942.709097222221</v>
      </c>
      <c r="B46" s="30" t="s">
        <v>503</v>
      </c>
      <c r="C46" s="30" t="s">
        <v>648</v>
      </c>
      <c r="D46" s="30" t="s">
        <v>49</v>
      </c>
      <c r="E46" s="30" t="s">
        <v>181</v>
      </c>
      <c r="F46" s="42">
        <v>0</v>
      </c>
      <c r="G46" s="42">
        <v>11</v>
      </c>
      <c r="H46" s="42">
        <v>867</v>
      </c>
      <c r="I46" s="42">
        <v>867</v>
      </c>
      <c r="J46" s="30" t="s">
        <v>182</v>
      </c>
      <c r="K46" s="42">
        <v>839</v>
      </c>
      <c r="L46" s="131" t="s">
        <v>51</v>
      </c>
      <c r="M46" s="132">
        <f>CONVERT((I46-K46)/10000,"mi","ft")*IF(L46="Increasing Mileposts (1)",-1,1)</f>
        <v>14.784000000000001</v>
      </c>
      <c r="N46" s="133" t="str">
        <f>VLOOKUP(C46,'Trips&amp;Operators'!$C$1:$G$99999,5,FALSE)</f>
        <v>NELSON ARIANE</v>
      </c>
      <c r="O46" s="203" t="s">
        <v>180</v>
      </c>
      <c r="P46" s="134"/>
      <c r="Q46" s="30"/>
      <c r="R46" s="81" t="str">
        <f>VLOOKUP(C46,'Train Runs'!$A$13:$AE$9921,31,0)</f>
        <v>aws s3 cp s3://rtdc.mdm.uploadarchive.raw/RTDC4027/ "%USERPROFILE%\AppData\Local\Temp\OnboardLogs"\RTDC4027\2017-07-26 --exclude "*" --recursive --include "*20170726*" &amp; "%USERPROFILE%\Documents\GitHub\mrs-test-scripts\Headless Mode &amp; Sideloading\WalkAndUnGZ.bat" "%USERPROFILE%\AppData\Local\Temp\OnboardLogs"\RTDC4027\2017-07-26 &amp; 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</v>
      </c>
      <c r="S46" s="84" t="str">
        <f>VLOOKUP(C46,'Train Runs'!$A$13:$AE$9921,22,0)</f>
        <v>https://d0f6bd738d7f1b3e5a7ca70fe4ff75f0.us-east-1.aws.found.io/app/kibana#/discover/Steve-Slow-Train-Analysis-(2080s-and-2083s)?_g=(refreshInterval:(display:Off,pause:!f,section:0,value:0),time:(from:'2017-07-26T15:52:53-0600',mode:absolute,to:'2017-07-26T18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/stypes="*4027*201707262*" /stext=" 23:.+((SYSTEM_STATE.+slice.+state.+changed )|(ment ac)|(multiple cpu faults)|(system.+state.+changed )|(\[timeout)|(PRM\|1\|D)|(kpr)|(kdp)|(train st.+moving)|(\|lc)|(penalty))"</v>
      </c>
      <c r="U46" s="9" t="str">
        <f>MID(B46,13,4)</f>
        <v>4027</v>
      </c>
      <c r="V46" s="31">
        <f>A46-utc_offset/24</f>
        <v>42942.959097222221</v>
      </c>
      <c r="W46" s="45" t="str">
        <f>DetSubdiv(C46)</f>
        <v>Shuttle/Test</v>
      </c>
      <c r="X46" s="22">
        <f>VALUE(LEFT(C46,LEN(C46)-3))</f>
        <v>58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0.0839"},{"id":17,"name":"Train ID","value":"58-26"},{"id":16,"name":"Locomotive ID","value":"4027"},{"id":130,"name":"Impact","value":""},{"id":150,"name":"Time of Event (Mountain Time)","value":"17:01:06"},{"id":151,"name":"Denver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/c/Users/stu/AppData/Local/Temp/OnboardLogs/RTDC4027 --include="*4027*201707262*"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"%USERPROFILE%\AppData\Local\Temp\OnboardLogs"\RTDC4027\*4027*201707262* &gt;&gt; 2017-07-26-SliceDisagreementCheck.txt</v>
      </c>
      <c r="AE46" s="145" t="str">
        <f t="shared" si="1"/>
        <v>start /low /b %USERPROFILE%\Documents\GitHub\eaglep3\Utilities\DownloadLogsFromS3.py --loco 4027 --day 2017-07-26</v>
      </c>
      <c r="AF46" s="1"/>
    </row>
    <row r="47" spans="1:32" x14ac:dyDescent="0.25">
      <c r="A47" s="31">
        <v>42942.446076388886</v>
      </c>
      <c r="B47" s="30" t="s">
        <v>634</v>
      </c>
      <c r="C47" s="30" t="s">
        <v>635</v>
      </c>
      <c r="D47" s="30" t="s">
        <v>96</v>
      </c>
      <c r="E47" s="30" t="s">
        <v>181</v>
      </c>
      <c r="F47" s="42">
        <v>0</v>
      </c>
      <c r="G47" s="42">
        <v>4</v>
      </c>
      <c r="H47" s="42">
        <v>112547</v>
      </c>
      <c r="I47" s="42">
        <v>112547</v>
      </c>
      <c r="J47" s="30" t="s">
        <v>182</v>
      </c>
      <c r="K47" s="42">
        <v>112547</v>
      </c>
      <c r="L47" s="131" t="s">
        <v>50</v>
      </c>
      <c r="M47" s="132">
        <f>CONVERT((I47-K47)/10000,"mi","ft")*IF(L47="Increasing Mileposts (1)",-1,1)</f>
        <v>0</v>
      </c>
      <c r="N47" s="133" t="str">
        <f>VLOOKUP(C47,'Trips&amp;Operators'!$C$1:$G$99999,5,FALSE)</f>
        <v>SPECTOR MICHAEL</v>
      </c>
      <c r="O47" s="203" t="s">
        <v>180</v>
      </c>
      <c r="P47" s="134"/>
      <c r="Q47" s="30"/>
      <c r="R47" s="81" t="str">
        <f>VLOOKUP(C47,'Train Runs'!$A$13:$AE$9921,31,0)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S47" s="84" t="str">
        <f>VLOOKUP(C47,'Train Runs'!$A$13:$AE$9921,22,0)</f>
        <v>https://d0f6bd738d7f1b3e5a7ca70fe4ff75f0.us-east-1.aws.found.io/app/kibana#/discover/Steve-Slow-Train-Analysis-(2080s-and-2083s)?_g=(refreshInterval:(display:Off,pause:!f,section:0,value:0),time:(from:'2017-07-26T02:04:02-0600',mode:absolute,to:'2017-07-26T04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/stypes="*4066*201707261*" /stext=" 16:.+((SYSTEM_STATE.+slice.+state.+changed )|(ment ac)|(multiple cpu faults)|(system.+state.+changed )|(\[timeout)|(PRM\|1\|D)|(kpr)|(kdp)|(train st.+moving)|(\|lc)|(penalty))"</v>
      </c>
      <c r="U47" s="9" t="str">
        <f>MID(B47,13,4)</f>
        <v>4066</v>
      </c>
      <c r="V47" s="31">
        <f>A47-utc_offset/24</f>
        <v>42942.696076388886</v>
      </c>
      <c r="W47" s="45" t="str">
        <f>DetSubdiv(C47)</f>
        <v>Shuttle/Test</v>
      </c>
      <c r="X47" s="22">
        <f>VALUE(LEFT(C47,LEN(C47)-3))</f>
        <v>51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11.2547"},{"id":17,"name":"Train ID","value":"51-26"},{"id":16,"name":"Locomotive ID","value":"4066"},{"id":130,"name":"Impact","value":""},{"id":150,"name":"Time of Event (Mountain Time)","value":"10:42:21"},{"id":151,"name":"Denver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/c/Users/stu/AppData/Local/Temp/OnboardLogs/RTDC4066 --include="*4066*201707261*"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"%USERPROFILE%\AppData\Local\Temp\OnboardLogs"\RTDC4066\*4066*201707261* &gt;&gt; 2017-07-26-SliceDisagreementCheck.txt</v>
      </c>
      <c r="AE47" s="145" t="str">
        <f t="shared" si="1"/>
        <v>start /low /b %USERPROFILE%\Documents\GitHub\eaglep3\Utilities\DownloadLogsFromS3.py --loco 4066 --day 2017-07-26</v>
      </c>
      <c r="AF47" s="1"/>
    </row>
    <row r="48" spans="1:32" x14ac:dyDescent="0.25">
      <c r="A48" s="31">
        <v>42942.558564814812</v>
      </c>
      <c r="B48" s="30" t="s">
        <v>634</v>
      </c>
      <c r="C48" s="30" t="s">
        <v>635</v>
      </c>
      <c r="D48" s="30" t="s">
        <v>96</v>
      </c>
      <c r="E48" s="30" t="s">
        <v>181</v>
      </c>
      <c r="F48" s="42">
        <v>0</v>
      </c>
      <c r="G48" s="42">
        <v>5</v>
      </c>
      <c r="H48" s="42">
        <v>112547</v>
      </c>
      <c r="I48" s="42">
        <v>112547</v>
      </c>
      <c r="J48" s="30" t="s">
        <v>182</v>
      </c>
      <c r="K48" s="42">
        <v>112547</v>
      </c>
      <c r="L48" s="131" t="s">
        <v>50</v>
      </c>
      <c r="M48" s="132">
        <f>CONVERT((I48-K48)/10000,"mi","ft")*IF(L48="Increasing Mileposts (1)",-1,1)</f>
        <v>0</v>
      </c>
      <c r="N48" s="133" t="str">
        <f>VLOOKUP(C48,'Trips&amp;Operators'!$C$1:$G$99999,5,FALSE)</f>
        <v>SPECTOR MICHAEL</v>
      </c>
      <c r="O48" s="203" t="s">
        <v>180</v>
      </c>
      <c r="P48" s="134"/>
      <c r="Q48" s="30"/>
      <c r="R48" s="81" t="str">
        <f>VLOOKUP(C48,'Train Runs'!$A$13:$AE$9921,31,0)</f>
        <v>aws s3 cp s3://rtdc.mdm.uploadarchive.raw/RTDC4002/ "%USERPROFILE%\AppData\Local\Temp\OnboardLogs"\RTDC4002\2017-07-26 --exclude "*" --recursive --include "*20170726*" &amp; "%USERPROFILE%\Documents\GitHub\mrs-test-scripts\Headless Mode &amp; Sideloading\WalkAndUnGZ.bat" "%USERPROFILE%\AppData\Local\Temp\OnboardLogs"\RTDC4002\2017-07-26 &amp; aws s3 cp s3://rtdc.mdm.uploadarchive.raw/RTDC4002/ "%USERPROFILE%\AppData\Local\Temp\OnboardLogs"\RTDC4002\2017-07-27 --exclude "*" --recursive --include "*20170727*" &amp; "%USERPROFILE%\Documents\GitHub\mrs-test-scripts\Headless Mode &amp; Sideloading\WalkAndUnGZ.bat" "%USERPROFILE%\AppData\Local\Temp\OnboardLogs"\RTDC4002\2017-07-27</v>
      </c>
      <c r="S48" s="84" t="str">
        <f>VLOOKUP(C48,'Train Runs'!$A$13:$AE$9921,22,0)</f>
        <v>https://d0f6bd738d7f1b3e5a7ca70fe4ff75f0.us-east-1.aws.found.io/app/kibana#/discover/Steve-Slow-Train-Analysis-(2080s-and-2083s)?_g=(refreshInterval:(display:Off,pause:!f,section:0,value:0),time:(from:'2017-07-26T02:04:02-0600',mode:absolute,to:'2017-07-26T04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/stypes="*4066*201707261*" /stext=" 19:.+((SYSTEM_STATE.+slice.+state.+changed )|(ment ac)|(multiple cpu faults)|(system.+state.+changed )|(\[timeout)|(PRM\|1\|D)|(kpr)|(kdp)|(train st.+moving)|(\|lc)|(penalty))"</v>
      </c>
      <c r="U48" s="9" t="str">
        <f>MID(B48,13,4)</f>
        <v>4066</v>
      </c>
      <c r="V48" s="31">
        <f>A48-utc_offset/24</f>
        <v>42942.808564814812</v>
      </c>
      <c r="W48" s="45" t="str">
        <f>DetSubdiv(C48)</f>
        <v>Shuttle/Test</v>
      </c>
      <c r="X48" s="22">
        <f>VALUE(LEFT(C48,LEN(C48)-3))</f>
        <v>51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11.2547"},{"id":17,"name":"Train ID","value":"51-26"},{"id":16,"name":"Locomotive ID","value":"4066"},{"id":130,"name":"Impact","value":""},{"id":150,"name":"Time of Event (Mountain Time)","value":"13:24:20"},{"id":151,"name":"Denver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/c/Users/stu/AppData/Local/Temp/OnboardLogs/RTDC4066 --include="*4066*201707261*"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"%USERPROFILE%\AppData\Local\Temp\OnboardLogs"\RTDC4066\*4066*201707261* &gt;&gt; 2017-07-26-SliceDisagreementCheck.txt</v>
      </c>
      <c r="AE48" s="145" t="str">
        <f t="shared" si="1"/>
        <v>start /low /b %USERPROFILE%\Documents\GitHub\eaglep3\Utilities\DownloadLogsFromS3.py --loco 4066 --day 2017-07-26</v>
      </c>
      <c r="AF48" s="1"/>
    </row>
    <row r="49" spans="1:32" x14ac:dyDescent="0.25">
      <c r="A49" s="31">
        <v>42942.524293981478</v>
      </c>
      <c r="B49" s="30" t="s">
        <v>634</v>
      </c>
      <c r="C49" s="30" t="s">
        <v>641</v>
      </c>
      <c r="D49" s="30" t="s">
        <v>49</v>
      </c>
      <c r="E49" s="30" t="s">
        <v>181</v>
      </c>
      <c r="F49" s="42">
        <v>0</v>
      </c>
      <c r="G49" s="42">
        <v>14</v>
      </c>
      <c r="H49" s="42">
        <v>112597</v>
      </c>
      <c r="I49" s="42">
        <v>112604</v>
      </c>
      <c r="J49" s="30" t="s">
        <v>182</v>
      </c>
      <c r="K49" s="42">
        <v>112612</v>
      </c>
      <c r="L49" s="131" t="s">
        <v>50</v>
      </c>
      <c r="M49" s="132">
        <f>CONVERT((I49-K49)/10000,"mi","ft")*IF(L49="Increasing Mileposts (1)",-1,1)</f>
        <v>4.2240000000000002</v>
      </c>
      <c r="N49" s="133" t="str">
        <f>VLOOKUP(C49,'Trips&amp;Operators'!$C$1:$G$99999,5,FALSE)</f>
        <v>SANTIZO D. EDY</v>
      </c>
      <c r="O49" s="203" t="s">
        <v>180</v>
      </c>
      <c r="P49" s="134"/>
      <c r="Q49" s="30"/>
      <c r="R49" s="81" t="str">
        <f>VLOOKUP(C49,'Train Runs'!$A$13:$AE$9921,31,0)</f>
        <v>aws s3 cp s3://rtdc.mdm.uploadarchive.raw/RTDC4066/ "%USERPROFILE%\AppData\Local\Temp\OnboardLogs"\RTDC4066\2017-07-26 --exclude "*" --recursive --include "*20170726*" &amp; "%USERPROFILE%\Documents\GitHub\mrs-test-scripts\Headless Mode &amp; Sideloading\WalkAndUnGZ.bat" "%USERPROFILE%\AppData\Local\Temp\OnboardLogs"\RTDC4066\2017-07-26 &amp; 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</v>
      </c>
      <c r="S49" s="84" t="str">
        <f>VLOOKUP(C49,'Train Runs'!$A$13:$AE$9921,22,0)</f>
        <v>https://d0f6bd738d7f1b3e5a7ca70fe4ff75f0.us-east-1.aws.found.io/app/kibana#/discover/Steve-Slow-Train-Analysis-(2080s-and-2083s)?_g=(refreshInterval:(display:Off,pause:!f,section:0,value:0),time:(from:'2017-07-26T10:57:30-0600',mode:absolute,to:'2017-07-26T13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/stypes="*4066*201707261*" /stext=" 18:.+((SYSTEM_STATE.+slice.+state.+changed )|(ment ac)|(multiple cpu faults)|(system.+state.+changed )|(\[timeout)|(PRM\|1\|D)|(kpr)|(kdp)|(train st.+moving)|(\|lc)|(penalty))"</v>
      </c>
      <c r="U49" s="9" t="str">
        <f>MID(B49,13,4)</f>
        <v>4066</v>
      </c>
      <c r="V49" s="31">
        <f>A49-utc_offset/24</f>
        <v>42942.774293981478</v>
      </c>
      <c r="W49" s="45" t="str">
        <f>DetSubdiv(C49)</f>
        <v>Shuttle/Test</v>
      </c>
      <c r="X49" s="22">
        <f>VALUE(LEFT(C49,LEN(C49)-3))</f>
        <v>53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-26","description":"","custom_fields":[{"id":1,"name":"Subdivision","value":"Shuttle/Test"},{"id":4,"name":"Milepost","value":"11.2612"},{"id":17,"name":"Train ID","value":"53-26"},{"id":16,"name":"Locomotive ID","value":"4066"},{"id":130,"name":"Impact","value":""},{"id":150,"name":"Time of Event (Mountain Time)","value":"12:34:59"},{"id":151,"name":"Denver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/c/Users/stu/AppData/Local/Temp/OnboardLogs/RTDC4066 --include="*4066*201707261*"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"%USERPROFILE%\AppData\Local\Temp\OnboardLogs"\RTDC4066\*4066*201707261* &gt;&gt; 2017-07-26-SliceDisagreementCheck.txt</v>
      </c>
      <c r="AE49" s="145" t="str">
        <f t="shared" si="1"/>
        <v>start /low /b %USERPROFILE%\Documents\GitHub\eaglep3\Utilities\DownloadLogsFromS3.py --loco 4066 --day 2017-07-26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9"/>
      <sortCondition ref="E7:E49"/>
      <sortCondition ref="K7:K49"/>
      <sortCondition ref="F7:F49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Runs'!$A$13:$A$99918,1,FALSE)</f>
        <v>#N/A</v>
      </c>
    </row>
    <row r="4" spans="1:10" x14ac:dyDescent="0.25">
      <c r="A4" s="195"/>
      <c r="B4" s="42" t="str">
        <f>A4&amp;"-"&amp;IF(DAY(Variables!$A$2)&lt;10,0,"")&amp;DAY(Variables!$A$2)</f>
        <v>-26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Runs'!$A$13:$A$99918,1,FALSE)</f>
        <v>#N/A</v>
      </c>
    </row>
    <row r="5" spans="1:10" x14ac:dyDescent="0.25">
      <c r="A5" s="195"/>
      <c r="B5" s="42" t="str">
        <f>A5&amp;"-"&amp;IF(DAY(Variables!$A$2)&lt;10,0,"")&amp;DAY(Variables!$A$2)</f>
        <v>-26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Runs'!$A$13:$A$99918,1,FALSE)</f>
        <v>#N/A</v>
      </c>
    </row>
    <row r="6" spans="1:10" x14ac:dyDescent="0.25">
      <c r="A6" s="195"/>
      <c r="B6" s="42" t="str">
        <f>A6&amp;"-"&amp;IF(DAY(Variables!$A$2)&lt;10,0,"")&amp;DAY(Variables!$A$2)</f>
        <v>-26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Runs'!$A$13:$A$99918,1,FALSE)</f>
        <v>#N/A</v>
      </c>
    </row>
    <row r="7" spans="1:10" x14ac:dyDescent="0.25">
      <c r="A7" s="195"/>
      <c r="B7" s="42" t="str">
        <f>A7&amp;"-"&amp;IF(DAY(Variables!$A$2)&lt;10,0,"")&amp;DAY(Variables!$A$2)</f>
        <v>-26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Runs'!$A$13:$A$99918,1,FALSE)</f>
        <v>#N/A</v>
      </c>
    </row>
    <row r="8" spans="1:10" x14ac:dyDescent="0.25">
      <c r="A8" s="195"/>
      <c r="B8" s="42" t="str">
        <f>A8&amp;"-"&amp;IF(DAY(Variables!$A$2)&lt;10,0,"")&amp;DAY(Variables!$A$2)</f>
        <v>-26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Runs'!$A$13:$A$99918,1,FALSE)</f>
        <v>#N/A</v>
      </c>
    </row>
    <row r="9" spans="1:10" x14ac:dyDescent="0.25">
      <c r="A9" s="195"/>
      <c r="B9" s="42" t="str">
        <f>A9&amp;"-"&amp;IF(DAY(Variables!$A$2)&lt;10,0,"")&amp;DAY(Variables!$A$2)</f>
        <v>-26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Runs'!$A$13:$A$99918,1,FALSE)</f>
        <v>#N/A</v>
      </c>
    </row>
    <row r="10" spans="1:10" x14ac:dyDescent="0.25">
      <c r="A10" s="195"/>
      <c r="B10" s="42" t="str">
        <f>A10&amp;"-"&amp;IF(DAY(Variables!$A$2)&lt;10,0,"")&amp;DAY(Variables!$A$2)</f>
        <v>-26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Runs'!$A$13:$A$99918,1,FALSE)</f>
        <v>#N/A</v>
      </c>
    </row>
    <row r="11" spans="1:10" x14ac:dyDescent="0.25">
      <c r="A11" s="195"/>
      <c r="B11" s="42" t="str">
        <f>A11&amp;"-"&amp;IF(DAY(Variables!$A$2)&lt;10,0,"")&amp;DAY(Variables!$A$2)</f>
        <v>-26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Runs'!$A$13:$A$99918,1,FALSE)</f>
        <v>#N/A</v>
      </c>
    </row>
    <row r="12" spans="1:10" x14ac:dyDescent="0.25">
      <c r="A12" s="195"/>
      <c r="B12" s="42" t="str">
        <f>A12&amp;"-"&amp;IF(DAY(Variables!$A$2)&lt;10,0,"")&amp;DAY(Variables!$A$2)</f>
        <v>-26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Runs'!$A$13:$A$99918,1,FALSE)</f>
        <v>#N/A</v>
      </c>
    </row>
    <row r="13" spans="1:10" x14ac:dyDescent="0.25">
      <c r="A13" s="195"/>
      <c r="B13" s="42" t="str">
        <f>A13&amp;"-"&amp;IF(DAY(Variables!$A$2)&lt;10,0,"")&amp;DAY(Variables!$A$2)</f>
        <v>-26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Runs'!$A$13:$A$99918,1,FALSE)</f>
        <v>#N/A</v>
      </c>
    </row>
    <row r="14" spans="1:10" x14ac:dyDescent="0.25">
      <c r="A14" s="195"/>
      <c r="B14" s="42" t="str">
        <f>A14&amp;"-"&amp;IF(DAY(Variables!$A$2)&lt;10,0,"")&amp;DAY(Variables!$A$2)</f>
        <v>-26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Runs'!$A$13:$A$99918,1,FALSE)</f>
        <v>#N/A</v>
      </c>
    </row>
    <row r="15" spans="1:10" x14ac:dyDescent="0.25">
      <c r="A15" s="195"/>
      <c r="B15" s="42" t="str">
        <f>A15&amp;"-"&amp;IF(DAY(Variables!$A$2)&lt;10,0,"")&amp;DAY(Variables!$A$2)</f>
        <v>-26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Runs'!$A$13:$A$99918,1,FALSE)</f>
        <v>#N/A</v>
      </c>
    </row>
    <row r="16" spans="1:10" x14ac:dyDescent="0.25">
      <c r="A16" s="195"/>
      <c r="B16" s="42" t="str">
        <f>A16&amp;"-"&amp;IF(DAY(Variables!$A$2)&lt;10,0,"")&amp;DAY(Variables!$A$2)</f>
        <v>-26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Runs'!$A$13:$A$99918,1,FALSE)</f>
        <v>#N/A</v>
      </c>
    </row>
    <row r="17" spans="1:10" x14ac:dyDescent="0.25">
      <c r="A17" s="195"/>
      <c r="B17" s="42" t="str">
        <f>A17&amp;"-"&amp;IF(DAY(Variables!$A$2)&lt;10,0,"")&amp;DAY(Variables!$A$2)</f>
        <v>-26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Runs'!$A$13:$A$99918,1,FALSE)</f>
        <v>#N/A</v>
      </c>
    </row>
    <row r="18" spans="1:10" x14ac:dyDescent="0.25">
      <c r="A18" s="195"/>
      <c r="B18" s="42" t="str">
        <f>A18&amp;"-"&amp;IF(DAY(Variables!$A$2)&lt;10,0,"")&amp;DAY(Variables!$A$2)</f>
        <v>-26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Runs'!$A$13:$A$99918,1,FALSE)</f>
        <v>#N/A</v>
      </c>
    </row>
    <row r="19" spans="1:10" x14ac:dyDescent="0.25">
      <c r="A19" s="195"/>
      <c r="B19" s="42" t="str">
        <f>A19&amp;"-"&amp;IF(DAY(Variables!$A$2)&lt;10,0,"")&amp;DAY(Variables!$A$2)</f>
        <v>-26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Runs'!$A$13:$A$99918,1,FALSE)</f>
        <v>#N/A</v>
      </c>
    </row>
    <row r="20" spans="1:10" x14ac:dyDescent="0.25">
      <c r="A20" s="195"/>
      <c r="B20" s="42" t="str">
        <f>A20&amp;"-"&amp;IF(DAY(Variables!$A$2)&lt;10,0,"")&amp;DAY(Variables!$A$2)</f>
        <v>-26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Runs'!$A$13:$A$99918,1,FALSE)</f>
        <v>#N/A</v>
      </c>
    </row>
    <row r="21" spans="1:10" x14ac:dyDescent="0.25">
      <c r="A21" s="195"/>
      <c r="B21" s="42" t="str">
        <f>A21&amp;"-"&amp;IF(DAY(Variables!$A$2)&lt;10,0,"")&amp;DAY(Variables!$A$2)</f>
        <v>-26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Runs'!$A$13:$A$99918,1,FALSE)</f>
        <v>#N/A</v>
      </c>
    </row>
    <row r="22" spans="1:10" x14ac:dyDescent="0.25">
      <c r="A22" s="195"/>
      <c r="B22" s="42" t="str">
        <f>A22&amp;"-"&amp;IF(DAY(Variables!$A$2)&lt;10,0,"")&amp;DAY(Variables!$A$2)</f>
        <v>-26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Runs'!$A$13:$A$99918,1,FALSE)</f>
        <v>#N/A</v>
      </c>
    </row>
    <row r="23" spans="1:10" x14ac:dyDescent="0.25">
      <c r="A23" s="195"/>
      <c r="B23" s="42" t="str">
        <f>A23&amp;"-"&amp;IF(DAY(Variables!$A$2)&lt;10,0,"")&amp;DAY(Variables!$A$2)</f>
        <v>-26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Runs'!$A$13:$A$99918,1,FALSE)</f>
        <v>#N/A</v>
      </c>
    </row>
    <row r="24" spans="1:10" x14ac:dyDescent="0.25">
      <c r="A24" s="195"/>
      <c r="B24" s="42" t="str">
        <f>A24&amp;"-"&amp;IF(DAY(Variables!$A$2)&lt;10,0,"")&amp;DAY(Variables!$A$2)</f>
        <v>-26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0" t="e">
        <f>VLOOKUP(B24,'Train Runs'!$A$13:$A$99918,1,FALSE)</f>
        <v>#N/A</v>
      </c>
    </row>
    <row r="25" spans="1:10" x14ac:dyDescent="0.25">
      <c r="A25" s="195"/>
      <c r="B25" s="42" t="str">
        <f>A25&amp;"-"&amp;IF(DAY(Variables!$A$2)&lt;10,0,"")&amp;DAY(Variables!$A$2)</f>
        <v>-26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0" t="e">
        <f>VLOOKUP(B25,'Train Runs'!$A$13:$A$99918,1,FALSE)</f>
        <v>#N/A</v>
      </c>
    </row>
    <row r="26" spans="1:10" x14ac:dyDescent="0.25">
      <c r="A26" s="195"/>
      <c r="B26" s="42" t="str">
        <f>A26&amp;"-"&amp;IF(DAY(Variables!$A$2)&lt;10,0,"")&amp;DAY(Variables!$A$2)</f>
        <v>-26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0" t="e">
        <f>VLOOKUP(B26,'Train Runs'!$A$13:$A$99918,1,FALSE)</f>
        <v>#N/A</v>
      </c>
    </row>
    <row r="27" spans="1:10" x14ac:dyDescent="0.25">
      <c r="A27" s="195"/>
      <c r="B27" s="42" t="str">
        <f>A27&amp;"-"&amp;IF(DAY(Variables!$A$2)&lt;10,0,"")&amp;DAY(Variables!$A$2)</f>
        <v>-26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0" t="e">
        <f>VLOOKUP(B27,'Train Runs'!$A$13:$A$99918,1,FALSE)</f>
        <v>#N/A</v>
      </c>
    </row>
    <row r="28" spans="1:10" x14ac:dyDescent="0.25">
      <c r="A28" s="195"/>
      <c r="B28" s="42" t="str">
        <f>A28&amp;"-"&amp;IF(DAY(Variables!$A$2)&lt;10,0,"")&amp;DAY(Variables!$A$2)</f>
        <v>-26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0" t="e">
        <f>VLOOKUP(B28,'Train Runs'!$A$13:$A$99918,1,FALSE)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42942.048125000001</v>
      </c>
      <c r="B2" s="20" t="s">
        <v>335</v>
      </c>
      <c r="C2" s="20" t="s">
        <v>551</v>
      </c>
      <c r="D2" s="138">
        <v>3260000</v>
      </c>
      <c r="E2" s="20" t="s">
        <v>549</v>
      </c>
      <c r="F2" s="20" t="s">
        <v>550</v>
      </c>
      <c r="G2" s="8" t="str">
        <f>E2&amp;" "&amp;F2</f>
        <v>PAGE MARCUS</v>
      </c>
    </row>
    <row r="3" spans="1:7" x14ac:dyDescent="0.25">
      <c r="A3" s="8">
        <v>42942.057233796295</v>
      </c>
      <c r="B3" s="20" t="s">
        <v>407</v>
      </c>
      <c r="C3" s="20" t="s">
        <v>552</v>
      </c>
      <c r="D3" s="138">
        <v>3090000</v>
      </c>
      <c r="E3" s="20" t="s">
        <v>364</v>
      </c>
      <c r="F3" s="20" t="s">
        <v>365</v>
      </c>
      <c r="G3" s="8" t="str">
        <f t="shared" ref="G3:G66" si="0">E3&amp;" "&amp;F3</f>
        <v>LAMAR NEKESHA</v>
      </c>
    </row>
    <row r="4" spans="1:7" x14ac:dyDescent="0.25">
      <c r="A4" s="8">
        <v>42942.068726851852</v>
      </c>
      <c r="B4" s="20" t="s">
        <v>506</v>
      </c>
      <c r="C4" s="20" t="s">
        <v>553</v>
      </c>
      <c r="D4" s="138">
        <v>3000000</v>
      </c>
      <c r="E4" s="20" t="s">
        <v>383</v>
      </c>
      <c r="F4" s="20" t="s">
        <v>384</v>
      </c>
      <c r="G4" s="8" t="str">
        <f t="shared" si="0"/>
        <v>FORTUNATO FRANK</v>
      </c>
    </row>
    <row r="5" spans="1:7" x14ac:dyDescent="0.25">
      <c r="A5" s="8">
        <v>42942.090208333335</v>
      </c>
      <c r="B5" s="20" t="s">
        <v>405</v>
      </c>
      <c r="C5" s="20" t="s">
        <v>554</v>
      </c>
      <c r="D5" s="138">
        <v>3090000</v>
      </c>
      <c r="E5" s="20" t="s">
        <v>364</v>
      </c>
      <c r="F5" s="20" t="s">
        <v>365</v>
      </c>
      <c r="G5" s="8" t="str">
        <f t="shared" si="0"/>
        <v>LAMAR NEKESHA</v>
      </c>
    </row>
    <row r="6" spans="1:7" x14ac:dyDescent="0.25">
      <c r="A6" s="8">
        <v>42942.114907407406</v>
      </c>
      <c r="B6" s="20" t="s">
        <v>387</v>
      </c>
      <c r="C6" s="20" t="s">
        <v>658</v>
      </c>
      <c r="D6" s="138">
        <v>940000</v>
      </c>
      <c r="E6" s="20" t="s">
        <v>659</v>
      </c>
      <c r="F6" s="20" t="s">
        <v>660</v>
      </c>
      <c r="G6" s="8" t="str">
        <f t="shared" si="0"/>
        <v>BONDS REYNALDO</v>
      </c>
    </row>
    <row r="7" spans="1:7" x14ac:dyDescent="0.25">
      <c r="A7" s="8">
        <v>42942.116608796299</v>
      </c>
      <c r="B7" s="20" t="s">
        <v>387</v>
      </c>
      <c r="C7" s="20" t="s">
        <v>658</v>
      </c>
      <c r="D7" s="138">
        <v>940000</v>
      </c>
      <c r="E7" s="20" t="s">
        <v>659</v>
      </c>
      <c r="F7" s="20" t="s">
        <v>660</v>
      </c>
      <c r="G7" s="8" t="str">
        <f t="shared" si="0"/>
        <v>BONDS REYNALDO</v>
      </c>
    </row>
    <row r="8" spans="1:7" x14ac:dyDescent="0.25">
      <c r="A8" s="8">
        <v>42942.117210648146</v>
      </c>
      <c r="B8" s="20" t="s">
        <v>387</v>
      </c>
      <c r="C8" s="20" t="s">
        <v>658</v>
      </c>
      <c r="D8" s="138">
        <v>940000</v>
      </c>
      <c r="E8" s="20" t="s">
        <v>659</v>
      </c>
      <c r="F8" s="20" t="s">
        <v>660</v>
      </c>
      <c r="G8" s="8" t="str">
        <f t="shared" si="0"/>
        <v>BONDS REYNALDO</v>
      </c>
    </row>
    <row r="9" spans="1:7" ht="15.75" thickBot="1" x14ac:dyDescent="0.3">
      <c r="A9" s="24">
        <v>42942.118194444447</v>
      </c>
      <c r="B9" s="20" t="s">
        <v>387</v>
      </c>
      <c r="C9" s="20" t="s">
        <v>658</v>
      </c>
      <c r="D9" s="138">
        <v>940000</v>
      </c>
      <c r="E9" s="20" t="s">
        <v>659</v>
      </c>
      <c r="F9" s="20" t="s">
        <v>660</v>
      </c>
      <c r="G9" s="8" t="str">
        <f t="shared" si="0"/>
        <v>BONDS REYNALDO</v>
      </c>
    </row>
    <row r="10" spans="1:7" x14ac:dyDescent="0.25">
      <c r="A10" s="8">
        <v>42942.128240740742</v>
      </c>
      <c r="B10" s="20" t="s">
        <v>388</v>
      </c>
      <c r="C10" s="20" t="s">
        <v>635</v>
      </c>
      <c r="D10" s="138">
        <v>1090000</v>
      </c>
      <c r="E10" s="20" t="s">
        <v>541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42942.129699074074</v>
      </c>
      <c r="B11" s="20" t="s">
        <v>482</v>
      </c>
      <c r="C11" s="20" t="s">
        <v>661</v>
      </c>
      <c r="D11" s="138">
        <v>940000</v>
      </c>
      <c r="E11" s="20" t="s">
        <v>659</v>
      </c>
      <c r="F11" s="20" t="s">
        <v>660</v>
      </c>
      <c r="G11" s="8" t="str">
        <f t="shared" si="0"/>
        <v>BONDS REYNALDO</v>
      </c>
    </row>
    <row r="12" spans="1:7" x14ac:dyDescent="0.25">
      <c r="A12" s="8">
        <v>42942.139039351852</v>
      </c>
      <c r="B12" s="20" t="s">
        <v>409</v>
      </c>
      <c r="C12" s="20" t="s">
        <v>662</v>
      </c>
      <c r="D12" s="138">
        <v>2010000</v>
      </c>
      <c r="E12" s="20" t="s">
        <v>504</v>
      </c>
      <c r="F12" s="20" t="s">
        <v>505</v>
      </c>
      <c r="G12" s="8" t="str">
        <f t="shared" si="0"/>
        <v>MAELZER KURT</v>
      </c>
    </row>
    <row r="13" spans="1:7" x14ac:dyDescent="0.25">
      <c r="A13" s="8">
        <v>42942.139479166668</v>
      </c>
      <c r="B13" s="20" t="s">
        <v>387</v>
      </c>
      <c r="C13" s="20" t="s">
        <v>663</v>
      </c>
      <c r="D13" s="138">
        <v>1090000</v>
      </c>
      <c r="E13" s="20" t="s">
        <v>541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42942.151018518518</v>
      </c>
      <c r="B14" s="20" t="s">
        <v>378</v>
      </c>
      <c r="C14" s="20" t="s">
        <v>612</v>
      </c>
      <c r="D14" s="138">
        <v>2010000</v>
      </c>
      <c r="E14" s="20" t="s">
        <v>504</v>
      </c>
      <c r="F14" s="20" t="s">
        <v>505</v>
      </c>
      <c r="G14" s="8" t="str">
        <f t="shared" si="0"/>
        <v>MAELZER KURT</v>
      </c>
    </row>
    <row r="15" spans="1:7" x14ac:dyDescent="0.25">
      <c r="A15" s="8">
        <v>42942.159641203703</v>
      </c>
      <c r="B15" s="20" t="s">
        <v>616</v>
      </c>
      <c r="C15" s="20" t="s">
        <v>664</v>
      </c>
      <c r="D15" s="138">
        <v>1110000</v>
      </c>
      <c r="E15" s="20" t="s">
        <v>413</v>
      </c>
      <c r="F15" s="20" t="s">
        <v>414</v>
      </c>
      <c r="G15" s="8" t="str">
        <f t="shared" si="0"/>
        <v>STARKS ANGELINA</v>
      </c>
    </row>
    <row r="16" spans="1:7" x14ac:dyDescent="0.25">
      <c r="A16" s="8">
        <v>42942.167141203703</v>
      </c>
      <c r="B16" s="20" t="s">
        <v>483</v>
      </c>
      <c r="C16" s="20" t="s">
        <v>614</v>
      </c>
      <c r="D16" s="138">
        <v>940000</v>
      </c>
      <c r="E16" s="20" t="s">
        <v>659</v>
      </c>
      <c r="F16" s="20" t="s">
        <v>660</v>
      </c>
      <c r="G16" s="8" t="str">
        <f t="shared" si="0"/>
        <v>BONDS REYNALDO</v>
      </c>
    </row>
    <row r="17" spans="1:7" x14ac:dyDescent="0.25">
      <c r="A17" s="8">
        <v>42942.170578703706</v>
      </c>
      <c r="B17" s="20" t="s">
        <v>644</v>
      </c>
      <c r="C17" s="20" t="s">
        <v>665</v>
      </c>
      <c r="D17" s="138">
        <v>1110000</v>
      </c>
      <c r="E17" s="20" t="s">
        <v>413</v>
      </c>
      <c r="F17" s="20" t="s">
        <v>414</v>
      </c>
      <c r="G17" s="8" t="str">
        <f t="shared" si="0"/>
        <v>STARKS ANGELINA</v>
      </c>
    </row>
    <row r="18" spans="1:7" x14ac:dyDescent="0.25">
      <c r="A18" s="8">
        <v>42942.170868055553</v>
      </c>
      <c r="B18" s="20" t="s">
        <v>489</v>
      </c>
      <c r="C18" s="20" t="s">
        <v>666</v>
      </c>
      <c r="D18" s="138">
        <v>3320000</v>
      </c>
      <c r="E18" s="20" t="s">
        <v>509</v>
      </c>
      <c r="F18" s="20" t="s">
        <v>510</v>
      </c>
      <c r="G18" s="8" t="str">
        <f t="shared" si="0"/>
        <v>NICHOLSON WESLEY</v>
      </c>
    </row>
    <row r="19" spans="1:7" x14ac:dyDescent="0.25">
      <c r="A19" s="8">
        <v>42942.180023148147</v>
      </c>
      <c r="B19" s="20" t="s">
        <v>622</v>
      </c>
      <c r="C19" s="20" t="s">
        <v>667</v>
      </c>
      <c r="D19" s="138">
        <v>1990000</v>
      </c>
      <c r="E19" s="20" t="s">
        <v>379</v>
      </c>
      <c r="F19" s="20" t="s">
        <v>668</v>
      </c>
      <c r="G19" s="8" t="str">
        <f t="shared" si="0"/>
        <v>DAVIS WENDY</v>
      </c>
    </row>
    <row r="20" spans="1:7" x14ac:dyDescent="0.25">
      <c r="A20" s="8">
        <v>42942.184976851851</v>
      </c>
      <c r="B20" s="20" t="s">
        <v>459</v>
      </c>
      <c r="C20" s="20" t="s">
        <v>613</v>
      </c>
      <c r="D20" s="138">
        <v>3320000</v>
      </c>
      <c r="E20" s="20" t="s">
        <v>509</v>
      </c>
      <c r="F20" s="20" t="s">
        <v>510</v>
      </c>
      <c r="G20" s="8" t="str">
        <f t="shared" si="0"/>
        <v>NICHOLSON WESLEY</v>
      </c>
    </row>
    <row r="21" spans="1:7" x14ac:dyDescent="0.25">
      <c r="A21" s="8">
        <v>42942.190486111111</v>
      </c>
      <c r="B21" s="20" t="s">
        <v>409</v>
      </c>
      <c r="C21" s="20" t="s">
        <v>669</v>
      </c>
      <c r="D21" s="138">
        <v>2010000</v>
      </c>
      <c r="E21" s="20" t="s">
        <v>504</v>
      </c>
      <c r="F21" s="20" t="s">
        <v>505</v>
      </c>
      <c r="G21" s="8" t="str">
        <f t="shared" si="0"/>
        <v>MAELZER KURT</v>
      </c>
    </row>
    <row r="22" spans="1:7" x14ac:dyDescent="0.25">
      <c r="A22" s="26">
        <v>42942.193240740744</v>
      </c>
      <c r="B22" s="20" t="s">
        <v>625</v>
      </c>
      <c r="C22" s="20" t="s">
        <v>670</v>
      </c>
      <c r="D22" s="138">
        <v>1990000</v>
      </c>
      <c r="E22" s="20" t="s">
        <v>379</v>
      </c>
      <c r="F22" s="20" t="s">
        <v>668</v>
      </c>
      <c r="G22" s="8" t="str">
        <f t="shared" si="0"/>
        <v>DAVIS WENDY</v>
      </c>
    </row>
    <row r="23" spans="1:7" x14ac:dyDescent="0.25">
      <c r="A23" s="8">
        <v>42942.202939814815</v>
      </c>
      <c r="B23" s="20" t="s">
        <v>389</v>
      </c>
      <c r="C23" s="20" t="s">
        <v>615</v>
      </c>
      <c r="D23" s="138">
        <v>2560000</v>
      </c>
      <c r="E23" s="20" t="s">
        <v>490</v>
      </c>
      <c r="F23" s="20" t="s">
        <v>356</v>
      </c>
      <c r="G23" s="8" t="str">
        <f t="shared" si="0"/>
        <v>MACDONALD THOMAS</v>
      </c>
    </row>
    <row r="24" spans="1:7" x14ac:dyDescent="0.25">
      <c r="A24" s="8">
        <v>42942.20385416667</v>
      </c>
      <c r="B24" s="20" t="s">
        <v>389</v>
      </c>
      <c r="C24" s="20" t="s">
        <v>615</v>
      </c>
      <c r="D24" s="138">
        <v>2560000</v>
      </c>
      <c r="E24" s="20" t="s">
        <v>490</v>
      </c>
      <c r="F24" s="20" t="s">
        <v>356</v>
      </c>
      <c r="G24" s="8" t="str">
        <f t="shared" si="0"/>
        <v>MACDONALD THOMAS</v>
      </c>
    </row>
    <row r="25" spans="1:7" x14ac:dyDescent="0.25">
      <c r="A25" s="8">
        <v>42942.204965277779</v>
      </c>
      <c r="B25" s="20" t="s">
        <v>671</v>
      </c>
      <c r="C25" s="20" t="s">
        <v>672</v>
      </c>
      <c r="D25" s="138">
        <v>890000</v>
      </c>
      <c r="E25" s="20" t="s">
        <v>515</v>
      </c>
      <c r="F25" s="20" t="s">
        <v>516</v>
      </c>
      <c r="G25" s="8" t="str">
        <f t="shared" si="0"/>
        <v>LOZA FIDEL</v>
      </c>
    </row>
    <row r="26" spans="1:7" x14ac:dyDescent="0.25">
      <c r="A26" s="8">
        <v>42942.20548611111</v>
      </c>
      <c r="B26" s="20" t="s">
        <v>616</v>
      </c>
      <c r="C26" s="20" t="s">
        <v>617</v>
      </c>
      <c r="D26" s="138">
        <v>1110000</v>
      </c>
      <c r="E26" s="20" t="s">
        <v>413</v>
      </c>
      <c r="F26" s="20" t="s">
        <v>414</v>
      </c>
      <c r="G26" s="8" t="str">
        <f t="shared" si="0"/>
        <v>STARKS ANGELINA</v>
      </c>
    </row>
    <row r="27" spans="1:7" x14ac:dyDescent="0.25">
      <c r="A27" s="8">
        <v>42942.206921296296</v>
      </c>
      <c r="B27" s="20" t="s">
        <v>482</v>
      </c>
      <c r="C27" s="20" t="s">
        <v>673</v>
      </c>
      <c r="D27" s="138">
        <v>940000</v>
      </c>
      <c r="E27" s="20" t="s">
        <v>659</v>
      </c>
      <c r="F27" s="20" t="s">
        <v>660</v>
      </c>
      <c r="G27" s="8" t="str">
        <f t="shared" si="0"/>
        <v>BONDS REYNALDO</v>
      </c>
    </row>
    <row r="28" spans="1:7" x14ac:dyDescent="0.25">
      <c r="A28" s="8">
        <v>42942.214490740742</v>
      </c>
      <c r="B28" s="20" t="s">
        <v>390</v>
      </c>
      <c r="C28" s="20" t="s">
        <v>674</v>
      </c>
      <c r="D28" s="138">
        <v>2560000</v>
      </c>
      <c r="E28" s="20" t="s">
        <v>490</v>
      </c>
      <c r="F28" s="20" t="s">
        <v>356</v>
      </c>
      <c r="G28" s="8" t="str">
        <f t="shared" si="0"/>
        <v>MACDONALD THOMAS</v>
      </c>
    </row>
    <row r="29" spans="1:7" x14ac:dyDescent="0.25">
      <c r="A29" s="8">
        <v>42942.216504629629</v>
      </c>
      <c r="B29" s="20" t="s">
        <v>675</v>
      </c>
      <c r="C29" s="20" t="s">
        <v>676</v>
      </c>
      <c r="D29" s="138">
        <v>3300000</v>
      </c>
      <c r="E29" s="20" t="s">
        <v>511</v>
      </c>
      <c r="F29" s="20" t="s">
        <v>512</v>
      </c>
      <c r="G29" s="8" t="str">
        <f t="shared" si="0"/>
        <v>LANGERAK WILLIAM</v>
      </c>
    </row>
    <row r="30" spans="1:7" x14ac:dyDescent="0.25">
      <c r="A30" s="8">
        <v>42942.22142361111</v>
      </c>
      <c r="B30" s="20" t="s">
        <v>489</v>
      </c>
      <c r="C30" s="20" t="s">
        <v>677</v>
      </c>
      <c r="D30" s="138">
        <v>3320000</v>
      </c>
      <c r="E30" s="20" t="s">
        <v>509</v>
      </c>
      <c r="F30" s="20" t="s">
        <v>510</v>
      </c>
      <c r="G30" s="8" t="str">
        <f t="shared" si="0"/>
        <v>NICHOLSON WESLEY</v>
      </c>
    </row>
    <row r="31" spans="1:7" x14ac:dyDescent="0.25">
      <c r="A31" s="8">
        <v>42942.223553240743</v>
      </c>
      <c r="B31" s="20" t="s">
        <v>469</v>
      </c>
      <c r="C31" s="20" t="s">
        <v>678</v>
      </c>
      <c r="D31" s="138">
        <v>2730000</v>
      </c>
      <c r="E31" s="20" t="s">
        <v>542</v>
      </c>
      <c r="F31" s="20" t="s">
        <v>543</v>
      </c>
      <c r="G31" s="8" t="str">
        <f t="shared" si="0"/>
        <v>YANG JAN</v>
      </c>
    </row>
    <row r="32" spans="1:7" x14ac:dyDescent="0.25">
      <c r="A32" s="8">
        <v>42942.227696759262</v>
      </c>
      <c r="B32" s="20" t="s">
        <v>378</v>
      </c>
      <c r="C32" s="20" t="s">
        <v>679</v>
      </c>
      <c r="D32" s="138">
        <v>2010000</v>
      </c>
      <c r="E32" s="20" t="s">
        <v>504</v>
      </c>
      <c r="F32" s="20" t="s">
        <v>505</v>
      </c>
      <c r="G32" s="8" t="str">
        <f t="shared" si="0"/>
        <v>MAELZER KURT</v>
      </c>
    </row>
    <row r="33" spans="1:7" x14ac:dyDescent="0.25">
      <c r="A33" s="8">
        <v>42942.22991898148</v>
      </c>
      <c r="B33" s="20" t="s">
        <v>389</v>
      </c>
      <c r="C33" s="20" t="s">
        <v>680</v>
      </c>
      <c r="D33" s="138">
        <v>2560000</v>
      </c>
      <c r="E33" s="20" t="s">
        <v>490</v>
      </c>
      <c r="F33" s="20" t="s">
        <v>356</v>
      </c>
      <c r="G33" s="8" t="str">
        <f t="shared" si="0"/>
        <v>MACDONALD THOMAS</v>
      </c>
    </row>
    <row r="34" spans="1:7" x14ac:dyDescent="0.25">
      <c r="A34" s="8">
        <v>42942.232407407406</v>
      </c>
      <c r="B34" s="20" t="s">
        <v>622</v>
      </c>
      <c r="C34" s="20" t="s">
        <v>681</v>
      </c>
      <c r="D34" s="138">
        <v>1990000</v>
      </c>
      <c r="E34" s="20" t="s">
        <v>379</v>
      </c>
      <c r="F34" s="20" t="s">
        <v>668</v>
      </c>
      <c r="G34" s="8" t="str">
        <f t="shared" si="0"/>
        <v>DAVIS WENDY</v>
      </c>
    </row>
    <row r="35" spans="1:7" x14ac:dyDescent="0.25">
      <c r="A35" s="8">
        <v>42942.235347222224</v>
      </c>
      <c r="B35" s="20" t="s">
        <v>468</v>
      </c>
      <c r="C35" s="20" t="s">
        <v>682</v>
      </c>
      <c r="D35" s="138">
        <v>2730000</v>
      </c>
      <c r="E35" s="20" t="s">
        <v>542</v>
      </c>
      <c r="F35" s="20" t="s">
        <v>543</v>
      </c>
      <c r="G35" s="8" t="str">
        <f t="shared" si="0"/>
        <v>YANG JAN</v>
      </c>
    </row>
    <row r="36" spans="1:7" x14ac:dyDescent="0.25">
      <c r="A36" s="8">
        <v>42942.238935185182</v>
      </c>
      <c r="B36" s="20" t="s">
        <v>357</v>
      </c>
      <c r="C36" s="20" t="s">
        <v>618</v>
      </c>
      <c r="D36" s="138">
        <v>1740000</v>
      </c>
      <c r="E36" s="20" t="s">
        <v>485</v>
      </c>
      <c r="F36" s="20" t="s">
        <v>486</v>
      </c>
      <c r="G36" s="8" t="str">
        <f t="shared" si="0"/>
        <v>STORY SAMANTHA</v>
      </c>
    </row>
    <row r="37" spans="1:7" x14ac:dyDescent="0.25">
      <c r="A37" s="8">
        <v>42942.244687500002</v>
      </c>
      <c r="B37" s="20" t="s">
        <v>483</v>
      </c>
      <c r="C37" s="20" t="s">
        <v>683</v>
      </c>
      <c r="D37" s="138">
        <v>940000</v>
      </c>
      <c r="E37" s="20" t="s">
        <v>659</v>
      </c>
      <c r="F37" s="20" t="s">
        <v>660</v>
      </c>
      <c r="G37" s="8" t="str">
        <f t="shared" si="0"/>
        <v>BONDS REYNALDO</v>
      </c>
    </row>
    <row r="38" spans="1:7" x14ac:dyDescent="0.25">
      <c r="A38" s="8">
        <v>42942.247557870367</v>
      </c>
      <c r="B38" s="20" t="s">
        <v>644</v>
      </c>
      <c r="C38" s="20" t="s">
        <v>684</v>
      </c>
      <c r="D38" s="138">
        <v>1110000</v>
      </c>
      <c r="E38" s="20" t="s">
        <v>413</v>
      </c>
      <c r="F38" s="20" t="s">
        <v>414</v>
      </c>
      <c r="G38" s="8" t="str">
        <f t="shared" si="0"/>
        <v>STARKS ANGELINA</v>
      </c>
    </row>
    <row r="39" spans="1:7" x14ac:dyDescent="0.25">
      <c r="A39" s="8">
        <v>42942.248310185183</v>
      </c>
      <c r="B39" s="20" t="s">
        <v>644</v>
      </c>
      <c r="C39" s="20" t="s">
        <v>684</v>
      </c>
      <c r="D39" s="138">
        <v>1110000</v>
      </c>
      <c r="E39" s="20" t="s">
        <v>413</v>
      </c>
      <c r="F39" s="20" t="s">
        <v>414</v>
      </c>
      <c r="G39" s="8" t="str">
        <f t="shared" si="0"/>
        <v>STARKS ANGELINA</v>
      </c>
    </row>
    <row r="40" spans="1:7" x14ac:dyDescent="0.25">
      <c r="A40" s="8">
        <v>42942.254328703704</v>
      </c>
      <c r="B40" s="25" t="s">
        <v>390</v>
      </c>
      <c r="C40" s="20" t="s">
        <v>619</v>
      </c>
      <c r="D40" s="138">
        <v>2560000</v>
      </c>
      <c r="E40" s="20" t="s">
        <v>490</v>
      </c>
      <c r="F40" s="20" t="s">
        <v>356</v>
      </c>
      <c r="G40" s="8" t="str">
        <f t="shared" si="0"/>
        <v>MACDONALD THOMAS</v>
      </c>
    </row>
    <row r="41" spans="1:7" x14ac:dyDescent="0.25">
      <c r="A41" s="8">
        <v>42942.257581018515</v>
      </c>
      <c r="B41" s="20" t="s">
        <v>671</v>
      </c>
      <c r="C41" s="20" t="s">
        <v>685</v>
      </c>
      <c r="D41" s="138">
        <v>3300000</v>
      </c>
      <c r="E41" s="20" t="s">
        <v>511</v>
      </c>
      <c r="F41" s="20" t="s">
        <v>512</v>
      </c>
      <c r="G41" s="8" t="str">
        <f t="shared" si="0"/>
        <v>LANGERAK WILLIAM</v>
      </c>
    </row>
    <row r="42" spans="1:7" x14ac:dyDescent="0.25">
      <c r="A42" s="8">
        <v>42942.259236111109</v>
      </c>
      <c r="B42" s="20" t="s">
        <v>459</v>
      </c>
      <c r="C42" s="20" t="s">
        <v>686</v>
      </c>
      <c r="D42" s="138">
        <v>3320000</v>
      </c>
      <c r="E42" s="20" t="s">
        <v>509</v>
      </c>
      <c r="F42" s="20" t="s">
        <v>510</v>
      </c>
      <c r="G42" s="8" t="str">
        <f t="shared" si="0"/>
        <v>NICHOLSON WESLEY</v>
      </c>
    </row>
    <row r="43" spans="1:7" x14ac:dyDescent="0.25">
      <c r="A43" s="8">
        <v>42942.262337962966</v>
      </c>
      <c r="B43" s="20" t="s">
        <v>363</v>
      </c>
      <c r="C43" s="20" t="s">
        <v>687</v>
      </c>
      <c r="D43" s="138">
        <v>3310000</v>
      </c>
      <c r="E43" s="20" t="s">
        <v>513</v>
      </c>
      <c r="F43" s="20" t="s">
        <v>514</v>
      </c>
      <c r="G43" s="8" t="str">
        <f t="shared" si="0"/>
        <v>ANDERS STEVEN</v>
      </c>
    </row>
    <row r="44" spans="1:7" x14ac:dyDescent="0.25">
      <c r="A44" s="8">
        <v>42942.264710648145</v>
      </c>
      <c r="B44" s="20" t="s">
        <v>409</v>
      </c>
      <c r="C44" s="20" t="s">
        <v>688</v>
      </c>
      <c r="D44" s="138">
        <v>2010000</v>
      </c>
      <c r="E44" s="20" t="s">
        <v>504</v>
      </c>
      <c r="F44" s="20" t="s">
        <v>505</v>
      </c>
      <c r="G44" s="8" t="str">
        <f t="shared" si="0"/>
        <v>MAELZER KURT</v>
      </c>
    </row>
    <row r="45" spans="1:7" x14ac:dyDescent="0.25">
      <c r="A45" s="8">
        <v>42942.268564814818</v>
      </c>
      <c r="B45" s="20" t="s">
        <v>625</v>
      </c>
      <c r="C45" s="20" t="s">
        <v>689</v>
      </c>
      <c r="D45" s="138">
        <v>1990000</v>
      </c>
      <c r="E45" s="20" t="s">
        <v>379</v>
      </c>
      <c r="F45" s="20" t="s">
        <v>668</v>
      </c>
      <c r="G45" s="8" t="str">
        <f t="shared" si="0"/>
        <v>DAVIS WENDY</v>
      </c>
    </row>
    <row r="46" spans="1:7" x14ac:dyDescent="0.25">
      <c r="A46" s="8">
        <v>42942.269849537035</v>
      </c>
      <c r="B46" s="20" t="s">
        <v>389</v>
      </c>
      <c r="C46" s="20" t="s">
        <v>690</v>
      </c>
      <c r="D46" s="138">
        <v>2560000</v>
      </c>
      <c r="E46" s="20" t="s">
        <v>490</v>
      </c>
      <c r="F46" s="20" t="s">
        <v>356</v>
      </c>
      <c r="G46" s="8" t="str">
        <f t="shared" si="0"/>
        <v>MACDONALD THOMAS</v>
      </c>
    </row>
    <row r="47" spans="1:7" x14ac:dyDescent="0.25">
      <c r="A47" s="8">
        <v>42942.277314814812</v>
      </c>
      <c r="B47" s="20" t="s">
        <v>357</v>
      </c>
      <c r="C47" s="20" t="s">
        <v>620</v>
      </c>
      <c r="D47" s="138">
        <v>3310000</v>
      </c>
      <c r="E47" s="20" t="s">
        <v>513</v>
      </c>
      <c r="F47" s="20" t="s">
        <v>514</v>
      </c>
      <c r="G47" s="8" t="str">
        <f t="shared" si="0"/>
        <v>ANDERS STEVEN</v>
      </c>
    </row>
    <row r="48" spans="1:7" x14ac:dyDescent="0.25">
      <c r="A48" s="8">
        <v>42942.277696759258</v>
      </c>
      <c r="B48" s="20" t="s">
        <v>469</v>
      </c>
      <c r="C48" s="20" t="s">
        <v>691</v>
      </c>
      <c r="D48" s="138">
        <v>2730000</v>
      </c>
      <c r="E48" s="20" t="s">
        <v>542</v>
      </c>
      <c r="F48" s="20" t="s">
        <v>543</v>
      </c>
      <c r="G48" s="8" t="str">
        <f t="shared" si="0"/>
        <v>YANG JAN</v>
      </c>
    </row>
    <row r="49" spans="1:7" x14ac:dyDescent="0.25">
      <c r="A49" s="8">
        <v>42942.280335648145</v>
      </c>
      <c r="B49" s="20" t="s">
        <v>482</v>
      </c>
      <c r="C49" s="20" t="s">
        <v>692</v>
      </c>
      <c r="D49" s="138">
        <v>940000</v>
      </c>
      <c r="E49" s="20" t="s">
        <v>659</v>
      </c>
      <c r="F49" s="20" t="s">
        <v>660</v>
      </c>
      <c r="G49" s="8" t="str">
        <f t="shared" si="0"/>
        <v>BONDS REYNALDO</v>
      </c>
    </row>
    <row r="50" spans="1:7" x14ac:dyDescent="0.25">
      <c r="A50" s="8">
        <v>42942.282951388886</v>
      </c>
      <c r="B50" s="20" t="s">
        <v>616</v>
      </c>
      <c r="C50" s="20" t="s">
        <v>693</v>
      </c>
      <c r="D50" s="138">
        <v>1110000</v>
      </c>
      <c r="E50" s="20" t="s">
        <v>413</v>
      </c>
      <c r="F50" s="20" t="s">
        <v>414</v>
      </c>
      <c r="G50" s="8" t="str">
        <f t="shared" si="0"/>
        <v>STARKS ANGELINA</v>
      </c>
    </row>
    <row r="51" spans="1:7" x14ac:dyDescent="0.25">
      <c r="A51" s="8">
        <v>42942.29074074074</v>
      </c>
      <c r="B51" s="20" t="s">
        <v>489</v>
      </c>
      <c r="C51" s="20" t="s">
        <v>621</v>
      </c>
      <c r="D51" s="138">
        <v>3320000</v>
      </c>
      <c r="E51" s="20" t="s">
        <v>509</v>
      </c>
      <c r="F51" s="20" t="s">
        <v>510</v>
      </c>
      <c r="G51" s="8" t="str">
        <f t="shared" si="0"/>
        <v>NICHOLSON WESLEY</v>
      </c>
    </row>
    <row r="52" spans="1:7" x14ac:dyDescent="0.25">
      <c r="A52" s="8">
        <v>42942.29105324074</v>
      </c>
      <c r="B52" s="20" t="s">
        <v>675</v>
      </c>
      <c r="C52" s="20" t="s">
        <v>694</v>
      </c>
      <c r="D52" s="138">
        <v>890000</v>
      </c>
      <c r="E52" s="20" t="s">
        <v>515</v>
      </c>
      <c r="F52" s="20" t="s">
        <v>516</v>
      </c>
      <c r="G52" s="8" t="str">
        <f t="shared" si="0"/>
        <v>LOZA FIDEL</v>
      </c>
    </row>
    <row r="53" spans="1:7" x14ac:dyDescent="0.25">
      <c r="A53" s="8">
        <v>42942.297754629632</v>
      </c>
      <c r="B53" s="20" t="s">
        <v>390</v>
      </c>
      <c r="C53" s="20" t="s">
        <v>695</v>
      </c>
      <c r="D53" s="138">
        <v>2560000</v>
      </c>
      <c r="E53" s="20" t="s">
        <v>490</v>
      </c>
      <c r="F53" s="20" t="s">
        <v>356</v>
      </c>
      <c r="G53" s="8" t="str">
        <f t="shared" si="0"/>
        <v>MACDONALD THOMAS</v>
      </c>
    </row>
    <row r="54" spans="1:7" x14ac:dyDescent="0.25">
      <c r="A54" s="8">
        <v>42942.301481481481</v>
      </c>
      <c r="B54" s="20" t="s">
        <v>378</v>
      </c>
      <c r="C54" s="20" t="s">
        <v>696</v>
      </c>
      <c r="D54" s="138">
        <v>2010000</v>
      </c>
      <c r="E54" s="20" t="s">
        <v>504</v>
      </c>
      <c r="F54" s="20" t="s">
        <v>505</v>
      </c>
      <c r="G54" s="8" t="str">
        <f t="shared" si="0"/>
        <v>MAELZER KURT</v>
      </c>
    </row>
    <row r="55" spans="1:7" x14ac:dyDescent="0.25">
      <c r="A55" s="8">
        <v>42942.303668981483</v>
      </c>
      <c r="B55" s="20" t="s">
        <v>363</v>
      </c>
      <c r="C55" s="20" t="s">
        <v>620</v>
      </c>
      <c r="D55" s="138">
        <v>3310000</v>
      </c>
      <c r="E55" s="20" t="s">
        <v>513</v>
      </c>
      <c r="F55" s="20" t="s">
        <v>514</v>
      </c>
      <c r="G55" s="8" t="str">
        <f t="shared" si="0"/>
        <v>ANDERS STEVEN</v>
      </c>
    </row>
    <row r="56" spans="1:7" x14ac:dyDescent="0.25">
      <c r="A56" s="8">
        <v>42942.304212962961</v>
      </c>
      <c r="B56" s="20" t="s">
        <v>363</v>
      </c>
      <c r="C56" s="20" t="s">
        <v>697</v>
      </c>
      <c r="D56" s="138">
        <v>3310000</v>
      </c>
      <c r="E56" s="20" t="s">
        <v>513</v>
      </c>
      <c r="F56" s="20" t="s">
        <v>514</v>
      </c>
      <c r="G56" s="8" t="str">
        <f t="shared" si="0"/>
        <v>ANDERS STEVEN</v>
      </c>
    </row>
    <row r="57" spans="1:7" x14ac:dyDescent="0.25">
      <c r="A57" s="8">
        <v>42942.308634259258</v>
      </c>
      <c r="B57" s="20" t="s">
        <v>622</v>
      </c>
      <c r="C57" s="20" t="s">
        <v>623</v>
      </c>
      <c r="D57" s="138">
        <v>1990000</v>
      </c>
      <c r="E57" s="20" t="s">
        <v>379</v>
      </c>
      <c r="F57" s="20" t="s">
        <v>668</v>
      </c>
      <c r="G57" s="8" t="str">
        <f t="shared" si="0"/>
        <v>DAVIS WENDY</v>
      </c>
    </row>
    <row r="58" spans="1:7" x14ac:dyDescent="0.25">
      <c r="A58" s="8">
        <v>42942.309895833336</v>
      </c>
      <c r="B58" s="20" t="s">
        <v>468</v>
      </c>
      <c r="C58" s="20" t="s">
        <v>698</v>
      </c>
      <c r="D58" s="138">
        <v>2730000</v>
      </c>
      <c r="E58" s="20" t="s">
        <v>542</v>
      </c>
      <c r="F58" s="20" t="s">
        <v>543</v>
      </c>
      <c r="G58" s="8" t="str">
        <f t="shared" si="0"/>
        <v>YANG JAN</v>
      </c>
    </row>
    <row r="59" spans="1:7" x14ac:dyDescent="0.25">
      <c r="A59" s="8">
        <v>42942.310659722221</v>
      </c>
      <c r="B59" s="20" t="s">
        <v>389</v>
      </c>
      <c r="C59" s="20" t="s">
        <v>699</v>
      </c>
      <c r="D59" s="138">
        <v>2560000</v>
      </c>
      <c r="E59" s="20" t="s">
        <v>490</v>
      </c>
      <c r="F59" s="20" t="s">
        <v>356</v>
      </c>
      <c r="G59" s="8" t="str">
        <f t="shared" si="0"/>
        <v>MACDONALD THOMAS</v>
      </c>
    </row>
    <row r="60" spans="1:7" x14ac:dyDescent="0.25">
      <c r="A60" s="8">
        <v>42942.31753472222</v>
      </c>
      <c r="B60" s="20" t="s">
        <v>357</v>
      </c>
      <c r="C60" s="20" t="s">
        <v>700</v>
      </c>
      <c r="D60" s="138">
        <v>3310000</v>
      </c>
      <c r="E60" s="20" t="s">
        <v>513</v>
      </c>
      <c r="F60" s="20" t="s">
        <v>514</v>
      </c>
      <c r="G60" s="8" t="str">
        <f t="shared" si="0"/>
        <v>ANDERS STEVEN</v>
      </c>
    </row>
    <row r="61" spans="1:7" x14ac:dyDescent="0.25">
      <c r="A61" s="8">
        <v>42942.317557870374</v>
      </c>
      <c r="B61" s="20" t="s">
        <v>483</v>
      </c>
      <c r="C61" s="20" t="s">
        <v>701</v>
      </c>
      <c r="D61" s="138">
        <v>940000</v>
      </c>
      <c r="E61" s="20" t="s">
        <v>659</v>
      </c>
      <c r="F61" s="20" t="s">
        <v>660</v>
      </c>
      <c r="G61" s="8" t="str">
        <f t="shared" si="0"/>
        <v>BONDS REYNALDO</v>
      </c>
    </row>
    <row r="62" spans="1:7" x14ac:dyDescent="0.25">
      <c r="A62" s="8">
        <v>42942.321157407408</v>
      </c>
      <c r="B62" s="20" t="s">
        <v>644</v>
      </c>
      <c r="C62" s="20" t="s">
        <v>702</v>
      </c>
      <c r="D62" s="138">
        <v>1110000</v>
      </c>
      <c r="E62" s="20" t="s">
        <v>413</v>
      </c>
      <c r="F62" s="20" t="s">
        <v>414</v>
      </c>
      <c r="G62" s="8" t="str">
        <f t="shared" si="0"/>
        <v>STARKS ANGELINA</v>
      </c>
    </row>
    <row r="63" spans="1:7" x14ac:dyDescent="0.25">
      <c r="A63" s="8">
        <v>42942.326516203706</v>
      </c>
      <c r="B63" s="20" t="s">
        <v>671</v>
      </c>
      <c r="C63" s="20" t="s">
        <v>703</v>
      </c>
      <c r="D63" s="138">
        <v>890000</v>
      </c>
      <c r="E63" s="20" t="s">
        <v>515</v>
      </c>
      <c r="F63" s="20" t="s">
        <v>516</v>
      </c>
      <c r="G63" s="8" t="str">
        <f t="shared" si="0"/>
        <v>LOZA FIDEL</v>
      </c>
    </row>
    <row r="64" spans="1:7" x14ac:dyDescent="0.25">
      <c r="A64" s="26">
        <v>42942.332916666666</v>
      </c>
      <c r="B64" s="20" t="s">
        <v>459</v>
      </c>
      <c r="C64" s="20" t="s">
        <v>704</v>
      </c>
      <c r="D64" s="138">
        <v>3320000</v>
      </c>
      <c r="E64" s="20" t="s">
        <v>509</v>
      </c>
      <c r="F64" s="20" t="s">
        <v>510</v>
      </c>
      <c r="G64" s="8" t="str">
        <f t="shared" si="0"/>
        <v>NICHOLSON WESLEY</v>
      </c>
    </row>
    <row r="65" spans="1:7" x14ac:dyDescent="0.25">
      <c r="A65" s="8">
        <v>42942.333692129629</v>
      </c>
      <c r="B65" s="20" t="s">
        <v>409</v>
      </c>
      <c r="C65" s="20" t="s">
        <v>705</v>
      </c>
      <c r="D65" s="138">
        <v>2010000</v>
      </c>
      <c r="E65" s="20" t="s">
        <v>504</v>
      </c>
      <c r="F65" s="20" t="s">
        <v>505</v>
      </c>
      <c r="G65" s="8" t="str">
        <f t="shared" si="0"/>
        <v>MAELZER KURT</v>
      </c>
    </row>
    <row r="66" spans="1:7" x14ac:dyDescent="0.25">
      <c r="A66" s="8">
        <v>42942.337743055556</v>
      </c>
      <c r="B66" s="20" t="s">
        <v>388</v>
      </c>
      <c r="C66" s="20" t="s">
        <v>706</v>
      </c>
      <c r="D66" s="138">
        <v>1090000</v>
      </c>
      <c r="E66" s="20" t="s">
        <v>541</v>
      </c>
      <c r="F66" s="20" t="s">
        <v>192</v>
      </c>
      <c r="G66" s="8" t="str">
        <f t="shared" si="0"/>
        <v>SPECTOR MICHAEL</v>
      </c>
    </row>
    <row r="67" spans="1:7" x14ac:dyDescent="0.25">
      <c r="A67" s="8">
        <v>42942.33797453704</v>
      </c>
      <c r="B67" s="20" t="s">
        <v>390</v>
      </c>
      <c r="C67" s="20" t="s">
        <v>624</v>
      </c>
      <c r="D67" s="138">
        <v>2560000</v>
      </c>
      <c r="E67" s="20" t="s">
        <v>490</v>
      </c>
      <c r="F67" s="20" t="s">
        <v>356</v>
      </c>
      <c r="G67" s="8" t="str">
        <f t="shared" ref="G67:G130" si="1">E67&amp;" "&amp;F67</f>
        <v>MACDONALD THOMAS</v>
      </c>
    </row>
    <row r="68" spans="1:7" x14ac:dyDescent="0.25">
      <c r="A68" s="8">
        <v>42942.340370370373</v>
      </c>
      <c r="B68" s="20" t="s">
        <v>625</v>
      </c>
      <c r="C68" s="20" t="s">
        <v>626</v>
      </c>
      <c r="D68" s="138">
        <v>1990000</v>
      </c>
      <c r="E68" s="20" t="s">
        <v>379</v>
      </c>
      <c r="F68" s="20" t="s">
        <v>668</v>
      </c>
      <c r="G68" s="8" t="str">
        <f t="shared" si="1"/>
        <v>DAVIS WENDY</v>
      </c>
    </row>
    <row r="69" spans="1:7" x14ac:dyDescent="0.25">
      <c r="A69" s="8">
        <v>42942.340763888889</v>
      </c>
      <c r="B69" s="20" t="s">
        <v>387</v>
      </c>
      <c r="C69" s="20" t="s">
        <v>706</v>
      </c>
      <c r="D69" s="138">
        <v>1090000</v>
      </c>
      <c r="E69" s="20" t="s">
        <v>541</v>
      </c>
      <c r="F69" s="20" t="s">
        <v>192</v>
      </c>
      <c r="G69" s="8" t="str">
        <f t="shared" si="1"/>
        <v>SPECTOR MICHAEL</v>
      </c>
    </row>
    <row r="70" spans="1:7" x14ac:dyDescent="0.25">
      <c r="A70" s="8">
        <v>42942.346805555557</v>
      </c>
      <c r="B70" s="20" t="s">
        <v>363</v>
      </c>
      <c r="C70" s="20" t="s">
        <v>707</v>
      </c>
      <c r="D70" s="138">
        <v>3310000</v>
      </c>
      <c r="E70" s="20" t="s">
        <v>513</v>
      </c>
      <c r="F70" s="20" t="s">
        <v>514</v>
      </c>
      <c r="G70" s="8" t="str">
        <f t="shared" si="1"/>
        <v>ANDERS STEVEN</v>
      </c>
    </row>
    <row r="71" spans="1:7" x14ac:dyDescent="0.25">
      <c r="A71" s="8">
        <v>42942.347766203704</v>
      </c>
      <c r="B71" s="20" t="s">
        <v>469</v>
      </c>
      <c r="C71" s="20" t="s">
        <v>708</v>
      </c>
      <c r="D71" s="138">
        <v>2730000</v>
      </c>
      <c r="E71" s="20" t="s">
        <v>542</v>
      </c>
      <c r="F71" s="20" t="s">
        <v>543</v>
      </c>
      <c r="G71" s="8" t="str">
        <f t="shared" si="1"/>
        <v>YANG JAN</v>
      </c>
    </row>
    <row r="72" spans="1:7" x14ac:dyDescent="0.25">
      <c r="A72" s="8">
        <v>42942.352199074077</v>
      </c>
      <c r="B72" s="20" t="s">
        <v>388</v>
      </c>
      <c r="C72" s="20" t="s">
        <v>709</v>
      </c>
      <c r="D72" s="138">
        <v>940000</v>
      </c>
      <c r="E72" s="20" t="s">
        <v>659</v>
      </c>
      <c r="F72" s="20" t="s">
        <v>660</v>
      </c>
      <c r="G72" s="8" t="str">
        <f t="shared" si="1"/>
        <v>BONDS REYNALDO</v>
      </c>
    </row>
    <row r="73" spans="1:7" x14ac:dyDescent="0.25">
      <c r="A73" s="8">
        <v>42942.35292824074</v>
      </c>
      <c r="B73" s="20" t="s">
        <v>389</v>
      </c>
      <c r="C73" s="20" t="s">
        <v>710</v>
      </c>
      <c r="D73" s="138">
        <v>2560000</v>
      </c>
      <c r="E73" s="20" t="s">
        <v>490</v>
      </c>
      <c r="F73" s="20" t="s">
        <v>356</v>
      </c>
      <c r="G73" s="8" t="str">
        <f t="shared" si="1"/>
        <v>MACDONALD THOMAS</v>
      </c>
    </row>
    <row r="74" spans="1:7" x14ac:dyDescent="0.25">
      <c r="A74" s="8">
        <v>42942.360532407409</v>
      </c>
      <c r="B74" s="20" t="s">
        <v>357</v>
      </c>
      <c r="C74" s="20" t="s">
        <v>711</v>
      </c>
      <c r="D74" s="138">
        <v>3310000</v>
      </c>
      <c r="E74" s="20" t="s">
        <v>513</v>
      </c>
      <c r="F74" s="20" t="s">
        <v>514</v>
      </c>
      <c r="G74" s="8" t="str">
        <f t="shared" si="1"/>
        <v>ANDERS STEVEN</v>
      </c>
    </row>
    <row r="75" spans="1:7" x14ac:dyDescent="0.25">
      <c r="A75" s="8">
        <v>42942.362523148149</v>
      </c>
      <c r="B75" s="20" t="s">
        <v>489</v>
      </c>
      <c r="C75" s="20" t="s">
        <v>712</v>
      </c>
      <c r="D75" s="138">
        <v>3320000</v>
      </c>
      <c r="E75" s="20" t="s">
        <v>509</v>
      </c>
      <c r="F75" s="20" t="s">
        <v>510</v>
      </c>
      <c r="G75" s="8" t="str">
        <f t="shared" si="1"/>
        <v>NICHOLSON WESLEY</v>
      </c>
    </row>
    <row r="76" spans="1:7" x14ac:dyDescent="0.25">
      <c r="A76" s="8">
        <v>42942.362638888888</v>
      </c>
      <c r="B76" s="20" t="s">
        <v>675</v>
      </c>
      <c r="C76" s="20" t="s">
        <v>713</v>
      </c>
      <c r="D76" s="138">
        <v>3300000</v>
      </c>
      <c r="E76" s="20" t="s">
        <v>511</v>
      </c>
      <c r="F76" s="20" t="s">
        <v>512</v>
      </c>
      <c r="G76" s="8" t="str">
        <f t="shared" si="1"/>
        <v>LANGERAK WILLIAM</v>
      </c>
    </row>
    <row r="77" spans="1:7" x14ac:dyDescent="0.25">
      <c r="A77" s="8">
        <v>42942.370104166665</v>
      </c>
      <c r="B77" s="20" t="s">
        <v>616</v>
      </c>
      <c r="C77" s="20" t="s">
        <v>627</v>
      </c>
      <c r="D77" s="138">
        <v>1110000</v>
      </c>
      <c r="E77" s="20" t="s">
        <v>413</v>
      </c>
      <c r="F77" s="20" t="s">
        <v>414</v>
      </c>
      <c r="G77" s="8" t="str">
        <f t="shared" si="1"/>
        <v>STARKS ANGELINA</v>
      </c>
    </row>
    <row r="78" spans="1:7" x14ac:dyDescent="0.25">
      <c r="A78" s="8">
        <v>42942.370775462965</v>
      </c>
      <c r="B78" s="20" t="s">
        <v>378</v>
      </c>
      <c r="C78" s="20" t="s">
        <v>714</v>
      </c>
      <c r="D78" s="138">
        <v>2010000</v>
      </c>
      <c r="E78" s="20" t="s">
        <v>504</v>
      </c>
      <c r="F78" s="20" t="s">
        <v>505</v>
      </c>
      <c r="G78" s="8" t="str">
        <f t="shared" si="1"/>
        <v>MAELZER KURT</v>
      </c>
    </row>
    <row r="79" spans="1:7" x14ac:dyDescent="0.25">
      <c r="A79" s="8">
        <v>42942.375486111108</v>
      </c>
      <c r="B79" s="20" t="s">
        <v>634</v>
      </c>
      <c r="C79" s="20" t="s">
        <v>641</v>
      </c>
      <c r="D79" s="138">
        <v>1360000</v>
      </c>
      <c r="E79" s="20" t="s">
        <v>715</v>
      </c>
      <c r="F79" s="20" t="s">
        <v>716</v>
      </c>
      <c r="G79" s="8" t="str">
        <f t="shared" si="1"/>
        <v>SANTIZO D. EDY</v>
      </c>
    </row>
    <row r="80" spans="1:7" x14ac:dyDescent="0.25">
      <c r="A80" s="8">
        <v>42942.381215277775</v>
      </c>
      <c r="B80" s="20" t="s">
        <v>622</v>
      </c>
      <c r="C80" s="20" t="s">
        <v>717</v>
      </c>
      <c r="D80" s="138">
        <v>1990000</v>
      </c>
      <c r="E80" s="20" t="s">
        <v>379</v>
      </c>
      <c r="F80" s="20" t="s">
        <v>668</v>
      </c>
      <c r="G80" s="8" t="str">
        <f t="shared" si="1"/>
        <v>DAVIS WENDY</v>
      </c>
    </row>
    <row r="81" spans="1:7" x14ac:dyDescent="0.25">
      <c r="A81" s="8">
        <v>42942.382372685184</v>
      </c>
      <c r="B81" s="20" t="s">
        <v>468</v>
      </c>
      <c r="C81" s="20" t="s">
        <v>718</v>
      </c>
      <c r="D81" s="138">
        <v>2730000</v>
      </c>
      <c r="E81" s="20" t="s">
        <v>542</v>
      </c>
      <c r="F81" s="20" t="s">
        <v>543</v>
      </c>
      <c r="G81" s="8" t="str">
        <f t="shared" si="1"/>
        <v>YANG JAN</v>
      </c>
    </row>
    <row r="82" spans="1:7" x14ac:dyDescent="0.25">
      <c r="A82" s="8">
        <v>42942.387962962966</v>
      </c>
      <c r="B82" s="20" t="s">
        <v>363</v>
      </c>
      <c r="C82" s="20" t="s">
        <v>719</v>
      </c>
      <c r="D82" s="138">
        <v>3310000</v>
      </c>
      <c r="E82" s="20" t="s">
        <v>513</v>
      </c>
      <c r="F82" s="20" t="s">
        <v>514</v>
      </c>
      <c r="G82" s="8" t="str">
        <f t="shared" si="1"/>
        <v>ANDERS STEVEN</v>
      </c>
    </row>
    <row r="83" spans="1:7" x14ac:dyDescent="0.25">
      <c r="A83" s="8">
        <v>42942.390856481485</v>
      </c>
      <c r="B83" s="20" t="s">
        <v>387</v>
      </c>
      <c r="C83" s="20" t="s">
        <v>720</v>
      </c>
      <c r="D83" s="138">
        <v>940000</v>
      </c>
      <c r="E83" s="20" t="s">
        <v>659</v>
      </c>
      <c r="F83" s="20" t="s">
        <v>660</v>
      </c>
      <c r="G83" s="8" t="str">
        <f t="shared" si="1"/>
        <v>BONDS REYNALDO</v>
      </c>
    </row>
    <row r="84" spans="1:7" x14ac:dyDescent="0.25">
      <c r="A84" s="8">
        <v>42942.393657407411</v>
      </c>
      <c r="B84" s="20" t="s">
        <v>644</v>
      </c>
      <c r="C84" s="20" t="s">
        <v>721</v>
      </c>
      <c r="D84" s="138">
        <v>1110000</v>
      </c>
      <c r="E84" s="20" t="s">
        <v>413</v>
      </c>
      <c r="F84" s="20" t="s">
        <v>414</v>
      </c>
      <c r="G84" s="8" t="str">
        <f t="shared" si="1"/>
        <v>STARKS ANGELINA</v>
      </c>
    </row>
    <row r="85" spans="1:7" x14ac:dyDescent="0.25">
      <c r="A85" s="8">
        <v>42942.397256944445</v>
      </c>
      <c r="B85" s="20" t="s">
        <v>630</v>
      </c>
      <c r="C85" s="20" t="s">
        <v>631</v>
      </c>
      <c r="D85" s="138">
        <v>1360000</v>
      </c>
      <c r="E85" s="20" t="s">
        <v>715</v>
      </c>
      <c r="F85" s="20" t="s">
        <v>716</v>
      </c>
      <c r="G85" s="8" t="str">
        <f t="shared" si="1"/>
        <v>SANTIZO D. EDY</v>
      </c>
    </row>
    <row r="86" spans="1:7" x14ac:dyDescent="0.25">
      <c r="A86" s="8">
        <v>42942.400578703702</v>
      </c>
      <c r="B86" s="20" t="s">
        <v>357</v>
      </c>
      <c r="C86" s="20" t="s">
        <v>722</v>
      </c>
      <c r="D86" s="138">
        <v>3310000</v>
      </c>
      <c r="E86" s="20" t="s">
        <v>513</v>
      </c>
      <c r="F86" s="20" t="s">
        <v>514</v>
      </c>
      <c r="G86" s="8" t="str">
        <f t="shared" si="1"/>
        <v>ANDERS STEVEN</v>
      </c>
    </row>
    <row r="87" spans="1:7" x14ac:dyDescent="0.25">
      <c r="A87" s="8">
        <v>42942.401365740741</v>
      </c>
      <c r="B87" s="20" t="s">
        <v>671</v>
      </c>
      <c r="C87" s="20" t="s">
        <v>723</v>
      </c>
      <c r="D87" s="138">
        <v>3300000</v>
      </c>
      <c r="E87" s="20" t="s">
        <v>511</v>
      </c>
      <c r="F87" s="20" t="s">
        <v>512</v>
      </c>
      <c r="G87" s="8" t="str">
        <f t="shared" si="1"/>
        <v>LANGERAK WILLIAM</v>
      </c>
    </row>
    <row r="88" spans="1:7" x14ac:dyDescent="0.25">
      <c r="A88" s="8">
        <v>42942.402858796297</v>
      </c>
      <c r="B88" s="20" t="s">
        <v>459</v>
      </c>
      <c r="C88" s="20" t="s">
        <v>724</v>
      </c>
      <c r="D88" s="138">
        <v>3320000</v>
      </c>
      <c r="E88" s="20" t="s">
        <v>509</v>
      </c>
      <c r="F88" s="20" t="s">
        <v>510</v>
      </c>
      <c r="G88" s="8" t="str">
        <f t="shared" si="1"/>
        <v>NICHOLSON WESLEY</v>
      </c>
    </row>
    <row r="89" spans="1:7" x14ac:dyDescent="0.25">
      <c r="A89" s="8">
        <v>42942.407233796293</v>
      </c>
      <c r="B89" s="20" t="s">
        <v>630</v>
      </c>
      <c r="C89" s="20" t="s">
        <v>631</v>
      </c>
      <c r="D89" s="138">
        <v>1360000</v>
      </c>
      <c r="E89" s="20" t="s">
        <v>715</v>
      </c>
      <c r="F89" s="20" t="s">
        <v>716</v>
      </c>
      <c r="G89" s="8" t="str">
        <f t="shared" si="1"/>
        <v>SANTIZO D. EDY</v>
      </c>
    </row>
    <row r="90" spans="1:7" x14ac:dyDescent="0.25">
      <c r="A90" s="8">
        <v>42942.412418981483</v>
      </c>
      <c r="B90" s="20" t="s">
        <v>409</v>
      </c>
      <c r="C90" s="20" t="s">
        <v>632</v>
      </c>
      <c r="D90" s="138">
        <v>2010000</v>
      </c>
      <c r="E90" s="20" t="s">
        <v>504</v>
      </c>
      <c r="F90" s="20" t="s">
        <v>505</v>
      </c>
      <c r="G90" s="8" t="str">
        <f t="shared" si="1"/>
        <v>MAELZER KURT</v>
      </c>
    </row>
    <row r="91" spans="1:7" x14ac:dyDescent="0.25">
      <c r="A91" s="8">
        <v>42942.413229166668</v>
      </c>
      <c r="B91" s="20" t="s">
        <v>625</v>
      </c>
      <c r="C91" s="20" t="s">
        <v>725</v>
      </c>
      <c r="D91" s="138">
        <v>1990000</v>
      </c>
      <c r="E91" s="20" t="s">
        <v>379</v>
      </c>
      <c r="F91" s="20" t="s">
        <v>668</v>
      </c>
      <c r="G91" s="8" t="str">
        <f t="shared" si="1"/>
        <v>DAVIS WENDY</v>
      </c>
    </row>
    <row r="92" spans="1:7" x14ac:dyDescent="0.25">
      <c r="A92" s="8">
        <v>42942.418946759259</v>
      </c>
      <c r="B92" s="20" t="s">
        <v>482</v>
      </c>
      <c r="C92" s="20" t="s">
        <v>726</v>
      </c>
      <c r="D92" s="138">
        <v>1340000</v>
      </c>
      <c r="E92" s="20" t="s">
        <v>727</v>
      </c>
      <c r="F92" s="20" t="s">
        <v>728</v>
      </c>
      <c r="G92" s="8" t="str">
        <f t="shared" si="1"/>
        <v>BEAM ROSS</v>
      </c>
    </row>
    <row r="93" spans="1:7" x14ac:dyDescent="0.25">
      <c r="A93" s="8">
        <v>42942.420752314814</v>
      </c>
      <c r="B93" s="20" t="s">
        <v>469</v>
      </c>
      <c r="C93" s="20" t="s">
        <v>729</v>
      </c>
      <c r="D93" s="138">
        <v>2730000</v>
      </c>
      <c r="E93" s="20" t="s">
        <v>542</v>
      </c>
      <c r="F93" s="20" t="s">
        <v>543</v>
      </c>
      <c r="G93" s="8" t="str">
        <f t="shared" si="1"/>
        <v>YANG JAN</v>
      </c>
    </row>
    <row r="94" spans="1:7" x14ac:dyDescent="0.25">
      <c r="A94" s="8">
        <v>42942.422511574077</v>
      </c>
      <c r="B94" s="20" t="s">
        <v>483</v>
      </c>
      <c r="C94" s="20" t="s">
        <v>726</v>
      </c>
      <c r="D94" s="138">
        <v>1340000</v>
      </c>
      <c r="E94" s="20" t="s">
        <v>727</v>
      </c>
      <c r="F94" s="20" t="s">
        <v>728</v>
      </c>
      <c r="G94" s="8" t="str">
        <f t="shared" si="1"/>
        <v>BEAM ROSS</v>
      </c>
    </row>
    <row r="95" spans="1:7" x14ac:dyDescent="0.25">
      <c r="A95" s="8">
        <v>42942.423576388886</v>
      </c>
      <c r="B95" s="20" t="s">
        <v>388</v>
      </c>
      <c r="C95" s="20" t="s">
        <v>636</v>
      </c>
      <c r="D95" s="138">
        <v>0</v>
      </c>
      <c r="E95" s="20" t="s">
        <v>730</v>
      </c>
      <c r="F95" s="20" t="s">
        <v>384</v>
      </c>
      <c r="G95" s="8" t="str">
        <f t="shared" si="1"/>
        <v>HAUSER FRANK</v>
      </c>
    </row>
    <row r="96" spans="1:7" x14ac:dyDescent="0.25">
      <c r="A96" s="8">
        <v>42942.424583333333</v>
      </c>
      <c r="B96" s="20" t="s">
        <v>634</v>
      </c>
      <c r="C96" s="20" t="s">
        <v>635</v>
      </c>
      <c r="D96" s="138">
        <v>1780000</v>
      </c>
      <c r="E96" s="20" t="s">
        <v>547</v>
      </c>
      <c r="F96" s="20" t="s">
        <v>548</v>
      </c>
      <c r="G96" s="8" t="str">
        <f t="shared" si="1"/>
        <v>DE LA ROSA ALEX</v>
      </c>
    </row>
    <row r="97" spans="1:7" x14ac:dyDescent="0.25">
      <c r="A97" s="8">
        <v>42942.429270833331</v>
      </c>
      <c r="B97" s="20" t="s">
        <v>616</v>
      </c>
      <c r="C97" s="20" t="s">
        <v>721</v>
      </c>
      <c r="D97" s="138">
        <v>1110000</v>
      </c>
      <c r="E97" s="20" t="s">
        <v>413</v>
      </c>
      <c r="F97" s="20" t="s">
        <v>414</v>
      </c>
      <c r="G97" s="8" t="str">
        <f t="shared" si="1"/>
        <v>STARKS ANGELINA</v>
      </c>
    </row>
    <row r="98" spans="1:7" x14ac:dyDescent="0.25">
      <c r="A98" s="8">
        <v>42942.429872685185</v>
      </c>
      <c r="B98" s="20" t="s">
        <v>616</v>
      </c>
      <c r="C98" s="20" t="s">
        <v>633</v>
      </c>
      <c r="D98" s="138">
        <v>1110000</v>
      </c>
      <c r="E98" s="20" t="s">
        <v>413</v>
      </c>
      <c r="F98" s="20" t="s">
        <v>414</v>
      </c>
      <c r="G98" s="8" t="str">
        <f t="shared" si="1"/>
        <v>STARKS ANGELINA</v>
      </c>
    </row>
    <row r="99" spans="1:7" x14ac:dyDescent="0.25">
      <c r="A99" s="8">
        <v>42942.429918981485</v>
      </c>
      <c r="B99" s="20" t="s">
        <v>363</v>
      </c>
      <c r="C99" s="20" t="s">
        <v>731</v>
      </c>
      <c r="D99" s="138">
        <v>3310000</v>
      </c>
      <c r="E99" s="20" t="s">
        <v>513</v>
      </c>
      <c r="F99" s="20" t="s">
        <v>514</v>
      </c>
      <c r="G99" s="8" t="str">
        <f t="shared" si="1"/>
        <v>ANDERS STEVEN</v>
      </c>
    </row>
    <row r="100" spans="1:7" x14ac:dyDescent="0.25">
      <c r="A100" s="8">
        <v>42942.43378472222</v>
      </c>
      <c r="B100" s="20" t="s">
        <v>482</v>
      </c>
      <c r="C100" s="20" t="s">
        <v>732</v>
      </c>
      <c r="D100" s="138">
        <v>1340000</v>
      </c>
      <c r="E100" s="20" t="s">
        <v>727</v>
      </c>
      <c r="F100" s="20" t="s">
        <v>728</v>
      </c>
      <c r="G100" s="8" t="str">
        <f t="shared" si="1"/>
        <v>BEAM ROSS</v>
      </c>
    </row>
    <row r="101" spans="1:7" x14ac:dyDescent="0.25">
      <c r="A101" s="8">
        <v>42942.438969907409</v>
      </c>
      <c r="B101" s="20" t="s">
        <v>489</v>
      </c>
      <c r="C101" s="20" t="s">
        <v>733</v>
      </c>
      <c r="D101" s="138">
        <v>3320000</v>
      </c>
      <c r="E101" s="20" t="s">
        <v>509</v>
      </c>
      <c r="F101" s="20" t="s">
        <v>510</v>
      </c>
      <c r="G101" s="8" t="str">
        <f t="shared" si="1"/>
        <v>NICHOLSON WESLEY</v>
      </c>
    </row>
    <row r="102" spans="1:7" x14ac:dyDescent="0.25">
      <c r="A102" s="8">
        <v>42942.443252314813</v>
      </c>
      <c r="B102" s="20" t="s">
        <v>357</v>
      </c>
      <c r="C102" s="20" t="s">
        <v>637</v>
      </c>
      <c r="D102" s="138">
        <v>3310000</v>
      </c>
      <c r="E102" s="20" t="s">
        <v>513</v>
      </c>
      <c r="F102" s="20" t="s">
        <v>514</v>
      </c>
      <c r="G102" s="8" t="str">
        <f t="shared" si="1"/>
        <v>ANDERS STEVEN</v>
      </c>
    </row>
    <row r="103" spans="1:7" x14ac:dyDescent="0.25">
      <c r="A103" s="8">
        <v>42942.446192129632</v>
      </c>
      <c r="B103" s="20" t="s">
        <v>417</v>
      </c>
      <c r="C103" s="20" t="s">
        <v>638</v>
      </c>
      <c r="D103" s="138">
        <v>2470000</v>
      </c>
      <c r="E103" s="20" t="s">
        <v>460</v>
      </c>
      <c r="F103" s="20" t="s">
        <v>461</v>
      </c>
      <c r="G103" s="8" t="str">
        <f t="shared" si="1"/>
        <v>ROMERO CHAD</v>
      </c>
    </row>
    <row r="104" spans="1:7" x14ac:dyDescent="0.25">
      <c r="A104" s="8">
        <v>42942.448136574072</v>
      </c>
      <c r="B104" s="20" t="s">
        <v>630</v>
      </c>
      <c r="C104" s="20" t="s">
        <v>734</v>
      </c>
      <c r="D104" s="138">
        <v>1780000</v>
      </c>
      <c r="E104" s="20" t="s">
        <v>547</v>
      </c>
      <c r="F104" s="20" t="s">
        <v>548</v>
      </c>
      <c r="G104" s="8" t="str">
        <f t="shared" si="1"/>
        <v>DE LA ROSA ALEX</v>
      </c>
    </row>
    <row r="105" spans="1:7" x14ac:dyDescent="0.25">
      <c r="A105" s="8">
        <v>42942.449895833335</v>
      </c>
      <c r="B105" s="20" t="s">
        <v>378</v>
      </c>
      <c r="C105" s="20" t="s">
        <v>735</v>
      </c>
      <c r="D105" s="138">
        <v>920000</v>
      </c>
      <c r="E105" s="20" t="s">
        <v>379</v>
      </c>
      <c r="F105" s="20" t="s">
        <v>192</v>
      </c>
      <c r="G105" s="8" t="str">
        <f t="shared" si="1"/>
        <v>DAVIS MICHAEL</v>
      </c>
    </row>
    <row r="106" spans="1:7" x14ac:dyDescent="0.25">
      <c r="A106" s="8">
        <v>42942.453148148146</v>
      </c>
      <c r="B106" s="20" t="s">
        <v>622</v>
      </c>
      <c r="C106" s="20" t="s">
        <v>736</v>
      </c>
      <c r="D106" s="138">
        <v>1990000</v>
      </c>
      <c r="E106" s="20" t="s">
        <v>379</v>
      </c>
      <c r="F106" s="20" t="s">
        <v>668</v>
      </c>
      <c r="G106" s="8" t="str">
        <f t="shared" si="1"/>
        <v>DAVIS WENDY</v>
      </c>
    </row>
    <row r="107" spans="1:7" x14ac:dyDescent="0.25">
      <c r="A107" s="8">
        <v>42942.45753472222</v>
      </c>
      <c r="B107" s="20" t="s">
        <v>468</v>
      </c>
      <c r="C107" s="20" t="s">
        <v>737</v>
      </c>
      <c r="D107" s="138">
        <v>2730000</v>
      </c>
      <c r="E107" s="20" t="s">
        <v>542</v>
      </c>
      <c r="F107" s="20" t="s">
        <v>543</v>
      </c>
      <c r="G107" s="8" t="str">
        <f t="shared" si="1"/>
        <v>YANG JAN</v>
      </c>
    </row>
    <row r="108" spans="1:7" x14ac:dyDescent="0.25">
      <c r="A108" s="8">
        <v>42942.458113425928</v>
      </c>
      <c r="B108" s="20" t="s">
        <v>387</v>
      </c>
      <c r="C108" s="20" t="s">
        <v>738</v>
      </c>
      <c r="D108" s="138">
        <v>2560000</v>
      </c>
      <c r="E108" s="20" t="s">
        <v>490</v>
      </c>
      <c r="F108" s="20" t="s">
        <v>356</v>
      </c>
      <c r="G108" s="8" t="str">
        <f t="shared" si="1"/>
        <v>MACDONALD THOMAS</v>
      </c>
    </row>
    <row r="109" spans="1:7" x14ac:dyDescent="0.25">
      <c r="A109" s="8">
        <v>42942.467465277776</v>
      </c>
      <c r="B109" s="20" t="s">
        <v>644</v>
      </c>
      <c r="C109" s="20" t="s">
        <v>739</v>
      </c>
      <c r="D109" s="138">
        <v>880000</v>
      </c>
      <c r="E109" s="20" t="s">
        <v>544</v>
      </c>
      <c r="F109" s="20" t="s">
        <v>192</v>
      </c>
      <c r="G109" s="8" t="str">
        <f t="shared" si="1"/>
        <v>STEWART MICHAEL</v>
      </c>
    </row>
    <row r="110" spans="1:7" x14ac:dyDescent="0.25">
      <c r="A110" s="8">
        <v>42942.46875</v>
      </c>
      <c r="B110" s="20" t="s">
        <v>483</v>
      </c>
      <c r="C110" s="20" t="s">
        <v>740</v>
      </c>
      <c r="D110" s="138">
        <v>1340000</v>
      </c>
      <c r="E110" s="20" t="s">
        <v>727</v>
      </c>
      <c r="F110" s="20" t="s">
        <v>728</v>
      </c>
      <c r="G110" s="8" t="str">
        <f t="shared" si="1"/>
        <v>BEAM ROSS</v>
      </c>
    </row>
    <row r="111" spans="1:7" x14ac:dyDescent="0.25">
      <c r="A111" s="8">
        <v>42942.471134259256</v>
      </c>
      <c r="B111" s="20" t="s">
        <v>363</v>
      </c>
      <c r="C111" s="20" t="s">
        <v>639</v>
      </c>
      <c r="D111" s="138">
        <v>3310000</v>
      </c>
      <c r="E111" s="20" t="s">
        <v>513</v>
      </c>
      <c r="F111" s="20" t="s">
        <v>514</v>
      </c>
      <c r="G111" s="8" t="str">
        <f t="shared" si="1"/>
        <v>ANDERS STEVEN</v>
      </c>
    </row>
    <row r="112" spans="1:7" x14ac:dyDescent="0.25">
      <c r="A112" s="8">
        <v>42942.474606481483</v>
      </c>
      <c r="B112" s="20" t="s">
        <v>350</v>
      </c>
      <c r="C112" s="20" t="s">
        <v>741</v>
      </c>
      <c r="D112" s="138">
        <v>1110000</v>
      </c>
      <c r="E112" s="20" t="s">
        <v>413</v>
      </c>
      <c r="F112" s="20" t="s">
        <v>414</v>
      </c>
      <c r="G112" s="8" t="str">
        <f t="shared" si="1"/>
        <v>STARKS ANGELINA</v>
      </c>
    </row>
    <row r="113" spans="1:7" x14ac:dyDescent="0.25">
      <c r="A113" s="8">
        <v>42942.475798611114</v>
      </c>
      <c r="B113" s="20" t="s">
        <v>459</v>
      </c>
      <c r="C113" s="20" t="s">
        <v>640</v>
      </c>
      <c r="D113" s="138">
        <v>3340000</v>
      </c>
      <c r="E113" s="20" t="s">
        <v>507</v>
      </c>
      <c r="F113" s="20" t="s">
        <v>508</v>
      </c>
      <c r="G113" s="8" t="str">
        <f t="shared" si="1"/>
        <v>ELBAUM MIKE</v>
      </c>
    </row>
    <row r="114" spans="1:7" x14ac:dyDescent="0.25">
      <c r="A114" s="8">
        <v>42942.484756944446</v>
      </c>
      <c r="B114" s="20" t="s">
        <v>357</v>
      </c>
      <c r="C114" s="20" t="s">
        <v>742</v>
      </c>
      <c r="D114" s="138">
        <v>3310000</v>
      </c>
      <c r="E114" s="20" t="s">
        <v>513</v>
      </c>
      <c r="F114" s="20" t="s">
        <v>514</v>
      </c>
      <c r="G114" s="8" t="str">
        <f t="shared" si="1"/>
        <v>ANDERS STEVEN</v>
      </c>
    </row>
    <row r="115" spans="1:7" x14ac:dyDescent="0.25">
      <c r="A115" s="8">
        <v>42942.485358796293</v>
      </c>
      <c r="B115" s="20" t="s">
        <v>409</v>
      </c>
      <c r="C115" s="20" t="s">
        <v>743</v>
      </c>
      <c r="D115" s="138">
        <v>920000</v>
      </c>
      <c r="E115" s="20" t="s">
        <v>379</v>
      </c>
      <c r="F115" s="20" t="s">
        <v>192</v>
      </c>
      <c r="G115" s="8" t="str">
        <f t="shared" si="1"/>
        <v>DAVIS MICHAEL</v>
      </c>
    </row>
    <row r="116" spans="1:7" x14ac:dyDescent="0.25">
      <c r="A116" s="8">
        <v>42942.487592592595</v>
      </c>
      <c r="B116" s="20" t="s">
        <v>625</v>
      </c>
      <c r="C116" s="20" t="s">
        <v>744</v>
      </c>
      <c r="D116" s="138">
        <v>1770000</v>
      </c>
      <c r="E116" s="20" t="s">
        <v>491</v>
      </c>
      <c r="F116" s="20" t="s">
        <v>492</v>
      </c>
      <c r="G116" s="8" t="str">
        <f t="shared" si="1"/>
        <v>BRUDER RICHARD</v>
      </c>
    </row>
    <row r="117" spans="1:7" x14ac:dyDescent="0.25">
      <c r="A117" s="8">
        <v>42942.492291666669</v>
      </c>
      <c r="B117" s="20" t="s">
        <v>469</v>
      </c>
      <c r="C117" s="20" t="s">
        <v>745</v>
      </c>
      <c r="D117" s="138">
        <v>2730000</v>
      </c>
      <c r="E117" s="20" t="s">
        <v>542</v>
      </c>
      <c r="F117" s="20" t="s">
        <v>543</v>
      </c>
      <c r="G117" s="8" t="str">
        <f t="shared" si="1"/>
        <v>YANG JAN</v>
      </c>
    </row>
    <row r="118" spans="1:7" x14ac:dyDescent="0.25">
      <c r="A118" s="8">
        <v>42942.494988425926</v>
      </c>
      <c r="B118" s="20" t="s">
        <v>675</v>
      </c>
      <c r="C118" s="20" t="s">
        <v>746</v>
      </c>
      <c r="D118" s="138">
        <v>2040000</v>
      </c>
      <c r="E118" s="20" t="s">
        <v>415</v>
      </c>
      <c r="F118" s="20" t="s">
        <v>416</v>
      </c>
      <c r="G118" s="8" t="str">
        <f t="shared" si="1"/>
        <v>MOSES BRADLEY</v>
      </c>
    </row>
    <row r="119" spans="1:7" x14ac:dyDescent="0.25">
      <c r="A119" s="8">
        <v>42942.498159722221</v>
      </c>
      <c r="B119" s="20" t="s">
        <v>388</v>
      </c>
      <c r="C119" s="20" t="s">
        <v>747</v>
      </c>
      <c r="D119" s="138">
        <v>1300000</v>
      </c>
      <c r="E119" s="20" t="s">
        <v>519</v>
      </c>
      <c r="F119" s="20" t="s">
        <v>520</v>
      </c>
      <c r="G119" s="8" t="str">
        <f t="shared" si="1"/>
        <v>LEVIN SCOTT</v>
      </c>
    </row>
    <row r="120" spans="1:7" x14ac:dyDescent="0.25">
      <c r="A120" s="8">
        <v>42942.499155092592</v>
      </c>
      <c r="B120" s="20" t="s">
        <v>634</v>
      </c>
      <c r="C120" s="20" t="s">
        <v>641</v>
      </c>
      <c r="D120" s="138">
        <v>1360000</v>
      </c>
      <c r="E120" s="20" t="s">
        <v>715</v>
      </c>
      <c r="F120" s="20" t="s">
        <v>716</v>
      </c>
      <c r="G120" s="8" t="str">
        <f t="shared" si="1"/>
        <v>SANTIZO D. EDY</v>
      </c>
    </row>
    <row r="121" spans="1:7" x14ac:dyDescent="0.25">
      <c r="A121" s="8">
        <v>42942.499409722222</v>
      </c>
      <c r="B121" s="20" t="s">
        <v>671</v>
      </c>
      <c r="C121" s="20" t="s">
        <v>746</v>
      </c>
      <c r="D121" s="138">
        <v>2040000</v>
      </c>
      <c r="E121" s="20" t="s">
        <v>415</v>
      </c>
      <c r="F121" s="20" t="s">
        <v>416</v>
      </c>
      <c r="G121" s="8" t="str">
        <f t="shared" si="1"/>
        <v>MOSES BRADLEY</v>
      </c>
    </row>
    <row r="122" spans="1:7" x14ac:dyDescent="0.25">
      <c r="A122" s="8">
        <v>42942.505578703705</v>
      </c>
      <c r="B122" s="25" t="s">
        <v>675</v>
      </c>
      <c r="C122" s="20" t="s">
        <v>748</v>
      </c>
      <c r="D122" s="138">
        <v>3280000</v>
      </c>
      <c r="E122" s="20" t="s">
        <v>446</v>
      </c>
      <c r="F122" s="20" t="s">
        <v>447</v>
      </c>
      <c r="G122" s="8" t="str">
        <f t="shared" si="1"/>
        <v>BIRKHOLZ NADINE</v>
      </c>
    </row>
    <row r="123" spans="1:7" x14ac:dyDescent="0.25">
      <c r="A123" s="8">
        <v>42942.505613425928</v>
      </c>
      <c r="B123" s="20" t="s">
        <v>616</v>
      </c>
      <c r="C123" s="20" t="s">
        <v>749</v>
      </c>
      <c r="D123" s="138">
        <v>880000</v>
      </c>
      <c r="E123" s="20" t="s">
        <v>544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42942.507951388892</v>
      </c>
      <c r="B124" s="20" t="s">
        <v>489</v>
      </c>
      <c r="C124" s="20" t="s">
        <v>642</v>
      </c>
      <c r="D124" s="138">
        <v>3340000</v>
      </c>
      <c r="E124" s="20" t="s">
        <v>507</v>
      </c>
      <c r="F124" s="20" t="s">
        <v>508</v>
      </c>
      <c r="G124" s="8" t="str">
        <f t="shared" si="1"/>
        <v>ELBAUM MIKE</v>
      </c>
    </row>
    <row r="125" spans="1:7" x14ac:dyDescent="0.25">
      <c r="A125" s="8">
        <v>42942.508831018517</v>
      </c>
      <c r="B125" s="20" t="s">
        <v>363</v>
      </c>
      <c r="C125" s="20" t="s">
        <v>750</v>
      </c>
      <c r="D125" s="138">
        <v>3310000</v>
      </c>
      <c r="E125" s="20" t="s">
        <v>513</v>
      </c>
      <c r="F125" s="20" t="s">
        <v>514</v>
      </c>
      <c r="G125" s="8" t="str">
        <f t="shared" si="1"/>
        <v>ANDERS STEVEN</v>
      </c>
    </row>
    <row r="126" spans="1:7" x14ac:dyDescent="0.25">
      <c r="A126" s="8">
        <v>42942.510046296295</v>
      </c>
      <c r="B126" s="20" t="s">
        <v>482</v>
      </c>
      <c r="C126" s="20" t="s">
        <v>751</v>
      </c>
      <c r="D126" s="138">
        <v>2140000</v>
      </c>
      <c r="E126" s="20" t="s">
        <v>487</v>
      </c>
      <c r="F126" s="20" t="s">
        <v>488</v>
      </c>
      <c r="G126" s="8" t="str">
        <f t="shared" si="1"/>
        <v>ROBINSON KADDIBA</v>
      </c>
    </row>
    <row r="127" spans="1:7" x14ac:dyDescent="0.25">
      <c r="A127" s="8">
        <v>42942.518229166664</v>
      </c>
      <c r="B127" s="20" t="s">
        <v>378</v>
      </c>
      <c r="C127" s="20" t="s">
        <v>752</v>
      </c>
      <c r="D127" s="138">
        <v>920000</v>
      </c>
      <c r="E127" s="20" t="s">
        <v>379</v>
      </c>
      <c r="F127" s="20" t="s">
        <v>192</v>
      </c>
      <c r="G127" s="8" t="str">
        <f t="shared" si="1"/>
        <v>DAVIS MICHAEL</v>
      </c>
    </row>
    <row r="128" spans="1:7" x14ac:dyDescent="0.25">
      <c r="A128" s="8">
        <v>42942.525011574071</v>
      </c>
      <c r="B128" s="20" t="s">
        <v>503</v>
      </c>
      <c r="C128" s="20" t="s">
        <v>753</v>
      </c>
      <c r="D128" s="138">
        <v>2140000</v>
      </c>
      <c r="E128" s="20" t="s">
        <v>487</v>
      </c>
      <c r="F128" s="20" t="s">
        <v>488</v>
      </c>
      <c r="G128" s="8" t="str">
        <f t="shared" si="1"/>
        <v>ROBINSON KADDIBA</v>
      </c>
    </row>
    <row r="129" spans="1:7" x14ac:dyDescent="0.25">
      <c r="A129" s="8">
        <v>42942.526342592595</v>
      </c>
      <c r="B129" s="20" t="s">
        <v>630</v>
      </c>
      <c r="C129" s="20" t="s">
        <v>631</v>
      </c>
      <c r="D129" s="138">
        <v>1360000</v>
      </c>
      <c r="E129" s="20" t="s">
        <v>715</v>
      </c>
      <c r="F129" s="20" t="s">
        <v>716</v>
      </c>
      <c r="G129" s="8" t="str">
        <f t="shared" si="1"/>
        <v>SANTIZO D. EDY</v>
      </c>
    </row>
    <row r="130" spans="1:7" x14ac:dyDescent="0.25">
      <c r="A130" s="8">
        <v>42942.526365740741</v>
      </c>
      <c r="B130" s="20" t="s">
        <v>622</v>
      </c>
      <c r="C130" s="20" t="s">
        <v>754</v>
      </c>
      <c r="D130" s="138">
        <v>1770000</v>
      </c>
      <c r="E130" s="20" t="s">
        <v>491</v>
      </c>
      <c r="F130" s="20" t="s">
        <v>492</v>
      </c>
      <c r="G130" s="8" t="str">
        <f t="shared" si="1"/>
        <v>BRUDER RICHARD</v>
      </c>
    </row>
    <row r="131" spans="1:7" x14ac:dyDescent="0.25">
      <c r="A131" s="8">
        <v>42942.526759259257</v>
      </c>
      <c r="B131" s="20" t="s">
        <v>468</v>
      </c>
      <c r="C131" s="20" t="s">
        <v>755</v>
      </c>
      <c r="D131" s="138">
        <v>2440000</v>
      </c>
      <c r="E131" s="20" t="s">
        <v>756</v>
      </c>
      <c r="F131" s="20" t="s">
        <v>757</v>
      </c>
      <c r="G131" s="8" t="str">
        <f t="shared" ref="G131:G194" si="2">E131&amp;" "&amp;F131</f>
        <v>LOPES KIMBERLY</v>
      </c>
    </row>
    <row r="132" spans="1:7" x14ac:dyDescent="0.25">
      <c r="A132" s="8">
        <v>42942.527094907404</v>
      </c>
      <c r="B132" s="20" t="s">
        <v>630</v>
      </c>
      <c r="C132" s="20" t="s">
        <v>631</v>
      </c>
      <c r="D132" s="138">
        <v>1360000</v>
      </c>
      <c r="E132" s="20" t="s">
        <v>715</v>
      </c>
      <c r="F132" s="20" t="s">
        <v>716</v>
      </c>
      <c r="G132" s="8" t="str">
        <f t="shared" si="2"/>
        <v>SANTIZO D. EDY</v>
      </c>
    </row>
    <row r="133" spans="1:7" x14ac:dyDescent="0.25">
      <c r="A133" s="8">
        <v>42942.527592592596</v>
      </c>
      <c r="B133" s="20" t="s">
        <v>357</v>
      </c>
      <c r="C133" s="20" t="s">
        <v>758</v>
      </c>
      <c r="D133" s="138">
        <v>3310000</v>
      </c>
      <c r="E133" s="20" t="s">
        <v>513</v>
      </c>
      <c r="F133" s="20" t="s">
        <v>514</v>
      </c>
      <c r="G133" s="8" t="str">
        <f t="shared" si="2"/>
        <v>ANDERS STEVEN</v>
      </c>
    </row>
    <row r="134" spans="1:7" x14ac:dyDescent="0.25">
      <c r="A134" s="8">
        <v>42942.532083333332</v>
      </c>
      <c r="B134" s="20" t="s">
        <v>503</v>
      </c>
      <c r="C134" s="20" t="s">
        <v>753</v>
      </c>
      <c r="D134" s="138">
        <v>2140000</v>
      </c>
      <c r="E134" s="20" t="s">
        <v>487</v>
      </c>
      <c r="F134" s="20" t="s">
        <v>488</v>
      </c>
      <c r="G134" s="8" t="str">
        <f t="shared" si="2"/>
        <v>ROBINSON KADDIBA</v>
      </c>
    </row>
    <row r="135" spans="1:7" x14ac:dyDescent="0.25">
      <c r="A135" s="8">
        <v>42942.537685185183</v>
      </c>
      <c r="B135" s="20" t="s">
        <v>387</v>
      </c>
      <c r="C135" s="20" t="s">
        <v>759</v>
      </c>
      <c r="D135" s="138">
        <v>1300000</v>
      </c>
      <c r="E135" s="20" t="s">
        <v>519</v>
      </c>
      <c r="F135" s="20" t="s">
        <v>520</v>
      </c>
      <c r="G135" s="8" t="str">
        <f t="shared" si="2"/>
        <v>LEVIN SCOTT</v>
      </c>
    </row>
    <row r="136" spans="1:7" x14ac:dyDescent="0.25">
      <c r="A136" s="8">
        <v>42942.538958333331</v>
      </c>
      <c r="B136" s="20" t="s">
        <v>644</v>
      </c>
      <c r="C136" s="20" t="s">
        <v>760</v>
      </c>
      <c r="D136" s="138">
        <v>880000</v>
      </c>
      <c r="E136" s="20" t="s">
        <v>544</v>
      </c>
      <c r="F136" s="20" t="s">
        <v>192</v>
      </c>
      <c r="G136" s="8" t="str">
        <f t="shared" si="2"/>
        <v>STEWART MICHAEL</v>
      </c>
    </row>
    <row r="137" spans="1:7" x14ac:dyDescent="0.25">
      <c r="A137" s="8">
        <v>42942.543611111112</v>
      </c>
      <c r="B137" s="20" t="s">
        <v>634</v>
      </c>
      <c r="C137" s="20" t="s">
        <v>635</v>
      </c>
      <c r="D137" s="138">
        <v>1780000</v>
      </c>
      <c r="E137" s="20" t="s">
        <v>547</v>
      </c>
      <c r="F137" s="20" t="s">
        <v>548</v>
      </c>
      <c r="G137" s="8" t="str">
        <f t="shared" si="2"/>
        <v>DE LA ROSA ALEX</v>
      </c>
    </row>
    <row r="138" spans="1:7" x14ac:dyDescent="0.25">
      <c r="A138" s="8">
        <v>42942.544594907406</v>
      </c>
      <c r="B138" s="20" t="s">
        <v>671</v>
      </c>
      <c r="C138" s="20" t="s">
        <v>761</v>
      </c>
      <c r="D138" s="138">
        <v>3280000</v>
      </c>
      <c r="E138" s="20" t="s">
        <v>446</v>
      </c>
      <c r="F138" s="20" t="s">
        <v>447</v>
      </c>
      <c r="G138" s="8" t="str">
        <f t="shared" si="2"/>
        <v>BIRKHOLZ NADINE</v>
      </c>
    </row>
    <row r="139" spans="1:7" x14ac:dyDescent="0.25">
      <c r="A139" s="8">
        <v>42942.548564814817</v>
      </c>
      <c r="B139" s="20" t="s">
        <v>459</v>
      </c>
      <c r="C139" s="20" t="s">
        <v>762</v>
      </c>
      <c r="D139" s="138">
        <v>3340000</v>
      </c>
      <c r="E139" s="20" t="s">
        <v>507</v>
      </c>
      <c r="F139" s="20" t="s">
        <v>508</v>
      </c>
      <c r="G139" s="8" t="str">
        <f t="shared" si="2"/>
        <v>ELBAUM MIKE</v>
      </c>
    </row>
    <row r="140" spans="1:7" x14ac:dyDescent="0.25">
      <c r="A140" s="8">
        <v>42942.549317129633</v>
      </c>
      <c r="B140" s="20" t="s">
        <v>546</v>
      </c>
      <c r="C140" s="20" t="s">
        <v>763</v>
      </c>
      <c r="D140" s="138">
        <v>2550000</v>
      </c>
      <c r="E140" s="20" t="s">
        <v>493</v>
      </c>
      <c r="F140" s="20" t="s">
        <v>494</v>
      </c>
      <c r="G140" s="8" t="str">
        <f t="shared" si="2"/>
        <v>BADERTSCHER DIANE</v>
      </c>
    </row>
    <row r="141" spans="1:7" x14ac:dyDescent="0.25">
      <c r="A141" s="8">
        <v>42942.550300925926</v>
      </c>
      <c r="B141" s="20" t="s">
        <v>546</v>
      </c>
      <c r="C141" s="20" t="s">
        <v>763</v>
      </c>
      <c r="D141" s="138">
        <v>2550000</v>
      </c>
      <c r="E141" s="20" t="s">
        <v>493</v>
      </c>
      <c r="F141" s="20" t="s">
        <v>494</v>
      </c>
      <c r="G141" s="8" t="str">
        <f t="shared" si="2"/>
        <v>BADERTSCHER DIANE</v>
      </c>
    </row>
    <row r="142" spans="1:7" x14ac:dyDescent="0.25">
      <c r="A142" s="8">
        <v>42942.551388888889</v>
      </c>
      <c r="B142" s="20" t="s">
        <v>546</v>
      </c>
      <c r="C142" s="20" t="s">
        <v>763</v>
      </c>
      <c r="D142" s="138">
        <v>2550000</v>
      </c>
      <c r="E142" s="20" t="s">
        <v>493</v>
      </c>
      <c r="F142" s="20" t="s">
        <v>494</v>
      </c>
      <c r="G142" s="8" t="str">
        <f t="shared" si="2"/>
        <v>BADERTSCHER DIANE</v>
      </c>
    </row>
    <row r="143" spans="1:7" x14ac:dyDescent="0.25">
      <c r="A143" s="8">
        <v>42942.552025462966</v>
      </c>
      <c r="B143" s="20" t="s">
        <v>363</v>
      </c>
      <c r="C143" s="20" t="s">
        <v>764</v>
      </c>
      <c r="D143" s="138">
        <v>3330000</v>
      </c>
      <c r="E143" s="20" t="s">
        <v>517</v>
      </c>
      <c r="F143" s="20" t="s">
        <v>518</v>
      </c>
      <c r="G143" s="8" t="str">
        <f t="shared" si="2"/>
        <v>GONZALEZ ARMANDO</v>
      </c>
    </row>
    <row r="144" spans="1:7" x14ac:dyDescent="0.25">
      <c r="A144" s="8">
        <v>42942.553078703706</v>
      </c>
      <c r="B144" s="20" t="s">
        <v>545</v>
      </c>
      <c r="C144" s="20" t="s">
        <v>763</v>
      </c>
      <c r="D144" s="138">
        <v>2550000</v>
      </c>
      <c r="E144" s="20" t="s">
        <v>493</v>
      </c>
      <c r="F144" s="20" t="s">
        <v>494</v>
      </c>
      <c r="G144" s="8" t="str">
        <f t="shared" si="2"/>
        <v>BADERTSCHER DIANE</v>
      </c>
    </row>
    <row r="145" spans="1:7" x14ac:dyDescent="0.25">
      <c r="A145" s="8">
        <v>42942.553888888891</v>
      </c>
      <c r="B145" s="20" t="s">
        <v>545</v>
      </c>
      <c r="C145" s="20" t="s">
        <v>763</v>
      </c>
      <c r="D145" s="138">
        <v>2550000</v>
      </c>
      <c r="E145" s="20" t="s">
        <v>493</v>
      </c>
      <c r="F145" s="20" t="s">
        <v>494</v>
      </c>
      <c r="G145" s="8" t="str">
        <f t="shared" si="2"/>
        <v>BADERTSCHER DIANE</v>
      </c>
    </row>
    <row r="146" spans="1:7" x14ac:dyDescent="0.25">
      <c r="A146" s="8">
        <v>42942.555995370371</v>
      </c>
      <c r="B146" s="20" t="s">
        <v>545</v>
      </c>
      <c r="C146" s="20" t="s">
        <v>763</v>
      </c>
      <c r="D146" s="138">
        <v>2550000</v>
      </c>
      <c r="E146" s="20" t="s">
        <v>493</v>
      </c>
      <c r="F146" s="20" t="s">
        <v>494</v>
      </c>
      <c r="G146" s="8" t="str">
        <f t="shared" si="2"/>
        <v>BADERTSCHER DIANE</v>
      </c>
    </row>
    <row r="147" spans="1:7" x14ac:dyDescent="0.25">
      <c r="A147" s="8">
        <v>42942.558622685188</v>
      </c>
      <c r="B147" s="20" t="s">
        <v>546</v>
      </c>
      <c r="C147" s="20" t="s">
        <v>763</v>
      </c>
      <c r="D147" s="138">
        <v>2550000</v>
      </c>
      <c r="E147" s="20" t="s">
        <v>493</v>
      </c>
      <c r="F147" s="20" t="s">
        <v>494</v>
      </c>
      <c r="G147" s="8" t="str">
        <f t="shared" si="2"/>
        <v>BADERTSCHER DIANE</v>
      </c>
    </row>
    <row r="148" spans="1:7" x14ac:dyDescent="0.25">
      <c r="A148" s="8">
        <v>42942.558946759258</v>
      </c>
      <c r="B148" s="20" t="s">
        <v>625</v>
      </c>
      <c r="C148" s="20" t="s">
        <v>765</v>
      </c>
      <c r="D148" s="138">
        <v>1770000</v>
      </c>
      <c r="E148" s="20" t="s">
        <v>491</v>
      </c>
      <c r="F148" s="20" t="s">
        <v>492</v>
      </c>
      <c r="G148" s="8" t="str">
        <f t="shared" si="2"/>
        <v>BRUDER RICHARD</v>
      </c>
    </row>
    <row r="149" spans="1:7" x14ac:dyDescent="0.25">
      <c r="A149" s="8">
        <v>42942.55914351852</v>
      </c>
      <c r="B149" s="20" t="s">
        <v>409</v>
      </c>
      <c r="C149" s="20" t="s">
        <v>766</v>
      </c>
      <c r="D149" s="138">
        <v>920000</v>
      </c>
      <c r="E149" s="20" t="s">
        <v>379</v>
      </c>
      <c r="F149" s="20" t="s">
        <v>192</v>
      </c>
      <c r="G149" s="8" t="str">
        <f t="shared" si="2"/>
        <v>DAVIS MICHAEL</v>
      </c>
    </row>
    <row r="150" spans="1:7" x14ac:dyDescent="0.25">
      <c r="A150" s="8">
        <v>42942.560567129629</v>
      </c>
      <c r="B150" s="20" t="s">
        <v>630</v>
      </c>
      <c r="C150" s="20" t="s">
        <v>734</v>
      </c>
      <c r="D150" s="138">
        <v>1780000</v>
      </c>
      <c r="E150" s="20" t="s">
        <v>547</v>
      </c>
      <c r="F150" s="20" t="s">
        <v>548</v>
      </c>
      <c r="G150" s="8" t="str">
        <f t="shared" si="2"/>
        <v>DE LA ROSA ALEX</v>
      </c>
    </row>
    <row r="151" spans="1:7" x14ac:dyDescent="0.25">
      <c r="A151" s="8">
        <v>42942.564756944441</v>
      </c>
      <c r="B151" s="20" t="s">
        <v>469</v>
      </c>
      <c r="C151" s="20" t="s">
        <v>767</v>
      </c>
      <c r="D151" s="138">
        <v>2440000</v>
      </c>
      <c r="E151" s="20" t="s">
        <v>756</v>
      </c>
      <c r="F151" s="20" t="s">
        <v>757</v>
      </c>
      <c r="G151" s="8" t="str">
        <f t="shared" si="2"/>
        <v>LOPES KIMBERLY</v>
      </c>
    </row>
    <row r="152" spans="1:7" x14ac:dyDescent="0.25">
      <c r="A152" s="8">
        <v>42942.56795138889</v>
      </c>
      <c r="B152" s="20" t="s">
        <v>357</v>
      </c>
      <c r="C152" s="20" t="s">
        <v>768</v>
      </c>
      <c r="D152" s="138">
        <v>3330000</v>
      </c>
      <c r="E152" s="20" t="s">
        <v>517</v>
      </c>
      <c r="F152" s="20" t="s">
        <v>518</v>
      </c>
      <c r="G152" s="8" t="str">
        <f t="shared" si="2"/>
        <v>GONZALEZ ARMANDO</v>
      </c>
    </row>
    <row r="153" spans="1:7" x14ac:dyDescent="0.25">
      <c r="A153" s="8">
        <v>42942.569224537037</v>
      </c>
      <c r="B153" s="20" t="s">
        <v>388</v>
      </c>
      <c r="C153" s="20" t="s">
        <v>769</v>
      </c>
      <c r="D153" s="138">
        <v>1300000</v>
      </c>
      <c r="E153" s="20" t="s">
        <v>519</v>
      </c>
      <c r="F153" s="20" t="s">
        <v>520</v>
      </c>
      <c r="G153" s="8" t="str">
        <f t="shared" si="2"/>
        <v>LEVIN SCOTT</v>
      </c>
    </row>
    <row r="154" spans="1:7" x14ac:dyDescent="0.25">
      <c r="A154" s="8">
        <v>42942.578263888892</v>
      </c>
      <c r="B154" s="20" t="s">
        <v>489</v>
      </c>
      <c r="C154" s="20" t="s">
        <v>770</v>
      </c>
      <c r="D154" s="138">
        <v>3340000</v>
      </c>
      <c r="E154" s="20" t="s">
        <v>507</v>
      </c>
      <c r="F154" s="20" t="s">
        <v>508</v>
      </c>
      <c r="G154" s="8" t="str">
        <f t="shared" si="2"/>
        <v>ELBAUM MIKE</v>
      </c>
    </row>
    <row r="155" spans="1:7" x14ac:dyDescent="0.25">
      <c r="A155" s="8">
        <v>42942.578287037039</v>
      </c>
      <c r="B155" s="20" t="s">
        <v>675</v>
      </c>
      <c r="C155" s="20" t="s">
        <v>771</v>
      </c>
      <c r="D155" s="138">
        <v>3280000</v>
      </c>
      <c r="E155" s="20" t="s">
        <v>446</v>
      </c>
      <c r="F155" s="20" t="s">
        <v>447</v>
      </c>
      <c r="G155" s="8" t="str">
        <f t="shared" si="2"/>
        <v>BIRKHOLZ NADINE</v>
      </c>
    </row>
    <row r="156" spans="1:7" x14ac:dyDescent="0.25">
      <c r="A156" s="8">
        <v>42942.581412037034</v>
      </c>
      <c r="B156" s="20" t="s">
        <v>616</v>
      </c>
      <c r="C156" s="20" t="s">
        <v>772</v>
      </c>
      <c r="D156" s="138">
        <v>880000</v>
      </c>
      <c r="E156" s="20" t="s">
        <v>544</v>
      </c>
      <c r="F156" s="20" t="s">
        <v>192</v>
      </c>
      <c r="G156" s="8" t="str">
        <f t="shared" si="2"/>
        <v>STEWART MICHAEL</v>
      </c>
    </row>
    <row r="157" spans="1:7" x14ac:dyDescent="0.25">
      <c r="A157" s="8">
        <v>42942.591921296298</v>
      </c>
      <c r="B157" s="20" t="s">
        <v>363</v>
      </c>
      <c r="C157" s="20" t="s">
        <v>773</v>
      </c>
      <c r="D157" s="138">
        <v>3330000</v>
      </c>
      <c r="E157" s="20" t="s">
        <v>517</v>
      </c>
      <c r="F157" s="20" t="s">
        <v>518</v>
      </c>
      <c r="G157" s="8" t="str">
        <f t="shared" si="2"/>
        <v>GONZALEZ ARMANDO</v>
      </c>
    </row>
    <row r="158" spans="1:7" x14ac:dyDescent="0.25">
      <c r="A158" s="8">
        <v>42942.592430555553</v>
      </c>
      <c r="B158" s="20" t="s">
        <v>378</v>
      </c>
      <c r="C158" s="20" t="s">
        <v>774</v>
      </c>
      <c r="D158" s="138">
        <v>920000</v>
      </c>
      <c r="E158" s="20" t="s">
        <v>379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42942.598969907405</v>
      </c>
      <c r="B159" s="20" t="s">
        <v>622</v>
      </c>
      <c r="C159" s="20" t="s">
        <v>643</v>
      </c>
      <c r="D159" s="138">
        <v>1770000</v>
      </c>
      <c r="E159" s="20" t="s">
        <v>491</v>
      </c>
      <c r="F159" s="20" t="s">
        <v>492</v>
      </c>
      <c r="G159" s="8" t="str">
        <f t="shared" si="2"/>
        <v>BRUDER RICHARD</v>
      </c>
    </row>
    <row r="160" spans="1:7" x14ac:dyDescent="0.25">
      <c r="A160" s="8">
        <v>42942.599166666667</v>
      </c>
      <c r="B160" s="20" t="s">
        <v>468</v>
      </c>
      <c r="C160" s="20" t="s">
        <v>775</v>
      </c>
      <c r="D160" s="138">
        <v>2440000</v>
      </c>
      <c r="E160" s="20" t="s">
        <v>756</v>
      </c>
      <c r="F160" s="20" t="s">
        <v>757</v>
      </c>
      <c r="G160" s="8" t="str">
        <f t="shared" si="2"/>
        <v>LOPES KIMBERLY</v>
      </c>
    </row>
    <row r="161" spans="1:7" x14ac:dyDescent="0.25">
      <c r="A161" s="8">
        <v>42942.609398148146</v>
      </c>
      <c r="B161" s="20" t="s">
        <v>357</v>
      </c>
      <c r="C161" s="20" t="s">
        <v>776</v>
      </c>
      <c r="D161" s="138">
        <v>3330000</v>
      </c>
      <c r="E161" s="20" t="s">
        <v>517</v>
      </c>
      <c r="F161" s="20" t="s">
        <v>518</v>
      </c>
      <c r="G161" s="8" t="str">
        <f t="shared" si="2"/>
        <v>GONZALEZ ARMANDO</v>
      </c>
    </row>
    <row r="162" spans="1:7" x14ac:dyDescent="0.25">
      <c r="A162" s="8">
        <v>42942.610081018516</v>
      </c>
      <c r="B162" s="20" t="s">
        <v>387</v>
      </c>
      <c r="C162" s="20" t="s">
        <v>777</v>
      </c>
      <c r="D162" s="138">
        <v>1300000</v>
      </c>
      <c r="E162" s="20" t="s">
        <v>519</v>
      </c>
      <c r="F162" s="20" t="s">
        <v>520</v>
      </c>
      <c r="G162" s="8" t="str">
        <f t="shared" si="2"/>
        <v>LEVIN SCOTT</v>
      </c>
    </row>
    <row r="163" spans="1:7" x14ac:dyDescent="0.25">
      <c r="A163" s="8">
        <v>42942.611631944441</v>
      </c>
      <c r="B163" s="20" t="s">
        <v>644</v>
      </c>
      <c r="C163" s="20" t="s">
        <v>645</v>
      </c>
      <c r="D163" s="138">
        <v>880000</v>
      </c>
      <c r="E163" s="20" t="s">
        <v>544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42942.617199074077</v>
      </c>
      <c r="B164" s="20" t="s">
        <v>671</v>
      </c>
      <c r="C164" s="20" t="s">
        <v>778</v>
      </c>
      <c r="D164" s="138">
        <v>3280000</v>
      </c>
      <c r="E164" s="20" t="s">
        <v>446</v>
      </c>
      <c r="F164" s="20" t="s">
        <v>447</v>
      </c>
      <c r="G164" s="8" t="str">
        <f t="shared" si="2"/>
        <v>BIRKHOLZ NADINE</v>
      </c>
    </row>
    <row r="165" spans="1:7" x14ac:dyDescent="0.25">
      <c r="A165" s="8">
        <v>42942.61891203704</v>
      </c>
      <c r="B165" s="20" t="s">
        <v>459</v>
      </c>
      <c r="C165" s="20" t="s">
        <v>779</v>
      </c>
      <c r="D165" s="138">
        <v>3340000</v>
      </c>
      <c r="E165" s="20" t="s">
        <v>507</v>
      </c>
      <c r="F165" s="20" t="s">
        <v>508</v>
      </c>
      <c r="G165" s="8" t="str">
        <f t="shared" si="2"/>
        <v>ELBAUM MIKE</v>
      </c>
    </row>
    <row r="166" spans="1:7" x14ac:dyDescent="0.25">
      <c r="A166" s="8">
        <v>42942.631296296298</v>
      </c>
      <c r="B166" s="20" t="s">
        <v>409</v>
      </c>
      <c r="C166" s="20" t="s">
        <v>780</v>
      </c>
      <c r="D166" s="138">
        <v>920000</v>
      </c>
      <c r="E166" s="20" t="s">
        <v>379</v>
      </c>
      <c r="F166" s="20" t="s">
        <v>192</v>
      </c>
      <c r="G166" s="8" t="str">
        <f t="shared" si="2"/>
        <v>DAVIS MICHAEL</v>
      </c>
    </row>
    <row r="167" spans="1:7" x14ac:dyDescent="0.25">
      <c r="A167" s="8">
        <v>42942.632604166669</v>
      </c>
      <c r="B167" s="20" t="s">
        <v>625</v>
      </c>
      <c r="C167" s="20" t="s">
        <v>781</v>
      </c>
      <c r="D167" s="138">
        <v>1770000</v>
      </c>
      <c r="E167" s="20" t="s">
        <v>491</v>
      </c>
      <c r="F167" s="20" t="s">
        <v>492</v>
      </c>
      <c r="G167" s="8" t="str">
        <f t="shared" si="2"/>
        <v>BRUDER RICHARD</v>
      </c>
    </row>
    <row r="168" spans="1:7" x14ac:dyDescent="0.25">
      <c r="A168" s="8">
        <v>42942.634942129633</v>
      </c>
      <c r="B168" s="20" t="s">
        <v>469</v>
      </c>
      <c r="C168" s="20" t="s">
        <v>782</v>
      </c>
      <c r="D168" s="138">
        <v>2440000</v>
      </c>
      <c r="E168" s="20" t="s">
        <v>756</v>
      </c>
      <c r="F168" s="20" t="s">
        <v>757</v>
      </c>
      <c r="G168" s="8" t="str">
        <f t="shared" si="2"/>
        <v>LOPES KIMBERLY</v>
      </c>
    </row>
    <row r="169" spans="1:7" x14ac:dyDescent="0.25">
      <c r="A169" s="8">
        <v>42942.635243055556</v>
      </c>
      <c r="B169" s="20" t="s">
        <v>363</v>
      </c>
      <c r="C169" s="20" t="s">
        <v>783</v>
      </c>
      <c r="D169" s="138">
        <v>3330000</v>
      </c>
      <c r="E169" s="20" t="s">
        <v>517</v>
      </c>
      <c r="F169" s="20" t="s">
        <v>518</v>
      </c>
      <c r="G169" s="8" t="str">
        <f t="shared" si="2"/>
        <v>GONZALEZ ARMANDO</v>
      </c>
    </row>
    <row r="170" spans="1:7" x14ac:dyDescent="0.25">
      <c r="A170" s="8">
        <v>42942.638645833336</v>
      </c>
      <c r="B170" s="20" t="s">
        <v>390</v>
      </c>
      <c r="C170" s="20" t="s">
        <v>646</v>
      </c>
      <c r="D170" s="138">
        <v>3290000</v>
      </c>
      <c r="E170" s="20" t="s">
        <v>521</v>
      </c>
      <c r="F170" s="20" t="s">
        <v>457</v>
      </c>
      <c r="G170" s="8" t="str">
        <f t="shared" si="2"/>
        <v>CASSIDY BRANDON</v>
      </c>
    </row>
    <row r="171" spans="1:7" x14ac:dyDescent="0.25">
      <c r="A171" s="8">
        <v>42942.639872685184</v>
      </c>
      <c r="B171" s="20" t="s">
        <v>390</v>
      </c>
      <c r="C171" s="20" t="s">
        <v>646</v>
      </c>
      <c r="D171" s="138">
        <v>3290000</v>
      </c>
      <c r="E171" s="20" t="s">
        <v>521</v>
      </c>
      <c r="F171" s="20" t="s">
        <v>457</v>
      </c>
      <c r="G171" s="8" t="str">
        <f t="shared" si="2"/>
        <v>CASSIDY BRANDON</v>
      </c>
    </row>
    <row r="172" spans="1:7" x14ac:dyDescent="0.25">
      <c r="A172" s="8">
        <v>42942.640706018516</v>
      </c>
      <c r="B172" s="20" t="s">
        <v>390</v>
      </c>
      <c r="C172" s="20" t="s">
        <v>646</v>
      </c>
      <c r="D172" s="138">
        <v>3290000</v>
      </c>
      <c r="E172" s="20" t="s">
        <v>521</v>
      </c>
      <c r="F172" s="20" t="s">
        <v>457</v>
      </c>
      <c r="G172" s="8" t="str">
        <f t="shared" si="2"/>
        <v>CASSIDY BRANDON</v>
      </c>
    </row>
    <row r="173" spans="1:7" x14ac:dyDescent="0.25">
      <c r="A173" s="8">
        <v>42942.643819444442</v>
      </c>
      <c r="B173" s="20" t="s">
        <v>388</v>
      </c>
      <c r="C173" s="20" t="s">
        <v>647</v>
      </c>
      <c r="D173" s="138">
        <v>1300000</v>
      </c>
      <c r="E173" s="20" t="s">
        <v>519</v>
      </c>
      <c r="F173" s="20" t="s">
        <v>520</v>
      </c>
      <c r="G173" s="8" t="str">
        <f t="shared" si="2"/>
        <v>LEVIN SCOTT</v>
      </c>
    </row>
    <row r="174" spans="1:7" x14ac:dyDescent="0.25">
      <c r="A174" s="8">
        <v>42942.651226851849</v>
      </c>
      <c r="B174" s="20" t="s">
        <v>357</v>
      </c>
      <c r="C174" s="20" t="s">
        <v>784</v>
      </c>
      <c r="D174" s="138">
        <v>3330000</v>
      </c>
      <c r="E174" s="20" t="s">
        <v>517</v>
      </c>
      <c r="F174" s="20" t="s">
        <v>518</v>
      </c>
      <c r="G174" s="8" t="str">
        <f t="shared" si="2"/>
        <v>GONZALEZ ARMANDO</v>
      </c>
    </row>
    <row r="175" spans="1:7" x14ac:dyDescent="0.25">
      <c r="A175" s="8">
        <v>42942.651284722226</v>
      </c>
      <c r="B175" s="20" t="s">
        <v>616</v>
      </c>
      <c r="C175" s="20" t="s">
        <v>785</v>
      </c>
      <c r="D175" s="138">
        <v>880000</v>
      </c>
      <c r="E175" s="20" t="s">
        <v>544</v>
      </c>
      <c r="F175" s="20" t="s">
        <v>192</v>
      </c>
      <c r="G175" s="8" t="str">
        <f t="shared" si="2"/>
        <v>STEWART MICHAEL</v>
      </c>
    </row>
    <row r="176" spans="1:7" x14ac:dyDescent="0.25">
      <c r="A176" s="8">
        <v>42942.652314814812</v>
      </c>
      <c r="B176" s="20" t="s">
        <v>489</v>
      </c>
      <c r="C176" s="20" t="s">
        <v>786</v>
      </c>
      <c r="D176" s="138">
        <v>3340000</v>
      </c>
      <c r="E176" s="20" t="s">
        <v>507</v>
      </c>
      <c r="F176" s="20" t="s">
        <v>508</v>
      </c>
      <c r="G176" s="8" t="str">
        <f t="shared" si="2"/>
        <v>ELBAUM MIKE</v>
      </c>
    </row>
    <row r="177" spans="1:7" x14ac:dyDescent="0.25">
      <c r="A177" s="8">
        <v>42942.652662037035</v>
      </c>
      <c r="B177" s="20" t="s">
        <v>675</v>
      </c>
      <c r="C177" s="20" t="s">
        <v>787</v>
      </c>
      <c r="D177" s="138">
        <v>3280000</v>
      </c>
      <c r="E177" s="20" t="s">
        <v>446</v>
      </c>
      <c r="F177" s="20" t="s">
        <v>447</v>
      </c>
      <c r="G177" s="8" t="str">
        <f t="shared" si="2"/>
        <v>BIRKHOLZ NADINE</v>
      </c>
    </row>
    <row r="178" spans="1:7" x14ac:dyDescent="0.25">
      <c r="A178" s="8">
        <v>42942.65902777778</v>
      </c>
      <c r="B178" s="20" t="s">
        <v>389</v>
      </c>
      <c r="C178" s="20" t="s">
        <v>788</v>
      </c>
      <c r="D178" s="138">
        <v>3290000</v>
      </c>
      <c r="E178" s="20" t="s">
        <v>521</v>
      </c>
      <c r="F178" s="20" t="s">
        <v>457</v>
      </c>
      <c r="G178" s="8" t="str">
        <f t="shared" si="2"/>
        <v>CASSIDY BRANDON</v>
      </c>
    </row>
    <row r="179" spans="1:7" x14ac:dyDescent="0.25">
      <c r="A179" s="8">
        <v>42942.666261574072</v>
      </c>
      <c r="B179" s="20" t="s">
        <v>378</v>
      </c>
      <c r="C179" s="20" t="s">
        <v>789</v>
      </c>
      <c r="D179" s="138">
        <v>920000</v>
      </c>
      <c r="E179" s="20" t="s">
        <v>379</v>
      </c>
      <c r="F179" s="20" t="s">
        <v>192</v>
      </c>
      <c r="G179" s="8" t="str">
        <f t="shared" si="2"/>
        <v>DAVIS MICHAEL</v>
      </c>
    </row>
    <row r="180" spans="1:7" x14ac:dyDescent="0.25">
      <c r="A180" s="8">
        <v>42942.6715625</v>
      </c>
      <c r="B180" s="20" t="s">
        <v>390</v>
      </c>
      <c r="C180" s="20" t="s">
        <v>790</v>
      </c>
      <c r="D180" s="138">
        <v>3290000</v>
      </c>
      <c r="E180" s="20" t="s">
        <v>521</v>
      </c>
      <c r="F180" s="20" t="s">
        <v>457</v>
      </c>
      <c r="G180" s="8" t="str">
        <f t="shared" si="2"/>
        <v>CASSIDY BRANDON</v>
      </c>
    </row>
    <row r="181" spans="1:7" x14ac:dyDescent="0.25">
      <c r="A181" s="8">
        <v>42942.672789351855</v>
      </c>
      <c r="B181" s="20" t="s">
        <v>622</v>
      </c>
      <c r="C181" s="20" t="s">
        <v>791</v>
      </c>
      <c r="D181" s="138">
        <v>1770000</v>
      </c>
      <c r="E181" s="20" t="s">
        <v>491</v>
      </c>
      <c r="F181" s="20" t="s">
        <v>492</v>
      </c>
      <c r="G181" s="8" t="str">
        <f t="shared" si="2"/>
        <v>BRUDER RICHARD</v>
      </c>
    </row>
    <row r="182" spans="1:7" x14ac:dyDescent="0.25">
      <c r="A182" s="8">
        <v>42942.672847222224</v>
      </c>
      <c r="B182" s="20" t="s">
        <v>468</v>
      </c>
      <c r="C182" s="20" t="s">
        <v>792</v>
      </c>
      <c r="D182" s="138">
        <v>2440000</v>
      </c>
      <c r="E182" s="20" t="s">
        <v>756</v>
      </c>
      <c r="F182" s="20" t="s">
        <v>757</v>
      </c>
      <c r="G182" s="8" t="str">
        <f t="shared" si="2"/>
        <v>LOPES KIMBERLY</v>
      </c>
    </row>
    <row r="183" spans="1:7" x14ac:dyDescent="0.25">
      <c r="A183" s="8">
        <v>42942.678310185183</v>
      </c>
      <c r="B183" s="20" t="s">
        <v>363</v>
      </c>
      <c r="C183" s="20" t="s">
        <v>793</v>
      </c>
      <c r="D183" s="138">
        <v>3330000</v>
      </c>
      <c r="E183" s="20" t="s">
        <v>517</v>
      </c>
      <c r="F183" s="20" t="s">
        <v>518</v>
      </c>
      <c r="G183" s="8" t="str">
        <f t="shared" si="2"/>
        <v>GONZALEZ ARMANDO</v>
      </c>
    </row>
    <row r="184" spans="1:7" x14ac:dyDescent="0.25">
      <c r="A184" s="8">
        <v>42942.684178240743</v>
      </c>
      <c r="B184" s="20" t="s">
        <v>644</v>
      </c>
      <c r="C184" s="20" t="s">
        <v>794</v>
      </c>
      <c r="D184" s="138">
        <v>880000</v>
      </c>
      <c r="E184" s="20" t="s">
        <v>544</v>
      </c>
      <c r="F184" s="20" t="s">
        <v>192</v>
      </c>
      <c r="G184" s="8" t="str">
        <f t="shared" si="2"/>
        <v>STEWART MICHAEL</v>
      </c>
    </row>
    <row r="185" spans="1:7" x14ac:dyDescent="0.25">
      <c r="A185" s="8">
        <v>42942.685023148151</v>
      </c>
      <c r="B185" s="20" t="s">
        <v>387</v>
      </c>
      <c r="C185" s="20" t="s">
        <v>795</v>
      </c>
      <c r="D185" s="138">
        <v>1300000</v>
      </c>
      <c r="E185" s="20" t="s">
        <v>519</v>
      </c>
      <c r="F185" s="20" t="s">
        <v>520</v>
      </c>
      <c r="G185" s="8" t="str">
        <f t="shared" si="2"/>
        <v>LEVIN SCOTT</v>
      </c>
    </row>
    <row r="186" spans="1:7" x14ac:dyDescent="0.25">
      <c r="A186" s="8">
        <v>42942.686782407407</v>
      </c>
      <c r="B186" s="20" t="s">
        <v>671</v>
      </c>
      <c r="C186" s="20" t="s">
        <v>796</v>
      </c>
      <c r="D186" s="138">
        <v>3280000</v>
      </c>
      <c r="E186" s="20" t="s">
        <v>446</v>
      </c>
      <c r="F186" s="20" t="s">
        <v>447</v>
      </c>
      <c r="G186" s="8" t="str">
        <f t="shared" si="2"/>
        <v>BIRKHOLZ NADINE</v>
      </c>
    </row>
    <row r="187" spans="1:7" x14ac:dyDescent="0.25">
      <c r="A187" s="8">
        <v>42942.692476851851</v>
      </c>
      <c r="B187" s="20" t="s">
        <v>357</v>
      </c>
      <c r="C187" s="20" t="s">
        <v>797</v>
      </c>
      <c r="D187" s="138">
        <v>3330000</v>
      </c>
      <c r="E187" s="20" t="s">
        <v>517</v>
      </c>
      <c r="F187" s="20" t="s">
        <v>518</v>
      </c>
      <c r="G187" s="8" t="str">
        <f t="shared" si="2"/>
        <v>GONZALEZ ARMANDO</v>
      </c>
    </row>
    <row r="188" spans="1:7" x14ac:dyDescent="0.25">
      <c r="A188" s="8">
        <v>42942.693773148145</v>
      </c>
      <c r="B188" s="20" t="s">
        <v>459</v>
      </c>
      <c r="C188" s="20" t="s">
        <v>798</v>
      </c>
      <c r="D188" s="138">
        <v>3340000</v>
      </c>
      <c r="E188" s="20" t="s">
        <v>507</v>
      </c>
      <c r="F188" s="20" t="s">
        <v>508</v>
      </c>
      <c r="G188" s="8" t="str">
        <f t="shared" si="2"/>
        <v>ELBAUM MIKE</v>
      </c>
    </row>
    <row r="189" spans="1:7" x14ac:dyDescent="0.25">
      <c r="A189" s="8">
        <v>42942.694351851853</v>
      </c>
      <c r="B189" s="20" t="s">
        <v>506</v>
      </c>
      <c r="C189" s="20" t="s">
        <v>648</v>
      </c>
      <c r="D189" s="138">
        <v>2450000</v>
      </c>
      <c r="E189" s="20" t="s">
        <v>799</v>
      </c>
      <c r="F189" s="20" t="s">
        <v>800</v>
      </c>
      <c r="G189" s="8" t="str">
        <f t="shared" si="2"/>
        <v>NELSON ARIANE</v>
      </c>
    </row>
    <row r="190" spans="1:7" x14ac:dyDescent="0.25">
      <c r="A190" s="8">
        <v>42942.696805555555</v>
      </c>
      <c r="B190" s="20" t="s">
        <v>361</v>
      </c>
      <c r="C190" s="20" t="s">
        <v>801</v>
      </c>
      <c r="D190" s="138">
        <v>2040000</v>
      </c>
      <c r="E190" s="20" t="s">
        <v>415</v>
      </c>
      <c r="F190" s="20" t="s">
        <v>416</v>
      </c>
      <c r="G190" s="8" t="str">
        <f t="shared" si="2"/>
        <v>MOSES BRADLEY</v>
      </c>
    </row>
    <row r="191" spans="1:7" x14ac:dyDescent="0.25">
      <c r="A191" s="8">
        <v>42942.698611111111</v>
      </c>
      <c r="B191" s="20" t="s">
        <v>389</v>
      </c>
      <c r="C191" s="20" t="s">
        <v>802</v>
      </c>
      <c r="D191" s="138">
        <v>3290000</v>
      </c>
      <c r="E191" s="20" t="s">
        <v>521</v>
      </c>
      <c r="F191" s="20" t="s">
        <v>457</v>
      </c>
      <c r="G191" s="8" t="str">
        <f t="shared" si="2"/>
        <v>CASSIDY BRANDON</v>
      </c>
    </row>
    <row r="192" spans="1:7" x14ac:dyDescent="0.25">
      <c r="A192" s="8">
        <v>42942.703229166669</v>
      </c>
      <c r="B192" s="20" t="s">
        <v>409</v>
      </c>
      <c r="C192" s="20" t="s">
        <v>803</v>
      </c>
      <c r="D192" s="138">
        <v>920000</v>
      </c>
      <c r="E192" s="20" t="s">
        <v>379</v>
      </c>
      <c r="F192" s="20" t="s">
        <v>192</v>
      </c>
      <c r="G192" s="8" t="str">
        <f t="shared" si="2"/>
        <v>DAVIS MICHAEL</v>
      </c>
    </row>
    <row r="193" spans="1:7" x14ac:dyDescent="0.25">
      <c r="A193" s="8">
        <v>42942.704525462963</v>
      </c>
      <c r="B193" s="20" t="s">
        <v>503</v>
      </c>
      <c r="C193" s="20" t="s">
        <v>648</v>
      </c>
      <c r="D193" s="138">
        <v>2450000</v>
      </c>
      <c r="E193" s="20" t="s">
        <v>799</v>
      </c>
      <c r="F193" s="20" t="s">
        <v>800</v>
      </c>
      <c r="G193" s="8" t="str">
        <f t="shared" si="2"/>
        <v>NELSON ARIANE</v>
      </c>
    </row>
    <row r="194" spans="1:7" x14ac:dyDescent="0.25">
      <c r="A194" s="8">
        <v>42942.704884259256</v>
      </c>
      <c r="B194" s="20" t="s">
        <v>625</v>
      </c>
      <c r="C194" s="20" t="s">
        <v>804</v>
      </c>
      <c r="D194" s="138">
        <v>1770000</v>
      </c>
      <c r="E194" s="20" t="s">
        <v>491</v>
      </c>
      <c r="F194" s="20" t="s">
        <v>492</v>
      </c>
      <c r="G194" s="8" t="str">
        <f t="shared" si="2"/>
        <v>BRUDER RICHARD</v>
      </c>
    </row>
    <row r="195" spans="1:7" x14ac:dyDescent="0.25">
      <c r="A195" s="8">
        <v>42942.713263888887</v>
      </c>
      <c r="B195" s="20" t="s">
        <v>390</v>
      </c>
      <c r="C195" s="20" t="s">
        <v>649</v>
      </c>
      <c r="D195" s="138">
        <v>3290000</v>
      </c>
      <c r="E195" s="20" t="s">
        <v>521</v>
      </c>
      <c r="F195" s="20" t="s">
        <v>457</v>
      </c>
      <c r="G195" s="8" t="str">
        <f t="shared" ref="G195:G258" si="3">E195&amp;" "&amp;F195</f>
        <v>CASSIDY BRANDON</v>
      </c>
    </row>
    <row r="196" spans="1:7" x14ac:dyDescent="0.25">
      <c r="A196" s="8">
        <v>42942.714224537034</v>
      </c>
      <c r="B196" s="20" t="s">
        <v>469</v>
      </c>
      <c r="C196" s="20" t="s">
        <v>805</v>
      </c>
      <c r="D196" s="138">
        <v>2440000</v>
      </c>
      <c r="E196" s="20" t="s">
        <v>756</v>
      </c>
      <c r="F196" s="20" t="s">
        <v>757</v>
      </c>
      <c r="G196" s="8" t="str">
        <f t="shared" si="3"/>
        <v>LOPES KIMBERLY</v>
      </c>
    </row>
    <row r="197" spans="1:7" x14ac:dyDescent="0.25">
      <c r="A197" s="8">
        <v>42942.715868055559</v>
      </c>
      <c r="B197" s="20" t="s">
        <v>388</v>
      </c>
      <c r="C197" s="20" t="s">
        <v>806</v>
      </c>
      <c r="D197" s="138">
        <v>1300000</v>
      </c>
      <c r="E197" s="20" t="s">
        <v>519</v>
      </c>
      <c r="F197" s="20" t="s">
        <v>520</v>
      </c>
      <c r="G197" s="8" t="str">
        <f t="shared" si="3"/>
        <v>LEVIN SCOTT</v>
      </c>
    </row>
    <row r="198" spans="1:7" x14ac:dyDescent="0.25">
      <c r="A198" s="8">
        <v>42942.719861111109</v>
      </c>
      <c r="B198" s="20" t="s">
        <v>363</v>
      </c>
      <c r="C198" s="20" t="s">
        <v>807</v>
      </c>
      <c r="D198" s="138">
        <v>3330000</v>
      </c>
      <c r="E198" s="20" t="s">
        <v>517</v>
      </c>
      <c r="F198" s="20" t="s">
        <v>518</v>
      </c>
      <c r="G198" s="8" t="str">
        <f t="shared" si="3"/>
        <v>GONZALEZ ARMANDO</v>
      </c>
    </row>
    <row r="199" spans="1:7" x14ac:dyDescent="0.25">
      <c r="A199" s="8">
        <v>42942.724583333336</v>
      </c>
      <c r="B199" s="20" t="s">
        <v>489</v>
      </c>
      <c r="C199" s="20" t="s">
        <v>808</v>
      </c>
      <c r="D199" s="138">
        <v>3340000</v>
      </c>
      <c r="E199" s="20" t="s">
        <v>507</v>
      </c>
      <c r="F199" s="20" t="s">
        <v>508</v>
      </c>
      <c r="G199" s="8" t="str">
        <f t="shared" si="3"/>
        <v>ELBAUM MIKE</v>
      </c>
    </row>
    <row r="200" spans="1:7" x14ac:dyDescent="0.25">
      <c r="A200" s="8">
        <v>42942.724629629629</v>
      </c>
      <c r="B200" s="20" t="s">
        <v>675</v>
      </c>
      <c r="C200" s="20" t="s">
        <v>809</v>
      </c>
      <c r="D200" s="138">
        <v>3280000</v>
      </c>
      <c r="E200" s="20" t="s">
        <v>446</v>
      </c>
      <c r="F200" s="20" t="s">
        <v>447</v>
      </c>
      <c r="G200" s="8" t="str">
        <f t="shared" si="3"/>
        <v>BIRKHOLZ NADINE</v>
      </c>
    </row>
    <row r="201" spans="1:7" x14ac:dyDescent="0.25">
      <c r="A201" s="8">
        <v>42942.734942129631</v>
      </c>
      <c r="B201" s="20" t="s">
        <v>357</v>
      </c>
      <c r="C201" s="20" t="s">
        <v>810</v>
      </c>
      <c r="D201" s="138">
        <v>3330000</v>
      </c>
      <c r="E201" s="20" t="s">
        <v>517</v>
      </c>
      <c r="F201" s="20" t="s">
        <v>518</v>
      </c>
      <c r="G201" s="8" t="str">
        <f t="shared" si="3"/>
        <v>GONZALEZ ARMANDO</v>
      </c>
    </row>
    <row r="202" spans="1:7" x14ac:dyDescent="0.25">
      <c r="A202" s="26">
        <v>42942.737430555557</v>
      </c>
      <c r="B202" s="20" t="s">
        <v>378</v>
      </c>
      <c r="C202" s="20" t="s">
        <v>811</v>
      </c>
      <c r="D202" s="138">
        <v>2090000</v>
      </c>
      <c r="E202" s="20" t="s">
        <v>392</v>
      </c>
      <c r="F202" s="20" t="s">
        <v>192</v>
      </c>
      <c r="G202" s="8" t="str">
        <f t="shared" si="3"/>
        <v>HAITHCOX MICHAEL</v>
      </c>
    </row>
    <row r="203" spans="1:7" x14ac:dyDescent="0.25">
      <c r="A203" s="8">
        <v>42942.739085648151</v>
      </c>
      <c r="B203" s="20" t="s">
        <v>616</v>
      </c>
      <c r="C203" s="20" t="s">
        <v>812</v>
      </c>
      <c r="D203" s="138">
        <v>880000</v>
      </c>
      <c r="E203" s="20" t="s">
        <v>544</v>
      </c>
      <c r="F203" s="20" t="s">
        <v>192</v>
      </c>
      <c r="G203" s="8" t="str">
        <f t="shared" si="3"/>
        <v>STEWART MICHAEL</v>
      </c>
    </row>
    <row r="204" spans="1:7" x14ac:dyDescent="0.25">
      <c r="A204" s="8">
        <v>42942.739259259259</v>
      </c>
      <c r="B204" s="20" t="s">
        <v>389</v>
      </c>
      <c r="C204" s="20" t="s">
        <v>650</v>
      </c>
      <c r="D204" s="138">
        <v>3290000</v>
      </c>
      <c r="E204" s="20" t="s">
        <v>521</v>
      </c>
      <c r="F204" s="20" t="s">
        <v>457</v>
      </c>
      <c r="G204" s="8" t="str">
        <f t="shared" si="3"/>
        <v>CASSIDY BRANDON</v>
      </c>
    </row>
    <row r="205" spans="1:7" x14ac:dyDescent="0.25">
      <c r="A205" s="8">
        <v>42942.743946759256</v>
      </c>
      <c r="B205" s="20" t="s">
        <v>630</v>
      </c>
      <c r="C205" s="20" t="s">
        <v>635</v>
      </c>
      <c r="D205" s="138">
        <v>2550000</v>
      </c>
      <c r="E205" s="20" t="s">
        <v>493</v>
      </c>
      <c r="F205" s="20" t="s">
        <v>494</v>
      </c>
      <c r="G205" s="8" t="str">
        <f t="shared" si="3"/>
        <v>BADERTSCHER DIANE</v>
      </c>
    </row>
    <row r="206" spans="1:7" x14ac:dyDescent="0.25">
      <c r="A206" s="8">
        <v>42942.745023148149</v>
      </c>
      <c r="B206" s="20" t="s">
        <v>468</v>
      </c>
      <c r="C206" s="20" t="s">
        <v>813</v>
      </c>
      <c r="D206" s="138">
        <v>2440000</v>
      </c>
      <c r="E206" s="20" t="s">
        <v>756</v>
      </c>
      <c r="F206" s="20" t="s">
        <v>757</v>
      </c>
      <c r="G206" s="8" t="str">
        <f t="shared" si="3"/>
        <v>LOPES KIMBERLY</v>
      </c>
    </row>
    <row r="207" spans="1:7" x14ac:dyDescent="0.25">
      <c r="A207" s="8">
        <v>42942.745069444441</v>
      </c>
      <c r="B207" s="20" t="s">
        <v>622</v>
      </c>
      <c r="C207" s="20" t="s">
        <v>814</v>
      </c>
      <c r="D207" s="138">
        <v>1770000</v>
      </c>
      <c r="E207" s="20" t="s">
        <v>491</v>
      </c>
      <c r="F207" s="20" t="s">
        <v>492</v>
      </c>
      <c r="G207" s="8" t="str">
        <f t="shared" si="3"/>
        <v>BRUDER RICHARD</v>
      </c>
    </row>
    <row r="208" spans="1:7" x14ac:dyDescent="0.25">
      <c r="A208" s="8">
        <v>42942.74895833333</v>
      </c>
      <c r="B208" s="20" t="s">
        <v>634</v>
      </c>
      <c r="C208" s="20" t="s">
        <v>635</v>
      </c>
      <c r="D208" s="138">
        <v>2550000</v>
      </c>
      <c r="E208" s="20" t="s">
        <v>493</v>
      </c>
      <c r="F208" s="20" t="s">
        <v>494</v>
      </c>
      <c r="G208" s="8" t="str">
        <f t="shared" si="3"/>
        <v>BADERTSCHER DIANE</v>
      </c>
    </row>
    <row r="209" spans="1:7" x14ac:dyDescent="0.25">
      <c r="A209" s="8">
        <v>42942.754513888889</v>
      </c>
      <c r="B209" s="20" t="s">
        <v>390</v>
      </c>
      <c r="C209" s="20" t="s">
        <v>651</v>
      </c>
      <c r="D209" s="138">
        <v>3290000</v>
      </c>
      <c r="E209" s="20" t="s">
        <v>521</v>
      </c>
      <c r="F209" s="20" t="s">
        <v>457</v>
      </c>
      <c r="G209" s="8" t="str">
        <f t="shared" si="3"/>
        <v>CASSIDY BRANDON</v>
      </c>
    </row>
    <row r="210" spans="1:7" x14ac:dyDescent="0.25">
      <c r="A210" s="8">
        <v>42942.755914351852</v>
      </c>
      <c r="B210" s="20" t="s">
        <v>387</v>
      </c>
      <c r="C210" s="20" t="s">
        <v>815</v>
      </c>
      <c r="D210" s="138">
        <v>1300000</v>
      </c>
      <c r="E210" s="20" t="s">
        <v>519</v>
      </c>
      <c r="F210" s="20" t="s">
        <v>520</v>
      </c>
      <c r="G210" s="8" t="str">
        <f t="shared" si="3"/>
        <v>LEVIN SCOTT</v>
      </c>
    </row>
    <row r="211" spans="1:7" x14ac:dyDescent="0.25">
      <c r="A211" s="8">
        <v>42942.756782407407</v>
      </c>
      <c r="B211" s="20" t="s">
        <v>506</v>
      </c>
      <c r="C211" s="20" t="s">
        <v>652</v>
      </c>
      <c r="D211" s="138">
        <v>3260000</v>
      </c>
      <c r="E211" s="20" t="s">
        <v>549</v>
      </c>
      <c r="F211" s="20" t="s">
        <v>550</v>
      </c>
      <c r="G211" s="8" t="str">
        <f t="shared" si="3"/>
        <v>PAGE MARCUS</v>
      </c>
    </row>
    <row r="212" spans="1:7" x14ac:dyDescent="0.25">
      <c r="A212" s="8">
        <v>42942.761863425927</v>
      </c>
      <c r="B212" s="20" t="s">
        <v>363</v>
      </c>
      <c r="C212" s="20" t="s">
        <v>816</v>
      </c>
      <c r="D212" s="138">
        <v>3330000</v>
      </c>
      <c r="E212" s="20" t="s">
        <v>517</v>
      </c>
      <c r="F212" s="20" t="s">
        <v>518</v>
      </c>
      <c r="G212" s="8" t="str">
        <f t="shared" si="3"/>
        <v>GONZALEZ ARMANDO</v>
      </c>
    </row>
    <row r="213" spans="1:7" x14ac:dyDescent="0.25">
      <c r="A213" s="8">
        <v>42942.763657407406</v>
      </c>
      <c r="B213" s="20" t="s">
        <v>671</v>
      </c>
      <c r="C213" s="20" t="s">
        <v>817</v>
      </c>
      <c r="D213" s="138">
        <v>3280000</v>
      </c>
      <c r="E213" s="20" t="s">
        <v>446</v>
      </c>
      <c r="F213" s="20" t="s">
        <v>447</v>
      </c>
      <c r="G213" s="8" t="str">
        <f t="shared" si="3"/>
        <v>BIRKHOLZ NADINE</v>
      </c>
    </row>
    <row r="214" spans="1:7" x14ac:dyDescent="0.25">
      <c r="A214" s="8">
        <v>42942.766192129631</v>
      </c>
      <c r="B214" s="20" t="s">
        <v>459</v>
      </c>
      <c r="C214" s="20" t="s">
        <v>653</v>
      </c>
      <c r="D214" s="138">
        <v>3090000</v>
      </c>
      <c r="E214" s="20" t="s">
        <v>364</v>
      </c>
      <c r="F214" s="20" t="s">
        <v>365</v>
      </c>
      <c r="G214" s="8" t="str">
        <f t="shared" si="3"/>
        <v>LAMAR NEKESHA</v>
      </c>
    </row>
    <row r="215" spans="1:7" x14ac:dyDescent="0.25">
      <c r="A215" s="8">
        <v>42942.767291666663</v>
      </c>
      <c r="B215" s="20" t="s">
        <v>409</v>
      </c>
      <c r="C215" s="20" t="s">
        <v>818</v>
      </c>
      <c r="D215" s="138">
        <v>2090000</v>
      </c>
      <c r="E215" s="20" t="s">
        <v>392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42942.776284722226</v>
      </c>
      <c r="B216" s="20" t="s">
        <v>357</v>
      </c>
      <c r="C216" s="20" t="s">
        <v>819</v>
      </c>
      <c r="D216" s="138">
        <v>3330000</v>
      </c>
      <c r="E216" s="20" t="s">
        <v>517</v>
      </c>
      <c r="F216" s="20" t="s">
        <v>518</v>
      </c>
      <c r="G216" s="8" t="str">
        <f t="shared" si="3"/>
        <v>GONZALEZ ARMANDO</v>
      </c>
    </row>
    <row r="217" spans="1:7" x14ac:dyDescent="0.25">
      <c r="A217" s="8">
        <v>42942.776678240742</v>
      </c>
      <c r="B217" s="20" t="s">
        <v>625</v>
      </c>
      <c r="C217" s="20" t="s">
        <v>820</v>
      </c>
      <c r="D217" s="138">
        <v>1770000</v>
      </c>
      <c r="E217" s="20" t="s">
        <v>491</v>
      </c>
      <c r="F217" s="20" t="s">
        <v>492</v>
      </c>
      <c r="G217" s="8" t="str">
        <f t="shared" si="3"/>
        <v>BRUDER RICHARD</v>
      </c>
    </row>
    <row r="218" spans="1:7" x14ac:dyDescent="0.25">
      <c r="A218" s="8">
        <v>42942.777766203704</v>
      </c>
      <c r="B218" s="20" t="s">
        <v>389</v>
      </c>
      <c r="C218" s="20" t="s">
        <v>821</v>
      </c>
      <c r="D218" s="138">
        <v>3290000</v>
      </c>
      <c r="E218" s="20" t="s">
        <v>521</v>
      </c>
      <c r="F218" s="20" t="s">
        <v>457</v>
      </c>
      <c r="G218" s="8" t="str">
        <f t="shared" si="3"/>
        <v>CASSIDY BRANDON</v>
      </c>
    </row>
    <row r="219" spans="1:7" x14ac:dyDescent="0.25">
      <c r="A219" s="8">
        <v>42942.784479166665</v>
      </c>
      <c r="B219" s="20" t="s">
        <v>469</v>
      </c>
      <c r="C219" s="20" t="s">
        <v>822</v>
      </c>
      <c r="D219" s="138">
        <v>2440000</v>
      </c>
      <c r="E219" s="20" t="s">
        <v>756</v>
      </c>
      <c r="F219" s="20" t="s">
        <v>757</v>
      </c>
      <c r="G219" s="8" t="str">
        <f t="shared" si="3"/>
        <v>LOPES KIMBERLY</v>
      </c>
    </row>
    <row r="220" spans="1:7" x14ac:dyDescent="0.25">
      <c r="A220" s="8">
        <v>42942.786631944444</v>
      </c>
      <c r="B220" s="20" t="s">
        <v>388</v>
      </c>
      <c r="C220" s="20" t="s">
        <v>823</v>
      </c>
      <c r="D220" s="138">
        <v>3000000</v>
      </c>
      <c r="E220" s="20" t="s">
        <v>383</v>
      </c>
      <c r="F220" s="20" t="s">
        <v>384</v>
      </c>
      <c r="G220" s="8" t="str">
        <f t="shared" si="3"/>
        <v>FORTUNATO FRANK</v>
      </c>
    </row>
    <row r="221" spans="1:7" x14ac:dyDescent="0.25">
      <c r="A221" s="8">
        <v>42942.794930555552</v>
      </c>
      <c r="B221" s="20" t="s">
        <v>503</v>
      </c>
      <c r="C221" s="20" t="s">
        <v>824</v>
      </c>
      <c r="D221" s="138">
        <v>3260000</v>
      </c>
      <c r="E221" s="20" t="s">
        <v>549</v>
      </c>
      <c r="F221" s="20" t="s">
        <v>550</v>
      </c>
      <c r="G221" s="8" t="str">
        <f t="shared" si="3"/>
        <v>PAGE MARCUS</v>
      </c>
    </row>
    <row r="222" spans="1:7" x14ac:dyDescent="0.25">
      <c r="A222" s="8">
        <v>42942.796759259261</v>
      </c>
      <c r="B222" s="20" t="s">
        <v>390</v>
      </c>
      <c r="C222" s="20" t="s">
        <v>825</v>
      </c>
      <c r="D222" s="138">
        <v>3290000</v>
      </c>
      <c r="E222" s="20" t="s">
        <v>521</v>
      </c>
      <c r="F222" s="20" t="s">
        <v>457</v>
      </c>
      <c r="G222" s="8" t="str">
        <f t="shared" si="3"/>
        <v>CASSIDY BRANDON</v>
      </c>
    </row>
    <row r="223" spans="1:7" x14ac:dyDescent="0.25">
      <c r="A223" s="8">
        <v>42942.798530092594</v>
      </c>
      <c r="B223" s="20" t="s">
        <v>675</v>
      </c>
      <c r="C223" s="20" t="s">
        <v>826</v>
      </c>
      <c r="D223" s="138">
        <v>3280000</v>
      </c>
      <c r="E223" s="20" t="s">
        <v>446</v>
      </c>
      <c r="F223" s="20" t="s">
        <v>447</v>
      </c>
      <c r="G223" s="8" t="str">
        <f t="shared" si="3"/>
        <v>BIRKHOLZ NADINE</v>
      </c>
    </row>
    <row r="224" spans="1:7" x14ac:dyDescent="0.25">
      <c r="A224" s="8">
        <v>42942.80369212963</v>
      </c>
      <c r="B224" t="s">
        <v>363</v>
      </c>
      <c r="C224" t="s">
        <v>827</v>
      </c>
      <c r="D224" s="138">
        <v>3330000</v>
      </c>
      <c r="E224" t="s">
        <v>517</v>
      </c>
      <c r="F224" s="20" t="s">
        <v>518</v>
      </c>
      <c r="G224" s="8" t="str">
        <f t="shared" si="3"/>
        <v>GONZALEZ ARMANDO</v>
      </c>
    </row>
    <row r="225" spans="1:7" x14ac:dyDescent="0.25">
      <c r="A225" s="8">
        <v>42942.80741898148</v>
      </c>
      <c r="B225" t="s">
        <v>489</v>
      </c>
      <c r="C225" t="s">
        <v>828</v>
      </c>
      <c r="D225" s="138">
        <v>3090000</v>
      </c>
      <c r="E225" t="s">
        <v>364</v>
      </c>
      <c r="F225" s="20" t="s">
        <v>365</v>
      </c>
      <c r="G225" s="8" t="str">
        <f t="shared" si="3"/>
        <v>LAMAR NEKESHA</v>
      </c>
    </row>
    <row r="226" spans="1:7" x14ac:dyDescent="0.25">
      <c r="A226" s="8">
        <v>42942.809629629628</v>
      </c>
      <c r="B226" t="s">
        <v>378</v>
      </c>
      <c r="C226" t="s">
        <v>829</v>
      </c>
      <c r="D226" s="138">
        <v>2090000</v>
      </c>
      <c r="E226" t="s">
        <v>392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42942.817361111112</v>
      </c>
      <c r="B227" t="s">
        <v>357</v>
      </c>
      <c r="C227" t="s">
        <v>830</v>
      </c>
      <c r="D227" s="138">
        <v>3330000</v>
      </c>
      <c r="E227" t="s">
        <v>517</v>
      </c>
      <c r="F227" s="20" t="s">
        <v>518</v>
      </c>
      <c r="G227" s="8" t="str">
        <f t="shared" si="3"/>
        <v>GONZALEZ ARMANDO</v>
      </c>
    </row>
    <row r="228" spans="1:7" x14ac:dyDescent="0.25">
      <c r="A228" s="8">
        <v>42942.818703703706</v>
      </c>
      <c r="B228" t="s">
        <v>468</v>
      </c>
      <c r="C228" t="s">
        <v>831</v>
      </c>
      <c r="D228" s="138">
        <v>2440000</v>
      </c>
      <c r="E228" t="s">
        <v>756</v>
      </c>
      <c r="F228" s="20" t="s">
        <v>757</v>
      </c>
      <c r="G228" s="8" t="str">
        <f t="shared" si="3"/>
        <v>LOPES KIMBERLY</v>
      </c>
    </row>
    <row r="229" spans="1:7" x14ac:dyDescent="0.25">
      <c r="A229" s="8">
        <v>42942.822337962964</v>
      </c>
      <c r="B229" t="s">
        <v>387</v>
      </c>
      <c r="C229" t="s">
        <v>654</v>
      </c>
      <c r="D229" s="138">
        <v>3000000</v>
      </c>
      <c r="E229" t="s">
        <v>383</v>
      </c>
      <c r="F229" s="20" t="s">
        <v>384</v>
      </c>
      <c r="G229" s="8" t="str">
        <f t="shared" si="3"/>
        <v>FORTUNATO FRANK</v>
      </c>
    </row>
    <row r="230" spans="1:7" x14ac:dyDescent="0.25">
      <c r="A230" s="8">
        <v>42942.828287037039</v>
      </c>
      <c r="B230" t="s">
        <v>506</v>
      </c>
      <c r="C230" t="s">
        <v>832</v>
      </c>
      <c r="D230" s="138">
        <v>3260000</v>
      </c>
      <c r="E230" t="s">
        <v>549</v>
      </c>
      <c r="F230" s="20" t="s">
        <v>550</v>
      </c>
      <c r="G230" s="8" t="str">
        <f t="shared" si="3"/>
        <v>PAGE MARCUS</v>
      </c>
    </row>
    <row r="231" spans="1:7" x14ac:dyDescent="0.25">
      <c r="A231" s="8">
        <v>42942.841956018521</v>
      </c>
      <c r="B231" t="s">
        <v>409</v>
      </c>
      <c r="C231" t="s">
        <v>833</v>
      </c>
      <c r="D231" s="138">
        <v>2090000</v>
      </c>
      <c r="E231" t="s">
        <v>392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42942.843969907408</v>
      </c>
      <c r="B232" t="s">
        <v>363</v>
      </c>
      <c r="C232" t="s">
        <v>834</v>
      </c>
      <c r="D232" s="138">
        <v>3330000</v>
      </c>
      <c r="E232" t="s">
        <v>517</v>
      </c>
      <c r="F232" s="20" t="s">
        <v>518</v>
      </c>
      <c r="G232" s="8" t="str">
        <f t="shared" si="3"/>
        <v>GONZALEZ ARMANDO</v>
      </c>
    </row>
    <row r="233" spans="1:7" x14ac:dyDescent="0.25">
      <c r="A233" s="8">
        <v>42942.849444444444</v>
      </c>
      <c r="B233" t="s">
        <v>459</v>
      </c>
      <c r="C233" t="s">
        <v>835</v>
      </c>
      <c r="D233" s="138">
        <v>3090000</v>
      </c>
      <c r="E233" t="s">
        <v>364</v>
      </c>
      <c r="F233" s="20" t="s">
        <v>365</v>
      </c>
      <c r="G233" s="8" t="str">
        <f t="shared" si="3"/>
        <v>LAMAR NEKESHA</v>
      </c>
    </row>
    <row r="234" spans="1:7" x14ac:dyDescent="0.25">
      <c r="A234" s="8">
        <v>42942.859895833331</v>
      </c>
      <c r="B234" t="s">
        <v>357</v>
      </c>
      <c r="C234" t="s">
        <v>836</v>
      </c>
      <c r="D234" s="138">
        <v>3330000</v>
      </c>
      <c r="E234" t="s">
        <v>517</v>
      </c>
      <c r="F234" s="20" t="s">
        <v>518</v>
      </c>
      <c r="G234" s="8" t="str">
        <f t="shared" si="3"/>
        <v>GONZALEZ ARMANDO</v>
      </c>
    </row>
    <row r="235" spans="1:7" x14ac:dyDescent="0.25">
      <c r="A235" s="8">
        <v>42942.861875000002</v>
      </c>
      <c r="B235" t="s">
        <v>503</v>
      </c>
      <c r="C235" t="s">
        <v>837</v>
      </c>
      <c r="D235" s="138">
        <v>3260000</v>
      </c>
      <c r="E235" t="s">
        <v>549</v>
      </c>
      <c r="F235" s="20" t="s">
        <v>550</v>
      </c>
      <c r="G235" s="8" t="str">
        <f t="shared" si="3"/>
        <v>PAGE MARCUS</v>
      </c>
    </row>
    <row r="236" spans="1:7" x14ac:dyDescent="0.25">
      <c r="A236" s="8">
        <v>42942.869131944448</v>
      </c>
      <c r="B236" t="s">
        <v>388</v>
      </c>
      <c r="C236" t="s">
        <v>838</v>
      </c>
      <c r="D236" s="138">
        <v>3000000</v>
      </c>
      <c r="E236" t="s">
        <v>383</v>
      </c>
      <c r="F236" s="20" t="s">
        <v>384</v>
      </c>
      <c r="G236" s="8" t="str">
        <f t="shared" si="3"/>
        <v>FORTUNATO FRANK</v>
      </c>
    </row>
    <row r="237" spans="1:7" x14ac:dyDescent="0.25">
      <c r="A237" s="8">
        <v>42942.875347222223</v>
      </c>
      <c r="B237" t="s">
        <v>363</v>
      </c>
      <c r="C237" t="s">
        <v>839</v>
      </c>
      <c r="D237" s="138">
        <v>3290000</v>
      </c>
      <c r="E237" t="s">
        <v>521</v>
      </c>
      <c r="F237" s="20" t="s">
        <v>457</v>
      </c>
      <c r="G237" s="8" t="str">
        <f t="shared" si="3"/>
        <v>CASSIDY BRANDON</v>
      </c>
    </row>
    <row r="238" spans="1:7" x14ac:dyDescent="0.25">
      <c r="A238" s="8">
        <v>42942.890868055554</v>
      </c>
      <c r="B238" t="s">
        <v>489</v>
      </c>
      <c r="C238" t="s">
        <v>655</v>
      </c>
      <c r="D238" s="138">
        <v>3090000</v>
      </c>
      <c r="E238" t="s">
        <v>364</v>
      </c>
      <c r="F238" s="20" t="s">
        <v>365</v>
      </c>
      <c r="G238" s="8" t="str">
        <f t="shared" si="3"/>
        <v>LAMAR NEKESHA</v>
      </c>
    </row>
    <row r="239" spans="1:7" x14ac:dyDescent="0.25">
      <c r="A239" s="8">
        <v>42942.891631944447</v>
      </c>
      <c r="B239" t="s">
        <v>378</v>
      </c>
      <c r="C239" t="s">
        <v>840</v>
      </c>
      <c r="D239" s="138">
        <v>3220000</v>
      </c>
      <c r="E239" t="s">
        <v>841</v>
      </c>
      <c r="F239" s="20" t="s">
        <v>842</v>
      </c>
      <c r="G239" s="8" t="str">
        <f t="shared" si="3"/>
        <v>RESPASS AARON</v>
      </c>
    </row>
    <row r="240" spans="1:7" x14ac:dyDescent="0.25">
      <c r="A240" s="8">
        <v>42942.900370370371</v>
      </c>
      <c r="B240" t="s">
        <v>357</v>
      </c>
      <c r="C240" t="s">
        <v>843</v>
      </c>
      <c r="D240" s="138">
        <v>3290000</v>
      </c>
      <c r="E240" t="s">
        <v>521</v>
      </c>
      <c r="F240" s="20" t="s">
        <v>457</v>
      </c>
      <c r="G240" s="8" t="str">
        <f t="shared" si="3"/>
        <v>CASSIDY BRANDON</v>
      </c>
    </row>
    <row r="241" spans="1:7" x14ac:dyDescent="0.25">
      <c r="A241" s="8">
        <v>42942.903703703705</v>
      </c>
      <c r="B241" t="s">
        <v>506</v>
      </c>
      <c r="C241" t="s">
        <v>844</v>
      </c>
      <c r="D241" s="138">
        <v>3260000</v>
      </c>
      <c r="E241" t="s">
        <v>549</v>
      </c>
      <c r="F241" s="20" t="s">
        <v>550</v>
      </c>
      <c r="G241" s="8" t="str">
        <f t="shared" si="3"/>
        <v>PAGE MARCUS</v>
      </c>
    </row>
    <row r="242" spans="1:7" x14ac:dyDescent="0.25">
      <c r="A242" s="8">
        <v>42942.904004629629</v>
      </c>
      <c r="B242" t="s">
        <v>387</v>
      </c>
      <c r="C242" t="s">
        <v>845</v>
      </c>
      <c r="D242" s="138">
        <v>3000000</v>
      </c>
      <c r="E242" t="s">
        <v>383</v>
      </c>
      <c r="F242" s="20" t="s">
        <v>384</v>
      </c>
      <c r="G242" s="8" t="str">
        <f t="shared" si="3"/>
        <v>FORTUNATO FRANK</v>
      </c>
    </row>
    <row r="243" spans="1:7" x14ac:dyDescent="0.25">
      <c r="A243" s="8">
        <v>42942.919050925928</v>
      </c>
      <c r="B243" t="s">
        <v>363</v>
      </c>
      <c r="C243" t="s">
        <v>846</v>
      </c>
      <c r="D243" s="138">
        <v>3290000</v>
      </c>
      <c r="E243" t="s">
        <v>521</v>
      </c>
      <c r="F243" s="20" t="s">
        <v>457</v>
      </c>
      <c r="G243" s="8" t="str">
        <f t="shared" si="3"/>
        <v>CASSIDY BRANDON</v>
      </c>
    </row>
    <row r="244" spans="1:7" x14ac:dyDescent="0.25">
      <c r="A244" s="8">
        <v>42942.925011574072</v>
      </c>
      <c r="B244" t="s">
        <v>409</v>
      </c>
      <c r="C244" t="s">
        <v>847</v>
      </c>
      <c r="D244" s="138">
        <v>3220000</v>
      </c>
      <c r="E244" t="s">
        <v>841</v>
      </c>
      <c r="F244" s="20" t="s">
        <v>842</v>
      </c>
      <c r="G244" s="8" t="str">
        <f t="shared" si="3"/>
        <v>RESPASS AARON</v>
      </c>
    </row>
    <row r="245" spans="1:7" x14ac:dyDescent="0.25">
      <c r="A245" s="8">
        <v>42942.933912037035</v>
      </c>
      <c r="B245" t="s">
        <v>459</v>
      </c>
      <c r="C245" t="s">
        <v>848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42942.942812499998</v>
      </c>
      <c r="B246" t="s">
        <v>357</v>
      </c>
      <c r="C246" t="s">
        <v>656</v>
      </c>
      <c r="D246" s="138">
        <v>3290000</v>
      </c>
      <c r="E246" t="s">
        <v>521</v>
      </c>
      <c r="F246" s="20" t="s">
        <v>457</v>
      </c>
      <c r="G246" s="8" t="str">
        <f t="shared" si="3"/>
        <v>CASSIDY BRANDON</v>
      </c>
    </row>
    <row r="247" spans="1:7" x14ac:dyDescent="0.25">
      <c r="A247" s="8">
        <v>42942.943622685183</v>
      </c>
      <c r="B247" t="s">
        <v>644</v>
      </c>
      <c r="C247" t="s">
        <v>849</v>
      </c>
      <c r="D247" s="138">
        <v>2610000</v>
      </c>
      <c r="E247" t="s">
        <v>380</v>
      </c>
      <c r="F247" s="20" t="s">
        <v>381</v>
      </c>
      <c r="G247" s="8" t="str">
        <f t="shared" si="3"/>
        <v>MAGEE KENYA</v>
      </c>
    </row>
    <row r="248" spans="1:7" x14ac:dyDescent="0.25">
      <c r="A248" s="8">
        <v>42942.947523148148</v>
      </c>
      <c r="B248" t="s">
        <v>616</v>
      </c>
      <c r="C248" t="s">
        <v>850</v>
      </c>
      <c r="D248" s="138">
        <v>2610000</v>
      </c>
      <c r="E248" t="s">
        <v>380</v>
      </c>
      <c r="F248" s="20" t="s">
        <v>381</v>
      </c>
      <c r="G248" s="8" t="str">
        <f t="shared" si="3"/>
        <v>MAGEE KENYA</v>
      </c>
    </row>
    <row r="249" spans="1:7" x14ac:dyDescent="0.25">
      <c r="A249" s="8">
        <v>42942.948587962965</v>
      </c>
      <c r="B249" t="s">
        <v>503</v>
      </c>
      <c r="C249" t="s">
        <v>657</v>
      </c>
      <c r="D249" s="138">
        <v>3260000</v>
      </c>
      <c r="E249" t="s">
        <v>549</v>
      </c>
      <c r="F249" s="20" t="s">
        <v>550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388</v>
      </c>
      <c r="C250" t="s">
        <v>851</v>
      </c>
      <c r="D250" s="138">
        <v>3000000</v>
      </c>
      <c r="E250" t="s">
        <v>383</v>
      </c>
      <c r="F250" s="20" t="s">
        <v>384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378</v>
      </c>
      <c r="C251" t="s">
        <v>852</v>
      </c>
      <c r="D251" s="138">
        <v>2090000</v>
      </c>
      <c r="E251" t="s">
        <v>392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489</v>
      </c>
      <c r="C252" t="s">
        <v>853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387</v>
      </c>
      <c r="C253" t="s">
        <v>854</v>
      </c>
      <c r="D253" s="138">
        <v>3000000</v>
      </c>
      <c r="E253" t="s">
        <v>383</v>
      </c>
      <c r="F253" s="20" t="s">
        <v>384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644</v>
      </c>
      <c r="C254" t="s">
        <v>855</v>
      </c>
      <c r="D254" s="138">
        <v>3260000</v>
      </c>
      <c r="E254" t="s">
        <v>549</v>
      </c>
      <c r="F254" s="20" t="s">
        <v>550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644</v>
      </c>
      <c r="C255" t="s">
        <v>855</v>
      </c>
      <c r="D255" s="138">
        <v>3260000</v>
      </c>
      <c r="E255" t="s">
        <v>549</v>
      </c>
      <c r="F255" s="20" t="s">
        <v>550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644</v>
      </c>
      <c r="C256" t="s">
        <v>855</v>
      </c>
      <c r="D256" s="138">
        <v>3260000</v>
      </c>
      <c r="E256" t="s">
        <v>549</v>
      </c>
      <c r="F256" s="20" t="s">
        <v>550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409</v>
      </c>
      <c r="C257" t="s">
        <v>856</v>
      </c>
      <c r="D257" s="138">
        <v>2090000</v>
      </c>
      <c r="E257" t="s">
        <v>392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459</v>
      </c>
      <c r="C258" t="s">
        <v>857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388</v>
      </c>
      <c r="C259" t="s">
        <v>858</v>
      </c>
      <c r="D259" s="138">
        <v>3000000</v>
      </c>
      <c r="E259" t="s">
        <v>383</v>
      </c>
      <c r="F259" s="20" t="s">
        <v>384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616</v>
      </c>
      <c r="C260" t="s">
        <v>859</v>
      </c>
      <c r="D260" s="138">
        <v>3260000</v>
      </c>
      <c r="E260" t="s">
        <v>549</v>
      </c>
      <c r="F260" s="20" t="s">
        <v>550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860</v>
      </c>
      <c r="D261" s="138">
        <v>2090000</v>
      </c>
      <c r="E261" t="s">
        <v>392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860</v>
      </c>
      <c r="D262" s="138">
        <v>2090000</v>
      </c>
      <c r="E262" t="s">
        <v>392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489</v>
      </c>
      <c r="C263" t="s">
        <v>861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644</v>
      </c>
      <c r="C264" t="s">
        <v>862</v>
      </c>
      <c r="D264" s="138">
        <v>3260000</v>
      </c>
      <c r="E264" t="s">
        <v>549</v>
      </c>
      <c r="F264" s="20" t="s">
        <v>550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459</v>
      </c>
      <c r="C265" t="s">
        <v>863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448</v>
      </c>
      <c r="C266" t="s">
        <v>449</v>
      </c>
      <c r="D266" s="138">
        <v>1110000</v>
      </c>
      <c r="E266" t="s">
        <v>413</v>
      </c>
      <c r="F266" s="20" t="s">
        <v>414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405</v>
      </c>
      <c r="C267" t="s">
        <v>421</v>
      </c>
      <c r="D267" s="138">
        <v>2090000</v>
      </c>
      <c r="E267" t="s">
        <v>392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388</v>
      </c>
      <c r="C268" t="s">
        <v>422</v>
      </c>
      <c r="D268" s="138">
        <v>2000000</v>
      </c>
      <c r="E268" t="s">
        <v>393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409</v>
      </c>
      <c r="C269" t="s">
        <v>423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389</v>
      </c>
      <c r="C270" t="s">
        <v>424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405</v>
      </c>
      <c r="C271" t="s">
        <v>421</v>
      </c>
      <c r="D271" s="138">
        <v>2090000</v>
      </c>
      <c r="E271" t="s">
        <v>392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387</v>
      </c>
      <c r="C272" t="s">
        <v>425</v>
      </c>
      <c r="D272" s="138">
        <v>2000000</v>
      </c>
      <c r="E272" t="s">
        <v>393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390</v>
      </c>
      <c r="C273" t="s">
        <v>424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419</v>
      </c>
      <c r="C274" t="s">
        <v>426</v>
      </c>
      <c r="D274" s="138">
        <v>3000000</v>
      </c>
      <c r="E274" t="s">
        <v>383</v>
      </c>
      <c r="F274" s="20" t="s">
        <v>384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389</v>
      </c>
      <c r="C275" t="s">
        <v>427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388</v>
      </c>
      <c r="C276" t="s">
        <v>428</v>
      </c>
      <c r="D276" s="138">
        <v>2000000</v>
      </c>
      <c r="E276" t="s">
        <v>393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407</v>
      </c>
      <c r="C277" t="s">
        <v>429</v>
      </c>
      <c r="D277" s="138">
        <v>2090000</v>
      </c>
      <c r="E277" t="s">
        <v>392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430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387</v>
      </c>
      <c r="C279" t="s">
        <v>431</v>
      </c>
      <c r="D279" s="138">
        <v>2000000</v>
      </c>
      <c r="E279" t="s">
        <v>393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418</v>
      </c>
      <c r="C280" t="s">
        <v>432</v>
      </c>
      <c r="D280" s="138">
        <v>3000000</v>
      </c>
      <c r="E280" t="s">
        <v>383</v>
      </c>
      <c r="F280" s="20" t="s">
        <v>384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390</v>
      </c>
      <c r="C281" t="s">
        <v>433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388</v>
      </c>
      <c r="C282" t="s">
        <v>431</v>
      </c>
      <c r="D282" s="138">
        <v>2000000</v>
      </c>
      <c r="E282" t="s">
        <v>393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405</v>
      </c>
      <c r="C283" t="s">
        <v>434</v>
      </c>
      <c r="D283" s="138">
        <v>2090000</v>
      </c>
      <c r="E283" t="s">
        <v>392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435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417</v>
      </c>
      <c r="C285" t="s">
        <v>436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409</v>
      </c>
      <c r="C286" t="s">
        <v>437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419</v>
      </c>
      <c r="C287" t="s">
        <v>438</v>
      </c>
      <c r="D287" s="138">
        <v>3000000</v>
      </c>
      <c r="E287" t="s">
        <v>383</v>
      </c>
      <c r="F287" s="20" t="s">
        <v>384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439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407</v>
      </c>
      <c r="C289" t="s">
        <v>420</v>
      </c>
      <c r="D289" s="138">
        <v>2090000</v>
      </c>
      <c r="E289" t="s">
        <v>392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440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418</v>
      </c>
      <c r="C291" t="s">
        <v>441</v>
      </c>
      <c r="D291" s="138">
        <v>3000000</v>
      </c>
      <c r="E291" t="s">
        <v>383</v>
      </c>
      <c r="F291" s="20" t="s">
        <v>384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405</v>
      </c>
      <c r="C292" t="s">
        <v>442</v>
      </c>
      <c r="D292" s="138">
        <v>2090000</v>
      </c>
      <c r="E292" t="s">
        <v>392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409</v>
      </c>
      <c r="C293" t="s">
        <v>443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444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445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445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445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555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394</v>
      </c>
      <c r="P1" s="171" t="s">
        <v>156</v>
      </c>
      <c r="Q1" s="171" t="s">
        <v>163</v>
      </c>
      <c r="R1" s="171" t="s">
        <v>395</v>
      </c>
      <c r="S1" s="171" t="s">
        <v>160</v>
      </c>
    </row>
    <row r="2" spans="1:19" x14ac:dyDescent="0.25">
      <c r="A2" s="172">
        <v>71.5</v>
      </c>
      <c r="B2" s="172">
        <v>0.56000000000000005</v>
      </c>
      <c r="C2" s="172">
        <v>58.49</v>
      </c>
      <c r="D2" s="8">
        <v>42942</v>
      </c>
      <c r="E2" s="172">
        <v>0.64</v>
      </c>
      <c r="F2" s="172" t="s">
        <v>464</v>
      </c>
      <c r="G2" s="172">
        <v>284.87</v>
      </c>
      <c r="H2" s="172">
        <v>0</v>
      </c>
      <c r="I2" s="172">
        <v>0</v>
      </c>
      <c r="J2" s="172"/>
      <c r="K2" s="172">
        <v>1013.48</v>
      </c>
      <c r="L2" s="172" t="s">
        <v>463</v>
      </c>
      <c r="M2" s="172">
        <v>71.5</v>
      </c>
      <c r="N2" s="172">
        <v>1501048800</v>
      </c>
      <c r="O2" s="172">
        <v>0</v>
      </c>
      <c r="P2" s="172">
        <v>10</v>
      </c>
      <c r="Q2" s="172">
        <v>333</v>
      </c>
      <c r="R2" s="172">
        <v>2.95</v>
      </c>
      <c r="S2" s="172">
        <v>2.94</v>
      </c>
    </row>
    <row r="3" spans="1:19" x14ac:dyDescent="0.25">
      <c r="A3" s="172">
        <v>69.25</v>
      </c>
      <c r="B3" s="172">
        <v>0.48</v>
      </c>
      <c r="C3" s="172">
        <v>58.55</v>
      </c>
      <c r="D3" s="8">
        <v>42942.041666666664</v>
      </c>
      <c r="E3" s="172">
        <v>0.69</v>
      </c>
      <c r="F3" s="172" t="s">
        <v>464</v>
      </c>
      <c r="G3" s="172">
        <v>284.76</v>
      </c>
      <c r="H3" s="172">
        <v>0</v>
      </c>
      <c r="I3" s="172">
        <v>0</v>
      </c>
      <c r="J3" s="172"/>
      <c r="K3" s="172">
        <v>1013.66</v>
      </c>
      <c r="L3" s="172" t="s">
        <v>463</v>
      </c>
      <c r="M3" s="172">
        <v>69.25</v>
      </c>
      <c r="N3" s="172">
        <v>1501052400</v>
      </c>
      <c r="O3" s="172">
        <v>0</v>
      </c>
      <c r="P3" s="172">
        <v>9.68</v>
      </c>
      <c r="Q3" s="172">
        <v>6</v>
      </c>
      <c r="R3" s="172">
        <v>5.25</v>
      </c>
      <c r="S3" s="172">
        <v>3.69</v>
      </c>
    </row>
    <row r="4" spans="1:19" x14ac:dyDescent="0.25">
      <c r="A4" s="172">
        <v>66.8</v>
      </c>
      <c r="B4" s="172">
        <v>0.37</v>
      </c>
      <c r="C4" s="172">
        <v>58.36</v>
      </c>
      <c r="D4" s="8">
        <v>42942.083333333336</v>
      </c>
      <c r="E4" s="172">
        <v>0.74</v>
      </c>
      <c r="F4" s="172" t="s">
        <v>464</v>
      </c>
      <c r="G4" s="172">
        <v>284.52999999999997</v>
      </c>
      <c r="H4" s="172">
        <v>0</v>
      </c>
      <c r="I4" s="172">
        <v>0</v>
      </c>
      <c r="J4" s="172"/>
      <c r="K4" s="172">
        <v>1013.87</v>
      </c>
      <c r="L4" s="172" t="s">
        <v>463</v>
      </c>
      <c r="M4" s="172">
        <v>66.8</v>
      </c>
      <c r="N4" s="172">
        <v>1501056000</v>
      </c>
      <c r="O4" s="172">
        <v>0</v>
      </c>
      <c r="P4" s="172">
        <v>9.52</v>
      </c>
      <c r="Q4" s="172">
        <v>350</v>
      </c>
      <c r="R4" s="172">
        <v>7.39</v>
      </c>
      <c r="S4" s="172">
        <v>4.49</v>
      </c>
    </row>
    <row r="5" spans="1:19" x14ac:dyDescent="0.25">
      <c r="A5" s="172">
        <v>67.64</v>
      </c>
      <c r="B5" s="172">
        <v>0.38</v>
      </c>
      <c r="C5" s="172">
        <v>57.87</v>
      </c>
      <c r="D5" s="8">
        <v>42942.125</v>
      </c>
      <c r="E5" s="172">
        <v>0.71</v>
      </c>
      <c r="F5" s="172" t="s">
        <v>464</v>
      </c>
      <c r="G5" s="172">
        <v>284.18</v>
      </c>
      <c r="H5" s="172">
        <v>0</v>
      </c>
      <c r="I5" s="172">
        <v>0</v>
      </c>
      <c r="J5" s="172"/>
      <c r="K5" s="172">
        <v>1014.58</v>
      </c>
      <c r="L5" s="172" t="s">
        <v>463</v>
      </c>
      <c r="M5" s="172">
        <v>67.64</v>
      </c>
      <c r="N5" s="172">
        <v>1501059600</v>
      </c>
      <c r="O5" s="172">
        <v>0</v>
      </c>
      <c r="P5" s="172">
        <v>10</v>
      </c>
      <c r="Q5" s="172">
        <v>333</v>
      </c>
      <c r="R5" s="172">
        <v>9.26</v>
      </c>
      <c r="S5" s="172">
        <v>5.17</v>
      </c>
    </row>
    <row r="6" spans="1:19" x14ac:dyDescent="0.25">
      <c r="A6" s="172">
        <v>67.81</v>
      </c>
      <c r="B6" s="172">
        <v>0.41</v>
      </c>
      <c r="C6" s="172">
        <v>57.4</v>
      </c>
      <c r="D6" s="8">
        <v>42942.166666666664</v>
      </c>
      <c r="E6" s="172">
        <v>0.69</v>
      </c>
      <c r="F6" s="172" t="s">
        <v>464</v>
      </c>
      <c r="G6" s="172">
        <v>283.95</v>
      </c>
      <c r="H6" s="172">
        <v>0</v>
      </c>
      <c r="I6" s="172">
        <v>0</v>
      </c>
      <c r="J6" s="172"/>
      <c r="K6" s="172">
        <v>1015.29</v>
      </c>
      <c r="L6" s="172" t="s">
        <v>463</v>
      </c>
      <c r="M6" s="172">
        <v>67.81</v>
      </c>
      <c r="N6" s="172">
        <v>1501063200</v>
      </c>
      <c r="O6" s="172">
        <v>0</v>
      </c>
      <c r="P6" s="172">
        <v>10</v>
      </c>
      <c r="Q6" s="172">
        <v>335</v>
      </c>
      <c r="R6" s="172">
        <v>8.75</v>
      </c>
      <c r="S6" s="172">
        <v>4.9800000000000004</v>
      </c>
    </row>
    <row r="7" spans="1:19" x14ac:dyDescent="0.25">
      <c r="A7" s="172">
        <v>68.62</v>
      </c>
      <c r="B7" s="172">
        <v>0.56000000000000005</v>
      </c>
      <c r="C7" s="172">
        <v>56.93</v>
      </c>
      <c r="D7" s="8">
        <v>42942.208333333336</v>
      </c>
      <c r="E7" s="172">
        <v>0.66</v>
      </c>
      <c r="F7" s="172" t="s">
        <v>464</v>
      </c>
      <c r="G7" s="172">
        <v>283.95</v>
      </c>
      <c r="H7" s="172">
        <v>2.5000000000000001E-3</v>
      </c>
      <c r="I7" s="172">
        <v>0.01</v>
      </c>
      <c r="J7" s="172" t="s">
        <v>557</v>
      </c>
      <c r="K7" s="172">
        <v>1015.85</v>
      </c>
      <c r="L7" s="172" t="s">
        <v>463</v>
      </c>
      <c r="M7" s="172">
        <v>68.62</v>
      </c>
      <c r="N7" s="172">
        <v>1501066800</v>
      </c>
      <c r="O7" s="172">
        <v>0</v>
      </c>
      <c r="P7" s="172">
        <v>10</v>
      </c>
      <c r="Q7" s="172">
        <v>331</v>
      </c>
      <c r="R7" s="172">
        <v>7.53</v>
      </c>
      <c r="S7" s="172">
        <v>4.67</v>
      </c>
    </row>
    <row r="8" spans="1:19" x14ac:dyDescent="0.25">
      <c r="A8" s="172">
        <v>68.930000000000007</v>
      </c>
      <c r="B8" s="172">
        <v>0.7</v>
      </c>
      <c r="C8" s="172">
        <v>57.36</v>
      </c>
      <c r="D8" s="8">
        <v>42942.25</v>
      </c>
      <c r="E8" s="172">
        <v>0.67</v>
      </c>
      <c r="F8" s="172" t="s">
        <v>462</v>
      </c>
      <c r="G8" s="172">
        <v>284.77</v>
      </c>
      <c r="H8" s="172">
        <v>0</v>
      </c>
      <c r="I8" s="172">
        <v>0</v>
      </c>
      <c r="J8" s="172"/>
      <c r="K8" s="172">
        <v>1016.43</v>
      </c>
      <c r="L8" s="172" t="s">
        <v>556</v>
      </c>
      <c r="M8" s="172">
        <v>68.930000000000007</v>
      </c>
      <c r="N8" s="172">
        <v>1501070400</v>
      </c>
      <c r="O8" s="172">
        <v>0</v>
      </c>
      <c r="P8" s="172">
        <v>9.86</v>
      </c>
      <c r="Q8" s="172">
        <v>330</v>
      </c>
      <c r="R8" s="172">
        <v>5.18</v>
      </c>
      <c r="S8" s="172">
        <v>1.96</v>
      </c>
    </row>
    <row r="9" spans="1:19" x14ac:dyDescent="0.25">
      <c r="A9" s="172">
        <v>69.64</v>
      </c>
      <c r="B9" s="172">
        <v>0.68</v>
      </c>
      <c r="C9" s="172">
        <v>57.74</v>
      </c>
      <c r="D9" s="8">
        <v>42942.291666666664</v>
      </c>
      <c r="E9" s="172">
        <v>0.66</v>
      </c>
      <c r="F9" s="172" t="s">
        <v>462</v>
      </c>
      <c r="G9" s="172">
        <v>285.35000000000002</v>
      </c>
      <c r="H9" s="172">
        <v>0</v>
      </c>
      <c r="I9" s="172">
        <v>0</v>
      </c>
      <c r="J9" s="172"/>
      <c r="K9" s="172">
        <v>1016.71</v>
      </c>
      <c r="L9" s="172" t="s">
        <v>556</v>
      </c>
      <c r="M9" s="172">
        <v>69.64</v>
      </c>
      <c r="N9" s="172">
        <v>1501074000</v>
      </c>
      <c r="O9" s="172">
        <v>0</v>
      </c>
      <c r="P9" s="172">
        <v>10</v>
      </c>
      <c r="Q9" s="172">
        <v>54</v>
      </c>
      <c r="R9" s="172">
        <v>2.98</v>
      </c>
      <c r="S9" s="172">
        <v>2.19</v>
      </c>
    </row>
    <row r="10" spans="1:19" x14ac:dyDescent="0.25">
      <c r="A10" s="172">
        <v>70.64</v>
      </c>
      <c r="B10" s="172">
        <v>0.65</v>
      </c>
      <c r="C10" s="172">
        <v>57.69</v>
      </c>
      <c r="D10" s="8">
        <v>42942.333333333336</v>
      </c>
      <c r="E10" s="172">
        <v>0.64</v>
      </c>
      <c r="F10" s="172" t="s">
        <v>462</v>
      </c>
      <c r="G10" s="172">
        <v>286.04000000000002</v>
      </c>
      <c r="H10" s="172">
        <v>0</v>
      </c>
      <c r="I10" s="172">
        <v>0</v>
      </c>
      <c r="J10" s="172"/>
      <c r="K10" s="172">
        <v>1016.89</v>
      </c>
      <c r="L10" s="172" t="s">
        <v>556</v>
      </c>
      <c r="M10" s="172">
        <v>70.64</v>
      </c>
      <c r="N10" s="172">
        <v>1501077600</v>
      </c>
      <c r="O10" s="172">
        <v>1</v>
      </c>
      <c r="P10" s="172">
        <v>10</v>
      </c>
      <c r="Q10" s="172">
        <v>48</v>
      </c>
      <c r="R10" s="172">
        <v>5.39</v>
      </c>
      <c r="S10" s="172">
        <v>3.17</v>
      </c>
    </row>
    <row r="11" spans="1:19" x14ac:dyDescent="0.25">
      <c r="A11" s="172">
        <v>72.239999999999995</v>
      </c>
      <c r="B11" s="172">
        <v>0.65</v>
      </c>
      <c r="C11" s="172">
        <v>58.8</v>
      </c>
      <c r="D11" s="8">
        <v>42942.375</v>
      </c>
      <c r="E11" s="172">
        <v>0.63</v>
      </c>
      <c r="F11" s="172" t="s">
        <v>462</v>
      </c>
      <c r="G11" s="172">
        <v>286.38</v>
      </c>
      <c r="H11" s="172">
        <v>0</v>
      </c>
      <c r="I11" s="172">
        <v>0</v>
      </c>
      <c r="J11" s="172"/>
      <c r="K11" s="172">
        <v>1016.99</v>
      </c>
      <c r="L11" s="172" t="s">
        <v>556</v>
      </c>
      <c r="M11" s="172">
        <v>72.239999999999995</v>
      </c>
      <c r="N11" s="172">
        <v>1501081200</v>
      </c>
      <c r="O11" s="172">
        <v>2</v>
      </c>
      <c r="P11" s="172">
        <v>10</v>
      </c>
      <c r="Q11" s="172">
        <v>34</v>
      </c>
      <c r="R11" s="172">
        <v>5.18</v>
      </c>
      <c r="S11" s="172">
        <v>4.34</v>
      </c>
    </row>
    <row r="12" spans="1:19" x14ac:dyDescent="0.25">
      <c r="A12" s="172">
        <v>74.59</v>
      </c>
      <c r="B12" s="172">
        <v>0.64</v>
      </c>
      <c r="C12" s="172">
        <v>58.81</v>
      </c>
      <c r="D12" s="8">
        <v>42942.416666666664</v>
      </c>
      <c r="E12" s="172">
        <v>0.57999999999999996</v>
      </c>
      <c r="F12" s="172" t="s">
        <v>462</v>
      </c>
      <c r="G12" s="172">
        <v>286.38</v>
      </c>
      <c r="H12" s="172">
        <v>0</v>
      </c>
      <c r="I12" s="172">
        <v>0</v>
      </c>
      <c r="J12" s="172"/>
      <c r="K12" s="172">
        <v>1016.54</v>
      </c>
      <c r="L12" s="172" t="s">
        <v>556</v>
      </c>
      <c r="M12" s="172">
        <v>74.59</v>
      </c>
      <c r="N12" s="172">
        <v>1501084800</v>
      </c>
      <c r="O12" s="172">
        <v>3</v>
      </c>
      <c r="P12" s="172">
        <v>10</v>
      </c>
      <c r="Q12" s="172">
        <v>43</v>
      </c>
      <c r="R12" s="172">
        <v>4.6900000000000004</v>
      </c>
      <c r="S12" s="172">
        <v>4.33</v>
      </c>
    </row>
    <row r="13" spans="1:19" x14ac:dyDescent="0.25">
      <c r="A13" s="172">
        <v>77.2</v>
      </c>
      <c r="B13" s="172">
        <v>0.49</v>
      </c>
      <c r="C13" s="172">
        <v>58.82</v>
      </c>
      <c r="D13" s="8">
        <v>42942.458333333336</v>
      </c>
      <c r="E13" s="172">
        <v>0.53</v>
      </c>
      <c r="F13" s="172" t="s">
        <v>462</v>
      </c>
      <c r="G13" s="172">
        <v>286.14999999999998</v>
      </c>
      <c r="H13" s="172">
        <v>0</v>
      </c>
      <c r="I13" s="172">
        <v>0</v>
      </c>
      <c r="J13" s="172"/>
      <c r="K13" s="172">
        <v>1015.82</v>
      </c>
      <c r="L13" s="172" t="s">
        <v>463</v>
      </c>
      <c r="M13" s="172">
        <v>77.2</v>
      </c>
      <c r="N13" s="172">
        <v>1501088400</v>
      </c>
      <c r="O13" s="172">
        <v>6</v>
      </c>
      <c r="P13" s="172">
        <v>10</v>
      </c>
      <c r="Q13" s="172">
        <v>48</v>
      </c>
      <c r="R13" s="172">
        <v>4.95</v>
      </c>
      <c r="S13" s="172">
        <v>4.33</v>
      </c>
    </row>
    <row r="14" spans="1:19" x14ac:dyDescent="0.25">
      <c r="A14" s="172">
        <v>79.58</v>
      </c>
      <c r="B14" s="172">
        <v>0.59</v>
      </c>
      <c r="C14" s="172">
        <v>59.38</v>
      </c>
      <c r="D14" s="8">
        <v>42942.5</v>
      </c>
      <c r="E14" s="172">
        <v>0.5</v>
      </c>
      <c r="F14" s="172" t="s">
        <v>462</v>
      </c>
      <c r="G14" s="172">
        <v>284.64</v>
      </c>
      <c r="H14" s="172">
        <v>0</v>
      </c>
      <c r="I14" s="172">
        <v>0</v>
      </c>
      <c r="J14" s="172"/>
      <c r="K14" s="172">
        <v>1015.48</v>
      </c>
      <c r="L14" s="172" t="s">
        <v>463</v>
      </c>
      <c r="M14" s="172">
        <v>79.56</v>
      </c>
      <c r="N14" s="172">
        <v>1501092000</v>
      </c>
      <c r="O14" s="172">
        <v>8</v>
      </c>
      <c r="P14" s="172">
        <v>10</v>
      </c>
      <c r="Q14" s="172">
        <v>53</v>
      </c>
      <c r="R14" s="172">
        <v>5.42</v>
      </c>
      <c r="S14" s="172">
        <v>4</v>
      </c>
    </row>
    <row r="15" spans="1:19" x14ac:dyDescent="0.25">
      <c r="A15" s="172">
        <v>82.12</v>
      </c>
      <c r="B15" s="172">
        <v>0.45</v>
      </c>
      <c r="C15" s="172">
        <v>59.24</v>
      </c>
      <c r="D15" s="8">
        <v>42942.541666666664</v>
      </c>
      <c r="E15" s="172">
        <v>0.46</v>
      </c>
      <c r="F15" s="172" t="s">
        <v>462</v>
      </c>
      <c r="G15" s="172">
        <v>283.83999999999997</v>
      </c>
      <c r="H15" s="172">
        <v>2E-3</v>
      </c>
      <c r="I15" s="172">
        <v>0.01</v>
      </c>
      <c r="J15" s="172" t="s">
        <v>557</v>
      </c>
      <c r="K15" s="172">
        <v>1014.39</v>
      </c>
      <c r="L15" s="172" t="s">
        <v>463</v>
      </c>
      <c r="M15" s="172">
        <v>81.87</v>
      </c>
      <c r="N15" s="172">
        <v>1501095600</v>
      </c>
      <c r="O15" s="172">
        <v>10</v>
      </c>
      <c r="P15" s="172">
        <v>10</v>
      </c>
      <c r="Q15" s="172">
        <v>65</v>
      </c>
      <c r="R15" s="172">
        <v>5.25</v>
      </c>
      <c r="S15" s="172">
        <v>5.0199999999999996</v>
      </c>
    </row>
    <row r="16" spans="1:19" x14ac:dyDescent="0.25">
      <c r="A16" s="172">
        <v>83.42</v>
      </c>
      <c r="B16" s="172">
        <v>0.55000000000000004</v>
      </c>
      <c r="C16" s="172">
        <v>59.24</v>
      </c>
      <c r="D16" s="8">
        <v>42942.583333333336</v>
      </c>
      <c r="E16" s="172">
        <v>0.44</v>
      </c>
      <c r="F16" s="172" t="s">
        <v>557</v>
      </c>
      <c r="G16" s="172">
        <v>282.8</v>
      </c>
      <c r="H16" s="172">
        <v>9.1999999999999998E-3</v>
      </c>
      <c r="I16" s="172">
        <v>0.1</v>
      </c>
      <c r="J16" s="172" t="s">
        <v>557</v>
      </c>
      <c r="K16" s="172">
        <v>1014.11</v>
      </c>
      <c r="L16" s="172" t="s">
        <v>559</v>
      </c>
      <c r="M16" s="172">
        <v>83.42</v>
      </c>
      <c r="N16" s="172">
        <v>1501099200</v>
      </c>
      <c r="O16" s="172">
        <v>8</v>
      </c>
      <c r="P16" s="172">
        <v>10</v>
      </c>
      <c r="Q16" s="172">
        <v>36</v>
      </c>
      <c r="R16" s="172">
        <v>7.56</v>
      </c>
      <c r="S16" s="172">
        <v>6.19</v>
      </c>
    </row>
    <row r="17" spans="1:19" x14ac:dyDescent="0.25">
      <c r="A17" s="172">
        <v>84.69</v>
      </c>
      <c r="B17" s="172">
        <v>0.54</v>
      </c>
      <c r="C17" s="172">
        <v>59.44</v>
      </c>
      <c r="D17" s="8">
        <v>42942.625</v>
      </c>
      <c r="E17" s="172">
        <v>0.43</v>
      </c>
      <c r="F17" s="172" t="s">
        <v>557</v>
      </c>
      <c r="G17" s="172">
        <v>281.98</v>
      </c>
      <c r="H17" s="172">
        <v>1.78E-2</v>
      </c>
      <c r="I17" s="172">
        <v>0.16</v>
      </c>
      <c r="J17" s="172" t="s">
        <v>557</v>
      </c>
      <c r="K17" s="172">
        <v>1014.2</v>
      </c>
      <c r="L17" s="172" t="s">
        <v>559</v>
      </c>
      <c r="M17" s="172">
        <v>84.69</v>
      </c>
      <c r="N17" s="172">
        <v>1501102800</v>
      </c>
      <c r="O17" s="172">
        <v>6</v>
      </c>
      <c r="P17" s="172">
        <v>10</v>
      </c>
      <c r="Q17" s="172">
        <v>27</v>
      </c>
      <c r="R17" s="172">
        <v>7.98</v>
      </c>
      <c r="S17" s="172">
        <v>6.85</v>
      </c>
    </row>
    <row r="18" spans="1:19" x14ac:dyDescent="0.25">
      <c r="A18" s="172">
        <v>84.49</v>
      </c>
      <c r="B18" s="172">
        <v>0.63</v>
      </c>
      <c r="C18" s="172">
        <v>58.86</v>
      </c>
      <c r="D18" s="8">
        <v>42942.666666666664</v>
      </c>
      <c r="E18" s="172">
        <v>0.42</v>
      </c>
      <c r="F18" s="172" t="s">
        <v>557</v>
      </c>
      <c r="G18" s="172">
        <v>281.39</v>
      </c>
      <c r="H18" s="172">
        <v>2.7E-2</v>
      </c>
      <c r="I18" s="172">
        <v>0.18</v>
      </c>
      <c r="J18" s="172" t="s">
        <v>557</v>
      </c>
      <c r="K18" s="172">
        <v>1013.86</v>
      </c>
      <c r="L18" s="172" t="s">
        <v>559</v>
      </c>
      <c r="M18" s="172">
        <v>84.49</v>
      </c>
      <c r="N18" s="172">
        <v>1501106400</v>
      </c>
      <c r="O18" s="172">
        <v>4</v>
      </c>
      <c r="P18" s="172">
        <v>10</v>
      </c>
      <c r="Q18" s="172">
        <v>41</v>
      </c>
      <c r="R18" s="172">
        <v>5.99</v>
      </c>
      <c r="S18" s="172">
        <v>5.58</v>
      </c>
    </row>
    <row r="19" spans="1:19" x14ac:dyDescent="0.25">
      <c r="A19" s="172">
        <v>83.04</v>
      </c>
      <c r="B19" s="172">
        <v>0.7</v>
      </c>
      <c r="C19" s="172">
        <v>59.33</v>
      </c>
      <c r="D19" s="8">
        <v>42942.708333333336</v>
      </c>
      <c r="E19" s="172">
        <v>0.45</v>
      </c>
      <c r="F19" s="172" t="s">
        <v>557</v>
      </c>
      <c r="G19" s="172">
        <v>281.14999999999998</v>
      </c>
      <c r="H19" s="172">
        <v>4.2500000000000003E-2</v>
      </c>
      <c r="I19" s="172">
        <v>0.22</v>
      </c>
      <c r="J19" s="172" t="s">
        <v>557</v>
      </c>
      <c r="K19" s="172">
        <v>1013.65</v>
      </c>
      <c r="L19" s="172" t="s">
        <v>559</v>
      </c>
      <c r="M19" s="172">
        <v>83.01</v>
      </c>
      <c r="N19" s="172">
        <v>1501110000</v>
      </c>
      <c r="O19" s="172">
        <v>2</v>
      </c>
      <c r="P19" s="172">
        <v>10</v>
      </c>
      <c r="Q19" s="172">
        <v>83</v>
      </c>
      <c r="R19" s="172">
        <v>7.33</v>
      </c>
      <c r="S19" s="172">
        <v>6.14</v>
      </c>
    </row>
    <row r="20" spans="1:19" x14ac:dyDescent="0.25">
      <c r="A20" s="172">
        <v>81.55</v>
      </c>
      <c r="B20" s="172">
        <v>0.74</v>
      </c>
      <c r="C20" s="172">
        <v>59.41</v>
      </c>
      <c r="D20" s="8">
        <v>42942.75</v>
      </c>
      <c r="E20" s="172">
        <v>0.48</v>
      </c>
      <c r="F20" s="172" t="s">
        <v>557</v>
      </c>
      <c r="G20" s="172">
        <v>284.76</v>
      </c>
      <c r="H20" s="172">
        <v>7.2700000000000001E-2</v>
      </c>
      <c r="I20" s="172">
        <v>0.21</v>
      </c>
      <c r="J20" s="172" t="s">
        <v>557</v>
      </c>
      <c r="K20" s="172">
        <v>1013.99</v>
      </c>
      <c r="L20" s="172" t="s">
        <v>864</v>
      </c>
      <c r="M20" s="172">
        <v>81.069999999999993</v>
      </c>
      <c r="N20" s="172">
        <v>1501113600</v>
      </c>
      <c r="O20" s="172">
        <v>1</v>
      </c>
      <c r="P20" s="172">
        <v>10</v>
      </c>
      <c r="Q20" s="172">
        <v>359</v>
      </c>
      <c r="R20" s="172">
        <v>11.91</v>
      </c>
      <c r="S20" s="172">
        <v>8.09</v>
      </c>
    </row>
    <row r="21" spans="1:19" x14ac:dyDescent="0.25">
      <c r="A21" s="172">
        <v>78.5</v>
      </c>
      <c r="B21" s="172">
        <v>0.83</v>
      </c>
      <c r="C21" s="172">
        <v>59.73</v>
      </c>
      <c r="D21" s="8">
        <v>42942.791666666664</v>
      </c>
      <c r="E21" s="172">
        <v>0.53</v>
      </c>
      <c r="F21" s="172" t="s">
        <v>557</v>
      </c>
      <c r="G21" s="172">
        <v>284.64999999999998</v>
      </c>
      <c r="H21" s="172">
        <v>6.3299999999999995E-2</v>
      </c>
      <c r="I21" s="172">
        <v>0.22</v>
      </c>
      <c r="J21" s="172" t="s">
        <v>557</v>
      </c>
      <c r="K21" s="172">
        <v>1014.89</v>
      </c>
      <c r="L21" s="172" t="s">
        <v>864</v>
      </c>
      <c r="M21" s="172">
        <v>78.47</v>
      </c>
      <c r="N21" s="172">
        <v>1501117200</v>
      </c>
      <c r="O21" s="172">
        <v>0</v>
      </c>
      <c r="P21" s="172">
        <v>10</v>
      </c>
      <c r="Q21" s="172">
        <v>3</v>
      </c>
      <c r="R21" s="172">
        <v>6.54</v>
      </c>
      <c r="S21" s="172">
        <v>5.35</v>
      </c>
    </row>
    <row r="22" spans="1:19" x14ac:dyDescent="0.25">
      <c r="A22" s="172">
        <v>76.040000000000006</v>
      </c>
      <c r="B22" s="172">
        <v>0.82</v>
      </c>
      <c r="C22" s="172">
        <v>59.75</v>
      </c>
      <c r="D22" s="8">
        <v>42942.833333333336</v>
      </c>
      <c r="E22" s="172">
        <v>0.56999999999999995</v>
      </c>
      <c r="F22" s="172" t="s">
        <v>557</v>
      </c>
      <c r="G22" s="172">
        <v>284.19</v>
      </c>
      <c r="H22" s="172">
        <v>7.7200000000000005E-2</v>
      </c>
      <c r="I22" s="172">
        <v>0.24</v>
      </c>
      <c r="J22" s="172" t="s">
        <v>557</v>
      </c>
      <c r="K22" s="172">
        <v>1015.94</v>
      </c>
      <c r="L22" s="172" t="s">
        <v>864</v>
      </c>
      <c r="M22" s="172">
        <v>76.040000000000006</v>
      </c>
      <c r="N22" s="172">
        <v>1501120800</v>
      </c>
      <c r="O22" s="172">
        <v>0</v>
      </c>
      <c r="P22" s="172">
        <v>9.5</v>
      </c>
      <c r="Q22" s="172">
        <v>51</v>
      </c>
      <c r="R22" s="172">
        <v>7.53</v>
      </c>
      <c r="S22" s="172">
        <v>5.09</v>
      </c>
    </row>
    <row r="23" spans="1:19" x14ac:dyDescent="0.25">
      <c r="A23" s="172">
        <v>72.98</v>
      </c>
      <c r="B23" s="172">
        <v>0.9</v>
      </c>
      <c r="C23" s="172">
        <v>60.71</v>
      </c>
      <c r="D23" s="8">
        <v>42942.875</v>
      </c>
      <c r="E23" s="172">
        <v>0.66</v>
      </c>
      <c r="F23" s="172" t="s">
        <v>557</v>
      </c>
      <c r="G23" s="172">
        <v>283.39</v>
      </c>
      <c r="H23" s="172">
        <v>8.7999999999999995E-2</v>
      </c>
      <c r="I23" s="172">
        <v>0.28000000000000003</v>
      </c>
      <c r="J23" s="172" t="s">
        <v>557</v>
      </c>
      <c r="K23" s="172">
        <v>1017.77</v>
      </c>
      <c r="L23" s="172" t="s">
        <v>864</v>
      </c>
      <c r="M23" s="172">
        <v>72.91</v>
      </c>
      <c r="N23" s="172">
        <v>1501124400</v>
      </c>
      <c r="O23" s="172">
        <v>0</v>
      </c>
      <c r="P23" s="172">
        <v>9.73</v>
      </c>
      <c r="Q23" s="172">
        <v>26</v>
      </c>
      <c r="R23" s="172">
        <v>9.9700000000000006</v>
      </c>
      <c r="S23" s="172">
        <v>5.34</v>
      </c>
    </row>
    <row r="24" spans="1:19" x14ac:dyDescent="0.25">
      <c r="A24" s="172">
        <v>71.25</v>
      </c>
      <c r="B24" s="172">
        <v>0.89</v>
      </c>
      <c r="C24" s="172">
        <v>61.12</v>
      </c>
      <c r="D24" s="8">
        <v>42942.916666666664</v>
      </c>
      <c r="E24" s="172">
        <v>0.71</v>
      </c>
      <c r="F24" s="172" t="s">
        <v>557</v>
      </c>
      <c r="G24" s="172">
        <v>282.33999999999997</v>
      </c>
      <c r="H24" s="172">
        <v>0.1105</v>
      </c>
      <c r="I24" s="172">
        <v>0.28999999999999998</v>
      </c>
      <c r="J24" s="172" t="s">
        <v>557</v>
      </c>
      <c r="K24" s="172">
        <v>1018.22</v>
      </c>
      <c r="L24" s="172" t="s">
        <v>864</v>
      </c>
      <c r="M24" s="172">
        <v>71.12</v>
      </c>
      <c r="N24" s="172">
        <v>1501128000</v>
      </c>
      <c r="O24" s="172">
        <v>0</v>
      </c>
      <c r="P24" s="172">
        <v>7.59</v>
      </c>
      <c r="Q24" s="172">
        <v>301</v>
      </c>
      <c r="R24" s="172">
        <v>8.76</v>
      </c>
      <c r="S24" s="172">
        <v>5</v>
      </c>
    </row>
    <row r="25" spans="1:19" x14ac:dyDescent="0.25">
      <c r="A25" s="172">
        <v>70.22</v>
      </c>
      <c r="B25" s="172">
        <v>0.78</v>
      </c>
      <c r="C25" s="172">
        <v>61.14</v>
      </c>
      <c r="D25" s="8">
        <v>42942.958333333336</v>
      </c>
      <c r="E25" s="172">
        <v>0.73</v>
      </c>
      <c r="F25" s="172" t="s">
        <v>557</v>
      </c>
      <c r="G25" s="172">
        <v>281.04000000000002</v>
      </c>
      <c r="H25" s="172">
        <v>0.12709999999999999</v>
      </c>
      <c r="I25" s="172">
        <v>0.28999999999999998</v>
      </c>
      <c r="J25" s="172" t="s">
        <v>557</v>
      </c>
      <c r="K25" s="172">
        <v>1018.45</v>
      </c>
      <c r="L25" s="172" t="s">
        <v>864</v>
      </c>
      <c r="M25" s="172">
        <v>70.069999999999993</v>
      </c>
      <c r="N25" s="172">
        <v>1501131600</v>
      </c>
      <c r="O25" s="172">
        <v>0</v>
      </c>
      <c r="P25" s="172">
        <v>7.97</v>
      </c>
      <c r="Q25" s="172">
        <v>130</v>
      </c>
      <c r="R25" s="172">
        <v>4.59</v>
      </c>
      <c r="S25" s="172">
        <v>2.46</v>
      </c>
    </row>
    <row r="26" spans="1:19" x14ac:dyDescent="0.25">
      <c r="A26" s="172">
        <v>69.66</v>
      </c>
      <c r="B26" s="172">
        <v>0.81</v>
      </c>
      <c r="C26" s="172">
        <v>60.77</v>
      </c>
      <c r="D26" s="8">
        <v>42943</v>
      </c>
      <c r="E26" s="172">
        <v>0.74</v>
      </c>
      <c r="F26" s="172" t="s">
        <v>557</v>
      </c>
      <c r="G26" s="172">
        <v>279.87</v>
      </c>
      <c r="H26" s="172">
        <v>5.7000000000000002E-3</v>
      </c>
      <c r="I26" s="172">
        <v>0.05</v>
      </c>
      <c r="J26" s="172" t="s">
        <v>557</v>
      </c>
      <c r="K26" s="172">
        <v>1018.34</v>
      </c>
      <c r="L26" s="172" t="s">
        <v>558</v>
      </c>
      <c r="M26" s="172">
        <v>69.540000000000006</v>
      </c>
      <c r="N26" s="172">
        <v>1501135200</v>
      </c>
      <c r="O26" s="172">
        <v>0</v>
      </c>
      <c r="P26" s="172">
        <v>8.9700000000000006</v>
      </c>
      <c r="Q26" s="172">
        <v>261</v>
      </c>
      <c r="R26" s="172">
        <v>2.98</v>
      </c>
      <c r="S26" s="172">
        <v>2.17</v>
      </c>
    </row>
    <row r="27" spans="1:19" x14ac:dyDescent="0.25">
      <c r="A27" s="172">
        <v>69.23</v>
      </c>
      <c r="B27" s="172">
        <v>0.64</v>
      </c>
      <c r="C27" s="172">
        <v>60.45</v>
      </c>
      <c r="D27" s="8">
        <v>42943.041666666664</v>
      </c>
      <c r="E27" s="172">
        <v>0.74</v>
      </c>
      <c r="F27" s="172" t="s">
        <v>464</v>
      </c>
      <c r="G27" s="172">
        <v>279.27999999999997</v>
      </c>
      <c r="H27" s="172">
        <v>0</v>
      </c>
      <c r="I27" s="172">
        <v>0</v>
      </c>
      <c r="J27" s="172"/>
      <c r="K27" s="172">
        <v>1018.01</v>
      </c>
      <c r="L27" s="172" t="s">
        <v>556</v>
      </c>
      <c r="M27" s="172">
        <v>69.14</v>
      </c>
      <c r="N27" s="172">
        <v>1501138800</v>
      </c>
      <c r="O27" s="172">
        <v>0</v>
      </c>
      <c r="P27" s="172">
        <v>9.77</v>
      </c>
      <c r="Q27" s="172">
        <v>125</v>
      </c>
      <c r="R27" s="172">
        <v>3.05</v>
      </c>
      <c r="S27" s="172">
        <v>2.63</v>
      </c>
    </row>
    <row r="28" spans="1:19" x14ac:dyDescent="0.25">
      <c r="A28" s="172">
        <v>68.34</v>
      </c>
      <c r="B28" s="172">
        <v>0.5</v>
      </c>
      <c r="C28" s="172">
        <v>60.43</v>
      </c>
      <c r="D28" s="8">
        <v>42943.083333333336</v>
      </c>
      <c r="E28" s="172">
        <v>0.76</v>
      </c>
      <c r="F28" s="172" t="s">
        <v>464</v>
      </c>
      <c r="G28" s="172">
        <v>279.04000000000002</v>
      </c>
      <c r="H28" s="172">
        <v>0</v>
      </c>
      <c r="I28" s="172">
        <v>0</v>
      </c>
      <c r="J28" s="172"/>
      <c r="K28" s="172">
        <v>1017.68</v>
      </c>
      <c r="L28" s="172" t="s">
        <v>463</v>
      </c>
      <c r="M28" s="172">
        <v>68.239999999999995</v>
      </c>
      <c r="N28" s="172">
        <v>1501142400</v>
      </c>
      <c r="O28" s="172">
        <v>0</v>
      </c>
      <c r="P28" s="172">
        <v>9.65</v>
      </c>
      <c r="Q28" s="172">
        <v>129</v>
      </c>
      <c r="R28" s="172">
        <v>3.08</v>
      </c>
      <c r="S28" s="172">
        <v>3.05</v>
      </c>
    </row>
    <row r="29" spans="1:19" x14ac:dyDescent="0.25">
      <c r="A29" s="172">
        <v>67.760000000000005</v>
      </c>
      <c r="B29" s="172">
        <v>0.38</v>
      </c>
      <c r="C29" s="172">
        <v>60.22</v>
      </c>
      <c r="D29" s="8">
        <v>42943.125</v>
      </c>
      <c r="E29" s="172">
        <v>0.77</v>
      </c>
      <c r="F29" s="172" t="s">
        <v>464</v>
      </c>
      <c r="G29" s="172">
        <v>279.04000000000002</v>
      </c>
      <c r="H29" s="172">
        <v>1.6999999999999999E-3</v>
      </c>
      <c r="I29" s="172">
        <v>0.01</v>
      </c>
      <c r="J29" s="172" t="s">
        <v>557</v>
      </c>
      <c r="K29" s="172">
        <v>1017.28</v>
      </c>
      <c r="L29" s="172" t="s">
        <v>463</v>
      </c>
      <c r="M29" s="172">
        <v>67.67</v>
      </c>
      <c r="N29" s="172">
        <v>1501146000</v>
      </c>
      <c r="O29" s="172">
        <v>0</v>
      </c>
      <c r="P29" s="172">
        <v>9.6300000000000008</v>
      </c>
      <c r="Q29" s="172">
        <v>101</v>
      </c>
      <c r="R29" s="172">
        <v>3.07</v>
      </c>
      <c r="S29" s="172">
        <v>3.04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398</v>
      </c>
      <c r="AE2" s="56" t="s">
        <v>401</v>
      </c>
      <c r="AF2" s="56" t="s">
        <v>402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1039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1040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611</v>
      </c>
      <c r="J25" s="140" t="s">
        <v>146</v>
      </c>
      <c r="M25" s="154" t="b">
        <v>1</v>
      </c>
    </row>
    <row r="26" spans="3:24" x14ac:dyDescent="0.25">
      <c r="C26" t="s">
        <v>1044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C:\Users\stu\Documents\GitHub\eaglep3-reporting\EC\2017-07-26-refined-times.txt</v>
      </c>
    </row>
    <row r="27" spans="3:24" x14ac:dyDescent="0.25">
      <c r="C27" t="s">
        <v>1045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C:\Users\stu\Documents\GitHub\eaglep3-reporting\EC\2017-07-26-Enforcements.txt</v>
      </c>
    </row>
    <row r="28" spans="3:24" x14ac:dyDescent="0.25">
      <c r="C28" t="s">
        <v>1046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C:\Users\stu\Documents\GitHub\eaglep3-reporting\EC\2017-07-26-Runs-refined.txt</v>
      </c>
    </row>
    <row r="29" spans="3:24" x14ac:dyDescent="0.25">
      <c r="C29" t="s">
        <v>1047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C:\Users\stu\Documents\GitHub\eaglep3-reporting\EC\2017-07-26-Trips.txt</v>
      </c>
    </row>
    <row r="30" spans="3:24" x14ac:dyDescent="0.25">
      <c r="C30" t="s">
        <v>1048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C:\Users\stu\Documents\GitHub\eaglep3-reporting\EC\2017-07-26-Weather.txt</v>
      </c>
    </row>
    <row r="31" spans="3:24" x14ac:dyDescent="0.25">
      <c r="C31" t="s">
        <v>1049</v>
      </c>
      <c r="J31" s="140" t="s">
        <v>194</v>
      </c>
      <c r="M31" s="154" t="s">
        <v>195</v>
      </c>
    </row>
    <row r="32" spans="3:24" x14ac:dyDescent="0.25">
      <c r="C32" t="s">
        <v>1050</v>
      </c>
    </row>
    <row r="33" spans="3:3" x14ac:dyDescent="0.25">
      <c r="C33" t="s">
        <v>1051</v>
      </c>
    </row>
    <row r="34" spans="3:3" x14ac:dyDescent="0.25">
      <c r="C34" t="s">
        <v>1052</v>
      </c>
    </row>
    <row r="35" spans="3:3" x14ac:dyDescent="0.25">
      <c r="C35" t="s">
        <v>1053</v>
      </c>
    </row>
    <row r="36" spans="3:3" x14ac:dyDescent="0.25">
      <c r="C36" t="s">
        <v>1054</v>
      </c>
    </row>
    <row r="37" spans="3:3" x14ac:dyDescent="0.25">
      <c r="C37" t="s">
        <v>1055</v>
      </c>
    </row>
    <row r="38" spans="3:3" x14ac:dyDescent="0.25">
      <c r="C38" t="s">
        <v>1056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2017-07-31T12:31:34Z</dcterms:modified>
</cp:coreProperties>
</file>