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1" l="1"/>
  <c r="K34" i="1"/>
  <c r="L34" i="1"/>
  <c r="V34" i="1"/>
  <c r="AA34" i="1"/>
  <c r="AB34" i="1"/>
  <c r="AC34" i="1"/>
  <c r="AD34" i="1"/>
  <c r="AG34" i="1" s="1"/>
  <c r="AE34" i="1"/>
  <c r="AF34" i="1"/>
  <c r="AH34" i="1"/>
  <c r="K31" i="1"/>
  <c r="L31" i="1"/>
  <c r="M31" i="1"/>
  <c r="V31" i="1"/>
  <c r="AA31" i="1"/>
  <c r="AB31" i="1"/>
  <c r="AC31" i="1"/>
  <c r="AD31" i="1"/>
  <c r="T31" i="1" s="1"/>
  <c r="AE31" i="1"/>
  <c r="AF31" i="1"/>
  <c r="AH31" i="1"/>
  <c r="K23" i="1"/>
  <c r="L23" i="1"/>
  <c r="M23" i="1"/>
  <c r="V23" i="1"/>
  <c r="AA23" i="1"/>
  <c r="AB23" i="1"/>
  <c r="AC23" i="1"/>
  <c r="AD23" i="1"/>
  <c r="T23" i="1" s="1"/>
  <c r="AE23" i="1"/>
  <c r="AF23" i="1"/>
  <c r="AH23" i="1"/>
  <c r="AA17" i="1"/>
  <c r="K20" i="1"/>
  <c r="L20" i="1"/>
  <c r="M20" i="1"/>
  <c r="P20" i="1" s="1"/>
  <c r="V20" i="1"/>
  <c r="AA20" i="1"/>
  <c r="AB20" i="1"/>
  <c r="AC20" i="1"/>
  <c r="AD20" i="1"/>
  <c r="T20" i="1" s="1"/>
  <c r="AE20" i="1"/>
  <c r="AF20" i="1"/>
  <c r="AH20" i="1"/>
  <c r="K17" i="1"/>
  <c r="L17" i="1"/>
  <c r="M17" i="1"/>
  <c r="V17" i="1"/>
  <c r="AB17" i="1"/>
  <c r="AC17" i="1"/>
  <c r="AD17" i="1"/>
  <c r="T17" i="1" s="1"/>
  <c r="AE17" i="1"/>
  <c r="AF17" i="1"/>
  <c r="AH17" i="1"/>
  <c r="V14" i="1"/>
  <c r="V15" i="1"/>
  <c r="V16" i="1"/>
  <c r="V18" i="1"/>
  <c r="V19" i="1"/>
  <c r="V21" i="1"/>
  <c r="V22" i="1"/>
  <c r="V24" i="1"/>
  <c r="V25" i="1"/>
  <c r="V26" i="1"/>
  <c r="V27" i="1"/>
  <c r="V28" i="1"/>
  <c r="V29" i="1"/>
  <c r="V30" i="1"/>
  <c r="V32" i="1"/>
  <c r="V33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13" i="1"/>
  <c r="W34" i="1" l="1"/>
  <c r="T34" i="1"/>
  <c r="U34" i="1" s="1"/>
  <c r="S34" i="1" s="1"/>
  <c r="AI34" i="1"/>
  <c r="AG31" i="1"/>
  <c r="AI31" i="1" s="1"/>
  <c r="AG23" i="1"/>
  <c r="AG20" i="1"/>
  <c r="AG17" i="1"/>
  <c r="K14" i="1"/>
  <c r="L14" i="1"/>
  <c r="M14" i="1"/>
  <c r="N14" i="1" s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Y16" i="1"/>
  <c r="Z16" i="1"/>
  <c r="AB16" i="1"/>
  <c r="AC16" i="1"/>
  <c r="AD16" i="1"/>
  <c r="X17" i="1" s="1"/>
  <c r="AE16" i="1"/>
  <c r="AF16" i="1"/>
  <c r="AH16" i="1"/>
  <c r="K18" i="1"/>
  <c r="L18" i="1"/>
  <c r="M18" i="1"/>
  <c r="N18" i="1" s="1"/>
  <c r="Y18" i="1"/>
  <c r="Z18" i="1"/>
  <c r="AB18" i="1"/>
  <c r="AC18" i="1"/>
  <c r="AD18" i="1"/>
  <c r="AE18" i="1"/>
  <c r="AF18" i="1"/>
  <c r="AH18" i="1"/>
  <c r="K19" i="1"/>
  <c r="L19" i="1"/>
  <c r="M19" i="1"/>
  <c r="N19" i="1" s="1"/>
  <c r="Y19" i="1"/>
  <c r="Z19" i="1"/>
  <c r="AB19" i="1"/>
  <c r="AC19" i="1"/>
  <c r="AD19" i="1"/>
  <c r="AE19" i="1"/>
  <c r="AF19" i="1"/>
  <c r="AH19" i="1"/>
  <c r="K21" i="1"/>
  <c r="L21" i="1"/>
  <c r="M21" i="1"/>
  <c r="N21" i="1" s="1"/>
  <c r="Y21" i="1"/>
  <c r="Z21" i="1"/>
  <c r="AB21" i="1"/>
  <c r="AC21" i="1"/>
  <c r="AD21" i="1"/>
  <c r="AE21" i="1"/>
  <c r="AF21" i="1"/>
  <c r="AH21" i="1"/>
  <c r="K22" i="1"/>
  <c r="L22" i="1"/>
  <c r="M22" i="1"/>
  <c r="N22" i="1" s="1"/>
  <c r="Y22" i="1"/>
  <c r="Z22" i="1"/>
  <c r="AB22" i="1"/>
  <c r="AC22" i="1"/>
  <c r="AD22" i="1"/>
  <c r="X23" i="1" s="1"/>
  <c r="AE22" i="1"/>
  <c r="R10" i="3" s="1"/>
  <c r="AF22" i="1"/>
  <c r="AH22" i="1"/>
  <c r="K24" i="1"/>
  <c r="L24" i="1"/>
  <c r="M24" i="1"/>
  <c r="N24" i="1" s="1"/>
  <c r="Y24" i="1"/>
  <c r="Z24" i="1"/>
  <c r="AB24" i="1"/>
  <c r="AC24" i="1"/>
  <c r="AD24" i="1"/>
  <c r="AE24" i="1"/>
  <c r="AF24" i="1"/>
  <c r="AH24" i="1"/>
  <c r="K25" i="1"/>
  <c r="L25" i="1"/>
  <c r="M25" i="1"/>
  <c r="N25" i="1" s="1"/>
  <c r="Y25" i="1"/>
  <c r="Z25" i="1"/>
  <c r="AB25" i="1"/>
  <c r="AC25" i="1"/>
  <c r="AD25" i="1"/>
  <c r="AE25" i="1"/>
  <c r="AF25" i="1"/>
  <c r="AH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Y27" i="1"/>
  <c r="Z27" i="1"/>
  <c r="AB27" i="1"/>
  <c r="AC27" i="1"/>
  <c r="AD27" i="1"/>
  <c r="AE27" i="1"/>
  <c r="AF27" i="1"/>
  <c r="AH27" i="1"/>
  <c r="K28" i="1"/>
  <c r="L28" i="1"/>
  <c r="M28" i="1"/>
  <c r="N28" i="1" s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Y30" i="1"/>
  <c r="Z30" i="1"/>
  <c r="AB30" i="1"/>
  <c r="AC30" i="1"/>
  <c r="AD30" i="1"/>
  <c r="T30" i="1" s="1"/>
  <c r="AE30" i="1"/>
  <c r="AF30" i="1"/>
  <c r="AH30" i="1"/>
  <c r="K32" i="1"/>
  <c r="L32" i="1"/>
  <c r="M32" i="1"/>
  <c r="N32" i="1" s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AH33" i="1"/>
  <c r="K35" i="1"/>
  <c r="L35" i="1"/>
  <c r="M35" i="1"/>
  <c r="N35" i="1" s="1"/>
  <c r="Y35" i="1"/>
  <c r="Z35" i="1"/>
  <c r="AB35" i="1"/>
  <c r="AC35" i="1"/>
  <c r="AD35" i="1"/>
  <c r="AE35" i="1"/>
  <c r="AF35" i="1"/>
  <c r="AH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Y37" i="1"/>
  <c r="Z37" i="1"/>
  <c r="AB37" i="1"/>
  <c r="AC37" i="1"/>
  <c r="AD37" i="1"/>
  <c r="AE37" i="1"/>
  <c r="AF37" i="1"/>
  <c r="AH37" i="1"/>
  <c r="K38" i="1"/>
  <c r="L38" i="1"/>
  <c r="M38" i="1"/>
  <c r="N38" i="1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Y41" i="1"/>
  <c r="Z41" i="1"/>
  <c r="AB41" i="1"/>
  <c r="AC41" i="1"/>
  <c r="AD41" i="1"/>
  <c r="AE41" i="1"/>
  <c r="AF41" i="1"/>
  <c r="AH41" i="1"/>
  <c r="K42" i="1"/>
  <c r="L42" i="1"/>
  <c r="M42" i="1"/>
  <c r="N42" i="1" s="1"/>
  <c r="Y42" i="1"/>
  <c r="Z42" i="1"/>
  <c r="AB42" i="1"/>
  <c r="AC42" i="1"/>
  <c r="AD42" i="1"/>
  <c r="AG42" i="1" s="1"/>
  <c r="AE42" i="1"/>
  <c r="R8" i="3" s="1"/>
  <c r="AF42" i="1"/>
  <c r="AH42" i="1"/>
  <c r="K43" i="1"/>
  <c r="L43" i="1"/>
  <c r="M43" i="1"/>
  <c r="N43" i="1" s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Y45" i="1"/>
  <c r="Z45" i="1"/>
  <c r="AB45" i="1"/>
  <c r="AC45" i="1"/>
  <c r="AD45" i="1"/>
  <c r="AE45" i="1"/>
  <c r="AF45" i="1"/>
  <c r="AH45" i="1"/>
  <c r="K46" i="1"/>
  <c r="L46" i="1"/>
  <c r="M46" i="1"/>
  <c r="N46" i="1" s="1"/>
  <c r="Y46" i="1"/>
  <c r="Z46" i="1"/>
  <c r="AB46" i="1"/>
  <c r="AC46" i="1"/>
  <c r="AD46" i="1"/>
  <c r="AE46" i="1"/>
  <c r="AF46" i="1"/>
  <c r="AH46" i="1"/>
  <c r="K47" i="1"/>
  <c r="L47" i="1"/>
  <c r="M47" i="1"/>
  <c r="N47" i="1" s="1"/>
  <c r="Y47" i="1"/>
  <c r="Z47" i="1"/>
  <c r="AB47" i="1"/>
  <c r="AC47" i="1"/>
  <c r="AD47" i="1"/>
  <c r="AE47" i="1"/>
  <c r="AF47" i="1"/>
  <c r="AH47" i="1"/>
  <c r="K48" i="1"/>
  <c r="L48" i="1"/>
  <c r="M48" i="1"/>
  <c r="N48" i="1" s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Y49" i="1"/>
  <c r="Z49" i="1"/>
  <c r="AB49" i="1"/>
  <c r="AC49" i="1"/>
  <c r="AD49" i="1"/>
  <c r="AE49" i="1"/>
  <c r="AF49" i="1"/>
  <c r="AH49" i="1"/>
  <c r="K50" i="1"/>
  <c r="L50" i="1"/>
  <c r="M50" i="1"/>
  <c r="N50" i="1" s="1"/>
  <c r="Y50" i="1"/>
  <c r="Z50" i="1"/>
  <c r="AB50" i="1"/>
  <c r="AC50" i="1"/>
  <c r="AD50" i="1"/>
  <c r="AE50" i="1"/>
  <c r="AF50" i="1"/>
  <c r="AH50" i="1"/>
  <c r="K51" i="1"/>
  <c r="L51" i="1"/>
  <c r="M51" i="1"/>
  <c r="N51" i="1" s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Y53" i="1"/>
  <c r="Z53" i="1"/>
  <c r="AB53" i="1"/>
  <c r="AC53" i="1"/>
  <c r="AD53" i="1"/>
  <c r="AE53" i="1"/>
  <c r="R22" i="3" s="1"/>
  <c r="AF53" i="1"/>
  <c r="AH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Y56" i="1"/>
  <c r="Z56" i="1"/>
  <c r="AB56" i="1"/>
  <c r="AC56" i="1"/>
  <c r="AD56" i="1"/>
  <c r="AE56" i="1"/>
  <c r="AF56" i="1"/>
  <c r="AH56" i="1"/>
  <c r="K57" i="1"/>
  <c r="L57" i="1"/>
  <c r="M57" i="1"/>
  <c r="N57" i="1" s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Y59" i="1"/>
  <c r="Z59" i="1"/>
  <c r="AB59" i="1"/>
  <c r="AC59" i="1"/>
  <c r="AD59" i="1"/>
  <c r="T59" i="1" s="1"/>
  <c r="AE59" i="1"/>
  <c r="R11" i="3" s="1"/>
  <c r="AF59" i="1"/>
  <c r="AH59" i="1"/>
  <c r="K60" i="1"/>
  <c r="L60" i="1"/>
  <c r="M60" i="1"/>
  <c r="N60" i="1" s="1"/>
  <c r="Y60" i="1"/>
  <c r="Z60" i="1"/>
  <c r="AB60" i="1"/>
  <c r="AC60" i="1"/>
  <c r="AD60" i="1"/>
  <c r="T60" i="1" s="1"/>
  <c r="AE60" i="1"/>
  <c r="R18" i="3" s="1"/>
  <c r="AF60" i="1"/>
  <c r="AH60" i="1"/>
  <c r="K61" i="1"/>
  <c r="L61" i="1"/>
  <c r="M61" i="1"/>
  <c r="N61" i="1" s="1"/>
  <c r="Y61" i="1"/>
  <c r="Z61" i="1"/>
  <c r="AB61" i="1"/>
  <c r="AC61" i="1"/>
  <c r="AD61" i="1"/>
  <c r="AE61" i="1"/>
  <c r="AF61" i="1"/>
  <c r="AH61" i="1"/>
  <c r="K62" i="1"/>
  <c r="L62" i="1"/>
  <c r="M62" i="1"/>
  <c r="N62" i="1" s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Y64" i="1"/>
  <c r="Z64" i="1"/>
  <c r="AB64" i="1"/>
  <c r="AC64" i="1"/>
  <c r="AD64" i="1"/>
  <c r="AE64" i="1"/>
  <c r="AF64" i="1"/>
  <c r="AH64" i="1"/>
  <c r="K65" i="1"/>
  <c r="L65" i="1"/>
  <c r="M65" i="1"/>
  <c r="N65" i="1" s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Y67" i="1"/>
  <c r="Z67" i="1"/>
  <c r="AB67" i="1"/>
  <c r="AC67" i="1"/>
  <c r="AD67" i="1"/>
  <c r="AE67" i="1"/>
  <c r="AF67" i="1"/>
  <c r="AH67" i="1"/>
  <c r="K68" i="1"/>
  <c r="L68" i="1"/>
  <c r="M68" i="1"/>
  <c r="N68" i="1" s="1"/>
  <c r="Y68" i="1"/>
  <c r="Z68" i="1"/>
  <c r="AB68" i="1"/>
  <c r="AC68" i="1"/>
  <c r="AD68" i="1"/>
  <c r="T68" i="1" s="1"/>
  <c r="AE68" i="1"/>
  <c r="R15" i="3" s="1"/>
  <c r="AF68" i="1"/>
  <c r="AH68" i="1"/>
  <c r="K69" i="1"/>
  <c r="L69" i="1"/>
  <c r="M69" i="1"/>
  <c r="N69" i="1" s="1"/>
  <c r="Y69" i="1"/>
  <c r="Z69" i="1"/>
  <c r="AB69" i="1"/>
  <c r="AC69" i="1"/>
  <c r="AD69" i="1"/>
  <c r="T69" i="1" s="1"/>
  <c r="AE69" i="1"/>
  <c r="R20" i="3" s="1"/>
  <c r="AF69" i="1"/>
  <c r="AH69" i="1"/>
  <c r="K70" i="1"/>
  <c r="L70" i="1"/>
  <c r="M70" i="1"/>
  <c r="N70" i="1" s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Y71" i="1"/>
  <c r="Z71" i="1"/>
  <c r="AB71" i="1"/>
  <c r="AC71" i="1"/>
  <c r="AD71" i="1"/>
  <c r="AE71" i="1"/>
  <c r="AF71" i="1"/>
  <c r="AH71" i="1"/>
  <c r="K72" i="1"/>
  <c r="L72" i="1"/>
  <c r="M72" i="1"/>
  <c r="N72" i="1" s="1"/>
  <c r="Y72" i="1"/>
  <c r="Z72" i="1"/>
  <c r="AB72" i="1"/>
  <c r="AC72" i="1"/>
  <c r="AD72" i="1"/>
  <c r="AE72" i="1"/>
  <c r="AF72" i="1"/>
  <c r="AH72" i="1"/>
  <c r="K73" i="1"/>
  <c r="L73" i="1"/>
  <c r="M73" i="1"/>
  <c r="N73" i="1" s="1"/>
  <c r="Y73" i="1"/>
  <c r="Z73" i="1"/>
  <c r="AB73" i="1"/>
  <c r="AC73" i="1"/>
  <c r="AD73" i="1"/>
  <c r="T73" i="1" s="1"/>
  <c r="AE73" i="1"/>
  <c r="R25" i="3" s="1"/>
  <c r="AF73" i="1"/>
  <c r="AH73" i="1"/>
  <c r="K74" i="1"/>
  <c r="L74" i="1"/>
  <c r="M74" i="1"/>
  <c r="N74" i="1" s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Y75" i="1"/>
  <c r="AB75" i="1"/>
  <c r="AC75" i="1"/>
  <c r="AD75" i="1"/>
  <c r="AE75" i="1"/>
  <c r="R9" i="3" s="1"/>
  <c r="AF75" i="1"/>
  <c r="AH75" i="1"/>
  <c r="K76" i="1"/>
  <c r="L76" i="1"/>
  <c r="M76" i="1"/>
  <c r="N76" i="1" s="1"/>
  <c r="Y76" i="1"/>
  <c r="Z76" i="1"/>
  <c r="AB76" i="1"/>
  <c r="AC76" i="1"/>
  <c r="AD76" i="1"/>
  <c r="AE76" i="1"/>
  <c r="AF76" i="1"/>
  <c r="AH76" i="1"/>
  <c r="K77" i="1"/>
  <c r="L77" i="1"/>
  <c r="M77" i="1"/>
  <c r="N77" i="1" s="1"/>
  <c r="Y77" i="1"/>
  <c r="Z77" i="1"/>
  <c r="AB77" i="1"/>
  <c r="AC77" i="1"/>
  <c r="AD77" i="1"/>
  <c r="AE77" i="1"/>
  <c r="AF77" i="1"/>
  <c r="AH77" i="1"/>
  <c r="K78" i="1"/>
  <c r="L78" i="1"/>
  <c r="M78" i="1"/>
  <c r="N78" i="1" s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Y79" i="1"/>
  <c r="Z79" i="1"/>
  <c r="AB79" i="1"/>
  <c r="AC79" i="1"/>
  <c r="AD79" i="1"/>
  <c r="AE79" i="1"/>
  <c r="AF79" i="1"/>
  <c r="AH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Y86" i="1"/>
  <c r="Z86" i="1"/>
  <c r="AB86" i="1"/>
  <c r="AC86" i="1"/>
  <c r="AD86" i="1"/>
  <c r="AE86" i="1"/>
  <c r="AF86" i="1"/>
  <c r="AH86" i="1"/>
  <c r="K87" i="1"/>
  <c r="L87" i="1"/>
  <c r="M87" i="1"/>
  <c r="N87" i="1" s="1"/>
  <c r="Y87" i="1"/>
  <c r="Z87" i="1"/>
  <c r="AB87" i="1"/>
  <c r="AC87" i="1"/>
  <c r="AD87" i="1"/>
  <c r="T87" i="1" s="1"/>
  <c r="AE87" i="1"/>
  <c r="R21" i="3" s="1"/>
  <c r="AF87" i="1"/>
  <c r="AH87" i="1"/>
  <c r="K88" i="1"/>
  <c r="L88" i="1"/>
  <c r="M88" i="1"/>
  <c r="N88" i="1" s="1"/>
  <c r="Y88" i="1"/>
  <c r="Z88" i="1"/>
  <c r="AB88" i="1"/>
  <c r="AC88" i="1"/>
  <c r="AD88" i="1"/>
  <c r="T88" i="1" s="1"/>
  <c r="AE88" i="1"/>
  <c r="R30" i="3" s="1"/>
  <c r="AF88" i="1"/>
  <c r="AH88" i="1"/>
  <c r="K89" i="1"/>
  <c r="L89" i="1"/>
  <c r="M89" i="1"/>
  <c r="N89" i="1" s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Y90" i="1"/>
  <c r="Z90" i="1"/>
  <c r="AB90" i="1"/>
  <c r="AC90" i="1"/>
  <c r="AD90" i="1"/>
  <c r="T90" i="1" s="1"/>
  <c r="AE90" i="1"/>
  <c r="R31" i="3" s="1"/>
  <c r="AF90" i="1"/>
  <c r="AH90" i="1"/>
  <c r="K91" i="1"/>
  <c r="L91" i="1"/>
  <c r="M91" i="1"/>
  <c r="P91" i="1" s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Y94" i="1"/>
  <c r="Z94" i="1"/>
  <c r="AB94" i="1"/>
  <c r="AC94" i="1"/>
  <c r="AD94" i="1"/>
  <c r="AE94" i="1"/>
  <c r="AF94" i="1"/>
  <c r="AH94" i="1"/>
  <c r="K95" i="1"/>
  <c r="L95" i="1"/>
  <c r="M95" i="1"/>
  <c r="N95" i="1" s="1"/>
  <c r="Y95" i="1"/>
  <c r="Z95" i="1"/>
  <c r="AB95" i="1"/>
  <c r="AC95" i="1"/>
  <c r="AD95" i="1"/>
  <c r="AE95" i="1"/>
  <c r="AF95" i="1"/>
  <c r="AH95" i="1"/>
  <c r="K96" i="1"/>
  <c r="L96" i="1"/>
  <c r="M96" i="1"/>
  <c r="N96" i="1" s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Y101" i="1"/>
  <c r="Z101" i="1"/>
  <c r="AB101" i="1"/>
  <c r="AC101" i="1"/>
  <c r="AD101" i="1"/>
  <c r="AG101" i="1" s="1"/>
  <c r="AE101" i="1"/>
  <c r="R17" i="3" s="1"/>
  <c r="AF101" i="1"/>
  <c r="AH101" i="1"/>
  <c r="K102" i="1"/>
  <c r="L102" i="1"/>
  <c r="M102" i="1"/>
  <c r="N102" i="1" s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Y103" i="1"/>
  <c r="Z103" i="1"/>
  <c r="AB103" i="1"/>
  <c r="AC103" i="1"/>
  <c r="AD103" i="1"/>
  <c r="T103" i="1" s="1"/>
  <c r="AE103" i="1"/>
  <c r="R26" i="3" s="1"/>
  <c r="AF103" i="1"/>
  <c r="AH103" i="1"/>
  <c r="K104" i="1"/>
  <c r="L104" i="1"/>
  <c r="M104" i="1"/>
  <c r="N104" i="1" s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Y106" i="1"/>
  <c r="Z106" i="1"/>
  <c r="AB106" i="1"/>
  <c r="AC106" i="1"/>
  <c r="AD106" i="1"/>
  <c r="T106" i="1" s="1"/>
  <c r="AE106" i="1"/>
  <c r="R32" i="3" s="1"/>
  <c r="AF106" i="1"/>
  <c r="AH106" i="1"/>
  <c r="K107" i="1"/>
  <c r="L107" i="1"/>
  <c r="M107" i="1"/>
  <c r="N107" i="1" s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Y133" i="1"/>
  <c r="Z133" i="1"/>
  <c r="AB133" i="1"/>
  <c r="AC133" i="1"/>
  <c r="AD133" i="1"/>
  <c r="AE133" i="1"/>
  <c r="R28" i="3" s="1"/>
  <c r="AF133" i="1"/>
  <c r="AH133" i="1"/>
  <c r="K134" i="1"/>
  <c r="L134" i="1"/>
  <c r="M134" i="1"/>
  <c r="N134" i="1" s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Y137" i="1"/>
  <c r="Z137" i="1"/>
  <c r="AB137" i="1"/>
  <c r="AC137" i="1"/>
  <c r="AD137" i="1"/>
  <c r="T137" i="1" s="1"/>
  <c r="AE137" i="1"/>
  <c r="R29" i="3" s="1"/>
  <c r="AF137" i="1"/>
  <c r="AH137" i="1"/>
  <c r="K138" i="1"/>
  <c r="L138" i="1"/>
  <c r="M138" i="1"/>
  <c r="N138" i="1" s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Y147" i="1"/>
  <c r="Z147" i="1"/>
  <c r="AB147" i="1"/>
  <c r="AC147" i="1"/>
  <c r="AD147" i="1"/>
  <c r="AE147" i="1"/>
  <c r="R23" i="3" s="1"/>
  <c r="AF147" i="1"/>
  <c r="AH147" i="1"/>
  <c r="K148" i="1"/>
  <c r="L148" i="1"/>
  <c r="M148" i="1"/>
  <c r="N148" i="1" s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Y154" i="1"/>
  <c r="Z154" i="1"/>
  <c r="AB154" i="1"/>
  <c r="AC154" i="1"/>
  <c r="AD154" i="1"/>
  <c r="AE154" i="1"/>
  <c r="AF154" i="1"/>
  <c r="AH154" i="1"/>
  <c r="K155" i="1"/>
  <c r="L155" i="1"/>
  <c r="M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Y156" i="1"/>
  <c r="Z156" i="1"/>
  <c r="AB156" i="1"/>
  <c r="AC156" i="1"/>
  <c r="AD156" i="1"/>
  <c r="AE156" i="1"/>
  <c r="AF156" i="1"/>
  <c r="AH156" i="1"/>
  <c r="K204" i="1"/>
  <c r="L204" i="1"/>
  <c r="M204" i="1"/>
  <c r="N204" i="1" s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Y209" i="1"/>
  <c r="Z209" i="1"/>
  <c r="AB209" i="1"/>
  <c r="AC209" i="1"/>
  <c r="AD209" i="1"/>
  <c r="AE209" i="1"/>
  <c r="AF209" i="1"/>
  <c r="AH162" i="1"/>
  <c r="K210" i="1"/>
  <c r="L210" i="1"/>
  <c r="M210" i="1"/>
  <c r="N210" i="1" s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Y215" i="1"/>
  <c r="Z215" i="1"/>
  <c r="AB215" i="1"/>
  <c r="AC215" i="1"/>
  <c r="AD215" i="1"/>
  <c r="T215" i="1" s="1"/>
  <c r="AE215" i="1"/>
  <c r="AF215" i="1"/>
  <c r="AH168" i="1"/>
  <c r="K221" i="1"/>
  <c r="L221" i="1"/>
  <c r="M221" i="1"/>
  <c r="N221" i="1" s="1"/>
  <c r="Y221" i="1"/>
  <c r="Z221" i="1"/>
  <c r="AB221" i="1"/>
  <c r="AC221" i="1"/>
  <c r="AD221" i="1"/>
  <c r="T221" i="1" s="1"/>
  <c r="AE221" i="1"/>
  <c r="AF221" i="1"/>
  <c r="AH169" i="1"/>
  <c r="K222" i="1"/>
  <c r="L222" i="1"/>
  <c r="M222" i="1"/>
  <c r="N222" i="1" s="1"/>
  <c r="Y222" i="1"/>
  <c r="Z222" i="1"/>
  <c r="AB222" i="1"/>
  <c r="AC222" i="1"/>
  <c r="AD222" i="1"/>
  <c r="AE222" i="1"/>
  <c r="AF222" i="1"/>
  <c r="AH170" i="1"/>
  <c r="K223" i="1"/>
  <c r="L223" i="1"/>
  <c r="M223" i="1"/>
  <c r="N223" i="1" s="1"/>
  <c r="Y223" i="1"/>
  <c r="Z223" i="1"/>
  <c r="AB223" i="1"/>
  <c r="AC223" i="1"/>
  <c r="AD223" i="1"/>
  <c r="T223" i="1" s="1"/>
  <c r="AE223" i="1"/>
  <c r="AF223" i="1"/>
  <c r="AH171" i="1"/>
  <c r="K224" i="1"/>
  <c r="L224" i="1"/>
  <c r="M224" i="1"/>
  <c r="N224" i="1" s="1"/>
  <c r="Y224" i="1"/>
  <c r="Z224" i="1"/>
  <c r="AB224" i="1"/>
  <c r="AC224" i="1"/>
  <c r="AD224" i="1"/>
  <c r="AE224" i="1"/>
  <c r="AF224" i="1"/>
  <c r="AH172" i="1"/>
  <c r="K225" i="1"/>
  <c r="L225" i="1"/>
  <c r="M225" i="1"/>
  <c r="N225" i="1" s="1"/>
  <c r="Y225" i="1"/>
  <c r="Z225" i="1"/>
  <c r="AB225" i="1"/>
  <c r="AC225" i="1"/>
  <c r="AD225" i="1"/>
  <c r="AE225" i="1"/>
  <c r="AF225" i="1"/>
  <c r="AH173" i="1"/>
  <c r="K226" i="1"/>
  <c r="L226" i="1"/>
  <c r="M226" i="1"/>
  <c r="N226" i="1" s="1"/>
  <c r="Y226" i="1"/>
  <c r="Z226" i="1"/>
  <c r="AB226" i="1"/>
  <c r="AC226" i="1"/>
  <c r="AD226" i="1"/>
  <c r="AE226" i="1"/>
  <c r="R47" i="3" s="1"/>
  <c r="AF226" i="1"/>
  <c r="AH174" i="1"/>
  <c r="K157" i="1"/>
  <c r="L157" i="1"/>
  <c r="M157" i="1"/>
  <c r="N157" i="1" s="1"/>
  <c r="Y157" i="1"/>
  <c r="Z157" i="1"/>
  <c r="AB157" i="1"/>
  <c r="AC157" i="1"/>
  <c r="AD157" i="1"/>
  <c r="T157" i="1" s="1"/>
  <c r="AE157" i="1"/>
  <c r="AF157" i="1"/>
  <c r="AH175" i="1"/>
  <c r="K158" i="1"/>
  <c r="L158" i="1"/>
  <c r="M158" i="1"/>
  <c r="N158" i="1" s="1"/>
  <c r="Y158" i="1"/>
  <c r="Z158" i="1"/>
  <c r="AB158" i="1"/>
  <c r="AC158" i="1"/>
  <c r="AD158" i="1"/>
  <c r="T158" i="1" s="1"/>
  <c r="AE158" i="1"/>
  <c r="R40" i="3" s="1"/>
  <c r="AF158" i="1"/>
  <c r="AH176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AH177" i="1"/>
  <c r="K160" i="1"/>
  <c r="L160" i="1"/>
  <c r="M160" i="1"/>
  <c r="N160" i="1" s="1"/>
  <c r="Y160" i="1"/>
  <c r="Z160" i="1"/>
  <c r="AB160" i="1"/>
  <c r="AC160" i="1"/>
  <c r="AD160" i="1"/>
  <c r="AE160" i="1"/>
  <c r="AF160" i="1"/>
  <c r="AH178" i="1"/>
  <c r="K161" i="1"/>
  <c r="L161" i="1"/>
  <c r="M161" i="1"/>
  <c r="N161" i="1" s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Y162" i="1"/>
  <c r="Z162" i="1"/>
  <c r="AB162" i="1"/>
  <c r="AC162" i="1"/>
  <c r="AD162" i="1"/>
  <c r="T162" i="1" s="1"/>
  <c r="AE162" i="1"/>
  <c r="R41" i="3" s="1"/>
  <c r="AF162" i="1"/>
  <c r="AH180" i="1"/>
  <c r="K163" i="1"/>
  <c r="L163" i="1"/>
  <c r="M163" i="1"/>
  <c r="N163" i="1" s="1"/>
  <c r="Y163" i="1"/>
  <c r="Z163" i="1"/>
  <c r="AB163" i="1"/>
  <c r="AC163" i="1"/>
  <c r="AD163" i="1"/>
  <c r="AE163" i="1"/>
  <c r="R33" i="3" s="1"/>
  <c r="AF163" i="1"/>
  <c r="AH181" i="1"/>
  <c r="K164" i="1"/>
  <c r="L164" i="1"/>
  <c r="M164" i="1"/>
  <c r="N164" i="1" s="1"/>
  <c r="Y164" i="1"/>
  <c r="Z164" i="1"/>
  <c r="AB164" i="1"/>
  <c r="AC164" i="1"/>
  <c r="AD164" i="1"/>
  <c r="AG164" i="1" s="1"/>
  <c r="AE164" i="1"/>
  <c r="AF164" i="1"/>
  <c r="AH182" i="1"/>
  <c r="K165" i="1"/>
  <c r="L165" i="1"/>
  <c r="M165" i="1"/>
  <c r="N165" i="1" s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Y166" i="1"/>
  <c r="Z166" i="1"/>
  <c r="AB166" i="1"/>
  <c r="AC166" i="1"/>
  <c r="AD166" i="1"/>
  <c r="T166" i="1" s="1"/>
  <c r="AE166" i="1"/>
  <c r="R42" i="3" s="1"/>
  <c r="AF166" i="1"/>
  <c r="AH184" i="1"/>
  <c r="K167" i="1"/>
  <c r="L167" i="1"/>
  <c r="M167" i="1"/>
  <c r="N167" i="1" s="1"/>
  <c r="Y167" i="1"/>
  <c r="Z167" i="1"/>
  <c r="AB167" i="1"/>
  <c r="AC167" i="1"/>
  <c r="AD167" i="1"/>
  <c r="T167" i="1" s="1"/>
  <c r="AE167" i="1"/>
  <c r="R38" i="3" s="1"/>
  <c r="AF167" i="1"/>
  <c r="AH185" i="1"/>
  <c r="K168" i="1"/>
  <c r="L168" i="1"/>
  <c r="M168" i="1"/>
  <c r="N168" i="1" s="1"/>
  <c r="Y168" i="1"/>
  <c r="Z168" i="1"/>
  <c r="AB168" i="1"/>
  <c r="AC168" i="1"/>
  <c r="AD168" i="1"/>
  <c r="AE168" i="1"/>
  <c r="AF168" i="1"/>
  <c r="AH186" i="1"/>
  <c r="K169" i="1"/>
  <c r="L169" i="1"/>
  <c r="M169" i="1"/>
  <c r="N169" i="1" s="1"/>
  <c r="Y169" i="1"/>
  <c r="Z169" i="1"/>
  <c r="AB169" i="1"/>
  <c r="AC169" i="1"/>
  <c r="AD169" i="1"/>
  <c r="T169" i="1" s="1"/>
  <c r="AE169" i="1"/>
  <c r="R39" i="3" s="1"/>
  <c r="AF169" i="1"/>
  <c r="AH187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AH188" i="1"/>
  <c r="K171" i="1"/>
  <c r="L171" i="1"/>
  <c r="M171" i="1"/>
  <c r="N171" i="1" s="1"/>
  <c r="Y171" i="1"/>
  <c r="Z171" i="1"/>
  <c r="AB171" i="1"/>
  <c r="AC171" i="1"/>
  <c r="AD171" i="1"/>
  <c r="AE171" i="1"/>
  <c r="AF171" i="1"/>
  <c r="K172" i="1"/>
  <c r="L172" i="1"/>
  <c r="M172" i="1"/>
  <c r="N172" i="1" s="1"/>
  <c r="Y172" i="1"/>
  <c r="Z172" i="1"/>
  <c r="AB172" i="1"/>
  <c r="AC172" i="1"/>
  <c r="AD172" i="1"/>
  <c r="AG172" i="1" s="1"/>
  <c r="AE172" i="1"/>
  <c r="R43" i="3" s="1"/>
  <c r="AF172" i="1"/>
  <c r="AH189" i="1"/>
  <c r="K173" i="1"/>
  <c r="L173" i="1"/>
  <c r="M173" i="1"/>
  <c r="N173" i="1" s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Y175" i="1"/>
  <c r="Z175" i="1"/>
  <c r="AB175" i="1"/>
  <c r="AC175" i="1"/>
  <c r="AD175" i="1"/>
  <c r="AE175" i="1"/>
  <c r="AF175" i="1"/>
  <c r="AH192" i="1"/>
  <c r="K176" i="1"/>
  <c r="L176" i="1"/>
  <c r="M176" i="1"/>
  <c r="N176" i="1" s="1"/>
  <c r="Y176" i="1"/>
  <c r="Z176" i="1"/>
  <c r="AB176" i="1"/>
  <c r="AC176" i="1"/>
  <c r="AD176" i="1"/>
  <c r="AG176" i="1" s="1"/>
  <c r="AE176" i="1"/>
  <c r="R44" i="3" s="1"/>
  <c r="AF176" i="1"/>
  <c r="AH193" i="1"/>
  <c r="K177" i="1"/>
  <c r="L177" i="1"/>
  <c r="M177" i="1"/>
  <c r="N177" i="1" s="1"/>
  <c r="Y177" i="1"/>
  <c r="Z177" i="1"/>
  <c r="AB177" i="1"/>
  <c r="AC177" i="1"/>
  <c r="AD177" i="1"/>
  <c r="T177" i="1" s="1"/>
  <c r="AE177" i="1"/>
  <c r="AF177" i="1"/>
  <c r="AH194" i="1"/>
  <c r="K178" i="1"/>
  <c r="L178" i="1"/>
  <c r="M178" i="1"/>
  <c r="N178" i="1" s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Y179" i="1"/>
  <c r="Z179" i="1"/>
  <c r="AB179" i="1"/>
  <c r="AC179" i="1"/>
  <c r="AD179" i="1"/>
  <c r="AE179" i="1"/>
  <c r="AF179" i="1"/>
  <c r="AH196" i="1"/>
  <c r="K180" i="1"/>
  <c r="L180" i="1"/>
  <c r="M180" i="1"/>
  <c r="N180" i="1" s="1"/>
  <c r="Y180" i="1"/>
  <c r="Z180" i="1"/>
  <c r="AB180" i="1"/>
  <c r="AC180" i="1"/>
  <c r="AD180" i="1"/>
  <c r="AG180" i="1" s="1"/>
  <c r="AE180" i="1"/>
  <c r="AF180" i="1"/>
  <c r="AH197" i="1"/>
  <c r="K181" i="1"/>
  <c r="L181" i="1"/>
  <c r="M181" i="1"/>
  <c r="N181" i="1" s="1"/>
  <c r="Y181" i="1"/>
  <c r="Z181" i="1"/>
  <c r="AB181" i="1"/>
  <c r="AC181" i="1"/>
  <c r="AD181" i="1"/>
  <c r="T181" i="1" s="1"/>
  <c r="AE181" i="1"/>
  <c r="AF181" i="1"/>
  <c r="AH198" i="1"/>
  <c r="K182" i="1"/>
  <c r="L182" i="1"/>
  <c r="M182" i="1"/>
  <c r="N182" i="1" s="1"/>
  <c r="Y182" i="1"/>
  <c r="Z182" i="1"/>
  <c r="AB182" i="1"/>
  <c r="AC182" i="1"/>
  <c r="AD182" i="1"/>
  <c r="T182" i="1" s="1"/>
  <c r="AE182" i="1"/>
  <c r="R45" i="3" s="1"/>
  <c r="AF182" i="1"/>
  <c r="AH199" i="1"/>
  <c r="K183" i="1"/>
  <c r="L183" i="1"/>
  <c r="M183" i="1"/>
  <c r="N183" i="1" s="1"/>
  <c r="Y183" i="1"/>
  <c r="Z183" i="1"/>
  <c r="AB183" i="1"/>
  <c r="AC183" i="1"/>
  <c r="AD183" i="1"/>
  <c r="AE183" i="1"/>
  <c r="AF183" i="1"/>
  <c r="AH200" i="1"/>
  <c r="K184" i="1"/>
  <c r="L184" i="1"/>
  <c r="M184" i="1"/>
  <c r="N184" i="1" s="1"/>
  <c r="Y184" i="1"/>
  <c r="Z184" i="1"/>
  <c r="AB184" i="1"/>
  <c r="AC184" i="1"/>
  <c r="AD184" i="1"/>
  <c r="AG184" i="1" s="1"/>
  <c r="AE184" i="1"/>
  <c r="AF184" i="1"/>
  <c r="AH201" i="1"/>
  <c r="K185" i="1"/>
  <c r="L185" i="1"/>
  <c r="M185" i="1"/>
  <c r="N185" i="1" s="1"/>
  <c r="Y185" i="1"/>
  <c r="Z185" i="1"/>
  <c r="AB185" i="1"/>
  <c r="AC185" i="1"/>
  <c r="AD185" i="1"/>
  <c r="T185" i="1" s="1"/>
  <c r="AE185" i="1"/>
  <c r="AF185" i="1"/>
  <c r="AH202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AH203" i="1"/>
  <c r="K187" i="1"/>
  <c r="L187" i="1"/>
  <c r="M187" i="1"/>
  <c r="N187" i="1" s="1"/>
  <c r="Y187" i="1"/>
  <c r="Z187" i="1"/>
  <c r="AB187" i="1"/>
  <c r="AC187" i="1"/>
  <c r="AD187" i="1"/>
  <c r="AE187" i="1"/>
  <c r="AF187" i="1"/>
  <c r="AH204" i="1"/>
  <c r="K188" i="1"/>
  <c r="L188" i="1"/>
  <c r="M188" i="1"/>
  <c r="N188" i="1" s="1"/>
  <c r="Y188" i="1"/>
  <c r="Z188" i="1"/>
  <c r="AB188" i="1"/>
  <c r="AC188" i="1"/>
  <c r="AD188" i="1"/>
  <c r="AE188" i="1"/>
  <c r="AF188" i="1"/>
  <c r="AH205" i="1"/>
  <c r="AH206" i="1"/>
  <c r="K189" i="1"/>
  <c r="L189" i="1"/>
  <c r="M189" i="1"/>
  <c r="N189" i="1" s="1"/>
  <c r="Y189" i="1"/>
  <c r="Z189" i="1"/>
  <c r="AB189" i="1"/>
  <c r="AC189" i="1"/>
  <c r="AD189" i="1"/>
  <c r="X189" i="1" s="1"/>
  <c r="AE189" i="1"/>
  <c r="AF189" i="1"/>
  <c r="AH207" i="1"/>
  <c r="K190" i="1"/>
  <c r="L190" i="1"/>
  <c r="M190" i="1"/>
  <c r="N190" i="1" s="1"/>
  <c r="Y190" i="1"/>
  <c r="Z190" i="1"/>
  <c r="AB190" i="1"/>
  <c r="AC190" i="1"/>
  <c r="AD190" i="1"/>
  <c r="AE190" i="1"/>
  <c r="AF190" i="1"/>
  <c r="AH208" i="1"/>
  <c r="K191" i="1"/>
  <c r="L191" i="1"/>
  <c r="M191" i="1"/>
  <c r="N191" i="1" s="1"/>
  <c r="Y191" i="1"/>
  <c r="Z191" i="1"/>
  <c r="AB191" i="1"/>
  <c r="AC191" i="1"/>
  <c r="AD191" i="1"/>
  <c r="AE191" i="1"/>
  <c r="AF191" i="1"/>
  <c r="AH209" i="1"/>
  <c r="K192" i="1"/>
  <c r="L192" i="1"/>
  <c r="M192" i="1"/>
  <c r="N192" i="1" s="1"/>
  <c r="Y192" i="1"/>
  <c r="Z192" i="1"/>
  <c r="AB192" i="1"/>
  <c r="AC192" i="1"/>
  <c r="AD192" i="1"/>
  <c r="AG192" i="1" s="1"/>
  <c r="AE192" i="1"/>
  <c r="AF192" i="1"/>
  <c r="AH210" i="1"/>
  <c r="K193" i="1"/>
  <c r="L193" i="1"/>
  <c r="M193" i="1"/>
  <c r="N193" i="1" s="1"/>
  <c r="Y193" i="1"/>
  <c r="Z193" i="1"/>
  <c r="AB193" i="1"/>
  <c r="AC193" i="1"/>
  <c r="AD193" i="1"/>
  <c r="AG193" i="1" s="1"/>
  <c r="AE193" i="1"/>
  <c r="AF193" i="1"/>
  <c r="AH211" i="1"/>
  <c r="K194" i="1"/>
  <c r="L194" i="1"/>
  <c r="M194" i="1"/>
  <c r="N194" i="1" s="1"/>
  <c r="Y194" i="1"/>
  <c r="Z194" i="1"/>
  <c r="AB194" i="1"/>
  <c r="AC194" i="1"/>
  <c r="AD194" i="1"/>
  <c r="T194" i="1" s="1"/>
  <c r="AE194" i="1"/>
  <c r="AF194" i="1"/>
  <c r="AH212" i="1"/>
  <c r="K195" i="1"/>
  <c r="L195" i="1"/>
  <c r="M195" i="1"/>
  <c r="N195" i="1" s="1"/>
  <c r="Y195" i="1"/>
  <c r="Z195" i="1"/>
  <c r="AB195" i="1"/>
  <c r="AC195" i="1"/>
  <c r="AD195" i="1"/>
  <c r="T195" i="1" s="1"/>
  <c r="AE195" i="1"/>
  <c r="R34" i="3" s="1"/>
  <c r="AF195" i="1"/>
  <c r="AH213" i="1"/>
  <c r="K196" i="1"/>
  <c r="L196" i="1"/>
  <c r="M196" i="1"/>
  <c r="N196" i="1" s="1"/>
  <c r="Y196" i="1"/>
  <c r="Z196" i="1"/>
  <c r="AB196" i="1"/>
  <c r="AC196" i="1"/>
  <c r="AD196" i="1"/>
  <c r="AE196" i="1"/>
  <c r="AF196" i="1"/>
  <c r="AH214" i="1"/>
  <c r="K197" i="1"/>
  <c r="L197" i="1"/>
  <c r="M197" i="1"/>
  <c r="N197" i="1" s="1"/>
  <c r="Y197" i="1"/>
  <c r="Z197" i="1"/>
  <c r="AB197" i="1"/>
  <c r="AC197" i="1"/>
  <c r="AD197" i="1"/>
  <c r="AE197" i="1"/>
  <c r="AF197" i="1"/>
  <c r="AH215" i="1"/>
  <c r="K198" i="1"/>
  <c r="L198" i="1"/>
  <c r="M198" i="1"/>
  <c r="N198" i="1" s="1"/>
  <c r="Y198" i="1"/>
  <c r="Z198" i="1"/>
  <c r="AB198" i="1"/>
  <c r="AC198" i="1"/>
  <c r="AD198" i="1"/>
  <c r="T198" i="1" s="1"/>
  <c r="AE198" i="1"/>
  <c r="AF198" i="1"/>
  <c r="AH216" i="1"/>
  <c r="K199" i="1"/>
  <c r="L199" i="1"/>
  <c r="M199" i="1"/>
  <c r="N199" i="1" s="1"/>
  <c r="Y199" i="1"/>
  <c r="Z199" i="1"/>
  <c r="AB199" i="1"/>
  <c r="AC199" i="1"/>
  <c r="AD199" i="1"/>
  <c r="T199" i="1" s="1"/>
  <c r="AE199" i="1"/>
  <c r="AF199" i="1"/>
  <c r="AH217" i="1"/>
  <c r="K200" i="1"/>
  <c r="L200" i="1"/>
  <c r="M200" i="1"/>
  <c r="N200" i="1" s="1"/>
  <c r="Y200" i="1"/>
  <c r="Z200" i="1"/>
  <c r="AB200" i="1"/>
  <c r="AC200" i="1"/>
  <c r="AD200" i="1"/>
  <c r="T200" i="1" s="1"/>
  <c r="AE200" i="1"/>
  <c r="AF200" i="1"/>
  <c r="AH218" i="1"/>
  <c r="K201" i="1"/>
  <c r="L201" i="1"/>
  <c r="M201" i="1"/>
  <c r="N201" i="1" s="1"/>
  <c r="Y201" i="1"/>
  <c r="Z201" i="1"/>
  <c r="AB201" i="1"/>
  <c r="AC201" i="1"/>
  <c r="AD201" i="1"/>
  <c r="AE201" i="1"/>
  <c r="AF201" i="1"/>
  <c r="AH219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AH220" i="1"/>
  <c r="K203" i="1"/>
  <c r="L203" i="1"/>
  <c r="M203" i="1"/>
  <c r="N203" i="1" s="1"/>
  <c r="Y203" i="1"/>
  <c r="Z203" i="1"/>
  <c r="AB203" i="1"/>
  <c r="AC203" i="1"/>
  <c r="AD203" i="1"/>
  <c r="T203" i="1" s="1"/>
  <c r="AE203" i="1"/>
  <c r="AF203" i="1"/>
  <c r="AH221" i="1"/>
  <c r="K227" i="1"/>
  <c r="L227" i="1"/>
  <c r="M227" i="1"/>
  <c r="N227" i="1" s="1"/>
  <c r="Y227" i="1"/>
  <c r="Z227" i="1"/>
  <c r="AB227" i="1"/>
  <c r="AC227" i="1"/>
  <c r="AD227" i="1"/>
  <c r="T227" i="1" s="1"/>
  <c r="AE227" i="1"/>
  <c r="AF227" i="1"/>
  <c r="AH222" i="1"/>
  <c r="K228" i="1"/>
  <c r="L228" i="1"/>
  <c r="M228" i="1"/>
  <c r="N228" i="1" s="1"/>
  <c r="Y228" i="1"/>
  <c r="Z228" i="1"/>
  <c r="AB228" i="1"/>
  <c r="AC228" i="1"/>
  <c r="AD228" i="1"/>
  <c r="AG228" i="1" s="1"/>
  <c r="AE228" i="1"/>
  <c r="AF228" i="1"/>
  <c r="AH223" i="1"/>
  <c r="K229" i="1"/>
  <c r="L229" i="1"/>
  <c r="M229" i="1"/>
  <c r="N229" i="1" s="1"/>
  <c r="Y229" i="1"/>
  <c r="Z229" i="1"/>
  <c r="AB229" i="1"/>
  <c r="AC229" i="1"/>
  <c r="AD229" i="1"/>
  <c r="T229" i="1" s="1"/>
  <c r="AE229" i="1"/>
  <c r="AF229" i="1"/>
  <c r="AH224" i="1"/>
  <c r="K230" i="1"/>
  <c r="L230" i="1"/>
  <c r="M230" i="1"/>
  <c r="N230" i="1" s="1"/>
  <c r="Y230" i="1"/>
  <c r="Z230" i="1"/>
  <c r="AB230" i="1"/>
  <c r="AC230" i="1"/>
  <c r="AD230" i="1"/>
  <c r="T230" i="1" s="1"/>
  <c r="AE230" i="1"/>
  <c r="AF230" i="1"/>
  <c r="AH225" i="1"/>
  <c r="K231" i="1"/>
  <c r="L231" i="1"/>
  <c r="M231" i="1"/>
  <c r="N231" i="1" s="1"/>
  <c r="Y231" i="1"/>
  <c r="Z231" i="1"/>
  <c r="AB231" i="1"/>
  <c r="AC231" i="1"/>
  <c r="AD231" i="1"/>
  <c r="T231" i="1" s="1"/>
  <c r="AE231" i="1"/>
  <c r="AF231" i="1"/>
  <c r="AH226" i="1"/>
  <c r="K232" i="1"/>
  <c r="L232" i="1"/>
  <c r="M232" i="1"/>
  <c r="N232" i="1" s="1"/>
  <c r="Y232" i="1"/>
  <c r="Z232" i="1"/>
  <c r="AB232" i="1"/>
  <c r="AC232" i="1"/>
  <c r="AD232" i="1"/>
  <c r="AG232" i="1" s="1"/>
  <c r="AE232" i="1"/>
  <c r="AF232" i="1"/>
  <c r="AH227" i="1"/>
  <c r="K233" i="1"/>
  <c r="L233" i="1"/>
  <c r="M233" i="1"/>
  <c r="N233" i="1" s="1"/>
  <c r="Y233" i="1"/>
  <c r="Z233" i="1"/>
  <c r="AB233" i="1"/>
  <c r="AC233" i="1"/>
  <c r="AD233" i="1"/>
  <c r="AG233" i="1" s="1"/>
  <c r="AE233" i="1"/>
  <c r="AF233" i="1"/>
  <c r="AH228" i="1"/>
  <c r="K234" i="1"/>
  <c r="L234" i="1"/>
  <c r="M234" i="1"/>
  <c r="N234" i="1" s="1"/>
  <c r="Y234" i="1"/>
  <c r="Z234" i="1"/>
  <c r="AB234" i="1"/>
  <c r="AC234" i="1"/>
  <c r="AD234" i="1"/>
  <c r="T234" i="1" s="1"/>
  <c r="AE234" i="1"/>
  <c r="AF234" i="1"/>
  <c r="AH229" i="1"/>
  <c r="K235" i="1"/>
  <c r="L235" i="1"/>
  <c r="M235" i="1"/>
  <c r="N235" i="1" s="1"/>
  <c r="Y235" i="1"/>
  <c r="Z235" i="1"/>
  <c r="AB235" i="1"/>
  <c r="AC235" i="1"/>
  <c r="AD235" i="1"/>
  <c r="T235" i="1" s="1"/>
  <c r="AE235" i="1"/>
  <c r="AF235" i="1"/>
  <c r="AH230" i="1"/>
  <c r="K236" i="1"/>
  <c r="L236" i="1"/>
  <c r="M236" i="1"/>
  <c r="N236" i="1" s="1"/>
  <c r="Y236" i="1"/>
  <c r="Z236" i="1"/>
  <c r="AB236" i="1"/>
  <c r="AC236" i="1"/>
  <c r="AD236" i="1"/>
  <c r="AG236" i="1" s="1"/>
  <c r="AE236" i="1"/>
  <c r="AF236" i="1"/>
  <c r="AH231" i="1"/>
  <c r="K216" i="1"/>
  <c r="L216" i="1"/>
  <c r="M216" i="1"/>
  <c r="N216" i="1" s="1"/>
  <c r="Y216" i="1"/>
  <c r="Z216" i="1"/>
  <c r="AB216" i="1"/>
  <c r="AC216" i="1"/>
  <c r="AD216" i="1"/>
  <c r="T216" i="1" s="1"/>
  <c r="AE216" i="1"/>
  <c r="AF216" i="1"/>
  <c r="AH232" i="1"/>
  <c r="K217" i="1"/>
  <c r="L217" i="1"/>
  <c r="M217" i="1"/>
  <c r="N217" i="1" s="1"/>
  <c r="Y217" i="1"/>
  <c r="Z217" i="1"/>
  <c r="AB217" i="1"/>
  <c r="AC217" i="1"/>
  <c r="AD217" i="1"/>
  <c r="T217" i="1" s="1"/>
  <c r="AE217" i="1"/>
  <c r="AF217" i="1"/>
  <c r="AH233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AH234" i="1"/>
  <c r="K219" i="1"/>
  <c r="L219" i="1"/>
  <c r="M219" i="1"/>
  <c r="N219" i="1" s="1"/>
  <c r="Y219" i="1"/>
  <c r="Z219" i="1"/>
  <c r="AB219" i="1"/>
  <c r="AC219" i="1"/>
  <c r="AD219" i="1"/>
  <c r="AG219" i="1" s="1"/>
  <c r="AE219" i="1"/>
  <c r="AF219" i="1"/>
  <c r="AH235" i="1"/>
  <c r="K220" i="1"/>
  <c r="L220" i="1"/>
  <c r="M220" i="1"/>
  <c r="N220" i="1" s="1"/>
  <c r="Y220" i="1"/>
  <c r="Z220" i="1"/>
  <c r="AB220" i="1"/>
  <c r="AC220" i="1"/>
  <c r="AD220" i="1"/>
  <c r="T220" i="1" s="1"/>
  <c r="AE220" i="1"/>
  <c r="AF220" i="1"/>
  <c r="AH236" i="1"/>
  <c r="M40" i="3"/>
  <c r="N40" i="3"/>
  <c r="S40" i="3"/>
  <c r="U40" i="3"/>
  <c r="T40" i="3" s="1"/>
  <c r="V40" i="3"/>
  <c r="W40" i="3"/>
  <c r="X40" i="3"/>
  <c r="M10" i="3"/>
  <c r="N10" i="3"/>
  <c r="S10" i="3"/>
  <c r="U10" i="3"/>
  <c r="T10" i="3" s="1"/>
  <c r="V10" i="3"/>
  <c r="W10" i="3"/>
  <c r="X10" i="3"/>
  <c r="AC10" i="3"/>
  <c r="M41" i="3"/>
  <c r="N41" i="3"/>
  <c r="S41" i="3"/>
  <c r="U41" i="3"/>
  <c r="AC41" i="3" s="1"/>
  <c r="V41" i="3"/>
  <c r="W41" i="3"/>
  <c r="X41" i="3"/>
  <c r="M33" i="3"/>
  <c r="N33" i="3"/>
  <c r="S33" i="3"/>
  <c r="U33" i="3"/>
  <c r="AC33" i="3" s="1"/>
  <c r="V33" i="3"/>
  <c r="W33" i="3"/>
  <c r="X33" i="3"/>
  <c r="M36" i="3"/>
  <c r="N36" i="3"/>
  <c r="S36" i="3"/>
  <c r="U36" i="3"/>
  <c r="T36" i="3" s="1"/>
  <c r="V36" i="3"/>
  <c r="W36" i="3"/>
  <c r="X36" i="3"/>
  <c r="M37" i="3"/>
  <c r="N37" i="3"/>
  <c r="S37" i="3"/>
  <c r="U37" i="3"/>
  <c r="T37" i="3" s="1"/>
  <c r="V37" i="3"/>
  <c r="W37" i="3"/>
  <c r="X37" i="3"/>
  <c r="AC37" i="3"/>
  <c r="M42" i="3"/>
  <c r="N42" i="3"/>
  <c r="S42" i="3"/>
  <c r="U42" i="3"/>
  <c r="AC42" i="3" s="1"/>
  <c r="V42" i="3"/>
  <c r="W42" i="3"/>
  <c r="X42" i="3"/>
  <c r="M24" i="3"/>
  <c r="N24" i="3"/>
  <c r="R24" i="3"/>
  <c r="S24" i="3"/>
  <c r="U24" i="3"/>
  <c r="T24" i="3" s="1"/>
  <c r="V24" i="3"/>
  <c r="W24" i="3"/>
  <c r="X24" i="3"/>
  <c r="M38" i="3"/>
  <c r="N38" i="3"/>
  <c r="S38" i="3"/>
  <c r="U38" i="3"/>
  <c r="T38" i="3" s="1"/>
  <c r="V38" i="3"/>
  <c r="W38" i="3"/>
  <c r="X38" i="3"/>
  <c r="M8" i="3"/>
  <c r="N8" i="3"/>
  <c r="S8" i="3"/>
  <c r="U8" i="3"/>
  <c r="T8" i="3" s="1"/>
  <c r="V8" i="3"/>
  <c r="W8" i="3"/>
  <c r="X8" i="3"/>
  <c r="AC8" i="3"/>
  <c r="M39" i="3"/>
  <c r="N39" i="3"/>
  <c r="S39" i="3"/>
  <c r="U39" i="3"/>
  <c r="AC39" i="3" s="1"/>
  <c r="V39" i="3"/>
  <c r="W39" i="3"/>
  <c r="X39" i="3"/>
  <c r="M22" i="3"/>
  <c r="N22" i="3"/>
  <c r="S22" i="3"/>
  <c r="U22" i="3"/>
  <c r="AC22" i="3" s="1"/>
  <c r="V22" i="3"/>
  <c r="W22" i="3"/>
  <c r="X22" i="3"/>
  <c r="M18" i="3"/>
  <c r="N18" i="3"/>
  <c r="S18" i="3"/>
  <c r="U18" i="3"/>
  <c r="T18" i="3" s="1"/>
  <c r="V18" i="3"/>
  <c r="W18" i="3"/>
  <c r="X18" i="3"/>
  <c r="M43" i="3"/>
  <c r="N43" i="3"/>
  <c r="S43" i="3"/>
  <c r="U43" i="3"/>
  <c r="T43" i="3" s="1"/>
  <c r="V43" i="3"/>
  <c r="W43" i="3"/>
  <c r="X43" i="3"/>
  <c r="AC43" i="3"/>
  <c r="M11" i="3"/>
  <c r="N11" i="3"/>
  <c r="S11" i="3"/>
  <c r="U11" i="3"/>
  <c r="AC11" i="3" s="1"/>
  <c r="V11" i="3"/>
  <c r="W11" i="3"/>
  <c r="X11" i="3"/>
  <c r="M7" i="3"/>
  <c r="N7" i="3"/>
  <c r="S7" i="3"/>
  <c r="U7" i="3"/>
  <c r="T7" i="3" s="1"/>
  <c r="V7" i="3"/>
  <c r="W7" i="3"/>
  <c r="X7" i="3"/>
  <c r="M13" i="3"/>
  <c r="N13" i="3"/>
  <c r="S13" i="3"/>
  <c r="U13" i="3"/>
  <c r="T13" i="3" s="1"/>
  <c r="V13" i="3"/>
  <c r="W13" i="3"/>
  <c r="X13" i="3"/>
  <c r="M12" i="3"/>
  <c r="N12" i="3"/>
  <c r="S12" i="3"/>
  <c r="U12" i="3"/>
  <c r="T12" i="3" s="1"/>
  <c r="V12" i="3"/>
  <c r="W12" i="3"/>
  <c r="X12" i="3"/>
  <c r="M15" i="3"/>
  <c r="N15" i="3"/>
  <c r="S15" i="3"/>
  <c r="U15" i="3"/>
  <c r="AC15" i="3" s="1"/>
  <c r="V15" i="3"/>
  <c r="W15" i="3"/>
  <c r="X15" i="3"/>
  <c r="M20" i="3"/>
  <c r="N20" i="3"/>
  <c r="S20" i="3"/>
  <c r="U20" i="3"/>
  <c r="AC20" i="3" s="1"/>
  <c r="V20" i="3"/>
  <c r="W20" i="3"/>
  <c r="X20" i="3"/>
  <c r="M44" i="3"/>
  <c r="N44" i="3"/>
  <c r="S44" i="3"/>
  <c r="U44" i="3"/>
  <c r="T44" i="3" s="1"/>
  <c r="V44" i="3"/>
  <c r="W44" i="3"/>
  <c r="X44" i="3"/>
  <c r="M25" i="3"/>
  <c r="N25" i="3"/>
  <c r="S25" i="3"/>
  <c r="U25" i="3"/>
  <c r="T25" i="3" s="1"/>
  <c r="V25" i="3"/>
  <c r="W25" i="3"/>
  <c r="X25" i="3"/>
  <c r="AC25" i="3"/>
  <c r="M9" i="3"/>
  <c r="N9" i="3"/>
  <c r="S9" i="3"/>
  <c r="U9" i="3"/>
  <c r="AC9" i="3" s="1"/>
  <c r="V9" i="3"/>
  <c r="W9" i="3"/>
  <c r="X9" i="3"/>
  <c r="M14" i="3"/>
  <c r="N14" i="3"/>
  <c r="S14" i="3"/>
  <c r="U14" i="3"/>
  <c r="T14" i="3" s="1"/>
  <c r="V14" i="3"/>
  <c r="W14" i="3"/>
  <c r="X14" i="3"/>
  <c r="M30" i="3"/>
  <c r="N30" i="3"/>
  <c r="S30" i="3"/>
  <c r="U30" i="3"/>
  <c r="T30" i="3" s="1"/>
  <c r="V30" i="3"/>
  <c r="W30" i="3"/>
  <c r="X30" i="3"/>
  <c r="M21" i="3"/>
  <c r="N21" i="3"/>
  <c r="S21" i="3"/>
  <c r="U21" i="3"/>
  <c r="T21" i="3" s="1"/>
  <c r="V21" i="3"/>
  <c r="W21" i="3"/>
  <c r="X21" i="3"/>
  <c r="M16" i="3"/>
  <c r="N16" i="3"/>
  <c r="S16" i="3"/>
  <c r="U16" i="3"/>
  <c r="AC16" i="3" s="1"/>
  <c r="V16" i="3"/>
  <c r="W16" i="3"/>
  <c r="X16" i="3"/>
  <c r="M31" i="3"/>
  <c r="N31" i="3"/>
  <c r="S31" i="3"/>
  <c r="U31" i="3"/>
  <c r="AC31" i="3" s="1"/>
  <c r="V31" i="3"/>
  <c r="W31" i="3"/>
  <c r="X31" i="3"/>
  <c r="M45" i="3"/>
  <c r="N45" i="3"/>
  <c r="S45" i="3"/>
  <c r="U45" i="3"/>
  <c r="T45" i="3" s="1"/>
  <c r="V45" i="3"/>
  <c r="W45" i="3"/>
  <c r="X45" i="3"/>
  <c r="M17" i="3"/>
  <c r="N17" i="3"/>
  <c r="S17" i="3"/>
  <c r="U17" i="3"/>
  <c r="T17" i="3" s="1"/>
  <c r="V17" i="3"/>
  <c r="W17" i="3"/>
  <c r="X17" i="3"/>
  <c r="AC17" i="3"/>
  <c r="M32" i="3"/>
  <c r="N32" i="3"/>
  <c r="S32" i="3"/>
  <c r="U32" i="3"/>
  <c r="AC32" i="3" s="1"/>
  <c r="V32" i="3"/>
  <c r="W32" i="3"/>
  <c r="X32" i="3"/>
  <c r="M26" i="3"/>
  <c r="N26" i="3"/>
  <c r="S26" i="3"/>
  <c r="U26" i="3"/>
  <c r="T26" i="3" s="1"/>
  <c r="V26" i="3"/>
  <c r="W26" i="3"/>
  <c r="X26" i="3"/>
  <c r="M34" i="3"/>
  <c r="N34" i="3"/>
  <c r="S34" i="3"/>
  <c r="U34" i="3"/>
  <c r="T34" i="3" s="1"/>
  <c r="V34" i="3"/>
  <c r="W34" i="3"/>
  <c r="X34" i="3"/>
  <c r="M46" i="3"/>
  <c r="N46" i="3"/>
  <c r="S46" i="3"/>
  <c r="U46" i="3"/>
  <c r="T46" i="3" s="1"/>
  <c r="V46" i="3"/>
  <c r="W46" i="3"/>
  <c r="X46" i="3"/>
  <c r="AC46" i="3"/>
  <c r="M47" i="3"/>
  <c r="N47" i="3"/>
  <c r="S47" i="3"/>
  <c r="U47" i="3"/>
  <c r="AC47" i="3" s="1"/>
  <c r="V47" i="3"/>
  <c r="W47" i="3"/>
  <c r="X47" i="3"/>
  <c r="M19" i="3"/>
  <c r="N19" i="3"/>
  <c r="S19" i="3"/>
  <c r="U19" i="3"/>
  <c r="AC19" i="3" s="1"/>
  <c r="V19" i="3"/>
  <c r="W19" i="3"/>
  <c r="X19" i="3"/>
  <c r="M27" i="3"/>
  <c r="N27" i="3"/>
  <c r="S27" i="3"/>
  <c r="U27" i="3"/>
  <c r="T27" i="3" s="1"/>
  <c r="V27" i="3"/>
  <c r="W27" i="3"/>
  <c r="X27" i="3"/>
  <c r="M28" i="3"/>
  <c r="N28" i="3"/>
  <c r="S28" i="3"/>
  <c r="U28" i="3"/>
  <c r="T28" i="3" s="1"/>
  <c r="V28" i="3"/>
  <c r="W28" i="3"/>
  <c r="X28" i="3"/>
  <c r="AC28" i="3"/>
  <c r="M29" i="3"/>
  <c r="N29" i="3"/>
  <c r="S29" i="3"/>
  <c r="U29" i="3"/>
  <c r="AC29" i="3" s="1"/>
  <c r="V29" i="3"/>
  <c r="W29" i="3"/>
  <c r="X29" i="3"/>
  <c r="M23" i="3"/>
  <c r="N23" i="3"/>
  <c r="S23" i="3"/>
  <c r="U23" i="3"/>
  <c r="T23" i="3" s="1"/>
  <c r="V23" i="3"/>
  <c r="W23" i="3"/>
  <c r="X23" i="3"/>
  <c r="X47" i="1" l="1"/>
  <c r="X201" i="1"/>
  <c r="AG229" i="1"/>
  <c r="X146" i="1"/>
  <c r="AA91" i="1"/>
  <c r="AA87" i="1"/>
  <c r="AA125" i="1"/>
  <c r="AA89" i="1"/>
  <c r="W89" i="1" s="1"/>
  <c r="AA80" i="1"/>
  <c r="W80" i="1" s="1"/>
  <c r="AA52" i="1"/>
  <c r="AA157" i="1"/>
  <c r="AA206" i="1"/>
  <c r="AA155" i="1"/>
  <c r="X53" i="1"/>
  <c r="X45" i="1"/>
  <c r="AA199" i="1"/>
  <c r="AA182" i="1"/>
  <c r="P155" i="1"/>
  <c r="X46" i="1"/>
  <c r="AA46" i="1"/>
  <c r="AG35" i="1"/>
  <c r="X35" i="1"/>
  <c r="AG24" i="1"/>
  <c r="X24" i="1"/>
  <c r="T18" i="1"/>
  <c r="X18" i="1"/>
  <c r="AG200" i="1"/>
  <c r="X188" i="1"/>
  <c r="AA173" i="1"/>
  <c r="AA170" i="1"/>
  <c r="AA162" i="1"/>
  <c r="AA148" i="1"/>
  <c r="AI144" i="1"/>
  <c r="AA106" i="1"/>
  <c r="AG25" i="1"/>
  <c r="X25" i="1"/>
  <c r="AG19" i="1"/>
  <c r="AI19" i="1" s="1"/>
  <c r="X20" i="1"/>
  <c r="X19" i="1"/>
  <c r="U31" i="1"/>
  <c r="S31" i="1" s="1"/>
  <c r="T190" i="1"/>
  <c r="X190" i="1"/>
  <c r="AA58" i="1"/>
  <c r="T21" i="1"/>
  <c r="X21" i="1"/>
  <c r="AA16" i="1"/>
  <c r="X31" i="1"/>
  <c r="T132" i="1"/>
  <c r="U132" i="1" s="1"/>
  <c r="S132" i="1" s="1"/>
  <c r="AI112" i="1"/>
  <c r="X107" i="1"/>
  <c r="AI55" i="1"/>
  <c r="AA43" i="1"/>
  <c r="W43" i="1" s="1"/>
  <c r="AA39" i="1"/>
  <c r="W39" i="1" s="1"/>
  <c r="AA35" i="1"/>
  <c r="X34" i="1"/>
  <c r="R16" i="3"/>
  <c r="W31" i="1"/>
  <c r="R12" i="3"/>
  <c r="AI23" i="1"/>
  <c r="U23" i="1"/>
  <c r="S23" i="1" s="1"/>
  <c r="W23" i="1"/>
  <c r="AI20" i="1"/>
  <c r="U20" i="1"/>
  <c r="S20" i="1" s="1"/>
  <c r="W20" i="1"/>
  <c r="AI17" i="1"/>
  <c r="U17" i="1"/>
  <c r="S17" i="1" s="1"/>
  <c r="W17" i="1"/>
  <c r="AC21" i="3"/>
  <c r="AC12" i="3"/>
  <c r="AA55" i="1"/>
  <c r="W55" i="1" s="1"/>
  <c r="Y13" i="3"/>
  <c r="Y38" i="3"/>
  <c r="Y40" i="3"/>
  <c r="AA202" i="1"/>
  <c r="X171" i="1"/>
  <c r="T148" i="1"/>
  <c r="X148" i="1"/>
  <c r="T116" i="1"/>
  <c r="AA37" i="1"/>
  <c r="AA29" i="1"/>
  <c r="W29" i="1" s="1"/>
  <c r="Y10" i="3"/>
  <c r="AG174" i="1"/>
  <c r="AI174" i="1" s="1"/>
  <c r="AA169" i="1"/>
  <c r="X168" i="1"/>
  <c r="X160" i="1"/>
  <c r="AG158" i="1"/>
  <c r="AI158" i="1" s="1"/>
  <c r="AA226" i="1"/>
  <c r="X225" i="1"/>
  <c r="AA222" i="1"/>
  <c r="X149" i="1"/>
  <c r="AG139" i="1"/>
  <c r="T107" i="1"/>
  <c r="AA104" i="1"/>
  <c r="T35" i="1"/>
  <c r="X154" i="1"/>
  <c r="X95" i="1"/>
  <c r="AA62" i="1"/>
  <c r="Y34" i="3"/>
  <c r="Y30" i="3"/>
  <c r="R14" i="3"/>
  <c r="AG182" i="1"/>
  <c r="AI182" i="1" s="1"/>
  <c r="AA158" i="1"/>
  <c r="AA150" i="1"/>
  <c r="AG148" i="1"/>
  <c r="U148" i="1" s="1"/>
  <c r="S148" i="1" s="1"/>
  <c r="AA132" i="1"/>
  <c r="W132" i="1" s="1"/>
  <c r="AA122" i="1"/>
  <c r="T120" i="1"/>
  <c r="AA117" i="1"/>
  <c r="AG111" i="1"/>
  <c r="AI111" i="1" s="1"/>
  <c r="X111" i="1"/>
  <c r="AG66" i="1"/>
  <c r="AI66" i="1" s="1"/>
  <c r="X43" i="1"/>
  <c r="AA26" i="1"/>
  <c r="T24" i="1"/>
  <c r="AG21" i="1"/>
  <c r="W148" i="1"/>
  <c r="AG108" i="1"/>
  <c r="AI108" i="1" s="1"/>
  <c r="X108" i="1"/>
  <c r="AG220" i="1"/>
  <c r="U220" i="1" s="1"/>
  <c r="S220" i="1" s="1"/>
  <c r="AA129" i="1"/>
  <c r="AG110" i="1"/>
  <c r="U110" i="1" s="1"/>
  <c r="S110" i="1" s="1"/>
  <c r="X110" i="1"/>
  <c r="X109" i="1"/>
  <c r="AA100" i="1"/>
  <c r="AA84" i="1"/>
  <c r="AA66" i="1"/>
  <c r="AG58" i="1"/>
  <c r="AI58" i="1" s="1"/>
  <c r="Y44" i="3"/>
  <c r="Y20" i="3"/>
  <c r="Y15" i="3"/>
  <c r="Y18" i="3"/>
  <c r="Y22" i="3"/>
  <c r="Y39" i="3"/>
  <c r="Y8" i="3"/>
  <c r="AA236" i="1"/>
  <c r="W236" i="1" s="1"/>
  <c r="AA186" i="1"/>
  <c r="AA181" i="1"/>
  <c r="AA172" i="1"/>
  <c r="W172" i="1" s="1"/>
  <c r="AA147" i="1"/>
  <c r="AA137" i="1"/>
  <c r="T115" i="1"/>
  <c r="U115" i="1" s="1"/>
  <c r="S115" i="1" s="1"/>
  <c r="AG113" i="1"/>
  <c r="AI113" i="1" s="1"/>
  <c r="AG91" i="1"/>
  <c r="X91" i="1"/>
  <c r="AA78" i="1"/>
  <c r="X77" i="1"/>
  <c r="AA54" i="1"/>
  <c r="AA50" i="1"/>
  <c r="X49" i="1"/>
  <c r="T39" i="1"/>
  <c r="AA14" i="1"/>
  <c r="Y45" i="3"/>
  <c r="Y31" i="3"/>
  <c r="Y16" i="3"/>
  <c r="AG197" i="1"/>
  <c r="T197" i="1"/>
  <c r="X197" i="1"/>
  <c r="T224" i="1"/>
  <c r="AG224" i="1"/>
  <c r="AI224" i="1" s="1"/>
  <c r="T156" i="1"/>
  <c r="AG156" i="1"/>
  <c r="AG226" i="1"/>
  <c r="AI226" i="1" s="1"/>
  <c r="X226" i="1"/>
  <c r="AG205" i="1"/>
  <c r="AI205" i="1" s="1"/>
  <c r="X205" i="1"/>
  <c r="T149" i="1"/>
  <c r="R19" i="3"/>
  <c r="R27" i="3"/>
  <c r="R46" i="3"/>
  <c r="AA197" i="1"/>
  <c r="AA185" i="1"/>
  <c r="AA180" i="1"/>
  <c r="W180" i="1" s="1"/>
  <c r="AA224" i="1"/>
  <c r="AA215" i="1"/>
  <c r="T150" i="1"/>
  <c r="X150" i="1"/>
  <c r="AG150" i="1"/>
  <c r="AI150" i="1" s="1"/>
  <c r="T141" i="1"/>
  <c r="AG141" i="1"/>
  <c r="AG136" i="1"/>
  <c r="AI136" i="1" s="1"/>
  <c r="T136" i="1"/>
  <c r="Y12" i="3"/>
  <c r="AA218" i="1"/>
  <c r="AA216" i="1"/>
  <c r="AA191" i="1"/>
  <c r="T25" i="1"/>
  <c r="Y27" i="3"/>
  <c r="Y19" i="3"/>
  <c r="Y47" i="3"/>
  <c r="Y21" i="3"/>
  <c r="R13" i="3"/>
  <c r="R7" i="3"/>
  <c r="R37" i="3"/>
  <c r="Y36" i="3"/>
  <c r="R36" i="3"/>
  <c r="Y33" i="3"/>
  <c r="Y41" i="3"/>
  <c r="AG216" i="1"/>
  <c r="AI216" i="1" s="1"/>
  <c r="T236" i="1"/>
  <c r="U236" i="1" s="1"/>
  <c r="S236" i="1" s="1"/>
  <c r="AI232" i="1"/>
  <c r="AA229" i="1"/>
  <c r="W229" i="1" s="1"/>
  <c r="AG227" i="1"/>
  <c r="U227" i="1" s="1"/>
  <c r="S227" i="1" s="1"/>
  <c r="X192" i="1"/>
  <c r="AG190" i="1"/>
  <c r="AA188" i="1"/>
  <c r="AA174" i="1"/>
  <c r="W174" i="1" s="1"/>
  <c r="X172" i="1"/>
  <c r="AG170" i="1"/>
  <c r="AI170" i="1" s="1"/>
  <c r="AA168" i="1"/>
  <c r="X163" i="1"/>
  <c r="AA223" i="1"/>
  <c r="X222" i="1"/>
  <c r="AA214" i="1"/>
  <c r="X209" i="1"/>
  <c r="AG207" i="1"/>
  <c r="AA205" i="1"/>
  <c r="AA156" i="1"/>
  <c r="AA149" i="1"/>
  <c r="X147" i="1"/>
  <c r="T146" i="1"/>
  <c r="AA139" i="1"/>
  <c r="AA136" i="1"/>
  <c r="AA124" i="1"/>
  <c r="W124" i="1" s="1"/>
  <c r="AA118" i="1"/>
  <c r="X116" i="1"/>
  <c r="AA111" i="1"/>
  <c r="AG107" i="1"/>
  <c r="AI107" i="1" s="1"/>
  <c r="AA103" i="1"/>
  <c r="AA96" i="1"/>
  <c r="AA88" i="1"/>
  <c r="AA65" i="1"/>
  <c r="AG57" i="1"/>
  <c r="U57" i="1" s="1"/>
  <c r="S57" i="1" s="1"/>
  <c r="AG48" i="1"/>
  <c r="AI48" i="1" s="1"/>
  <c r="T43" i="1"/>
  <c r="T42" i="1"/>
  <c r="U42" i="1" s="1"/>
  <c r="S42" i="1" s="1"/>
  <c r="AG40" i="1"/>
  <c r="U40" i="1" s="1"/>
  <c r="S40" i="1" s="1"/>
  <c r="AA36" i="1"/>
  <c r="AA25" i="1"/>
  <c r="W25" i="1" s="1"/>
  <c r="AA19" i="1"/>
  <c r="AA207" i="1"/>
  <c r="AA154" i="1"/>
  <c r="AA146" i="1"/>
  <c r="AA143" i="1"/>
  <c r="AA133" i="1"/>
  <c r="AA126" i="1"/>
  <c r="AA116" i="1"/>
  <c r="AA108" i="1"/>
  <c r="AA107" i="1"/>
  <c r="AA105" i="1"/>
  <c r="W105" i="1" s="1"/>
  <c r="X99" i="1"/>
  <c r="AG92" i="1"/>
  <c r="U92" i="1" s="1"/>
  <c r="S92" i="1" s="1"/>
  <c r="X92" i="1"/>
  <c r="AA90" i="1"/>
  <c r="AA79" i="1"/>
  <c r="AG65" i="1"/>
  <c r="AI65" i="1" s="1"/>
  <c r="X61" i="1"/>
  <c r="AA57" i="1"/>
  <c r="AA44" i="1"/>
  <c r="T33" i="1"/>
  <c r="U33" i="1" s="1"/>
  <c r="S33" i="1" s="1"/>
  <c r="AG30" i="1"/>
  <c r="AI30" i="1" s="1"/>
  <c r="AA27" i="1"/>
  <c r="AA15" i="1"/>
  <c r="AG235" i="1"/>
  <c r="AI235" i="1" s="1"/>
  <c r="AA231" i="1"/>
  <c r="X228" i="1"/>
  <c r="X236" i="1"/>
  <c r="AA195" i="1"/>
  <c r="T188" i="1"/>
  <c r="AG188" i="1"/>
  <c r="W188" i="1" s="1"/>
  <c r="AA228" i="1"/>
  <c r="W228" i="1" s="1"/>
  <c r="T228" i="1"/>
  <c r="AG201" i="1"/>
  <c r="AI201" i="1" s="1"/>
  <c r="T201" i="1"/>
  <c r="T196" i="1"/>
  <c r="AG196" i="1"/>
  <c r="AI196" i="1" s="1"/>
  <c r="U229" i="1"/>
  <c r="S229" i="1" s="1"/>
  <c r="AA134" i="1"/>
  <c r="T119" i="1"/>
  <c r="U119" i="1" s="1"/>
  <c r="S119" i="1" s="1"/>
  <c r="T95" i="1"/>
  <c r="AA184" i="1"/>
  <c r="W184" i="1" s="1"/>
  <c r="AG178" i="1"/>
  <c r="AI178" i="1" s="1"/>
  <c r="AG166" i="1"/>
  <c r="AI166" i="1" s="1"/>
  <c r="X164" i="1"/>
  <c r="AA161" i="1"/>
  <c r="AA160" i="1"/>
  <c r="AA213" i="1"/>
  <c r="W213" i="1" s="1"/>
  <c r="AG211" i="1"/>
  <c r="AI211" i="1" s="1"/>
  <c r="AG152" i="1"/>
  <c r="AI152" i="1" s="1"/>
  <c r="AG147" i="1"/>
  <c r="AI147" i="1" s="1"/>
  <c r="AG143" i="1"/>
  <c r="AI143" i="1" s="1"/>
  <c r="AG129" i="1"/>
  <c r="AI129" i="1" s="1"/>
  <c r="AA127" i="1"/>
  <c r="AG100" i="1"/>
  <c r="U100" i="1" s="1"/>
  <c r="S100" i="1" s="1"/>
  <c r="X100" i="1"/>
  <c r="AA99" i="1"/>
  <c r="T99" i="1"/>
  <c r="AA95" i="1"/>
  <c r="AA92" i="1"/>
  <c r="AG83" i="1"/>
  <c r="AI83" i="1" s="1"/>
  <c r="X83" i="1"/>
  <c r="AA82" i="1"/>
  <c r="AA81" i="1"/>
  <c r="AA75" i="1"/>
  <c r="AA74" i="1"/>
  <c r="AA71" i="1"/>
  <c r="AA70" i="1"/>
  <c r="W70" i="1" s="1"/>
  <c r="AG68" i="1"/>
  <c r="U68" i="1" s="1"/>
  <c r="S68" i="1" s="1"/>
  <c r="AG62" i="1"/>
  <c r="X62" i="1"/>
  <c r="AA61" i="1"/>
  <c r="T61" i="1"/>
  <c r="AG49" i="1"/>
  <c r="AI49" i="1" s="1"/>
  <c r="AA30" i="1"/>
  <c r="AA21" i="1"/>
  <c r="W21" i="1" s="1"/>
  <c r="AG145" i="1"/>
  <c r="U145" i="1" s="1"/>
  <c r="S145" i="1" s="1"/>
  <c r="AG135" i="1"/>
  <c r="U135" i="1" s="1"/>
  <c r="S135" i="1" s="1"/>
  <c r="AG131" i="1"/>
  <c r="U131" i="1" s="1"/>
  <c r="S131" i="1" s="1"/>
  <c r="AA234" i="1"/>
  <c r="AA233" i="1"/>
  <c r="W233" i="1" s="1"/>
  <c r="AA203" i="1"/>
  <c r="AA201" i="1"/>
  <c r="AA198" i="1"/>
  <c r="AI193" i="1"/>
  <c r="AA193" i="1"/>
  <c r="W193" i="1" s="1"/>
  <c r="AG186" i="1"/>
  <c r="U186" i="1" s="1"/>
  <c r="S186" i="1" s="1"/>
  <c r="AA178" i="1"/>
  <c r="AA177" i="1"/>
  <c r="AA176" i="1"/>
  <c r="W176" i="1" s="1"/>
  <c r="AA166" i="1"/>
  <c r="AA165" i="1"/>
  <c r="AA164" i="1"/>
  <c r="W164" i="1" s="1"/>
  <c r="AG162" i="1"/>
  <c r="AI162" i="1" s="1"/>
  <c r="AG215" i="1"/>
  <c r="W215" i="1" s="1"/>
  <c r="X213" i="1"/>
  <c r="X212" i="1"/>
  <c r="AA211" i="1"/>
  <c r="AA210" i="1"/>
  <c r="AA209" i="1"/>
  <c r="AA152" i="1"/>
  <c r="AA151" i="1"/>
  <c r="AG149" i="1"/>
  <c r="U149" i="1" s="1"/>
  <c r="S149" i="1" s="1"/>
  <c r="AG146" i="1"/>
  <c r="AA141" i="1"/>
  <c r="AG137" i="1"/>
  <c r="X136" i="1"/>
  <c r="X132" i="1"/>
  <c r="T124" i="1"/>
  <c r="U124" i="1" s="1"/>
  <c r="S124" i="1" s="1"/>
  <c r="AA121" i="1"/>
  <c r="AA120" i="1"/>
  <c r="W120" i="1" s="1"/>
  <c r="AA113" i="1"/>
  <c r="AA112" i="1"/>
  <c r="W112" i="1" s="1"/>
  <c r="AG99" i="1"/>
  <c r="AI99" i="1" s="1"/>
  <c r="AA98" i="1"/>
  <c r="AA97" i="1"/>
  <c r="AG84" i="1"/>
  <c r="AI84" i="1" s="1"/>
  <c r="X84" i="1"/>
  <c r="AA83" i="1"/>
  <c r="X70" i="1"/>
  <c r="AA68" i="1"/>
  <c r="AG61" i="1"/>
  <c r="AG54" i="1"/>
  <c r="W54" i="1" s="1"/>
  <c r="AA48" i="1"/>
  <c r="AA45" i="1"/>
  <c r="AA40" i="1"/>
  <c r="T29" i="1"/>
  <c r="U29" i="1" s="1"/>
  <c r="S29" i="1" s="1"/>
  <c r="AG26" i="1"/>
  <c r="T19" i="1"/>
  <c r="AG15" i="1"/>
  <c r="AA220" i="1"/>
  <c r="W220" i="1" s="1"/>
  <c r="AA219" i="1"/>
  <c r="W219" i="1" s="1"/>
  <c r="T219" i="1"/>
  <c r="U219" i="1" s="1"/>
  <c r="S219" i="1" s="1"/>
  <c r="AA217" i="1"/>
  <c r="AI228" i="1"/>
  <c r="T233" i="1"/>
  <c r="U233" i="1" s="1"/>
  <c r="S233" i="1" s="1"/>
  <c r="X232" i="1"/>
  <c r="AG231" i="1"/>
  <c r="U231" i="1" s="1"/>
  <c r="S231" i="1" s="1"/>
  <c r="AA227" i="1"/>
  <c r="W227" i="1" s="1"/>
  <c r="AG202" i="1"/>
  <c r="U202" i="1" s="1"/>
  <c r="S202" i="1" s="1"/>
  <c r="AA200" i="1"/>
  <c r="W200" i="1" s="1"/>
  <c r="AG198" i="1"/>
  <c r="U198" i="1" s="1"/>
  <c r="S198" i="1" s="1"/>
  <c r="AI197" i="1"/>
  <c r="AA196" i="1"/>
  <c r="AG194" i="1"/>
  <c r="U194" i="1" s="1"/>
  <c r="S194" i="1" s="1"/>
  <c r="X194" i="1"/>
  <c r="X191" i="1"/>
  <c r="AG191" i="1"/>
  <c r="AI191" i="1" s="1"/>
  <c r="X180" i="1"/>
  <c r="T175" i="1"/>
  <c r="X175" i="1"/>
  <c r="AG175" i="1"/>
  <c r="U216" i="1"/>
  <c r="S216" i="1" s="1"/>
  <c r="X184" i="1"/>
  <c r="X179" i="1"/>
  <c r="AG179" i="1"/>
  <c r="T179" i="1"/>
  <c r="T176" i="1"/>
  <c r="U176" i="1" s="1"/>
  <c r="S176" i="1" s="1"/>
  <c r="X219" i="1"/>
  <c r="AG218" i="1"/>
  <c r="AA235" i="1"/>
  <c r="W235" i="1" s="1"/>
  <c r="AA232" i="1"/>
  <c r="W232" i="1" s="1"/>
  <c r="T232" i="1"/>
  <c r="U232" i="1" s="1"/>
  <c r="S232" i="1" s="1"/>
  <c r="AA230" i="1"/>
  <c r="AI220" i="1"/>
  <c r="AA194" i="1"/>
  <c r="T191" i="1"/>
  <c r="T183" i="1"/>
  <c r="X183" i="1"/>
  <c r="AG183" i="1"/>
  <c r="T180" i="1"/>
  <c r="U180" i="1" s="1"/>
  <c r="S180" i="1" s="1"/>
  <c r="X204" i="1"/>
  <c r="AA192" i="1"/>
  <c r="W192" i="1" s="1"/>
  <c r="T192" i="1"/>
  <c r="U192" i="1" s="1"/>
  <c r="S192" i="1" s="1"/>
  <c r="X187" i="1"/>
  <c r="AG187" i="1"/>
  <c r="T187" i="1"/>
  <c r="T184" i="1"/>
  <c r="U184" i="1" s="1"/>
  <c r="S184" i="1" s="1"/>
  <c r="X176" i="1"/>
  <c r="T168" i="1"/>
  <c r="T160" i="1"/>
  <c r="T222" i="1"/>
  <c r="T209" i="1"/>
  <c r="T154" i="1"/>
  <c r="T147" i="1"/>
  <c r="AG140" i="1"/>
  <c r="AI140" i="1" s="1"/>
  <c r="T140" i="1"/>
  <c r="T133" i="1"/>
  <c r="AG133" i="1"/>
  <c r="T121" i="1"/>
  <c r="AG121" i="1"/>
  <c r="AI70" i="1"/>
  <c r="T64" i="1"/>
  <c r="AG64" i="1"/>
  <c r="X65" i="1"/>
  <c r="AG56" i="1"/>
  <c r="AI56" i="1" s="1"/>
  <c r="X57" i="1"/>
  <c r="AA51" i="1"/>
  <c r="W51" i="1" s="1"/>
  <c r="AI51" i="1"/>
  <c r="AA189" i="1"/>
  <c r="AA187" i="1"/>
  <c r="AA179" i="1"/>
  <c r="AA171" i="1"/>
  <c r="T171" i="1"/>
  <c r="AG168" i="1"/>
  <c r="AI168" i="1" s="1"/>
  <c r="AG167" i="1"/>
  <c r="U167" i="1" s="1"/>
  <c r="S167" i="1" s="1"/>
  <c r="X167" i="1"/>
  <c r="AA163" i="1"/>
  <c r="T163" i="1"/>
  <c r="AG160" i="1"/>
  <c r="AI160" i="1" s="1"/>
  <c r="AG159" i="1"/>
  <c r="U159" i="1" s="1"/>
  <c r="S159" i="1" s="1"/>
  <c r="X159" i="1"/>
  <c r="AA225" i="1"/>
  <c r="T225" i="1"/>
  <c r="AG222" i="1"/>
  <c r="AG221" i="1"/>
  <c r="U221" i="1" s="1"/>
  <c r="S221" i="1" s="1"/>
  <c r="X221" i="1"/>
  <c r="AA212" i="1"/>
  <c r="T212" i="1"/>
  <c r="AG209" i="1"/>
  <c r="AG208" i="1"/>
  <c r="U208" i="1" s="1"/>
  <c r="S208" i="1" s="1"/>
  <c r="X208" i="1"/>
  <c r="AA204" i="1"/>
  <c r="T204" i="1"/>
  <c r="AG154" i="1"/>
  <c r="AG153" i="1"/>
  <c r="U153" i="1" s="1"/>
  <c r="S153" i="1" s="1"/>
  <c r="X153" i="1"/>
  <c r="X140" i="1"/>
  <c r="AA135" i="1"/>
  <c r="AG128" i="1"/>
  <c r="AI128" i="1" s="1"/>
  <c r="T128" i="1"/>
  <c r="AG127" i="1"/>
  <c r="T112" i="1"/>
  <c r="U112" i="1" s="1"/>
  <c r="S112" i="1" s="1"/>
  <c r="T94" i="1"/>
  <c r="AG94" i="1"/>
  <c r="AG50" i="1"/>
  <c r="T50" i="1"/>
  <c r="AG47" i="1"/>
  <c r="AI47" i="1" s="1"/>
  <c r="T47" i="1"/>
  <c r="AI21" i="1"/>
  <c r="T172" i="1"/>
  <c r="U172" i="1" s="1"/>
  <c r="S172" i="1" s="1"/>
  <c r="T164" i="1"/>
  <c r="U164" i="1" s="1"/>
  <c r="S164" i="1" s="1"/>
  <c r="W158" i="1"/>
  <c r="T226" i="1"/>
  <c r="T213" i="1"/>
  <c r="U213" i="1" s="1"/>
  <c r="S213" i="1" s="1"/>
  <c r="T205" i="1"/>
  <c r="AA145" i="1"/>
  <c r="X128" i="1"/>
  <c r="AA123" i="1"/>
  <c r="X103" i="1"/>
  <c r="AI100" i="1"/>
  <c r="X87" i="1"/>
  <c r="U84" i="1"/>
  <c r="S84" i="1" s="1"/>
  <c r="AG46" i="1"/>
  <c r="AI46" i="1" s="1"/>
  <c r="T46" i="1"/>
  <c r="AA183" i="1"/>
  <c r="AA175" i="1"/>
  <c r="AG171" i="1"/>
  <c r="AA167" i="1"/>
  <c r="AG163" i="1"/>
  <c r="AA159" i="1"/>
  <c r="AG225" i="1"/>
  <c r="U225" i="1" s="1"/>
  <c r="S225" i="1" s="1"/>
  <c r="AA221" i="1"/>
  <c r="AG212" i="1"/>
  <c r="AA208" i="1"/>
  <c r="AG204" i="1"/>
  <c r="AA153" i="1"/>
  <c r="AA144" i="1"/>
  <c r="W144" i="1" s="1"/>
  <c r="AA142" i="1"/>
  <c r="AA140" i="1"/>
  <c r="W140" i="1" s="1"/>
  <c r="W139" i="1"/>
  <c r="AA138" i="1"/>
  <c r="AG125" i="1"/>
  <c r="X124" i="1"/>
  <c r="AG123" i="1"/>
  <c r="U123" i="1" s="1"/>
  <c r="S123" i="1" s="1"/>
  <c r="T102" i="1"/>
  <c r="AG102" i="1"/>
  <c r="AI102" i="1" s="1"/>
  <c r="T86" i="1"/>
  <c r="AG86" i="1"/>
  <c r="AI86" i="1" s="1"/>
  <c r="AG79" i="1"/>
  <c r="AI79" i="1" s="1"/>
  <c r="X79" i="1"/>
  <c r="AG74" i="1"/>
  <c r="X74" i="1"/>
  <c r="AA119" i="1"/>
  <c r="W119" i="1" s="1"/>
  <c r="T111" i="1"/>
  <c r="T108" i="1"/>
  <c r="AG104" i="1"/>
  <c r="AG103" i="1"/>
  <c r="AI103" i="1" s="1"/>
  <c r="AG96" i="1"/>
  <c r="AG95" i="1"/>
  <c r="U95" i="1" s="1"/>
  <c r="S95" i="1" s="1"/>
  <c r="W91" i="1"/>
  <c r="AG88" i="1"/>
  <c r="AG87" i="1"/>
  <c r="W87" i="1" s="1"/>
  <c r="AG78" i="1"/>
  <c r="AG73" i="1"/>
  <c r="U73" i="1" s="1"/>
  <c r="S73" i="1" s="1"/>
  <c r="T70" i="1"/>
  <c r="U70" i="1" s="1"/>
  <c r="S70" i="1" s="1"/>
  <c r="U66" i="1"/>
  <c r="S66" i="1" s="1"/>
  <c r="U58" i="1"/>
  <c r="S58" i="1" s="1"/>
  <c r="W52" i="1"/>
  <c r="X39" i="1"/>
  <c r="AG38" i="1"/>
  <c r="AI38" i="1" s="1"/>
  <c r="AG36" i="1"/>
  <c r="X29" i="1"/>
  <c r="AG28" i="1"/>
  <c r="AI28" i="1" s="1"/>
  <c r="AG18" i="1"/>
  <c r="AI18" i="1" s="1"/>
  <c r="W14" i="1"/>
  <c r="T14" i="1"/>
  <c r="U14" i="1" s="1"/>
  <c r="S14" i="1" s="1"/>
  <c r="AA131" i="1"/>
  <c r="AA130" i="1"/>
  <c r="AA128" i="1"/>
  <c r="X120" i="1"/>
  <c r="AG117" i="1"/>
  <c r="AA115" i="1"/>
  <c r="W115" i="1" s="1"/>
  <c r="AA114" i="1"/>
  <c r="AG106" i="1"/>
  <c r="W106" i="1" s="1"/>
  <c r="X104" i="1"/>
  <c r="AA102" i="1"/>
  <c r="AA101" i="1"/>
  <c r="W101" i="1" s="1"/>
  <c r="AG98" i="1"/>
  <c r="AI98" i="1" s="1"/>
  <c r="X96" i="1"/>
  <c r="AA94" i="1"/>
  <c r="AA93" i="1"/>
  <c r="W93" i="1" s="1"/>
  <c r="AG90" i="1"/>
  <c r="X88" i="1"/>
  <c r="AA86" i="1"/>
  <c r="AA85" i="1"/>
  <c r="W85" i="1" s="1"/>
  <c r="AG82" i="1"/>
  <c r="U82" i="1" s="1"/>
  <c r="S82" i="1" s="1"/>
  <c r="X78" i="1"/>
  <c r="AA77" i="1"/>
  <c r="AA76" i="1"/>
  <c r="AG69" i="1"/>
  <c r="AI69" i="1" s="1"/>
  <c r="X69" i="1"/>
  <c r="X66" i="1"/>
  <c r="AA64" i="1"/>
  <c r="AA63" i="1"/>
  <c r="AG60" i="1"/>
  <c r="AI60" i="1" s="1"/>
  <c r="X58" i="1"/>
  <c r="AA56" i="1"/>
  <c r="W56" i="1" s="1"/>
  <c r="X55" i="1"/>
  <c r="X50" i="1"/>
  <c r="AA47" i="1"/>
  <c r="AA42" i="1"/>
  <c r="W42" i="1" s="1"/>
  <c r="AA41" i="1"/>
  <c r="AA33" i="1"/>
  <c r="W33" i="1" s="1"/>
  <c r="AA32" i="1"/>
  <c r="AA24" i="1"/>
  <c r="W24" i="1" s="1"/>
  <c r="AA22" i="1"/>
  <c r="AA69" i="1"/>
  <c r="AA67" i="1"/>
  <c r="AA60" i="1"/>
  <c r="AA59" i="1"/>
  <c r="T55" i="1"/>
  <c r="X54" i="1"/>
  <c r="AA53" i="1"/>
  <c r="AA38" i="1"/>
  <c r="AA28" i="1"/>
  <c r="AA18" i="1"/>
  <c r="AI227" i="1"/>
  <c r="U228" i="1"/>
  <c r="S228" i="1" s="1"/>
  <c r="AI219" i="1"/>
  <c r="X220" i="1"/>
  <c r="X216" i="1"/>
  <c r="X233" i="1"/>
  <c r="X229" i="1"/>
  <c r="X202" i="1"/>
  <c r="X198" i="1"/>
  <c r="T193" i="1"/>
  <c r="U193" i="1" s="1"/>
  <c r="S193" i="1" s="1"/>
  <c r="X193" i="1"/>
  <c r="AA190" i="1"/>
  <c r="U218" i="1"/>
  <c r="S218" i="1" s="1"/>
  <c r="U235" i="1"/>
  <c r="S235" i="1" s="1"/>
  <c r="U200" i="1"/>
  <c r="S200" i="1" s="1"/>
  <c r="T189" i="1"/>
  <c r="AI236" i="1"/>
  <c r="X218" i="1"/>
  <c r="AG217" i="1"/>
  <c r="X235" i="1"/>
  <c r="AG234" i="1"/>
  <c r="AI234" i="1" s="1"/>
  <c r="X231" i="1"/>
  <c r="AG230" i="1"/>
  <c r="AI230" i="1" s="1"/>
  <c r="X227" i="1"/>
  <c r="AG203" i="1"/>
  <c r="AI203" i="1" s="1"/>
  <c r="X200" i="1"/>
  <c r="AG199" i="1"/>
  <c r="AI199" i="1" s="1"/>
  <c r="X196" i="1"/>
  <c r="AG195" i="1"/>
  <c r="AI195" i="1" s="1"/>
  <c r="AG189" i="1"/>
  <c r="U174" i="1"/>
  <c r="S174" i="1" s="1"/>
  <c r="U158" i="1"/>
  <c r="S158" i="1" s="1"/>
  <c r="X217" i="1"/>
  <c r="X234" i="1"/>
  <c r="X230" i="1"/>
  <c r="X203" i="1"/>
  <c r="AI218" i="1"/>
  <c r="X199" i="1"/>
  <c r="X195" i="1"/>
  <c r="X186" i="1"/>
  <c r="AG185" i="1"/>
  <c r="AI185" i="1" s="1"/>
  <c r="AI200" i="1"/>
  <c r="X182" i="1"/>
  <c r="AG181" i="1"/>
  <c r="AI181" i="1" s="1"/>
  <c r="X178" i="1"/>
  <c r="AG177" i="1"/>
  <c r="AI177" i="1" s="1"/>
  <c r="AI192" i="1"/>
  <c r="X174" i="1"/>
  <c r="AG173" i="1"/>
  <c r="AI173" i="1" s="1"/>
  <c r="X170" i="1"/>
  <c r="AG169" i="1"/>
  <c r="AI169" i="1" s="1"/>
  <c r="X166" i="1"/>
  <c r="AG165" i="1"/>
  <c r="AI165" i="1" s="1"/>
  <c r="X162" i="1"/>
  <c r="AG161" i="1"/>
  <c r="AI161" i="1" s="1"/>
  <c r="X158" i="1"/>
  <c r="AG157" i="1"/>
  <c r="AI157" i="1" s="1"/>
  <c r="X224" i="1"/>
  <c r="AG223" i="1"/>
  <c r="AI223" i="1" s="1"/>
  <c r="X215" i="1"/>
  <c r="AG214" i="1"/>
  <c r="AI214" i="1" s="1"/>
  <c r="X211" i="1"/>
  <c r="AG210" i="1"/>
  <c r="AI210" i="1" s="1"/>
  <c r="X207" i="1"/>
  <c r="AG206" i="1"/>
  <c r="X156" i="1"/>
  <c r="AG155" i="1"/>
  <c r="X152" i="1"/>
  <c r="AG151" i="1"/>
  <c r="AI146" i="1"/>
  <c r="X145" i="1"/>
  <c r="AI139" i="1"/>
  <c r="AI120" i="1"/>
  <c r="U120" i="1"/>
  <c r="S120" i="1" s="1"/>
  <c r="W116" i="1"/>
  <c r="X185" i="1"/>
  <c r="X181" i="1"/>
  <c r="X177" i="1"/>
  <c r="X173" i="1"/>
  <c r="X169" i="1"/>
  <c r="AI184" i="1"/>
  <c r="X165" i="1"/>
  <c r="AI180" i="1"/>
  <c r="X161" i="1"/>
  <c r="AI176" i="1"/>
  <c r="X157" i="1"/>
  <c r="AI172" i="1"/>
  <c r="X223" i="1"/>
  <c r="X214" i="1"/>
  <c r="AI164" i="1"/>
  <c r="X210" i="1"/>
  <c r="X206" i="1"/>
  <c r="X155" i="1"/>
  <c r="X151" i="1"/>
  <c r="AI145" i="1"/>
  <c r="T144" i="1"/>
  <c r="U144" i="1" s="1"/>
  <c r="S144" i="1" s="1"/>
  <c r="U143" i="1"/>
  <c r="S143" i="1" s="1"/>
  <c r="T142" i="1"/>
  <c r="X142" i="1"/>
  <c r="AG142" i="1"/>
  <c r="X143" i="1"/>
  <c r="U139" i="1"/>
  <c r="S139" i="1" s="1"/>
  <c r="T138" i="1"/>
  <c r="X138" i="1"/>
  <c r="AG138" i="1"/>
  <c r="W138" i="1" s="1"/>
  <c r="X139" i="1"/>
  <c r="AI132" i="1"/>
  <c r="AI116" i="1"/>
  <c r="U116" i="1"/>
  <c r="S116" i="1" s="1"/>
  <c r="X144" i="1"/>
  <c r="AI124" i="1"/>
  <c r="X141" i="1"/>
  <c r="X137" i="1"/>
  <c r="X133" i="1"/>
  <c r="X129" i="1"/>
  <c r="X125" i="1"/>
  <c r="X121" i="1"/>
  <c r="X117" i="1"/>
  <c r="X113" i="1"/>
  <c r="X112" i="1"/>
  <c r="AA110" i="1"/>
  <c r="AA109" i="1"/>
  <c r="AI105" i="1"/>
  <c r="AI97" i="1"/>
  <c r="AI89" i="1"/>
  <c r="T109" i="1"/>
  <c r="X135" i="1"/>
  <c r="AG134" i="1"/>
  <c r="X131" i="1"/>
  <c r="AG130" i="1"/>
  <c r="X127" i="1"/>
  <c r="AG126" i="1"/>
  <c r="X123" i="1"/>
  <c r="AG122" i="1"/>
  <c r="X119" i="1"/>
  <c r="AG118" i="1"/>
  <c r="X115" i="1"/>
  <c r="AG114" i="1"/>
  <c r="AG109" i="1"/>
  <c r="AI101" i="1"/>
  <c r="AI93" i="1"/>
  <c r="AI85" i="1"/>
  <c r="X134" i="1"/>
  <c r="X130" i="1"/>
  <c r="X126" i="1"/>
  <c r="X122" i="1"/>
  <c r="AI119" i="1"/>
  <c r="X118" i="1"/>
  <c r="AI115" i="1"/>
  <c r="X114" i="1"/>
  <c r="W97" i="1"/>
  <c r="X105" i="1"/>
  <c r="T105" i="1"/>
  <c r="U105" i="1" s="1"/>
  <c r="S105" i="1" s="1"/>
  <c r="X101" i="1"/>
  <c r="T101" i="1"/>
  <c r="U101" i="1" s="1"/>
  <c r="S101" i="1" s="1"/>
  <c r="X97" i="1"/>
  <c r="T97" i="1"/>
  <c r="U97" i="1" s="1"/>
  <c r="S97" i="1" s="1"/>
  <c r="X93" i="1"/>
  <c r="T93" i="1"/>
  <c r="U93" i="1" s="1"/>
  <c r="S93" i="1" s="1"/>
  <c r="X89" i="1"/>
  <c r="T89" i="1"/>
  <c r="U89" i="1" s="1"/>
  <c r="S89" i="1" s="1"/>
  <c r="X85" i="1"/>
  <c r="T85" i="1"/>
  <c r="U85" i="1" s="1"/>
  <c r="S85" i="1" s="1"/>
  <c r="X81" i="1"/>
  <c r="AI80" i="1"/>
  <c r="T79" i="1"/>
  <c r="U79" i="1" s="1"/>
  <c r="S79" i="1" s="1"/>
  <c r="AA73" i="1"/>
  <c r="AA72" i="1"/>
  <c r="T71" i="1"/>
  <c r="X71" i="1"/>
  <c r="AG71" i="1"/>
  <c r="T67" i="1"/>
  <c r="X67" i="1"/>
  <c r="AG67" i="1"/>
  <c r="U91" i="1"/>
  <c r="S91" i="1" s="1"/>
  <c r="T80" i="1"/>
  <c r="U80" i="1" s="1"/>
  <c r="S80" i="1" s="1"/>
  <c r="X80" i="1"/>
  <c r="T75" i="1"/>
  <c r="X75" i="1"/>
  <c r="AG75" i="1"/>
  <c r="T72" i="1"/>
  <c r="X72" i="1"/>
  <c r="T77" i="1"/>
  <c r="T76" i="1"/>
  <c r="X76" i="1"/>
  <c r="X73" i="1"/>
  <c r="AG72" i="1"/>
  <c r="X106" i="1"/>
  <c r="X102" i="1"/>
  <c r="X98" i="1"/>
  <c r="X94" i="1"/>
  <c r="AI91" i="1"/>
  <c r="X90" i="1"/>
  <c r="X86" i="1"/>
  <c r="X82" i="1"/>
  <c r="AG81" i="1"/>
  <c r="AG77" i="1"/>
  <c r="AG76" i="1"/>
  <c r="T56" i="1"/>
  <c r="U56" i="1" s="1"/>
  <c r="S56" i="1" s="1"/>
  <c r="X56" i="1"/>
  <c r="T49" i="1"/>
  <c r="AG45" i="1"/>
  <c r="T45" i="1"/>
  <c r="T53" i="1"/>
  <c r="AI43" i="1"/>
  <c r="U43" i="1"/>
  <c r="S43" i="1" s="1"/>
  <c r="AI39" i="1"/>
  <c r="U39" i="1"/>
  <c r="S39" i="1" s="1"/>
  <c r="AI29" i="1"/>
  <c r="AI25" i="1"/>
  <c r="U25" i="1"/>
  <c r="S25" i="1" s="1"/>
  <c r="AI14" i="1"/>
  <c r="X68" i="1"/>
  <c r="X64" i="1"/>
  <c r="AG63" i="1"/>
  <c r="X60" i="1"/>
  <c r="AG59" i="1"/>
  <c r="U55" i="1"/>
  <c r="S55" i="1" s="1"/>
  <c r="AG53" i="1"/>
  <c r="AI52" i="1"/>
  <c r="T51" i="1"/>
  <c r="U51" i="1" s="1"/>
  <c r="S51" i="1" s="1"/>
  <c r="AI42" i="1"/>
  <c r="AI33" i="1"/>
  <c r="AI24" i="1"/>
  <c r="X63" i="1"/>
  <c r="X59" i="1"/>
  <c r="T52" i="1"/>
  <c r="U52" i="1" s="1"/>
  <c r="S52" i="1" s="1"/>
  <c r="X52" i="1"/>
  <c r="X51" i="1"/>
  <c r="AA49" i="1"/>
  <c r="AG41" i="1"/>
  <c r="X42" i="1"/>
  <c r="T41" i="1"/>
  <c r="X41" i="1"/>
  <c r="AG37" i="1"/>
  <c r="X38" i="1"/>
  <c r="T37" i="1"/>
  <c r="X37" i="1"/>
  <c r="AG32" i="1"/>
  <c r="X33" i="1"/>
  <c r="T32" i="1"/>
  <c r="U28" i="1"/>
  <c r="S28" i="1" s="1"/>
  <c r="AG27" i="1"/>
  <c r="X28" i="1"/>
  <c r="T27" i="1"/>
  <c r="X27" i="1"/>
  <c r="U24" i="1"/>
  <c r="S24" i="1" s="1"/>
  <c r="AG22" i="1"/>
  <c r="T22" i="1"/>
  <c r="X22" i="1"/>
  <c r="AG16" i="1"/>
  <c r="T16" i="1"/>
  <c r="X16" i="1"/>
  <c r="AG44" i="1"/>
  <c r="X48" i="1"/>
  <c r="X44" i="1"/>
  <c r="X40" i="1"/>
  <c r="X36" i="1"/>
  <c r="X30" i="1"/>
  <c r="X26" i="1"/>
  <c r="X15" i="1"/>
  <c r="Y46" i="3"/>
  <c r="Y23" i="3"/>
  <c r="Y26" i="3"/>
  <c r="Y14" i="3"/>
  <c r="Y9" i="3"/>
  <c r="Y7" i="3"/>
  <c r="Y11" i="3"/>
  <c r="Y24" i="3"/>
  <c r="Y42" i="3"/>
  <c r="AC23" i="3"/>
  <c r="Y29" i="3"/>
  <c r="T19" i="3"/>
  <c r="AC26" i="3"/>
  <c r="Y32" i="3"/>
  <c r="T31" i="3"/>
  <c r="AC14" i="3"/>
  <c r="T20" i="3"/>
  <c r="AC7" i="3"/>
  <c r="T22" i="3"/>
  <c r="AC24" i="3"/>
  <c r="T33" i="3"/>
  <c r="Y25" i="3"/>
  <c r="Y43" i="3"/>
  <c r="Y37" i="3"/>
  <c r="Y28" i="3"/>
  <c r="Y17" i="3"/>
  <c r="T29" i="3"/>
  <c r="AC27" i="3"/>
  <c r="T47" i="3"/>
  <c r="AC34" i="3"/>
  <c r="T32" i="3"/>
  <c r="AC45" i="3"/>
  <c r="T16" i="3"/>
  <c r="AC30" i="3"/>
  <c r="T9" i="3"/>
  <c r="AC44" i="3"/>
  <c r="T15" i="3"/>
  <c r="AC13" i="3"/>
  <c r="T11" i="3"/>
  <c r="AC18" i="3"/>
  <c r="T39" i="3"/>
  <c r="AC38" i="3"/>
  <c r="T42" i="3"/>
  <c r="AC36" i="3"/>
  <c r="T41" i="3"/>
  <c r="AC40" i="3"/>
  <c r="AI87" i="1" l="1"/>
  <c r="W197" i="1"/>
  <c r="U94" i="1"/>
  <c r="S94" i="1" s="1"/>
  <c r="W84" i="1"/>
  <c r="U35" i="1"/>
  <c r="S35" i="1" s="1"/>
  <c r="W114" i="1"/>
  <c r="AI153" i="1"/>
  <c r="W182" i="1"/>
  <c r="U178" i="1"/>
  <c r="S178" i="1" s="1"/>
  <c r="W194" i="1"/>
  <c r="W62" i="1"/>
  <c r="W27" i="1"/>
  <c r="U49" i="1"/>
  <c r="S49" i="1" s="1"/>
  <c r="U48" i="1"/>
  <c r="S48" i="1" s="1"/>
  <c r="AI35" i="1"/>
  <c r="AI110" i="1"/>
  <c r="AI135" i="1"/>
  <c r="W90" i="1"/>
  <c r="W166" i="1"/>
  <c r="W111" i="1"/>
  <c r="W35" i="1"/>
  <c r="W110" i="1"/>
  <c r="U182" i="1"/>
  <c r="S182" i="1" s="1"/>
  <c r="U108" i="1"/>
  <c r="S108" i="1" s="1"/>
  <c r="W127" i="1"/>
  <c r="U19" i="1"/>
  <c r="S19" i="1" s="1"/>
  <c r="U188" i="1"/>
  <c r="S188" i="1" s="1"/>
  <c r="U190" i="1"/>
  <c r="S190" i="1" s="1"/>
  <c r="W126" i="1"/>
  <c r="W96" i="1"/>
  <c r="U111" i="1"/>
  <c r="S111" i="1" s="1"/>
  <c r="W48" i="1"/>
  <c r="W108" i="1"/>
  <c r="W19" i="1"/>
  <c r="U99" i="1"/>
  <c r="S99" i="1" s="1"/>
  <c r="U60" i="1"/>
  <c r="S60" i="1" s="1"/>
  <c r="U103" i="1"/>
  <c r="S103" i="1" s="1"/>
  <c r="U113" i="1"/>
  <c r="S113" i="1" s="1"/>
  <c r="U152" i="1"/>
  <c r="S152" i="1" s="1"/>
  <c r="U224" i="1"/>
  <c r="S224" i="1" s="1"/>
  <c r="W47" i="1"/>
  <c r="W94" i="1"/>
  <c r="W95" i="1"/>
  <c r="U86" i="1"/>
  <c r="S86" i="1" s="1"/>
  <c r="U204" i="1"/>
  <c r="S204" i="1" s="1"/>
  <c r="U171" i="1"/>
  <c r="S171" i="1" s="1"/>
  <c r="W160" i="1"/>
  <c r="W226" i="1"/>
  <c r="W152" i="1"/>
  <c r="W57" i="1"/>
  <c r="W224" i="1"/>
  <c r="U162" i="1"/>
  <c r="S162" i="1" s="1"/>
  <c r="W135" i="1"/>
  <c r="U147" i="1"/>
  <c r="S147" i="1" s="1"/>
  <c r="W113" i="1"/>
  <c r="W107" i="1"/>
  <c r="U197" i="1"/>
  <c r="S197" i="1" s="1"/>
  <c r="W186" i="1"/>
  <c r="W100" i="1"/>
  <c r="U21" i="1"/>
  <c r="S21" i="1" s="1"/>
  <c r="W49" i="1"/>
  <c r="AI62" i="1"/>
  <c r="W145" i="1"/>
  <c r="W196" i="1"/>
  <c r="U146" i="1"/>
  <c r="S146" i="1" s="1"/>
  <c r="W178" i="1"/>
  <c r="W170" i="1"/>
  <c r="U196" i="1"/>
  <c r="S196" i="1" s="1"/>
  <c r="U141" i="1"/>
  <c r="S141" i="1" s="1"/>
  <c r="AI127" i="1"/>
  <c r="U62" i="1"/>
  <c r="S62" i="1" s="1"/>
  <c r="W183" i="1"/>
  <c r="U222" i="1"/>
  <c r="S222" i="1" s="1"/>
  <c r="W121" i="1"/>
  <c r="U140" i="1"/>
  <c r="S140" i="1" s="1"/>
  <c r="W201" i="1"/>
  <c r="W41" i="1"/>
  <c r="W45" i="1"/>
  <c r="U69" i="1"/>
  <c r="S69" i="1" s="1"/>
  <c r="U127" i="1"/>
  <c r="S127" i="1" s="1"/>
  <c r="AI40" i="1"/>
  <c r="W179" i="1"/>
  <c r="U64" i="1"/>
  <c r="S64" i="1" s="1"/>
  <c r="W231" i="1"/>
  <c r="AI57" i="1"/>
  <c r="AI148" i="1"/>
  <c r="W159" i="1"/>
  <c r="W175" i="1"/>
  <c r="U30" i="1"/>
  <c r="S30" i="1" s="1"/>
  <c r="W187" i="1"/>
  <c r="W40" i="1"/>
  <c r="U61" i="1"/>
  <c r="S61" i="1" s="1"/>
  <c r="W30" i="1"/>
  <c r="W136" i="1"/>
  <c r="W118" i="1"/>
  <c r="W190" i="1"/>
  <c r="W103" i="1"/>
  <c r="W146" i="1"/>
  <c r="U47" i="1"/>
  <c r="S47" i="1" s="1"/>
  <c r="W50" i="1"/>
  <c r="AI222" i="1"/>
  <c r="W202" i="1"/>
  <c r="W83" i="1"/>
  <c r="W61" i="1"/>
  <c r="W207" i="1"/>
  <c r="W65" i="1"/>
  <c r="W63" i="1"/>
  <c r="U65" i="1"/>
  <c r="S65" i="1" s="1"/>
  <c r="AI82" i="1"/>
  <c r="U102" i="1"/>
  <c r="S102" i="1" s="1"/>
  <c r="W134" i="1"/>
  <c r="U90" i="1"/>
  <c r="S90" i="1" s="1"/>
  <c r="U106" i="1"/>
  <c r="S106" i="1" s="1"/>
  <c r="AI106" i="1"/>
  <c r="U166" i="1"/>
  <c r="S166" i="1" s="1"/>
  <c r="AI208" i="1"/>
  <c r="W82" i="1"/>
  <c r="W117" i="1"/>
  <c r="W99" i="1"/>
  <c r="W216" i="1"/>
  <c r="U136" i="1"/>
  <c r="S136" i="1" s="1"/>
  <c r="U156" i="1"/>
  <c r="AI90" i="1"/>
  <c r="U98" i="1"/>
  <c r="S98" i="1" s="1"/>
  <c r="W142" i="1"/>
  <c r="U207" i="1"/>
  <c r="S207" i="1" s="1"/>
  <c r="W208" i="1"/>
  <c r="U205" i="1"/>
  <c r="S205" i="1" s="1"/>
  <c r="U128" i="1"/>
  <c r="S128" i="1" s="1"/>
  <c r="W149" i="1"/>
  <c r="W205" i="1"/>
  <c r="W137" i="1"/>
  <c r="W92" i="1"/>
  <c r="W143" i="1"/>
  <c r="W22" i="1"/>
  <c r="AI95" i="1"/>
  <c r="W102" i="1"/>
  <c r="U163" i="1"/>
  <c r="S163" i="1" s="1"/>
  <c r="AI141" i="1"/>
  <c r="W198" i="1"/>
  <c r="W66" i="1"/>
  <c r="W58" i="1"/>
  <c r="W73" i="1"/>
  <c r="W131" i="1"/>
  <c r="AI61" i="1"/>
  <c r="U107" i="1"/>
  <c r="S107" i="1" s="1"/>
  <c r="AI68" i="1"/>
  <c r="AI94" i="1"/>
  <c r="AI123" i="1"/>
  <c r="AI131" i="1"/>
  <c r="U211" i="1"/>
  <c r="S211" i="1" s="1"/>
  <c r="AI231" i="1"/>
  <c r="U201" i="1"/>
  <c r="S201" i="1" s="1"/>
  <c r="W64" i="1"/>
  <c r="W128" i="1"/>
  <c r="W153" i="1"/>
  <c r="W221" i="1"/>
  <c r="W167" i="1"/>
  <c r="U137" i="1"/>
  <c r="S137" i="1" s="1"/>
  <c r="U226" i="1"/>
  <c r="S226" i="1" s="1"/>
  <c r="U168" i="1"/>
  <c r="S168" i="1" s="1"/>
  <c r="AI92" i="1"/>
  <c r="W218" i="1"/>
  <c r="W156" i="1"/>
  <c r="W150" i="1"/>
  <c r="AI64" i="1"/>
  <c r="W59" i="1"/>
  <c r="AI73" i="1"/>
  <c r="U83" i="1"/>
  <c r="S83" i="1" s="1"/>
  <c r="U129" i="1"/>
  <c r="S129" i="1" s="1"/>
  <c r="AI204" i="1"/>
  <c r="AI54" i="1"/>
  <c r="AI186" i="1"/>
  <c r="W211" i="1"/>
  <c r="U18" i="1"/>
  <c r="S18" i="1" s="1"/>
  <c r="U38" i="1"/>
  <c r="S38" i="1" s="1"/>
  <c r="W53" i="1"/>
  <c r="U87" i="1"/>
  <c r="S87" i="1" s="1"/>
  <c r="AI156" i="1"/>
  <c r="AI188" i="1"/>
  <c r="AI149" i="1"/>
  <c r="U215" i="1"/>
  <c r="S215" i="1" s="1"/>
  <c r="U170" i="1"/>
  <c r="S170" i="1" s="1"/>
  <c r="AI215" i="1"/>
  <c r="W18" i="1"/>
  <c r="W98" i="1"/>
  <c r="U150" i="1"/>
  <c r="S150" i="1" s="1"/>
  <c r="U46" i="1"/>
  <c r="S46" i="1" s="1"/>
  <c r="AI137" i="1"/>
  <c r="U54" i="1"/>
  <c r="S54" i="1" s="1"/>
  <c r="W141" i="1"/>
  <c r="W28" i="1"/>
  <c r="W69" i="1"/>
  <c r="U15" i="1"/>
  <c r="S15" i="1" s="1"/>
  <c r="AI15" i="1"/>
  <c r="W147" i="1"/>
  <c r="U175" i="1"/>
  <c r="S175" i="1" s="1"/>
  <c r="W68" i="1"/>
  <c r="W162" i="1"/>
  <c r="W86" i="1"/>
  <c r="W79" i="1"/>
  <c r="U26" i="1"/>
  <c r="S26" i="1" s="1"/>
  <c r="AI26" i="1"/>
  <c r="W129" i="1"/>
  <c r="W15" i="1"/>
  <c r="W26" i="1"/>
  <c r="W60" i="1"/>
  <c r="U104" i="1"/>
  <c r="S104" i="1" s="1"/>
  <c r="AI104" i="1"/>
  <c r="U125" i="1"/>
  <c r="S125" i="1" s="1"/>
  <c r="AI125" i="1"/>
  <c r="U212" i="1"/>
  <c r="S212" i="1" s="1"/>
  <c r="AI212" i="1"/>
  <c r="W123" i="1"/>
  <c r="U154" i="1"/>
  <c r="S154" i="1" s="1"/>
  <c r="AI154" i="1"/>
  <c r="W225" i="1"/>
  <c r="U191" i="1"/>
  <c r="S191" i="1" s="1"/>
  <c r="U36" i="1"/>
  <c r="S36" i="1" s="1"/>
  <c r="AI36" i="1"/>
  <c r="U96" i="1"/>
  <c r="S96" i="1" s="1"/>
  <c r="AI96" i="1"/>
  <c r="U74" i="1"/>
  <c r="S74" i="1" s="1"/>
  <c r="AI74" i="1"/>
  <c r="U50" i="1"/>
  <c r="S50" i="1" s="1"/>
  <c r="AI50" i="1"/>
  <c r="U209" i="1"/>
  <c r="S209" i="1" s="1"/>
  <c r="AI209" i="1"/>
  <c r="W163" i="1"/>
  <c r="W209" i="1"/>
  <c r="U187" i="1"/>
  <c r="S187" i="1" s="1"/>
  <c r="W154" i="1"/>
  <c r="W168" i="1"/>
  <c r="W189" i="1"/>
  <c r="AI189" i="1"/>
  <c r="U117" i="1"/>
  <c r="S117" i="1" s="1"/>
  <c r="AI117" i="1"/>
  <c r="U78" i="1"/>
  <c r="S78" i="1" s="1"/>
  <c r="AI78" i="1"/>
  <c r="U88" i="1"/>
  <c r="S88" i="1" s="1"/>
  <c r="AI88" i="1"/>
  <c r="W125" i="1"/>
  <c r="W204" i="1"/>
  <c r="W171" i="1"/>
  <c r="W78" i="1"/>
  <c r="W104" i="1"/>
  <c r="U133" i="1"/>
  <c r="S133" i="1" s="1"/>
  <c r="AI133" i="1"/>
  <c r="W38" i="1"/>
  <c r="W46" i="1"/>
  <c r="W74" i="1"/>
  <c r="W212" i="1"/>
  <c r="U160" i="1"/>
  <c r="S160" i="1" s="1"/>
  <c r="W36" i="1"/>
  <c r="W88" i="1"/>
  <c r="U121" i="1"/>
  <c r="S121" i="1" s="1"/>
  <c r="AI121" i="1"/>
  <c r="U183" i="1"/>
  <c r="S183" i="1" s="1"/>
  <c r="W133" i="1"/>
  <c r="U179" i="1"/>
  <c r="S179" i="1" s="1"/>
  <c r="W222" i="1"/>
  <c r="W191" i="1"/>
  <c r="U44" i="1"/>
  <c r="S44" i="1" s="1"/>
  <c r="AI44" i="1"/>
  <c r="W44" i="1"/>
  <c r="AI77" i="1"/>
  <c r="U77" i="1"/>
  <c r="S77" i="1" s="1"/>
  <c r="AI72" i="1"/>
  <c r="U72" i="1"/>
  <c r="S72" i="1" s="1"/>
  <c r="U75" i="1"/>
  <c r="S75" i="1" s="1"/>
  <c r="AI75" i="1"/>
  <c r="W77" i="1"/>
  <c r="AI109" i="1"/>
  <c r="U109" i="1"/>
  <c r="S109" i="1" s="1"/>
  <c r="AI206" i="1"/>
  <c r="U195" i="1"/>
  <c r="S195" i="1" s="1"/>
  <c r="AI213" i="1"/>
  <c r="U203" i="1"/>
  <c r="S203" i="1" s="1"/>
  <c r="AI221" i="1"/>
  <c r="U234" i="1"/>
  <c r="S234" i="1" s="1"/>
  <c r="AI229" i="1"/>
  <c r="W234" i="1"/>
  <c r="U37" i="1"/>
  <c r="S37" i="1" s="1"/>
  <c r="AI37" i="1"/>
  <c r="U63" i="1"/>
  <c r="S63" i="1" s="1"/>
  <c r="AI63" i="1"/>
  <c r="U45" i="1"/>
  <c r="S45" i="1" s="1"/>
  <c r="AI45" i="1"/>
  <c r="U67" i="1"/>
  <c r="S67" i="1" s="1"/>
  <c r="AI67" i="1"/>
  <c r="W72" i="1"/>
  <c r="W75" i="1"/>
  <c r="U114" i="1"/>
  <c r="S114" i="1" s="1"/>
  <c r="AI114" i="1"/>
  <c r="U122" i="1"/>
  <c r="S122" i="1" s="1"/>
  <c r="AI122" i="1"/>
  <c r="U130" i="1"/>
  <c r="S130" i="1" s="1"/>
  <c r="AI130" i="1"/>
  <c r="W109" i="1"/>
  <c r="W130" i="1"/>
  <c r="AI151" i="1"/>
  <c r="U151" i="1"/>
  <c r="S151" i="1" s="1"/>
  <c r="AI155" i="1"/>
  <c r="U155" i="1"/>
  <c r="AI159" i="1"/>
  <c r="U206" i="1"/>
  <c r="S206" i="1" s="1"/>
  <c r="AI163" i="1"/>
  <c r="U210" i="1"/>
  <c r="S210" i="1" s="1"/>
  <c r="AI167" i="1"/>
  <c r="U214" i="1"/>
  <c r="S214" i="1" s="1"/>
  <c r="AI171" i="1"/>
  <c r="U223" i="1"/>
  <c r="S223" i="1" s="1"/>
  <c r="AI175" i="1"/>
  <c r="U157" i="1"/>
  <c r="S157" i="1" s="1"/>
  <c r="AI179" i="1"/>
  <c r="U161" i="1"/>
  <c r="S161" i="1" s="1"/>
  <c r="AI183" i="1"/>
  <c r="U165" i="1"/>
  <c r="S165" i="1" s="1"/>
  <c r="AI187" i="1"/>
  <c r="U169" i="1"/>
  <c r="S169" i="1" s="1"/>
  <c r="AI190" i="1"/>
  <c r="U173" i="1"/>
  <c r="S173" i="1" s="1"/>
  <c r="AI194" i="1"/>
  <c r="U177" i="1"/>
  <c r="S177" i="1" s="1"/>
  <c r="AI198" i="1"/>
  <c r="U181" i="1"/>
  <c r="S181" i="1" s="1"/>
  <c r="AI202" i="1"/>
  <c r="U185" i="1"/>
  <c r="S185" i="1" s="1"/>
  <c r="W210" i="1"/>
  <c r="W161" i="1"/>
  <c r="W177" i="1"/>
  <c r="W151" i="1"/>
  <c r="W214" i="1"/>
  <c r="W165" i="1"/>
  <c r="W181" i="1"/>
  <c r="W203" i="1"/>
  <c r="U16" i="1"/>
  <c r="S16" i="1" s="1"/>
  <c r="AI16" i="1"/>
  <c r="U22" i="1"/>
  <c r="S22" i="1" s="1"/>
  <c r="AI22" i="1"/>
  <c r="U41" i="1"/>
  <c r="S41" i="1" s="1"/>
  <c r="AI41" i="1"/>
  <c r="U27" i="1"/>
  <c r="S27" i="1" s="1"/>
  <c r="AI27" i="1"/>
  <c r="W16" i="1"/>
  <c r="W37" i="1"/>
  <c r="U59" i="1"/>
  <c r="S59" i="1" s="1"/>
  <c r="AI59" i="1"/>
  <c r="W67" i="1"/>
  <c r="U81" i="1"/>
  <c r="S81" i="1" s="1"/>
  <c r="AI81" i="1"/>
  <c r="U71" i="1"/>
  <c r="S71" i="1" s="1"/>
  <c r="AI71" i="1"/>
  <c r="W71" i="1"/>
  <c r="W122" i="1"/>
  <c r="U138" i="1"/>
  <c r="S138" i="1" s="1"/>
  <c r="AI138" i="1"/>
  <c r="U199" i="1"/>
  <c r="S199" i="1" s="1"/>
  <c r="AI217" i="1"/>
  <c r="U230" i="1"/>
  <c r="S230" i="1" s="1"/>
  <c r="AI225" i="1"/>
  <c r="U217" i="1"/>
  <c r="S217" i="1" s="1"/>
  <c r="AI233" i="1"/>
  <c r="W217" i="1"/>
  <c r="W195" i="1"/>
  <c r="U32" i="1"/>
  <c r="S32" i="1" s="1"/>
  <c r="AI32" i="1"/>
  <c r="W32" i="1"/>
  <c r="AI53" i="1"/>
  <c r="U53" i="1"/>
  <c r="S53" i="1" s="1"/>
  <c r="AI76" i="1"/>
  <c r="U76" i="1"/>
  <c r="S76" i="1" s="1"/>
  <c r="W76" i="1"/>
  <c r="W81" i="1"/>
  <c r="U118" i="1"/>
  <c r="S118" i="1" s="1"/>
  <c r="AI118" i="1"/>
  <c r="U126" i="1"/>
  <c r="S126" i="1" s="1"/>
  <c r="AI126" i="1"/>
  <c r="U134" i="1"/>
  <c r="S134" i="1" s="1"/>
  <c r="AI134" i="1"/>
  <c r="U142" i="1"/>
  <c r="S142" i="1" s="1"/>
  <c r="AI142" i="1"/>
  <c r="W155" i="1"/>
  <c r="W223" i="1"/>
  <c r="W169" i="1"/>
  <c r="W185" i="1"/>
  <c r="AI207" i="1"/>
  <c r="U189" i="1"/>
  <c r="S189" i="1" s="1"/>
  <c r="W206" i="1"/>
  <c r="W157" i="1"/>
  <c r="W173" i="1"/>
  <c r="W199" i="1"/>
  <c r="W230" i="1"/>
  <c r="V35" i="3"/>
  <c r="S155" i="1" l="1"/>
  <c r="S35" i="3"/>
  <c r="M35" i="3"/>
  <c r="N35" i="3"/>
  <c r="R35" i="3"/>
  <c r="U35" i="3"/>
  <c r="W35" i="3"/>
  <c r="X35" i="3"/>
  <c r="Y35" i="3" l="1"/>
  <c r="AC35" i="3"/>
  <c r="Z13" i="1" l="1"/>
  <c r="Y13" i="1"/>
  <c r="M30" i="5" l="1"/>
  <c r="M29" i="5"/>
  <c r="M28" i="5"/>
  <c r="M27" i="5"/>
  <c r="K9" i="6" l="1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M13" i="1"/>
  <c r="N13" i="1" s="1"/>
  <c r="L13" i="1"/>
  <c r="K13" i="1"/>
  <c r="AA13" i="1" l="1"/>
  <c r="F6" i="6"/>
  <c r="AG13" i="1"/>
  <c r="AI13" i="1" s="1"/>
  <c r="J6" i="6"/>
  <c r="I5" i="6"/>
  <c r="J9" i="6"/>
  <c r="F3" i="6"/>
  <c r="J3" i="6"/>
  <c r="F7" i="6"/>
  <c r="J7" i="6"/>
  <c r="I9" i="6"/>
  <c r="I4" i="6"/>
  <c r="F5" i="6"/>
  <c r="J5" i="6"/>
  <c r="I8" i="6"/>
  <c r="F9" i="6"/>
  <c r="F4" i="6"/>
  <c r="F8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3" i="6" s="1"/>
  <c r="G64" i="4"/>
  <c r="H3" i="6" s="1"/>
  <c r="F65" i="4"/>
  <c r="G65" i="4"/>
  <c r="F66" i="4"/>
  <c r="G66" i="4"/>
  <c r="F67" i="4"/>
  <c r="G67" i="4"/>
  <c r="F68" i="4"/>
  <c r="G68" i="4"/>
  <c r="F69" i="4"/>
  <c r="G69" i="4"/>
  <c r="F70" i="4"/>
  <c r="G6" i="6" s="1"/>
  <c r="G70" i="4"/>
  <c r="H6" i="6" s="1"/>
  <c r="F71" i="4"/>
  <c r="G71" i="4"/>
  <c r="F72" i="4"/>
  <c r="G72" i="4"/>
  <c r="F73" i="4"/>
  <c r="G73" i="4"/>
  <c r="F74" i="4"/>
  <c r="G4" i="6" s="1"/>
  <c r="G74" i="4"/>
  <c r="H4" i="6" s="1"/>
  <c r="F75" i="4"/>
  <c r="G7" i="6" s="1"/>
  <c r="G75" i="4"/>
  <c r="H7" i="6" s="1"/>
  <c r="F76" i="4"/>
  <c r="G5" i="6" s="1"/>
  <c r="G76" i="4"/>
  <c r="H5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" i="6" s="1"/>
  <c r="G84" i="4"/>
  <c r="H8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9" i="6" s="1"/>
  <c r="G223" i="4"/>
  <c r="H9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5" i="3" l="1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<sst xmlns="http://schemas.openxmlformats.org/spreadsheetml/2006/main" count="2317" uniqueCount="816">
  <si>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</si>
  <si>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</si>
  <si>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</si>
  <si>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</si>
  <si>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</si>
  <si>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</si>
  <si>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</si>
  <si>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</si>
  <si>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</si>
  <si>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</si>
  <si>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</si>
  <si>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</si>
  <si>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</si>
  <si>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</si>
  <si>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</si>
  <si>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</si>
  <si>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</si>
  <si>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</si>
  <si>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</si>
  <si>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</si>
  <si>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</si>
  <si>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</si>
  <si>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</si>
  <si>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</si>
  <si>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</si>
  <si>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</si>
  <si>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</si>
  <si>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</si>
  <si>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</si>
  <si>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</si>
  <si>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</si>
  <si>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</si>
  <si>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</si>
  <si>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</si>
  <si>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</si>
  <si>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</si>
  <si>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</si>
  <si>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</si>
  <si>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</si>
  <si>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</si>
  <si>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</si>
  <si>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</si>
  <si>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</si>
  <si>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</si>
  <si>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</si>
  <si>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</si>
  <si>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</si>
  <si>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</si>
  <si>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</si>
  <si>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</si>
  <si>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</si>
  <si>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</si>
  <si>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</si>
  <si>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</si>
  <si>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</si>
  <si>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</si>
  <si>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</si>
  <si>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</si>
  <si>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</si>
  <si>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</si>
  <si>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</si>
  <si>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</si>
  <si>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</si>
  <si>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</si>
  <si>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</si>
  <si>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</si>
  <si>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</si>
  <si>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</si>
  <si>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</si>
  <si>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</si>
  <si>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</si>
  <si>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</si>
  <si>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</si>
  <si>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</si>
  <si>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</si>
  <si>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</si>
  <si>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</si>
  <si>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</si>
  <si>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</si>
  <si>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</si>
  <si>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</si>
  <si>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</si>
  <si>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</si>
  <si>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</si>
  <si>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</si>
  <si>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</si>
  <si>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</si>
  <si>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</si>
  <si>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</si>
  <si>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</si>
  <si>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</si>
  <si>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</si>
  <si>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</si>
  <si>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</si>
  <si>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</si>
  <si>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</si>
  <si>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</si>
  <si>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</si>
  <si>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</si>
  <si>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</si>
  <si>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</si>
  <si>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</si>
  <si>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</si>
  <si>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</si>
  <si>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</si>
  <si>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</si>
  <si>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</si>
  <si>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</si>
  <si>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</si>
  <si>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</si>
  <si>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</si>
  <si>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</si>
  <si>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</si>
  <si>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</si>
  <si>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</si>
  <si>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</si>
  <si>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</si>
  <si>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</si>
  <si>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</si>
  <si>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</si>
  <si>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</si>
  <si>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</si>
  <si>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</si>
  <si>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</si>
  <si>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</si>
  <si>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</si>
  <si>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</si>
  <si>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</si>
  <si>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</si>
  <si>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</si>
  <si>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</si>
  <si>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</si>
  <si>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</si>
  <si>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</si>
  <si>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</si>
  <si>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</si>
  <si>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</si>
  <si>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</si>
  <si>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</si>
  <si>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</si>
  <si>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</si>
  <si>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</si>
  <si>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</si>
  <si>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</si>
  <si>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</si>
  <si>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</si>
  <si>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</si>
  <si>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</si>
  <si>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</si>
  <si>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</si>
  <si>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</si>
  <si>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</si>
  <si>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</si>
  <si>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</si>
  <si>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</si>
  <si>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</si>
  <si>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</si>
  <si>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</si>
  <si>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</si>
  <si>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</si>
  <si>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</si>
  <si>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</si>
  <si>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</si>
  <si>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</si>
  <si>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</si>
  <si>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</si>
  <si>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</si>
  <si>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</si>
  <si>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</si>
  <si>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</si>
  <si>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</si>
  <si>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</si>
  <si>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</si>
  <si>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</si>
  <si>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</si>
  <si>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</si>
  <si>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</si>
  <si>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</si>
  <si>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</si>
  <si>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</si>
  <si>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</si>
  <si>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</si>
  <si>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</si>
  <si>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</si>
  <si>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</si>
  <si>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</si>
  <si>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</si>
  <si>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</si>
  <si>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</si>
  <si>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</si>
  <si>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</si>
  <si>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</si>
  <si>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</si>
  <si>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</si>
  <si>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</si>
  <si>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</si>
  <si>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</si>
  <si>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</si>
  <si>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</si>
  <si>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</si>
  <si>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</si>
  <si>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</si>
  <si>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</si>
  <si>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</si>
  <si>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</si>
  <si>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</si>
  <si>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</si>
  <si>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</si>
  <si>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</si>
  <si>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</si>
  <si>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</si>
  <si>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</si>
  <si>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</si>
  <si>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</si>
  <si>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</si>
  <si>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</si>
  <si>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</si>
  <si>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</si>
  <si>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</si>
  <si>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</si>
  <si>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</si>
  <si>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</si>
  <si>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</si>
  <si>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</si>
  <si>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</si>
  <si>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</si>
  <si>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</si>
  <si>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</si>
  <si>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</si>
  <si>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</si>
  <si>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</si>
  <si>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</si>
  <si>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</si>
  <si>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rtdc.l.rtdc.4021:itc</t>
  </si>
  <si>
    <t>204:161</t>
  </si>
  <si>
    <t>204:464</t>
  </si>
  <si>
    <t>204:233301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</si>
  <si>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</si>
  <si>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</si>
  <si>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</si>
  <si>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</si>
  <si>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</si>
  <si>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</si>
  <si>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</si>
  <si>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</si>
  <si>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</si>
  <si>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</si>
  <si>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</si>
  <si>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204:233289</t>
  </si>
  <si>
    <t>204:444</t>
  </si>
  <si>
    <t>300:58613</t>
  </si>
  <si>
    <t>CHANDLER</t>
  </si>
  <si>
    <t>204:232984</t>
  </si>
  <si>
    <t>204:158</t>
  </si>
  <si>
    <t>204:475</t>
  </si>
  <si>
    <t>CRAYTON</t>
  </si>
  <si>
    <t>rtdc.l.rtdc.4003:itc</t>
  </si>
  <si>
    <t>clear-night</t>
  </si>
  <si>
    <t>Clear</t>
  </si>
  <si>
    <t>204:232996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</si>
  <si>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</si>
  <si>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</si>
  <si>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</si>
  <si>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</si>
  <si>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</si>
  <si>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</si>
  <si>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</si>
  <si>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204:232971</t>
  </si>
  <si>
    <t>204:233298</t>
  </si>
  <si>
    <t>204:232982</t>
  </si>
  <si>
    <t>204:233310</t>
  </si>
  <si>
    <t>204:233312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</si>
  <si>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</si>
  <si>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</si>
  <si>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</si>
  <si>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</si>
  <si>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</si>
  <si>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</si>
  <si>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</si>
  <si>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</si>
  <si>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</si>
  <si>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</si>
  <si>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</si>
  <si>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</si>
  <si>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</si>
  <si>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</si>
  <si>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</si>
  <si>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</si>
  <si>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</si>
  <si>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</si>
  <si>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</si>
  <si>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</si>
  <si>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</si>
  <si>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</si>
  <si>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</si>
  <si>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</si>
  <si>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204:232998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</si>
  <si>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</si>
  <si>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</si>
  <si>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</si>
  <si>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</si>
  <si>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</si>
  <si>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</si>
  <si>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</si>
  <si>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</si>
  <si>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</si>
  <si>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</si>
  <si>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</si>
  <si>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</si>
  <si>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</si>
  <si>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rtdc.l.rtdc.4053:itc</t>
  </si>
  <si>
    <t>rtdc.l.rtdc.4026:itc</t>
  </si>
  <si>
    <t>313-02</t>
  </si>
  <si>
    <t>315-02</t>
  </si>
  <si>
    <t>clear-day</t>
  </si>
  <si>
    <t>204:232989</t>
  </si>
  <si>
    <t>204:232994</t>
  </si>
  <si>
    <t>204:232986</t>
  </si>
  <si>
    <t>204:132</t>
  </si>
  <si>
    <t>204:471</t>
  </si>
  <si>
    <t>204:233305</t>
  </si>
  <si>
    <t>204:233315</t>
  </si>
  <si>
    <t>300:58937</t>
  </si>
  <si>
    <t>rtdc.l.rtdc.4012:itc</t>
  </si>
  <si>
    <t>SHOOK</t>
  </si>
  <si>
    <t>BERLING</t>
  </si>
  <si>
    <t>204:233314</t>
  </si>
  <si>
    <t>204:160</t>
  </si>
  <si>
    <t>204:150</t>
  </si>
  <si>
    <t>204:232967</t>
  </si>
  <si>
    <t>204:233304</t>
  </si>
  <si>
    <t>204:233286</t>
  </si>
  <si>
    <t>204:139</t>
  </si>
  <si>
    <t>204:437</t>
  </si>
  <si>
    <t>204:233307</t>
  </si>
  <si>
    <t>300:23308</t>
  </si>
  <si>
    <t>300:58617</t>
  </si>
  <si>
    <t>300:58935</t>
  </si>
  <si>
    <t>300:58621</t>
  </si>
  <si>
    <t>300:58623</t>
  </si>
  <si>
    <t>rtdc.l.rtdc.4045:itc</t>
  </si>
  <si>
    <t>rtdc.l.rtdc.4046:itc</t>
  </si>
  <si>
    <t>DAVIS</t>
  </si>
  <si>
    <t>MALAVE</t>
  </si>
  <si>
    <t>CLARK</t>
  </si>
  <si>
    <t>BARTLETT</t>
  </si>
  <si>
    <t>YOUNG</t>
  </si>
  <si>
    <t>SWANSON</t>
  </si>
  <si>
    <t>LEVERE</t>
  </si>
  <si>
    <t>DELGADO</t>
  </si>
  <si>
    <t>NEWELL</t>
  </si>
  <si>
    <t>238-06</t>
  </si>
  <si>
    <t>241-06</t>
  </si>
  <si>
    <t>240-06</t>
  </si>
  <si>
    <t>243-06</t>
  </si>
  <si>
    <t>309-06</t>
  </si>
  <si>
    <t>242-06</t>
  </si>
  <si>
    <t>313-06</t>
  </si>
  <si>
    <t>204:763</t>
  </si>
  <si>
    <t>204:232961</t>
  </si>
  <si>
    <t>204:233002</t>
  </si>
  <si>
    <t>204:207</t>
  </si>
  <si>
    <t>204:467</t>
  </si>
  <si>
    <t>204:232970</t>
  </si>
  <si>
    <t>204:233287</t>
  </si>
  <si>
    <t>204:233276</t>
  </si>
  <si>
    <t>204:167</t>
  </si>
  <si>
    <t>204:232990</t>
  </si>
  <si>
    <t>204:420</t>
  </si>
  <si>
    <t>204:233317</t>
  </si>
  <si>
    <t>204:232963</t>
  </si>
  <si>
    <t>204:440</t>
  </si>
  <si>
    <t>204:232966</t>
  </si>
  <si>
    <t>300:58609</t>
  </si>
  <si>
    <t>204:684</t>
  </si>
  <si>
    <t>300:58944</t>
  </si>
  <si>
    <t>300:58943</t>
  </si>
  <si>
    <t>300:58606</t>
  </si>
  <si>
    <t>300:58933</t>
  </si>
  <si>
    <t>204:1011</t>
  </si>
  <si>
    <t>300:58924</t>
  </si>
  <si>
    <t>204:969</t>
  </si>
  <si>
    <t>204:176</t>
  </si>
  <si>
    <t>204:971</t>
  </si>
  <si>
    <t>300:58626</t>
  </si>
  <si>
    <t>204:974</t>
  </si>
  <si>
    <t>204:433</t>
  </si>
  <si>
    <t>204:233364</t>
  </si>
  <si>
    <t>204:477</t>
  </si>
  <si>
    <t>204:169</t>
  </si>
  <si>
    <t>204:233046</t>
  </si>
  <si>
    <t>204:488</t>
  </si>
  <si>
    <t>204:233321</t>
  </si>
  <si>
    <t>204:426</t>
  </si>
  <si>
    <t>204:232976</t>
  </si>
  <si>
    <t>204:232979</t>
  </si>
  <si>
    <t>204:233278</t>
  </si>
  <si>
    <t>204:233007</t>
  </si>
  <si>
    <t>800-07</t>
  </si>
  <si>
    <t>801-07</t>
  </si>
  <si>
    <t>110-07</t>
  </si>
  <si>
    <t>805-07</t>
  </si>
  <si>
    <t>806-07</t>
  </si>
  <si>
    <t>809-07</t>
  </si>
  <si>
    <t>rtdc.l.rtdc.4001:itc</t>
  </si>
  <si>
    <t>126-07</t>
  </si>
  <si>
    <t>810-07</t>
  </si>
  <si>
    <t>130-07</t>
  </si>
  <si>
    <t>rtdc.l.rtdc.4037:itc</t>
  </si>
  <si>
    <t>812-07</t>
  </si>
  <si>
    <t>142-07</t>
  </si>
  <si>
    <t>149-07</t>
  </si>
  <si>
    <t>815-07</t>
  </si>
  <si>
    <t>148-07</t>
  </si>
  <si>
    <t>157-07</t>
  </si>
  <si>
    <t>158-07</t>
  </si>
  <si>
    <t>819-07</t>
  </si>
  <si>
    <t>162-07</t>
  </si>
  <si>
    <t>164-07</t>
  </si>
  <si>
    <t>177-07</t>
  </si>
  <si>
    <t>176-07</t>
  </si>
  <si>
    <t>179-07</t>
  </si>
  <si>
    <t>825-07</t>
  </si>
  <si>
    <t>190-07</t>
  </si>
  <si>
    <t>rtdc.l.rtdc.4002:itc</t>
  </si>
  <si>
    <t>195-07</t>
  </si>
  <si>
    <t>192-07</t>
  </si>
  <si>
    <t>838-07</t>
  </si>
  <si>
    <t>80-07</t>
  </si>
  <si>
    <t>220-07</t>
  </si>
  <si>
    <t>222-07</t>
  </si>
  <si>
    <t>226-07</t>
  </si>
  <si>
    <t>236-07</t>
  </si>
  <si>
    <t>TEMPORARY SPEED RESTRICTION</t>
  </si>
  <si>
    <t>101-07</t>
  </si>
  <si>
    <t>RICHARDSON</t>
  </si>
  <si>
    <t>304-07</t>
  </si>
  <si>
    <t>MCREYNOLDS</t>
  </si>
  <si>
    <t>103-07</t>
  </si>
  <si>
    <t>306-07</t>
  </si>
  <si>
    <t>PERKINS</t>
  </si>
  <si>
    <t>102-07</t>
  </si>
  <si>
    <t>310-07</t>
  </si>
  <si>
    <t>MACDONALD</t>
  </si>
  <si>
    <t>107-07</t>
  </si>
  <si>
    <t>109-07</t>
  </si>
  <si>
    <t>104-07</t>
  </si>
  <si>
    <t>901-07</t>
  </si>
  <si>
    <t>113-07</t>
  </si>
  <si>
    <t>106-07</t>
  </si>
  <si>
    <t>115-07</t>
  </si>
  <si>
    <t>117-07</t>
  </si>
  <si>
    <t>112-07</t>
  </si>
  <si>
    <t>ROBINSON</t>
  </si>
  <si>
    <t>114-07</t>
  </si>
  <si>
    <t>902-07</t>
  </si>
  <si>
    <t>NICHOLSON</t>
  </si>
  <si>
    <t>802-07</t>
  </si>
  <si>
    <t>803-07</t>
  </si>
  <si>
    <t>121-07</t>
  </si>
  <si>
    <t>116-07</t>
  </si>
  <si>
    <t>123-07</t>
  </si>
  <si>
    <t>118-07</t>
  </si>
  <si>
    <t>804-07</t>
  </si>
  <si>
    <t>125-07</t>
  </si>
  <si>
    <t>120-07</t>
  </si>
  <si>
    <t>127-07</t>
  </si>
  <si>
    <t>807-07</t>
  </si>
  <si>
    <t>129-07</t>
  </si>
  <si>
    <t>124-07</t>
  </si>
  <si>
    <t>131-07</t>
  </si>
  <si>
    <t>808-07</t>
  </si>
  <si>
    <t>135-07</t>
  </si>
  <si>
    <t>CUSHING</t>
  </si>
  <si>
    <t>128-07</t>
  </si>
  <si>
    <t>811-07</t>
  </si>
  <si>
    <t>137-07</t>
  </si>
  <si>
    <t>132-07</t>
  </si>
  <si>
    <t>139-07</t>
  </si>
  <si>
    <t>903-07</t>
  </si>
  <si>
    <t>133-07</t>
  </si>
  <si>
    <t>134-07</t>
  </si>
  <si>
    <t>141-07</t>
  </si>
  <si>
    <t>136-07</t>
  </si>
  <si>
    <t>138-07</t>
  </si>
  <si>
    <t>143-07</t>
  </si>
  <si>
    <t>813-07</t>
  </si>
  <si>
    <t>145-07</t>
  </si>
  <si>
    <t>140-07</t>
  </si>
  <si>
    <t>147-07</t>
  </si>
  <si>
    <t>814-07</t>
  </si>
  <si>
    <t>151-07</t>
  </si>
  <si>
    <t>144-07</t>
  </si>
  <si>
    <t>146-07</t>
  </si>
  <si>
    <t>153-07</t>
  </si>
  <si>
    <t>155-07</t>
  </si>
  <si>
    <t>150-07</t>
  </si>
  <si>
    <t>152-07</t>
  </si>
  <si>
    <t>816-07</t>
  </si>
  <si>
    <t>159-07</t>
  </si>
  <si>
    <t>LALONDE</t>
  </si>
  <si>
    <t>817-07</t>
  </si>
  <si>
    <t>154-07</t>
  </si>
  <si>
    <t>161-07</t>
  </si>
  <si>
    <t>50-07</t>
  </si>
  <si>
    <t>PINCURA</t>
  </si>
  <si>
    <t>156-07</t>
  </si>
  <si>
    <t>163-07</t>
  </si>
  <si>
    <t>NELSON</t>
  </si>
  <si>
    <t>165-07</t>
  </si>
  <si>
    <t>818-07</t>
  </si>
  <si>
    <t>160-07</t>
  </si>
  <si>
    <t>167-07</t>
  </si>
  <si>
    <t>169-07</t>
  </si>
  <si>
    <t>DAVIDSON</t>
  </si>
  <si>
    <t>171-07</t>
  </si>
  <si>
    <t>166-07</t>
  </si>
  <si>
    <t>820-07</t>
  </si>
  <si>
    <t>173-07</t>
  </si>
  <si>
    <t>168-07</t>
  </si>
  <si>
    <t>170-07</t>
  </si>
  <si>
    <t>175-07</t>
  </si>
  <si>
    <t>821-07</t>
  </si>
  <si>
    <t>SAFIEF</t>
  </si>
  <si>
    <t>172-07</t>
  </si>
  <si>
    <t>174-07</t>
  </si>
  <si>
    <t>822-07</t>
  </si>
  <si>
    <t>181-07</t>
  </si>
  <si>
    <t>183-07</t>
  </si>
  <si>
    <t>178-07</t>
  </si>
  <si>
    <t>185-07</t>
  </si>
  <si>
    <t>823-07</t>
  </si>
  <si>
    <t>180-07</t>
  </si>
  <si>
    <t>187-07</t>
  </si>
  <si>
    <t>182-07</t>
  </si>
  <si>
    <t>824-07</t>
  </si>
  <si>
    <t>189-07</t>
  </si>
  <si>
    <t>184-07</t>
  </si>
  <si>
    <t>191-07</t>
  </si>
  <si>
    <t>186-07</t>
  </si>
  <si>
    <t>193-07</t>
  </si>
  <si>
    <t>904-07</t>
  </si>
  <si>
    <t>188-07</t>
  </si>
  <si>
    <t>826-07</t>
  </si>
  <si>
    <t>197-07</t>
  </si>
  <si>
    <t>827-07</t>
  </si>
  <si>
    <t>199-07</t>
  </si>
  <si>
    <t>194-07</t>
  </si>
  <si>
    <t>828-07</t>
  </si>
  <si>
    <t>201-07</t>
  </si>
  <si>
    <t>196-07</t>
  </si>
  <si>
    <t>829-07</t>
  </si>
  <si>
    <t>198-07</t>
  </si>
  <si>
    <t>203-07</t>
  </si>
  <si>
    <t>205-07</t>
  </si>
  <si>
    <t>830-07</t>
  </si>
  <si>
    <t>831-07</t>
  </si>
  <si>
    <t>200-07</t>
  </si>
  <si>
    <t>207-07</t>
  </si>
  <si>
    <t>832-07</t>
  </si>
  <si>
    <t>202-07</t>
  </si>
  <si>
    <t>833-07</t>
  </si>
  <si>
    <t>204-07</t>
  </si>
  <si>
    <t>209-07</t>
  </si>
  <si>
    <t>BADERTSCHER</t>
  </si>
  <si>
    <t>54-07</t>
  </si>
  <si>
    <t>ROMERO</t>
  </si>
  <si>
    <t>211-07</t>
  </si>
  <si>
    <t>59-07</t>
  </si>
  <si>
    <t>835-07</t>
  </si>
  <si>
    <t>206-07</t>
  </si>
  <si>
    <t>834-07</t>
  </si>
  <si>
    <t>213-07</t>
  </si>
  <si>
    <t>208-07</t>
  </si>
  <si>
    <t>215-07</t>
  </si>
  <si>
    <t>61-07</t>
  </si>
  <si>
    <t>210-07</t>
  </si>
  <si>
    <t>836-07</t>
  </si>
  <si>
    <t>217-07</t>
  </si>
  <si>
    <t>212-07</t>
  </si>
  <si>
    <t>837-07</t>
  </si>
  <si>
    <t>219-07</t>
  </si>
  <si>
    <t>MAGEE</t>
  </si>
  <si>
    <t>214-07</t>
  </si>
  <si>
    <t>303-07</t>
  </si>
  <si>
    <t>839-07</t>
  </si>
  <si>
    <t>216-07</t>
  </si>
  <si>
    <t>221-07</t>
  </si>
  <si>
    <t>906-07</t>
  </si>
  <si>
    <t>841-07</t>
  </si>
  <si>
    <t>218-07</t>
  </si>
  <si>
    <t>305-07</t>
  </si>
  <si>
    <t>223-07</t>
  </si>
  <si>
    <t>HOLCOMB</t>
  </si>
  <si>
    <t>307-07</t>
  </si>
  <si>
    <t>840-07</t>
  </si>
  <si>
    <t>225-07</t>
  </si>
  <si>
    <t>843-07</t>
  </si>
  <si>
    <t>227-07</t>
  </si>
  <si>
    <t>224-07</t>
  </si>
  <si>
    <t>842-07</t>
  </si>
  <si>
    <t>229-07</t>
  </si>
  <si>
    <t>845-07</t>
  </si>
  <si>
    <t>86-07</t>
  </si>
  <si>
    <t>231-07</t>
  </si>
  <si>
    <t>228-07</t>
  </si>
  <si>
    <t>85-07</t>
  </si>
  <si>
    <t>844-07</t>
  </si>
  <si>
    <t>230-07</t>
  </si>
  <si>
    <t>233-07</t>
  </si>
  <si>
    <t>235-07</t>
  </si>
  <si>
    <t>232-07</t>
  </si>
  <si>
    <t>847-07</t>
  </si>
  <si>
    <t>908-07</t>
  </si>
  <si>
    <t>237-07</t>
  </si>
  <si>
    <t>234-07</t>
  </si>
  <si>
    <t>239-07</t>
  </si>
  <si>
    <t>YANAI</t>
  </si>
  <si>
    <t>238-07</t>
  </si>
  <si>
    <t>241-07</t>
  </si>
  <si>
    <t>243-07</t>
  </si>
  <si>
    <t>240-07</t>
  </si>
  <si>
    <t>309-07</t>
  </si>
  <si>
    <t>242-07</t>
  </si>
  <si>
    <t>311-07</t>
  </si>
  <si>
    <t>244-07</t>
  </si>
  <si>
    <t>313-07</t>
  </si>
  <si>
    <t>204:730</t>
  </si>
  <si>
    <t>204:232651</t>
  </si>
  <si>
    <t>204:774</t>
  </si>
  <si>
    <t>204:233325</t>
  </si>
  <si>
    <t>204:232672</t>
  </si>
  <si>
    <t>204:232660</t>
  </si>
  <si>
    <t>204:233332</t>
  </si>
  <si>
    <t>204:232974</t>
  </si>
  <si>
    <t>204:232978</t>
  </si>
  <si>
    <t>204:232959</t>
  </si>
  <si>
    <t>204:233272</t>
  </si>
  <si>
    <t>204:232969</t>
  </si>
  <si>
    <t>204:233319</t>
  </si>
  <si>
    <t>204:172</t>
  </si>
  <si>
    <t>204:416</t>
  </si>
  <si>
    <t>204:232992</t>
  </si>
  <si>
    <t>204:233017</t>
  </si>
  <si>
    <t>204:478</t>
  </si>
  <si>
    <t>204:309</t>
  </si>
  <si>
    <t>204:233293</t>
  </si>
  <si>
    <t>204:31863</t>
  </si>
  <si>
    <t>204:233038</t>
  </si>
  <si>
    <t>204:136</t>
  </si>
  <si>
    <t>204:233324</t>
  </si>
  <si>
    <t>204:233055</t>
  </si>
  <si>
    <t>204:473</t>
  </si>
  <si>
    <t>204:233264</t>
  </si>
  <si>
    <t>204:601</t>
  </si>
  <si>
    <t>204:233257</t>
  </si>
  <si>
    <t>204:232949</t>
  </si>
  <si>
    <t>204:233192</t>
  </si>
  <si>
    <t>204:232871</t>
  </si>
  <si>
    <t>204:189</t>
  </si>
  <si>
    <t>204:520</t>
  </si>
  <si>
    <t>204:165</t>
  </si>
  <si>
    <t>204:233363</t>
  </si>
  <si>
    <t>204:233342</t>
  </si>
  <si>
    <t>204:233028</t>
  </si>
  <si>
    <t>204:3834</t>
  </si>
  <si>
    <t>204:233345</t>
  </si>
  <si>
    <t>204:233068</t>
  </si>
  <si>
    <t>204:233268</t>
  </si>
  <si>
    <t>204:232944</t>
  </si>
  <si>
    <t>204:398</t>
  </si>
  <si>
    <t>204:233281</t>
  </si>
  <si>
    <t>204:232968</t>
  </si>
  <si>
    <t>204:233387</t>
  </si>
  <si>
    <t>204:233040</t>
  </si>
  <si>
    <t>204:233000</t>
  </si>
  <si>
    <t>204:486</t>
  </si>
  <si>
    <t>204:233334</t>
  </si>
  <si>
    <t>204:233274</t>
  </si>
  <si>
    <t>204:233360</t>
  </si>
  <si>
    <t>204:233322</t>
  </si>
  <si>
    <t>204:187</t>
  </si>
  <si>
    <t>204:209</t>
  </si>
  <si>
    <t>204:233011</t>
  </si>
  <si>
    <t>204:232972</t>
  </si>
  <si>
    <t>204:163</t>
  </si>
  <si>
    <t>204:519</t>
  </si>
  <si>
    <t>204:233221</t>
  </si>
  <si>
    <t>204:232894</t>
  </si>
  <si>
    <t>204:232964</t>
  </si>
  <si>
    <t>204:233344</t>
  </si>
  <si>
    <t>204:232622</t>
  </si>
  <si>
    <t>204:20408</t>
  </si>
  <si>
    <t>204:18776</t>
  </si>
  <si>
    <t>300:23304</t>
  </si>
  <si>
    <t>300:23261</t>
  </si>
  <si>
    <t>300:21818</t>
  </si>
  <si>
    <t>300:23295</t>
  </si>
  <si>
    <t>300:22404</t>
  </si>
  <si>
    <t>300:23312</t>
  </si>
  <si>
    <t>300:22837</t>
  </si>
  <si>
    <t>300:23540</t>
  </si>
  <si>
    <t>300:22865</t>
  </si>
  <si>
    <t>300:22252</t>
  </si>
  <si>
    <t>300:22068</t>
  </si>
  <si>
    <t>204:1226</t>
  </si>
  <si>
    <t>300:23303</t>
  </si>
  <si>
    <t>204:869</t>
  </si>
  <si>
    <t>204:1528</t>
  </si>
  <si>
    <t>204:1179</t>
  </si>
  <si>
    <t>300:24210</t>
  </si>
  <si>
    <t>300:23499</t>
  </si>
  <si>
    <t>204:909</t>
  </si>
  <si>
    <t>300:58715</t>
  </si>
  <si>
    <t>204:640</t>
  </si>
  <si>
    <t>204:936</t>
  </si>
  <si>
    <t>300:58990</t>
  </si>
  <si>
    <t>300:58677</t>
  </si>
  <si>
    <t>204:654</t>
  </si>
  <si>
    <t>300:58961</t>
  </si>
  <si>
    <t>300:58649</t>
  </si>
  <si>
    <t>204:682</t>
  </si>
  <si>
    <t>204:934</t>
  </si>
  <si>
    <t>300:59016</t>
  </si>
  <si>
    <t>300:58698</t>
  </si>
  <si>
    <t>204:668</t>
  </si>
  <si>
    <t>204:976</t>
  </si>
  <si>
    <t>300:58939</t>
  </si>
  <si>
    <t>300:58632</t>
  </si>
  <si>
    <t>204:685</t>
  </si>
  <si>
    <t>204:953</t>
  </si>
  <si>
    <t>300:59014</t>
  </si>
  <si>
    <t>204:621</t>
  </si>
  <si>
    <t>204:958</t>
  </si>
  <si>
    <t>204:671</t>
  </si>
  <si>
    <t>204:990</t>
  </si>
  <si>
    <t>204:626</t>
  </si>
  <si>
    <t>204:955</t>
  </si>
  <si>
    <t>300:58619</t>
  </si>
  <si>
    <t>204:656</t>
  </si>
  <si>
    <t>204:950</t>
  </si>
  <si>
    <t>300:58929</t>
  </si>
  <si>
    <t>204:663</t>
  </si>
  <si>
    <t>300:58954</t>
  </si>
  <si>
    <t>204:677</t>
  </si>
  <si>
    <t>204:962</t>
  </si>
  <si>
    <t>300:58624</t>
  </si>
  <si>
    <t>204:698</t>
  </si>
  <si>
    <t>204:421</t>
  </si>
  <si>
    <t>300:58922</t>
  </si>
  <si>
    <t>204:701</t>
  </si>
  <si>
    <t>204:708</t>
  </si>
  <si>
    <t>204:978</t>
  </si>
  <si>
    <t>204:680</t>
  </si>
  <si>
    <t>204:1006</t>
  </si>
  <si>
    <t>204:706</t>
  </si>
  <si>
    <t>300:58638</t>
  </si>
  <si>
    <t>204:957</t>
  </si>
  <si>
    <t>204:670</t>
  </si>
  <si>
    <t>204:128831</t>
  </si>
  <si>
    <t>204:128907</t>
  </si>
  <si>
    <t>204:128824</t>
  </si>
  <si>
    <t>204:770</t>
  </si>
  <si>
    <t>204:128823</t>
  </si>
  <si>
    <t>204:788</t>
  </si>
  <si>
    <t>204:128818</t>
  </si>
  <si>
    <t>204:128454</t>
  </si>
  <si>
    <t>204:128456</t>
  </si>
  <si>
    <t>204:128464</t>
  </si>
  <si>
    <t>204:128533</t>
  </si>
  <si>
    <t>204:2059</t>
  </si>
  <si>
    <t>300:30852</t>
  </si>
  <si>
    <t>300:21869</t>
  </si>
  <si>
    <t>204:673</t>
  </si>
  <si>
    <t>204:927</t>
  </si>
  <si>
    <t>300:25453</t>
  </si>
  <si>
    <t>300:23552</t>
  </si>
  <si>
    <t>204:148</t>
  </si>
  <si>
    <t>300:28793</t>
  </si>
  <si>
    <t>300:58594</t>
  </si>
  <si>
    <t>300:21772</t>
  </si>
  <si>
    <t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t>
  </si>
  <si>
    <t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t>
  </si>
  <si>
    <t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t>
  </si>
  <si>
    <t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t>
  </si>
  <si>
    <t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t>
  </si>
  <si>
    <t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t>
  </si>
  <si>
    <t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t>
  </si>
  <si>
    <t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t>
  </si>
  <si>
    <t>Slice change @ 12:58, but system recovered quickly and kept going without a hitch</t>
  </si>
  <si>
    <t>Long Onboard Wi-MAX outage</t>
  </si>
  <si>
    <t>http://stevetu21.github.io/eaglep3/load_kml.html?kml=http://rtdc.gmaps-snips.s3.amazonaws.com/7405ae1b-3d8c-490a-a4a5-ffbf19424ef9.kml</t>
  </si>
  <si>
    <t>Pulled into Main 3</t>
  </si>
  <si>
    <t>Delayed due to re-init</t>
  </si>
  <si>
    <t>Onboard in-route failure delayed departure</t>
  </si>
  <si>
    <t>multiple cpu faults at 2016-11-07 23:26:33  denver time</t>
  </si>
  <si>
    <t>Delayed by Form O</t>
  </si>
  <si>
    <t>http://stevetu21.github.io/eaglep3/load_kml.html?kml=http://rtdc.gmaps-snips.s3.amazonaws.com/14481a68-1bfe-4cd1-9cfe-3da228709b45.kml</t>
  </si>
  <si>
    <t>Wi-MAX data drop</t>
  </si>
  <si>
    <t>Pena 4S STOP, cleared afterward</t>
  </si>
  <si>
    <t>Overspeed</t>
  </si>
  <si>
    <t>Discrepancy between GPS- and Wheeltach-derived location @ I-25 bridge</t>
  </si>
  <si>
    <t>105-07</t>
  </si>
  <si>
    <t>http://stevetu21.github.io/eaglep3/load_kml.html?kml=http://rtdc.gmaps-snips.s3.amazonaws.com/865ecfdf-75c7-48fb-bfdf-ff3dbb230e4d.kml</t>
  </si>
  <si>
    <t>108-07</t>
  </si>
  <si>
    <t>Outage started at 2016-11-07 05:54:00.474080-07:00 and lasted 27:47</t>
  </si>
  <si>
    <t>111-07</t>
  </si>
  <si>
    <t>Did not init, not found in incidents</t>
  </si>
  <si>
    <t>119-07</t>
  </si>
  <si>
    <t>122-07</t>
  </si>
  <si>
    <t>http://stevetu21.github.io/eaglep3/load_kml.html?kml=http://rtdc.gmaps-snips.s3.amazonaws.com/1d47a3a6-a1e2-4f8f-9bd0-2ad7f4cb0189.kml</t>
  </si>
  <si>
    <t>Replaced by 134-07</t>
  </si>
  <si>
    <t>:.+((SYSTEM_STATE.+slice.+state.+changed )|(ment ac)|(system.+state.+changed )|(\[timeout)|(PRM\|1\|D)|(kpr)|(kdp)|(\|loc)|(penalty))</t>
  </si>
  <si>
    <t>Early arrival; accelerated into crossing</t>
  </si>
  <si>
    <t>Early arrival; accelerated before clearing crossing</t>
  </si>
  <si>
    <t>Early arrival; did not slow down quickly enough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</si>
</sst>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  <xf numFmtId="0" fontId="20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0" fontId="8" fillId="4" borderId="9" xfId="1" applyFont="1" applyFill="1" applyBorder="1" applyAlignment="1">
      <alignment horizontal="center"/>
    </xf>
    <xf numFmtId="0" fontId="8" fillId="0" borderId="10" xfId="1" applyFont="1" applyFill="1" applyBorder="1" applyAlignment="1">
      <alignment wrapText="1"/>
    </xf>
    <xf numFmtId="0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 applyBorder="1"/>
    <xf numFmtId="0" fontId="9" fillId="0" borderId="0" xfId="0" applyFont="1" applyFill="1"/>
    <xf numFmtId="0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0" fontId="0" fillId="0" borderId="0" xfId="0" applyNumberFormat="1"/>
    <xf numFmtId="2" fontId="0" fillId="0" borderId="0" xfId="0" applyNumberFormat="1"/>
    <xf numFmtId="0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/>
    <xf numFmtId="0" fontId="5" fillId="0" borderId="0" xfId="0" applyFont="1" applyFill="1"/>
    <xf numFmtId="0" fontId="5" fillId="8" borderId="0" xfId="0" applyFont="1" applyFill="1"/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/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0" fillId="0" borderId="0" xfId="0" applyNumberFormat="1"/>
    <xf numFmtId="0" fontId="1" fillId="0" borderId="0" xfId="0" applyNumberFormat="1" applyFont="1" applyBorder="1" applyAlignment="1">
      <alignment horizontal="center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3" fillId="0" borderId="5" xfId="0" applyNumberFormat="1" applyFont="1" applyFill="1" applyBorder="1" applyAlignment="1">
      <alignment horizontal="center" vertical="center" wrapText="1"/>
    </xf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20" fillId="0" borderId="0" xfId="4" applyFill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hyperlink" Target="http://stevetu21.github.io/eaglep3/load_kml.html?kml=http://rtdc.gmaps-snips.s3.amazonaws.com/865ecfdf-75c7-48fb-bfdf-ff3dbb230e4d.kml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evetu21.github.io/eaglep3/load_kml.html?kml=http://rtdc.gmaps-snips.s3.amazonaws.com/14481a68-1bfe-4cd1-9cfe-3da228709b45.kml" TargetMode="External"/><Relationship Id="rId1" Type="http://schemas.openxmlformats.org/officeDocument/2006/relationships/hyperlink" Target="http://stevetu21.github.io/eaglep3/load_kml.html?kml=http://rtdc.gmaps-snips.s3.amazonaws.com/7405ae1b-3d8c-490a-a4a5-ffbf19424ef9.km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workbookViewId="0">
      <selection activeCell="R13" sqref="R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6" customWidth="1"/>
    <col min="22" max="22" width="5.7109375" style="96" customWidth="1"/>
    <col min="23" max="23" width="3.85546875" style="20" customWidth="1"/>
    <col min="24" max="24" width="6.5703125" style="172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2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2"/>
      <c r="V1" s="40"/>
      <c r="W1" s="41"/>
      <c r="X1" s="166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42681</v>
      </c>
      <c r="S2" s="72"/>
      <c r="T2" s="73"/>
      <c r="U2" s="163"/>
      <c r="V2" s="94" t="s">
        <v>8</v>
      </c>
      <c r="W2" s="75"/>
      <c r="X2" s="169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4"/>
      <c r="V3" s="42" t="s">
        <v>11</v>
      </c>
      <c r="W3" s="43" t="s">
        <v>12</v>
      </c>
      <c r="X3" s="170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143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5"/>
      <c r="V4" s="45" t="s">
        <v>15</v>
      </c>
      <c r="W4" s="43" t="s">
        <v>15</v>
      </c>
      <c r="X4" s="170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COUNTIFS($N$13:$N$9397,"&gt;0",$AG$13:$AG$9397,I1)</f>
        <v>136</v>
      </c>
      <c r="K5" s="44"/>
      <c r="L5" s="44"/>
      <c r="M5" s="45">
        <f>AVERAGEIFS($N$13:$N$9397,$AG$13:$AG$9397,I1)</f>
        <v>38.481127451574565</v>
      </c>
      <c r="N5" s="43">
        <f t="array" ref="N5">MIN(IF($AG$13:$AG$9397=I1,IF(ISNUMBER($N$13:$N$9397),IF($N$13:$N$9397&gt;0,$N$13:$N$9397))))</f>
        <v>34.450000006472692</v>
      </c>
      <c r="O5" s="3">
        <f t="array" ref="O5">MAX(IF($AG$13:$AG$9397=I1,IF(ISNUMBER($N$13:$N$9397),IF($N$13:$N$9397&gt;0,$N$13:$N$9397))))</f>
        <v>52.383333330508322</v>
      </c>
      <c r="P5" s="2"/>
      <c r="R5" s="80" t="s">
        <v>17</v>
      </c>
      <c r="S5" s="55">
        <f>COUNTIFS($N$13:$N$9397,"&gt;0",$AG$13:$AG$9397,R1)</f>
        <v>47</v>
      </c>
      <c r="T5" s="44"/>
      <c r="U5" s="165"/>
      <c r="V5" s="45">
        <f>AVERAGEIFS($N$13:$N$9397,$AG$13:$AG$9397,R1)</f>
        <v>15.151063829952692</v>
      </c>
      <c r="W5" s="43">
        <f t="array" ref="W5">MIN(IF($AG$13:$AG$9397=R1,IF(ISNUMBER($N$13:$N$9397),IF($N$13:$N$9397&gt;0,$N$13:$N$9397))))</f>
        <v>13.14999999362044</v>
      </c>
      <c r="X5" s="170">
        <f t="array" ref="X5">MAX(IF($AG$13:$AG$9397=R1,IF(ISNUMBER($N$13:$N$9397),IF($N$13:$N$9397&gt;0,$N$13:$N$9397))))</f>
        <v>17.916666663950309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COUNT($O$13:$O$170)</f>
        <v>0</v>
      </c>
      <c r="K6" s="44"/>
      <c r="L6" s="44"/>
      <c r="M6" s="45">
        <f>IFERROR(AVERAGE($O$13:$O$170),0)</f>
        <v>0</v>
      </c>
      <c r="N6" s="43">
        <f>MIN($O$13:$O$170)</f>
        <v>0</v>
      </c>
      <c r="O6" s="3">
        <f>MAX($O$13:$O$170)</f>
        <v>0</v>
      </c>
      <c r="P6" s="2"/>
      <c r="R6" s="81" t="s">
        <v>43</v>
      </c>
      <c r="S6" s="55">
        <f>COUNT($O$13:$O$170)</f>
        <v>0</v>
      </c>
      <c r="T6" s="44"/>
      <c r="U6" s="165"/>
      <c r="V6" s="45">
        <f>IFERROR(AVERAGE($O$13:$O$170),0)</f>
        <v>0</v>
      </c>
      <c r="W6" s="43">
        <f>MIN($O$13:$O$170)</f>
        <v>0</v>
      </c>
      <c r="X6" s="170">
        <f>MAX($O$13:$O$170)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COUNTIFS($P$13:$P$9397,"&gt;0",$AG$13:$AG$9397,I1)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COUNTIFS($P$13:$P$9397,"&gt;0",$AG$13:$AG$9397,R1)</f>
        <v>0</v>
      </c>
      <c r="T7" s="44"/>
      <c r="U7" s="165"/>
      <c r="V7" s="45" t="s">
        <v>15</v>
      </c>
      <c r="W7" s="43" t="s">
        <v>15</v>
      </c>
      <c r="X7" s="170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38.481127451574565</v>
      </c>
      <c r="N8" s="43">
        <f>N5</f>
        <v>34.450000006472692</v>
      </c>
      <c r="O8" s="3">
        <f>O5</f>
        <v>52.383333330508322</v>
      </c>
      <c r="P8" s="2"/>
      <c r="R8" s="80" t="s">
        <v>16</v>
      </c>
      <c r="S8" s="55">
        <f>S5</f>
        <v>47</v>
      </c>
      <c r="T8" s="44"/>
      <c r="U8" s="165"/>
      <c r="V8" s="45">
        <f>V5</f>
        <v>15.151063829952692</v>
      </c>
      <c r="W8" s="43">
        <f>W5</f>
        <v>13.14999999362044</v>
      </c>
      <c r="X8" s="170">
        <f>X5</f>
        <v>17.916666663950309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7">
        <f>J8/J4</f>
        <v>0.95104895104895104</v>
      </c>
      <c r="K9" s="46"/>
      <c r="L9" s="46"/>
      <c r="M9" s="83"/>
      <c r="N9" s="41"/>
      <c r="O9" s="84"/>
      <c r="P9" s="2"/>
      <c r="R9" s="80" t="s">
        <v>19</v>
      </c>
      <c r="S9" s="147">
        <f>S8/S4</f>
        <v>1</v>
      </c>
      <c r="T9" s="46"/>
      <c r="U9" s="162"/>
      <c r="V9" s="83"/>
      <c r="W9" s="41"/>
      <c r="X9" s="171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6"/>
      <c r="V10" s="95"/>
      <c r="W10" s="20"/>
      <c r="X10" s="172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- 2016-11-07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AVERAGE(S13:S113)</f>
        <v>0.95049504950495045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67" t="s">
        <v>65</v>
      </c>
      <c r="V12" s="97" t="s">
        <v>45</v>
      </c>
      <c r="W12" s="51" t="s">
        <v>23</v>
      </c>
      <c r="X12" s="173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9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4002</v>
      </c>
      <c r="C13" s="22" t="s">
        <v>237</v>
      </c>
      <c r="D13" s="22" t="s">
        <v>627</v>
      </c>
      <c r="E13" s="13">
        <v>42681.131331018521</v>
      </c>
      <c r="F13" s="13">
        <v>42681.135763888888</v>
      </c>
      <c r="G13" s="7">
        <v>1</v>
      </c>
      <c r="H13" s="22" t="s">
        <v>364</v>
      </c>
      <c r="I13" s="13">
        <v>42681.160902777781</v>
      </c>
      <c r="J13" s="7">
        <v>0</v>
      </c>
      <c r="K13" s="110" t="str">
        <f t="shared" ref="K13:K76" si="0">IF(ISEVEN(B13),(B13-1)&amp;"/"&amp;B13,B13&amp;"/"&amp;(B13+1))</f>
        <v>4001/4002</v>
      </c>
      <c r="L13" s="22" t="str">
        <f>VLOOKUP(A13,'Trips&amp;Operators'!$C$1:$E$10000,3,FALSE)</f>
        <v>RICHARDSON</v>
      </c>
      <c r="M13" s="6">
        <f t="shared" ref="M13:M76" si="1">I13-F13</f>
        <v>2.513888889370719E-2</v>
      </c>
      <c r="N13" s="7">
        <f>24*60*SUM($M13:$M13)</f>
        <v>36.200000006938353</v>
      </c>
      <c r="O13" s="7"/>
      <c r="P13" s="7"/>
      <c r="Q13" s="23"/>
      <c r="R13" s="23"/>
      <c r="S13" s="35">
        <f t="shared" ref="S13:S44" si="2">SUM(U13:U13)/IF(AG13="EC",12,1)</f>
        <v>1</v>
      </c>
      <c r="T13" s="50" t="str">
        <f t="shared" ref="T13:T76" si="3">IF(ISEVEN(LEFT(AD13,4)),"Southbound","NorthBound")</f>
        <v>NorthBound</v>
      </c>
      <c r="U13" s="16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https://search-rtdc-monitor-bjffxe2xuh6vdkpspy63sjmuny.us-east-1.es.amazonaws.com/_plugin/kibana/#/discover/Steve-Slow-Train-Analysis-(2080s-and-2083s)?_g=(refreshInterval:(display:Off,section:0,value:0),time:(from:'2016-11-07 02:09:07-700',mode:absolute,to:'2016-11-07 04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 t="shared" ref="W13:W76" si="5">IF(AA13&lt;IF(AG13="EC",23,5.65),"Y","N")</f>
        <v>N</v>
      </c>
      <c r="X13" s="174" t="e">
        <f t="shared" ref="X13:X18" si="6">VALUE(LEFT(AD13,4))-VALUE(LEFT(AD12,4))</f>
        <v>#VALUE!</v>
      </c>
      <c r="Y13" s="67">
        <f>RIGHT(D13,LEN(D13)-4)/10000</f>
        <v>7.2999999999999995E-2</v>
      </c>
      <c r="Z13" s="67">
        <f>RIGHT(H13,LEN(H13)-4)/10000</f>
        <v>23.328700000000001</v>
      </c>
      <c r="AA13" s="67">
        <f t="shared" ref="AA13:AA76" si="7">ABS(Z13-Y13)</f>
        <v>23.255700000000001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8">IF(LEN(A13)=6,"0"&amp;A13,A13)</f>
        <v>0101-07</v>
      </c>
      <c r="AE13" s="91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3" s="88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/stypes="app*4002*20161107*" /stext=" 10:.+((SYSTEM_STATE.+slice.+state.+changed )|(ment ac)|(system.+state.+changed )|(\[timeout)|(PRM\|1\|D)|(kpr)|(kdp)|(\|loc)|(penalty))"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2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4002 --swversion DE.1.0.8.0 --startMP 204:730 --initTime 2016-11-07T03:09:07 --startdatetime 2016-11-07T03:15:30 --delay 1 --endMP 204:233287 --enddatetime 2016-11-07T03:51:42 --enforcementcount 0 &gt;&gt;C:\Users\stu\Documents\GitHub\eaglep3-reporting\EC\2016-11-07-refined-times.txt</v>
      </c>
      <c r="AI13" s="120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{"issue":{"subject":"","project_id":79,"tracker_id":40,"status_id":1,"priority_id":2,"assigned_to_id":23,"start_date":"2016-11-07","description":"","custom_fields":[{"id":1,"name":"Subdivision","value":"EC"},{"id":4,"name":"Milepost","value":"23.3287"},{"id":17,"name":"Train ID","value":"101-07"},{"id":16,"name":"Locomotive ID","value":"4002"},{"id":130,"name":"Impact","value":""},{"id":150,"name":"Time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441</v>
      </c>
      <c r="B14" s="7">
        <v>4013</v>
      </c>
      <c r="C14" s="22" t="s">
        <v>237</v>
      </c>
      <c r="D14" s="22" t="s">
        <v>628</v>
      </c>
      <c r="E14" s="13">
        <v>42681.168206018519</v>
      </c>
      <c r="F14" s="13">
        <v>42681.17454861111</v>
      </c>
      <c r="G14" s="7">
        <v>6</v>
      </c>
      <c r="H14" s="22" t="s">
        <v>366</v>
      </c>
      <c r="I14" s="13">
        <v>42681.201423611114</v>
      </c>
      <c r="J14" s="7">
        <v>0</v>
      </c>
      <c r="K14" s="110" t="str">
        <f t="shared" si="0"/>
        <v>4013/4014</v>
      </c>
      <c r="L14" s="22" t="str">
        <f>VLOOKUP(A14,'Trips&amp;Operators'!$C$1:$E$10000,3,FALSE)</f>
        <v>RICHARDSON</v>
      </c>
      <c r="M14" s="6">
        <f t="shared" si="1"/>
        <v>2.6875000003201421E-2</v>
      </c>
      <c r="N14" s="7">
        <f>24*60*SUM($M14:$M14)</f>
        <v>38.700000004610047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6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03:02:13-700',mode:absolute,to:'2016-11-07 05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5"/>
        <v>N</v>
      </c>
      <c r="X14" s="174">
        <f t="shared" si="6"/>
        <v>1</v>
      </c>
      <c r="Y14" s="67">
        <f>RIGHT(D14,LEN(D14)-4)/10000</f>
        <v>23.2651</v>
      </c>
      <c r="Z14" s="67">
        <f>RIGHT(H14,LEN(H14)-4)/10000</f>
        <v>1.67E-2</v>
      </c>
      <c r="AA14" s="67">
        <f t="shared" si="7"/>
        <v>23.2484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8"/>
        <v>0102-07</v>
      </c>
      <c r="AE14" s="91" t="str">
        <f t="shared" si="9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4" s="88" t="str">
        <f t="shared" si="10"/>
        <v>"C:\Program Files (x86)\AstroGrep\AstroGrep.exe" /spath="%USERPROFILE%\AppData\Local\Temp\OnboardLogs" /stypes="app*4013*20161107*" /stext=" 11:.+((SYSTEM_STATE.+slice.+state.+changed )|(ment ac)|(system.+state.+changed )|(\[timeout)|(PRM\|1\|D)|(kpr)|(kdp)|(\|loc)|(penalty))" /e /r /s</v>
      </c>
      <c r="AG14" s="1" t="str">
        <f t="shared" si="11"/>
        <v>EC</v>
      </c>
      <c r="AH14" s="92" t="str">
        <f t="shared" ref="AH14:AH82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4013 --swversion DE.1.0.8.0 --startMP 204:232651 --initTime 2016-11-07T04:02:13 --startdatetime 2016-11-07T04:11:21 --delay 6 --endMP 204:167 --enddatetime 2016-11-07T04:50:03 --enforcementcount 0 &gt;&gt;C:\Users\stu\Documents\GitHub\eaglep3-reporting\EC\2016-11-07-refined-times.txt</v>
      </c>
      <c r="AI14" s="120" t="str">
        <f t="shared" ref="AI14:AI82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{"issue":{"subject":"","project_id":79,"tracker_id":40,"status_id":1,"priority_id":2,"assigned_to_id":23,"start_date":"2016-11-07","description":"","custom_fields":[{"id":1,"name":"Subdivision","value":"EC"},{"id":4,"name":"Milepost","value":"0.0167"},{"id":17,"name":"Train ID","value":"102-07"},{"id":16,"name":"Locomotive ID","value":"4013"},{"id":130,"name":"Impact","value":""},{"id":150,"name":"Time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438</v>
      </c>
      <c r="B15" s="7">
        <v>4046</v>
      </c>
      <c r="C15" s="22" t="s">
        <v>237</v>
      </c>
      <c r="D15" s="22" t="s">
        <v>629</v>
      </c>
      <c r="E15" s="13">
        <v>42681.149305555555</v>
      </c>
      <c r="F15" s="13">
        <v>42681.156458333331</v>
      </c>
      <c r="G15" s="7">
        <v>2</v>
      </c>
      <c r="H15" s="22" t="s">
        <v>630</v>
      </c>
      <c r="I15" s="13">
        <v>42681.181504629632</v>
      </c>
      <c r="J15" s="7">
        <v>0</v>
      </c>
      <c r="K15" s="110" t="str">
        <f t="shared" si="0"/>
        <v>4045/4046</v>
      </c>
      <c r="L15" s="22" t="str">
        <f>VLOOKUP(A15,'Trips&amp;Operators'!$C$1:$E$10000,3,FALSE)</f>
        <v>MCREYNOLDS</v>
      </c>
      <c r="M15" s="6">
        <f t="shared" si="1"/>
        <v>2.5046296301297843E-2</v>
      </c>
      <c r="N15" s="7">
        <f>24*60*SUM($M15:$M15)</f>
        <v>36.066666673868895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6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02:35:00-700',mode:absolute,to:'2016-11-07 05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52" t="str">
        <f t="shared" si="5"/>
        <v>N</v>
      </c>
      <c r="X15" s="174">
        <f t="shared" si="6"/>
        <v>1</v>
      </c>
      <c r="Y15" s="67">
        <f>RIGHT(D15,LEN(D15)-4)/10000</f>
        <v>7.7399999999999997E-2</v>
      </c>
      <c r="Z15" s="67">
        <f>RIGHT(H15,LEN(H15)-4)/10000</f>
        <v>23.3325</v>
      </c>
      <c r="AA15" s="67">
        <f t="shared" si="7"/>
        <v>23.255099999999999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8"/>
        <v>0103-07</v>
      </c>
      <c r="AE15" s="91" t="str">
        <f t="shared" si="9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5" s="88" t="str">
        <f t="shared" si="10"/>
        <v>"C:\Program Files (x86)\AstroGrep\AstroGrep.exe" /spath="%USERPROFILE%\AppData\Local\Temp\OnboardLogs" /stypes="app*4046*20161107*" /stext=" 11:.+((SYSTEM_STATE.+slice.+state.+changed )|(ment ac)|(system.+state.+changed )|(\[timeout)|(PRM\|1\|D)|(kpr)|(kdp)|(\|loc)|(penalty))" /e /r /s</v>
      </c>
      <c r="AG15" s="1" t="str">
        <f t="shared" si="11"/>
        <v>EC</v>
      </c>
      <c r="AH15" s="92" t="str">
        <f t="shared" si="14"/>
        <v>"%USERPROFILE%\Documents\GitHub\eaglep3\Utilities\RefineRTDCRunTimes.py" --tripid 103-07 --locoid 4046 --swversion DE.1.0.8.0 --startMP 204:774 --initTime 2016-11-07T03:35:00 --startdatetime 2016-11-07T03:45:18 --delay 2 --endMP 204:233325 --enddatetime 2016-11-07T04:21:22 --enforcementcount 0 &gt;&gt;C:\Users\stu\Documents\GitHub\eaglep3-reporting\EC\2016-11-07-refined-times.txt</v>
      </c>
      <c r="AI1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{"issue":{"subject":"","project_id":79,"tracker_id":40,"status_id":1,"priority_id":2,"assigned_to_id":23,"start_date":"2016-11-07","description":"","custom_fields":[{"id":1,"name":"Subdivision","value":"EC"},{"id":4,"name":"Milepost","value":"23.3325"},{"id":17,"name":"Train ID","value":"103-07"},{"id":16,"name":"Locomotive ID","value":"4046"},{"id":130,"name":"Impact","value":""},{"id":150,"name":"Time of Event (Mountain Time)","value":"04:21:22"},{"id":151,"name":"Denver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4054</v>
      </c>
      <c r="C16" s="22" t="s">
        <v>237</v>
      </c>
      <c r="D16" s="22" t="s">
        <v>631</v>
      </c>
      <c r="E16" s="13">
        <v>42681.193379629629</v>
      </c>
      <c r="F16" s="13">
        <v>42681.195451388892</v>
      </c>
      <c r="G16" s="7">
        <v>1</v>
      </c>
      <c r="H16" s="22" t="s">
        <v>204</v>
      </c>
      <c r="I16" s="13">
        <v>42681.221689814818</v>
      </c>
      <c r="J16" s="7">
        <v>0</v>
      </c>
      <c r="K16" s="110" t="str">
        <f t="shared" si="0"/>
        <v>4053/4054</v>
      </c>
      <c r="L16" s="22" t="str">
        <f>VLOOKUP(A16,'Trips&amp;Operators'!$C$1:$E$10000,3,FALSE)</f>
        <v>MCREYNOLDS</v>
      </c>
      <c r="M16" s="6">
        <f t="shared" si="1"/>
        <v>2.6238425925839692E-2</v>
      </c>
      <c r="N16" s="7">
        <f>24*60*SUM($M16:$M16)</f>
        <v>37.783333333209157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6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03:38:28-700',mode:absolute,to:'2016-11-07 06:19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" s="52" t="str">
        <f t="shared" si="5"/>
        <v>N</v>
      </c>
      <c r="X16" s="174">
        <f t="shared" si="6"/>
        <v>1</v>
      </c>
      <c r="Y16" s="67">
        <f>RIGHT(D16,LEN(D16)-4)/10000</f>
        <v>23.267199999999999</v>
      </c>
      <c r="Z16" s="67">
        <f>RIGHT(H16,LEN(H16)-4)/10000</f>
        <v>1.49E-2</v>
      </c>
      <c r="AA16" s="67">
        <f t="shared" si="7"/>
        <v>23.252299999999998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8"/>
        <v>0104-07</v>
      </c>
      <c r="AE16" s="91" t="str">
        <f t="shared" si="9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6" s="88" t="str">
        <f t="shared" si="10"/>
        <v>"C:\Program Files (x86)\AstroGrep\AstroGrep.exe" /spath="%USERPROFILE%\AppData\Local\Temp\OnboardLogs" /stypes="app*4054*20161107*" /stext=" 12:.+((SYSTEM_STATE.+slice.+state.+changed )|(ment ac)|(system.+state.+changed )|(\[timeout)|(PRM\|1\|D)|(kpr)|(kdp)|(\|loc)|(penalty))" /e /r /s</v>
      </c>
      <c r="AG16" s="1" t="str">
        <f t="shared" si="11"/>
        <v>EC</v>
      </c>
      <c r="AH16" s="92" t="str">
        <f t="shared" si="14"/>
        <v>"%USERPROFILE%\Documents\GitHub\eaglep3\Utilities\RefineRTDCRunTimes.py" --tripid 104-07 --locoid 4054 --swversion DE.1.0.8.0 --startMP 204:232672 --initTime 2016-11-07T04:38:28 --startdatetime 2016-11-07T04:41:27 --delay 1 --endMP 204:149 --enddatetime 2016-11-07T05:19:14 --enforcementcount 0 &gt;&gt;C:\Users\stu\Documents\GitHub\eaglep3-reporting\EC\2016-11-07-refined-times.txt</v>
      </c>
      <c r="AI1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ID","value":"104-07"},{"id":16,"name":"Locomotive ID","value":"4054"},{"id":130,"name":"Impact","value":""},{"id":150,"name":"Time of Event (Mountain Time)","value":"05:19:14"},{"id":151,"name":"Denver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802</v>
      </c>
      <c r="B17" s="7">
        <v>4032</v>
      </c>
      <c r="C17" s="22" t="s">
        <v>237</v>
      </c>
      <c r="D17" s="22" t="s">
        <v>631</v>
      </c>
      <c r="E17" s="13">
        <v>42681.193379629629</v>
      </c>
      <c r="F17" s="13">
        <v>42681.177083333336</v>
      </c>
      <c r="G17" s="7">
        <v>1</v>
      </c>
      <c r="H17" s="22" t="s">
        <v>204</v>
      </c>
      <c r="I17" s="13">
        <v>42681.177777777775</v>
      </c>
      <c r="J17" s="7">
        <v>0</v>
      </c>
      <c r="K17" s="110" t="str">
        <f t="shared" si="0"/>
        <v>4031/4032</v>
      </c>
      <c r="L17" s="22" t="e">
        <f>VLOOKUP(A17,'Trips&amp;Operators'!$C$1:$E$10000,3,FALSE)</f>
        <v>#N/A</v>
      </c>
      <c r="M17" s="6">
        <f t="shared" si="1"/>
        <v>6.9444443943211809E-4</v>
      </c>
      <c r="N17" s="7"/>
      <c r="O17" s="7"/>
      <c r="P17" s="7">
        <v>1</v>
      </c>
      <c r="Q17" s="23"/>
      <c r="R17" s="23" t="s">
        <v>790</v>
      </c>
      <c r="S17" s="35">
        <f t="shared" si="2"/>
        <v>0</v>
      </c>
      <c r="T17" s="50" t="str">
        <f t="shared" si="3"/>
        <v>NorthBound</v>
      </c>
      <c r="U17" s="16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03:38:28-700',mode:absolute,to:'2016-11-07 05:16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" s="52" t="str">
        <f t="shared" si="5"/>
        <v>Y</v>
      </c>
      <c r="X17" s="174">
        <f t="shared" si="6"/>
        <v>1</v>
      </c>
      <c r="Y17" s="67">
        <v>0</v>
      </c>
      <c r="Z17" s="67">
        <v>0</v>
      </c>
      <c r="AA17" s="67">
        <f t="shared" si="7"/>
        <v>0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8"/>
        <v>0105-07</v>
      </c>
      <c r="AE17" s="91" t="str">
        <f t="shared" si="9"/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17" s="88" t="str">
        <f t="shared" si="10"/>
        <v>"C:\Program Files (x86)\AstroGrep\AstroGrep.exe" /spath="%USERPROFILE%\AppData\Local\Temp\OnboardLogs" /stypes="app*4032*20161107*" /stext=" 11:.+((SYSTEM_STATE.+slice.+state.+changed )|(ment ac)|(system.+state.+changed )|(\[timeout)|(PRM\|1\|D)|(kpr)|(kdp)|(\|loc)|(penalty))" /e /r /s</v>
      </c>
      <c r="AG17" s="1" t="str">
        <f t="shared" si="11"/>
        <v>EC</v>
      </c>
      <c r="AH17" s="92" t="str">
        <f t="shared" ref="AH17" si="16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105-07 --locoid 4032 --swversion DE.1.0.8.0 --startMP 204:232672 --initTime 2016-11-07T04:38:28 --startdatetime 2016-11-07T04:15:00 --delay 1 --endMP 204:149 --enddatetime 2016-11-07T04:16:00 --enforcementcount 0 &gt;&gt;C:\Users\stu\Documents\GitHub\eaglep3-reporting\EC\2016-11-07-refined-times.txt</v>
      </c>
      <c r="AI17" s="120" t="str">
        <f t="shared" ref="AI17" si="17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865ecfdf-75c7-48fb-bfdf-ff3dbb230e4d.kml","custom_fields":[{"id":1,"name":"Subdivision","value":"EC"},{"id":4,"name":"Milepost","value":"0"},{"id":17,"name":"Train ID","value":"105-07"},{"id":16,"name":"Locomotive ID","value":"4032"},{"id":130,"name":"Impact","value":"Initialization Problem"},{"id":150,"name":"Time of Event (Mountain Time)","value":"04:16:00"},{"id":151,"name":"Denver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7" s="182" t="s">
        <v>803</v>
      </c>
      <c r="AK17" s="53" t="s">
        <v>133</v>
      </c>
      <c r="AL17" s="53" t="s">
        <v>138</v>
      </c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</row>
    <row r="18" spans="1:91" s="1" customFormat="1" x14ac:dyDescent="0.25">
      <c r="A18" s="37" t="s">
        <v>449</v>
      </c>
      <c r="B18" s="7">
        <v>4026</v>
      </c>
      <c r="C18" s="22" t="s">
        <v>237</v>
      </c>
      <c r="D18" s="22" t="s">
        <v>632</v>
      </c>
      <c r="E18" s="13">
        <v>42681.211921296293</v>
      </c>
      <c r="F18" s="13">
        <v>42681.216736111113</v>
      </c>
      <c r="G18" s="7">
        <v>4</v>
      </c>
      <c r="H18" s="22" t="s">
        <v>297</v>
      </c>
      <c r="I18" s="13">
        <v>42681.242824074077</v>
      </c>
      <c r="J18" s="7">
        <v>0</v>
      </c>
      <c r="K18" s="110" t="str">
        <f t="shared" si="0"/>
        <v>4025/4026</v>
      </c>
      <c r="L18" s="22" t="str">
        <f>VLOOKUP(A18,'Trips&amp;Operators'!$C$1:$E$10000,3,FALSE)</f>
        <v>PERKINS</v>
      </c>
      <c r="M18" s="6">
        <f t="shared" si="1"/>
        <v>2.6087962964083999E-2</v>
      </c>
      <c r="N18" s="7">
        <f>24*60*SUM($M18:$M18)</f>
        <v>37.566666668280959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6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04:05:10-700',mode:absolute,to:'2016-11-07 06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5"/>
        <v>N</v>
      </c>
      <c r="X18" s="174">
        <f t="shared" si="6"/>
        <v>1</v>
      </c>
      <c r="Y18" s="67">
        <f>RIGHT(D18,LEN(D18)-4)/10000</f>
        <v>23.265999999999998</v>
      </c>
      <c r="Z18" s="67">
        <f>RIGHT(H18,LEN(H18)-4)/10000</f>
        <v>1.34E-2</v>
      </c>
      <c r="AA18" s="67">
        <f t="shared" si="7"/>
        <v>23.252599999999997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8"/>
        <v>0106-07</v>
      </c>
      <c r="AE18" s="91" t="str">
        <f t="shared" si="9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8" s="88" t="str">
        <f t="shared" si="10"/>
        <v>"C:\Program Files (x86)\AstroGrep\AstroGrep.exe" /spath="%USERPROFILE%\AppData\Local\Temp\OnboardLogs" /stypes="app*4026*20161107*" /stext=" 12:.+((SYSTEM_STATE.+slice.+state.+changed )|(ment ac)|(system.+state.+changed )|(\[timeout)|(PRM\|1\|D)|(kpr)|(kdp)|(\|loc)|(penalty))" /e /r /s</v>
      </c>
      <c r="AG18" s="1" t="str">
        <f t="shared" si="11"/>
        <v>EC</v>
      </c>
      <c r="AH18" s="92" t="str">
        <f t="shared" si="14"/>
        <v>"%USERPROFILE%\Documents\GitHub\eaglep3\Utilities\RefineRTDCRunTimes.py" --tripid 106-07 --locoid 4026 --swversion DE.1.0.8.0 --startMP 204:232660 --initTime 2016-11-07T05:05:10 --startdatetime 2016-11-07T05:12:06 --delay 4 --endMP 204:134 --enddatetime 2016-11-07T05:49:40 --enforcementcount 0 &gt;&gt;C:\Users\stu\Documents\GitHub\eaglep3-reporting\EC\2016-11-07-refined-times.txt</v>
      </c>
      <c r="AI1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ID","value":"106-07"},{"id":16,"name":"Locomotive ID","value":"4026"},{"id":130,"name":"Impact","value":""},{"id":150,"name":"Time of Event (Mountain Time)","value":"05:49:40"},{"id":151,"name":"Denver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444</v>
      </c>
      <c r="B19" s="7">
        <v>4031</v>
      </c>
      <c r="C19" s="22" t="s">
        <v>237</v>
      </c>
      <c r="D19" s="22" t="s">
        <v>299</v>
      </c>
      <c r="E19" s="13">
        <v>42681.185682870368</v>
      </c>
      <c r="F19" s="13">
        <v>42681.187835648147</v>
      </c>
      <c r="G19" s="7">
        <v>1</v>
      </c>
      <c r="H19" s="22" t="s">
        <v>633</v>
      </c>
      <c r="I19" s="13">
        <v>42681.212812500002</v>
      </c>
      <c r="J19" s="7">
        <v>0</v>
      </c>
      <c r="K19" s="110" t="str">
        <f t="shared" si="0"/>
        <v>4031/4032</v>
      </c>
      <c r="L19" s="22" t="str">
        <f>VLOOKUP(A19,'Trips&amp;Operators'!$C$1:$E$10000,3,FALSE)</f>
        <v>JOHNSON</v>
      </c>
      <c r="M19" s="6">
        <f t="shared" si="1"/>
        <v>2.4976851855171844E-2</v>
      </c>
      <c r="N19" s="7">
        <f>24*60*SUM($M19:$M19)</f>
        <v>35.966666671447456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6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03:27:23-700',mode:absolute,to:'2016-11-07 06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" s="52" t="str">
        <f t="shared" si="5"/>
        <v>N</v>
      </c>
      <c r="X19" s="174">
        <f t="shared" ref="X19:X21" si="18">VALUE(LEFT(AD19,4))-VALUE(LEFT(AD18,4))</f>
        <v>1</v>
      </c>
      <c r="Y19" s="67">
        <f>RIGHT(D19,LEN(D19)-4)/10000</f>
        <v>4.6899999999999997E-2</v>
      </c>
      <c r="Z19" s="67">
        <f>RIGHT(H19,LEN(H19)-4)/10000</f>
        <v>23.333200000000001</v>
      </c>
      <c r="AA19" s="67">
        <f t="shared" si="7"/>
        <v>23.286300000000001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8"/>
        <v>0107-07</v>
      </c>
      <c r="AE19" s="91" t="str">
        <f t="shared" si="9"/>
        <v>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 &amp; 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</v>
      </c>
      <c r="AF19" s="88" t="str">
        <f t="shared" si="10"/>
        <v>"C:\Program Files (x86)\AstroGrep\AstroGrep.exe" /spath="%USERPROFILE%\AppData\Local\Temp\OnboardLogs" /stypes="app*4031*20161107*" /stext=" 12:.+((SYSTEM_STATE.+slice.+state.+changed )|(ment ac)|(system.+state.+changed )|(\[timeout)|(PRM\|1\|D)|(kpr)|(kdp)|(\|loc)|(penalty))" /e /r /s</v>
      </c>
      <c r="AG19" s="1" t="str">
        <f t="shared" si="11"/>
        <v>EC</v>
      </c>
      <c r="AH19" s="92" t="str">
        <f t="shared" si="14"/>
        <v>"%USERPROFILE%\Documents\GitHub\eaglep3\Utilities\RefineRTDCRunTimes.py" --tripid 107-07 --locoid 4031 --swversion DE.1.0.8.0 --startMP 204:469 --initTime 2016-11-07T04:27:23 --startdatetime 2016-11-07T04:30:29 --delay 1 --endMP 204:233332 --enddatetime 2016-11-07T05:06:27 --enforcementcount 0 &gt;&gt;C:\Users\stu\Documents\GitHub\eaglep3-reporting\EC\2016-11-07-refined-times.txt</v>
      </c>
      <c r="AI1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{"issue":{"subject":"","project_id":79,"tracker_id":40,"status_id":1,"priority_id":2,"assigned_to_id":23,"start_date":"2016-11-07","description":"","custom_fields":[{"id":1,"name":"Subdivision","value":"EC"},{"id":4,"name":"Milepost","value":"23.3332"},{"id":17,"name":"Train ID","value":"107-07"},{"id":16,"name":"Locomotive ID","value":"4031"},{"id":130,"name":"Impact","value":""},{"id":150,"name":"Time of Event (Mountain Time)","value":"05:06:27"},{"id":151,"name":"Denver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804</v>
      </c>
      <c r="B20" s="7">
        <v>4032</v>
      </c>
      <c r="C20" s="22" t="s">
        <v>237</v>
      </c>
      <c r="D20" s="22" t="s">
        <v>299</v>
      </c>
      <c r="E20" s="13">
        <v>42681.185682870368</v>
      </c>
      <c r="F20" s="13">
        <v>42681.194444444445</v>
      </c>
      <c r="G20" s="7">
        <v>1</v>
      </c>
      <c r="H20" s="22" t="s">
        <v>204</v>
      </c>
      <c r="I20" s="13">
        <v>42681.195138888892</v>
      </c>
      <c r="J20" s="7">
        <v>0</v>
      </c>
      <c r="K20" s="110" t="str">
        <f t="shared" si="0"/>
        <v>4031/4032</v>
      </c>
      <c r="L20" s="22" t="e">
        <f>VLOOKUP(A20,'Trips&amp;Operators'!$C$1:$E$10000,3,FALSE)</f>
        <v>#N/A</v>
      </c>
      <c r="M20" s="6">
        <f t="shared" si="1"/>
        <v>6.944444467080757E-4</v>
      </c>
      <c r="N20" s="7"/>
      <c r="O20" s="7"/>
      <c r="P20" s="7">
        <f>24*60*SUM($M20:$M20)</f>
        <v>1.000000003259629</v>
      </c>
      <c r="Q20" s="23"/>
      <c r="R20" s="23" t="s">
        <v>790</v>
      </c>
      <c r="S20" s="35">
        <f t="shared" si="2"/>
        <v>0</v>
      </c>
      <c r="T20" s="50" t="str">
        <f t="shared" si="3"/>
        <v>Southbound</v>
      </c>
      <c r="U20" s="16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03:27:23-700',mode:absolute,to:'2016-11-07 05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 t="shared" si="5"/>
        <v>Y</v>
      </c>
      <c r="X20" s="174">
        <f t="shared" si="18"/>
        <v>1</v>
      </c>
      <c r="Y20" s="67">
        <v>0</v>
      </c>
      <c r="Z20" s="67">
        <v>0</v>
      </c>
      <c r="AA20" s="67">
        <f t="shared" si="7"/>
        <v>0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8"/>
        <v>0108-07</v>
      </c>
      <c r="AE20" s="91" t="str">
        <f t="shared" si="9"/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20" s="88" t="str">
        <f t="shared" si="10"/>
        <v>"C:\Program Files (x86)\AstroGrep\AstroGrep.exe" /spath="%USERPROFILE%\AppData\Local\Temp\OnboardLogs" /stypes="app*4032*20161107*" /stext=" 11:.+((SYSTEM_STATE.+slice.+state.+changed )|(ment ac)|(system.+state.+changed )|(\[timeout)|(PRM\|1\|D)|(kpr)|(kdp)|(\|loc)|(penalty))" /e /r /s</v>
      </c>
      <c r="AG20" s="1" t="str">
        <f t="shared" si="11"/>
        <v>EC</v>
      </c>
      <c r="AH20" s="92" t="str">
        <f t="shared" ref="AH20" si="19"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108-07 --locoid 4032 --swversion DE.1.0.8.0 --startMP 204:469 --initTime 2016-11-07T04:27:23 --startdatetime 2016-11-07T04:40:00 --delay 1 --endMP 204:149 --enddatetime 2016-11-07T04:41:00 --enforcementcount 0 &gt;&gt;C:\Users\stu\Documents\GitHub\eaglep3-reporting\EC\2016-11-07-refined-times.txt</v>
      </c>
      <c r="AI20" s="120" t="str">
        <f t="shared" ref="AI20" si="20"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outage","project_id":79,"tracker_id":40,"status_id":1,"priority_id":2,"assigned_to_id":23,"start_date":"2016-11-07","description":"Outage started at 2016-11-07 05:54:00.474080-07:00 and lasted 27:47","custom_fields":[{"id":1,"name":"Subdivision","value":"EC"},{"id":4,"name":"Milepost","value":"0"},{"id":17,"name":"Train ID","value":"108-07"},{"id":16,"name":"Locomotive ID","value":"4032"},{"id":130,"name":"Impact","value":"Initialization Problem"},{"id":150,"name":"Time of Event (Mountain Time)","value":"04:41:00"},{"id":151,"name":"Denver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0" s="53" t="s">
        <v>805</v>
      </c>
      <c r="AK20" s="53" t="s">
        <v>133</v>
      </c>
      <c r="AL20" s="53" t="s">
        <v>138</v>
      </c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</row>
    <row r="21" spans="1:91" s="1" customFormat="1" x14ac:dyDescent="0.25">
      <c r="A21" s="37" t="s">
        <v>445</v>
      </c>
      <c r="B21" s="7">
        <v>4007</v>
      </c>
      <c r="C21" s="22" t="s">
        <v>237</v>
      </c>
      <c r="D21" s="22" t="s">
        <v>371</v>
      </c>
      <c r="E21" s="13">
        <v>42681.189328703702</v>
      </c>
      <c r="F21" s="13">
        <v>42681.198541666665</v>
      </c>
      <c r="G21" s="7">
        <v>1</v>
      </c>
      <c r="H21" s="22" t="s">
        <v>268</v>
      </c>
      <c r="I21" s="13">
        <v>42681.223402777781</v>
      </c>
      <c r="J21" s="7">
        <v>0</v>
      </c>
      <c r="K21" s="110" t="str">
        <f t="shared" si="0"/>
        <v>4007/4008</v>
      </c>
      <c r="L21" s="22" t="str">
        <f>VLOOKUP(A21,'Trips&amp;Operators'!$C$1:$E$10000,3,FALSE)</f>
        <v>MACDONALD</v>
      </c>
      <c r="M21" s="6">
        <f t="shared" si="1"/>
        <v>2.4861111116479151E-2</v>
      </c>
      <c r="N21" s="7">
        <f>24*60*SUM($M21:$M21)</f>
        <v>35.800000007729977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6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03:32:38-700',mode:absolute,to:'2016-11-07 06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2" t="str">
        <f t="shared" si="5"/>
        <v>N</v>
      </c>
      <c r="X21" s="174">
        <f t="shared" si="18"/>
        <v>1</v>
      </c>
      <c r="Y21" s="67">
        <f>RIGHT(D21,LEN(D21)-4)/10000</f>
        <v>4.3999999999999997E-2</v>
      </c>
      <c r="Z21" s="67">
        <f>RIGHT(H21,LEN(H21)-4)/10000</f>
        <v>23.329799999999999</v>
      </c>
      <c r="AA21" s="67">
        <f t="shared" si="7"/>
        <v>23.285799999999998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8"/>
        <v>0109-07</v>
      </c>
      <c r="AE21" s="91" t="str">
        <f t="shared" si="9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1" s="88" t="str">
        <f t="shared" si="10"/>
        <v>"C:\Program Files (x86)\AstroGrep\AstroGrep.exe" /spath="%USERPROFILE%\AppData\Local\Temp\OnboardLogs" /stypes="app*4007*20161107*" /stext=" 12:.+((SYSTEM_STATE.+slice.+state.+changed )|(ment ac)|(system.+state.+changed )|(\[timeout)|(PRM\|1\|D)|(kpr)|(kdp)|(\|loc)|(penalty))" /e /r /s</v>
      </c>
      <c r="AG21" s="1" t="str">
        <f t="shared" si="11"/>
        <v>EC</v>
      </c>
      <c r="AH21" s="92" t="str">
        <f t="shared" si="14"/>
        <v>"%USERPROFILE%\Documents\GitHub\eaglep3\Utilities\RefineRTDCRunTimes.py" --tripid 109-07 --locoid 4007 --swversion DE.1.0.8.0 --startMP 204:440 --initTime 2016-11-07T04:32:38 --startdatetime 2016-11-07T04:45:54 --delay 1 --endMP 204:233298 --enddatetime 2016-11-07T05:21:42 --enforcementcount 0 &gt;&gt;C:\Users\stu\Documents\GitHub\eaglep3-reporting\EC\2016-11-07-refined-times.txt</v>
      </c>
      <c r="AI2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{"issue":{"subject":"","project_id":79,"tracker_id":40,"status_id":1,"priority_id":2,"assigned_to_id":23,"start_date":"2016-11-07","description":"","custom_fields":[{"id":1,"name":"Subdivision","value":"EC"},{"id":4,"name":"Milepost","value":"23.3298"},{"id":17,"name":"Train ID","value":"109-07"},{"id":16,"name":"Locomotive ID","value":"4007"},{"id":130,"name":"Impact","value":""},{"id":150,"name":"Time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400</v>
      </c>
      <c r="B22" s="7">
        <v>4008</v>
      </c>
      <c r="C22" s="22" t="s">
        <v>237</v>
      </c>
      <c r="D22" s="22" t="s">
        <v>634</v>
      </c>
      <c r="E22" s="13">
        <v>42681.224363425928</v>
      </c>
      <c r="F22" s="13">
        <v>42681.237118055556</v>
      </c>
      <c r="G22" s="7">
        <v>1</v>
      </c>
      <c r="H22" s="22" t="s">
        <v>202</v>
      </c>
      <c r="I22" s="13">
        <v>42681.270810185182</v>
      </c>
      <c r="J22" s="7">
        <v>0</v>
      </c>
      <c r="K22" s="110" t="str">
        <f t="shared" si="0"/>
        <v>4007/4008</v>
      </c>
      <c r="L22" s="22" t="str">
        <f>VLOOKUP(A22,'Trips&amp;Operators'!$C$1:$E$10000,3,FALSE)</f>
        <v>MACDONALD</v>
      </c>
      <c r="M22" s="6">
        <f t="shared" si="1"/>
        <v>3.3692129625706002E-2</v>
      </c>
      <c r="N22" s="7">
        <f>24*60*SUM($M22:$M22)</f>
        <v>48.516666661016643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6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04:23:05-700',mode:absolute,to:'2016-11-07 07:29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2" t="str">
        <f t="shared" si="5"/>
        <v>N</v>
      </c>
      <c r="X22" s="174">
        <f>VALUE(LEFT(AD22,4))-VALUE(LEFT(AD21,4))</f>
        <v>1</v>
      </c>
      <c r="Y22" s="67">
        <f>RIGHT(D22,LEN(D22)-4)/10000</f>
        <v>23.2974</v>
      </c>
      <c r="Z22" s="67">
        <f>RIGHT(H22,LEN(H22)-4)/10000</f>
        <v>1.54E-2</v>
      </c>
      <c r="AA22" s="67">
        <f t="shared" si="7"/>
        <v>23.282</v>
      </c>
      <c r="AB22" s="64" t="str">
        <f>VLOOKUP(A22,Enforcements!$C$7:$K$21,8,0)</f>
        <v>Bulletin (2)</v>
      </c>
      <c r="AC22" s="60" t="str">
        <f>VLOOKUP(A22,Enforcements!$C$7:$E$21,3,0)</f>
        <v>GRADE CROSSING</v>
      </c>
      <c r="AD22" s="61" t="str">
        <f t="shared" si="8"/>
        <v>0110-07</v>
      </c>
      <c r="AE22" s="91" t="str">
        <f t="shared" si="9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22" s="88" t="str">
        <f t="shared" si="10"/>
        <v>"C:\Program Files (x86)\AstroGrep\AstroGrep.exe" /spath="%USERPROFILE%\AppData\Local\Temp\OnboardLogs" /stypes="app*4008*20161107*" /stext=" 13:.+((SYSTEM_STATE.+slice.+state.+changed )|(ment ac)|(system.+state.+changed )|(\[timeout)|(PRM\|1\|D)|(kpr)|(kdp)|(\|loc)|(penalty))" /e /r /s</v>
      </c>
      <c r="AG22" s="1" t="str">
        <f t="shared" si="11"/>
        <v>EC</v>
      </c>
      <c r="AH22" s="92" t="str">
        <f t="shared" si="14"/>
        <v>"%USERPROFILE%\Documents\GitHub\eaglep3\Utilities\RefineRTDCRunTimes.py" --tripid 110-07 --locoid 4008 --swversion DE.1.0.8.0 --startMP 204:232974 --initTime 2016-11-07T05:23:05 --startdatetime 2016-11-07T05:41:27 --delay 1 --endMP 204:154 --enddatetime 2016-11-07T06:29:58 --enforcementcount 0 &gt;&gt;C:\Users\stu\Documents\GitHub\eaglep3-reporting\EC\2016-11-07-refined-times.txt</v>
      </c>
      <c r="AI2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{"issue":{"subject":"","project_id":79,"tracker_id":40,"status_id":1,"priority_id":2,"assigned_to_id":23,"start_date":"2016-11-07","description":"","custom_fields":[{"id":1,"name":"Subdivision","value":"EC"},{"id":4,"name":"Milepost","value":"0.0154"},{"id":17,"name":"Train ID","value":"110-07"},{"id":16,"name":"Locomotive ID","value":"4008"},{"id":130,"name":"Impact","value":""},{"id":150,"name":"Time of Event (Mountain Time)","value":"06:29:58"},{"id":151,"name":"Denver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806</v>
      </c>
      <c r="B23" s="7"/>
      <c r="C23" s="22" t="s">
        <v>237</v>
      </c>
      <c r="D23" s="22" t="s">
        <v>634</v>
      </c>
      <c r="E23" s="13">
        <v>42681.224363425928</v>
      </c>
      <c r="F23" s="13"/>
      <c r="G23" s="7">
        <v>1</v>
      </c>
      <c r="H23" s="22" t="s">
        <v>202</v>
      </c>
      <c r="I23" s="13"/>
      <c r="J23" s="7">
        <v>0</v>
      </c>
      <c r="K23" s="110" t="str">
        <f t="shared" si="0"/>
        <v>-1/</v>
      </c>
      <c r="L23" s="22" t="e">
        <f>VLOOKUP(A23,'Trips&amp;Operators'!$C$1:$E$10000,3,FALSE)</f>
        <v>#N/A</v>
      </c>
      <c r="M23" s="6">
        <f t="shared" si="1"/>
        <v>0</v>
      </c>
      <c r="N23" s="7"/>
      <c r="O23" s="7"/>
      <c r="P23" s="7">
        <v>1</v>
      </c>
      <c r="Q23" s="23"/>
      <c r="R23" s="23" t="s">
        <v>807</v>
      </c>
      <c r="S23" s="35">
        <f t="shared" si="2"/>
        <v>0</v>
      </c>
      <c r="T23" s="50" t="str">
        <f t="shared" si="3"/>
        <v>NorthBound</v>
      </c>
      <c r="U23" s="16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04:23:05-700',mode:absolute,to:'1900-01-00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3" s="52" t="str">
        <f t="shared" si="5"/>
        <v>Y</v>
      </c>
      <c r="X23" s="174">
        <f t="shared" ref="X23:X25" si="21">VALUE(LEFT(AD23,4))-VALUE(LEFT(AD22,4))</f>
        <v>1</v>
      </c>
      <c r="Y23" s="67">
        <v>0</v>
      </c>
      <c r="Z23" s="67">
        <v>0</v>
      </c>
      <c r="AA23" s="67">
        <f t="shared" si="7"/>
        <v>0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8"/>
        <v>0111-07</v>
      </c>
      <c r="AE23" s="91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3" s="88" t="str">
        <f t="shared" si="10"/>
        <v>"C:\Program Files (x86)\AstroGrep\AstroGrep.exe" /spath="%USERPROFILE%\AppData\Local\Temp\OnboardLogs" /stypes="app**19000100*" /stext=" 07:.+((SYSTEM_STATE.+slice.+state.+changed )|(ment ac)|(system.+state.+changed )|(\[timeout)|(PRM\|1\|D)|(kpr)|(kdp)|(\|loc)|(penalty))" /e /r /s</v>
      </c>
      <c r="AG23" s="1" t="str">
        <f t="shared" si="11"/>
        <v>EC</v>
      </c>
      <c r="AH23" s="92" t="str">
        <f t="shared" ref="AH23" si="22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111-07 --locoid  --swversion DE.1.0.8.0 --startMP 204:232974 --initTime 2016-11-07T05:23:05 --startdatetime 1900-01-00T00:00:00 --delay 1 --endMP 204:154 --enddatetime 1900-01-00T00:00:00 --enforcementcount 0 &gt;&gt;C:\Users\stu\Documents\GitHub\eaglep3-reporting\EC\2016-11-07-refined-times.txt</v>
      </c>
      <c r="AI23" s="120" t="str">
        <f t="shared" ref="AI23" si="23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{"issue":{"subject":"Did not init, not found in incidents","project_id":79,"tracker_id":40,"status_id":1,"priority_id":2,"assigned_to_id":23,"start_date":"1900-01-00","description":"","custom_fields":[{"id":1,"name":"Subdivision","value":"EC"},{"id":4,"name":"Milepost","value":"0"},{"id":17,"name":"Train ID","value":"111-07"},{"id":16,"name":"Locomotive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</row>
    <row r="24" spans="1:91" s="1" customFormat="1" x14ac:dyDescent="0.25">
      <c r="A24" s="37" t="s">
        <v>452</v>
      </c>
      <c r="B24" s="7">
        <v>4001</v>
      </c>
      <c r="C24" s="22" t="s">
        <v>237</v>
      </c>
      <c r="D24" s="22" t="s">
        <v>635</v>
      </c>
      <c r="E24" s="13">
        <v>42681.235717592594</v>
      </c>
      <c r="F24" s="13">
        <v>42681.247384259259</v>
      </c>
      <c r="G24" s="7">
        <v>1</v>
      </c>
      <c r="H24" s="22" t="s">
        <v>203</v>
      </c>
      <c r="I24" s="13">
        <v>42681.276516203703</v>
      </c>
      <c r="J24" s="7">
        <v>0</v>
      </c>
      <c r="K24" s="110" t="str">
        <f t="shared" si="0"/>
        <v>4001/4002</v>
      </c>
      <c r="L24" s="22" t="str">
        <f>VLOOKUP(A24,'Trips&amp;Operators'!$C$1:$E$10000,3,FALSE)</f>
        <v>ROBINSON</v>
      </c>
      <c r="M24" s="6">
        <f t="shared" si="1"/>
        <v>2.9131944444088731E-2</v>
      </c>
      <c r="N24" s="7">
        <f t="shared" ref="N24:N30" si="24">24*60*SUM($M24:$M24)</f>
        <v>41.949999999487773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6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04:39:26-700',mode:absolute,to:'2016-11-07 07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2" t="str">
        <f t="shared" si="5"/>
        <v>N</v>
      </c>
      <c r="X24" s="174">
        <f t="shared" si="21"/>
        <v>1</v>
      </c>
      <c r="Y24" s="67">
        <f t="shared" ref="Y24:Y30" si="25">RIGHT(D24,LEN(D24)-4)/10000</f>
        <v>23.297799999999999</v>
      </c>
      <c r="Z24" s="67">
        <f t="shared" ref="Z24:Z30" si="26">RIGHT(H24,LEN(H24)-4)/10000</f>
        <v>1.4500000000000001E-2</v>
      </c>
      <c r="AA24" s="67">
        <f t="shared" si="7"/>
        <v>23.283299999999997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8"/>
        <v>0112-07</v>
      </c>
      <c r="AE24" s="91" t="str">
        <f t="shared" si="9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24" s="88" t="str">
        <f t="shared" si="10"/>
        <v>"C:\Program Files (x86)\AstroGrep\AstroGrep.exe" /spath="%USERPROFILE%\AppData\Local\Temp\OnboardLogs" /stypes="app*4001*20161107*" /stext=" 13:.+((SYSTEM_STATE.+slice.+state.+changed )|(ment ac)|(system.+state.+changed )|(\[timeout)|(PRM\|1\|D)|(kpr)|(kdp)|(\|loc)|(penalty))" /e /r /s</v>
      </c>
      <c r="AG24" s="1" t="str">
        <f t="shared" si="11"/>
        <v>EC</v>
      </c>
      <c r="AH24" s="92" t="str">
        <f t="shared" si="14"/>
        <v>"%USERPROFILE%\Documents\GitHub\eaglep3\Utilities\RefineRTDCRunTimes.py" --tripid 112-07 --locoid 4001 --swversion DE.1.0.8.0 --startMP 204:232978 --initTime 2016-11-07T05:39:26 --startdatetime 2016-11-07T05:56:14 --delay 1 --endMP 204:145 --enddatetime 2016-11-07T06:38:11 --enforcementcount 0 &gt;&gt;C:\Users\stu\Documents\GitHub\eaglep3-reporting\EC\2016-11-07-refined-times.txt</v>
      </c>
      <c r="AI24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{"issue":{"subject":"","project_id":79,"tracker_id":40,"status_id":1,"priority_id":2,"assigned_to_id":23,"start_date":"2016-11-07","description":"","custom_fields":[{"id":1,"name":"Subdivision","value":"EC"},{"id":4,"name":"Milepost","value":"0.0145"},{"id":17,"name":"Train ID","value":"112-07"},{"id":16,"name":"Locomotive ID","value":"4001"},{"id":130,"name":"Impact","value":""},{"id":150,"name":"Time of Event (Mountain Time)","value":"06:38:11"},{"id":151,"name":"Denver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448</v>
      </c>
      <c r="B25" s="7">
        <v>4014</v>
      </c>
      <c r="C25" s="22" t="s">
        <v>237</v>
      </c>
      <c r="D25" s="22" t="s">
        <v>371</v>
      </c>
      <c r="E25" s="13">
        <v>42681.205416666664</v>
      </c>
      <c r="F25" s="13">
        <v>42681.218935185185</v>
      </c>
      <c r="G25" s="7">
        <v>2</v>
      </c>
      <c r="H25" s="22" t="s">
        <v>301</v>
      </c>
      <c r="I25" s="13">
        <v>42681.244016203702</v>
      </c>
      <c r="J25" s="7">
        <v>0</v>
      </c>
      <c r="K25" s="110" t="str">
        <f t="shared" si="0"/>
        <v>4013/4014</v>
      </c>
      <c r="L25" s="22" t="str">
        <f>VLOOKUP(A25,'Trips&amp;Operators'!$C$1:$E$10000,3,FALSE)</f>
        <v>RICHARDSON</v>
      </c>
      <c r="M25" s="6">
        <f t="shared" si="1"/>
        <v>2.5081018517084885E-2</v>
      </c>
      <c r="N25" s="7">
        <f t="shared" si="24"/>
        <v>36.116666664602235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6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03:55:48-700',mode:absolute,to:'2016-11-07 06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2" t="str">
        <f t="shared" si="5"/>
        <v>N</v>
      </c>
      <c r="X25" s="174">
        <f t="shared" si="21"/>
        <v>1</v>
      </c>
      <c r="Y25" s="67">
        <f t="shared" si="25"/>
        <v>4.3999999999999997E-2</v>
      </c>
      <c r="Z25" s="67">
        <f t="shared" si="26"/>
        <v>23.3306</v>
      </c>
      <c r="AA25" s="67">
        <f t="shared" si="7"/>
        <v>23.2866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8"/>
        <v>0113-07</v>
      </c>
      <c r="AE25" s="91" t="str">
        <f t="shared" si="9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25" s="88" t="str">
        <f t="shared" si="10"/>
        <v>"C:\Program Files (x86)\AstroGrep\AstroGrep.exe" /spath="%USERPROFILE%\AppData\Local\Temp\OnboardLogs" /stypes="app*4014*20161107*" /stext=" 12:.+((SYSTEM_STATE.+slice.+state.+changed )|(ment ac)|(system.+state.+changed )|(\[timeout)|(PRM\|1\|D)|(kpr)|(kdp)|(\|loc)|(penalty))" /e /r /s</v>
      </c>
      <c r="AG25" s="1" t="str">
        <f t="shared" si="11"/>
        <v>EC</v>
      </c>
      <c r="AH25" s="92" t="str">
        <f t="shared" si="14"/>
        <v>"%USERPROFILE%\Documents\GitHub\eaglep3\Utilities\RefineRTDCRunTimes.py" --tripid 113-07 --locoid 4014 --swversion DE.1.0.8.0 --startMP 204:440 --initTime 2016-11-07T04:55:48 --startdatetime 2016-11-07T05:15:16 --delay 2 --endMP 204:233306 --enddatetime 2016-11-07T05:51:23 --enforcementcount 0 &gt;&gt;C:\Users\stu\Documents\GitHub\eaglep3-reporting\EC\2016-11-07-refined-times.txt</v>
      </c>
      <c r="AI2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{"issue":{"subject":"","project_id":79,"tracker_id":40,"status_id":1,"priority_id":2,"assigned_to_id":23,"start_date":"2016-11-07","description":"","custom_fields":[{"id":1,"name":"Subdivision","value":"EC"},{"id":4,"name":"Milepost","value":"23.3306"},{"id":17,"name":"Train ID","value":"113-07"},{"id":16,"name":"Locomotive ID","value":"4014"},{"id":130,"name":"Impact","value":""},{"id":150,"name":"Time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454</v>
      </c>
      <c r="B26" s="7">
        <v>4013</v>
      </c>
      <c r="C26" s="22" t="s">
        <v>237</v>
      </c>
      <c r="D26" s="22" t="s">
        <v>315</v>
      </c>
      <c r="E26" s="13">
        <v>42681.252060185187</v>
      </c>
      <c r="F26" s="13">
        <v>42681.2578125</v>
      </c>
      <c r="G26" s="7">
        <v>1</v>
      </c>
      <c r="H26" s="22" t="s">
        <v>204</v>
      </c>
      <c r="I26" s="13">
        <v>42681.284398148149</v>
      </c>
      <c r="J26" s="7">
        <v>0</v>
      </c>
      <c r="K26" s="110" t="str">
        <f t="shared" si="0"/>
        <v>4013/4014</v>
      </c>
      <c r="L26" s="22" t="str">
        <f>VLOOKUP(A26,'Trips&amp;Operators'!$C$1:$E$10000,3,FALSE)</f>
        <v>RICHARDSON</v>
      </c>
      <c r="M26" s="6">
        <f t="shared" si="1"/>
        <v>2.658564814919373E-2</v>
      </c>
      <c r="N26" s="7">
        <f t="shared" si="24"/>
        <v>38.283333334838971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6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05:02:58-700',mode:absolute,to:'2016-11-07 07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2" t="str">
        <f t="shared" si="5"/>
        <v>N</v>
      </c>
      <c r="X26" s="174">
        <f t="shared" ref="X26:X44" si="27">VALUE(LEFT(AD26,4))-VALUE(LEFT(AD25,4))</f>
        <v>1</v>
      </c>
      <c r="Y26" s="67">
        <f t="shared" si="25"/>
        <v>23.2989</v>
      </c>
      <c r="Z26" s="67">
        <f t="shared" si="26"/>
        <v>1.49E-2</v>
      </c>
      <c r="AA26" s="67">
        <f t="shared" si="7"/>
        <v>23.283999999999999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8"/>
        <v>0114-07</v>
      </c>
      <c r="AE26" s="91" t="str">
        <f t="shared" si="9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26" s="88" t="str">
        <f t="shared" si="10"/>
        <v>"C:\Program Files (x86)\AstroGrep\AstroGrep.exe" /spath="%USERPROFILE%\AppData\Local\Temp\OnboardLogs" /stypes="app*4013*20161107*" /stext=" 13:.+((SYSTEM_STATE.+slice.+state.+changed )|(ment ac)|(system.+state.+changed )|(\[timeout)|(PRM\|1\|D)|(kpr)|(kdp)|(\|loc)|(penalty))" /e /r /s</v>
      </c>
      <c r="AG26" s="1" t="str">
        <f t="shared" si="11"/>
        <v>EC</v>
      </c>
      <c r="AH26" s="92" t="str">
        <f t="shared" si="14"/>
        <v>"%USERPROFILE%\Documents\GitHub\eaglep3\Utilities\RefineRTDCRunTimes.py" --tripid 114-07 --locoid 4013 --swversion DE.1.0.8.0 --startMP 204:232989 --initTime 2016-11-07T06:02:58 --startdatetime 2016-11-07T06:11:15 --delay 1 --endMP 204:149 --enddatetime 2016-11-07T06:49:32 --enforcementcount 0 &gt;&gt;C:\Users\stu\Documents\GitHub\eaglep3-reporting\EC\2016-11-07-refined-times.txt</v>
      </c>
      <c r="AI2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ID","value":"114-07"},{"id":16,"name":"Locomotive ID","value":"4013"},{"id":130,"name":"Impact","value":""},{"id":150,"name":"Time of Event (Mountain Time)","value":"06:49:32"},{"id":151,"name":"Denver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450</v>
      </c>
      <c r="B27" s="7">
        <v>4046</v>
      </c>
      <c r="C27" s="22" t="s">
        <v>237</v>
      </c>
      <c r="D27" s="22" t="s">
        <v>358</v>
      </c>
      <c r="E27" s="13">
        <v>42681.225810185184</v>
      </c>
      <c r="F27" s="13">
        <v>42681.268275462964</v>
      </c>
      <c r="G27" s="7">
        <v>1</v>
      </c>
      <c r="H27" s="22" t="s">
        <v>229</v>
      </c>
      <c r="I27" s="13">
        <v>42681.297627314816</v>
      </c>
      <c r="J27" s="7">
        <v>0</v>
      </c>
      <c r="K27" s="110" t="str">
        <f t="shared" si="0"/>
        <v>4045/4046</v>
      </c>
      <c r="L27" s="22" t="str">
        <f>VLOOKUP(A27,'Trips&amp;Operators'!$C$1:$E$10000,3,FALSE)</f>
        <v>MALAVE</v>
      </c>
      <c r="M27" s="6">
        <f t="shared" si="1"/>
        <v>2.9351851851970423E-2</v>
      </c>
      <c r="N27" s="7">
        <f t="shared" si="24"/>
        <v>42.266666666837409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6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04:25:10-700',mode:absolute,to:'2016-11-07 08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7" s="52" t="str">
        <f t="shared" si="5"/>
        <v>N</v>
      </c>
      <c r="X27" s="174">
        <f t="shared" si="27"/>
        <v>1</v>
      </c>
      <c r="Y27" s="67">
        <f t="shared" si="25"/>
        <v>7.6300000000000007E-2</v>
      </c>
      <c r="Z27" s="67">
        <f t="shared" si="26"/>
        <v>23.3291</v>
      </c>
      <c r="AA27" s="67">
        <f t="shared" si="7"/>
        <v>23.252800000000001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8"/>
        <v>0115-07</v>
      </c>
      <c r="AE27" s="91" t="str">
        <f t="shared" si="9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27" s="88" t="str">
        <f t="shared" si="10"/>
        <v>"C:\Program Files (x86)\AstroGrep\AstroGrep.exe" /spath="%USERPROFILE%\AppData\Local\Temp\OnboardLogs" /stypes="app*4046*20161107*" /stext=" 14:.+((SYSTEM_STATE.+slice.+state.+changed )|(ment ac)|(system.+state.+changed )|(\[timeout)|(PRM\|1\|D)|(kpr)|(kdp)|(\|loc)|(penalty))" /e /r /s</v>
      </c>
      <c r="AG27" s="1" t="str">
        <f t="shared" si="11"/>
        <v>EC</v>
      </c>
      <c r="AH27" s="92" t="str">
        <f t="shared" si="14"/>
        <v>"%USERPROFILE%\Documents\GitHub\eaglep3\Utilities\RefineRTDCRunTimes.py" --tripid 115-07 --locoid 4046 --swversion DE.1.0.8.0 --startMP 204:763 --initTime 2016-11-07T05:25:10 --startdatetime 2016-11-07T06:26:19 --delay 1 --endMP 204:233291 --enddatetime 2016-11-07T07:08:35 --enforcementcount 0 &gt;&gt;C:\Users\stu\Documents\GitHub\eaglep3-reporting\EC\2016-11-07-refined-times.txt</v>
      </c>
      <c r="AI2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ID","value":"115-07"},{"id":16,"name":"Locomotive ID","value":"4046"},{"id":130,"name":"Impact","value":""},{"id":150,"name":"Time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460</v>
      </c>
      <c r="B28" s="7">
        <v>4045</v>
      </c>
      <c r="C28" s="22" t="s">
        <v>237</v>
      </c>
      <c r="D28" s="22" t="s">
        <v>359</v>
      </c>
      <c r="E28" s="13">
        <v>42681.266446759262</v>
      </c>
      <c r="F28" s="13">
        <v>42681.268275462964</v>
      </c>
      <c r="G28" s="7">
        <v>1</v>
      </c>
      <c r="H28" s="22" t="s">
        <v>327</v>
      </c>
      <c r="I28" s="13">
        <v>42681.297627314816</v>
      </c>
      <c r="J28" s="7">
        <v>0</v>
      </c>
      <c r="K28" s="110" t="str">
        <f t="shared" si="0"/>
        <v>4045/4046</v>
      </c>
      <c r="L28" s="22" t="str">
        <f>VLOOKUP(A28,'Trips&amp;Operators'!$C$1:$E$10000,3,FALSE)</f>
        <v>MALAVE</v>
      </c>
      <c r="M28" s="6">
        <f t="shared" si="1"/>
        <v>2.9351851851970423E-2</v>
      </c>
      <c r="N28" s="7">
        <f t="shared" si="24"/>
        <v>42.266666666837409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6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05:23:41-700',mode:absolute,to:'2016-11-07 08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8" s="52" t="str">
        <f t="shared" si="5"/>
        <v>N</v>
      </c>
      <c r="X28" s="174">
        <f t="shared" si="27"/>
        <v>1</v>
      </c>
      <c r="Y28" s="67">
        <f t="shared" si="25"/>
        <v>23.296099999999999</v>
      </c>
      <c r="Z28" s="67">
        <f t="shared" si="26"/>
        <v>1.6E-2</v>
      </c>
      <c r="AA28" s="67">
        <f t="shared" si="7"/>
        <v>23.280100000000001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8"/>
        <v>0116-07</v>
      </c>
      <c r="AE28" s="91" t="str">
        <f t="shared" si="9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28" s="88" t="str">
        <f t="shared" si="10"/>
        <v>"C:\Program Files (x86)\AstroGrep\AstroGrep.exe" /spath="%USERPROFILE%\AppData\Local\Temp\OnboardLogs" /stypes="app*4045*20161107*" /stext=" 14:.+((SYSTEM_STATE.+slice.+state.+changed )|(ment ac)|(system.+state.+changed )|(\[timeout)|(PRM\|1\|D)|(kpr)|(kdp)|(\|loc)|(penalty))" /e /r /s</v>
      </c>
      <c r="AG28" s="1" t="str">
        <f t="shared" si="11"/>
        <v>EC</v>
      </c>
      <c r="AH28" s="92" t="str">
        <f t="shared" si="14"/>
        <v>"%USERPROFILE%\Documents\GitHub\eaglep3\Utilities\RefineRTDCRunTimes.py" --tripid 116-07 --locoid 4045 --swversion DE.1.0.8.0 --startMP 204:232961 --initTime 2016-11-07T06:23:41 --startdatetime 2016-11-07T06:26:19 --delay 1 --endMP 204:160 --enddatetime 2016-11-07T07:08:35 --enforcementcount 0 &gt;&gt;C:\Users\stu\Documents\GitHub\eaglep3-reporting\EC\2016-11-07-refined-times.txt</v>
      </c>
      <c r="AI2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ID","value":"116-07"},{"id":16,"name":"Locomotive ID","value":"4045"},{"id":130,"name":"Impact","value":""},{"id":150,"name":"Time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451</v>
      </c>
      <c r="B29" s="7">
        <v>4053</v>
      </c>
      <c r="C29" s="22" t="s">
        <v>237</v>
      </c>
      <c r="D29" s="22" t="s">
        <v>208</v>
      </c>
      <c r="E29" s="13">
        <v>42681.233043981483</v>
      </c>
      <c r="F29" s="13">
        <v>42681.239872685182</v>
      </c>
      <c r="G29" s="7">
        <v>2</v>
      </c>
      <c r="H29" s="22" t="s">
        <v>210</v>
      </c>
      <c r="I29" s="13">
        <v>42681.264999999999</v>
      </c>
      <c r="J29" s="7">
        <v>0</v>
      </c>
      <c r="K29" s="110" t="str">
        <f t="shared" si="0"/>
        <v>4053/4054</v>
      </c>
      <c r="L29" s="22" t="str">
        <f>VLOOKUP(A29,'Trips&amp;Operators'!$C$1:$E$10000,3,FALSE)</f>
        <v>MCREYNOLDS</v>
      </c>
      <c r="M29" s="6">
        <f t="shared" si="1"/>
        <v>2.5127314816927537E-2</v>
      </c>
      <c r="N29" s="7">
        <f t="shared" si="24"/>
        <v>36.183333336375654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6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04:35:35-700',mode:absolute,to:'2016-11-07 07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9" s="52" t="str">
        <f t="shared" si="5"/>
        <v>N</v>
      </c>
      <c r="X29" s="174">
        <f t="shared" si="27"/>
        <v>1</v>
      </c>
      <c r="Y29" s="67">
        <f t="shared" si="25"/>
        <v>4.5499999999999999E-2</v>
      </c>
      <c r="Z29" s="67">
        <f t="shared" si="26"/>
        <v>23.329499999999999</v>
      </c>
      <c r="AA29" s="67">
        <f t="shared" si="7"/>
        <v>23.283999999999999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8"/>
        <v>0117-07</v>
      </c>
      <c r="AE29" s="91" t="str">
        <f t="shared" si="9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29" s="88" t="str">
        <f t="shared" si="10"/>
        <v>"C:\Program Files (x86)\AstroGrep\AstroGrep.exe" /spath="%USERPROFILE%\AppData\Local\Temp\OnboardLogs" /stypes="app*4053*20161107*" /stext=" 13:.+((SYSTEM_STATE.+slice.+state.+changed )|(ment ac)|(system.+state.+changed )|(\[timeout)|(PRM\|1\|D)|(kpr)|(kdp)|(\|loc)|(penalty))" /e /r /s</v>
      </c>
      <c r="AG29" s="1" t="str">
        <f t="shared" si="11"/>
        <v>EC</v>
      </c>
      <c r="AH29" s="92" t="str">
        <f t="shared" si="14"/>
        <v>"%USERPROFILE%\Documents\GitHub\eaglep3\Utilities\RefineRTDCRunTimes.py" --tripid 117-07 --locoid 4053 --swversion DE.1.0.8.0 --startMP 204:455 --initTime 2016-11-07T05:35:35 --startdatetime 2016-11-07T05:45:25 --delay 2 --endMP 204:233295 --enddatetime 2016-11-07T06:21:36 --enforcementcount 0 &gt;&gt;C:\Users\stu\Documents\GitHub\eaglep3-reporting\EC\2016-11-07-refined-times.txt</v>
      </c>
      <c r="AI2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ID","value":"117-07"},{"id":16,"name":"Locomotive ID","value":"4053"},{"id":130,"name":"Impact","value":""},{"id":150,"name":"Time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462</v>
      </c>
      <c r="B30" s="7">
        <v>4054</v>
      </c>
      <c r="C30" s="22" t="s">
        <v>237</v>
      </c>
      <c r="D30" s="22" t="s">
        <v>634</v>
      </c>
      <c r="E30" s="13">
        <v>42681.274988425925</v>
      </c>
      <c r="F30" s="13">
        <v>42681.278773148151</v>
      </c>
      <c r="G30" s="7">
        <v>1</v>
      </c>
      <c r="H30" s="22" t="s">
        <v>253</v>
      </c>
      <c r="I30" s="13">
        <v>42681.304675925923</v>
      </c>
      <c r="J30" s="7">
        <v>0</v>
      </c>
      <c r="K30" s="110" t="str">
        <f t="shared" si="0"/>
        <v>4053/4054</v>
      </c>
      <c r="L30" s="22" t="str">
        <f>VLOOKUP(A30,'Trips&amp;Operators'!$C$1:$E$10000,3,FALSE)</f>
        <v>MCREYNOLDS</v>
      </c>
      <c r="M30" s="6">
        <f t="shared" si="1"/>
        <v>2.5902777771989349E-2</v>
      </c>
      <c r="N30" s="7">
        <f t="shared" si="24"/>
        <v>37.299999991664663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6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05:35:59-700',mode:absolute,to:'2016-11-07 08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0" s="52" t="str">
        <f t="shared" si="5"/>
        <v>N</v>
      </c>
      <c r="X30" s="174">
        <f t="shared" si="27"/>
        <v>1</v>
      </c>
      <c r="Y30" s="67">
        <f t="shared" si="25"/>
        <v>23.2974</v>
      </c>
      <c r="Z30" s="67">
        <f t="shared" si="26"/>
        <v>1.5800000000000002E-2</v>
      </c>
      <c r="AA30" s="67">
        <f t="shared" si="7"/>
        <v>23.281600000000001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8"/>
        <v>0118-07</v>
      </c>
      <c r="AE30" s="91" t="str">
        <f t="shared" si="9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30" s="88" t="str">
        <f t="shared" si="10"/>
        <v>"C:\Program Files (x86)\AstroGrep\AstroGrep.exe" /spath="%USERPROFILE%\AppData\Local\Temp\OnboardLogs" /stypes="app*4054*20161107*" /stext=" 14:.+((SYSTEM_STATE.+slice.+state.+changed )|(ment ac)|(system.+state.+changed )|(\[timeout)|(PRM\|1\|D)|(kpr)|(kdp)|(\|loc)|(penalty))" /e /r /s</v>
      </c>
      <c r="AG30" s="1" t="str">
        <f t="shared" si="11"/>
        <v>EC</v>
      </c>
      <c r="AH30" s="92" t="str">
        <f t="shared" si="14"/>
        <v>"%USERPROFILE%\Documents\GitHub\eaglep3\Utilities\RefineRTDCRunTimes.py" --tripid 118-07 --locoid 4054 --swversion DE.1.0.8.0 --startMP 204:232974 --initTime 2016-11-07T06:35:59 --startdatetime 2016-11-07T06:41:26 --delay 1 --endMP 204:158 --enddatetime 2016-11-07T07:18:44 --enforcementcount 0 &gt;&gt;C:\Users\stu\Documents\GitHub\eaglep3-reporting\EC\2016-11-07-refined-times.txt</v>
      </c>
      <c r="AI3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ID","value":"118-07"},{"id":16,"name":"Locomotive ID","value":"4054"},{"id":130,"name":"Impact","value":""},{"id":150,"name":"Time of Event (Mountain Time)","value":"07:18:44"},{"id":151,"name":"Denver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808</v>
      </c>
      <c r="B31" s="7"/>
      <c r="C31" s="22" t="s">
        <v>237</v>
      </c>
      <c r="D31" s="22" t="s">
        <v>634</v>
      </c>
      <c r="E31" s="13">
        <v>42681.274988425925</v>
      </c>
      <c r="F31" s="13"/>
      <c r="G31" s="7">
        <v>1</v>
      </c>
      <c r="H31" s="22" t="s">
        <v>253</v>
      </c>
      <c r="I31" s="13"/>
      <c r="J31" s="7">
        <v>0</v>
      </c>
      <c r="K31" s="110" t="str">
        <f t="shared" si="0"/>
        <v>-1/</v>
      </c>
      <c r="L31" s="22" t="e">
        <f>VLOOKUP(A31,'Trips&amp;Operators'!$C$1:$E$10000,3,FALSE)</f>
        <v>#N/A</v>
      </c>
      <c r="M31" s="6">
        <f t="shared" si="1"/>
        <v>0</v>
      </c>
      <c r="N31" s="7"/>
      <c r="O31" s="7"/>
      <c r="P31" s="7">
        <v>1</v>
      </c>
      <c r="Q31" s="23"/>
      <c r="R31" s="23" t="s">
        <v>807</v>
      </c>
      <c r="S31" s="35">
        <f t="shared" si="2"/>
        <v>0</v>
      </c>
      <c r="T31" s="50" t="str">
        <f t="shared" si="3"/>
        <v>NorthBound</v>
      </c>
      <c r="U31" s="16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05:35:59-700',mode:absolute,to:'1900-01-00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1" s="52" t="str">
        <f t="shared" si="5"/>
        <v>Y</v>
      </c>
      <c r="X31" s="174">
        <f t="shared" si="27"/>
        <v>1</v>
      </c>
      <c r="Y31" s="67">
        <v>0</v>
      </c>
      <c r="Z31" s="67">
        <v>0</v>
      </c>
      <c r="AA31" s="67">
        <f t="shared" si="7"/>
        <v>0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8"/>
        <v>0119-07</v>
      </c>
      <c r="AE31" s="91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1" s="88" t="str">
        <f t="shared" si="10"/>
        <v>"C:\Program Files (x86)\AstroGrep\AstroGrep.exe" /spath="%USERPROFILE%\AppData\Local\Temp\OnboardLogs" /stypes="app**19000100*" /stext=" 07:.+((SYSTEM_STATE.+slice.+state.+changed )|(ment ac)|(system.+state.+changed )|(\[timeout)|(PRM\|1\|D)|(kpr)|(kdp)|(\|loc)|(penalty))" /e /r /s</v>
      </c>
      <c r="AG31" s="1" t="str">
        <f t="shared" si="11"/>
        <v>EC</v>
      </c>
      <c r="AH31" s="92" t="str">
        <f t="shared" ref="AH31" si="28"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119-07 --locoid  --swversion DE.1.0.8.0 --startMP 204:232974 --initTime 2016-11-07T06:35:59 --startdatetime 1900-01-00T00:00:00 --delay 1 --endMP 204:158 --enddatetime 1900-01-00T00:00:00 --enforcementcount 0 &gt;&gt;C:\Users\stu\Documents\GitHub\eaglep3-reporting\EC\2016-11-07-refined-times.txt</v>
      </c>
      <c r="AI31" s="120" t="str">
        <f t="shared" ref="AI31" si="29"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{"issue":{"subject":"Did not init, not found in incidents","project_id":79,"tracker_id":40,"status_id":1,"priority_id":2,"assigned_to_id":23,"start_date":"1900-01-00","description":"","custom_fields":[{"id":1,"name":"Subdivision","value":"EC"},{"id":4,"name":"Milepost","value":"0"},{"id":17,"name":"Train ID","value":"119-07"},{"id":16,"name":"Locomotive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7" t="s">
        <v>465</v>
      </c>
      <c r="B32" s="7">
        <v>4039</v>
      </c>
      <c r="C32" s="22" t="s">
        <v>237</v>
      </c>
      <c r="D32" s="22" t="s">
        <v>636</v>
      </c>
      <c r="E32" s="13">
        <v>42681.283877314818</v>
      </c>
      <c r="F32" s="13">
        <v>42681.289085648146</v>
      </c>
      <c r="G32" s="7">
        <v>2</v>
      </c>
      <c r="H32" s="22" t="s">
        <v>234</v>
      </c>
      <c r="I32" s="13">
        <v>42681.315868055557</v>
      </c>
      <c r="J32" s="7">
        <v>0</v>
      </c>
      <c r="K32" s="110" t="str">
        <f t="shared" si="0"/>
        <v>4039/4040</v>
      </c>
      <c r="L32" s="22" t="str">
        <f>VLOOKUP(A32,'Trips&amp;Operators'!$C$1:$E$10000,3,FALSE)</f>
        <v>PERKINS</v>
      </c>
      <c r="M32" s="6">
        <f t="shared" si="1"/>
        <v>2.6782407410792075E-2</v>
      </c>
      <c r="N32" s="7">
        <f>24*60*SUM($M32:$M32)</f>
        <v>38.566666671540588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6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05:48:47-700',mode:absolute,to:'2016-11-07 08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 t="shared" si="5"/>
        <v>N</v>
      </c>
      <c r="X32" s="174">
        <f t="shared" si="27"/>
        <v>1</v>
      </c>
      <c r="Y32" s="67">
        <f>RIGHT(D32,LEN(D32)-4)/10000</f>
        <v>23.2959</v>
      </c>
      <c r="Z32" s="67">
        <f>RIGHT(H32,LEN(H32)-4)/10000</f>
        <v>1.61E-2</v>
      </c>
      <c r="AA32" s="67">
        <f t="shared" si="7"/>
        <v>23.279799999999998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8"/>
        <v>0120-07</v>
      </c>
      <c r="AE32" s="91" t="str">
        <f t="shared" si="9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32" s="88" t="str">
        <f t="shared" si="10"/>
        <v>"C:\Program Files (x86)\AstroGrep\AstroGrep.exe" /spath="%USERPROFILE%\AppData\Local\Temp\OnboardLogs" /stypes="app*4039*20161107*" /stext=" 14:.+((SYSTEM_STATE.+slice.+state.+changed )|(ment ac)|(system.+state.+changed )|(\[timeout)|(PRM\|1\|D)|(kpr)|(kdp)|(\|loc)|(penalty))" /e /r /s</v>
      </c>
      <c r="AG32" s="1" t="str">
        <f t="shared" si="11"/>
        <v>EC</v>
      </c>
      <c r="AH32" s="92" t="str">
        <f t="shared" si="14"/>
        <v>"%USERPROFILE%\Documents\GitHub\eaglep3\Utilities\RefineRTDCRunTimes.py" --tripid 120-07 --locoid 4039 --swversion DE.1.0.8.0 --startMP 204:232959 --initTime 2016-11-07T06:48:47 --startdatetime 2016-11-07T06:56:17 --delay 2 --endMP 204:161 --enddatetime 2016-11-07T07:34:51 --enforcementcount 0 &gt;&gt;C:\Users\stu\Documents\GitHub\eaglep3-reporting\EC\2016-11-07-refined-times.txt</v>
      </c>
      <c r="AI3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{"issue":{"subject":"","project_id":79,"tracker_id":40,"status_id":1,"priority_id":2,"assigned_to_id":23,"start_date":"2016-11-07","description":"","custom_fields":[{"id":1,"name":"Subdivision","value":"EC"},{"id":4,"name":"Milepost","value":"0.0161"},{"id":17,"name":"Train ID","value":"120-07"},{"id":16,"name":"Locomotive ID","value":"4039"},{"id":130,"name":"Impact","value":""},{"id":150,"name":"Time of Event (Mountain Time)","value":"07:34:51"},{"id":151,"name":"Denver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459</v>
      </c>
      <c r="B33" s="7">
        <v>4031</v>
      </c>
      <c r="C33" s="22" t="s">
        <v>237</v>
      </c>
      <c r="D33" s="22" t="s">
        <v>228</v>
      </c>
      <c r="E33" s="13">
        <v>42681.266273148147</v>
      </c>
      <c r="F33" s="13">
        <v>42681.268067129633</v>
      </c>
      <c r="G33" s="7">
        <v>1</v>
      </c>
      <c r="H33" s="22" t="s">
        <v>229</v>
      </c>
      <c r="I33" s="13">
        <v>42681.295567129629</v>
      </c>
      <c r="J33" s="7">
        <v>0</v>
      </c>
      <c r="K33" s="110" t="str">
        <f t="shared" si="0"/>
        <v>4031/4032</v>
      </c>
      <c r="L33" s="22" t="str">
        <f>VLOOKUP(A33,'Trips&amp;Operators'!$C$1:$E$10000,3,FALSE)</f>
        <v>JOHNSON</v>
      </c>
      <c r="M33" s="6">
        <f t="shared" si="1"/>
        <v>2.749999999650754E-2</v>
      </c>
      <c r="N33" s="7">
        <f>24*60*SUM($M33:$M33)</f>
        <v>39.599999994970858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6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05:23:26-700',mode:absolute,to:'2016-11-07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3" s="52" t="str">
        <f t="shared" si="5"/>
        <v>N</v>
      </c>
      <c r="X33" s="174">
        <f t="shared" si="27"/>
        <v>1</v>
      </c>
      <c r="Y33" s="67">
        <f>RIGHT(D33,LEN(D33)-4)/10000</f>
        <v>4.6199999999999998E-2</v>
      </c>
      <c r="Z33" s="67">
        <f>RIGHT(H33,LEN(H33)-4)/10000</f>
        <v>23.3291</v>
      </c>
      <c r="AA33" s="67">
        <f t="shared" si="7"/>
        <v>23.282900000000001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8"/>
        <v>0121-07</v>
      </c>
      <c r="AE33" s="91" t="str">
        <f t="shared" si="9"/>
        <v>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 &amp; 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</v>
      </c>
      <c r="AF33" s="88" t="str">
        <f t="shared" si="10"/>
        <v>"C:\Program Files (x86)\AstroGrep\AstroGrep.exe" /spath="%USERPROFILE%\AppData\Local\Temp\OnboardLogs" /stypes="app*4031*20161107*" /stext=" 14:.+((SYSTEM_STATE.+slice.+state.+changed )|(ment ac)|(system.+state.+changed )|(\[timeout)|(PRM\|1\|D)|(kpr)|(kdp)|(\|loc)|(penalty))" /e /r /s</v>
      </c>
      <c r="AG33" s="1" t="str">
        <f t="shared" si="11"/>
        <v>EC</v>
      </c>
      <c r="AH33" s="92" t="str">
        <f t="shared" si="14"/>
        <v>"%USERPROFILE%\Documents\GitHub\eaglep3\Utilities\RefineRTDCRunTimes.py" --tripid 121-07 --locoid 4031 --swversion DE.1.0.8.0 --startMP 204:462 --initTime 2016-11-07T06:23:26 --startdatetime 2016-11-07T06:26:01 --delay 1 --endMP 204:233291 --enddatetime 2016-11-07T07:05:37 --enforcementcount 0 &gt;&gt;C:\Users\stu\Documents\GitHub\eaglep3-reporting\EC\2016-11-07-refined-times.txt</v>
      </c>
      <c r="AI33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ID","value":"121-07"},{"id":16,"name":"Locomotive ID","value":"4031"},{"id":130,"name":"Impact","value":""},{"id":150,"name":"Time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809</v>
      </c>
      <c r="B34" s="7">
        <v>4032</v>
      </c>
      <c r="C34" s="22" t="s">
        <v>237</v>
      </c>
      <c r="D34" s="22" t="s">
        <v>228</v>
      </c>
      <c r="E34" s="13">
        <v>42681.266273148147</v>
      </c>
      <c r="F34" s="13">
        <v>42681.298611111109</v>
      </c>
      <c r="G34" s="7">
        <v>1</v>
      </c>
      <c r="H34" s="22" t="s">
        <v>229</v>
      </c>
      <c r="I34" s="13">
        <v>42681.299305555556</v>
      </c>
      <c r="J34" s="7">
        <v>0</v>
      </c>
      <c r="K34" s="110" t="str">
        <f t="shared" si="0"/>
        <v>4031/4032</v>
      </c>
      <c r="L34" s="22" t="e">
        <f>VLOOKUP(A34,'Trips&amp;Operators'!$C$1:$E$10000,3,FALSE)</f>
        <v>#N/A</v>
      </c>
      <c r="M34" s="6">
        <f t="shared" si="1"/>
        <v>6.944444467080757E-4</v>
      </c>
      <c r="N34" s="7"/>
      <c r="O34" s="7"/>
      <c r="P34" s="7">
        <v>1</v>
      </c>
      <c r="Q34" s="23"/>
      <c r="R34" s="23" t="s">
        <v>790</v>
      </c>
      <c r="S34" s="35">
        <f t="shared" si="2"/>
        <v>0</v>
      </c>
      <c r="T34" s="50" t="str">
        <f t="shared" si="3"/>
        <v>Southbound</v>
      </c>
      <c r="U34" s="16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05:23:26-700',mode:absolute,to:'2016-11-07 08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4" s="52" t="str">
        <f t="shared" si="5"/>
        <v>Y</v>
      </c>
      <c r="X34" s="174">
        <f t="shared" si="27"/>
        <v>1</v>
      </c>
      <c r="Y34" s="67">
        <v>0</v>
      </c>
      <c r="Z34" s="67">
        <v>0</v>
      </c>
      <c r="AA34" s="67">
        <f t="shared" si="7"/>
        <v>0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8"/>
        <v>0122-07</v>
      </c>
      <c r="AE34" s="91" t="str">
        <f t="shared" si="9"/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34" s="88" t="str">
        <f t="shared" si="10"/>
        <v>"C:\Program Files (x86)\AstroGrep\AstroGrep.exe" /spath="%USERPROFILE%\AppData\Local\Temp\OnboardLogs" /stypes="app*4032*20161107*" /stext=" 14:.+((SYSTEM_STATE.+slice.+state.+changed )|(ment ac)|(system.+state.+changed )|(\[timeout)|(PRM\|1\|D)|(kpr)|(kdp)|(\|loc)|(penalty))" /e /r /s</v>
      </c>
      <c r="AG34" s="1" t="str">
        <f t="shared" si="11"/>
        <v>EC</v>
      </c>
      <c r="AH34" s="92" t="str">
        <f t="shared" ref="AH34" si="30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122-07 --locoid 4032 --swversion DE.1.0.8.0 --startMP 204:462 --initTime 2016-11-07T06:23:26 --startdatetime 2016-11-07T07:10:00 --delay 1 --endMP 204:233291 --enddatetime 2016-11-07T07:11:00 --enforcementcount 0 &gt;&gt;C:\Users\stu\Documents\GitHub\eaglep3-reporting\EC\2016-11-07-refined-times.txt</v>
      </c>
      <c r="AI34" s="120" t="str">
        <f t="shared" ref="AI34" si="31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1d47a3a6-a1e2-4f8f-9bd0-2ad7f4cb0189.kml","custom_fields":[{"id":1,"name":"Subdivision","value":"EC"},{"id":4,"name":"Milepost","value":"0"},{"id":17,"name":"Train ID","value":"122-07"},{"id":16,"name":"Locomotive ID","value":"4032"},{"id":130,"name":"Impact","value":"Initialization Problem"},{"id":150,"name":"Time of Event (Mountain Time)","value":"07:11:00"},{"id":151,"name":"Denver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34" s="53" t="s">
        <v>810</v>
      </c>
      <c r="AK34" s="53" t="s">
        <v>133</v>
      </c>
      <c r="AL34" s="53" t="s">
        <v>138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</row>
    <row r="35" spans="1:91" s="1" customFormat="1" x14ac:dyDescent="0.25">
      <c r="A35" s="37" t="s">
        <v>461</v>
      </c>
      <c r="B35" s="7">
        <v>4007</v>
      </c>
      <c r="C35" s="22" t="s">
        <v>237</v>
      </c>
      <c r="D35" s="22" t="s">
        <v>235</v>
      </c>
      <c r="E35" s="13">
        <v>42681.272013888891</v>
      </c>
      <c r="F35" s="13">
        <v>42681.274155092593</v>
      </c>
      <c r="G35" s="7">
        <v>1</v>
      </c>
      <c r="H35" s="22" t="s">
        <v>365</v>
      </c>
      <c r="I35" s="13">
        <v>42681.302986111114</v>
      </c>
      <c r="J35" s="7">
        <v>0</v>
      </c>
      <c r="K35" s="110" t="str">
        <f t="shared" si="0"/>
        <v>4007/4008</v>
      </c>
      <c r="L35" s="22" t="str">
        <f>VLOOKUP(A35,'Trips&amp;Operators'!$C$1:$E$10000,3,FALSE)</f>
        <v>MACDONALD</v>
      </c>
      <c r="M35" s="6">
        <f t="shared" si="1"/>
        <v>2.8831018520577345E-2</v>
      </c>
      <c r="N35" s="7">
        <f t="shared" ref="N35:N66" si="32">24*60*SUM($M35:$M35)</f>
        <v>41.516666669631377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6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05:31:42-700',mode:absolute,to:'2016-11-07 08:16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 t="shared" si="5"/>
        <v>N</v>
      </c>
      <c r="X35" s="174">
        <f t="shared" si="27"/>
        <v>1</v>
      </c>
      <c r="Y35" s="67">
        <f t="shared" ref="Y35:Y98" si="33">RIGHT(D35,LEN(D35)-4)/10000</f>
        <v>4.6399999999999997E-2</v>
      </c>
      <c r="Z35" s="67">
        <f t="shared" ref="Z35:Z74" si="34">RIGHT(H35,LEN(H35)-4)/10000</f>
        <v>23.3276</v>
      </c>
      <c r="AA35" s="67">
        <f t="shared" si="7"/>
        <v>23.281200000000002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8"/>
        <v>0123-07</v>
      </c>
      <c r="AE35" s="91" t="str">
        <f t="shared" si="9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35" s="88" t="str">
        <f t="shared" si="10"/>
        <v>"C:\Program Files (x86)\AstroGrep\AstroGrep.exe" /spath="%USERPROFILE%\AppData\Local\Temp\OnboardLogs" /stypes="app*4007*20161107*" /stext=" 14:.+((SYSTEM_STATE.+slice.+state.+changed )|(ment ac)|(system.+state.+changed )|(\[timeout)|(PRM\|1\|D)|(kpr)|(kdp)|(\|loc)|(penalty))" /e /r /s</v>
      </c>
      <c r="AG35" s="1" t="str">
        <f t="shared" si="11"/>
        <v>EC</v>
      </c>
      <c r="AH35" s="92" t="str">
        <f t="shared" si="14"/>
        <v>"%USERPROFILE%\Documents\GitHub\eaglep3\Utilities\RefineRTDCRunTimes.py" --tripid 123-07 --locoid 4007 --swversion DE.1.0.8.0 --startMP 204:464 --initTime 2016-11-07T06:31:42 --startdatetime 2016-11-07T06:34:47 --delay 1 --endMP 204:233276 --enddatetime 2016-11-07T07:16:18 --enforcementcount 0 &gt;&gt;C:\Users\stu\Documents\GitHub\eaglep3-reporting\EC\2016-11-07-refined-times.txt</v>
      </c>
      <c r="AI3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{"issue":{"subject":"","project_id":79,"tracker_id":40,"status_id":1,"priority_id":2,"assigned_to_id":23,"start_date":"2016-11-07","description":"","custom_fields":[{"id":1,"name":"Subdivision","value":"EC"},{"id":4,"name":"Milepost","value":"23.3276"},{"id":17,"name":"Train ID","value":"123-07"},{"id":16,"name":"Locomotive ID","value":"4007"},{"id":130,"name":"Impact","value":""},{"id":150,"name":"Time of Event (Mountain Time)","value":"07:16:18"},{"id":151,"name":"Denver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469</v>
      </c>
      <c r="B36" s="7">
        <v>4008</v>
      </c>
      <c r="C36" s="22" t="s">
        <v>237</v>
      </c>
      <c r="D36" s="22" t="s">
        <v>329</v>
      </c>
      <c r="E36" s="13">
        <v>42681.304513888892</v>
      </c>
      <c r="F36" s="13">
        <v>42681.312800925924</v>
      </c>
      <c r="G36" s="7">
        <v>0</v>
      </c>
      <c r="H36" s="22" t="s">
        <v>223</v>
      </c>
      <c r="I36" s="13">
        <v>42681.338842592595</v>
      </c>
      <c r="J36" s="7">
        <v>0</v>
      </c>
      <c r="K36" s="110" t="str">
        <f t="shared" si="0"/>
        <v>4007/4008</v>
      </c>
      <c r="L36" s="22" t="str">
        <f>VLOOKUP(A36,'Trips&amp;Operators'!$C$1:$E$10000,3,FALSE)</f>
        <v>MACDONALD</v>
      </c>
      <c r="M36" s="6">
        <f t="shared" si="1"/>
        <v>2.6041666671517305E-2</v>
      </c>
      <c r="N36" s="7">
        <f t="shared" si="32"/>
        <v>37.500000006984919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6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06:18:30-700',mode:absolute,to:'2016-11-07 09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2" t="str">
        <f t="shared" si="5"/>
        <v>N</v>
      </c>
      <c r="X36" s="174">
        <f t="shared" si="27"/>
        <v>1</v>
      </c>
      <c r="Y36" s="67">
        <f t="shared" si="33"/>
        <v>23.296700000000001</v>
      </c>
      <c r="Z36" s="67">
        <f t="shared" si="34"/>
        <v>1.5599999999999999E-2</v>
      </c>
      <c r="AA36" s="67">
        <f t="shared" si="7"/>
        <v>23.281100000000002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8"/>
        <v>0124-07</v>
      </c>
      <c r="AE36" s="91" t="str">
        <f t="shared" si="9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36" s="88" t="str">
        <f t="shared" si="10"/>
        <v>"C:\Program Files (x86)\AstroGrep\AstroGrep.exe" /spath="%USERPROFILE%\AppData\Local\Temp\OnboardLogs" /stypes="app*4008*20161107*" /stext=" 15:.+((SYSTEM_STATE.+slice.+state.+changed )|(ment ac)|(system.+state.+changed )|(\[timeout)|(PRM\|1\|D)|(kpr)|(kdp)|(\|loc)|(penalty))" /e /r /s</v>
      </c>
      <c r="AG36" s="1" t="str">
        <f t="shared" si="11"/>
        <v>EC</v>
      </c>
      <c r="AH36" s="92" t="str">
        <f t="shared" si="14"/>
        <v>"%USERPROFILE%\Documents\GitHub\eaglep3\Utilities\RefineRTDCRunTimes.py" --tripid 124-07 --locoid 4008 --swversion DE.1.0.8.0 --startMP 204:232967 --initTime 2016-11-07T07:18:30 --startdatetime 2016-11-07T07:30:26 --delay 0 --endMP 204:156 --enddatetime 2016-11-07T08:07:56 --enforcementcount 0 &gt;&gt;C:\Users\stu\Documents\GitHub\eaglep3-reporting\EC\2016-11-07-refined-times.txt</v>
      </c>
      <c r="AI3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ID","value":"124-07"},{"id":16,"name":"Locomotive ID","value":"4008"},{"id":130,"name":"Impact","value":""},{"id":150,"name":"Time of Event (Mountain Time)","value":"08:07:56"},{"id":151,"name":"Denver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464</v>
      </c>
      <c r="B37" s="7">
        <v>4002</v>
      </c>
      <c r="C37" s="22" t="s">
        <v>237</v>
      </c>
      <c r="D37" s="22" t="s">
        <v>207</v>
      </c>
      <c r="E37" s="13">
        <v>42681.277789351851</v>
      </c>
      <c r="F37" s="13">
        <v>42681.281921296293</v>
      </c>
      <c r="G37" s="7">
        <v>1</v>
      </c>
      <c r="H37" s="22" t="s">
        <v>229</v>
      </c>
      <c r="I37" s="13">
        <v>42681.313078703701</v>
      </c>
      <c r="J37" s="7">
        <v>0</v>
      </c>
      <c r="K37" s="110" t="str">
        <f t="shared" si="0"/>
        <v>4001/4002</v>
      </c>
      <c r="L37" s="22" t="str">
        <f>VLOOKUP(A37,'Trips&amp;Operators'!$C$1:$E$10000,3,FALSE)</f>
        <v>ROBINSON</v>
      </c>
      <c r="M37" s="6">
        <f t="shared" si="1"/>
        <v>3.1157407407590654E-2</v>
      </c>
      <c r="N37" s="7">
        <f t="shared" si="32"/>
        <v>44.866666666930541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6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05:40:01-700',mode:absolute,to:'2016-11-07 08:30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2" t="str">
        <f t="shared" si="5"/>
        <v>N</v>
      </c>
      <c r="X37" s="174">
        <f t="shared" si="27"/>
        <v>1</v>
      </c>
      <c r="Y37" s="67">
        <f t="shared" si="33"/>
        <v>4.53E-2</v>
      </c>
      <c r="Z37" s="67">
        <f t="shared" si="34"/>
        <v>23.3291</v>
      </c>
      <c r="AA37" s="67">
        <f t="shared" si="7"/>
        <v>23.283799999999999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8"/>
        <v>0125-07</v>
      </c>
      <c r="AE37" s="91" t="str">
        <f t="shared" si="9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37" s="88" t="str">
        <f t="shared" si="10"/>
        <v>"C:\Program Files (x86)\AstroGrep\AstroGrep.exe" /spath="%USERPROFILE%\AppData\Local\Temp\OnboardLogs" /stypes="app*4002*20161107*" /stext=" 14:.+((SYSTEM_STATE.+slice.+state.+changed )|(ment ac)|(system.+state.+changed )|(\[timeout)|(PRM\|1\|D)|(kpr)|(kdp)|(\|loc)|(penalty))" /e /r /s</v>
      </c>
      <c r="AG37" s="1" t="str">
        <f t="shared" si="11"/>
        <v>EC</v>
      </c>
      <c r="AH37" s="92" t="str">
        <f t="shared" si="14"/>
        <v>"%USERPROFILE%\Documents\GitHub\eaglep3\Utilities\RefineRTDCRunTimes.py" --tripid 125-07 --locoid 4002 --swversion DE.1.0.8.0 --startMP 204:453 --initTime 2016-11-07T06:40:01 --startdatetime 2016-11-07T06:45:58 --delay 1 --endMP 204:233291 --enddatetime 2016-11-07T07:30:50 --enforcementcount 0 &gt;&gt;C:\Users\stu\Documents\GitHub\eaglep3-reporting\EC\2016-11-07-refined-times.txt</v>
      </c>
      <c r="AI3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ID","value":"125-07"},{"id":16,"name":"Locomotive ID","value":"4002"},{"id":130,"name":"Impact","value":""},{"id":150,"name":"Time of Event (Mountain Time)","value":"07:30:50"},{"id":151,"name":"Denver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405</v>
      </c>
      <c r="B38" s="7">
        <v>4001</v>
      </c>
      <c r="C38" s="22" t="s">
        <v>237</v>
      </c>
      <c r="D38" s="22" t="s">
        <v>394</v>
      </c>
      <c r="E38" s="13">
        <v>42681.316377314812</v>
      </c>
      <c r="F38" s="13">
        <v>42681.320370370369</v>
      </c>
      <c r="G38" s="7">
        <v>1</v>
      </c>
      <c r="H38" s="22" t="s">
        <v>204</v>
      </c>
      <c r="I38" s="13">
        <v>42681.347905092596</v>
      </c>
      <c r="J38" s="7">
        <v>0</v>
      </c>
      <c r="K38" s="110" t="str">
        <f t="shared" si="0"/>
        <v>4001/4002</v>
      </c>
      <c r="L38" s="22" t="str">
        <f>VLOOKUP(A38,'Trips&amp;Operators'!$C$1:$E$10000,3,FALSE)</f>
        <v>ROBINSON</v>
      </c>
      <c r="M38" s="6">
        <f t="shared" si="1"/>
        <v>2.7534722226846498E-2</v>
      </c>
      <c r="N38" s="7">
        <f t="shared" si="32"/>
        <v>39.650000006658956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6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06:35:35-700',mode:absolute,to:'2016-11-07 09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2" t="str">
        <f t="shared" si="5"/>
        <v>N</v>
      </c>
      <c r="X38" s="174">
        <f t="shared" si="27"/>
        <v>1</v>
      </c>
      <c r="Y38" s="67">
        <f t="shared" si="33"/>
        <v>23.297599999999999</v>
      </c>
      <c r="Z38" s="67">
        <f t="shared" si="34"/>
        <v>1.49E-2</v>
      </c>
      <c r="AA38" s="67">
        <f t="shared" si="7"/>
        <v>23.282699999999998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8"/>
        <v>0126-07</v>
      </c>
      <c r="AE38" s="91" t="str">
        <f t="shared" si="9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38" s="88" t="str">
        <f t="shared" si="10"/>
        <v>"C:\Program Files (x86)\AstroGrep\AstroGrep.exe" /spath="%USERPROFILE%\AppData\Local\Temp\OnboardLogs" /stypes="app*4001*20161107*" /stext=" 15:.+((SYSTEM_STATE.+slice.+state.+changed )|(ment ac)|(system.+state.+changed )|(\[timeout)|(PRM\|1\|D)|(kpr)|(kdp)|(\|loc)|(penalty))" /e /r /s</v>
      </c>
      <c r="AG38" s="1" t="str">
        <f t="shared" si="11"/>
        <v>EC</v>
      </c>
      <c r="AH38" s="92" t="str">
        <f t="shared" si="14"/>
        <v>"%USERPROFILE%\Documents\GitHub\eaglep3\Utilities\RefineRTDCRunTimes.py" --tripid 126-07 --locoid 4001 --swversion DE.1.0.8.0 --startMP 204:232976 --initTime 2016-11-07T07:35:35 --startdatetime 2016-11-07T07:41:20 --delay 1 --endMP 204:149 --enddatetime 2016-11-07T08:20:59 --enforcementcount 0 &gt;&gt;C:\Users\stu\Documents\GitHub\eaglep3-reporting\EC\2016-11-07-refined-times.txt</v>
      </c>
      <c r="AI3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ID","value":"126-07"},{"id":16,"name":"Locomotive ID","value":"4001"},{"id":130,"name":"Impact","value":""},{"id":150,"name":"Time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4014</v>
      </c>
      <c r="C39" s="22" t="s">
        <v>237</v>
      </c>
      <c r="D39" s="22" t="s">
        <v>208</v>
      </c>
      <c r="E39" s="13">
        <v>42681.285879629628</v>
      </c>
      <c r="F39" s="13">
        <v>42681.291851851849</v>
      </c>
      <c r="G39" s="7">
        <v>1</v>
      </c>
      <c r="H39" s="22" t="s">
        <v>396</v>
      </c>
      <c r="I39" s="13">
        <v>42681.320497685185</v>
      </c>
      <c r="J39" s="7">
        <v>0</v>
      </c>
      <c r="K39" s="110" t="str">
        <f t="shared" si="0"/>
        <v>4013/4014</v>
      </c>
      <c r="L39" s="22" t="str">
        <f>VLOOKUP(A39,'Trips&amp;Operators'!$C$1:$E$10000,3,FALSE)</f>
        <v>RICHARDSON</v>
      </c>
      <c r="M39" s="6">
        <f t="shared" si="1"/>
        <v>2.8645833335758653E-2</v>
      </c>
      <c r="N39" s="7">
        <f t="shared" si="32"/>
        <v>41.25000000349246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6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05:51:40-700',mode:absolute,to:'2016-11-07 08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52" t="str">
        <f t="shared" si="5"/>
        <v>N</v>
      </c>
      <c r="X39" s="174">
        <f t="shared" si="27"/>
        <v>1</v>
      </c>
      <c r="Y39" s="67">
        <f t="shared" si="33"/>
        <v>4.5499999999999999E-2</v>
      </c>
      <c r="Z39" s="67">
        <f t="shared" si="34"/>
        <v>23.3278</v>
      </c>
      <c r="AA39" s="67">
        <f t="shared" si="7"/>
        <v>23.282299999999999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8"/>
        <v>0127-07</v>
      </c>
      <c r="AE39" s="91" t="str">
        <f t="shared" si="9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39" s="88" t="str">
        <f t="shared" si="10"/>
        <v>"C:\Program Files (x86)\AstroGrep\AstroGrep.exe" /spath="%USERPROFILE%\AppData\Local\Temp\OnboardLogs" /stypes="app*4014*20161107*" /stext=" 14:.+((SYSTEM_STATE.+slice.+state.+changed )|(ment ac)|(system.+state.+changed )|(\[timeout)|(PRM\|1\|D)|(kpr)|(kdp)|(\|loc)|(penalty))" /e /r /s</v>
      </c>
      <c r="AG39" s="1" t="str">
        <f t="shared" si="11"/>
        <v>EC</v>
      </c>
      <c r="AH39" s="92" t="str">
        <f t="shared" si="14"/>
        <v>"%USERPROFILE%\Documents\GitHub\eaglep3\Utilities\RefineRTDCRunTimes.py" --tripid 127-07 --locoid 4014 --swversion DE.1.0.8.0 --startMP 204:455 --initTime 2016-11-07T06:51:40 --startdatetime 2016-11-07T07:00:16 --delay 1 --endMP 204:233278 --enddatetime 2016-11-07T07:41:31 --enforcementcount 0 &gt;&gt;C:\Users\stu\Documents\GitHub\eaglep3-reporting\EC\2016-11-07-refined-times.txt</v>
      </c>
      <c r="AI3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{"issue":{"subject":"","project_id":79,"tracker_id":40,"status_id":1,"priority_id":2,"assigned_to_id":23,"start_date":"2016-11-07","description":"","custom_fields":[{"id":1,"name":"Subdivision","value":"EC"},{"id":4,"name":"Milepost","value":"23.3278"},{"id":17,"name":"Train ID","value":"127-07"},{"id":16,"name":"Locomotive ID","value":"4014"},{"id":130,"name":"Impact","value":""},{"id":150,"name":"Time of Event (Mountain Time)","value":"07:41:31"},{"id":151,"name":"Denver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474</v>
      </c>
      <c r="B40" s="7">
        <v>4013</v>
      </c>
      <c r="C40" s="22" t="s">
        <v>237</v>
      </c>
      <c r="D40" s="22" t="s">
        <v>636</v>
      </c>
      <c r="E40" s="13">
        <v>42681.326527777775</v>
      </c>
      <c r="F40" s="13">
        <v>42681.330763888887</v>
      </c>
      <c r="G40" s="7">
        <v>1</v>
      </c>
      <c r="H40" s="22" t="s">
        <v>205</v>
      </c>
      <c r="I40" s="13">
        <v>42681.358298611114</v>
      </c>
      <c r="J40" s="7">
        <v>0</v>
      </c>
      <c r="K40" s="110" t="str">
        <f t="shared" si="0"/>
        <v>4013/4014</v>
      </c>
      <c r="L40" s="22" t="str">
        <f>VLOOKUP(A40,'Trips&amp;Operators'!$C$1:$E$10000,3,FALSE)</f>
        <v>RICHARDSON</v>
      </c>
      <c r="M40" s="6">
        <f t="shared" si="1"/>
        <v>2.7534722226846498E-2</v>
      </c>
      <c r="N40" s="7">
        <f t="shared" si="32"/>
        <v>39.650000006658956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6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06:50:12-700',mode:absolute,to:'2016-11-07 09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52" t="str">
        <f t="shared" si="5"/>
        <v>N</v>
      </c>
      <c r="X40" s="174">
        <f t="shared" si="27"/>
        <v>1</v>
      </c>
      <c r="Y40" s="67">
        <f t="shared" si="33"/>
        <v>23.2959</v>
      </c>
      <c r="Z40" s="67">
        <f t="shared" si="34"/>
        <v>1.43E-2</v>
      </c>
      <c r="AA40" s="67">
        <f t="shared" si="7"/>
        <v>23.281600000000001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8"/>
        <v>0128-07</v>
      </c>
      <c r="AE40" s="91" t="str">
        <f t="shared" si="9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40" s="88" t="str">
        <f t="shared" si="10"/>
        <v>"C:\Program Files (x86)\AstroGrep\AstroGrep.exe" /spath="%USERPROFILE%\AppData\Local\Temp\OnboardLogs" /stypes="app*4013*20161107*" /stext=" 15:.+((SYSTEM_STATE.+slice.+state.+changed )|(ment ac)|(system.+state.+changed )|(\[timeout)|(PRM\|1\|D)|(kpr)|(kdp)|(\|loc)|(penalty))" /e /r /s</v>
      </c>
      <c r="AG40" s="1" t="str">
        <f t="shared" si="11"/>
        <v>EC</v>
      </c>
      <c r="AH40" s="92" t="str">
        <f t="shared" si="14"/>
        <v>"%USERPROFILE%\Documents\GitHub\eaglep3\Utilities\RefineRTDCRunTimes.py" --tripid 128-07 --locoid 4013 --swversion DE.1.0.8.0 --startMP 204:232959 --initTime 2016-11-07T07:50:12 --startdatetime 2016-11-07T07:56:18 --delay 1 --endMP 204:143 --enddatetime 2016-11-07T08:35:57 --enforcementcount 0 &gt;&gt;C:\Users\stu\Documents\GitHub\eaglep3-reporting\EC\2016-11-07-refined-times.txt</v>
      </c>
      <c r="AI4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ID","value":"128-07"},{"id":16,"name":"Locomotive ID","value":"4013"},{"id":130,"name":"Impact","value":""},{"id":150,"name":"Time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4046</v>
      </c>
      <c r="C41" s="22" t="s">
        <v>237</v>
      </c>
      <c r="D41" s="22" t="s">
        <v>228</v>
      </c>
      <c r="E41" s="13">
        <v>42681.300787037035</v>
      </c>
      <c r="F41" s="13">
        <v>42681.302835648145</v>
      </c>
      <c r="G41" s="7">
        <v>1</v>
      </c>
      <c r="H41" s="22" t="s">
        <v>330</v>
      </c>
      <c r="I41" s="13">
        <v>42681.329479166663</v>
      </c>
      <c r="J41" s="7">
        <v>0</v>
      </c>
      <c r="K41" s="110" t="str">
        <f t="shared" si="0"/>
        <v>4045/4046</v>
      </c>
      <c r="L41" s="22" t="str">
        <f>VLOOKUP(A41,'Trips&amp;Operators'!$C$1:$E$10000,3,FALSE)</f>
        <v>MALAVE</v>
      </c>
      <c r="M41" s="6">
        <f t="shared" si="1"/>
        <v>2.6643518518540077E-2</v>
      </c>
      <c r="N41" s="7">
        <f t="shared" si="32"/>
        <v>38.366666666697711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6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06:13:08-700',mode:absolute,to:'2016-11-07 08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1" s="52" t="str">
        <f t="shared" si="5"/>
        <v>N</v>
      </c>
      <c r="X41" s="174">
        <f t="shared" si="27"/>
        <v>1</v>
      </c>
      <c r="Y41" s="67">
        <f t="shared" si="33"/>
        <v>4.6199999999999998E-2</v>
      </c>
      <c r="Z41" s="67">
        <f t="shared" si="34"/>
        <v>23.330400000000001</v>
      </c>
      <c r="AA41" s="67">
        <f t="shared" si="7"/>
        <v>23.284200000000002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8"/>
        <v>0129-07</v>
      </c>
      <c r="AE41" s="91" t="str">
        <f t="shared" si="9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41" s="88" t="str">
        <f t="shared" si="10"/>
        <v>"C:\Program Files (x86)\AstroGrep\AstroGrep.exe" /spath="%USERPROFILE%\AppData\Local\Temp\OnboardLogs" /stypes="app*4046*20161107*" /stext=" 14:.+((SYSTEM_STATE.+slice.+state.+changed )|(ment ac)|(system.+state.+changed )|(\[timeout)|(PRM\|1\|D)|(kpr)|(kdp)|(\|loc)|(penalty))" /e /r /s</v>
      </c>
      <c r="AG41" s="1" t="str">
        <f t="shared" si="11"/>
        <v>EC</v>
      </c>
      <c r="AH41" s="92" t="str">
        <f t="shared" si="14"/>
        <v>"%USERPROFILE%\Documents\GitHub\eaglep3\Utilities\RefineRTDCRunTimes.py" --tripid 129-07 --locoid 4046 --swversion DE.1.0.8.0 --startMP 204:462 --initTime 2016-11-07T07:13:08 --startdatetime 2016-11-07T07:16:05 --delay 1 --endMP 204:233304 --enddatetime 2016-11-07T07:54:27 --enforcementcount 0 &gt;&gt;C:\Users\stu\Documents\GitHub\eaglep3-reporting\EC\2016-11-07-refined-times.txt</v>
      </c>
      <c r="AI4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{"issue":{"subject":"","project_id":79,"tracker_id":40,"status_id":1,"priority_id":2,"assigned_to_id":23,"start_date":"2016-11-07","description":"","custom_fields":[{"id":1,"name":"Subdivision","value":"EC"},{"id":4,"name":"Milepost","value":"23.3304"},{"id":17,"name":"Train ID","value":"129-07"},{"id":16,"name":"Locomotive ID","value":"4046"},{"id":130,"name":"Impact","value":""},{"id":150,"name":"Time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407</v>
      </c>
      <c r="B42" s="7">
        <v>4045</v>
      </c>
      <c r="C42" s="22" t="s">
        <v>237</v>
      </c>
      <c r="D42" s="22" t="s">
        <v>221</v>
      </c>
      <c r="E42" s="13">
        <v>42681.339780092596</v>
      </c>
      <c r="F42" s="13">
        <v>42681.341261574074</v>
      </c>
      <c r="G42" s="7">
        <v>0</v>
      </c>
      <c r="H42" s="22" t="s">
        <v>204</v>
      </c>
      <c r="I42" s="13">
        <v>42681.369872685187</v>
      </c>
      <c r="J42" s="7">
        <v>0</v>
      </c>
      <c r="K42" s="110" t="str">
        <f t="shared" si="0"/>
        <v>4045/4046</v>
      </c>
      <c r="L42" s="22" t="str">
        <f>VLOOKUP(A42,'Trips&amp;Operators'!$C$1:$E$10000,3,FALSE)</f>
        <v>MALAVE</v>
      </c>
      <c r="M42" s="6">
        <f t="shared" si="1"/>
        <v>2.8611111112695653E-2</v>
      </c>
      <c r="N42" s="7">
        <f t="shared" si="32"/>
        <v>41.20000000228174</v>
      </c>
      <c r="O42" s="7"/>
      <c r="P42" s="7"/>
      <c r="Q42" s="23"/>
      <c r="R42" s="23"/>
      <c r="S42" s="35">
        <f t="shared" si="2"/>
        <v>1</v>
      </c>
      <c r="T42" s="50" t="str">
        <f t="shared" si="3"/>
        <v>Southbound</v>
      </c>
      <c r="U42" s="16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07:09:17-700',mode:absolute,to:'2016-11-07 09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2" s="52" t="str">
        <f t="shared" si="5"/>
        <v>N</v>
      </c>
      <c r="X42" s="174">
        <f t="shared" si="27"/>
        <v>1</v>
      </c>
      <c r="Y42" s="67">
        <f t="shared" si="33"/>
        <v>23.297699999999999</v>
      </c>
      <c r="Z42" s="67">
        <f t="shared" si="34"/>
        <v>1.49E-2</v>
      </c>
      <c r="AA42" s="67">
        <f t="shared" si="7"/>
        <v>23.282799999999998</v>
      </c>
      <c r="AB42" s="64" t="str">
        <f>VLOOKUP(A42,Enforcements!$C$7:$K$21,8,0)</f>
        <v>Bulletin (2)</v>
      </c>
      <c r="AC42" s="60" t="str">
        <f>VLOOKUP(A42,Enforcements!$C$7:$E$21,3,0)</f>
        <v>GRADE CROSSING</v>
      </c>
      <c r="AD42" s="61" t="str">
        <f t="shared" si="8"/>
        <v>0130-07</v>
      </c>
      <c r="AE42" s="91" t="str">
        <f t="shared" si="9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42" s="88" t="str">
        <f t="shared" si="10"/>
        <v>"C:\Program Files (x86)\AstroGrep\AstroGrep.exe" /spath="%USERPROFILE%\AppData\Local\Temp\OnboardLogs" /stypes="app*4045*20161107*" /stext=" 15:.+((SYSTEM_STATE.+slice.+state.+changed )|(ment ac)|(system.+state.+changed )|(\[timeout)|(PRM\|1\|D)|(kpr)|(kdp)|(\|loc)|(penalty))" /e /r /s</v>
      </c>
      <c r="AG42" s="1" t="str">
        <f t="shared" si="11"/>
        <v>EC</v>
      </c>
      <c r="AH42" s="92" t="str">
        <f t="shared" si="14"/>
        <v>"%USERPROFILE%\Documents\GitHub\eaglep3\Utilities\RefineRTDCRunTimes.py" --tripid 130-07 --locoid 4045 --swversion DE.1.0.8.0 --startMP 204:232977 --initTime 2016-11-07T08:09:17 --startdatetime 2016-11-07T08:11:25 --delay 0 --endMP 204:149 --enddatetime 2016-11-07T08:52:37 --enforcementcount 0 &gt;&gt;C:\Users\stu\Documents\GitHub\eaglep3-reporting\EC\2016-11-07-refined-times.txt</v>
      </c>
      <c r="AI4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ID","value":"130-07"},{"id":16,"name":"Locomotive ID","value":"4045"},{"id":130,"name":"Impact","value":""},{"id":150,"name":"Time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470</v>
      </c>
      <c r="B43" s="7">
        <v>4053</v>
      </c>
      <c r="C43" s="22" t="s">
        <v>237</v>
      </c>
      <c r="D43" s="22" t="s">
        <v>242</v>
      </c>
      <c r="E43" s="13">
        <v>42681.307164351849</v>
      </c>
      <c r="F43" s="13">
        <v>42681.312719907408</v>
      </c>
      <c r="G43" s="7">
        <v>1</v>
      </c>
      <c r="H43" s="22" t="s">
        <v>637</v>
      </c>
      <c r="I43" s="13">
        <v>42681.337442129632</v>
      </c>
      <c r="J43" s="7">
        <v>0</v>
      </c>
      <c r="K43" s="110" t="str">
        <f t="shared" si="0"/>
        <v>4053/4054</v>
      </c>
      <c r="L43" s="22" t="str">
        <f>VLOOKUP(A43,'Trips&amp;Operators'!$C$1:$E$10000,3,FALSE)</f>
        <v>MCREYNOLDS</v>
      </c>
      <c r="M43" s="6">
        <f t="shared" si="1"/>
        <v>2.4722222224227153E-2</v>
      </c>
      <c r="N43" s="7">
        <f t="shared" si="32"/>
        <v>35.6000000028871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6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06:22:19-700',mode:absolute,to:'2016-11-07 09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3" s="52" t="str">
        <f t="shared" si="5"/>
        <v>N</v>
      </c>
      <c r="X43" s="174">
        <f t="shared" si="27"/>
        <v>1</v>
      </c>
      <c r="Y43" s="67">
        <f t="shared" si="33"/>
        <v>4.58E-2</v>
      </c>
      <c r="Z43" s="67">
        <f t="shared" si="34"/>
        <v>23.327200000000001</v>
      </c>
      <c r="AA43" s="67">
        <f t="shared" si="7"/>
        <v>23.281400000000001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8"/>
        <v>0131-07</v>
      </c>
      <c r="AE43" s="91" t="str">
        <f t="shared" si="9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43" s="88" t="str">
        <f t="shared" si="10"/>
        <v>"C:\Program Files (x86)\AstroGrep\AstroGrep.exe" /spath="%USERPROFILE%\AppData\Local\Temp\OnboardLogs" /stypes="app*4053*20161107*" /stext=" 15:.+((SYSTEM_STATE.+slice.+state.+changed )|(ment ac)|(system.+state.+changed )|(\[timeout)|(PRM\|1\|D)|(kpr)|(kdp)|(\|loc)|(penalty))" /e /r /s</v>
      </c>
      <c r="AG43" s="1" t="str">
        <f t="shared" si="11"/>
        <v>EC</v>
      </c>
      <c r="AH43" s="92" t="str">
        <f t="shared" si="14"/>
        <v>"%USERPROFILE%\Documents\GitHub\eaglep3\Utilities\RefineRTDCRunTimes.py" --tripid 131-07 --locoid 4053 --swversion DE.1.0.8.0 --startMP 204:458 --initTime 2016-11-07T07:22:19 --startdatetime 2016-11-07T07:30:19 --delay 1 --endMP 204:233272 --enddatetime 2016-11-07T08:05:55 --enforcementcount 0 &gt;&gt;C:\Users\stu\Documents\GitHub\eaglep3-reporting\EC\2016-11-07-refined-times.txt</v>
      </c>
      <c r="AI43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{"issue":{"subject":"","project_id":79,"tracker_id":40,"status_id":1,"priority_id":2,"assigned_to_id":23,"start_date":"2016-11-07","description":"","custom_fields":[{"id":1,"name":"Subdivision","value":"EC"},{"id":4,"name":"Milepost","value":"23.3272"},{"id":17,"name":"Train ID","value":"131-07"},{"id":16,"name":"Locomotive ID","value":"4053"},{"id":130,"name":"Impact","value":""},{"id":150,"name":"Time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477</v>
      </c>
      <c r="B44" s="7">
        <v>4054</v>
      </c>
      <c r="C44" s="22" t="s">
        <v>237</v>
      </c>
      <c r="D44" s="22" t="s">
        <v>638</v>
      </c>
      <c r="E44" s="13">
        <v>42681.349305555559</v>
      </c>
      <c r="F44" s="13">
        <v>42681.352268518516</v>
      </c>
      <c r="G44" s="7">
        <v>1</v>
      </c>
      <c r="H44" s="22" t="s">
        <v>204</v>
      </c>
      <c r="I44" s="13">
        <v>42681.378622685188</v>
      </c>
      <c r="J44" s="7">
        <v>0</v>
      </c>
      <c r="K44" s="110" t="str">
        <f t="shared" si="0"/>
        <v>4053/4054</v>
      </c>
      <c r="L44" s="22" t="str">
        <f>VLOOKUP(A44,'Trips&amp;Operators'!$C$1:$E$10000,3,FALSE)</f>
        <v>MCREYNOLDS</v>
      </c>
      <c r="M44" s="6">
        <f t="shared" si="1"/>
        <v>2.6354166671808343E-2</v>
      </c>
      <c r="N44" s="7">
        <f t="shared" si="32"/>
        <v>37.950000007404014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6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07:23:00-700',mode:absolute,to:'2016-11-07 10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4" s="52" t="str">
        <f t="shared" si="5"/>
        <v>N</v>
      </c>
      <c r="X44" s="174">
        <f t="shared" si="27"/>
        <v>1</v>
      </c>
      <c r="Y44" s="67">
        <f t="shared" si="33"/>
        <v>23.296900000000001</v>
      </c>
      <c r="Z44" s="67">
        <f t="shared" si="34"/>
        <v>1.49E-2</v>
      </c>
      <c r="AA44" s="67">
        <f t="shared" si="7"/>
        <v>23.282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8"/>
        <v>0132-07</v>
      </c>
      <c r="AE44" s="91" t="str">
        <f t="shared" si="9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44" s="88" t="str">
        <f t="shared" si="10"/>
        <v>"C:\Program Files (x86)\AstroGrep\AstroGrep.exe" /spath="%USERPROFILE%\AppData\Local\Temp\OnboardLogs" /stypes="app*4054*20161107*" /stext=" 16:.+((SYSTEM_STATE.+slice.+state.+changed )|(ment ac)|(system.+state.+changed )|(\[timeout)|(PRM\|1\|D)|(kpr)|(kdp)|(\|loc)|(penalty))" /e /r /s</v>
      </c>
      <c r="AG44" s="1" t="str">
        <f t="shared" si="11"/>
        <v>EC</v>
      </c>
      <c r="AH44" s="92" t="str">
        <f t="shared" si="14"/>
        <v>"%USERPROFILE%\Documents\GitHub\eaglep3\Utilities\RefineRTDCRunTimes.py" --tripid 132-07 --locoid 4054 --swversion DE.1.0.8.0 --startMP 204:232969 --initTime 2016-11-07T08:23:00 --startdatetime 2016-11-07T08:27:16 --delay 1 --endMP 204:149 --enddatetime 2016-11-07T09:05:13 --enforcementcount 0 &gt;&gt;C:\Users\stu\Documents\GitHub\eaglep3-reporting\EC\2016-11-07-refined-times.txt</v>
      </c>
      <c r="AI44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ID","value":"132-07"},{"id":16,"name":"Locomotive ID","value":"4054"},{"id":130,"name":"Impact","value":""},{"id":150,"name":"Time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481</v>
      </c>
      <c r="B45" s="7">
        <v>4039</v>
      </c>
      <c r="C45" s="22" t="s">
        <v>237</v>
      </c>
      <c r="D45" s="22" t="s">
        <v>316</v>
      </c>
      <c r="E45" s="13">
        <v>42681.361006944448</v>
      </c>
      <c r="F45" s="13">
        <v>42681.362719907411</v>
      </c>
      <c r="G45" s="7">
        <v>1</v>
      </c>
      <c r="H45" s="22" t="s">
        <v>175</v>
      </c>
      <c r="I45" s="13">
        <v>42681.389328703706</v>
      </c>
      <c r="J45" s="7">
        <v>0</v>
      </c>
      <c r="K45" s="110" t="str">
        <f t="shared" si="0"/>
        <v>4039/4040</v>
      </c>
      <c r="L45" s="22" t="str">
        <f>VLOOKUP(A45,'Trips&amp;Operators'!$C$1:$E$10000,3,FALSE)</f>
        <v>PERKINS</v>
      </c>
      <c r="M45" s="6">
        <f t="shared" si="1"/>
        <v>2.6608796295477077E-2</v>
      </c>
      <c r="N45" s="7">
        <f t="shared" si="32"/>
        <v>38.316666665486991</v>
      </c>
      <c r="O45" s="7"/>
      <c r="P45" s="7"/>
      <c r="Q45" s="23"/>
      <c r="R45" s="23"/>
      <c r="S45" s="35">
        <f t="shared" ref="S45:S76" si="35">SUM(U45:U45)/IF(AG45="EC",12,1)</f>
        <v>1</v>
      </c>
      <c r="T45" s="50" t="str">
        <f t="shared" si="3"/>
        <v>Southbound</v>
      </c>
      <c r="U45" s="16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07:39:51-700',mode:absolute,to:'2016-11-07 10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5" s="52" t="str">
        <f t="shared" si="5"/>
        <v>N</v>
      </c>
      <c r="X45" s="174">
        <f t="shared" ref="X45:X47" si="36">VALUE(LEFT(AD45,4))-VALUE(LEFT(AD44,4))</f>
        <v>2</v>
      </c>
      <c r="Y45" s="67">
        <f t="shared" si="33"/>
        <v>23.299399999999999</v>
      </c>
      <c r="Z45" s="67">
        <f t="shared" si="34"/>
        <v>1.47E-2</v>
      </c>
      <c r="AA45" s="67">
        <f t="shared" si="7"/>
        <v>23.284699999999997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8"/>
        <v>0134-07</v>
      </c>
      <c r="AE45" s="91" t="str">
        <f t="shared" si="9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45" s="88" t="str">
        <f t="shared" si="10"/>
        <v>"C:\Program Files (x86)\AstroGrep\AstroGrep.exe" /spath="%USERPROFILE%\AppData\Local\Temp\OnboardLogs" /stypes="app*4039*20161107*" /stext=" 16:.+((SYSTEM_STATE.+slice.+state.+changed )|(ment ac)|(system.+state.+changed )|(\[timeout)|(PRM\|1\|D)|(kpr)|(kdp)|(\|loc)|(penalty))" /e /r /s</v>
      </c>
      <c r="AG45" s="1" t="str">
        <f t="shared" si="11"/>
        <v>EC</v>
      </c>
      <c r="AH45" s="92" t="str">
        <f t="shared" si="14"/>
        <v>"%USERPROFILE%\Documents\GitHub\eaglep3\Utilities\RefineRTDCRunTimes.py" --tripid 134-07 --locoid 4039 --swversion DE.1.0.8.0 --startMP 204:232994 --initTime 2016-11-07T08:39:51 --startdatetime 2016-11-07T08:42:19 --delay 1 --endMP 204:147 --enddatetime 2016-11-07T09:20:38 --enforcementcount 0 &gt;&gt;C:\Users\stu\Documents\GitHub\eaglep3-reporting\EC\2016-11-07-refined-times.txt</v>
      </c>
      <c r="AI4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ID","value":"134-07"},{"id":16,"name":"Locomotive ID","value":"4039"},{"id":130,"name":"Impact","value":""},{"id":150,"name":"Time of Event (Mountain Time)","value":"09:20:38"},{"id":151,"name":"Denver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472</v>
      </c>
      <c r="B46" s="7">
        <v>4025</v>
      </c>
      <c r="C46" s="22" t="s">
        <v>237</v>
      </c>
      <c r="D46" s="22" t="s">
        <v>207</v>
      </c>
      <c r="E46" s="13">
        <v>42681.325856481482</v>
      </c>
      <c r="F46" s="13">
        <v>42681.333738425928</v>
      </c>
      <c r="G46" s="7">
        <v>2</v>
      </c>
      <c r="H46" s="22" t="s">
        <v>190</v>
      </c>
      <c r="I46" s="13">
        <v>42681.359363425923</v>
      </c>
      <c r="J46" s="7">
        <v>0</v>
      </c>
      <c r="K46" s="110" t="str">
        <f t="shared" si="0"/>
        <v>4025/4026</v>
      </c>
      <c r="L46" s="22" t="str">
        <f>VLOOKUP(A46,'Trips&amp;Operators'!$C$1:$E$10000,3,FALSE)</f>
        <v>CUSHING</v>
      </c>
      <c r="M46" s="6">
        <f t="shared" si="1"/>
        <v>2.5624999994761311E-2</v>
      </c>
      <c r="N46" s="7">
        <f t="shared" si="32"/>
        <v>36.899999992456287</v>
      </c>
      <c r="O46" s="7"/>
      <c r="P46" s="7"/>
      <c r="Q46" s="23"/>
      <c r="R46" s="23"/>
      <c r="S46" s="35">
        <f t="shared" si="35"/>
        <v>1</v>
      </c>
      <c r="T46" s="50" t="str">
        <f t="shared" si="3"/>
        <v>NorthBound</v>
      </c>
      <c r="U46" s="16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06:49:14-700',mode:absolute,to:'2016-11-07 09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6" s="52" t="str">
        <f t="shared" si="5"/>
        <v>N</v>
      </c>
      <c r="X46" s="174">
        <f t="shared" si="36"/>
        <v>1</v>
      </c>
      <c r="Y46" s="67">
        <f t="shared" si="33"/>
        <v>4.53E-2</v>
      </c>
      <c r="Z46" s="67">
        <f t="shared" si="34"/>
        <v>23.329699999999999</v>
      </c>
      <c r="AA46" s="67">
        <f t="shared" si="7"/>
        <v>23.284399999999998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8"/>
        <v>0135-07</v>
      </c>
      <c r="AE46" s="91" t="str">
        <f t="shared" si="9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46" s="88" t="str">
        <f t="shared" si="10"/>
        <v>"C:\Program Files (x86)\AstroGrep\AstroGrep.exe" /spath="%USERPROFILE%\AppData\Local\Temp\OnboardLogs" /stypes="app*4025*20161107*" /stext=" 15:.+((SYSTEM_STATE.+slice.+state.+changed )|(ment ac)|(system.+state.+changed )|(\[timeout)|(PRM\|1\|D)|(kpr)|(kdp)|(\|loc)|(penalty))" /e /r /s</v>
      </c>
      <c r="AG46" s="1" t="str">
        <f t="shared" si="11"/>
        <v>EC</v>
      </c>
      <c r="AH46" s="92" t="str">
        <f t="shared" si="14"/>
        <v>"%USERPROFILE%\Documents\GitHub\eaglep3\Utilities\RefineRTDCRunTimes.py" --tripid 135-07 --locoid 4025 --swversion DE.1.0.8.0 --startMP 204:453 --initTime 2016-11-07T07:49:14 --startdatetime 2016-11-07T08:00:35 --delay 2 --endMP 204:233297 --enddatetime 2016-11-07T08:37:29 --enforcementcount 0 &gt;&gt;C:\Users\stu\Documents\GitHub\eaglep3-reporting\EC\2016-11-07-refined-times.txt</v>
      </c>
      <c r="AI4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ID","value":"135-07"},{"id":16,"name":"Locomotive ID","value":"4025"},{"id":130,"name":"Impact","value":""},{"id":150,"name":"Time of Event (Mountain Time)","value":"08:37:29"},{"id":151,"name":"Denver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483</v>
      </c>
      <c r="B47" s="7">
        <v>4026</v>
      </c>
      <c r="C47" s="22" t="s">
        <v>237</v>
      </c>
      <c r="D47" s="22" t="s">
        <v>317</v>
      </c>
      <c r="E47" s="13">
        <v>42681.367106481484</v>
      </c>
      <c r="F47" s="13">
        <v>42681.372650462959</v>
      </c>
      <c r="G47" s="7">
        <v>1</v>
      </c>
      <c r="H47" s="22" t="s">
        <v>176</v>
      </c>
      <c r="I47" s="13">
        <v>42681.399351851855</v>
      </c>
      <c r="J47" s="7">
        <v>0</v>
      </c>
      <c r="K47" s="110" t="str">
        <f t="shared" si="0"/>
        <v>4025/4026</v>
      </c>
      <c r="L47" s="22" t="str">
        <f>VLOOKUP(A47,'Trips&amp;Operators'!$C$1:$E$10000,3,FALSE)</f>
        <v>CUSHING</v>
      </c>
      <c r="M47" s="6">
        <f t="shared" si="1"/>
        <v>2.6701388895162381E-2</v>
      </c>
      <c r="N47" s="7">
        <f t="shared" si="32"/>
        <v>38.450000009033829</v>
      </c>
      <c r="O47" s="7"/>
      <c r="P47" s="7"/>
      <c r="Q47" s="23"/>
      <c r="R47" s="23"/>
      <c r="S47" s="35">
        <f t="shared" si="35"/>
        <v>1</v>
      </c>
      <c r="T47" s="50" t="str">
        <f t="shared" si="3"/>
        <v>Southbound</v>
      </c>
      <c r="U47" s="16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07:48:38-700',mode:absolute,to:'2016-11-07 10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7" s="52" t="str">
        <f t="shared" si="5"/>
        <v>N</v>
      </c>
      <c r="X47" s="174">
        <f t="shared" si="36"/>
        <v>1</v>
      </c>
      <c r="Y47" s="67">
        <f t="shared" si="33"/>
        <v>23.2986</v>
      </c>
      <c r="Z47" s="67">
        <f t="shared" si="34"/>
        <v>1.52E-2</v>
      </c>
      <c r="AA47" s="67">
        <f t="shared" si="7"/>
        <v>23.2834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8"/>
        <v>0136-07</v>
      </c>
      <c r="AE47" s="91" t="str">
        <f t="shared" si="9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47" s="88" t="str">
        <f t="shared" si="10"/>
        <v>"C:\Program Files (x86)\AstroGrep\AstroGrep.exe" /spath="%USERPROFILE%\AppData\Local\Temp\OnboardLogs" /stypes="app*4026*20161107*" /stext=" 16:.+((SYSTEM_STATE.+slice.+state.+changed )|(ment ac)|(system.+state.+changed )|(\[timeout)|(PRM\|1\|D)|(kpr)|(kdp)|(\|loc)|(penalty))" /e /r /s</v>
      </c>
      <c r="AG47" s="1" t="str">
        <f t="shared" si="11"/>
        <v>EC</v>
      </c>
      <c r="AH47" s="92" t="str">
        <f t="shared" si="14"/>
        <v>"%USERPROFILE%\Documents\GitHub\eaglep3\Utilities\RefineRTDCRunTimes.py" --tripid 136-07 --locoid 4026 --swversion DE.1.0.8.0 --startMP 204:232986 --initTime 2016-11-07T08:48:38 --startdatetime 2016-11-07T08:56:37 --delay 1 --endMP 204:152 --enddatetime 2016-11-07T09:35:04 --enforcementcount 0 &gt;&gt;C:\Users\stu\Documents\GitHub\eaglep3-reporting\EC\2016-11-07-refined-times.txt</v>
      </c>
      <c r="AI4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ID","value":"136-07"},{"id":16,"name":"Locomotive ID","value":"4026"},{"id":130,"name":"Impact","value":""},{"id":150,"name":"Time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4007</v>
      </c>
      <c r="C48" s="22" t="s">
        <v>237</v>
      </c>
      <c r="D48" s="22" t="s">
        <v>319</v>
      </c>
      <c r="E48" s="13">
        <v>42681.339907407404</v>
      </c>
      <c r="F48" s="13">
        <v>42681.343958333331</v>
      </c>
      <c r="G48" s="7">
        <v>1</v>
      </c>
      <c r="H48" s="22" t="s">
        <v>268</v>
      </c>
      <c r="I48" s="13">
        <v>42681.36791666667</v>
      </c>
      <c r="J48" s="7">
        <v>0</v>
      </c>
      <c r="K48" s="110" t="str">
        <f t="shared" si="0"/>
        <v>4007/4008</v>
      </c>
      <c r="L48" s="22" t="str">
        <f>VLOOKUP(A48,'Trips&amp;Operators'!$C$1:$E$10000,3,FALSE)</f>
        <v>MACDONALD</v>
      </c>
      <c r="M48" s="6">
        <f t="shared" si="1"/>
        <v>2.3958333338669036E-2</v>
      </c>
      <c r="N48" s="7">
        <f t="shared" si="32"/>
        <v>34.500000007683411</v>
      </c>
      <c r="O48" s="7"/>
      <c r="P48" s="7"/>
      <c r="Q48" s="23"/>
      <c r="R48" s="23"/>
      <c r="S48" s="35">
        <f t="shared" si="35"/>
        <v>1</v>
      </c>
      <c r="T48" s="50" t="str">
        <f t="shared" si="3"/>
        <v>NorthBound</v>
      </c>
      <c r="U48" s="16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07:09:28-700',mode:absolute,to:'2016-11-07 09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8" s="52" t="str">
        <f t="shared" si="5"/>
        <v>N</v>
      </c>
      <c r="X48" s="174">
        <f t="shared" ref="X48:X79" si="37">VALUE(LEFT(AD48,4))-VALUE(LEFT(AD47,4))</f>
        <v>1</v>
      </c>
      <c r="Y48" s="67">
        <f t="shared" si="33"/>
        <v>4.7100000000000003E-2</v>
      </c>
      <c r="Z48" s="67">
        <f t="shared" si="34"/>
        <v>23.329799999999999</v>
      </c>
      <c r="AA48" s="67">
        <f t="shared" si="7"/>
        <v>23.282699999999998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8"/>
        <v>0137-07</v>
      </c>
      <c r="AE48" s="91" t="str">
        <f t="shared" si="9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48" s="88" t="str">
        <f t="shared" si="10"/>
        <v>"C:\Program Files (x86)\AstroGrep\AstroGrep.exe" /spath="%USERPROFILE%\AppData\Local\Temp\OnboardLogs" /stypes="app*4007*20161107*" /stext=" 15:.+((SYSTEM_STATE.+slice.+state.+changed )|(ment ac)|(system.+state.+changed )|(\[timeout)|(PRM\|1\|D)|(kpr)|(kdp)|(\|loc)|(penalty))" /e /r /s</v>
      </c>
      <c r="AG48" s="1" t="str">
        <f t="shared" si="11"/>
        <v>EC</v>
      </c>
      <c r="AH48" s="92" t="str">
        <f t="shared" si="14"/>
        <v>"%USERPROFILE%\Documents\GitHub\eaglep3\Utilities\RefineRTDCRunTimes.py" --tripid 137-07 --locoid 4007 --swversion DE.1.0.8.0 --startMP 204:471 --initTime 2016-11-07T08:09:28 --startdatetime 2016-11-07T08:15:18 --delay 1 --endMP 204:233298 --enddatetime 2016-11-07T08:49:48 --enforcementcount 0 &gt;&gt;C:\Users\stu\Documents\GitHub\eaglep3-reporting\EC\2016-11-07-refined-times.txt</v>
      </c>
      <c r="AI4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{"issue":{"subject":"","project_id":79,"tracker_id":40,"status_id":1,"priority_id":2,"assigned_to_id":23,"start_date":"2016-11-07","description":"","custom_fields":[{"id":1,"name":"Subdivision","value":"EC"},{"id":4,"name":"Milepost","value":"23.3298"},{"id":17,"name":"Train ID","value":"137-07"},{"id":16,"name":"Locomotive ID","value":"4007"},{"id":130,"name":"Impact","value":""},{"id":150,"name":"Time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484</v>
      </c>
      <c r="B49" s="7">
        <v>4008</v>
      </c>
      <c r="C49" s="22" t="s">
        <v>237</v>
      </c>
      <c r="D49" s="22" t="s">
        <v>230</v>
      </c>
      <c r="E49" s="13">
        <v>42681.368958333333</v>
      </c>
      <c r="F49" s="13">
        <v>42681.383009259262</v>
      </c>
      <c r="G49" s="7">
        <v>1</v>
      </c>
      <c r="H49" s="22" t="s">
        <v>332</v>
      </c>
      <c r="I49" s="13">
        <v>42681.407812500001</v>
      </c>
      <c r="J49" s="7">
        <v>0</v>
      </c>
      <c r="K49" s="110" t="str">
        <f t="shared" si="0"/>
        <v>4007/4008</v>
      </c>
      <c r="L49" s="22" t="str">
        <f>VLOOKUP(A49,'Trips&amp;Operators'!$C$1:$E$10000,3,FALSE)</f>
        <v>MACDONALD</v>
      </c>
      <c r="M49" s="6">
        <f t="shared" si="1"/>
        <v>2.4803240739856847E-2</v>
      </c>
      <c r="N49" s="7">
        <f t="shared" si="32"/>
        <v>35.716666665393859</v>
      </c>
      <c r="O49" s="7"/>
      <c r="P49" s="7"/>
      <c r="Q49" s="23"/>
      <c r="R49" s="23"/>
      <c r="S49" s="35">
        <f t="shared" si="35"/>
        <v>1</v>
      </c>
      <c r="T49" s="50" t="str">
        <f t="shared" si="3"/>
        <v>Southbound</v>
      </c>
      <c r="U49" s="16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07:51:18-700',mode:absolute,to:'2016-11-07 10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9" s="52" t="str">
        <f t="shared" si="5"/>
        <v>N</v>
      </c>
      <c r="X49" s="174">
        <f t="shared" si="37"/>
        <v>1</v>
      </c>
      <c r="Y49" s="67">
        <f t="shared" si="33"/>
        <v>23.298500000000001</v>
      </c>
      <c r="Z49" s="67">
        <f t="shared" si="34"/>
        <v>1.3899999999999999E-2</v>
      </c>
      <c r="AA49" s="67">
        <f t="shared" si="7"/>
        <v>23.284600000000001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8"/>
        <v>0138-07</v>
      </c>
      <c r="AE49" s="91" t="str">
        <f t="shared" si="9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49" s="88" t="str">
        <f t="shared" si="10"/>
        <v>"C:\Program Files (x86)\AstroGrep\AstroGrep.exe" /spath="%USERPROFILE%\AppData\Local\Temp\OnboardLogs" /stypes="app*4008*20161107*" /stext=" 16:.+((SYSTEM_STATE.+slice.+state.+changed )|(ment ac)|(system.+state.+changed )|(\[timeout)|(PRM\|1\|D)|(kpr)|(kdp)|(\|loc)|(penalty))" /e /r /s</v>
      </c>
      <c r="AG49" s="1" t="str">
        <f t="shared" si="11"/>
        <v>EC</v>
      </c>
      <c r="AH49" s="92" t="str">
        <f t="shared" si="14"/>
        <v>"%USERPROFILE%\Documents\GitHub\eaglep3\Utilities\RefineRTDCRunTimes.py" --tripid 138-07 --locoid 4008 --swversion DE.1.0.8.0 --startMP 204:232985 --initTime 2016-11-07T08:51:18 --startdatetime 2016-11-07T09:11:32 --delay 1 --endMP 204:139 --enddatetime 2016-11-07T09:47:15 --enforcementcount 0 &gt;&gt;C:\Users\stu\Documents\GitHub\eaglep3-reporting\EC\2016-11-07-refined-times.txt</v>
      </c>
      <c r="AI4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ID","value":"138-07"},{"id":16,"name":"Locomotive ID","value":"4008"},{"id":130,"name":"Impact","value":""},{"id":150,"name":"Time of Event (Mountain Time)","value":"09:47:15"},{"id":151,"name":"Denver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478</v>
      </c>
      <c r="B50" s="7">
        <v>4002</v>
      </c>
      <c r="C50" s="22" t="s">
        <v>237</v>
      </c>
      <c r="D50" s="22" t="s">
        <v>207</v>
      </c>
      <c r="E50" s="13">
        <v>42681.34952546296</v>
      </c>
      <c r="F50" s="13">
        <v>42681.35434027778</v>
      </c>
      <c r="G50" s="7">
        <v>1</v>
      </c>
      <c r="H50" s="22" t="s">
        <v>331</v>
      </c>
      <c r="I50" s="13">
        <v>42681.378958333335</v>
      </c>
      <c r="J50" s="7">
        <v>0</v>
      </c>
      <c r="K50" s="110" t="str">
        <f t="shared" si="0"/>
        <v>4001/4002</v>
      </c>
      <c r="L50" s="22" t="str">
        <f>VLOOKUP(A50,'Trips&amp;Operators'!$C$1:$E$10000,3,FALSE)</f>
        <v>ROBINSON</v>
      </c>
      <c r="M50" s="6">
        <f t="shared" si="1"/>
        <v>2.4618055555038154E-2</v>
      </c>
      <c r="N50" s="7">
        <f t="shared" si="32"/>
        <v>35.449999999254942</v>
      </c>
      <c r="O50" s="7"/>
      <c r="P50" s="7"/>
      <c r="Q50" s="23"/>
      <c r="R50" s="23"/>
      <c r="S50" s="35">
        <f t="shared" si="35"/>
        <v>1</v>
      </c>
      <c r="T50" s="50" t="str">
        <f t="shared" si="3"/>
        <v>NorthBound</v>
      </c>
      <c r="U50" s="16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07:23:19-700',mode:absolute,to:'2016-11-07 10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0" s="52" t="str">
        <f t="shared" si="5"/>
        <v>N</v>
      </c>
      <c r="X50" s="174">
        <f t="shared" si="37"/>
        <v>1</v>
      </c>
      <c r="Y50" s="67">
        <f t="shared" si="33"/>
        <v>4.53E-2</v>
      </c>
      <c r="Z50" s="67">
        <f t="shared" si="34"/>
        <v>23.328600000000002</v>
      </c>
      <c r="AA50" s="67">
        <f t="shared" si="7"/>
        <v>23.283300000000001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8"/>
        <v>0139-07</v>
      </c>
      <c r="AE50" s="91" t="str">
        <f t="shared" si="9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50" s="88" t="str">
        <f t="shared" si="10"/>
        <v>"C:\Program Files (x86)\AstroGrep\AstroGrep.exe" /spath="%USERPROFILE%\AppData\Local\Temp\OnboardLogs" /stypes="app*4002*20161107*" /stext=" 16:.+((SYSTEM_STATE.+slice.+state.+changed )|(ment ac)|(system.+state.+changed )|(\[timeout)|(PRM\|1\|D)|(kpr)|(kdp)|(\|loc)|(penalty))" /e /r /s</v>
      </c>
      <c r="AG50" s="1" t="str">
        <f t="shared" si="11"/>
        <v>EC</v>
      </c>
      <c r="AH50" s="92" t="str">
        <f t="shared" si="14"/>
        <v>"%USERPROFILE%\Documents\GitHub\eaglep3\Utilities\RefineRTDCRunTimes.py" --tripid 139-07 --locoid 4002 --swversion DE.1.0.8.0 --startMP 204:453 --initTime 2016-11-07T08:23:19 --startdatetime 2016-11-07T08:30:15 --delay 1 --endMP 204:233286 --enddatetime 2016-11-07T09:05:42 --enforcementcount 0 &gt;&gt;C:\Users\stu\Documents\GitHub\eaglep3-reporting\EC\2016-11-07-refined-times.txt</v>
      </c>
      <c r="AI5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{"issue":{"subject":"","project_id":79,"tracker_id":40,"status_id":1,"priority_id":2,"assigned_to_id":23,"start_date":"2016-11-07","description":"","custom_fields":[{"id":1,"name":"Subdivision","value":"EC"},{"id":4,"name":"Milepost","value":"23.3286"},{"id":17,"name":"Train ID","value":"139-07"},{"id":16,"name":"Locomotive ID","value":"4002"},{"id":130,"name":"Impact","value":""},{"id":150,"name":"Time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488</v>
      </c>
      <c r="B51" s="7">
        <v>4001</v>
      </c>
      <c r="C51" s="22" t="s">
        <v>237</v>
      </c>
      <c r="D51" s="22" t="s">
        <v>359</v>
      </c>
      <c r="E51" s="13">
        <v>42681.38585648148</v>
      </c>
      <c r="F51" s="13">
        <v>42681.393229166664</v>
      </c>
      <c r="G51" s="7">
        <v>1</v>
      </c>
      <c r="H51" s="22" t="s">
        <v>205</v>
      </c>
      <c r="I51" s="13">
        <v>42681.418958333335</v>
      </c>
      <c r="J51" s="7">
        <v>0</v>
      </c>
      <c r="K51" s="110" t="str">
        <f t="shared" si="0"/>
        <v>4001/4002</v>
      </c>
      <c r="L51" s="22" t="str">
        <f>VLOOKUP(A51,'Trips&amp;Operators'!$C$1:$E$10000,3,FALSE)</f>
        <v>ROBINSON</v>
      </c>
      <c r="M51" s="6">
        <f t="shared" si="1"/>
        <v>2.5729166671226267E-2</v>
      </c>
      <c r="N51" s="7">
        <f t="shared" si="32"/>
        <v>37.050000006565824</v>
      </c>
      <c r="O51" s="7"/>
      <c r="P51" s="7"/>
      <c r="Q51" s="23"/>
      <c r="R51" s="23"/>
      <c r="S51" s="35">
        <f t="shared" si="35"/>
        <v>1</v>
      </c>
      <c r="T51" s="50" t="str">
        <f t="shared" si="3"/>
        <v>Southbound</v>
      </c>
      <c r="U51" s="16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08:15:38-700',mode:absolute,to:'2016-11-07 11:03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1" s="52" t="str">
        <f t="shared" si="5"/>
        <v>N</v>
      </c>
      <c r="X51" s="174">
        <f t="shared" si="37"/>
        <v>1</v>
      </c>
      <c r="Y51" s="67">
        <f t="shared" si="33"/>
        <v>23.296099999999999</v>
      </c>
      <c r="Z51" s="67">
        <f t="shared" si="34"/>
        <v>1.43E-2</v>
      </c>
      <c r="AA51" s="67">
        <f t="shared" si="7"/>
        <v>23.2818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8"/>
        <v>0140-07</v>
      </c>
      <c r="AE51" s="91" t="str">
        <f t="shared" si="9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51" s="88" t="str">
        <f t="shared" si="10"/>
        <v>"C:\Program Files (x86)\AstroGrep\AstroGrep.exe" /spath="%USERPROFILE%\AppData\Local\Temp\OnboardLogs" /stypes="app*4001*20161107*" /stext=" 17:.+((SYSTEM_STATE.+slice.+state.+changed )|(ment ac)|(system.+state.+changed )|(\[timeout)|(PRM\|1\|D)|(kpr)|(kdp)|(\|loc)|(penalty))" /e /r /s</v>
      </c>
      <c r="AG51" s="1" t="str">
        <f t="shared" si="11"/>
        <v>EC</v>
      </c>
      <c r="AH51" s="92" t="str">
        <f t="shared" si="14"/>
        <v>"%USERPROFILE%\Documents\GitHub\eaglep3\Utilities\RefineRTDCRunTimes.py" --tripid 140-07 --locoid 4001 --swversion DE.1.0.8.0 --startMP 204:232961 --initTime 2016-11-07T09:15:38 --startdatetime 2016-11-07T09:26:15 --delay 1 --endMP 204:143 --enddatetime 2016-11-07T10:03:18 --enforcementcount 0 &gt;&gt;C:\Users\stu\Documents\GitHub\eaglep3-reporting\EC\2016-11-07-refined-times.txt</v>
      </c>
      <c r="AI5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ID","value":"140-07"},{"id":16,"name":"Locomotive ID","value":"4001"},{"id":130,"name":"Impact","value":""},{"id":150,"name":"Time of Event (Mountain Time)","value":"10:03:18"},{"id":151,"name":"Denver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482</v>
      </c>
      <c r="B52" s="7">
        <v>4014</v>
      </c>
      <c r="C52" s="22" t="s">
        <v>237</v>
      </c>
      <c r="D52" s="22" t="s">
        <v>362</v>
      </c>
      <c r="E52" s="13">
        <v>42681.361562500002</v>
      </c>
      <c r="F52" s="13">
        <v>42681.364768518521</v>
      </c>
      <c r="G52" s="7">
        <v>4</v>
      </c>
      <c r="H52" s="22" t="s">
        <v>639</v>
      </c>
      <c r="I52" s="13">
        <v>42681.389270833337</v>
      </c>
      <c r="J52" s="7">
        <v>0</v>
      </c>
      <c r="K52" s="110" t="str">
        <f t="shared" si="0"/>
        <v>4013/4014</v>
      </c>
      <c r="L52" s="22" t="str">
        <f>VLOOKUP(A52,'Trips&amp;Operators'!$C$1:$E$10000,3,FALSE)</f>
        <v>RICHARDSON</v>
      </c>
      <c r="M52" s="6">
        <f t="shared" si="1"/>
        <v>2.4502314816345461E-2</v>
      </c>
      <c r="N52" s="7">
        <f t="shared" si="32"/>
        <v>35.283333335537463</v>
      </c>
      <c r="O52" s="7"/>
      <c r="P52" s="7"/>
      <c r="Q52" s="23"/>
      <c r="R52" s="23"/>
      <c r="S52" s="35">
        <f t="shared" si="35"/>
        <v>1</v>
      </c>
      <c r="T52" s="50" t="str">
        <f t="shared" si="3"/>
        <v>NorthBound</v>
      </c>
      <c r="U52" s="16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07:40:39-700',mode:absolute,to:'2016-11-07 10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2" s="52" t="str">
        <f t="shared" si="5"/>
        <v>N</v>
      </c>
      <c r="X52" s="174">
        <f t="shared" si="37"/>
        <v>1</v>
      </c>
      <c r="Y52" s="67">
        <f t="shared" si="33"/>
        <v>4.6699999999999998E-2</v>
      </c>
      <c r="Z52" s="67">
        <f t="shared" si="34"/>
        <v>23.331900000000001</v>
      </c>
      <c r="AA52" s="67">
        <f t="shared" si="7"/>
        <v>23.2852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8"/>
        <v>0141-07</v>
      </c>
      <c r="AE52" s="91" t="str">
        <f t="shared" si="9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52" s="88" t="str">
        <f t="shared" si="10"/>
        <v>"C:\Program Files (x86)\AstroGrep\AstroGrep.exe" /spath="%USERPROFILE%\AppData\Local\Temp\OnboardLogs" /stypes="app*4014*20161107*" /stext=" 16:.+((SYSTEM_STATE.+slice.+state.+changed )|(ment ac)|(system.+state.+changed )|(\[timeout)|(PRM\|1\|D)|(kpr)|(kdp)|(\|loc)|(penalty))" /e /r /s</v>
      </c>
      <c r="AG52" s="1" t="str">
        <f t="shared" si="11"/>
        <v>EC</v>
      </c>
      <c r="AH52" s="92" t="str">
        <f t="shared" si="14"/>
        <v>"%USERPROFILE%\Documents\GitHub\eaglep3\Utilities\RefineRTDCRunTimes.py" --tripid 141-07 --locoid 4014 --swversion DE.1.0.8.0 --startMP 204:467 --initTime 2016-11-07T08:40:39 --startdatetime 2016-11-07T08:45:16 --delay 4 --endMP 204:233319 --enddatetime 2016-11-07T09:20:33 --enforcementcount 0 &gt;&gt;C:\Users\stu\Documents\GitHub\eaglep3-reporting\EC\2016-11-07-refined-times.txt</v>
      </c>
      <c r="AI5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{"issue":{"subject":"","project_id":79,"tracker_id":40,"status_id":1,"priority_id":2,"assigned_to_id":23,"start_date":"2016-11-07","description":"","custom_fields":[{"id":1,"name":"Subdivision","value":"EC"},{"id":4,"name":"Milepost","value":"23.3319"},{"id":17,"name":"Train ID","value":"141-07"},{"id":16,"name":"Locomotive ID","value":"4014"},{"id":130,"name":"Impact","value":""},{"id":150,"name":"Time of Event (Mountain Time)","value":"09:20:33"},{"id":151,"name":"Denver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410</v>
      </c>
      <c r="B53" s="7">
        <v>4013</v>
      </c>
      <c r="C53" s="22" t="s">
        <v>237</v>
      </c>
      <c r="D53" s="22" t="s">
        <v>296</v>
      </c>
      <c r="E53" s="13">
        <v>42681.391817129632</v>
      </c>
      <c r="F53" s="13">
        <v>42681.404004629629</v>
      </c>
      <c r="G53" s="7">
        <v>1</v>
      </c>
      <c r="H53" s="22" t="s">
        <v>227</v>
      </c>
      <c r="I53" s="13">
        <v>42681.430868055555</v>
      </c>
      <c r="J53" s="7">
        <v>0</v>
      </c>
      <c r="K53" s="110" t="str">
        <f t="shared" si="0"/>
        <v>4013/4014</v>
      </c>
      <c r="L53" s="22" t="str">
        <f>VLOOKUP(A53,'Trips&amp;Operators'!$C$1:$E$10000,3,FALSE)</f>
        <v>RICHARDSON</v>
      </c>
      <c r="M53" s="6">
        <f t="shared" si="1"/>
        <v>2.6863425926421769E-2</v>
      </c>
      <c r="N53" s="7">
        <f t="shared" si="32"/>
        <v>38.683333334047347</v>
      </c>
      <c r="O53" s="7"/>
      <c r="P53" s="7"/>
      <c r="Q53" s="23"/>
      <c r="R53" s="23"/>
      <c r="S53" s="35">
        <f t="shared" si="35"/>
        <v>1</v>
      </c>
      <c r="T53" s="50" t="str">
        <f t="shared" si="3"/>
        <v>Southbound</v>
      </c>
      <c r="U53" s="16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08:24:13-700',mode:absolute,to:'2016-11-07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3" s="52" t="str">
        <f t="shared" si="5"/>
        <v>N</v>
      </c>
      <c r="X53" s="174">
        <f t="shared" si="37"/>
        <v>1</v>
      </c>
      <c r="Y53" s="67">
        <f t="shared" si="33"/>
        <v>23.299800000000001</v>
      </c>
      <c r="Z53" s="67">
        <f t="shared" si="34"/>
        <v>1.38E-2</v>
      </c>
      <c r="AA53" s="67">
        <f t="shared" si="7"/>
        <v>23.286000000000001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8"/>
        <v>0142-07</v>
      </c>
      <c r="AE53" s="91" t="str">
        <f t="shared" si="9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53" s="88" t="str">
        <f t="shared" si="10"/>
        <v>"C:\Program Files (x86)\AstroGrep\AstroGrep.exe" /spath="%USERPROFILE%\AppData\Local\Temp\OnboardLogs" /stypes="app*4013*20161107*" /stext=" 17:.+((SYSTEM_STATE.+slice.+state.+changed )|(ment ac)|(system.+state.+changed )|(\[timeout)|(PRM\|1\|D)|(kpr)|(kdp)|(\|loc)|(penalty))" /e /r /s</v>
      </c>
      <c r="AG53" s="1" t="str">
        <f t="shared" si="11"/>
        <v>EC</v>
      </c>
      <c r="AH53" s="92" t="str">
        <f t="shared" si="14"/>
        <v>"%USERPROFILE%\Documents\GitHub\eaglep3\Utilities\RefineRTDCRunTimes.py" --tripid 142-07 --locoid 4013 --swversion DE.1.0.8.0 --startMP 204:232998 --initTime 2016-11-07T09:24:13 --startdatetime 2016-11-07T09:41:46 --delay 1 --endMP 204:138 --enddatetime 2016-11-07T10:20:27 --enforcementcount 0 &gt;&gt;C:\Users\stu\Documents\GitHub\eaglep3-reporting\EC\2016-11-07-refined-times.txt</v>
      </c>
      <c r="AI53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{"issue":{"subject":"","project_id":79,"tracker_id":40,"status_id":1,"priority_id":2,"assigned_to_id":23,"start_date":"2016-11-07","description":"","custom_fields":[{"id":1,"name":"Subdivision","value":"EC"},{"id":4,"name":"Milepost","value":"0.0138"},{"id":17,"name":"Train ID","value":"142-07"},{"id":16,"name":"Locomotive ID","value":"4013"},{"id":130,"name":"Impact","value":""},{"id":150,"name":"Time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485</v>
      </c>
      <c r="B54" s="7">
        <v>4046</v>
      </c>
      <c r="C54" s="22" t="s">
        <v>237</v>
      </c>
      <c r="D54" s="22" t="s">
        <v>242</v>
      </c>
      <c r="E54" s="13">
        <v>42681.374374999999</v>
      </c>
      <c r="F54" s="13">
        <v>42681.375335648147</v>
      </c>
      <c r="G54" s="7">
        <v>1</v>
      </c>
      <c r="H54" s="22" t="s">
        <v>229</v>
      </c>
      <c r="I54" s="13">
        <v>42681.399270833332</v>
      </c>
      <c r="J54" s="7">
        <v>0</v>
      </c>
      <c r="K54" s="110" t="str">
        <f t="shared" si="0"/>
        <v>4045/4046</v>
      </c>
      <c r="L54" s="22" t="str">
        <f>VLOOKUP(A54,'Trips&amp;Operators'!$C$1:$E$10000,3,FALSE)</f>
        <v>MALAVE</v>
      </c>
      <c r="M54" s="6">
        <f t="shared" si="1"/>
        <v>2.3935185185109731E-2</v>
      </c>
      <c r="N54" s="7">
        <f t="shared" si="32"/>
        <v>34.466666666558012</v>
      </c>
      <c r="O54" s="7"/>
      <c r="P54" s="7"/>
      <c r="Q54" s="23"/>
      <c r="R54" s="23"/>
      <c r="S54" s="35">
        <f t="shared" si="35"/>
        <v>1</v>
      </c>
      <c r="T54" s="50" t="str">
        <f t="shared" si="3"/>
        <v>NorthBound</v>
      </c>
      <c r="U54" s="16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07:59:06-700',mode:absolute,to:'2016-11-07 10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4" s="52" t="str">
        <f t="shared" si="5"/>
        <v>N</v>
      </c>
      <c r="X54" s="174">
        <f t="shared" si="37"/>
        <v>1</v>
      </c>
      <c r="Y54" s="67">
        <f t="shared" si="33"/>
        <v>4.58E-2</v>
      </c>
      <c r="Z54" s="67">
        <f t="shared" si="34"/>
        <v>23.3291</v>
      </c>
      <c r="AA54" s="67">
        <f t="shared" si="7"/>
        <v>23.283300000000001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8"/>
        <v>0143-07</v>
      </c>
      <c r="AE54" s="91" t="str">
        <f t="shared" si="9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54" s="88" t="str">
        <f t="shared" si="10"/>
        <v>"C:\Program Files (x86)\AstroGrep\AstroGrep.exe" /spath="%USERPROFILE%\AppData\Local\Temp\OnboardLogs" /stypes="app*4046*20161107*" /stext=" 16:.+((SYSTEM_STATE.+slice.+state.+changed )|(ment ac)|(system.+state.+changed )|(\[timeout)|(PRM\|1\|D)|(kpr)|(kdp)|(\|loc)|(penalty))" /e /r /s</v>
      </c>
      <c r="AG54" s="1" t="str">
        <f t="shared" si="11"/>
        <v>EC</v>
      </c>
      <c r="AH54" s="92" t="str">
        <f t="shared" si="14"/>
        <v>"%USERPROFILE%\Documents\GitHub\eaglep3\Utilities\RefineRTDCRunTimes.py" --tripid 143-07 --locoid 4046 --swversion DE.1.0.8.0 --startMP 204:458 --initTime 2016-11-07T08:59:06 --startdatetime 2016-11-07T09:00:29 --delay 1 --endMP 204:233291 --enddatetime 2016-11-07T09:34:57 --enforcementcount 0 &gt;&gt;C:\Users\stu\Documents\GitHub\eaglep3-reporting\EC\2016-11-07-refined-times.txt</v>
      </c>
      <c r="AI54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ID","value":"143-07"},{"id":16,"name":"Locomotive ID","value":"4046"},{"id":130,"name":"Impact","value":""},{"id":150,"name":"Time of Event (Mountain Time)","value":"09:34:57"},{"id":151,"name":"Denver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492</v>
      </c>
      <c r="B55" s="7">
        <v>4045</v>
      </c>
      <c r="C55" s="22" t="s">
        <v>237</v>
      </c>
      <c r="D55" s="22" t="s">
        <v>370</v>
      </c>
      <c r="E55" s="13">
        <v>42681.412094907406</v>
      </c>
      <c r="F55" s="13">
        <v>42681.414097222223</v>
      </c>
      <c r="G55" s="7">
        <v>2</v>
      </c>
      <c r="H55" s="22" t="s">
        <v>640</v>
      </c>
      <c r="I55" s="13">
        <v>42681.441203703704</v>
      </c>
      <c r="J55" s="7">
        <v>0</v>
      </c>
      <c r="K55" s="110" t="str">
        <f t="shared" si="0"/>
        <v>4045/4046</v>
      </c>
      <c r="L55" s="22" t="str">
        <f>VLOOKUP(A55,'Trips&amp;Operators'!$C$1:$E$10000,3,FALSE)</f>
        <v>MALAVE</v>
      </c>
      <c r="M55" s="6">
        <f t="shared" si="1"/>
        <v>2.7106481480586808E-2</v>
      </c>
      <c r="N55" s="7">
        <f t="shared" si="32"/>
        <v>39.033333332045004</v>
      </c>
      <c r="O55" s="7"/>
      <c r="P55" s="7"/>
      <c r="Q55" s="23"/>
      <c r="R55" s="23"/>
      <c r="S55" s="35">
        <f t="shared" si="35"/>
        <v>1</v>
      </c>
      <c r="T55" s="50" t="str">
        <f t="shared" si="3"/>
        <v>Southbound</v>
      </c>
      <c r="U55" s="16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08:53:25-700',mode:absolute,to:'2016-11-07 11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5" s="52" t="str">
        <f t="shared" si="5"/>
        <v>N</v>
      </c>
      <c r="X55" s="174">
        <f t="shared" si="37"/>
        <v>1</v>
      </c>
      <c r="Y55" s="67">
        <f t="shared" si="33"/>
        <v>23.296299999999999</v>
      </c>
      <c r="Z55" s="67">
        <f t="shared" si="34"/>
        <v>1.72E-2</v>
      </c>
      <c r="AA55" s="67">
        <f t="shared" si="7"/>
        <v>23.2791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8"/>
        <v>0144-07</v>
      </c>
      <c r="AE55" s="91" t="str">
        <f t="shared" si="9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55" s="88" t="str">
        <f t="shared" si="10"/>
        <v>"C:\Program Files (x86)\AstroGrep\AstroGrep.exe" /spath="%USERPROFILE%\AppData\Local\Temp\OnboardLogs" /stypes="app*4045*20161107*" /stext=" 17:.+((SYSTEM_STATE.+slice.+state.+changed )|(ment ac)|(system.+state.+changed )|(\[timeout)|(PRM\|1\|D)|(kpr)|(kdp)|(\|loc)|(penalty))" /e /r /s</v>
      </c>
      <c r="AG55" s="1" t="str">
        <f t="shared" si="11"/>
        <v>EC</v>
      </c>
      <c r="AH55" s="92" t="str">
        <f t="shared" si="14"/>
        <v>"%USERPROFILE%\Documents\GitHub\eaglep3\Utilities\RefineRTDCRunTimes.py" --tripid 144-07 --locoid 4045 --swversion DE.1.0.8.0 --startMP 204:232963 --initTime 2016-11-07T09:53:25 --startdatetime 2016-11-07T09:56:18 --delay 2 --endMP 204:172 --enddatetime 2016-11-07T10:35:20 --enforcementcount 0 &gt;&gt;C:\Users\stu\Documents\GitHub\eaglep3-reporting\EC\2016-11-07-refined-times.txt</v>
      </c>
      <c r="AI5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{"issue":{"subject":"","project_id":79,"tracker_id":40,"status_id":1,"priority_id":2,"assigned_to_id":23,"start_date":"2016-11-07","description":"","custom_fields":[{"id":1,"name":"Subdivision","value":"EC"},{"id":4,"name":"Milepost","value":"0.0172"},{"id":17,"name":"Train ID","value":"144-07"},{"id":16,"name":"Locomotive ID","value":"4045"},{"id":130,"name":"Impact","value":""},{"id":150,"name":"Time of Event (Mountain Time)","value":"10:35:20"},{"id":151,"name":"Denver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487</v>
      </c>
      <c r="B56" s="7">
        <v>4053</v>
      </c>
      <c r="C56" s="22" t="s">
        <v>237</v>
      </c>
      <c r="D56" s="22" t="s">
        <v>641</v>
      </c>
      <c r="E56" s="13">
        <v>42681.383136574077</v>
      </c>
      <c r="F56" s="13">
        <v>42681.38559027778</v>
      </c>
      <c r="G56" s="7">
        <v>1</v>
      </c>
      <c r="H56" s="22" t="s">
        <v>392</v>
      </c>
      <c r="I56" s="13">
        <v>42681.41002314815</v>
      </c>
      <c r="J56" s="7">
        <v>0</v>
      </c>
      <c r="K56" s="110" t="str">
        <f t="shared" si="0"/>
        <v>4053/4054</v>
      </c>
      <c r="L56" s="22" t="str">
        <f>VLOOKUP(A56,'Trips&amp;Operators'!$C$1:$E$10000,3,FALSE)</f>
        <v>MCREYNOLDS</v>
      </c>
      <c r="M56" s="6">
        <f t="shared" si="1"/>
        <v>2.4432870370219462E-2</v>
      </c>
      <c r="N56" s="7">
        <f t="shared" si="32"/>
        <v>35.183333333116025</v>
      </c>
      <c r="O56" s="7"/>
      <c r="P56" s="7"/>
      <c r="Q56" s="23"/>
      <c r="R56" s="23"/>
      <c r="S56" s="35">
        <f t="shared" si="35"/>
        <v>1</v>
      </c>
      <c r="T56" s="50" t="str">
        <f t="shared" si="3"/>
        <v>NorthBound</v>
      </c>
      <c r="U56" s="16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08:11:43-700',mode:absolute,to:'2016-11-07 10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6" s="52" t="str">
        <f t="shared" si="5"/>
        <v>N</v>
      </c>
      <c r="X56" s="174">
        <f t="shared" si="37"/>
        <v>1</v>
      </c>
      <c r="Y56" s="67">
        <f t="shared" si="33"/>
        <v>4.1599999999999998E-2</v>
      </c>
      <c r="Z56" s="67">
        <f t="shared" si="34"/>
        <v>23.332100000000001</v>
      </c>
      <c r="AA56" s="67">
        <f t="shared" si="7"/>
        <v>23.290500000000002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8"/>
        <v>0145-07</v>
      </c>
      <c r="AE56" s="91" t="str">
        <f t="shared" si="9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56" s="88" t="str">
        <f t="shared" si="10"/>
        <v>"C:\Program Files (x86)\AstroGrep\AstroGrep.exe" /spath="%USERPROFILE%\AppData\Local\Temp\OnboardLogs" /stypes="app*4053*20161107*" /stext=" 16:.+((SYSTEM_STATE.+slice.+state.+changed )|(ment ac)|(system.+state.+changed )|(\[timeout)|(PRM\|1\|D)|(kpr)|(kdp)|(\|loc)|(penalty))" /e /r /s</v>
      </c>
      <c r="AG56" s="1" t="str">
        <f t="shared" si="11"/>
        <v>EC</v>
      </c>
      <c r="AH56" s="92" t="str">
        <f t="shared" si="14"/>
        <v>"%USERPROFILE%\Documents\GitHub\eaglep3\Utilities\RefineRTDCRunTimes.py" --tripid 145-07 --locoid 4053 --swversion DE.1.0.8.0 --startMP 204:416 --initTime 2016-11-07T09:11:43 --startdatetime 2016-11-07T09:15:15 --delay 1 --endMP 204:233321 --enddatetime 2016-11-07T09:50:26 --enforcementcount 0 &gt;&gt;C:\Users\stu\Documents\GitHub\eaglep3-reporting\EC\2016-11-07-refined-times.txt</v>
      </c>
      <c r="AI5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{"issue":{"subject":"","project_id":79,"tracker_id":40,"status_id":1,"priority_id":2,"assigned_to_id":23,"start_date":"2016-11-07","description":"","custom_fields":[{"id":1,"name":"Subdivision","value":"EC"},{"id":4,"name":"Milepost","value":"23.3321"},{"id":17,"name":"Train ID","value":"145-07"},{"id":16,"name":"Locomotive ID","value":"4053"},{"id":130,"name":"Impact","value":""},{"id":150,"name":"Time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493</v>
      </c>
      <c r="B57" s="7">
        <v>4054</v>
      </c>
      <c r="C57" s="22" t="s">
        <v>237</v>
      </c>
      <c r="D57" s="22" t="s">
        <v>298</v>
      </c>
      <c r="E57" s="13">
        <v>42681.416608796295</v>
      </c>
      <c r="F57" s="13">
        <v>42681.424675925926</v>
      </c>
      <c r="G57" s="7">
        <v>1</v>
      </c>
      <c r="H57" s="22" t="s">
        <v>332</v>
      </c>
      <c r="I57" s="13">
        <v>42681.450995370367</v>
      </c>
      <c r="J57" s="7">
        <v>0</v>
      </c>
      <c r="K57" s="110" t="str">
        <f t="shared" si="0"/>
        <v>4053/4054</v>
      </c>
      <c r="L57" s="22" t="str">
        <f>VLOOKUP(A57,'Trips&amp;Operators'!$C$1:$E$10000,3,FALSE)</f>
        <v>MCREYNOLDS</v>
      </c>
      <c r="M57" s="6">
        <f t="shared" si="1"/>
        <v>2.6319444441469386E-2</v>
      </c>
      <c r="N57" s="7">
        <f t="shared" si="32"/>
        <v>37.899999995715916</v>
      </c>
      <c r="O57" s="7"/>
      <c r="P57" s="7"/>
      <c r="Q57" s="23"/>
      <c r="R57" s="23"/>
      <c r="S57" s="35">
        <f t="shared" si="35"/>
        <v>1</v>
      </c>
      <c r="T57" s="50" t="str">
        <f t="shared" si="3"/>
        <v>Southbound</v>
      </c>
      <c r="U57" s="16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08:59:55-700',mode:absolute,to:'2016-11-07 11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7" s="52" t="str">
        <f t="shared" si="5"/>
        <v>N</v>
      </c>
      <c r="X57" s="174">
        <f t="shared" si="37"/>
        <v>1</v>
      </c>
      <c r="Y57" s="67">
        <f t="shared" si="33"/>
        <v>23.299299999999999</v>
      </c>
      <c r="Z57" s="67">
        <f t="shared" si="34"/>
        <v>1.3899999999999999E-2</v>
      </c>
      <c r="AA57" s="67">
        <f t="shared" si="7"/>
        <v>23.285399999999999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8"/>
        <v>0146-07</v>
      </c>
      <c r="AE57" s="91" t="str">
        <f t="shared" si="9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57" s="88" t="str">
        <f t="shared" si="10"/>
        <v>"C:\Program Files (x86)\AstroGrep\AstroGrep.exe" /spath="%USERPROFILE%\AppData\Local\Temp\OnboardLogs" /stypes="app*4054*20161107*" /stext=" 17:.+((SYSTEM_STATE.+slice.+state.+changed )|(ment ac)|(system.+state.+changed )|(\[timeout)|(PRM\|1\|D)|(kpr)|(kdp)|(\|loc)|(penalty))" /e /r /s</v>
      </c>
      <c r="AG57" s="1" t="str">
        <f t="shared" si="11"/>
        <v>EC</v>
      </c>
      <c r="AH57" s="92" t="str">
        <f t="shared" si="14"/>
        <v>"%USERPROFILE%\Documents\GitHub\eaglep3\Utilities\RefineRTDCRunTimes.py" --tripid 146-07 --locoid 4054 --swversion DE.1.0.8.0 --startMP 204:232993 --initTime 2016-11-07T09:59:55 --startdatetime 2016-11-07T10:11:32 --delay 1 --endMP 204:139 --enddatetime 2016-11-07T10:49:26 --enforcementcount 0 &gt;&gt;C:\Users\stu\Documents\GitHub\eaglep3-reporting\EC\2016-11-07-refined-times.txt</v>
      </c>
      <c r="AI5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ID","value":"146-07"},{"id":16,"name":"Locomotive ID","value":"4054"},{"id":130,"name":"Impact","value":""},{"id":150,"name":"Time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489</v>
      </c>
      <c r="B58" s="7">
        <v>4040</v>
      </c>
      <c r="C58" s="22" t="s">
        <v>237</v>
      </c>
      <c r="D58" s="22" t="s">
        <v>232</v>
      </c>
      <c r="E58" s="13">
        <v>42681.396145833336</v>
      </c>
      <c r="F58" s="13">
        <v>42681.398055555554</v>
      </c>
      <c r="G58" s="7">
        <v>1</v>
      </c>
      <c r="H58" s="22" t="s">
        <v>326</v>
      </c>
      <c r="I58" s="13">
        <v>42681.422881944447</v>
      </c>
      <c r="J58" s="7">
        <v>0</v>
      </c>
      <c r="K58" s="110" t="str">
        <f t="shared" si="0"/>
        <v>4039/4040</v>
      </c>
      <c r="L58" s="22" t="str">
        <f>VLOOKUP(A58,'Trips&amp;Operators'!$C$1:$E$10000,3,FALSE)</f>
        <v>PERKINS</v>
      </c>
      <c r="M58" s="6">
        <f t="shared" si="1"/>
        <v>2.4826388893416151E-2</v>
      </c>
      <c r="N58" s="7">
        <f t="shared" si="32"/>
        <v>35.750000006519258</v>
      </c>
      <c r="O58" s="7"/>
      <c r="P58" s="7"/>
      <c r="Q58" s="23"/>
      <c r="R58" s="23"/>
      <c r="S58" s="35">
        <f t="shared" si="35"/>
        <v>1</v>
      </c>
      <c r="T58" s="50" t="str">
        <f t="shared" si="3"/>
        <v>NorthBound</v>
      </c>
      <c r="U58" s="16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08:30:27-700',mode:absolute,to:'2016-11-07 11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2" t="str">
        <f t="shared" si="5"/>
        <v>N</v>
      </c>
      <c r="X58" s="174">
        <f t="shared" si="37"/>
        <v>1</v>
      </c>
      <c r="Y58" s="67">
        <f t="shared" si="33"/>
        <v>4.5699999999999998E-2</v>
      </c>
      <c r="Z58" s="67">
        <f t="shared" si="34"/>
        <v>23.331399999999999</v>
      </c>
      <c r="AA58" s="67">
        <f t="shared" si="7"/>
        <v>23.285699999999999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8"/>
        <v>0147-07</v>
      </c>
      <c r="AE58" s="91" t="str">
        <f t="shared" si="9"/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58" s="88" t="str">
        <f t="shared" si="10"/>
        <v>"C:\Program Files (x86)\AstroGrep\AstroGrep.exe" /spath="%USERPROFILE%\AppData\Local\Temp\OnboardLogs" /stypes="app*4040*20161107*" /stext=" 17:.+((SYSTEM_STATE.+slice.+state.+changed )|(ment ac)|(system.+state.+changed )|(\[timeout)|(PRM\|1\|D)|(kpr)|(kdp)|(\|loc)|(penalty))" /e /r /s</v>
      </c>
      <c r="AG58" s="1" t="str">
        <f t="shared" si="11"/>
        <v>EC</v>
      </c>
      <c r="AH58" s="92" t="str">
        <f t="shared" si="14"/>
        <v>"%USERPROFILE%\Documents\GitHub\eaglep3\Utilities\RefineRTDCRunTimes.py" --tripid 147-07 --locoid 4040 --swversion DE.1.0.8.0 --startMP 204:457 --initTime 2016-11-07T09:30:27 --startdatetime 2016-11-07T09:33:12 --delay 1 --endMP 204:233314 --enddatetime 2016-11-07T10:08:57 --enforcementcount 0 &gt;&gt;C:\Users\stu\Documents\GitHub\eaglep3-reporting\EC\2016-11-07-refined-times.txt</v>
      </c>
      <c r="AI5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{"issue":{"subject":"","project_id":79,"tracker_id":40,"status_id":1,"priority_id":2,"assigned_to_id":23,"start_date":"2016-11-07","description":"","custom_fields":[{"id":1,"name":"Subdivision","value":"EC"},{"id":4,"name":"Milepost","value":"23.3314"},{"id":17,"name":"Train ID","value":"147-07"},{"id":16,"name":"Locomotive ID","value":"4040"},{"id":130,"name":"Impact","value":""},{"id":150,"name":"Time of Event (Mountain Time)","value":"10:08:57"},{"id":151,"name":"Denver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413</v>
      </c>
      <c r="B59" s="7">
        <v>4039</v>
      </c>
      <c r="C59" s="22" t="s">
        <v>237</v>
      </c>
      <c r="D59" s="22" t="s">
        <v>642</v>
      </c>
      <c r="E59" s="13">
        <v>42681.424421296295</v>
      </c>
      <c r="F59" s="13">
        <v>42681.434918981482</v>
      </c>
      <c r="G59" s="7">
        <v>1</v>
      </c>
      <c r="H59" s="22" t="s">
        <v>205</v>
      </c>
      <c r="I59" s="13">
        <v>42681.464502314811</v>
      </c>
      <c r="J59" s="7">
        <v>0</v>
      </c>
      <c r="K59" s="110" t="str">
        <f t="shared" si="0"/>
        <v>4039/4040</v>
      </c>
      <c r="L59" s="22" t="str">
        <f>VLOOKUP(A59,'Trips&amp;Operators'!$C$1:$E$10000,3,FALSE)</f>
        <v>PERKINS</v>
      </c>
      <c r="M59" s="6">
        <f t="shared" si="1"/>
        <v>2.958333332935581E-2</v>
      </c>
      <c r="N59" s="7">
        <f t="shared" si="32"/>
        <v>42.599999994272366</v>
      </c>
      <c r="O59" s="7"/>
      <c r="P59" s="7"/>
      <c r="Q59" s="23"/>
      <c r="R59" s="23"/>
      <c r="S59" s="35">
        <f t="shared" si="35"/>
        <v>1</v>
      </c>
      <c r="T59" s="50" t="str">
        <f t="shared" si="3"/>
        <v>Southbound</v>
      </c>
      <c r="U59" s="16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2" t="str">
        <f t="shared" si="5"/>
        <v>N</v>
      </c>
      <c r="X59" s="174">
        <f t="shared" si="37"/>
        <v>1</v>
      </c>
      <c r="Y59" s="67">
        <f t="shared" si="33"/>
        <v>23.299199999999999</v>
      </c>
      <c r="Z59" s="67">
        <f t="shared" si="34"/>
        <v>1.43E-2</v>
      </c>
      <c r="AA59" s="67">
        <f t="shared" si="7"/>
        <v>23.2849</v>
      </c>
      <c r="AB59" s="64" t="str">
        <f>VLOOKUP(A59,Enforcements!$C$7:$K$21,8,0)</f>
        <v>Bulletin (2)</v>
      </c>
      <c r="AC59" s="60" t="str">
        <f>VLOOKUP(A59,Enforcements!$C$7:$E$21,3,0)</f>
        <v>GRADE CROSSING</v>
      </c>
      <c r="AD59" s="61" t="str">
        <f t="shared" si="8"/>
        <v>0148-07</v>
      </c>
      <c r="AE59" s="91" t="str">
        <f t="shared" si="9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59" s="88" t="str">
        <f t="shared" si="10"/>
        <v>"C:\Program Files (x86)\AstroGrep\AstroGrep.exe" /spath="%USERPROFILE%\AppData\Local\Temp\OnboardLogs" /stypes="app*4039*20161107*" /stext=" 18:.+((SYSTEM_STATE.+slice.+state.+changed )|(ment ac)|(system.+state.+changed )|(\[timeout)|(PRM\|1\|D)|(kpr)|(kdp)|(\|loc)|(penalty))" /e /r /s</v>
      </c>
      <c r="AG59" s="1" t="str">
        <f t="shared" si="11"/>
        <v>EC</v>
      </c>
      <c r="AH59" s="92" t="str">
        <f t="shared" si="14"/>
        <v>"%USERPROFILE%\Documents\GitHub\eaglep3\Utilities\RefineRTDCRunTimes.py" --tripid 148-07 --locoid 4039 --swversion DE.1.0.8.0 --startMP 204:232992 --initTime 2016-11-07T10:11:10 --startdatetime 2016-11-07T10:26:17 --delay 1 --endMP 204:143 --enddatetime 2016-11-07T11:08:53 --enforcementcount 0 &gt;&gt;C:\Users\stu\Documents\GitHub\eaglep3-reporting\EC\2016-11-07-refined-times.txt</v>
      </c>
      <c r="AI5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ID","value":"148-07"},{"id":16,"name":"Locomotive ID","value":"4039"},{"id":130,"name":"Impact","value":""},{"id":150,"name":"Time of Event (Mountain Time)","value":"11:08:53"},{"id":151,"name":"Denver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411</v>
      </c>
      <c r="B60" s="7">
        <v>4025</v>
      </c>
      <c r="C60" s="22" t="s">
        <v>237</v>
      </c>
      <c r="D60" s="22" t="s">
        <v>226</v>
      </c>
      <c r="E60" s="13">
        <v>42681.402870370373</v>
      </c>
      <c r="F60" s="13">
        <v>42681.406574074077</v>
      </c>
      <c r="G60" s="7">
        <v>1</v>
      </c>
      <c r="H60" s="22" t="s">
        <v>392</v>
      </c>
      <c r="I60" s="13">
        <v>42681.431817129633</v>
      </c>
      <c r="J60" s="7">
        <v>0</v>
      </c>
      <c r="K60" s="110" t="str">
        <f t="shared" si="0"/>
        <v>4025/4026</v>
      </c>
      <c r="L60" s="22" t="str">
        <f>VLOOKUP(A60,'Trips&amp;Operators'!$C$1:$E$10000,3,FALSE)</f>
        <v>JOHNSON</v>
      </c>
      <c r="M60" s="6">
        <f t="shared" si="1"/>
        <v>2.5243055555620231E-2</v>
      </c>
      <c r="N60" s="7">
        <f t="shared" si="32"/>
        <v>36.350000000093132</v>
      </c>
      <c r="O60" s="7"/>
      <c r="P60" s="7"/>
      <c r="Q60" s="23"/>
      <c r="R60" s="23"/>
      <c r="S60" s="35">
        <f t="shared" si="35"/>
        <v>1</v>
      </c>
      <c r="T60" s="50" t="str">
        <f t="shared" si="3"/>
        <v>NorthBound</v>
      </c>
      <c r="U60" s="16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08:40:08-700',mode:absolute,to:'2016-11-07 11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0" s="52" t="str">
        <f t="shared" si="5"/>
        <v>N</v>
      </c>
      <c r="X60" s="174">
        <f t="shared" si="37"/>
        <v>1</v>
      </c>
      <c r="Y60" s="67">
        <f t="shared" si="33"/>
        <v>4.4900000000000002E-2</v>
      </c>
      <c r="Z60" s="67">
        <f t="shared" si="34"/>
        <v>23.332100000000001</v>
      </c>
      <c r="AA60" s="67">
        <f t="shared" si="7"/>
        <v>23.287200000000002</v>
      </c>
      <c r="AB60" s="64" t="str">
        <f>VLOOKUP(A60,Enforcements!$C$7:$K$21,8,0)</f>
        <v>Speed (6)</v>
      </c>
      <c r="AC60" s="60" t="str">
        <f>VLOOKUP(A60,Enforcements!$C$7:$E$21,3,0)</f>
        <v>PERMANENT SPEED RESTRICTION</v>
      </c>
      <c r="AD60" s="61" t="str">
        <f t="shared" si="8"/>
        <v>0149-07</v>
      </c>
      <c r="AE60" s="91" t="str">
        <f t="shared" si="9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60" s="88" t="str">
        <f t="shared" si="10"/>
        <v>"C:\Program Files (x86)\AstroGrep\AstroGrep.exe" /spath="%USERPROFILE%\AppData\Local\Temp\OnboardLogs" /stypes="app*4025*20161107*" /stext=" 17:.+((SYSTEM_STATE.+slice.+state.+changed )|(ment ac)|(system.+state.+changed )|(\[timeout)|(PRM\|1\|D)|(kpr)|(kdp)|(\|loc)|(penalty))" /e /r /s</v>
      </c>
      <c r="AG60" s="1" t="str">
        <f t="shared" si="11"/>
        <v>EC</v>
      </c>
      <c r="AH60" s="92" t="str">
        <f t="shared" si="14"/>
        <v>"%USERPROFILE%\Documents\GitHub\eaglep3\Utilities\RefineRTDCRunTimes.py" --tripid 149-07 --locoid 4025 --swversion DE.1.0.8.0 --startMP 204:449 --initTime 2016-11-07T09:40:08 --startdatetime 2016-11-07T09:45:28 --delay 1 --endMP 204:233321 --enddatetime 2016-11-07T10:21:49 --enforcementcount 0 &gt;&gt;C:\Users\stu\Documents\GitHub\eaglep3-reporting\EC\2016-11-07-refined-times.txt</v>
      </c>
      <c r="AI6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{"issue":{"subject":"","project_id":79,"tracker_id":40,"status_id":1,"priority_id":2,"assigned_to_id":23,"start_date":"2016-11-07","description":"","custom_fields":[{"id":1,"name":"Subdivision","value":"EC"},{"id":4,"name":"Milepost","value":"23.3321"},{"id":17,"name":"Train ID","value":"149-07"},{"id":16,"name":"Locomotive ID","value":"4025"},{"id":130,"name":"Impact","value":""},{"id":150,"name":"Time of Event (Mountain Time)","value":"10:21:49"},{"id":151,"name":"Denver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496</v>
      </c>
      <c r="B61" s="7">
        <v>4026</v>
      </c>
      <c r="C61" s="22" t="s">
        <v>237</v>
      </c>
      <c r="D61" s="22" t="s">
        <v>643</v>
      </c>
      <c r="E61" s="13">
        <v>42681.43478009259</v>
      </c>
      <c r="F61" s="13">
        <v>42681.445613425924</v>
      </c>
      <c r="G61" s="7">
        <v>3</v>
      </c>
      <c r="H61" s="22" t="s">
        <v>227</v>
      </c>
      <c r="I61" s="13">
        <v>42681.471597222226</v>
      </c>
      <c r="J61" s="7">
        <v>0</v>
      </c>
      <c r="K61" s="110" t="str">
        <f t="shared" si="0"/>
        <v>4025/4026</v>
      </c>
      <c r="L61" s="22" t="str">
        <f>VLOOKUP(A61,'Trips&amp;Operators'!$C$1:$E$10000,3,FALSE)</f>
        <v>JOHNSON</v>
      </c>
      <c r="M61" s="6">
        <f t="shared" si="1"/>
        <v>2.5983796302170958E-2</v>
      </c>
      <c r="N61" s="7">
        <f t="shared" si="32"/>
        <v>37.41666667512618</v>
      </c>
      <c r="O61" s="7"/>
      <c r="P61" s="7"/>
      <c r="Q61" s="23"/>
      <c r="R61" s="23"/>
      <c r="S61" s="35">
        <f t="shared" si="35"/>
        <v>1</v>
      </c>
      <c r="T61" s="50" t="str">
        <f t="shared" si="3"/>
        <v>Southbound</v>
      </c>
      <c r="U61" s="16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09:26:05-700',mode:absolute,to:'2016-11-07 12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1" s="52" t="str">
        <f t="shared" si="5"/>
        <v>N</v>
      </c>
      <c r="X61" s="174">
        <f t="shared" si="37"/>
        <v>1</v>
      </c>
      <c r="Y61" s="67">
        <f t="shared" si="33"/>
        <v>23.3017</v>
      </c>
      <c r="Z61" s="67">
        <f t="shared" si="34"/>
        <v>1.38E-2</v>
      </c>
      <c r="AA61" s="67">
        <f t="shared" si="7"/>
        <v>23.2879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8"/>
        <v>0150-07</v>
      </c>
      <c r="AE61" s="91" t="str">
        <f t="shared" si="9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61" s="88" t="str">
        <f t="shared" si="10"/>
        <v>"C:\Program Files (x86)\AstroGrep\AstroGrep.exe" /spath="%USERPROFILE%\AppData\Local\Temp\OnboardLogs" /stypes="app*4026*20161107*" /stext=" 18:.+((SYSTEM_STATE.+slice.+state.+changed )|(ment ac)|(system.+state.+changed )|(\[timeout)|(PRM\|1\|D)|(kpr)|(kdp)|(\|loc)|(penalty))" /e /r /s</v>
      </c>
      <c r="AG61" s="1" t="str">
        <f t="shared" si="11"/>
        <v>EC</v>
      </c>
      <c r="AH61" s="92" t="str">
        <f t="shared" si="14"/>
        <v>"%USERPROFILE%\Documents\GitHub\eaglep3\Utilities\RefineRTDCRunTimes.py" --tripid 150-07 --locoid 4026 --swversion DE.1.0.8.0 --startMP 204:233017 --initTime 2016-11-07T10:26:05 --startdatetime 2016-11-07T10:41:41 --delay 3 --endMP 204:138 --enddatetime 2016-11-07T11:19:06 --enforcementcount 0 &gt;&gt;C:\Users\stu\Documents\GitHub\eaglep3-reporting\EC\2016-11-07-refined-times.txt</v>
      </c>
      <c r="AI6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{"issue":{"subject":"","project_id":79,"tracker_id":40,"status_id":1,"priority_id":2,"assigned_to_id":23,"start_date":"2016-11-07","description":"","custom_fields":[{"id":1,"name":"Subdivision","value":"EC"},{"id":4,"name":"Milepost","value":"0.0138"},{"id":17,"name":"Train ID","value":"150-07"},{"id":16,"name":"Locomotive ID","value":"4026"},{"id":130,"name":"Impact","value":""},{"id":150,"name":"Time of Event (Mountain Time)","value":"11:19:06"},{"id":151,"name":"Denver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491</v>
      </c>
      <c r="B62" s="7">
        <v>4007</v>
      </c>
      <c r="C62" s="22" t="s">
        <v>237</v>
      </c>
      <c r="D62" s="22" t="s">
        <v>226</v>
      </c>
      <c r="E62" s="13">
        <v>42681.411828703705</v>
      </c>
      <c r="F62" s="13">
        <v>42681.417256944442</v>
      </c>
      <c r="G62" s="7">
        <v>1</v>
      </c>
      <c r="H62" s="22" t="s">
        <v>320</v>
      </c>
      <c r="I62" s="13">
        <v>42681.441180555557</v>
      </c>
      <c r="J62" s="7">
        <v>0</v>
      </c>
      <c r="K62" s="110" t="str">
        <f t="shared" si="0"/>
        <v>4007/4008</v>
      </c>
      <c r="L62" s="22" t="str">
        <f>VLOOKUP(A62,'Trips&amp;Operators'!$C$1:$E$10000,3,FALSE)</f>
        <v>MACDONALD</v>
      </c>
      <c r="M62" s="6">
        <f t="shared" si="1"/>
        <v>2.3923611115606036E-2</v>
      </c>
      <c r="N62" s="7">
        <f t="shared" si="32"/>
        <v>34.450000006472692</v>
      </c>
      <c r="O62" s="7"/>
      <c r="P62" s="7"/>
      <c r="Q62" s="23"/>
      <c r="R62" s="23"/>
      <c r="S62" s="35">
        <f t="shared" si="35"/>
        <v>1</v>
      </c>
      <c r="T62" s="50" t="str">
        <f t="shared" si="3"/>
        <v>NorthBound</v>
      </c>
      <c r="U62" s="16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08:53:02-700',mode:absolute,to:'2016-11-07 11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2" s="52" t="str">
        <f t="shared" si="5"/>
        <v>N</v>
      </c>
      <c r="X62" s="174">
        <f t="shared" si="37"/>
        <v>1</v>
      </c>
      <c r="Y62" s="67">
        <f t="shared" si="33"/>
        <v>4.4900000000000002E-2</v>
      </c>
      <c r="Z62" s="67">
        <f t="shared" si="34"/>
        <v>23.330500000000001</v>
      </c>
      <c r="AA62" s="67">
        <f t="shared" si="7"/>
        <v>23.285600000000002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8"/>
        <v>0151-07</v>
      </c>
      <c r="AE62" s="91" t="str">
        <f t="shared" si="9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62" s="88" t="str">
        <f t="shared" si="10"/>
        <v>"C:\Program Files (x86)\AstroGrep\AstroGrep.exe" /spath="%USERPROFILE%\AppData\Local\Temp\OnboardLogs" /stypes="app*4007*20161107*" /stext=" 17:.+((SYSTEM_STATE.+slice.+state.+changed )|(ment ac)|(system.+state.+changed )|(\[timeout)|(PRM\|1\|D)|(kpr)|(kdp)|(\|loc)|(penalty))" /e /r /s</v>
      </c>
      <c r="AG62" s="1" t="str">
        <f t="shared" si="11"/>
        <v>EC</v>
      </c>
      <c r="AH62" s="92" t="str">
        <f t="shared" si="14"/>
        <v>"%USERPROFILE%\Documents\GitHub\eaglep3\Utilities\RefineRTDCRunTimes.py" --tripid 151-07 --locoid 4007 --swversion DE.1.0.8.0 --startMP 204:449 --initTime 2016-11-07T09:53:02 --startdatetime 2016-11-07T10:00:51 --delay 1 --endMP 204:233305 --enddatetime 2016-11-07T10:35:18 --enforcementcount 0 &gt;&gt;C:\Users\stu\Documents\GitHub\eaglep3-reporting\EC\2016-11-07-refined-times.txt</v>
      </c>
      <c r="AI6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{"issue":{"subject":"","project_id":79,"tracker_id":40,"status_id":1,"priority_id":2,"assigned_to_id":23,"start_date":"2016-11-07","description":"","custom_fields":[{"id":1,"name":"Subdivision","value":"EC"},{"id":4,"name":"Milepost","value":"23.3305"},{"id":17,"name":"Train ID","value":"151-07"},{"id":16,"name":"Locomotive ID","value":"4007"},{"id":130,"name":"Impact","value":""},{"id":150,"name":"Time of Event (Mountain Time)","value":"10:35:18"},{"id":151,"name":"Denver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497</v>
      </c>
      <c r="B63" s="7">
        <v>4008</v>
      </c>
      <c r="C63" s="22" t="s">
        <v>237</v>
      </c>
      <c r="D63" s="22" t="s">
        <v>252</v>
      </c>
      <c r="E63" s="13">
        <v>42681.442476851851</v>
      </c>
      <c r="F63" s="13">
        <v>42681.45585648148</v>
      </c>
      <c r="G63" s="7">
        <v>1</v>
      </c>
      <c r="H63" s="22" t="s">
        <v>204</v>
      </c>
      <c r="I63" s="13">
        <v>42681.481412037036</v>
      </c>
      <c r="J63" s="7">
        <v>0</v>
      </c>
      <c r="K63" s="110" t="str">
        <f t="shared" si="0"/>
        <v>4007/4008</v>
      </c>
      <c r="L63" s="22" t="str">
        <f>VLOOKUP(A63,'Trips&amp;Operators'!$C$1:$E$10000,3,FALSE)</f>
        <v>MACDONALD</v>
      </c>
      <c r="M63" s="6">
        <f t="shared" si="1"/>
        <v>2.5555555555911269E-2</v>
      </c>
      <c r="N63" s="7">
        <f t="shared" si="32"/>
        <v>36.800000000512227</v>
      </c>
      <c r="O63" s="7"/>
      <c r="P63" s="7"/>
      <c r="Q63" s="23"/>
      <c r="R63" s="23"/>
      <c r="S63" s="35">
        <f t="shared" si="35"/>
        <v>1</v>
      </c>
      <c r="T63" s="50" t="str">
        <f t="shared" si="3"/>
        <v>Southbound</v>
      </c>
      <c r="U63" s="16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09:37:10-700',mode:absolute,to:'2016-11-07 12:33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3" s="52" t="str">
        <f t="shared" si="5"/>
        <v>N</v>
      </c>
      <c r="X63" s="174">
        <f t="shared" si="37"/>
        <v>1</v>
      </c>
      <c r="Y63" s="67">
        <f t="shared" si="33"/>
        <v>23.298400000000001</v>
      </c>
      <c r="Z63" s="67">
        <f t="shared" si="34"/>
        <v>1.49E-2</v>
      </c>
      <c r="AA63" s="67">
        <f t="shared" si="7"/>
        <v>23.2835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8"/>
        <v>0152-07</v>
      </c>
      <c r="AE63" s="91" t="str">
        <f t="shared" si="9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63" s="88" t="str">
        <f t="shared" si="10"/>
        <v>"C:\Program Files (x86)\AstroGrep\AstroGrep.exe" /spath="%USERPROFILE%\AppData\Local\Temp\OnboardLogs" /stypes="app*4008*20161107*" /stext=" 18:.+((SYSTEM_STATE.+slice.+state.+changed )|(ment ac)|(system.+state.+changed )|(\[timeout)|(PRM\|1\|D)|(kpr)|(kdp)|(\|loc)|(penalty))" /e /r /s</v>
      </c>
      <c r="AG63" s="1" t="str">
        <f t="shared" si="11"/>
        <v>EC</v>
      </c>
      <c r="AH63" s="92" t="str">
        <f t="shared" si="14"/>
        <v>"%USERPROFILE%\Documents\GitHub\eaglep3\Utilities\RefineRTDCRunTimes.py" --tripid 152-07 --locoid 4008 --swversion DE.1.0.8.0 --startMP 204:232984 --initTime 2016-11-07T10:37:10 --startdatetime 2016-11-07T10:56:26 --delay 1 --endMP 204:149 --enddatetime 2016-11-07T11:33:14 --enforcementcount 0 &gt;&gt;C:\Users\stu\Documents\GitHub\eaglep3-reporting\EC\2016-11-07-refined-times.txt</v>
      </c>
      <c r="AI63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ID","value":"152-07"},{"id":16,"name":"Locomotive ID","value":"4008"},{"id":130,"name":"Impact","value":""},{"id":150,"name":"Time of Event (Mountain Time)","value":"11:33:14"},{"id":151,"name":"Denver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494</v>
      </c>
      <c r="B64" s="7">
        <v>4002</v>
      </c>
      <c r="C64" s="22" t="s">
        <v>237</v>
      </c>
      <c r="D64" s="22" t="s">
        <v>260</v>
      </c>
      <c r="E64" s="13">
        <v>42681.420636574076</v>
      </c>
      <c r="F64" s="13">
        <v>42681.427233796298</v>
      </c>
      <c r="G64" s="7">
        <v>1</v>
      </c>
      <c r="H64" s="22" t="s">
        <v>248</v>
      </c>
      <c r="I64" s="13">
        <v>42681.451851851853</v>
      </c>
      <c r="J64" s="7">
        <v>0</v>
      </c>
      <c r="K64" s="110" t="str">
        <f t="shared" si="0"/>
        <v>4001/4002</v>
      </c>
      <c r="L64" s="22" t="str">
        <f>VLOOKUP(A64,'Trips&amp;Operators'!$C$1:$E$10000,3,FALSE)</f>
        <v>ROBINSON</v>
      </c>
      <c r="M64" s="6">
        <f t="shared" si="1"/>
        <v>2.4618055555038154E-2</v>
      </c>
      <c r="N64" s="7">
        <f t="shared" si="32"/>
        <v>35.449999999254942</v>
      </c>
      <c r="O64" s="7"/>
      <c r="P64" s="7"/>
      <c r="Q64" s="23"/>
      <c r="R64" s="23"/>
      <c r="S64" s="35">
        <f t="shared" si="35"/>
        <v>1</v>
      </c>
      <c r="T64" s="50" t="str">
        <f t="shared" si="3"/>
        <v>NorthBound</v>
      </c>
      <c r="U64" s="16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09:05:43-700',mode:absolute,to:'2016-11-07 11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4" s="52" t="str">
        <f t="shared" si="5"/>
        <v>N</v>
      </c>
      <c r="X64" s="174">
        <f t="shared" si="37"/>
        <v>1</v>
      </c>
      <c r="Y64" s="67">
        <f t="shared" si="33"/>
        <v>4.4200000000000003E-2</v>
      </c>
      <c r="Z64" s="67">
        <f t="shared" si="34"/>
        <v>23.328900000000001</v>
      </c>
      <c r="AA64" s="67">
        <f t="shared" si="7"/>
        <v>23.284700000000001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8"/>
        <v>0153-07</v>
      </c>
      <c r="AE64" s="91" t="str">
        <f t="shared" si="9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64" s="88" t="str">
        <f t="shared" si="10"/>
        <v>"C:\Program Files (x86)\AstroGrep\AstroGrep.exe" /spath="%USERPROFILE%\AppData\Local\Temp\OnboardLogs" /stypes="app*4002*20161107*" /stext=" 17:.+((SYSTEM_STATE.+slice.+state.+changed )|(ment ac)|(system.+state.+changed )|(\[timeout)|(PRM\|1\|D)|(kpr)|(kdp)|(\|loc)|(penalty))" /e /r /s</v>
      </c>
      <c r="AG64" s="1" t="str">
        <f t="shared" si="11"/>
        <v>EC</v>
      </c>
      <c r="AH64" s="92" t="str">
        <f t="shared" si="14"/>
        <v>"%USERPROFILE%\Documents\GitHub\eaglep3\Utilities\RefineRTDCRunTimes.py" --tripid 153-07 --locoid 4002 --swversion DE.1.0.8.0 --startMP 204:442 --initTime 2016-11-07T10:05:43 --startdatetime 2016-11-07T10:15:13 --delay 1 --endMP 204:233289 --enddatetime 2016-11-07T10:50:40 --enforcementcount 0 &gt;&gt;C:\Users\stu\Documents\GitHub\eaglep3-reporting\EC\2016-11-07-refined-times.txt</v>
      </c>
      <c r="AI64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ID","value":"153-07"},{"id":16,"name":"Locomotive ID","value":"4002"},{"id":130,"name":"Impact","value":""},{"id":150,"name":"Time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502</v>
      </c>
      <c r="B65" s="7">
        <v>4001</v>
      </c>
      <c r="C65" s="22" t="s">
        <v>237</v>
      </c>
      <c r="D65" s="22" t="s">
        <v>302</v>
      </c>
      <c r="E65" s="13">
        <v>42681.460347222222</v>
      </c>
      <c r="F65" s="13">
        <v>42681.466180555559</v>
      </c>
      <c r="G65" s="7">
        <v>1</v>
      </c>
      <c r="H65" s="22" t="s">
        <v>175</v>
      </c>
      <c r="I65" s="13">
        <v>42681.492569444446</v>
      </c>
      <c r="J65" s="7">
        <v>0</v>
      </c>
      <c r="K65" s="110" t="str">
        <f t="shared" si="0"/>
        <v>4001/4002</v>
      </c>
      <c r="L65" s="22" t="str">
        <f>VLOOKUP(A65,'Trips&amp;Operators'!$C$1:$E$10000,3,FALSE)</f>
        <v>ROBINSON</v>
      </c>
      <c r="M65" s="6">
        <f t="shared" si="1"/>
        <v>2.6388888887595385E-2</v>
      </c>
      <c r="N65" s="7">
        <f t="shared" si="32"/>
        <v>37.999999998137355</v>
      </c>
      <c r="O65" s="7"/>
      <c r="P65" s="7"/>
      <c r="Q65" s="23"/>
      <c r="R65" s="23"/>
      <c r="S65" s="35">
        <f t="shared" si="35"/>
        <v>1</v>
      </c>
      <c r="T65" s="50" t="str">
        <f t="shared" si="3"/>
        <v>Southbound</v>
      </c>
      <c r="U65" s="16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10:02:54-700',mode:absolute,to:'2016-11-07 12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5" s="52" t="str">
        <f t="shared" si="5"/>
        <v>N</v>
      </c>
      <c r="X65" s="174">
        <f t="shared" si="37"/>
        <v>1</v>
      </c>
      <c r="Y65" s="67">
        <f t="shared" si="33"/>
        <v>23.3004</v>
      </c>
      <c r="Z65" s="67">
        <f t="shared" si="34"/>
        <v>1.47E-2</v>
      </c>
      <c r="AA65" s="67">
        <f t="shared" si="7"/>
        <v>23.285699999999999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8"/>
        <v>0154-07</v>
      </c>
      <c r="AE65" s="91" t="str">
        <f t="shared" si="9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65" s="88" t="str">
        <f t="shared" si="10"/>
        <v>"C:\Program Files (x86)\AstroGrep\AstroGrep.exe" /spath="%USERPROFILE%\AppData\Local\Temp\OnboardLogs" /stypes="app*4001*20161107*" /stext=" 18:.+((SYSTEM_STATE.+slice.+state.+changed )|(ment ac)|(system.+state.+changed )|(\[timeout)|(PRM\|1\|D)|(kpr)|(kdp)|(\|loc)|(penalty))" /e /r /s</v>
      </c>
      <c r="AG65" s="1" t="str">
        <f t="shared" si="11"/>
        <v>EC</v>
      </c>
      <c r="AH65" s="92" t="str">
        <f t="shared" si="14"/>
        <v>"%USERPROFILE%\Documents\GitHub\eaglep3\Utilities\RefineRTDCRunTimes.py" --tripid 154-07 --locoid 4001 --swversion DE.1.0.8.0 --startMP 204:233004 --initTime 2016-11-07T11:02:54 --startdatetime 2016-11-07T11:11:18 --delay 1 --endMP 204:147 --enddatetime 2016-11-07T11:49:18 --enforcementcount 0 &gt;&gt;C:\Users\stu\Documents\GitHub\eaglep3-reporting\EC\2016-11-07-refined-times.txt</v>
      </c>
      <c r="AI65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ID","value":"154-07"},{"id":16,"name":"Locomotive ID","value":"4001"},{"id":130,"name":"Impact","value":""},{"id":150,"name":"Time of Event (Mountain Time)","value":"11:49:18"},{"id":151,"name":"Denver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495</v>
      </c>
      <c r="B66" s="7">
        <v>4014</v>
      </c>
      <c r="C66" s="22" t="s">
        <v>237</v>
      </c>
      <c r="D66" s="22" t="s">
        <v>235</v>
      </c>
      <c r="E66" s="13">
        <v>42681.433738425927</v>
      </c>
      <c r="F66" s="13">
        <v>42681.437743055554</v>
      </c>
      <c r="G66" s="7">
        <v>1</v>
      </c>
      <c r="H66" s="22" t="s">
        <v>271</v>
      </c>
      <c r="I66" s="13">
        <v>42681.463009259256</v>
      </c>
      <c r="J66" s="7">
        <v>0</v>
      </c>
      <c r="K66" s="110" t="str">
        <f t="shared" si="0"/>
        <v>4013/4014</v>
      </c>
      <c r="L66" s="22" t="str">
        <f>VLOOKUP(A66,'Trips&amp;Operators'!$C$1:$E$10000,3,FALSE)</f>
        <v>DAVIS</v>
      </c>
      <c r="M66" s="6">
        <f t="shared" si="1"/>
        <v>2.5266203701903578E-2</v>
      </c>
      <c r="N66" s="7">
        <f t="shared" si="32"/>
        <v>36.383333330741152</v>
      </c>
      <c r="O66" s="7"/>
      <c r="P66" s="7"/>
      <c r="Q66" s="23"/>
      <c r="R66" s="23"/>
      <c r="S66" s="35">
        <f t="shared" si="35"/>
        <v>1</v>
      </c>
      <c r="T66" s="50" t="str">
        <f t="shared" si="3"/>
        <v>NorthBound</v>
      </c>
      <c r="U66" s="16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09:24:35-700',mode:absolute,to:'2016-11-07 12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6" s="52" t="str">
        <f t="shared" si="5"/>
        <v>N</v>
      </c>
      <c r="X66" s="174">
        <f t="shared" si="37"/>
        <v>1</v>
      </c>
      <c r="Y66" s="67">
        <f t="shared" si="33"/>
        <v>4.6399999999999997E-2</v>
      </c>
      <c r="Z66" s="67">
        <f t="shared" si="34"/>
        <v>23.331199999999999</v>
      </c>
      <c r="AA66" s="67">
        <f t="shared" si="7"/>
        <v>23.284800000000001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8"/>
        <v>0155-07</v>
      </c>
      <c r="AE66" s="91" t="str">
        <f t="shared" si="9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66" s="88" t="str">
        <f t="shared" si="10"/>
        <v>"C:\Program Files (x86)\AstroGrep\AstroGrep.exe" /spath="%USERPROFILE%\AppData\Local\Temp\OnboardLogs" /stypes="app*4014*20161107*" /stext=" 18:.+((SYSTEM_STATE.+slice.+state.+changed )|(ment ac)|(system.+state.+changed )|(\[timeout)|(PRM\|1\|D)|(kpr)|(kdp)|(\|loc)|(penalty))" /e /r /s</v>
      </c>
      <c r="AG66" s="1" t="str">
        <f t="shared" si="11"/>
        <v>EC</v>
      </c>
      <c r="AH66" s="92" t="str">
        <f t="shared" si="14"/>
        <v>"%USERPROFILE%\Documents\GitHub\eaglep3\Utilities\RefineRTDCRunTimes.py" --tripid 155-07 --locoid 4014 --swversion DE.1.0.8.0 --startMP 204:464 --initTime 2016-11-07T10:24:35 --startdatetime 2016-11-07T10:30:21 --delay 1 --endMP 204:233312 --enddatetime 2016-11-07T11:06:44 --enforcementcount 0 &gt;&gt;C:\Users\stu\Documents\GitHub\eaglep3-reporting\EC\2016-11-07-refined-times.txt</v>
      </c>
      <c r="AI6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{"issue":{"subject":"","project_id":79,"tracker_id":40,"status_id":1,"priority_id":2,"assigned_to_id":23,"start_date":"2016-11-07","description":"","custom_fields":[{"id":1,"name":"Subdivision","value":"EC"},{"id":4,"name":"Milepost","value":"23.3312"},{"id":17,"name":"Train ID","value":"155-07"},{"id":16,"name":"Locomotive ID","value":"4014"},{"id":130,"name":"Impact","value":""},{"id":150,"name":"Time of Event (Mountain Time)","value":"11:06:44"},{"id":151,"name":"Denver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4013</v>
      </c>
      <c r="C67" s="22" t="s">
        <v>237</v>
      </c>
      <c r="D67" s="22" t="s">
        <v>635</v>
      </c>
      <c r="E67" s="13">
        <v>42681.471122685187</v>
      </c>
      <c r="F67" s="13">
        <v>42681.476574074077</v>
      </c>
      <c r="G67" s="7">
        <v>1</v>
      </c>
      <c r="H67" s="22" t="s">
        <v>205</v>
      </c>
      <c r="I67" s="13">
        <v>42681.503900462965</v>
      </c>
      <c r="J67" s="7">
        <v>0</v>
      </c>
      <c r="K67" s="110" t="str">
        <f t="shared" si="0"/>
        <v>4013/4014</v>
      </c>
      <c r="L67" s="22" t="str">
        <f>VLOOKUP(A67,'Trips&amp;Operators'!$C$1:$E$10000,3,FALSE)</f>
        <v>DAVIS</v>
      </c>
      <c r="M67" s="6">
        <f t="shared" si="1"/>
        <v>2.73263888884685E-2</v>
      </c>
      <c r="N67" s="7">
        <f t="shared" ref="N67:N90" si="38">24*60*SUM($M67:$M67)</f>
        <v>39.34999999939464</v>
      </c>
      <c r="O67" s="7"/>
      <c r="P67" s="7"/>
      <c r="Q67" s="23"/>
      <c r="R67" s="23"/>
      <c r="S67" s="35">
        <f t="shared" si="35"/>
        <v>1</v>
      </c>
      <c r="T67" s="50" t="str">
        <f t="shared" si="3"/>
        <v>Southbound</v>
      </c>
      <c r="U67" s="16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10:18:25-700',mode:absolute,to:'2016-11-07 13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7" s="52" t="str">
        <f t="shared" si="5"/>
        <v>N</v>
      </c>
      <c r="X67" s="174">
        <f t="shared" si="37"/>
        <v>1</v>
      </c>
      <c r="Y67" s="67">
        <f t="shared" si="33"/>
        <v>23.297799999999999</v>
      </c>
      <c r="Z67" s="67">
        <f t="shared" si="34"/>
        <v>1.43E-2</v>
      </c>
      <c r="AA67" s="67">
        <f t="shared" si="7"/>
        <v>23.2835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8"/>
        <v>0156-07</v>
      </c>
      <c r="AE67" s="91" t="str">
        <f t="shared" si="9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67" s="88" t="str">
        <f t="shared" si="10"/>
        <v>"C:\Program Files (x86)\AstroGrep\AstroGrep.exe" /spath="%USERPROFILE%\AppData\Local\Temp\OnboardLogs" /stypes="app*4013*20161107*" /stext=" 19:.+((SYSTEM_STATE.+slice.+state.+changed )|(ment ac)|(system.+state.+changed )|(\[timeout)|(PRM\|1\|D)|(kpr)|(kdp)|(\|loc)|(penalty))" /e /r /s</v>
      </c>
      <c r="AG67" s="1" t="str">
        <f t="shared" si="11"/>
        <v>EC</v>
      </c>
      <c r="AH67" s="92" t="str">
        <f t="shared" si="14"/>
        <v>"%USERPROFILE%\Documents\GitHub\eaglep3\Utilities\RefineRTDCRunTimes.py" --tripid 156-07 --locoid 4013 --swversion DE.1.0.8.0 --startMP 204:232978 --initTime 2016-11-07T11:18:25 --startdatetime 2016-11-07T11:26:16 --delay 1 --endMP 204:143 --enddatetime 2016-11-07T12:05:37 --enforcementcount 0 &gt;&gt;C:\Users\stu\Documents\GitHub\eaglep3-reporting\EC\2016-11-07-refined-times.txt</v>
      </c>
      <c r="AI6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ID","value":"156-07"},{"id":16,"name":"Locomotive ID","value":"4013"},{"id":130,"name":"Impact","value":""},{"id":150,"name":"Time of Event (Mountain Time)","value":"12:05:37"},{"id":151,"name":"Denver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414</v>
      </c>
      <c r="B68" s="7">
        <v>4046</v>
      </c>
      <c r="C68" s="22" t="s">
        <v>237</v>
      </c>
      <c r="D68" s="22" t="s">
        <v>644</v>
      </c>
      <c r="E68" s="13">
        <v>42681.447557870371</v>
      </c>
      <c r="F68" s="13">
        <v>42681.448530092595</v>
      </c>
      <c r="G68" s="7">
        <v>1</v>
      </c>
      <c r="H68" s="22" t="s">
        <v>190</v>
      </c>
      <c r="I68" s="13">
        <v>42681.473935185182</v>
      </c>
      <c r="J68" s="7">
        <v>0</v>
      </c>
      <c r="K68" s="110" t="str">
        <f t="shared" si="0"/>
        <v>4045/4046</v>
      </c>
      <c r="L68" s="22" t="str">
        <f>VLOOKUP(A68,'Trips&amp;Operators'!$C$1:$E$10000,3,FALSE)</f>
        <v>MALAVE</v>
      </c>
      <c r="M68" s="6">
        <f t="shared" si="1"/>
        <v>2.5405092586879618E-2</v>
      </c>
      <c r="N68" s="7">
        <f t="shared" si="38"/>
        <v>36.583333325106651</v>
      </c>
      <c r="O68" s="7"/>
      <c r="P68" s="7"/>
      <c r="Q68" s="23"/>
      <c r="R68" s="23"/>
      <c r="S68" s="35">
        <f t="shared" si="35"/>
        <v>1</v>
      </c>
      <c r="T68" s="50" t="str">
        <f t="shared" si="3"/>
        <v>NorthBound</v>
      </c>
      <c r="U68" s="16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09:44:29-700',mode:absolute,to:'2016-11-07 12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8" s="52" t="str">
        <f t="shared" si="5"/>
        <v>N</v>
      </c>
      <c r="X68" s="174">
        <f t="shared" si="37"/>
        <v>1</v>
      </c>
      <c r="Y68" s="67">
        <f t="shared" si="33"/>
        <v>4.7800000000000002E-2</v>
      </c>
      <c r="Z68" s="67">
        <f t="shared" si="34"/>
        <v>23.329699999999999</v>
      </c>
      <c r="AA68" s="67">
        <f t="shared" si="7"/>
        <v>23.2819</v>
      </c>
      <c r="AB68" s="64" t="str">
        <f>VLOOKUP(A68,Enforcements!$C$7:$K$21,8,0)</f>
        <v>Speed (6)</v>
      </c>
      <c r="AC68" s="60" t="str">
        <f>VLOOKUP(A68,Enforcements!$C$7:$E$21,3,0)</f>
        <v>PERMANENT SPEED RESTRICTION</v>
      </c>
      <c r="AD68" s="61" t="str">
        <f t="shared" si="8"/>
        <v>0157-07</v>
      </c>
      <c r="AE68" s="91" t="str">
        <f t="shared" si="9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68" s="88" t="str">
        <f t="shared" si="10"/>
        <v>"C:\Program Files (x86)\AstroGrep\AstroGrep.exe" /spath="%USERPROFILE%\AppData\Local\Temp\OnboardLogs" /stypes="app*4046*20161107*" /stext=" 18:.+((SYSTEM_STATE.+slice.+state.+changed )|(ment ac)|(system.+state.+changed )|(\[timeout)|(PRM\|1\|D)|(kpr)|(kdp)|(\|loc)|(penalty))" /e /r /s</v>
      </c>
      <c r="AG68" s="1" t="str">
        <f t="shared" si="11"/>
        <v>EC</v>
      </c>
      <c r="AH68" s="92" t="str">
        <f t="shared" si="14"/>
        <v>"%USERPROFILE%\Documents\GitHub\eaglep3\Utilities\RefineRTDCRunTimes.py" --tripid 157-07 --locoid 4046 --swversion DE.1.0.8.0 --startMP 204:478 --initTime 2016-11-07T10:44:29 --startdatetime 2016-11-07T10:45:53 --delay 1 --endMP 204:233297 --enddatetime 2016-11-07T11:22:28 --enforcementcount 0 &gt;&gt;C:\Users\stu\Documents\GitHub\eaglep3-reporting\EC\2016-11-07-refined-times.txt</v>
      </c>
      <c r="AI6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ID","value":"157-07"},{"id":16,"name":"Locomotive ID","value":"4046"},{"id":130,"name":"Impact","value":""},{"id":150,"name":"Time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415</v>
      </c>
      <c r="B69" s="7">
        <v>4045</v>
      </c>
      <c r="C69" s="22" t="s">
        <v>237</v>
      </c>
      <c r="D69" s="22" t="s">
        <v>395</v>
      </c>
      <c r="E69" s="13">
        <v>42681.485150462962</v>
      </c>
      <c r="F69" s="13">
        <v>42681.48704861111</v>
      </c>
      <c r="G69" s="7">
        <v>1</v>
      </c>
      <c r="H69" s="22" t="s">
        <v>223</v>
      </c>
      <c r="I69" s="13">
        <v>42681.512569444443</v>
      </c>
      <c r="J69" s="7">
        <v>0</v>
      </c>
      <c r="K69" s="110" t="str">
        <f t="shared" si="0"/>
        <v>4045/4046</v>
      </c>
      <c r="L69" s="22" t="str">
        <f>VLOOKUP(A69,'Trips&amp;Operators'!$C$1:$E$10000,3,FALSE)</f>
        <v>MALAVE</v>
      </c>
      <c r="M69" s="6">
        <f t="shared" si="1"/>
        <v>2.5520833332848269E-2</v>
      </c>
      <c r="N69" s="7">
        <f t="shared" si="38"/>
        <v>36.749999999301508</v>
      </c>
      <c r="O69" s="7"/>
      <c r="P69" s="7"/>
      <c r="Q69" s="23"/>
      <c r="R69" s="23"/>
      <c r="S69" s="35">
        <f t="shared" si="35"/>
        <v>1</v>
      </c>
      <c r="T69" s="50" t="str">
        <f t="shared" si="3"/>
        <v>Southbound</v>
      </c>
      <c r="U69" s="16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10:38:37-700',mode:absolute,to:'2016-11-07 13:18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9" s="52" t="str">
        <f t="shared" si="5"/>
        <v>N</v>
      </c>
      <c r="X69" s="174">
        <f t="shared" si="37"/>
        <v>1</v>
      </c>
      <c r="Y69" s="67">
        <f t="shared" si="33"/>
        <v>23.297899999999998</v>
      </c>
      <c r="Z69" s="67">
        <f t="shared" si="34"/>
        <v>1.5599999999999999E-2</v>
      </c>
      <c r="AA69" s="67">
        <f t="shared" si="7"/>
        <v>23.282299999999999</v>
      </c>
      <c r="AB69" s="64" t="str">
        <f>VLOOKUP(A69,Enforcements!$C$7:$K$21,8,0)</f>
        <v>Signal based authority (5)</v>
      </c>
      <c r="AC69" s="60" t="str">
        <f>VLOOKUP(A69,Enforcements!$C$7:$E$21,3,0)</f>
        <v>SIGNAL</v>
      </c>
      <c r="AD69" s="61" t="str">
        <f t="shared" si="8"/>
        <v>0158-07</v>
      </c>
      <c r="AE69" s="91" t="str">
        <f t="shared" si="9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69" s="88" t="str">
        <f t="shared" si="10"/>
        <v>"C:\Program Files (x86)\AstroGrep\AstroGrep.exe" /spath="%USERPROFILE%\AppData\Local\Temp\OnboardLogs" /stypes="app*4045*20161107*" /stext=" 19:.+((SYSTEM_STATE.+slice.+state.+changed )|(ment ac)|(system.+state.+changed )|(\[timeout)|(PRM\|1\|D)|(kpr)|(kdp)|(\|loc)|(penalty))" /e /r /s</v>
      </c>
      <c r="AG69" s="1" t="str">
        <f t="shared" si="11"/>
        <v>EC</v>
      </c>
      <c r="AH69" s="92" t="str">
        <f t="shared" si="14"/>
        <v>"%USERPROFILE%\Documents\GitHub\eaglep3\Utilities\RefineRTDCRunTimes.py" --tripid 158-07 --locoid 4045 --swversion DE.1.0.8.0 --startMP 204:232979 --initTime 2016-11-07T11:38:37 --startdatetime 2016-11-07T11:41:21 --delay 1 --endMP 204:156 --enddatetime 2016-11-07T12:18:06 --enforcementcount 0 &gt;&gt;C:\Users\stu\Documents\GitHub\eaglep3-reporting\EC\2016-11-07-refined-times.txt</v>
      </c>
      <c r="AI6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ID","value":"158-07"},{"id":16,"name":"Locomotive ID","value":"4045"},{"id":130,"name":"Impact","value":""},{"id":150,"name":"Time of Event (Mountain Time)","value":"12:18:06"},{"id":151,"name":"Denver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499</v>
      </c>
      <c r="B70" s="7">
        <v>4053</v>
      </c>
      <c r="C70" s="22" t="s">
        <v>237</v>
      </c>
      <c r="D70" s="22" t="s">
        <v>212</v>
      </c>
      <c r="E70" s="13">
        <v>42681.454247685186</v>
      </c>
      <c r="F70" s="13">
        <v>42681.458587962959</v>
      </c>
      <c r="G70" s="7">
        <v>1</v>
      </c>
      <c r="H70" s="22" t="s">
        <v>236</v>
      </c>
      <c r="I70" s="13">
        <v>42681.484016203707</v>
      </c>
      <c r="J70" s="7">
        <v>0</v>
      </c>
      <c r="K70" s="110" t="str">
        <f t="shared" si="0"/>
        <v>4053/4054</v>
      </c>
      <c r="L70" s="22" t="str">
        <f>VLOOKUP(A70,'Trips&amp;Operators'!$C$1:$E$10000,3,FALSE)</f>
        <v>LALONDE</v>
      </c>
      <c r="M70" s="6">
        <f t="shared" si="1"/>
        <v>2.5428240747714881E-2</v>
      </c>
      <c r="N70" s="7">
        <f t="shared" si="38"/>
        <v>36.616666676709428</v>
      </c>
      <c r="O70" s="7"/>
      <c r="P70" s="7"/>
      <c r="Q70" s="23"/>
      <c r="R70" s="23"/>
      <c r="S70" s="35">
        <f t="shared" si="35"/>
        <v>1</v>
      </c>
      <c r="T70" s="50" t="str">
        <f t="shared" si="3"/>
        <v>NorthBound</v>
      </c>
      <c r="U70" s="16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09:54:07-700',mode:absolute,to:'2016-11-07 12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0" s="52" t="str">
        <f t="shared" si="5"/>
        <v>N</v>
      </c>
      <c r="X70" s="174">
        <f t="shared" si="37"/>
        <v>1</v>
      </c>
      <c r="Y70" s="67">
        <f t="shared" si="33"/>
        <v>4.5100000000000001E-2</v>
      </c>
      <c r="Z70" s="67">
        <f t="shared" si="34"/>
        <v>23.330100000000002</v>
      </c>
      <c r="AA70" s="67">
        <f t="shared" si="7"/>
        <v>23.285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8"/>
        <v>0159-07</v>
      </c>
      <c r="AE70" s="91" t="str">
        <f t="shared" si="9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70" s="88" t="str">
        <f t="shared" si="10"/>
        <v>"C:\Program Files (x86)\AstroGrep\AstroGrep.exe" /spath="%USERPROFILE%\AppData\Local\Temp\OnboardLogs" /stypes="app*4053*20161107*" /stext=" 18:.+((SYSTEM_STATE.+slice.+state.+changed )|(ment ac)|(system.+state.+changed )|(\[timeout)|(PRM\|1\|D)|(kpr)|(kdp)|(\|loc)|(penalty))" /e /r /s</v>
      </c>
      <c r="AG70" s="1" t="str">
        <f t="shared" si="11"/>
        <v>EC</v>
      </c>
      <c r="AH70" s="92" t="str">
        <f t="shared" si="14"/>
        <v>"%USERPROFILE%\Documents\GitHub\eaglep3\Utilities\RefineRTDCRunTimes.py" --tripid 159-07 --locoid 4053 --swversion DE.1.0.8.0 --startMP 204:451 --initTime 2016-11-07T10:54:07 --startdatetime 2016-11-07T11:00:22 --delay 1 --endMP 204:233301 --enddatetime 2016-11-07T11:36:59 --enforcementcount 0 &gt;&gt;C:\Users\stu\Documents\GitHub\eaglep3-reporting\EC\2016-11-07-refined-times.txt</v>
      </c>
      <c r="AI7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{"issue":{"subject":"","project_id":79,"tracker_id":40,"status_id":1,"priority_id":2,"assigned_to_id":23,"start_date":"2016-11-07","description":"","custom_fields":[{"id":1,"name":"Subdivision","value":"EC"},{"id":4,"name":"Milepost","value":"23.3301"},{"id":17,"name":"Train ID","value":"159-07"},{"id":16,"name":"Locomotive ID","value":"4053"},{"id":130,"name":"Impact","value":""},{"id":150,"name":"Time of Event (Mountain Time)","value":"11:36:59"},{"id":151,"name":"Denver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511</v>
      </c>
      <c r="B71" s="7">
        <v>4054</v>
      </c>
      <c r="C71" s="22" t="s">
        <v>237</v>
      </c>
      <c r="D71" s="22" t="s">
        <v>367</v>
      </c>
      <c r="E71" s="13">
        <v>42681.494675925926</v>
      </c>
      <c r="F71" s="13">
        <v>42681.497523148151</v>
      </c>
      <c r="G71" s="7">
        <v>2</v>
      </c>
      <c r="H71" s="22" t="s">
        <v>176</v>
      </c>
      <c r="I71" s="13">
        <v>42681.524189814816</v>
      </c>
      <c r="J71" s="7">
        <v>0</v>
      </c>
      <c r="K71" s="110" t="str">
        <f t="shared" si="0"/>
        <v>4053/4054</v>
      </c>
      <c r="L71" s="22" t="str">
        <f>VLOOKUP(A71,'Trips&amp;Operators'!$C$1:$E$10000,3,FALSE)</f>
        <v>LALONDE</v>
      </c>
      <c r="M71" s="6">
        <f t="shared" si="1"/>
        <v>2.6666666664823424E-2</v>
      </c>
      <c r="N71" s="7">
        <f t="shared" si="38"/>
        <v>38.399999997345731</v>
      </c>
      <c r="O71" s="7"/>
      <c r="P71" s="7"/>
      <c r="Q71" s="23"/>
      <c r="R71" s="23"/>
      <c r="S71" s="35">
        <f t="shared" si="35"/>
        <v>1</v>
      </c>
      <c r="T71" s="50" t="str">
        <f t="shared" si="3"/>
        <v>Southbound</v>
      </c>
      <c r="U71" s="16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10:52:20-700',mode:absolute,to:'2016-11-07 13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1" s="52" t="str">
        <f t="shared" si="5"/>
        <v>N</v>
      </c>
      <c r="X71" s="174">
        <f t="shared" si="37"/>
        <v>1</v>
      </c>
      <c r="Y71" s="67">
        <f t="shared" si="33"/>
        <v>23.298999999999999</v>
      </c>
      <c r="Z71" s="67">
        <f t="shared" si="34"/>
        <v>1.52E-2</v>
      </c>
      <c r="AA71" s="67">
        <f t="shared" si="7"/>
        <v>23.283799999999999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8"/>
        <v>0160-07</v>
      </c>
      <c r="AE71" s="91" t="str">
        <f t="shared" si="9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71" s="88" t="str">
        <f t="shared" si="10"/>
        <v>"C:\Program Files (x86)\AstroGrep\AstroGrep.exe" /spath="%USERPROFILE%\AppData\Local\Temp\OnboardLogs" /stypes="app*4054*20161107*" /stext=" 19:.+((SYSTEM_STATE.+slice.+state.+changed )|(ment ac)|(system.+state.+changed )|(\[timeout)|(PRM\|1\|D)|(kpr)|(kdp)|(\|loc)|(penalty))" /e /r /s</v>
      </c>
      <c r="AG71" s="1" t="str">
        <f t="shared" si="11"/>
        <v>EC</v>
      </c>
      <c r="AH71" s="92" t="str">
        <f t="shared" si="14"/>
        <v>"%USERPROFILE%\Documents\GitHub\eaglep3\Utilities\RefineRTDCRunTimes.py" --tripid 160-07 --locoid 4054 --swversion DE.1.0.8.0 --startMP 204:232990 --initTime 2016-11-07T11:52:20 --startdatetime 2016-11-07T11:56:26 --delay 2 --endMP 204:152 --enddatetime 2016-11-07T12:34:50 --enforcementcount 0 &gt;&gt;C:\Users\stu\Documents\GitHub\eaglep3-reporting\EC\2016-11-07-refined-times.txt</v>
      </c>
      <c r="AI7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ID","value":"160-07"},{"id":16,"name":"Locomotive ID","value":"4054"},{"id":130,"name":"Impact","value":""},{"id":150,"name":"Time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503</v>
      </c>
      <c r="B72" s="7">
        <v>4040</v>
      </c>
      <c r="C72" s="22" t="s">
        <v>237</v>
      </c>
      <c r="D72" s="22" t="s">
        <v>242</v>
      </c>
      <c r="E72" s="13">
        <v>42681.467164351852</v>
      </c>
      <c r="F72" s="13">
        <v>42681.4690625</v>
      </c>
      <c r="G72" s="7">
        <v>1</v>
      </c>
      <c r="H72" s="22" t="s">
        <v>326</v>
      </c>
      <c r="I72" s="13">
        <v>42681.493784722225</v>
      </c>
      <c r="J72" s="7">
        <v>0</v>
      </c>
      <c r="K72" s="110" t="str">
        <f t="shared" si="0"/>
        <v>4039/4040</v>
      </c>
      <c r="L72" s="22" t="str">
        <f>VLOOKUP(A72,'Trips&amp;Operators'!$C$1:$E$10000,3,FALSE)</f>
        <v>BARTLETT</v>
      </c>
      <c r="M72" s="6">
        <f t="shared" si="1"/>
        <v>2.4722222224227153E-2</v>
      </c>
      <c r="N72" s="7">
        <f t="shared" si="38"/>
        <v>35.6000000028871</v>
      </c>
      <c r="O72" s="7"/>
      <c r="P72" s="7"/>
      <c r="Q72" s="23"/>
      <c r="R72" s="23"/>
      <c r="S72" s="35">
        <f t="shared" si="35"/>
        <v>1</v>
      </c>
      <c r="T72" s="50" t="str">
        <f t="shared" si="3"/>
        <v>NorthBound</v>
      </c>
      <c r="U72" s="16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10:12:43-700',mode:absolute,to:'2016-11-07 12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2" t="str">
        <f t="shared" si="5"/>
        <v>N</v>
      </c>
      <c r="X72" s="174">
        <f t="shared" si="37"/>
        <v>1</v>
      </c>
      <c r="Y72" s="67">
        <f t="shared" si="33"/>
        <v>4.58E-2</v>
      </c>
      <c r="Z72" s="67">
        <f t="shared" si="34"/>
        <v>23.331399999999999</v>
      </c>
      <c r="AA72" s="67">
        <f t="shared" si="7"/>
        <v>23.285599999999999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8"/>
        <v>0161-07</v>
      </c>
      <c r="AE72" s="91" t="str">
        <f t="shared" si="9"/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72" s="88" t="str">
        <f t="shared" si="10"/>
        <v>"C:\Program Files (x86)\AstroGrep\AstroGrep.exe" /spath="%USERPROFILE%\AppData\Local\Temp\OnboardLogs" /stypes="app*4040*20161107*" /stext=" 18:.+((SYSTEM_STATE.+slice.+state.+changed )|(ment ac)|(system.+state.+changed )|(\[timeout)|(PRM\|1\|D)|(kpr)|(kdp)|(\|loc)|(penalty))" /e /r /s</v>
      </c>
      <c r="AG72" s="1" t="str">
        <f t="shared" si="11"/>
        <v>EC</v>
      </c>
      <c r="AH72" s="92" t="str">
        <f t="shared" si="14"/>
        <v>"%USERPROFILE%\Documents\GitHub\eaglep3\Utilities\RefineRTDCRunTimes.py" --tripid 161-07 --locoid 4040 --swversion DE.1.0.8.0 --startMP 204:458 --initTime 2016-11-07T11:12:43 --startdatetime 2016-11-07T11:15:27 --delay 1 --endMP 204:233314 --enddatetime 2016-11-07T11:51:03 --enforcementcount 0 &gt;&gt;C:\Users\stu\Documents\GitHub\eaglep3-reporting\EC\2016-11-07-refined-times.txt</v>
      </c>
      <c r="AI7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{"issue":{"subject":"","project_id":79,"tracker_id":40,"status_id":1,"priority_id":2,"assigned_to_id":23,"start_date":"2016-11-07","description":"","custom_fields":[{"id":1,"name":"Subdivision","value":"EC"},{"id":4,"name":"Milepost","value":"23.3314"},{"id":17,"name":"Train ID","value":"161-07"},{"id":16,"name":"Locomotive ID","value":"4040"},{"id":130,"name":"Impact","value":""},{"id":150,"name":"Time of Event (Mountain Time)","value":"11:51:03"},{"id":151,"name":"Denver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417</v>
      </c>
      <c r="B73" s="7">
        <v>4039</v>
      </c>
      <c r="C73" s="22" t="s">
        <v>237</v>
      </c>
      <c r="D73" s="22" t="s">
        <v>303</v>
      </c>
      <c r="E73" s="13">
        <v>42681.497615740744</v>
      </c>
      <c r="F73" s="13">
        <v>42681.507939814815</v>
      </c>
      <c r="G73" s="7">
        <v>1</v>
      </c>
      <c r="H73" s="22" t="s">
        <v>645</v>
      </c>
      <c r="I73" s="13">
        <v>42681.533518518518</v>
      </c>
      <c r="J73" s="7">
        <v>0</v>
      </c>
      <c r="K73" s="110" t="str">
        <f t="shared" si="0"/>
        <v>4039/4040</v>
      </c>
      <c r="L73" s="22" t="str">
        <f>VLOOKUP(A73,'Trips&amp;Operators'!$C$1:$E$10000,3,FALSE)</f>
        <v>BARTLETT</v>
      </c>
      <c r="M73" s="6">
        <f t="shared" si="1"/>
        <v>2.5578703702194616E-2</v>
      </c>
      <c r="N73" s="7">
        <f t="shared" si="38"/>
        <v>36.833333331160247</v>
      </c>
      <c r="O73" s="7"/>
      <c r="P73" s="7"/>
      <c r="Q73" s="23"/>
      <c r="R73" s="23"/>
      <c r="S73" s="35">
        <f t="shared" si="35"/>
        <v>1</v>
      </c>
      <c r="T73" s="50" t="str">
        <f t="shared" si="3"/>
        <v>Southbound</v>
      </c>
      <c r="U73" s="16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10:56:34-700',mode:absolute,to:'2016-11-07 13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2" t="str">
        <f t="shared" si="5"/>
        <v>N</v>
      </c>
      <c r="X73" s="174">
        <f t="shared" si="37"/>
        <v>1</v>
      </c>
      <c r="Y73" s="67">
        <f t="shared" si="33"/>
        <v>23.299099999999999</v>
      </c>
      <c r="Z73" s="67">
        <f t="shared" si="34"/>
        <v>3.09E-2</v>
      </c>
      <c r="AA73" s="67">
        <f t="shared" si="7"/>
        <v>23.2682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8"/>
        <v>0162-07</v>
      </c>
      <c r="AE73" s="91" t="str">
        <f t="shared" si="9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73" s="88" t="str">
        <f t="shared" si="10"/>
        <v>"C:\Program Files (x86)\AstroGrep\AstroGrep.exe" /spath="%USERPROFILE%\AppData\Local\Temp\OnboardLogs" /stypes="app*4039*20161107*" /stext=" 19:.+((SYSTEM_STATE.+slice.+state.+changed )|(ment ac)|(system.+state.+changed )|(\[timeout)|(PRM\|1\|D)|(kpr)|(kdp)|(\|loc)|(penalty))" /e /r /s</v>
      </c>
      <c r="AG73" s="1" t="str">
        <f t="shared" si="11"/>
        <v>EC</v>
      </c>
      <c r="AH73" s="92" t="str">
        <f t="shared" si="14"/>
        <v>"%USERPROFILE%\Documents\GitHub\eaglep3\Utilities\RefineRTDCRunTimes.py" --tripid 162-07 --locoid 4039 --swversion DE.1.0.8.0 --startMP 204:232991 --initTime 2016-11-07T11:56:34 --startdatetime 2016-11-07T12:11:26 --delay 1 --endMP 204:309 --enddatetime 2016-11-07T12:48:16 --enforcementcount 0 &gt;&gt;C:\Users\stu\Documents\GitHub\eaglep3-reporting\EC\2016-11-07-refined-times.txt</v>
      </c>
      <c r="AI73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{"issue":{"subject":"","project_id":79,"tracker_id":40,"status_id":1,"priority_id":2,"assigned_to_id":23,"start_date":"2016-11-07","description":"","custom_fields":[{"id":1,"name":"Subdivision","value":"EC"},{"id":4,"name":"Milepost","value":"0.0309"},{"id":17,"name":"Train ID","value":"162-07"},{"id":16,"name":"Locomotive ID","value":"4039"},{"id":130,"name":"Impact","value":""},{"id":150,"name":"Time of Event (Mountain Time)","value":"12:48:16"},{"id":151,"name":"Denver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507</v>
      </c>
      <c r="B74" s="7">
        <v>4025</v>
      </c>
      <c r="C74" s="22" t="s">
        <v>237</v>
      </c>
      <c r="D74" s="22" t="s">
        <v>333</v>
      </c>
      <c r="E74" s="13">
        <v>42681.473425925928</v>
      </c>
      <c r="F74" s="13">
        <v>42681.479803240742</v>
      </c>
      <c r="G74" s="7">
        <v>1</v>
      </c>
      <c r="H74" s="22" t="s">
        <v>646</v>
      </c>
      <c r="I74" s="13">
        <v>42681.504571759258</v>
      </c>
      <c r="J74" s="7">
        <v>0</v>
      </c>
      <c r="K74" s="110" t="str">
        <f t="shared" si="0"/>
        <v>4025/4026</v>
      </c>
      <c r="L74" s="22" t="str">
        <f>VLOOKUP(A74,'Trips&amp;Operators'!$C$1:$E$10000,3,FALSE)</f>
        <v>NELSON</v>
      </c>
      <c r="M74" s="6">
        <f t="shared" si="1"/>
        <v>2.4768518516793847E-2</v>
      </c>
      <c r="N74" s="7">
        <f t="shared" si="38"/>
        <v>35.66666666418314</v>
      </c>
      <c r="O74" s="7"/>
      <c r="P74" s="7"/>
      <c r="Q74" s="23"/>
      <c r="R74" s="23"/>
      <c r="S74" s="35">
        <f t="shared" si="35"/>
        <v>1</v>
      </c>
      <c r="T74" s="50" t="str">
        <f t="shared" si="3"/>
        <v>NorthBound</v>
      </c>
      <c r="U74" s="16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10:21:44-700',mode:absolute,to:'2016-11-07 13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4" s="52" t="str">
        <f t="shared" si="5"/>
        <v>N</v>
      </c>
      <c r="X74" s="174">
        <f t="shared" si="37"/>
        <v>1</v>
      </c>
      <c r="Y74" s="67">
        <f t="shared" si="33"/>
        <v>4.3700000000000003E-2</v>
      </c>
      <c r="Z74" s="67">
        <f t="shared" si="34"/>
        <v>23.3293</v>
      </c>
      <c r="AA74" s="67">
        <f t="shared" si="7"/>
        <v>23.285599999999999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8"/>
        <v>0163-07</v>
      </c>
      <c r="AE74" s="91" t="str">
        <f t="shared" si="9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74" s="88" t="str">
        <f t="shared" si="10"/>
        <v>"C:\Program Files (x86)\AstroGrep\AstroGrep.exe" /spath="%USERPROFILE%\AppData\Local\Temp\OnboardLogs" /stypes="app*4025*20161107*" /stext=" 19:.+((SYSTEM_STATE.+slice.+state.+changed )|(ment ac)|(system.+state.+changed )|(\[timeout)|(PRM\|1\|D)|(kpr)|(kdp)|(\|loc)|(penalty))" /e /r /s</v>
      </c>
      <c r="AG74" s="1" t="str">
        <f t="shared" si="11"/>
        <v>EC</v>
      </c>
      <c r="AH74" s="92" t="str">
        <f t="shared" si="14"/>
        <v>"%USERPROFILE%\Documents\GitHub\eaglep3\Utilities\RefineRTDCRunTimes.py" --tripid 163-07 --locoid 4025 --swversion DE.1.0.8.0 --startMP 204:437 --initTime 2016-11-07T11:21:44 --startdatetime 2016-11-07T11:30:55 --delay 1 --endMP 204:233293 --enddatetime 2016-11-07T12:06:35 --enforcementcount 0 &gt;&gt;C:\Users\stu\Documents\GitHub\eaglep3-reporting\EC\2016-11-07-refined-times.txt</v>
      </c>
      <c r="AI74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{"issue":{"subject":"","project_id":79,"tracker_id":40,"status_id":1,"priority_id":2,"assigned_to_id":23,"start_date":"2016-11-07","description":"","custom_fields":[{"id":1,"name":"Subdivision","value":"EC"},{"id":4,"name":"Milepost","value":"23.3293"},{"id":17,"name":"Train ID","value":"163-07"},{"id":16,"name":"Locomotive ID","value":"4025"},{"id":130,"name":"Impact","value":""},{"id":150,"name":"Time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418</v>
      </c>
      <c r="B75" s="7">
        <v>4026</v>
      </c>
      <c r="C75" s="22" t="s">
        <v>237</v>
      </c>
      <c r="D75" s="22" t="s">
        <v>221</v>
      </c>
      <c r="E75" s="13">
        <v>42681.508506944447</v>
      </c>
      <c r="F75" s="13">
        <v>42681.518379629626</v>
      </c>
      <c r="G75" s="7">
        <v>1</v>
      </c>
      <c r="H75" s="22" t="s">
        <v>647</v>
      </c>
      <c r="I75" s="13">
        <v>42681.546319444446</v>
      </c>
      <c r="J75" s="7">
        <v>0</v>
      </c>
      <c r="K75" s="110" t="str">
        <f t="shared" si="0"/>
        <v>4025/4026</v>
      </c>
      <c r="L75" s="22" t="str">
        <f>VLOOKUP(A75,'Trips&amp;Operators'!$C$1:$E$10000,3,FALSE)</f>
        <v>NELSON</v>
      </c>
      <c r="M75" s="6">
        <f t="shared" si="1"/>
        <v>2.7939814819546882E-2</v>
      </c>
      <c r="N75" s="7">
        <f t="shared" si="38"/>
        <v>40.23333334014751</v>
      </c>
      <c r="O75" s="7"/>
      <c r="P75" s="7"/>
      <c r="Q75" s="23"/>
      <c r="R75" s="23" t="s">
        <v>789</v>
      </c>
      <c r="S75" s="35">
        <f t="shared" si="35"/>
        <v>1</v>
      </c>
      <c r="T75" s="50" t="str">
        <f t="shared" si="3"/>
        <v>Southbound</v>
      </c>
      <c r="U75" s="16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5" s="52" t="str">
        <f t="shared" si="5"/>
        <v>N</v>
      </c>
      <c r="X75" s="174">
        <f t="shared" si="37"/>
        <v>1</v>
      </c>
      <c r="Y75" s="67">
        <f t="shared" si="33"/>
        <v>23.297699999999999</v>
      </c>
      <c r="Z75" s="67">
        <v>0.15</v>
      </c>
      <c r="AA75" s="67">
        <f t="shared" si="7"/>
        <v>23.1477</v>
      </c>
      <c r="AB75" s="64" t="str">
        <f>VLOOKUP(A75,Enforcements!$C$7:$K$21,8,0)</f>
        <v>Bulletin (2)</v>
      </c>
      <c r="AC75" s="60" t="str">
        <f>VLOOKUP(A75,Enforcements!$C$7:$E$21,3,0)</f>
        <v>GRADE CROSSING</v>
      </c>
      <c r="AD75" s="61" t="str">
        <f t="shared" si="8"/>
        <v>0164-07</v>
      </c>
      <c r="AE75" s="91" t="str">
        <f t="shared" si="9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75" s="88" t="str">
        <f t="shared" si="10"/>
        <v>"C:\Program Files (x86)\AstroGrep\AstroGrep.exe" /spath="%USERPROFILE%\AppData\Local\Temp\OnboardLogs" /stypes="app*4026*20161107*" /stext=" 20:.+((SYSTEM_STATE.+slice.+state.+changed )|(ment ac)|(system.+state.+changed )|(\[timeout)|(PRM\|1\|D)|(kpr)|(kdp)|(\|loc)|(penalty))" /e /r /s</v>
      </c>
      <c r="AG75" s="1" t="str">
        <f t="shared" si="11"/>
        <v>EC</v>
      </c>
      <c r="AH75" s="92" t="str">
        <f t="shared" si="14"/>
        <v>"%USERPROFILE%\Documents\GitHub\eaglep3\Utilities\RefineRTDCRunTimes.py" --tripid 164-07 --locoid 4026 --swversion DE.1.0.8.0 --startMP 204:232977 --initTime 2016-11-07T12:12:15 --startdatetime 2016-11-07T12:26:28 --delay 1 --endMP 204:31863 --enddatetime 2016-11-07T13:06:42 --enforcementcount 0 &gt;&gt;C:\Users\stu\Documents\GitHub\eaglep3-reporting\EC\2016-11-07-refined-times.txt</v>
      </c>
      <c r="AI75" s="120" t="str">
        <f t="shared" si="15"/>
        <v>echo {"issue":{"subject":"Slice change @ 12:58, but system recovered quickly and kept going without a hitch","project_id":79,"tracker_id":40,"status_id":1,"priority_id":2,"assigned_to_id":23,"start_date":"2016-11-07","description":"","custom_fields":[{"id":1,"name":"Subdivision","value":"EC"},{"id":4,"name":"Milepost","value":"0.15"},{"id":17,"name":"Train ID","value":"164-07"},{"id":16,"name":"Locomotive ID","value":"4026"},{"id":130,"name":"Impact","value":""},{"id":150,"name":"Time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509</v>
      </c>
      <c r="B76" s="7">
        <v>4007</v>
      </c>
      <c r="C76" s="22" t="s">
        <v>237</v>
      </c>
      <c r="D76" s="22" t="s">
        <v>226</v>
      </c>
      <c r="E76" s="13">
        <v>42681.483576388891</v>
      </c>
      <c r="F76" s="13">
        <v>42681.489768518521</v>
      </c>
      <c r="G76" s="7">
        <v>2</v>
      </c>
      <c r="H76" s="22" t="s">
        <v>387</v>
      </c>
      <c r="I76" s="13">
        <v>42681.514837962961</v>
      </c>
      <c r="J76" s="7">
        <v>0</v>
      </c>
      <c r="K76" s="110" t="str">
        <f t="shared" si="0"/>
        <v>4007/4008</v>
      </c>
      <c r="L76" s="22" t="str">
        <f>VLOOKUP(A76,'Trips&amp;Operators'!$C$1:$E$10000,3,FALSE)</f>
        <v>CLARK</v>
      </c>
      <c r="M76" s="6">
        <f t="shared" si="1"/>
        <v>2.5069444440305233E-2</v>
      </c>
      <c r="N76" s="7">
        <f t="shared" si="38"/>
        <v>36.099999994039536</v>
      </c>
      <c r="O76" s="7"/>
      <c r="P76" s="7"/>
      <c r="Q76" s="23"/>
      <c r="R76" s="23"/>
      <c r="S76" s="35">
        <f t="shared" si="35"/>
        <v>1</v>
      </c>
      <c r="T76" s="50" t="str">
        <f t="shared" si="3"/>
        <v>NorthBound</v>
      </c>
      <c r="U76" s="16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https://search-rtdc-monitor-bjffxe2xuh6vdkpspy63sjmuny.us-east-1.es.amazonaws.com/_plugin/kibana/#/discover/Steve-Slow-Train-Analysis-(2080s-and-2083s)?_g=(refreshInterval:(display:Off,section:0,value:0),time:(from:'2016-11-07 10:36:21-700',mode:absolute,to:'2016-11-07 13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6" s="52" t="str">
        <f t="shared" si="5"/>
        <v>N</v>
      </c>
      <c r="X76" s="174">
        <f t="shared" si="37"/>
        <v>1</v>
      </c>
      <c r="Y76" s="67">
        <f t="shared" si="33"/>
        <v>4.4900000000000002E-2</v>
      </c>
      <c r="Z76" s="67">
        <f t="shared" ref="Z76:Z107" si="39">RIGHT(H76,LEN(H76)-4)/10000</f>
        <v>23.336400000000001</v>
      </c>
      <c r="AA76" s="67">
        <f t="shared" si="7"/>
        <v>23.291500000000003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8"/>
        <v>0165-07</v>
      </c>
      <c r="AE76" s="91" t="str">
        <f t="shared" si="9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76" s="88" t="str">
        <f t="shared" si="10"/>
        <v>"C:\Program Files (x86)\AstroGrep\AstroGrep.exe" /spath="%USERPROFILE%\AppData\Local\Temp\OnboardLogs" /stypes="app*4007*20161107*" /stext=" 19:.+((SYSTEM_STATE.+slice.+state.+changed )|(ment ac)|(system.+state.+changed )|(\[timeout)|(PRM\|1\|D)|(kpr)|(kdp)|(\|loc)|(penalty))" /e /r /s</v>
      </c>
      <c r="AG76" s="1" t="str">
        <f t="shared" si="11"/>
        <v>EC</v>
      </c>
      <c r="AH76" s="92" t="str">
        <f t="shared" si="14"/>
        <v>"%USERPROFILE%\Documents\GitHub\eaglep3\Utilities\RefineRTDCRunTimes.py" --tripid 165-07 --locoid 4007 --swversion DE.1.0.8.0 --startMP 204:449 --initTime 2016-11-07T11:36:21 --startdatetime 2016-11-07T11:45:16 --delay 2 --endMP 204:233364 --enddatetime 2016-11-07T12:21:22 --enforcementcount 0 &gt;&gt;C:\Users\stu\Documents\GitHub\eaglep3-reporting\EC\2016-11-07-refined-times.txt</v>
      </c>
      <c r="AI76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{"issue":{"subject":"","project_id":79,"tracker_id":40,"status_id":1,"priority_id":2,"assigned_to_id":23,"start_date":"2016-11-07","description":"","custom_fields":[{"id":1,"name":"Subdivision","value":"EC"},{"id":4,"name":"Milepost","value":"23.3364"},{"id":17,"name":"Train ID","value":"165-07"},{"id":16,"name":"Locomotive ID","value":"4007"},{"id":130,"name":"Impact","value":""},{"id":150,"name":"Time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4008</v>
      </c>
      <c r="C77" s="22" t="s">
        <v>237</v>
      </c>
      <c r="D77" s="22" t="s">
        <v>648</v>
      </c>
      <c r="E77" s="13">
        <v>42681.523611111108</v>
      </c>
      <c r="F77" s="13">
        <v>42681.528645833336</v>
      </c>
      <c r="G77" s="7">
        <v>1</v>
      </c>
      <c r="H77" s="22" t="s">
        <v>649</v>
      </c>
      <c r="I77" s="13">
        <v>42681.555474537039</v>
      </c>
      <c r="J77" s="7">
        <v>0</v>
      </c>
      <c r="K77" s="110" t="str">
        <f t="shared" ref="K77:K140" si="40">IF(ISEVEN(B77),(B77-1)&amp;"/"&amp;B77,B77&amp;"/"&amp;(B77+1))</f>
        <v>4007/4008</v>
      </c>
      <c r="L77" s="22" t="str">
        <f>VLOOKUP(A77,'Trips&amp;Operators'!$C$1:$E$10000,3,FALSE)</f>
        <v>CLARK</v>
      </c>
      <c r="M77" s="6">
        <f t="shared" ref="M77:M140" si="41">I77-F77</f>
        <v>2.6828703703358769E-2</v>
      </c>
      <c r="N77" s="7">
        <f t="shared" si="38"/>
        <v>38.633333332836628</v>
      </c>
      <c r="O77" s="7"/>
      <c r="P77" s="7"/>
      <c r="Q77" s="23"/>
      <c r="R77" s="23"/>
      <c r="S77" s="35">
        <f t="shared" ref="S77:S108" si="42">SUM(U77:U77)/IF(AG77="EC",12,1)</f>
        <v>1</v>
      </c>
      <c r="T77" s="50" t="str">
        <f t="shared" ref="T77:T140" si="43">IF(ISEVEN(LEFT(AD77,4)),"Southbound","NorthBound")</f>
        <v>Southbound</v>
      </c>
      <c r="U77" s="16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4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https://search-rtdc-monitor-bjffxe2xuh6vdkpspy63sjmuny.us-east-1.es.amazonaws.com/_plugin/kibana/#/discover/Steve-Slow-Train-Analysis-(2080s-and-2083s)?_g=(refreshInterval:(display:Off,section:0,value:0),time:(from:'2016-11-07 11:34:00-700',mode:absolute,to:'2016-11-07 14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7" s="52" t="str">
        <f t="shared" ref="W77:W140" si="45">IF(AA77&lt;IF(AG77="EC",23,5.65),"Y","N")</f>
        <v>N</v>
      </c>
      <c r="X77" s="174">
        <f t="shared" si="37"/>
        <v>1</v>
      </c>
      <c r="Y77" s="67">
        <f t="shared" si="33"/>
        <v>23.303799999999999</v>
      </c>
      <c r="Z77" s="67">
        <f t="shared" si="39"/>
        <v>1.3599999999999999E-2</v>
      </c>
      <c r="AA77" s="67">
        <f t="shared" ref="AA77:AA140" si="46">ABS(Z77-Y77)</f>
        <v>23.290199999999999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47">IF(LEN(A77)=6,"0"&amp;A77,A77)</f>
        <v>0166-07</v>
      </c>
      <c r="AE77" s="91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77" s="88" t="str">
        <f t="shared" ref="AF77:AF140" si="4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/stypes="app*4008*20161107*" /stext=" 20:.+((SYSTEM_STATE.+slice.+state.+changed )|(ment ac)|(system.+state.+changed )|(\[timeout)|(PRM\|1\|D)|(kpr)|(kdp)|(\|loc)|(penalty))" /e /r /s</v>
      </c>
      <c r="AG77" s="1" t="str">
        <f t="shared" ref="AG77:AG140" si="50">IFERROR(IF(VALUE(LEFT(AD77,2))&lt;=2,"EC",IF(OR(VALUE(LEFT(AD77,2))=8,VALUE(LEFT(AD77,2))=18),"NW","Other")),"Other")</f>
        <v>EC</v>
      </c>
      <c r="AH77" s="92" t="str">
        <f t="shared" si="14"/>
        <v>"%USERPROFILE%\Documents\GitHub\eaglep3\Utilities\RefineRTDCRunTimes.py" --tripid 166-07 --locoid 4008 --swversion DE.1.0.8.0 --startMP 204:233038 --initTime 2016-11-07T12:34:00 --startdatetime 2016-11-07T12:41:15 --delay 1 --endMP 204:136 --enddatetime 2016-11-07T13:19:53 --enforcementcount 0 &gt;&gt;C:\Users\stu\Documents\GitHub\eaglep3-reporting\EC\2016-11-07-refined-times.txt</v>
      </c>
      <c r="AI77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{"issue":{"subject":"","project_id":79,"tracker_id":40,"status_id":1,"priority_id":2,"assigned_to_id":23,"start_date":"2016-11-07","description":"","custom_fields":[{"id":1,"name":"Subdivision","value":"EC"},{"id":4,"name":"Milepost","value":"0.0136"},{"id":17,"name":"Train ID","value":"166-07"},{"id":16,"name":"Locomotive ID","value":"4008"},{"id":130,"name":"Impact","value":""},{"id":150,"name":"Time of Event (Mountain Time)","value":"13:19:53"},{"id":151,"name":"Denver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512</v>
      </c>
      <c r="B78" s="7">
        <v>4002</v>
      </c>
      <c r="C78" s="22" t="s">
        <v>237</v>
      </c>
      <c r="D78" s="22" t="s">
        <v>249</v>
      </c>
      <c r="E78" s="13">
        <v>42681.49622685185</v>
      </c>
      <c r="F78" s="13">
        <v>42681.5002662037</v>
      </c>
      <c r="G78" s="7">
        <v>2</v>
      </c>
      <c r="H78" s="22" t="s">
        <v>271</v>
      </c>
      <c r="I78" s="13">
        <v>42681.526909722219</v>
      </c>
      <c r="J78" s="7">
        <v>0</v>
      </c>
      <c r="K78" s="110" t="str">
        <f t="shared" si="40"/>
        <v>4001/4002</v>
      </c>
      <c r="L78" s="22" t="str">
        <f>VLOOKUP(A78,'Trips&amp;Operators'!$C$1:$E$10000,3,FALSE)</f>
        <v>YOUNG</v>
      </c>
      <c r="M78" s="6">
        <f t="shared" si="41"/>
        <v>2.6643518518540077E-2</v>
      </c>
      <c r="N78" s="7">
        <f t="shared" si="38"/>
        <v>38.366666666697711</v>
      </c>
      <c r="O78" s="7"/>
      <c r="P78" s="7"/>
      <c r="Q78" s="23"/>
      <c r="R78" s="23"/>
      <c r="S78" s="35">
        <f t="shared" si="42"/>
        <v>1</v>
      </c>
      <c r="T78" s="50" t="str">
        <f t="shared" si="43"/>
        <v>NorthBound</v>
      </c>
      <c r="U78" s="16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10:54:34-700',mode:absolute,to:'2016-11-07 13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8" s="52" t="str">
        <f t="shared" si="45"/>
        <v>N</v>
      </c>
      <c r="X78" s="174">
        <f t="shared" si="37"/>
        <v>1</v>
      </c>
      <c r="Y78" s="67">
        <f t="shared" si="33"/>
        <v>4.4400000000000002E-2</v>
      </c>
      <c r="Z78" s="67">
        <f t="shared" si="39"/>
        <v>23.331199999999999</v>
      </c>
      <c r="AA78" s="67">
        <f t="shared" si="46"/>
        <v>23.286799999999999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7"/>
        <v>0167-07</v>
      </c>
      <c r="AE78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78" s="88" t="str">
        <f t="shared" si="49"/>
        <v>"C:\Program Files (x86)\AstroGrep\AstroGrep.exe" /spath="%USERPROFILE%\AppData\Local\Temp\OnboardLogs" /stypes="app*4002*20161107*" /stext=" 19:.+((SYSTEM_STATE.+slice.+state.+changed )|(ment ac)|(system.+state.+changed )|(\[timeout)|(PRM\|1\|D)|(kpr)|(kdp)|(\|loc)|(penalty))" /e /r /s</v>
      </c>
      <c r="AG78" s="1" t="str">
        <f t="shared" si="50"/>
        <v>EC</v>
      </c>
      <c r="AH78" s="92" t="str">
        <f t="shared" si="14"/>
        <v>"%USERPROFILE%\Documents\GitHub\eaglep3\Utilities\RefineRTDCRunTimes.py" --tripid 167-07 --locoid 4002 --swversion DE.1.0.8.0 --startMP 204:444 --initTime 2016-11-07T11:54:34 --startdatetime 2016-11-07T12:00:23 --delay 2 --endMP 204:233312 --enddatetime 2016-11-07T12:38:45 --enforcementcount 0 &gt;&gt;C:\Users\stu\Documents\GitHub\eaglep3-reporting\EC\2016-11-07-refined-times.txt</v>
      </c>
      <c r="AI78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{"issue":{"subject":"","project_id":79,"tracker_id":40,"status_id":1,"priority_id":2,"assigned_to_id":23,"start_date":"2016-11-07","description":"","custom_fields":[{"id":1,"name":"Subdivision","value":"EC"},{"id":4,"name":"Milepost","value":"23.3312"},{"id":17,"name":"Train ID","value":"167-07"},{"id":16,"name":"Locomotive ID","value":"4002"},{"id":130,"name":"Impact","value":""},{"id":150,"name":"Time of Event (Mountain Time)","value":"12:38:45"},{"id":151,"name":"Denver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519</v>
      </c>
      <c r="B79" s="7">
        <v>4001</v>
      </c>
      <c r="C79" s="22" t="s">
        <v>237</v>
      </c>
      <c r="D79" s="22" t="s">
        <v>316</v>
      </c>
      <c r="E79" s="13">
        <v>42681.531331018516</v>
      </c>
      <c r="F79" s="13">
        <v>42681.5391087963</v>
      </c>
      <c r="G79" s="7">
        <v>1</v>
      </c>
      <c r="H79" s="22" t="s">
        <v>361</v>
      </c>
      <c r="I79" s="13">
        <v>42681.567627314813</v>
      </c>
      <c r="J79" s="7">
        <v>0</v>
      </c>
      <c r="K79" s="110" t="str">
        <f t="shared" si="40"/>
        <v>4001/4002</v>
      </c>
      <c r="L79" s="22" t="str">
        <f>VLOOKUP(A79,'Trips&amp;Operators'!$C$1:$E$10000,3,FALSE)</f>
        <v>YOUNG</v>
      </c>
      <c r="M79" s="6">
        <f t="shared" si="41"/>
        <v>2.8518518513010349E-2</v>
      </c>
      <c r="N79" s="7">
        <f t="shared" si="38"/>
        <v>41.066666658734903</v>
      </c>
      <c r="O79" s="7"/>
      <c r="P79" s="7"/>
      <c r="Q79" s="23"/>
      <c r="R79" s="23"/>
      <c r="S79" s="35">
        <f t="shared" si="42"/>
        <v>1</v>
      </c>
      <c r="T79" s="50" t="str">
        <f t="shared" si="43"/>
        <v>Southbound</v>
      </c>
      <c r="U79" s="16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11:45:07-700',mode:absolute,to:'2016-11-07 14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9" s="52" t="str">
        <f t="shared" si="45"/>
        <v>N</v>
      </c>
      <c r="X79" s="174">
        <f t="shared" si="37"/>
        <v>1</v>
      </c>
      <c r="Y79" s="67">
        <f t="shared" si="33"/>
        <v>23.299399999999999</v>
      </c>
      <c r="Z79" s="67">
        <f t="shared" si="39"/>
        <v>2.07E-2</v>
      </c>
      <c r="AA79" s="67">
        <f t="shared" si="46"/>
        <v>23.278699999999997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7"/>
        <v>0168-07</v>
      </c>
      <c r="AE79" s="91" t="str">
        <f t="shared" si="48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79" s="88" t="str">
        <f t="shared" si="49"/>
        <v>"C:\Program Files (x86)\AstroGrep\AstroGrep.exe" /spath="%USERPROFILE%\AppData\Local\Temp\OnboardLogs" /stypes="app*4001*20161107*" /stext=" 20:.+((SYSTEM_STATE.+slice.+state.+changed )|(ment ac)|(system.+state.+changed )|(\[timeout)|(PRM\|1\|D)|(kpr)|(kdp)|(\|loc)|(penalty))" /e /r /s</v>
      </c>
      <c r="AG79" s="1" t="str">
        <f t="shared" si="50"/>
        <v>EC</v>
      </c>
      <c r="AH79" s="92" t="str">
        <f t="shared" si="14"/>
        <v>"%USERPROFILE%\Documents\GitHub\eaglep3\Utilities\RefineRTDCRunTimes.py" --tripid 168-07 --locoid 4001 --swversion DE.1.0.8.0 --startMP 204:232994 --initTime 2016-11-07T12:45:07 --startdatetime 2016-11-07T12:56:19 --delay 1 --endMP 204:207 --enddatetime 2016-11-07T13:37:23 --enforcementcount 0 &gt;&gt;C:\Users\stu\Documents\GitHub\eaglep3-reporting\EC\2016-11-07-refined-times.txt</v>
      </c>
      <c r="AI79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{"issue":{"subject":"","project_id":79,"tracker_id":40,"status_id":1,"priority_id":2,"assigned_to_id":23,"start_date":"2016-11-07","description":"","custom_fields":[{"id":1,"name":"Subdivision","value":"EC"},{"id":4,"name":"Milepost","value":"0.0207"},{"id":17,"name":"Train ID","value":"168-07"},{"id":16,"name":"Locomotive ID","value":"4001"},{"id":130,"name":"Impact","value":""},{"id":150,"name":"Time of Event (Mountain Time)","value":"13:37:23"},{"id":151,"name":"Denver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513</v>
      </c>
      <c r="B80" s="7">
        <v>4014</v>
      </c>
      <c r="C80" s="22" t="s">
        <v>237</v>
      </c>
      <c r="D80" s="22" t="s">
        <v>209</v>
      </c>
      <c r="E80" s="13">
        <v>42681.505694444444</v>
      </c>
      <c r="F80" s="13">
        <v>42681.510694444441</v>
      </c>
      <c r="G80" s="7">
        <v>4</v>
      </c>
      <c r="H80" s="22" t="s">
        <v>248</v>
      </c>
      <c r="I80" s="13">
        <v>42681.535462962966</v>
      </c>
      <c r="J80" s="7">
        <v>0</v>
      </c>
      <c r="K80" s="110" t="str">
        <f t="shared" si="40"/>
        <v>4013/4014</v>
      </c>
      <c r="L80" s="22" t="str">
        <f>VLOOKUP(A80,'Trips&amp;Operators'!$C$1:$E$10000,3,FALSE)</f>
        <v>DAVIDSON</v>
      </c>
      <c r="M80" s="6">
        <f t="shared" si="41"/>
        <v>2.4768518524069805E-2</v>
      </c>
      <c r="N80" s="7">
        <f t="shared" si="38"/>
        <v>35.666666674660519</v>
      </c>
      <c r="O80" s="7"/>
      <c r="P80" s="7"/>
      <c r="Q80" s="23"/>
      <c r="R80" s="23"/>
      <c r="S80" s="35">
        <f t="shared" si="42"/>
        <v>1</v>
      </c>
      <c r="T80" s="50" t="str">
        <f t="shared" si="43"/>
        <v>NorthBound</v>
      </c>
      <c r="U80" s="16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11:08:12-700',mode:absolute,to:'2016-11-07 13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0" s="52" t="str">
        <f t="shared" si="45"/>
        <v>N</v>
      </c>
      <c r="X80" s="174">
        <f t="shared" ref="X80:X107" si="51">VALUE(LEFT(AD80,4))-VALUE(LEFT(AD79,4))</f>
        <v>1</v>
      </c>
      <c r="Y80" s="67">
        <f t="shared" si="33"/>
        <v>4.6600000000000003E-2</v>
      </c>
      <c r="Z80" s="67">
        <f t="shared" si="39"/>
        <v>23.328900000000001</v>
      </c>
      <c r="AA80" s="67">
        <f t="shared" si="46"/>
        <v>23.282299999999999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7"/>
        <v>0169-07</v>
      </c>
      <c r="AE80" s="91" t="str">
        <f t="shared" si="48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80" s="88" t="str">
        <f t="shared" si="49"/>
        <v>"C:\Program Files (x86)\AstroGrep\AstroGrep.exe" /spath="%USERPROFILE%\AppData\Local\Temp\OnboardLogs" /stypes="app*4014*20161107*" /stext=" 19:.+((SYSTEM_STATE.+slice.+state.+changed )|(ment ac)|(system.+state.+changed )|(\[timeout)|(PRM\|1\|D)|(kpr)|(kdp)|(\|loc)|(penalty))" /e /r /s</v>
      </c>
      <c r="AG80" s="1" t="str">
        <f t="shared" si="50"/>
        <v>EC</v>
      </c>
      <c r="AH80" s="92" t="str">
        <f t="shared" si="14"/>
        <v>"%USERPROFILE%\Documents\GitHub\eaglep3\Utilities\RefineRTDCRunTimes.py" --tripid 169-07 --locoid 4014 --swversion DE.1.0.8.0 --startMP 204:466 --initTime 2016-11-07T12:08:12 --startdatetime 2016-11-07T12:15:24 --delay 4 --endMP 204:233289 --enddatetime 2016-11-07T12:51:04 --enforcementcount 0 &gt;&gt;C:\Users\stu\Documents\GitHub\eaglep3-reporting\EC\2016-11-07-refined-times.txt</v>
      </c>
      <c r="AI80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ID","value":"169-07"},{"id":16,"name":"Locomotive ID","value":"4014"},{"id":130,"name":"Impact","value":""},{"id":150,"name":"Time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520</v>
      </c>
      <c r="B81" s="7">
        <v>4013</v>
      </c>
      <c r="C81" s="22" t="s">
        <v>237</v>
      </c>
      <c r="D81" s="22" t="s">
        <v>363</v>
      </c>
      <c r="E81" s="13">
        <v>42681.537395833337</v>
      </c>
      <c r="F81" s="13">
        <v>42681.549687500003</v>
      </c>
      <c r="G81" s="7">
        <v>4</v>
      </c>
      <c r="H81" s="22" t="s">
        <v>253</v>
      </c>
      <c r="I81" s="13">
        <v>42681.575474537036</v>
      </c>
      <c r="J81" s="7">
        <v>0</v>
      </c>
      <c r="K81" s="110" t="str">
        <f t="shared" si="40"/>
        <v>4013/4014</v>
      </c>
      <c r="L81" s="22" t="str">
        <f>VLOOKUP(A81,'Trips&amp;Operators'!$C$1:$E$10000,3,FALSE)</f>
        <v>DAVIDSON</v>
      </c>
      <c r="M81" s="6">
        <f t="shared" si="41"/>
        <v>2.5787037033296656E-2</v>
      </c>
      <c r="N81" s="7">
        <f t="shared" si="38"/>
        <v>37.133333327947184</v>
      </c>
      <c r="O81" s="7"/>
      <c r="P81" s="7"/>
      <c r="Q81" s="23"/>
      <c r="R81" s="23"/>
      <c r="S81" s="35">
        <f t="shared" si="42"/>
        <v>1</v>
      </c>
      <c r="T81" s="50" t="str">
        <f t="shared" si="43"/>
        <v>Southbound</v>
      </c>
      <c r="U81" s="16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11:53:51-700',mode:absolute,to:'2016-11-07 14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1" s="52" t="str">
        <f t="shared" si="45"/>
        <v>N</v>
      </c>
      <c r="X81" s="174">
        <f t="shared" si="51"/>
        <v>1</v>
      </c>
      <c r="Y81" s="67">
        <f t="shared" si="33"/>
        <v>23.297000000000001</v>
      </c>
      <c r="Z81" s="67">
        <f t="shared" si="39"/>
        <v>1.5800000000000002E-2</v>
      </c>
      <c r="AA81" s="67">
        <f t="shared" si="46"/>
        <v>23.281200000000002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7"/>
        <v>0170-07</v>
      </c>
      <c r="AE81" s="91" t="str">
        <f t="shared" si="48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81" s="88" t="str">
        <f t="shared" si="49"/>
        <v>"C:\Program Files (x86)\AstroGrep\AstroGrep.exe" /spath="%USERPROFILE%\AppData\Local\Temp\OnboardLogs" /stypes="app*4013*20161107*" /stext=" 20:.+((SYSTEM_STATE.+slice.+state.+changed )|(ment ac)|(system.+state.+changed )|(\[timeout)|(PRM\|1\|D)|(kpr)|(kdp)|(\|loc)|(penalty))" /e /r /s</v>
      </c>
      <c r="AG81" s="1" t="str">
        <f t="shared" si="50"/>
        <v>EC</v>
      </c>
      <c r="AH81" s="92" t="str">
        <f t="shared" si="14"/>
        <v>"%USERPROFILE%\Documents\GitHub\eaglep3\Utilities\RefineRTDCRunTimes.py" --tripid 170-07 --locoid 4013 --swversion DE.1.0.8.0 --startMP 204:232970 --initTime 2016-11-07T12:53:51 --startdatetime 2016-11-07T13:11:33 --delay 4 --endMP 204:158 --enddatetime 2016-11-07T13:48:41 --enforcementcount 0 &gt;&gt;C:\Users\stu\Documents\GitHub\eaglep3-reporting\EC\2016-11-07-refined-times.txt</v>
      </c>
      <c r="AI81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ID","value":"170-07"},{"id":16,"name":"Locomotive ID","value":"4013"},{"id":130,"name":"Impact","value":""},{"id":150,"name":"Time of Event (Mountain Time)","value":"13:48:41"},{"id":151,"name":"Denver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515</v>
      </c>
      <c r="B82" s="7">
        <v>4046</v>
      </c>
      <c r="C82" s="22" t="s">
        <v>237</v>
      </c>
      <c r="D82" s="22" t="s">
        <v>209</v>
      </c>
      <c r="E82" s="13">
        <v>42681.515046296299</v>
      </c>
      <c r="F82" s="13">
        <v>42681.521018518521</v>
      </c>
      <c r="G82" s="7">
        <v>1</v>
      </c>
      <c r="H82" s="22" t="s">
        <v>650</v>
      </c>
      <c r="I82" s="13">
        <v>42681.545787037037</v>
      </c>
      <c r="J82" s="7">
        <v>0</v>
      </c>
      <c r="K82" s="110" t="str">
        <f t="shared" si="40"/>
        <v>4045/4046</v>
      </c>
      <c r="L82" s="22" t="str">
        <f>VLOOKUP(A82,'Trips&amp;Operators'!$C$1:$E$10000,3,FALSE)</f>
        <v>SHOOK</v>
      </c>
      <c r="M82" s="6">
        <f t="shared" si="41"/>
        <v>2.4768518516793847E-2</v>
      </c>
      <c r="N82" s="7">
        <f t="shared" si="38"/>
        <v>35.66666666418314</v>
      </c>
      <c r="O82" s="7"/>
      <c r="P82" s="7"/>
      <c r="Q82" s="23"/>
      <c r="R82" s="23"/>
      <c r="S82" s="35">
        <f t="shared" si="42"/>
        <v>1</v>
      </c>
      <c r="T82" s="50" t="str">
        <f t="shared" si="43"/>
        <v>NorthBound</v>
      </c>
      <c r="U82" s="16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11:21:40-700',mode:absolute,to:'2016-11-07 14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2" s="52" t="str">
        <f t="shared" si="45"/>
        <v>N</v>
      </c>
      <c r="X82" s="174">
        <f t="shared" si="51"/>
        <v>1</v>
      </c>
      <c r="Y82" s="67">
        <f t="shared" si="33"/>
        <v>4.6600000000000003E-2</v>
      </c>
      <c r="Z82" s="67">
        <f t="shared" si="39"/>
        <v>23.3324</v>
      </c>
      <c r="AA82" s="67">
        <f t="shared" si="46"/>
        <v>23.285799999999998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7"/>
        <v>0171-07</v>
      </c>
      <c r="AE82" s="91" t="str">
        <f t="shared" si="48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82" s="88" t="str">
        <f t="shared" si="49"/>
        <v>"C:\Program Files (x86)\AstroGrep\AstroGrep.exe" /spath="%USERPROFILE%\AppData\Local\Temp\OnboardLogs" /stypes="app*4046*20161107*" /stext=" 20:.+((SYSTEM_STATE.+slice.+state.+changed )|(ment ac)|(system.+state.+changed )|(\[timeout)|(PRM\|1\|D)|(kpr)|(kdp)|(\|loc)|(penalty))" /e /r /s</v>
      </c>
      <c r="AG82" s="1" t="str">
        <f t="shared" si="50"/>
        <v>EC</v>
      </c>
      <c r="AH82" s="92" t="str">
        <f t="shared" si="14"/>
        <v>"%USERPROFILE%\Documents\GitHub\eaglep3\Utilities\RefineRTDCRunTimes.py" --tripid 171-07 --locoid 4046 --swversion DE.1.0.8.0 --startMP 204:466 --initTime 2016-11-07T12:21:40 --startdatetime 2016-11-07T12:30:16 --delay 1 --endMP 204:233324 --enddatetime 2016-11-07T13:05:56 --enforcementcount 0 &gt;&gt;C:\Users\stu\Documents\GitHub\eaglep3-reporting\EC\2016-11-07-refined-times.txt</v>
      </c>
      <c r="AI82" s="120" t="str">
        <f t="shared" si="15"/>
        <v>echo {"issue":{"subject":"","project_id":79,"tracker_id":40,"status_id":1,"priority_id":2,"assigned_to_id":23,"start_date":"2016-11-07","description":"","custom_fields":[{"id":1,"name":"Subdivision","value":"EC"},{"id":4,"name":"Milepost","value":"23.3324"},{"id":17,"name":"Train ID","value":"171-07"},{"id":16,"name":"Locomotive ID","value":"4046"},{"id":130,"name":"Impact","value":""},{"id":150,"name":"Time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524</v>
      </c>
      <c r="B83" s="7">
        <v>4045</v>
      </c>
      <c r="C83" s="22" t="s">
        <v>237</v>
      </c>
      <c r="D83" s="22" t="s">
        <v>651</v>
      </c>
      <c r="E83" s="13">
        <v>42681.555763888886</v>
      </c>
      <c r="F83" s="13">
        <v>42681.559976851851</v>
      </c>
      <c r="G83" s="7">
        <v>1</v>
      </c>
      <c r="H83" s="22" t="s">
        <v>175</v>
      </c>
      <c r="I83" s="13">
        <v>42681.586331018516</v>
      </c>
      <c r="J83" s="7">
        <v>0</v>
      </c>
      <c r="K83" s="110" t="str">
        <f t="shared" si="40"/>
        <v>4045/4046</v>
      </c>
      <c r="L83" s="22" t="str">
        <f>VLOOKUP(A83,'Trips&amp;Operators'!$C$1:$E$10000,3,FALSE)</f>
        <v>SHOOK</v>
      </c>
      <c r="M83" s="6">
        <f t="shared" si="41"/>
        <v>2.6354166664532386E-2</v>
      </c>
      <c r="N83" s="7">
        <f t="shared" si="38"/>
        <v>37.949999996926636</v>
      </c>
      <c r="O83" s="7"/>
      <c r="P83" s="7"/>
      <c r="Q83" s="23"/>
      <c r="R83" s="23"/>
      <c r="S83" s="35">
        <f t="shared" si="42"/>
        <v>1</v>
      </c>
      <c r="T83" s="50" t="str">
        <f t="shared" si="43"/>
        <v>Southbound</v>
      </c>
      <c r="U83" s="16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12:20:18-700',mode:absolute,to:'2016-11-07 15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3" s="52" t="str">
        <f t="shared" si="45"/>
        <v>N</v>
      </c>
      <c r="X83" s="174">
        <f t="shared" si="51"/>
        <v>1</v>
      </c>
      <c r="Y83" s="67">
        <f t="shared" si="33"/>
        <v>23.305499999999999</v>
      </c>
      <c r="Z83" s="67">
        <f t="shared" si="39"/>
        <v>1.47E-2</v>
      </c>
      <c r="AA83" s="67">
        <f t="shared" si="46"/>
        <v>23.290799999999997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7"/>
        <v>0172-07</v>
      </c>
      <c r="AE83" s="91" t="str">
        <f t="shared" si="48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83" s="88" t="str">
        <f t="shared" si="49"/>
        <v>"C:\Program Files (x86)\AstroGrep\AstroGrep.exe" /spath="%USERPROFILE%\AppData\Local\Temp\OnboardLogs" /stypes="app*4045*20161107*" /stext=" 21:.+((SYSTEM_STATE.+slice.+state.+changed )|(ment ac)|(system.+state.+changed )|(\[timeout)|(PRM\|1\|D)|(kpr)|(kdp)|(\|loc)|(penalty))" /e /r /s</v>
      </c>
      <c r="AG83" s="1" t="str">
        <f t="shared" si="50"/>
        <v>EC</v>
      </c>
      <c r="AH83" s="92" t="str">
        <f t="shared" ref="AH83:AH145" si="52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172-07 --locoid 4045 --swversion DE.1.0.8.0 --startMP 204:233055 --initTime 2016-11-07T13:20:18 --startdatetime 2016-11-07T13:26:22 --delay 1 --endMP 204:147 --enddatetime 2016-11-07T14:04:19 --enforcementcount 0 &gt;&gt;C:\Users\stu\Documents\GitHub\eaglep3-reporting\EC\2016-11-07-refined-times.txt</v>
      </c>
      <c r="AI83" s="120" t="str">
        <f t="shared" ref="AI83:AI145" si="53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ID","value":"172-07"},{"id":16,"name":"Locomotive ID","value":"4045"},{"id":130,"name":"Impact","value":""},{"id":150,"name":"Time of Event (Mountain Time)","value":"14:04:19"},{"id":151,"name":"Denver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518</v>
      </c>
      <c r="B84" s="7">
        <v>4053</v>
      </c>
      <c r="C84" s="22" t="s">
        <v>237</v>
      </c>
      <c r="D84" s="22" t="s">
        <v>652</v>
      </c>
      <c r="E84" s="13">
        <v>42681.52621527778</v>
      </c>
      <c r="F84" s="13">
        <v>42681.531504629631</v>
      </c>
      <c r="G84" s="7">
        <v>1</v>
      </c>
      <c r="H84" s="22" t="s">
        <v>653</v>
      </c>
      <c r="I84" s="13">
        <v>42681.556064814817</v>
      </c>
      <c r="J84" s="7">
        <v>0</v>
      </c>
      <c r="K84" s="110" t="str">
        <f t="shared" si="40"/>
        <v>4053/4054</v>
      </c>
      <c r="L84" s="22" t="str">
        <f>VLOOKUP(A84,'Trips&amp;Operators'!$C$1:$E$10000,3,FALSE)</f>
        <v>LALONDE</v>
      </c>
      <c r="M84" s="6">
        <f t="shared" si="41"/>
        <v>2.4560185185691807E-2</v>
      </c>
      <c r="N84" s="7">
        <f t="shared" si="38"/>
        <v>35.366666667396203</v>
      </c>
      <c r="O84" s="7"/>
      <c r="P84" s="7"/>
      <c r="Q84" s="23"/>
      <c r="R84" s="23"/>
      <c r="S84" s="35">
        <f t="shared" si="42"/>
        <v>1</v>
      </c>
      <c r="T84" s="50" t="str">
        <f t="shared" si="43"/>
        <v>NorthBound</v>
      </c>
      <c r="U84" s="16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11:37:45-700',mode:absolute,to:'2016-11-07 14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4" s="52" t="str">
        <f t="shared" si="45"/>
        <v>N</v>
      </c>
      <c r="X84" s="174">
        <f t="shared" si="51"/>
        <v>1</v>
      </c>
      <c r="Y84" s="67">
        <f t="shared" si="33"/>
        <v>4.7300000000000002E-2</v>
      </c>
      <c r="Z84" s="67">
        <f t="shared" si="39"/>
        <v>23.3264</v>
      </c>
      <c r="AA84" s="67">
        <f t="shared" si="46"/>
        <v>23.2791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7"/>
        <v>0173-07</v>
      </c>
      <c r="AE84" s="91" t="str">
        <f t="shared" si="48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84" s="88" t="str">
        <f t="shared" si="49"/>
        <v>"C:\Program Files (x86)\AstroGrep\AstroGrep.exe" /spath="%USERPROFILE%\AppData\Local\Temp\OnboardLogs" /stypes="app*4053*20161107*" /stext=" 20:.+((SYSTEM_STATE.+slice.+state.+changed )|(ment ac)|(system.+state.+changed )|(\[timeout)|(PRM\|1\|D)|(kpr)|(kdp)|(\|loc)|(penalty))" /e /r /s</v>
      </c>
      <c r="AG84" s="1" t="str">
        <f t="shared" si="50"/>
        <v>EC</v>
      </c>
      <c r="AH84" s="92" t="str">
        <f t="shared" si="52"/>
        <v>"%USERPROFILE%\Documents\GitHub\eaglep3\Utilities\RefineRTDCRunTimes.py" --tripid 173-07 --locoid 4053 --swversion DE.1.0.8.0 --startMP 204:473 --initTime 2016-11-07T12:37:45 --startdatetime 2016-11-07T12:45:22 --delay 1 --endMP 204:233264 --enddatetime 2016-11-07T13:20:44 --enforcementcount 0 &gt;&gt;C:\Users\stu\Documents\GitHub\eaglep3-reporting\EC\2016-11-07-refined-times.txt</v>
      </c>
      <c r="AI8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{"issue":{"subject":"","project_id":79,"tracker_id":40,"status_id":1,"priority_id":2,"assigned_to_id":23,"start_date":"2016-11-07","description":"","custom_fields":[{"id":1,"name":"Subdivision","value":"EC"},{"id":4,"name":"Milepost","value":"23.3264"},{"id":17,"name":"Train ID","value":"173-07"},{"id":16,"name":"Locomotive ID","value":"4053"},{"id":130,"name":"Impact","value":""},{"id":150,"name":"Time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525</v>
      </c>
      <c r="B85" s="7">
        <v>4054</v>
      </c>
      <c r="C85" s="22" t="s">
        <v>237</v>
      </c>
      <c r="D85" s="22" t="s">
        <v>363</v>
      </c>
      <c r="E85" s="13">
        <v>42681.567083333335</v>
      </c>
      <c r="F85" s="13">
        <v>42681.570543981485</v>
      </c>
      <c r="G85" s="7">
        <v>1</v>
      </c>
      <c r="H85" s="22" t="s">
        <v>366</v>
      </c>
      <c r="I85" s="13">
        <v>42681.596828703703</v>
      </c>
      <c r="J85" s="7">
        <v>0</v>
      </c>
      <c r="K85" s="110" t="str">
        <f t="shared" si="40"/>
        <v>4053/4054</v>
      </c>
      <c r="L85" s="22" t="str">
        <f>VLOOKUP(A85,'Trips&amp;Operators'!$C$1:$E$10000,3,FALSE)</f>
        <v>LALONDE</v>
      </c>
      <c r="M85" s="6">
        <f t="shared" si="41"/>
        <v>2.6284722218406387E-2</v>
      </c>
      <c r="N85" s="7">
        <f t="shared" si="38"/>
        <v>37.849999994505197</v>
      </c>
      <c r="O85" s="7"/>
      <c r="P85" s="7"/>
      <c r="Q85" s="23"/>
      <c r="R85" s="23"/>
      <c r="S85" s="35">
        <f t="shared" si="42"/>
        <v>1</v>
      </c>
      <c r="T85" s="50" t="str">
        <f t="shared" si="43"/>
        <v>Southbound</v>
      </c>
      <c r="U85" s="16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12:36:36-700',mode:absolute,to:'2016-11-07 15:19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5" s="52" t="str">
        <f t="shared" si="45"/>
        <v>N</v>
      </c>
      <c r="X85" s="174">
        <f t="shared" si="51"/>
        <v>1</v>
      </c>
      <c r="Y85" s="67">
        <f t="shared" si="33"/>
        <v>23.297000000000001</v>
      </c>
      <c r="Z85" s="67">
        <f t="shared" si="39"/>
        <v>1.67E-2</v>
      </c>
      <c r="AA85" s="67">
        <f t="shared" si="46"/>
        <v>23.2803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7"/>
        <v>0174-07</v>
      </c>
      <c r="AE85" s="91" t="str">
        <f t="shared" si="48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85" s="88" t="str">
        <f t="shared" si="49"/>
        <v>"C:\Program Files (x86)\AstroGrep\AstroGrep.exe" /spath="%USERPROFILE%\AppData\Local\Temp\OnboardLogs" /stypes="app*4054*20161107*" /stext=" 21:.+((SYSTEM_STATE.+slice.+state.+changed )|(ment ac)|(system.+state.+changed )|(\[timeout)|(PRM\|1\|D)|(kpr)|(kdp)|(\|loc)|(penalty))" /e /r /s</v>
      </c>
      <c r="AG85" s="1" t="str">
        <f t="shared" si="50"/>
        <v>EC</v>
      </c>
      <c r="AH85" s="92" t="str">
        <f t="shared" si="52"/>
        <v>"%USERPROFILE%\Documents\GitHub\eaglep3\Utilities\RefineRTDCRunTimes.py" --tripid 174-07 --locoid 4054 --swversion DE.1.0.8.0 --startMP 204:232970 --initTime 2016-11-07T13:36:36 --startdatetime 2016-11-07T13:41:35 --delay 1 --endMP 204:167 --enddatetime 2016-11-07T14:19:26 --enforcementcount 0 &gt;&gt;C:\Users\stu\Documents\GitHub\eaglep3-reporting\EC\2016-11-07-refined-times.txt</v>
      </c>
      <c r="AI8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{"issue":{"subject":"","project_id":79,"tracker_id":40,"status_id":1,"priority_id":2,"assigned_to_id":23,"start_date":"2016-11-07","description":"","custom_fields":[{"id":1,"name":"Subdivision","value":"EC"},{"id":4,"name":"Milepost","value":"0.0167"},{"id":17,"name":"Train ID","value":"174-07"},{"id":16,"name":"Locomotive ID","value":"4054"},{"id":130,"name":"Impact","value":""},{"id":150,"name":"Time of Event (Mountain Time)","value":"14:19:26"},{"id":151,"name":"Denver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521</v>
      </c>
      <c r="B86" s="7">
        <v>4040</v>
      </c>
      <c r="C86" s="22" t="s">
        <v>237</v>
      </c>
      <c r="D86" s="22" t="s">
        <v>654</v>
      </c>
      <c r="E86" s="13">
        <v>42681.539305555554</v>
      </c>
      <c r="F86" s="13">
        <v>42681.542500000003</v>
      </c>
      <c r="G86" s="7">
        <v>1</v>
      </c>
      <c r="H86" s="22" t="s">
        <v>334</v>
      </c>
      <c r="I86" s="13">
        <v>42681.56689814815</v>
      </c>
      <c r="J86" s="7">
        <v>0</v>
      </c>
      <c r="K86" s="110" t="str">
        <f t="shared" si="40"/>
        <v>4039/4040</v>
      </c>
      <c r="L86" s="22" t="str">
        <f>VLOOKUP(A86,'Trips&amp;Operators'!$C$1:$E$10000,3,FALSE)</f>
        <v>BARTLETT</v>
      </c>
      <c r="M86" s="6">
        <f t="shared" si="41"/>
        <v>2.4398148147156462E-2</v>
      </c>
      <c r="N86" s="7">
        <f t="shared" si="38"/>
        <v>35.133333331905305</v>
      </c>
      <c r="O86" s="7"/>
      <c r="P86" s="7"/>
      <c r="Q86" s="23"/>
      <c r="R86" s="23"/>
      <c r="S86" s="35">
        <f t="shared" si="42"/>
        <v>1</v>
      </c>
      <c r="T86" s="50" t="str">
        <f t="shared" si="43"/>
        <v>NorthBound</v>
      </c>
      <c r="U86" s="16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11:56:36-700',mode:absolute,to:'2016-11-07 14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6" s="52" t="str">
        <f t="shared" si="45"/>
        <v>N</v>
      </c>
      <c r="X86" s="174">
        <f t="shared" si="51"/>
        <v>1</v>
      </c>
      <c r="Y86" s="67">
        <f t="shared" si="33"/>
        <v>6.0100000000000001E-2</v>
      </c>
      <c r="Z86" s="67">
        <f t="shared" si="39"/>
        <v>23.3307</v>
      </c>
      <c r="AA86" s="67">
        <f t="shared" si="46"/>
        <v>23.270600000000002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7"/>
        <v>0175-07</v>
      </c>
      <c r="AE86" s="91" t="str">
        <f t="shared" si="48"/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86" s="88" t="str">
        <f t="shared" si="49"/>
        <v>"C:\Program Files (x86)\AstroGrep\AstroGrep.exe" /spath="%USERPROFILE%\AppData\Local\Temp\OnboardLogs" /stypes="app*4040*20161107*" /stext=" 20:.+((SYSTEM_STATE.+slice.+state.+changed )|(ment ac)|(system.+state.+changed )|(\[timeout)|(PRM\|1\|D)|(kpr)|(kdp)|(\|loc)|(penalty))" /e /r /s</v>
      </c>
      <c r="AG86" s="1" t="str">
        <f t="shared" si="50"/>
        <v>EC</v>
      </c>
      <c r="AH86" s="92" t="str">
        <f t="shared" si="52"/>
        <v>"%USERPROFILE%\Documents\GitHub\eaglep3\Utilities\RefineRTDCRunTimes.py" --tripid 175-07 --locoid 4040 --swversion DE.1.0.8.0 --startMP 204:601 --initTime 2016-11-07T12:56:36 --startdatetime 2016-11-07T13:01:12 --delay 1 --endMP 204:233307 --enddatetime 2016-11-07T13:36:20 --enforcementcount 0 &gt;&gt;C:\Users\stu\Documents\GitHub\eaglep3-reporting\EC\2016-11-07-refined-times.txt</v>
      </c>
      <c r="AI8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{"issue":{"subject":"","project_id":79,"tracker_id":40,"status_id":1,"priority_id":2,"assigned_to_id":23,"start_date":"2016-11-07","description":"","custom_fields":[{"id":1,"name":"Subdivision","value":"EC"},{"id":4,"name":"Milepost","value":"23.3307"},{"id":17,"name":"Train ID","value":"175-07"},{"id":16,"name":"Locomotive ID","value":"4040"},{"id":130,"name":"Impact","value":""},{"id":150,"name":"Time of Event (Mountain Time)","value":"13:36:20"},{"id":151,"name":"Denver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420</v>
      </c>
      <c r="B87" s="7">
        <v>4039</v>
      </c>
      <c r="C87" s="22" t="s">
        <v>237</v>
      </c>
      <c r="D87" s="22" t="s">
        <v>316</v>
      </c>
      <c r="E87" s="13">
        <v>42681.568819444445</v>
      </c>
      <c r="F87" s="13">
        <v>42681.580879629626</v>
      </c>
      <c r="G87" s="7">
        <v>10</v>
      </c>
      <c r="H87" s="22" t="s">
        <v>253</v>
      </c>
      <c r="I87" s="13">
        <v>42681.608657407407</v>
      </c>
      <c r="J87" s="7">
        <v>0</v>
      </c>
      <c r="K87" s="110" t="str">
        <f t="shared" si="40"/>
        <v>4039/4040</v>
      </c>
      <c r="L87" s="22" t="str">
        <f>VLOOKUP(A87,'Trips&amp;Operators'!$C$1:$E$10000,3,FALSE)</f>
        <v>BARTLETT</v>
      </c>
      <c r="M87" s="6">
        <f t="shared" si="41"/>
        <v>2.7777777781011537E-2</v>
      </c>
      <c r="N87" s="7">
        <f t="shared" si="38"/>
        <v>40.000000004656613</v>
      </c>
      <c r="O87" s="7"/>
      <c r="P87" s="7"/>
      <c r="Q87" s="23"/>
      <c r="R87" s="23"/>
      <c r="S87" s="35">
        <f t="shared" si="42"/>
        <v>1</v>
      </c>
      <c r="T87" s="50" t="str">
        <f t="shared" si="43"/>
        <v>Southbound</v>
      </c>
      <c r="U87" s="16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7" s="52" t="str">
        <f t="shared" si="45"/>
        <v>N</v>
      </c>
      <c r="X87" s="174">
        <f t="shared" si="51"/>
        <v>1</v>
      </c>
      <c r="Y87" s="67">
        <f t="shared" si="33"/>
        <v>23.299399999999999</v>
      </c>
      <c r="Z87" s="67">
        <f t="shared" si="39"/>
        <v>1.5800000000000002E-2</v>
      </c>
      <c r="AA87" s="67">
        <f t="shared" si="46"/>
        <v>23.2836</v>
      </c>
      <c r="AB87" s="64" t="str">
        <f>VLOOKUP(A87,Enforcements!$C$7:$K$21,8,0)</f>
        <v>Speed (6)</v>
      </c>
      <c r="AC87" s="60" t="str">
        <f>VLOOKUP(A87,Enforcements!$C$7:$E$21,3,0)</f>
        <v>PERMANENT SPEED RESTRICTION</v>
      </c>
      <c r="AD87" s="61" t="str">
        <f t="shared" si="47"/>
        <v>0176-07</v>
      </c>
      <c r="AE87" s="91" t="str">
        <f t="shared" si="48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87" s="88" t="str">
        <f t="shared" si="49"/>
        <v>"C:\Program Files (x86)\AstroGrep\AstroGrep.exe" /spath="%USERPROFILE%\AppData\Local\Temp\OnboardLogs" /stypes="app*4039*20161107*" /stext=" 21:.+((SYSTEM_STATE.+slice.+state.+changed )|(ment ac)|(system.+state.+changed )|(\[timeout)|(PRM\|1\|D)|(kpr)|(kdp)|(\|loc)|(penalty))" /e /r /s</v>
      </c>
      <c r="AG87" s="1" t="str">
        <f t="shared" si="50"/>
        <v>EC</v>
      </c>
      <c r="AH87" s="92" t="str">
        <f t="shared" si="52"/>
        <v>"%USERPROFILE%\Documents\GitHub\eaglep3\Utilities\RefineRTDCRunTimes.py" --tripid 176-07 --locoid 4039 --swversion DE.1.0.8.0 --startMP 204:232994 --initTime 2016-11-07T13:39:06 --startdatetime 2016-11-07T13:56:28 --delay 10 --endMP 204:158 --enddatetime 2016-11-07T14:36:28 --enforcementcount 0 &gt;&gt;C:\Users\stu\Documents\GitHub\eaglep3-reporting\EC\2016-11-07-refined-times.txt</v>
      </c>
      <c r="AI8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ID","value":"176-07"},{"id":16,"name":"Locomotive ID","value":"4039"},{"id":130,"name":"Impact","value":""},{"id":150,"name":"Time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419</v>
      </c>
      <c r="B88" s="7">
        <v>4025</v>
      </c>
      <c r="C88" s="22" t="s">
        <v>237</v>
      </c>
      <c r="D88" s="22" t="s">
        <v>368</v>
      </c>
      <c r="E88" s="13">
        <v>42681.547939814816</v>
      </c>
      <c r="F88" s="13">
        <v>42681.552314814813</v>
      </c>
      <c r="G88" s="7">
        <v>1</v>
      </c>
      <c r="H88" s="22" t="s">
        <v>655</v>
      </c>
      <c r="I88" s="13">
        <v>42681.57712962963</v>
      </c>
      <c r="J88" s="7">
        <v>0</v>
      </c>
      <c r="K88" s="110" t="str">
        <f t="shared" si="40"/>
        <v>4025/4026</v>
      </c>
      <c r="L88" s="22" t="str">
        <f>VLOOKUP(A88,'Trips&amp;Operators'!$C$1:$E$10000,3,FALSE)</f>
        <v>NELSON</v>
      </c>
      <c r="M88" s="6">
        <f t="shared" si="41"/>
        <v>2.4814814816636499E-2</v>
      </c>
      <c r="N88" s="7">
        <f t="shared" si="38"/>
        <v>35.733333335956559</v>
      </c>
      <c r="O88" s="7"/>
      <c r="P88" s="7"/>
      <c r="Q88" s="23"/>
      <c r="R88" s="23"/>
      <c r="S88" s="35">
        <f t="shared" si="42"/>
        <v>1</v>
      </c>
      <c r="T88" s="50" t="str">
        <f t="shared" si="43"/>
        <v>NorthBound</v>
      </c>
      <c r="U88" s="16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12:09:02-700',mode:absolute,to:'2016-11-07 14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8" s="52" t="str">
        <f t="shared" si="45"/>
        <v>N</v>
      </c>
      <c r="X88" s="174">
        <f t="shared" si="51"/>
        <v>1</v>
      </c>
      <c r="Y88" s="67">
        <f t="shared" si="33"/>
        <v>4.2000000000000003E-2</v>
      </c>
      <c r="Z88" s="67">
        <f t="shared" si="39"/>
        <v>23.325700000000001</v>
      </c>
      <c r="AA88" s="67">
        <f t="shared" si="46"/>
        <v>23.2837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7"/>
        <v>0177-07</v>
      </c>
      <c r="AE88" s="91" t="str">
        <f t="shared" si="48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88" s="88" t="str">
        <f t="shared" si="49"/>
        <v>"C:\Program Files (x86)\AstroGrep\AstroGrep.exe" /spath="%USERPROFILE%\AppData\Local\Temp\OnboardLogs" /stypes="app*4025*20161107*" /stext=" 20:.+((SYSTEM_STATE.+slice.+state.+changed )|(ment ac)|(system.+state.+changed )|(\[timeout)|(PRM\|1\|D)|(kpr)|(kdp)|(\|loc)|(penalty))" /e /r /s</v>
      </c>
      <c r="AG88" s="1" t="str">
        <f t="shared" si="50"/>
        <v>EC</v>
      </c>
      <c r="AH88" s="92" t="str">
        <f t="shared" si="52"/>
        <v>"%USERPROFILE%\Documents\GitHub\eaglep3\Utilities\RefineRTDCRunTimes.py" --tripid 177-07 --locoid 4025 --swversion DE.1.0.8.0 --startMP 204:420 --initTime 2016-11-07T13:09:02 --startdatetime 2016-11-07T13:15:20 --delay 1 --endMP 204:233257 --enddatetime 2016-11-07T13:51:04 --enforcementcount 0 &gt;&gt;C:\Users\stu\Documents\GitHub\eaglep3-reporting\EC\2016-11-07-refined-times.txt</v>
      </c>
      <c r="AI88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{"issue":{"subject":"","project_id":79,"tracker_id":40,"status_id":1,"priority_id":2,"assigned_to_id":23,"start_date":"2016-11-07","description":"","custom_fields":[{"id":1,"name":"Subdivision","value":"EC"},{"id":4,"name":"Milepost","value":"23.3257"},{"id":17,"name":"Train ID","value":"177-07"},{"id":16,"name":"Locomotive ID","value":"4025"},{"id":130,"name":"Impact","value":""},{"id":150,"name":"Time of Event (Mountain Time)","value":"13:51:04"},{"id":151,"name":"Denver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529</v>
      </c>
      <c r="B89" s="7">
        <v>4026</v>
      </c>
      <c r="C89" s="22" t="s">
        <v>237</v>
      </c>
      <c r="D89" s="22" t="s">
        <v>656</v>
      </c>
      <c r="E89" s="13">
        <v>42681.57980324074</v>
      </c>
      <c r="F89" s="13">
        <v>42681.591180555559</v>
      </c>
      <c r="G89" s="7">
        <v>1</v>
      </c>
      <c r="H89" s="22" t="s">
        <v>318</v>
      </c>
      <c r="I89" s="13">
        <v>42681.618321759262</v>
      </c>
      <c r="J89" s="7">
        <v>0</v>
      </c>
      <c r="K89" s="110" t="str">
        <f t="shared" si="40"/>
        <v>4025/4026</v>
      </c>
      <c r="L89" s="22" t="str">
        <f>VLOOKUP(A89,'Trips&amp;Operators'!$C$1:$E$10000,3,FALSE)</f>
        <v>NELSON</v>
      </c>
      <c r="M89" s="6">
        <f t="shared" si="41"/>
        <v>2.7141203703649808E-2</v>
      </c>
      <c r="N89" s="7">
        <f t="shared" si="38"/>
        <v>39.083333333255723</v>
      </c>
      <c r="O89" s="7"/>
      <c r="P89" s="7"/>
      <c r="Q89" s="23"/>
      <c r="R89" s="23"/>
      <c r="S89" s="35">
        <f t="shared" si="42"/>
        <v>1</v>
      </c>
      <c r="T89" s="50" t="str">
        <f t="shared" si="43"/>
        <v>Southbound</v>
      </c>
      <c r="U89" s="16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12:54:55-700',mode:absolute,to:'2016-11-07 15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9" s="52" t="str">
        <f t="shared" si="45"/>
        <v>N</v>
      </c>
      <c r="X89" s="174">
        <f t="shared" si="51"/>
        <v>1</v>
      </c>
      <c r="Y89" s="67">
        <f t="shared" si="33"/>
        <v>23.294899999999998</v>
      </c>
      <c r="Z89" s="67">
        <f t="shared" si="39"/>
        <v>1.32E-2</v>
      </c>
      <c r="AA89" s="67">
        <f t="shared" si="46"/>
        <v>23.281699999999997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47"/>
        <v>0178-07</v>
      </c>
      <c r="AE89" s="91" t="str">
        <f t="shared" si="48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89" s="88" t="str">
        <f t="shared" si="49"/>
        <v>"C:\Program Files (x86)\AstroGrep\AstroGrep.exe" /spath="%USERPROFILE%\AppData\Local\Temp\OnboardLogs" /stypes="app*4026*20161107*" /stext=" 21:.+((SYSTEM_STATE.+slice.+state.+changed )|(ment ac)|(system.+state.+changed )|(\[timeout)|(PRM\|1\|D)|(kpr)|(kdp)|(\|loc)|(penalty))" /e /r /s</v>
      </c>
      <c r="AG89" s="1" t="str">
        <f t="shared" si="50"/>
        <v>EC</v>
      </c>
      <c r="AH89" s="92" t="str">
        <f t="shared" si="52"/>
        <v>"%USERPROFILE%\Documents\GitHub\eaglep3\Utilities\RefineRTDCRunTimes.py" --tripid 178-07 --locoid 4026 --swversion DE.1.0.8.0 --startMP 204:232949 --initTime 2016-11-07T13:54:55 --startdatetime 2016-11-07T14:11:18 --delay 1 --endMP 204:132 --enddatetime 2016-11-07T14:50:23 --enforcementcount 0 &gt;&gt;C:\Users\stu\Documents\GitHub\eaglep3-reporting\EC\2016-11-07-refined-times.txt</v>
      </c>
      <c r="AI8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{"issue":{"subject":"","project_id":79,"tracker_id":40,"status_id":1,"priority_id":2,"assigned_to_id":23,"start_date":"2016-11-07","description":"","custom_fields":[{"id":1,"name":"Subdivision","value":"EC"},{"id":4,"name":"Milepost","value":"0.0132"},{"id":17,"name":"Train ID","value":"178-07"},{"id":16,"name":"Locomotive ID","value":"4026"},{"id":130,"name":"Impact","value":""},{"id":150,"name":"Time of Event (Mountain Time)","value":"14:50:23"},{"id":151,"name":"Denver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421</v>
      </c>
      <c r="B90" s="7">
        <v>4007</v>
      </c>
      <c r="C90" s="22" t="s">
        <v>237</v>
      </c>
      <c r="D90" s="22" t="s">
        <v>393</v>
      </c>
      <c r="E90" s="13">
        <v>42681.55908564815</v>
      </c>
      <c r="F90" s="13">
        <v>42681.562719907408</v>
      </c>
      <c r="G90" s="7">
        <v>1</v>
      </c>
      <c r="H90" s="22" t="s">
        <v>657</v>
      </c>
      <c r="I90" s="13">
        <v>42681.589016203703</v>
      </c>
      <c r="J90" s="7">
        <v>0</v>
      </c>
      <c r="K90" s="110" t="str">
        <f t="shared" si="40"/>
        <v>4007/4008</v>
      </c>
      <c r="L90" s="22" t="str">
        <f>VLOOKUP(A90,'Trips&amp;Operators'!$C$1:$E$10000,3,FALSE)</f>
        <v>CLARK</v>
      </c>
      <c r="M90" s="6">
        <f t="shared" si="41"/>
        <v>2.6296296295186039E-2</v>
      </c>
      <c r="N90" s="7">
        <f t="shared" si="38"/>
        <v>37.866666665067896</v>
      </c>
      <c r="O90" s="7"/>
      <c r="P90" s="7"/>
      <c r="Q90" s="23"/>
      <c r="R90" s="23"/>
      <c r="S90" s="35">
        <f t="shared" si="42"/>
        <v>1</v>
      </c>
      <c r="T90" s="50" t="str">
        <f t="shared" si="43"/>
        <v>NorthBound</v>
      </c>
      <c r="U90" s="16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12:25:05-700',mode:absolute,to:'2016-11-07 15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0" s="52" t="str">
        <f t="shared" si="45"/>
        <v>N</v>
      </c>
      <c r="X90" s="174">
        <f t="shared" si="51"/>
        <v>1</v>
      </c>
      <c r="Y90" s="67">
        <f t="shared" si="33"/>
        <v>4.2599999999999999E-2</v>
      </c>
      <c r="Z90" s="67">
        <f t="shared" si="39"/>
        <v>23.319199999999999</v>
      </c>
      <c r="AA90" s="67">
        <f t="shared" si="46"/>
        <v>23.276599999999998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7"/>
        <v>0179-07</v>
      </c>
      <c r="AE90" s="91" t="str">
        <f t="shared" si="48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90" s="88" t="str">
        <f t="shared" si="49"/>
        <v>"C:\Program Files (x86)\AstroGrep\AstroGrep.exe" /spath="%USERPROFILE%\AppData\Local\Temp\OnboardLogs" /stypes="app*4007*20161107*" /stext=" 21:.+((SYSTEM_STATE.+slice.+state.+changed )|(ment ac)|(system.+state.+changed )|(\[timeout)|(PRM\|1\|D)|(kpr)|(kdp)|(\|loc)|(penalty))" /e /r /s</v>
      </c>
      <c r="AG90" s="1" t="str">
        <f t="shared" si="50"/>
        <v>EC</v>
      </c>
      <c r="AH90" s="92" t="str">
        <f t="shared" si="52"/>
        <v>"%USERPROFILE%\Documents\GitHub\eaglep3\Utilities\RefineRTDCRunTimes.py" --tripid 179-07 --locoid 4007 --swversion DE.1.0.8.0 --startMP 204:426 --initTime 2016-11-07T13:25:05 --startdatetime 2016-11-07T13:30:19 --delay 1 --endMP 204:233192 --enddatetime 2016-11-07T14:08:11 --enforcementcount 0 &gt;&gt;C:\Users\stu\Documents\GitHub\eaglep3-reporting\EC\2016-11-07-refined-times.txt</v>
      </c>
      <c r="AI9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{"issue":{"subject":"","project_id":79,"tracker_id":40,"status_id":1,"priority_id":2,"assigned_to_id":23,"start_date":"2016-11-07","description":"","custom_fields":[{"id":1,"name":"Subdivision","value":"EC"},{"id":4,"name":"Milepost","value":"23.3192"},{"id":17,"name":"Train ID","value":"179-07"},{"id":16,"name":"Locomotive ID","value":"4007"},{"id":130,"name":"Impact","value":""},{"id":150,"name":"Time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532</v>
      </c>
      <c r="B91" s="7">
        <v>4008</v>
      </c>
      <c r="C91" s="22" t="s">
        <v>237</v>
      </c>
      <c r="D91" s="22" t="s">
        <v>658</v>
      </c>
      <c r="E91" s="13">
        <v>42681.597430555557</v>
      </c>
      <c r="F91" s="13">
        <v>42681.601666666669</v>
      </c>
      <c r="G91" s="7">
        <v>1</v>
      </c>
      <c r="H91" s="22" t="s">
        <v>659</v>
      </c>
      <c r="I91" s="13">
        <v>42681.625891203701</v>
      </c>
      <c r="J91" s="7">
        <v>0</v>
      </c>
      <c r="K91" s="110" t="str">
        <f t="shared" si="40"/>
        <v>4007/4008</v>
      </c>
      <c r="L91" s="22" t="str">
        <f>VLOOKUP(A91,'Trips&amp;Operators'!$C$1:$E$10000,3,FALSE)</f>
        <v>CLARK</v>
      </c>
      <c r="M91" s="6">
        <f t="shared" si="41"/>
        <v>2.4224537031841464E-2</v>
      </c>
      <c r="N91" s="7"/>
      <c r="O91" s="7"/>
      <c r="P91" s="7">
        <f>24*60*SUM($M91:$M91)</f>
        <v>34.883333325851709</v>
      </c>
      <c r="Q91" s="23"/>
      <c r="R91" s="23" t="s">
        <v>790</v>
      </c>
      <c r="S91" s="35">
        <f t="shared" si="42"/>
        <v>1</v>
      </c>
      <c r="T91" s="50" t="str">
        <f t="shared" si="43"/>
        <v>Southbound</v>
      </c>
      <c r="U91" s="16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13:20:18-700',mode:absolute,to:'2016-11-07 16:01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1" s="52" t="str">
        <f t="shared" si="45"/>
        <v>N</v>
      </c>
      <c r="X91" s="174">
        <f t="shared" si="51"/>
        <v>1</v>
      </c>
      <c r="Y91" s="67">
        <f t="shared" si="33"/>
        <v>23.287099999999999</v>
      </c>
      <c r="Z91" s="67">
        <f t="shared" si="39"/>
        <v>1.89E-2</v>
      </c>
      <c r="AA91" s="67">
        <f t="shared" si="46"/>
        <v>23.2682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7"/>
        <v>0180-07</v>
      </c>
      <c r="AE91" s="91" t="str">
        <f t="shared" si="48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91" s="88" t="str">
        <f t="shared" si="49"/>
        <v>"C:\Program Files (x86)\AstroGrep\AstroGrep.exe" /spath="%USERPROFILE%\AppData\Local\Temp\OnboardLogs" /stypes="app*4008*20161107*" /stext=" 22:.+((SYSTEM_STATE.+slice.+state.+changed )|(ment ac)|(system.+state.+changed )|(\[timeout)|(PRM\|1\|D)|(kpr)|(kdp)|(\|loc)|(penalty))" /e /r /s</v>
      </c>
      <c r="AG91" s="1" t="str">
        <f t="shared" si="50"/>
        <v>EC</v>
      </c>
      <c r="AH91" s="92" t="str">
        <f t="shared" si="52"/>
        <v>"%USERPROFILE%\Documents\GitHub\eaglep3\Utilities\RefineRTDCRunTimes.py" --tripid 180-07 --locoid 4008 --swversion DE.1.0.8.0 --startMP 204:232871 --initTime 2016-11-07T14:20:18 --startdatetime 2016-11-07T14:26:24 --delay 1 --endMP 204:189 --enddatetime 2016-11-07T15:01:17 --enforcementcount 0 &gt;&gt;C:\Users\stu\Documents\GitHub\eaglep3-reporting\EC\2016-11-07-refined-times.txt</v>
      </c>
      <c r="AI91" s="120" t="str">
        <f t="shared" si="53"/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7405ae1b-3d8c-490a-a4a5-ffbf19424ef9.kml","custom_fields":[{"id":1,"name":"Subdivision","value":"EC"},{"id":4,"name":"Milepost","value":"0.0189"},{"id":17,"name":"Train ID","value":"180-07"},{"id":16,"name":"Locomotive ID","value":"4008"},{"id":130,"name":"Impact","value":"Unexpected Cut-Out or Disengaged"},{"id":150,"name":"Time of Event (Mountain Time)","value":"15:01:17"},{"id":151,"name":"Denver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91" s="182" t="s">
        <v>791</v>
      </c>
      <c r="AK91" s="53" t="s">
        <v>131</v>
      </c>
      <c r="AL91" s="53" t="s">
        <v>138</v>
      </c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527</v>
      </c>
      <c r="B92" s="7">
        <v>4002</v>
      </c>
      <c r="C92" s="22" t="s">
        <v>237</v>
      </c>
      <c r="D92" s="22" t="s">
        <v>660</v>
      </c>
      <c r="E92" s="13">
        <v>42681.569548611114</v>
      </c>
      <c r="F92" s="13">
        <v>42681.573472222219</v>
      </c>
      <c r="G92" s="7">
        <v>1</v>
      </c>
      <c r="H92" s="22" t="s">
        <v>646</v>
      </c>
      <c r="I92" s="13">
        <v>42681.599293981482</v>
      </c>
      <c r="J92" s="7">
        <v>0</v>
      </c>
      <c r="K92" s="110" t="str">
        <f t="shared" si="40"/>
        <v>4001/4002</v>
      </c>
      <c r="L92" s="22" t="str">
        <f>VLOOKUP(A92,'Trips&amp;Operators'!$C$1:$E$10000,3,FALSE)</f>
        <v>YOUNG</v>
      </c>
      <c r="M92" s="6">
        <f t="shared" si="41"/>
        <v>2.5821759263635613E-2</v>
      </c>
      <c r="N92" s="7">
        <f t="shared" ref="N92:N123" si="54">24*60*SUM($M92:$M92)</f>
        <v>37.183333339635283</v>
      </c>
      <c r="O92" s="7"/>
      <c r="P92" s="7"/>
      <c r="Q92" s="23"/>
      <c r="R92" s="23"/>
      <c r="S92" s="35">
        <f t="shared" si="42"/>
        <v>1</v>
      </c>
      <c r="T92" s="50" t="str">
        <f t="shared" si="43"/>
        <v>NorthBound</v>
      </c>
      <c r="U92" s="16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12:40:09-700',mode:absolute,to:'2016-11-07 15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2" s="52" t="str">
        <f t="shared" si="45"/>
        <v>N</v>
      </c>
      <c r="X92" s="174">
        <f t="shared" si="51"/>
        <v>1</v>
      </c>
      <c r="Y92" s="67">
        <f t="shared" si="33"/>
        <v>5.1999999999999998E-2</v>
      </c>
      <c r="Z92" s="67">
        <f t="shared" si="39"/>
        <v>23.3293</v>
      </c>
      <c r="AA92" s="67">
        <f t="shared" si="46"/>
        <v>23.2773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7"/>
        <v>0181-07</v>
      </c>
      <c r="AE92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92" s="88" t="str">
        <f t="shared" si="49"/>
        <v>"C:\Program Files (x86)\AstroGrep\AstroGrep.exe" /spath="%USERPROFILE%\AppData\Local\Temp\OnboardLogs" /stypes="app*4002*20161107*" /stext=" 21:.+((SYSTEM_STATE.+slice.+state.+changed )|(ment ac)|(system.+state.+changed )|(\[timeout)|(PRM\|1\|D)|(kpr)|(kdp)|(\|loc)|(penalty))" /e /r /s</v>
      </c>
      <c r="AG92" s="1" t="str">
        <f t="shared" si="50"/>
        <v>EC</v>
      </c>
      <c r="AH92" s="92" t="str">
        <f t="shared" si="52"/>
        <v>"%USERPROFILE%\Documents\GitHub\eaglep3\Utilities\RefineRTDCRunTimes.py" --tripid 181-07 --locoid 4002 --swversion DE.1.0.8.0 --startMP 204:520 --initTime 2016-11-07T13:40:09 --startdatetime 2016-11-07T13:45:48 --delay 1 --endMP 204:233293 --enddatetime 2016-11-07T14:22:59 --enforcementcount 0 &gt;&gt;C:\Users\stu\Documents\GitHub\eaglep3-reporting\EC\2016-11-07-refined-times.txt</v>
      </c>
      <c r="AI9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{"issue":{"subject":"","project_id":79,"tracker_id":40,"status_id":1,"priority_id":2,"assigned_to_id":23,"start_date":"2016-11-07","description":"","custom_fields":[{"id":1,"name":"Subdivision","value":"EC"},{"id":4,"name":"Milepost","value":"23.3293"},{"id":17,"name":"Train ID","value":"181-07"},{"id":16,"name":"Locomotive ID","value":"4002"},{"id":130,"name":"Impact","value":""},{"id":150,"name":"Time of Event (Mountain Time)","value":"14:22:59"},{"id":151,"name":"Denver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534</v>
      </c>
      <c r="B93" s="7">
        <v>4001</v>
      </c>
      <c r="C93" s="22" t="s">
        <v>237</v>
      </c>
      <c r="D93" s="22" t="s">
        <v>634</v>
      </c>
      <c r="E93" s="13">
        <v>42681.602719907409</v>
      </c>
      <c r="F93" s="13">
        <v>42681.611990740741</v>
      </c>
      <c r="G93" s="7">
        <v>2</v>
      </c>
      <c r="H93" s="22" t="s">
        <v>661</v>
      </c>
      <c r="I93" s="13">
        <v>42681.640833333331</v>
      </c>
      <c r="J93" s="7">
        <v>0</v>
      </c>
      <c r="K93" s="110" t="str">
        <f t="shared" si="40"/>
        <v>4001/4002</v>
      </c>
      <c r="L93" s="22" t="str">
        <f>VLOOKUP(A93,'Trips&amp;Operators'!$C$1:$E$10000,3,FALSE)</f>
        <v>YOUNG</v>
      </c>
      <c r="M93" s="6">
        <f t="shared" si="41"/>
        <v>2.884259259008104E-2</v>
      </c>
      <c r="N93" s="7">
        <f t="shared" si="54"/>
        <v>41.533333329716697</v>
      </c>
      <c r="O93" s="7"/>
      <c r="P93" s="7"/>
      <c r="Q93" s="23"/>
      <c r="R93" s="23"/>
      <c r="S93" s="35">
        <f t="shared" si="42"/>
        <v>1</v>
      </c>
      <c r="T93" s="50" t="str">
        <f t="shared" si="43"/>
        <v>Southbound</v>
      </c>
      <c r="U93" s="16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13:27:55-700',mode:absolute,to:'2016-11-07 16:22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3" s="52" t="str">
        <f t="shared" si="45"/>
        <v>N</v>
      </c>
      <c r="X93" s="174">
        <f t="shared" si="51"/>
        <v>1</v>
      </c>
      <c r="Y93" s="67">
        <f t="shared" si="33"/>
        <v>23.2974</v>
      </c>
      <c r="Z93" s="67">
        <f t="shared" si="39"/>
        <v>1.6500000000000001E-2</v>
      </c>
      <c r="AA93" s="67">
        <f t="shared" si="46"/>
        <v>23.280899999999999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7"/>
        <v>0182-07</v>
      </c>
      <c r="AE93" s="91" t="str">
        <f t="shared" si="48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93" s="88" t="str">
        <f t="shared" si="49"/>
        <v>"C:\Program Files (x86)\AstroGrep\AstroGrep.exe" /spath="%USERPROFILE%\AppData\Local\Temp\OnboardLogs" /stypes="app*4001*20161107*" /stext=" 22:.+((SYSTEM_STATE.+slice.+state.+changed )|(ment ac)|(system.+state.+changed )|(\[timeout)|(PRM\|1\|D)|(kpr)|(kdp)|(\|loc)|(penalty))" /e /r /s</v>
      </c>
      <c r="AG93" s="1" t="str">
        <f t="shared" si="50"/>
        <v>EC</v>
      </c>
      <c r="AH93" s="92" t="str">
        <f t="shared" si="52"/>
        <v>"%USERPROFILE%\Documents\GitHub\eaglep3\Utilities\RefineRTDCRunTimes.py" --tripid 182-07 --locoid 4001 --swversion DE.1.0.8.0 --startMP 204:232974 --initTime 2016-11-07T14:27:55 --startdatetime 2016-11-07T14:41:16 --delay 2 --endMP 204:165 --enddatetime 2016-11-07T15:22:48 --enforcementcount 0 &gt;&gt;C:\Users\stu\Documents\GitHub\eaglep3-reporting\EC\2016-11-07-refined-times.txt</v>
      </c>
      <c r="AI9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ID","value":"182-07"},{"id":16,"name":"Locomotive ID","value":"4001"},{"id":130,"name":"Impact","value":""},{"id":150,"name":"Time of Event (Mountain Time)","value":"15:22:48"},{"id":151,"name":"Denver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528</v>
      </c>
      <c r="B94" s="7">
        <v>4014</v>
      </c>
      <c r="C94" s="22" t="s">
        <v>237</v>
      </c>
      <c r="D94" s="22" t="s">
        <v>208</v>
      </c>
      <c r="E94" s="13">
        <v>42681.57671296296</v>
      </c>
      <c r="F94" s="13">
        <v>42681.58388888889</v>
      </c>
      <c r="G94" s="7">
        <v>6</v>
      </c>
      <c r="H94" s="22" t="s">
        <v>241</v>
      </c>
      <c r="I94" s="13">
        <v>42681.608217592591</v>
      </c>
      <c r="J94" s="7">
        <v>0</v>
      </c>
      <c r="K94" s="110" t="str">
        <f t="shared" si="40"/>
        <v>4013/4014</v>
      </c>
      <c r="L94" s="22" t="str">
        <f>VLOOKUP(A94,'Trips&amp;Operators'!$C$1:$E$10000,3,FALSE)</f>
        <v>DAVIDSON</v>
      </c>
      <c r="M94" s="6">
        <f t="shared" si="41"/>
        <v>2.4328703701030463E-2</v>
      </c>
      <c r="N94" s="7">
        <f t="shared" si="54"/>
        <v>35.033333329483867</v>
      </c>
      <c r="O94" s="7"/>
      <c r="P94" s="7"/>
      <c r="Q94" s="23"/>
      <c r="R94" s="23"/>
      <c r="S94" s="35">
        <f t="shared" si="42"/>
        <v>1</v>
      </c>
      <c r="T94" s="50" t="str">
        <f t="shared" si="43"/>
        <v>NorthBound</v>
      </c>
      <c r="U94" s="16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12:50:28-700',mode:absolute,to:'2016-11-07 15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4" s="52" t="str">
        <f t="shared" si="45"/>
        <v>N</v>
      </c>
      <c r="X94" s="174">
        <f t="shared" si="51"/>
        <v>1</v>
      </c>
      <c r="Y94" s="67">
        <f t="shared" si="33"/>
        <v>4.5499999999999999E-2</v>
      </c>
      <c r="Z94" s="67">
        <f t="shared" si="39"/>
        <v>23.328800000000001</v>
      </c>
      <c r="AA94" s="67">
        <f t="shared" si="46"/>
        <v>23.283300000000001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7"/>
        <v>0183-07</v>
      </c>
      <c r="AE94" s="91" t="str">
        <f t="shared" si="48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94" s="88" t="str">
        <f t="shared" si="49"/>
        <v>"C:\Program Files (x86)\AstroGrep\AstroGrep.exe" /spath="%USERPROFILE%\AppData\Local\Temp\OnboardLogs" /stypes="app*4014*20161107*" /stext=" 21:.+((SYSTEM_STATE.+slice.+state.+changed )|(ment ac)|(system.+state.+changed )|(\[timeout)|(PRM\|1\|D)|(kpr)|(kdp)|(\|loc)|(penalty))" /e /r /s</v>
      </c>
      <c r="AG94" s="1" t="str">
        <f t="shared" si="50"/>
        <v>EC</v>
      </c>
      <c r="AH94" s="92" t="str">
        <f t="shared" si="52"/>
        <v>"%USERPROFILE%\Documents\GitHub\eaglep3\Utilities\RefineRTDCRunTimes.py" --tripid 183-07 --locoid 4014 --swversion DE.1.0.8.0 --startMP 204:455 --initTime 2016-11-07T13:50:28 --startdatetime 2016-11-07T14:00:48 --delay 6 --endMP 204:233288 --enddatetime 2016-11-07T14:35:50 --enforcementcount 0 &gt;&gt;C:\Users\stu\Documents\GitHub\eaglep3-reporting\EC\2016-11-07-refined-times.txt</v>
      </c>
      <c r="AI9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{"issue":{"subject":"","project_id":79,"tracker_id":40,"status_id":1,"priority_id":2,"assigned_to_id":23,"start_date":"2016-11-07","description":"","custom_fields":[{"id":1,"name":"Subdivision","value":"EC"},{"id":4,"name":"Milepost","value":"23.3288"},{"id":17,"name":"Train ID","value":"183-07"},{"id":16,"name":"Locomotive ID","value":"4014"},{"id":130,"name":"Impact","value":""},{"id":150,"name":"Time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537</v>
      </c>
      <c r="B95" s="7">
        <v>4013</v>
      </c>
      <c r="C95" s="22" t="s">
        <v>237</v>
      </c>
      <c r="D95" s="22" t="s">
        <v>638</v>
      </c>
      <c r="E95" s="13">
        <v>42681.615937499999</v>
      </c>
      <c r="F95" s="13">
        <v>42681.622546296298</v>
      </c>
      <c r="G95" s="7">
        <v>1</v>
      </c>
      <c r="H95" s="22" t="s">
        <v>327</v>
      </c>
      <c r="I95" s="13">
        <v>42681.648993055554</v>
      </c>
      <c r="J95" s="7">
        <v>0</v>
      </c>
      <c r="K95" s="110" t="str">
        <f t="shared" si="40"/>
        <v>4013/4014</v>
      </c>
      <c r="L95" s="22" t="str">
        <f>VLOOKUP(A95,'Trips&amp;Operators'!$C$1:$E$10000,3,FALSE)</f>
        <v>DAVIDSON</v>
      </c>
      <c r="M95" s="6">
        <f t="shared" si="41"/>
        <v>2.6446759256941732E-2</v>
      </c>
      <c r="N95" s="7">
        <f t="shared" si="54"/>
        <v>38.083333329996094</v>
      </c>
      <c r="O95" s="7"/>
      <c r="P95" s="7"/>
      <c r="Q95" s="23"/>
      <c r="R95" s="23"/>
      <c r="S95" s="35">
        <f t="shared" si="42"/>
        <v>1</v>
      </c>
      <c r="T95" s="50" t="str">
        <f t="shared" si="43"/>
        <v>Southbound</v>
      </c>
      <c r="U95" s="16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13:46:57-700',mode:absolute,to:'2016-11-07 16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5" s="52" t="str">
        <f t="shared" si="45"/>
        <v>N</v>
      </c>
      <c r="X95" s="174">
        <f t="shared" si="51"/>
        <v>1</v>
      </c>
      <c r="Y95" s="67">
        <f t="shared" si="33"/>
        <v>23.296900000000001</v>
      </c>
      <c r="Z95" s="67">
        <f t="shared" si="39"/>
        <v>1.6E-2</v>
      </c>
      <c r="AA95" s="67">
        <f t="shared" si="46"/>
        <v>23.280900000000003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7"/>
        <v>0184-07</v>
      </c>
      <c r="AE95" s="91" t="str">
        <f t="shared" si="48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95" s="88" t="str">
        <f t="shared" si="49"/>
        <v>"C:\Program Files (x86)\AstroGrep\AstroGrep.exe" /spath="%USERPROFILE%\AppData\Local\Temp\OnboardLogs" /stypes="app*4013*20161107*" /stext=" 22:.+((SYSTEM_STATE.+slice.+state.+changed )|(ment ac)|(system.+state.+changed )|(\[timeout)|(PRM\|1\|D)|(kpr)|(kdp)|(\|loc)|(penalty))" /e /r /s</v>
      </c>
      <c r="AG95" s="1" t="str">
        <f t="shared" si="50"/>
        <v>EC</v>
      </c>
      <c r="AH95" s="92" t="str">
        <f t="shared" si="52"/>
        <v>"%USERPROFILE%\Documents\GitHub\eaglep3\Utilities\RefineRTDCRunTimes.py" --tripid 184-07 --locoid 4013 --swversion DE.1.0.8.0 --startMP 204:232969 --initTime 2016-11-07T14:46:57 --startdatetime 2016-11-07T14:56:28 --delay 1 --endMP 204:160 --enddatetime 2016-11-07T15:34:33 --enforcementcount 0 &gt;&gt;C:\Users\stu\Documents\GitHub\eaglep3-reporting\EC\2016-11-07-refined-times.txt</v>
      </c>
      <c r="AI9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ID","value":"184-07"},{"id":16,"name":"Locomotive ID","value":"4013"},{"id":130,"name":"Impact","value":""},{"id":150,"name":"Time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530</v>
      </c>
      <c r="B96" s="7">
        <v>4046</v>
      </c>
      <c r="C96" s="22" t="s">
        <v>237</v>
      </c>
      <c r="D96" s="22" t="s">
        <v>232</v>
      </c>
      <c r="E96" s="13">
        <v>42681.588125000002</v>
      </c>
      <c r="F96" s="13">
        <v>42681.593935185185</v>
      </c>
      <c r="G96" s="7">
        <v>2</v>
      </c>
      <c r="H96" s="22" t="s">
        <v>662</v>
      </c>
      <c r="I96" s="13">
        <v>42681.618958333333</v>
      </c>
      <c r="J96" s="7">
        <v>0</v>
      </c>
      <c r="K96" s="110" t="str">
        <f t="shared" si="40"/>
        <v>4045/4046</v>
      </c>
      <c r="L96" s="22" t="str">
        <f>VLOOKUP(A96,'Trips&amp;Operators'!$C$1:$E$10000,3,FALSE)</f>
        <v>SHOOK</v>
      </c>
      <c r="M96" s="6">
        <f t="shared" si="41"/>
        <v>2.5023148147738539E-2</v>
      </c>
      <c r="N96" s="7">
        <f t="shared" si="54"/>
        <v>36.033333332743496</v>
      </c>
      <c r="O96" s="7"/>
      <c r="P96" s="7"/>
      <c r="Q96" s="23"/>
      <c r="R96" s="23"/>
      <c r="S96" s="35">
        <f t="shared" si="42"/>
        <v>1</v>
      </c>
      <c r="T96" s="50" t="str">
        <f t="shared" si="43"/>
        <v>NorthBound</v>
      </c>
      <c r="U96" s="16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13:06:54-700',mode:absolute,to:'2016-11-07 15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6" s="52" t="str">
        <f t="shared" si="45"/>
        <v>N</v>
      </c>
      <c r="X96" s="174">
        <f t="shared" si="51"/>
        <v>1</v>
      </c>
      <c r="Y96" s="67">
        <f t="shared" si="33"/>
        <v>4.5699999999999998E-2</v>
      </c>
      <c r="Z96" s="67">
        <f t="shared" si="39"/>
        <v>23.336300000000001</v>
      </c>
      <c r="AA96" s="67">
        <f t="shared" si="46"/>
        <v>23.290600000000001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7"/>
        <v>0185-07</v>
      </c>
      <c r="AE96" s="91" t="str">
        <f t="shared" si="48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96" s="88" t="str">
        <f t="shared" si="49"/>
        <v>"C:\Program Files (x86)\AstroGrep\AstroGrep.exe" /spath="%USERPROFILE%\AppData\Local\Temp\OnboardLogs" /stypes="app*4046*20161107*" /stext=" 21:.+((SYSTEM_STATE.+slice.+state.+changed )|(ment ac)|(system.+state.+changed )|(\[timeout)|(PRM\|1\|D)|(kpr)|(kdp)|(\|loc)|(penalty))" /e /r /s</v>
      </c>
      <c r="AG96" s="1" t="str">
        <f t="shared" si="50"/>
        <v>EC</v>
      </c>
      <c r="AH96" s="92" t="str">
        <f t="shared" si="52"/>
        <v>"%USERPROFILE%\Documents\GitHub\eaglep3\Utilities\RefineRTDCRunTimes.py" --tripid 185-07 --locoid 4046 --swversion DE.1.0.8.0 --startMP 204:457 --initTime 2016-11-07T14:06:54 --startdatetime 2016-11-07T14:15:16 --delay 2 --endMP 204:233363 --enddatetime 2016-11-07T14:51:18 --enforcementcount 0 &gt;&gt;C:\Users\stu\Documents\GitHub\eaglep3-reporting\EC\2016-11-07-refined-times.txt</v>
      </c>
      <c r="AI9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{"issue":{"subject":"","project_id":79,"tracker_id":40,"status_id":1,"priority_id":2,"assigned_to_id":23,"start_date":"2016-11-07","description":"","custom_fields":[{"id":1,"name":"Subdivision","value":"EC"},{"id":4,"name":"Milepost","value":"23.3363"},{"id":17,"name":"Train ID","value":"185-07"},{"id":16,"name":"Locomotive ID","value":"4046"},{"id":130,"name":"Impact","value":""},{"id":150,"name":"Time of Event (Mountain Time)","value":"14:51:18"},{"id":151,"name":"Denver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539</v>
      </c>
      <c r="B97" s="7">
        <v>4045</v>
      </c>
      <c r="C97" s="22" t="s">
        <v>237</v>
      </c>
      <c r="D97" s="22" t="s">
        <v>651</v>
      </c>
      <c r="E97" s="13">
        <v>42681.627395833333</v>
      </c>
      <c r="F97" s="13">
        <v>42681.633402777778</v>
      </c>
      <c r="G97" s="7">
        <v>1</v>
      </c>
      <c r="H97" s="22" t="s">
        <v>327</v>
      </c>
      <c r="I97" s="13">
        <v>42681.660266203704</v>
      </c>
      <c r="J97" s="7">
        <v>0</v>
      </c>
      <c r="K97" s="110" t="str">
        <f t="shared" si="40"/>
        <v>4045/4046</v>
      </c>
      <c r="L97" s="22" t="str">
        <f>VLOOKUP(A97,'Trips&amp;Operators'!$C$1:$E$10000,3,FALSE)</f>
        <v>SHOOK</v>
      </c>
      <c r="M97" s="6">
        <f t="shared" si="41"/>
        <v>2.6863425926421769E-2</v>
      </c>
      <c r="N97" s="7">
        <f t="shared" si="54"/>
        <v>38.683333334047347</v>
      </c>
      <c r="O97" s="7"/>
      <c r="P97" s="7"/>
      <c r="Q97" s="23"/>
      <c r="R97" s="23"/>
      <c r="S97" s="35">
        <f t="shared" si="42"/>
        <v>1</v>
      </c>
      <c r="T97" s="50" t="str">
        <f t="shared" si="43"/>
        <v>Southbound</v>
      </c>
      <c r="U97" s="16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14:03:27-700',mode:absolute,to:'2016-11-07 16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7" s="52" t="str">
        <f t="shared" si="45"/>
        <v>N</v>
      </c>
      <c r="X97" s="174">
        <f t="shared" si="51"/>
        <v>1</v>
      </c>
      <c r="Y97" s="67">
        <f t="shared" si="33"/>
        <v>23.305499999999999</v>
      </c>
      <c r="Z97" s="67">
        <f t="shared" si="39"/>
        <v>1.6E-2</v>
      </c>
      <c r="AA97" s="67">
        <f t="shared" si="46"/>
        <v>23.2895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7"/>
        <v>0186-07</v>
      </c>
      <c r="AE97" s="91" t="str">
        <f t="shared" si="48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97" s="88" t="str">
        <f t="shared" si="49"/>
        <v>"C:\Program Files (x86)\AstroGrep\AstroGrep.exe" /spath="%USERPROFILE%\AppData\Local\Temp\OnboardLogs" /stypes="app*4045*20161107*" /stext=" 22:.+((SYSTEM_STATE.+slice.+state.+changed )|(ment ac)|(system.+state.+changed )|(\[timeout)|(PRM\|1\|D)|(kpr)|(kdp)|(\|loc)|(penalty))" /e /r /s</v>
      </c>
      <c r="AG97" s="1" t="str">
        <f t="shared" si="50"/>
        <v>EC</v>
      </c>
      <c r="AH97" s="92" t="str">
        <f t="shared" si="52"/>
        <v>"%USERPROFILE%\Documents\GitHub\eaglep3\Utilities\RefineRTDCRunTimes.py" --tripid 186-07 --locoid 4045 --swversion DE.1.0.8.0 --startMP 204:233055 --initTime 2016-11-07T15:03:27 --startdatetime 2016-11-07T15:12:06 --delay 1 --endMP 204:160 --enddatetime 2016-11-07T15:50:47 --enforcementcount 0 &gt;&gt;C:\Users\stu\Documents\GitHub\eaglep3-reporting\EC\2016-11-07-refined-times.txt</v>
      </c>
      <c r="AI9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ID","value":"186-07"},{"id":16,"name":"Locomotive ID","value":"4045"},{"id":130,"name":"Impact","value":""},{"id":150,"name":"Time of Event (Mountain Time)","value":"15:50:47"},{"id":151,"name":"Denver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533</v>
      </c>
      <c r="B98" s="7">
        <v>4053</v>
      </c>
      <c r="C98" s="22" t="s">
        <v>237</v>
      </c>
      <c r="D98" s="22" t="s">
        <v>254</v>
      </c>
      <c r="E98" s="13">
        <v>42681.598530092589</v>
      </c>
      <c r="F98" s="13">
        <v>42681.604525462964</v>
      </c>
      <c r="G98" s="7">
        <v>1</v>
      </c>
      <c r="H98" s="22" t="s">
        <v>320</v>
      </c>
      <c r="I98" s="13">
        <v>42681.629004629627</v>
      </c>
      <c r="J98" s="7">
        <v>0</v>
      </c>
      <c r="K98" s="110" t="str">
        <f t="shared" si="40"/>
        <v>4053/4054</v>
      </c>
      <c r="L98" s="22" t="str">
        <f>VLOOKUP(A98,'Trips&amp;Operators'!$C$1:$E$10000,3,FALSE)</f>
        <v>LALONDE</v>
      </c>
      <c r="M98" s="6">
        <f t="shared" si="41"/>
        <v>2.4479166662786156E-2</v>
      </c>
      <c r="N98" s="7">
        <f t="shared" si="54"/>
        <v>35.249999994412065</v>
      </c>
      <c r="O98" s="7"/>
      <c r="P98" s="7"/>
      <c r="Q98" s="23"/>
      <c r="R98" s="23"/>
      <c r="S98" s="35">
        <f t="shared" si="42"/>
        <v>1</v>
      </c>
      <c r="T98" s="50" t="str">
        <f t="shared" si="43"/>
        <v>NorthBound</v>
      </c>
      <c r="U98" s="16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13:21:53-700',mode:absolute,to:'2016-11-07 16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8" s="52" t="str">
        <f t="shared" si="45"/>
        <v>N</v>
      </c>
      <c r="X98" s="174">
        <f t="shared" si="51"/>
        <v>1</v>
      </c>
      <c r="Y98" s="67">
        <f t="shared" si="33"/>
        <v>4.7500000000000001E-2</v>
      </c>
      <c r="Z98" s="67">
        <f t="shared" si="39"/>
        <v>23.330500000000001</v>
      </c>
      <c r="AA98" s="67">
        <f t="shared" si="46"/>
        <v>23.283000000000001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7"/>
        <v>0187-07</v>
      </c>
      <c r="AE98" s="91" t="str">
        <f t="shared" si="48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98" s="88" t="str">
        <f t="shared" si="49"/>
        <v>"C:\Program Files (x86)\AstroGrep\AstroGrep.exe" /spath="%USERPROFILE%\AppData\Local\Temp\OnboardLogs" /stypes="app*4053*20161107*" /stext=" 22:.+((SYSTEM_STATE.+slice.+state.+changed )|(ment ac)|(system.+state.+changed )|(\[timeout)|(PRM\|1\|D)|(kpr)|(kdp)|(\|loc)|(penalty))" /e /r /s</v>
      </c>
      <c r="AG98" s="1" t="str">
        <f t="shared" si="50"/>
        <v>EC</v>
      </c>
      <c r="AH98" s="92" t="str">
        <f t="shared" si="52"/>
        <v>"%USERPROFILE%\Documents\GitHub\eaglep3\Utilities\RefineRTDCRunTimes.py" --tripid 187-07 --locoid 4053 --swversion DE.1.0.8.0 --startMP 204:475 --initTime 2016-11-07T14:21:53 --startdatetime 2016-11-07T14:30:31 --delay 1 --endMP 204:233305 --enddatetime 2016-11-07T15:05:46 --enforcementcount 0 &gt;&gt;C:\Users\stu\Documents\GitHub\eaglep3-reporting\EC\2016-11-07-refined-times.txt</v>
      </c>
      <c r="AI98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{"issue":{"subject":"","project_id":79,"tracker_id":40,"status_id":1,"priority_id":2,"assigned_to_id":23,"start_date":"2016-11-07","description":"","custom_fields":[{"id":1,"name":"Subdivision","value":"EC"},{"id":4,"name":"Milepost","value":"23.3305"},{"id":17,"name":"Train ID","value":"187-07"},{"id":16,"name":"Locomotive ID","value":"4053"},{"id":130,"name":"Impact","value":""},{"id":150,"name":"Time of Event (Mountain Time)","value":"15:05:46"},{"id":151,"name":"Denver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542</v>
      </c>
      <c r="B99" s="7">
        <v>4054</v>
      </c>
      <c r="C99" s="22" t="s">
        <v>237</v>
      </c>
      <c r="D99" s="22" t="s">
        <v>252</v>
      </c>
      <c r="E99" s="13">
        <v>42681.63921296296</v>
      </c>
      <c r="F99" s="13">
        <v>42681.643657407411</v>
      </c>
      <c r="G99" s="7">
        <v>1</v>
      </c>
      <c r="H99" s="22" t="s">
        <v>327</v>
      </c>
      <c r="I99" s="13">
        <v>42681.672048611108</v>
      </c>
      <c r="J99" s="7">
        <v>0</v>
      </c>
      <c r="K99" s="110" t="str">
        <f t="shared" si="40"/>
        <v>4053/4054</v>
      </c>
      <c r="L99" s="22" t="str">
        <f>VLOOKUP(A99,'Trips&amp;Operators'!$C$1:$E$10000,3,FALSE)</f>
        <v>LALONDE</v>
      </c>
      <c r="M99" s="6">
        <f t="shared" si="41"/>
        <v>2.8391203697538003E-2</v>
      </c>
      <c r="N99" s="7">
        <f t="shared" si="54"/>
        <v>40.883333324454725</v>
      </c>
      <c r="O99" s="7"/>
      <c r="P99" s="7"/>
      <c r="Q99" s="23"/>
      <c r="R99" s="23"/>
      <c r="S99" s="35">
        <f t="shared" si="42"/>
        <v>1</v>
      </c>
      <c r="T99" s="50" t="str">
        <f t="shared" si="43"/>
        <v>Southbound</v>
      </c>
      <c r="U99" s="16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14:20:28-700',mode:absolute,to:'2016-11-07 17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9" s="52" t="str">
        <f t="shared" si="45"/>
        <v>N</v>
      </c>
      <c r="X99" s="174">
        <f t="shared" si="51"/>
        <v>1</v>
      </c>
      <c r="Y99" s="67">
        <f t="shared" ref="Y99:Y162" si="55">RIGHT(D99,LEN(D99)-4)/10000</f>
        <v>23.298400000000001</v>
      </c>
      <c r="Z99" s="67">
        <f t="shared" si="39"/>
        <v>1.6E-2</v>
      </c>
      <c r="AA99" s="67">
        <f t="shared" si="46"/>
        <v>23.282400000000003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7"/>
        <v>0188-07</v>
      </c>
      <c r="AE99" s="91" t="str">
        <f t="shared" si="48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99" s="88" t="str">
        <f t="shared" si="49"/>
        <v>"C:\Program Files (x86)\AstroGrep\AstroGrep.exe" /spath="%USERPROFILE%\AppData\Local\Temp\OnboardLogs" /stypes="app*4054*20161107*" /stext=" 23:.+((SYSTEM_STATE.+slice.+state.+changed )|(ment ac)|(system.+state.+changed )|(\[timeout)|(PRM\|1\|D)|(kpr)|(kdp)|(\|loc)|(penalty))" /e /r /s</v>
      </c>
      <c r="AG99" s="1" t="str">
        <f t="shared" si="50"/>
        <v>EC</v>
      </c>
      <c r="AH99" s="92" t="str">
        <f t="shared" si="52"/>
        <v>"%USERPROFILE%\Documents\GitHub\eaglep3\Utilities\RefineRTDCRunTimes.py" --tripid 188-07 --locoid 4054 --swversion DE.1.0.8.0 --startMP 204:232984 --initTime 2016-11-07T15:20:28 --startdatetime 2016-11-07T15:26:52 --delay 1 --endMP 204:160 --enddatetime 2016-11-07T16:07:45 --enforcementcount 0 &gt;&gt;C:\Users\stu\Documents\GitHub\eaglep3-reporting\EC\2016-11-07-refined-times.txt</v>
      </c>
      <c r="AI9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ID","value":"188-07"},{"id":16,"name":"Locomotive ID","value":"4054"},{"id":130,"name":"Impact","value":""},{"id":150,"name":"Time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536</v>
      </c>
      <c r="B100" s="7">
        <v>4040</v>
      </c>
      <c r="C100" s="22" t="s">
        <v>237</v>
      </c>
      <c r="D100" s="22" t="s">
        <v>211</v>
      </c>
      <c r="E100" s="13">
        <v>42681.610451388886</v>
      </c>
      <c r="F100" s="13">
        <v>42681.614872685182</v>
      </c>
      <c r="G100" s="7">
        <v>1</v>
      </c>
      <c r="H100" s="22" t="s">
        <v>663</v>
      </c>
      <c r="I100" s="13">
        <v>42681.639687499999</v>
      </c>
      <c r="J100" s="7">
        <v>0</v>
      </c>
      <c r="K100" s="110" t="str">
        <f t="shared" si="40"/>
        <v>4039/4040</v>
      </c>
      <c r="L100" s="22" t="str">
        <f>VLOOKUP(A100,'Trips&amp;Operators'!$C$1:$E$10000,3,FALSE)</f>
        <v>BARTLETT</v>
      </c>
      <c r="M100" s="6">
        <f t="shared" si="41"/>
        <v>2.4814814816636499E-2</v>
      </c>
      <c r="N100" s="7">
        <f t="shared" si="54"/>
        <v>35.733333335956559</v>
      </c>
      <c r="O100" s="7"/>
      <c r="P100" s="7"/>
      <c r="Q100" s="23"/>
      <c r="R100" s="23"/>
      <c r="S100" s="35">
        <f t="shared" si="42"/>
        <v>1</v>
      </c>
      <c r="T100" s="50" t="str">
        <f t="shared" si="43"/>
        <v>NorthBound</v>
      </c>
      <c r="U100" s="16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13:39:03-700',mode:absolute,to:'2016-11-07 16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0" s="52" t="str">
        <f t="shared" si="45"/>
        <v>N</v>
      </c>
      <c r="X100" s="174">
        <f t="shared" si="51"/>
        <v>1</v>
      </c>
      <c r="Y100" s="67">
        <f t="shared" si="55"/>
        <v>4.5999999999999999E-2</v>
      </c>
      <c r="Z100" s="67">
        <f t="shared" si="39"/>
        <v>23.334199999999999</v>
      </c>
      <c r="AA100" s="67">
        <f t="shared" si="46"/>
        <v>23.2882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7"/>
        <v>0189-07</v>
      </c>
      <c r="AE100" s="91" t="str">
        <f t="shared" si="48"/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100" s="88" t="str">
        <f t="shared" si="49"/>
        <v>"C:\Program Files (x86)\AstroGrep\AstroGrep.exe" /spath="%USERPROFILE%\AppData\Local\Temp\OnboardLogs" /stypes="app*4040*20161107*" /stext=" 22:.+((SYSTEM_STATE.+slice.+state.+changed )|(ment ac)|(system.+state.+changed )|(\[timeout)|(PRM\|1\|D)|(kpr)|(kdp)|(\|loc)|(penalty))" /e /r /s</v>
      </c>
      <c r="AG100" s="1" t="str">
        <f t="shared" si="50"/>
        <v>EC</v>
      </c>
      <c r="AH100" s="92" t="str">
        <f t="shared" si="52"/>
        <v>"%USERPROFILE%\Documents\GitHub\eaglep3\Utilities\RefineRTDCRunTimes.py" --tripid 189-07 --locoid 4040 --swversion DE.1.0.8.0 --startMP 204:460 --initTime 2016-11-07T14:39:03 --startdatetime 2016-11-07T14:45:25 --delay 1 --endMP 204:233342 --enddatetime 2016-11-07T15:21:09 --enforcementcount 0 &gt;&gt;C:\Users\stu\Documents\GitHub\eaglep3-reporting\EC\2016-11-07-refined-times.txt</v>
      </c>
      <c r="AI10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{"issue":{"subject":"","project_id":79,"tracker_id":40,"status_id":1,"priority_id":2,"assigned_to_id":23,"start_date":"2016-11-07","description":"","custom_fields":[{"id":1,"name":"Subdivision","value":"EC"},{"id":4,"name":"Milepost","value":"23.3342"},{"id":17,"name":"Train ID","value":"189-07"},{"id":16,"name":"Locomotive ID","value":"4040"},{"id":130,"name":"Impact","value":""},{"id":150,"name":"Time of Event (Mountain Time)","value":"15:21:09"},{"id":151,"name":"Denver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423</v>
      </c>
      <c r="B101" s="7">
        <v>4039</v>
      </c>
      <c r="C101" s="22" t="s">
        <v>237</v>
      </c>
      <c r="D101" s="22" t="s">
        <v>664</v>
      </c>
      <c r="E101" s="13">
        <v>42681.641388888886</v>
      </c>
      <c r="F101" s="13">
        <v>42681.65384259259</v>
      </c>
      <c r="G101" s="7">
        <v>1</v>
      </c>
      <c r="H101" s="22" t="s">
        <v>665</v>
      </c>
      <c r="I101" s="13">
        <v>42681.679351851853</v>
      </c>
      <c r="J101" s="7">
        <v>0</v>
      </c>
      <c r="K101" s="110" t="str">
        <f t="shared" si="40"/>
        <v>4039/4040</v>
      </c>
      <c r="L101" s="22" t="str">
        <f>VLOOKUP(A101,'Trips&amp;Operators'!$C$1:$E$10000,3,FALSE)</f>
        <v>BARTLETT</v>
      </c>
      <c r="M101" s="6">
        <f t="shared" si="41"/>
        <v>2.5509259263344575E-2</v>
      </c>
      <c r="N101" s="7">
        <f t="shared" si="54"/>
        <v>36.733333339216188</v>
      </c>
      <c r="O101" s="7"/>
      <c r="P101" s="7"/>
      <c r="Q101" s="23"/>
      <c r="R101" s="23" t="s">
        <v>792</v>
      </c>
      <c r="S101" s="35">
        <f t="shared" si="42"/>
        <v>1</v>
      </c>
      <c r="T101" s="50" t="str">
        <f t="shared" si="43"/>
        <v>Southbound</v>
      </c>
      <c r="U101" s="16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14:23:36-700',mode:absolute,to:'2016-11-07 17:18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1" s="52" t="str">
        <f t="shared" si="45"/>
        <v>Y</v>
      </c>
      <c r="X101" s="174">
        <f t="shared" si="51"/>
        <v>1</v>
      </c>
      <c r="Y101" s="67">
        <f t="shared" si="55"/>
        <v>23.302800000000001</v>
      </c>
      <c r="Z101" s="67">
        <f t="shared" si="39"/>
        <v>0.38340000000000002</v>
      </c>
      <c r="AA101" s="67">
        <f t="shared" si="46"/>
        <v>22.9194</v>
      </c>
      <c r="AB101" s="64" t="str">
        <f>VLOOKUP(A101,Enforcements!$C$7:$K$21,8,0)</f>
        <v>Speed (6)</v>
      </c>
      <c r="AC101" s="60" t="str">
        <f>VLOOKUP(A101,Enforcements!$C$7:$E$21,3,0)</f>
        <v>PERMANENT SPEED RESTRICTION</v>
      </c>
      <c r="AD101" s="61" t="str">
        <f t="shared" si="47"/>
        <v>0190-07</v>
      </c>
      <c r="AE101" s="91" t="str">
        <f t="shared" si="48"/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101" s="88" t="str">
        <f t="shared" si="49"/>
        <v>"C:\Program Files (x86)\AstroGrep\AstroGrep.exe" /spath="%USERPROFILE%\AppData\Local\Temp\OnboardLogs" /stypes="app*4039*20161107*" /stext=" 23:.+((SYSTEM_STATE.+slice.+state.+changed )|(ment ac)|(system.+state.+changed )|(\[timeout)|(PRM\|1\|D)|(kpr)|(kdp)|(\|loc)|(penalty))" /e /r /s</v>
      </c>
      <c r="AG101" s="1" t="str">
        <f t="shared" si="50"/>
        <v>EC</v>
      </c>
      <c r="AH101" s="92" t="str">
        <f t="shared" si="52"/>
        <v>"%USERPROFILE%\Documents\GitHub\eaglep3\Utilities\RefineRTDCRunTimes.py" --tripid 190-07 --locoid 4039 --swversion DE.1.0.8.0 --startMP 204:233028 --initTime 2016-11-07T15:23:36 --startdatetime 2016-11-07T15:41:32 --delay 1 --endMP 204:3834 --enddatetime 2016-11-07T16:18:16 --enforcementcount 0 &gt;&gt;C:\Users\stu\Documents\GitHub\eaglep3-reporting\EC\2016-11-07-refined-times.txt</v>
      </c>
      <c r="AI101" s="120" t="str">
        <f t="shared" si="53"/>
        <v>echo {"issue":{"subject":"Pulled into Main 3","project_id":79,"tracker_id":40,"status_id":1,"priority_id":2,"assigned_to_id":23,"start_date":"2016-11-07","description":"","custom_fields":[{"id":1,"name":"Subdivision","value":"EC"},{"id":4,"name":"Milepost","value":"0.3834"},{"id":17,"name":"Train ID","value":"190-07"},{"id":16,"name":"Locomotive ID","value":"4039"},{"id":130,"name":"Impact","value":""},{"id":150,"name":"Time of Event (Mountain Time)","value":"16:18:16"},{"id":151,"name":"Denver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538</v>
      </c>
      <c r="B102" s="7">
        <v>4025</v>
      </c>
      <c r="C102" s="22" t="s">
        <v>237</v>
      </c>
      <c r="D102" s="22" t="s">
        <v>206</v>
      </c>
      <c r="E102" s="13">
        <v>42681.62027777778</v>
      </c>
      <c r="F102" s="13">
        <v>42681.625185185185</v>
      </c>
      <c r="G102" s="7">
        <v>1</v>
      </c>
      <c r="H102" s="22" t="s">
        <v>666</v>
      </c>
      <c r="I102" s="13">
        <v>42681.652685185189</v>
      </c>
      <c r="J102" s="7">
        <v>0</v>
      </c>
      <c r="K102" s="110" t="str">
        <f t="shared" si="40"/>
        <v>4025/4026</v>
      </c>
      <c r="L102" s="22" t="str">
        <f>VLOOKUP(A102,'Trips&amp;Operators'!$C$1:$E$10000,3,FALSE)</f>
        <v>NELSON</v>
      </c>
      <c r="M102" s="6">
        <f t="shared" si="41"/>
        <v>2.7500000003783498E-2</v>
      </c>
      <c r="N102" s="7">
        <f t="shared" si="54"/>
        <v>39.600000005448237</v>
      </c>
      <c r="O102" s="7"/>
      <c r="P102" s="7"/>
      <c r="Q102" s="23"/>
      <c r="R102" s="23"/>
      <c r="S102" s="35">
        <f t="shared" si="42"/>
        <v>1</v>
      </c>
      <c r="T102" s="50" t="str">
        <f t="shared" si="43"/>
        <v>NorthBound</v>
      </c>
      <c r="U102" s="16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13:53:12-700',mode:absolute,to:'2016-11-07 16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2" s="52" t="str">
        <f t="shared" si="45"/>
        <v>N</v>
      </c>
      <c r="X102" s="174">
        <f t="shared" si="51"/>
        <v>1</v>
      </c>
      <c r="Y102" s="67">
        <f t="shared" si="55"/>
        <v>4.4699999999999997E-2</v>
      </c>
      <c r="Z102" s="67">
        <f t="shared" si="39"/>
        <v>23.334499999999998</v>
      </c>
      <c r="AA102" s="67">
        <f t="shared" si="46"/>
        <v>23.2898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7"/>
        <v>0191-07</v>
      </c>
      <c r="AE102" s="91" t="str">
        <f t="shared" si="48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02" s="88" t="str">
        <f t="shared" si="49"/>
        <v>"C:\Program Files (x86)\AstroGrep\AstroGrep.exe" /spath="%USERPROFILE%\AppData\Local\Temp\OnboardLogs" /stypes="app*4025*20161107*" /stext=" 22:.+((SYSTEM_STATE.+slice.+state.+changed )|(ment ac)|(system.+state.+changed )|(\[timeout)|(PRM\|1\|D)|(kpr)|(kdp)|(\|loc)|(penalty))" /e /r /s</v>
      </c>
      <c r="AG102" s="1" t="str">
        <f t="shared" si="50"/>
        <v>EC</v>
      </c>
      <c r="AH102" s="92" t="str">
        <f t="shared" si="52"/>
        <v>"%USERPROFILE%\Documents\GitHub\eaglep3\Utilities\RefineRTDCRunTimes.py" --tripid 191-07 --locoid 4025 --swversion DE.1.0.8.0 --startMP 204:447 --initTime 2016-11-07T14:53:12 --startdatetime 2016-11-07T15:00:16 --delay 1 --endMP 204:233345 --enddatetime 2016-11-07T15:39:52 --enforcementcount 0 &gt;&gt;C:\Users\stu\Documents\GitHub\eaglep3-reporting\EC\2016-11-07-refined-times.txt</v>
      </c>
      <c r="AI10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{"issue":{"subject":"","project_id":79,"tracker_id":40,"status_id":1,"priority_id":2,"assigned_to_id":23,"start_date":"2016-11-07","description":"","custom_fields":[{"id":1,"name":"Subdivision","value":"EC"},{"id":4,"name":"Milepost","value":"23.3345"},{"id":17,"name":"Train ID","value":"191-07"},{"id":16,"name":"Locomotive ID","value":"4025"},{"id":130,"name":"Impact","value":""},{"id":150,"name":"Time of Event (Mountain Time)","value":"15:39:52"},{"id":151,"name":"Denver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426</v>
      </c>
      <c r="B103" s="7">
        <v>4026</v>
      </c>
      <c r="C103" s="22" t="s">
        <v>237</v>
      </c>
      <c r="D103" s="22" t="s">
        <v>397</v>
      </c>
      <c r="E103" s="13">
        <v>42681.658136574071</v>
      </c>
      <c r="F103" s="13">
        <v>42681.665219907409</v>
      </c>
      <c r="G103" s="7">
        <v>1</v>
      </c>
      <c r="H103" s="22" t="s">
        <v>253</v>
      </c>
      <c r="I103" s="13">
        <v>42681.692210648151</v>
      </c>
      <c r="J103" s="7">
        <v>0</v>
      </c>
      <c r="K103" s="110" t="str">
        <f t="shared" si="40"/>
        <v>4025/4026</v>
      </c>
      <c r="L103" s="22" t="str">
        <f>VLOOKUP(A103,'Trips&amp;Operators'!$C$1:$E$10000,3,FALSE)</f>
        <v>NELSON</v>
      </c>
      <c r="M103" s="6">
        <f t="shared" si="41"/>
        <v>2.6990740741894115E-2</v>
      </c>
      <c r="N103" s="7">
        <f t="shared" si="54"/>
        <v>38.866666668327525</v>
      </c>
      <c r="O103" s="7"/>
      <c r="P103" s="7"/>
      <c r="Q103" s="23"/>
      <c r="R103" s="23"/>
      <c r="S103" s="35">
        <f t="shared" si="42"/>
        <v>1</v>
      </c>
      <c r="T103" s="50" t="str">
        <f t="shared" si="43"/>
        <v>Southbound</v>
      </c>
      <c r="U103" s="16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14:47:43-700',mode:absolute,to:'2016-11-07 17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3" s="52" t="str">
        <f t="shared" si="45"/>
        <v>N</v>
      </c>
      <c r="X103" s="174">
        <f t="shared" si="51"/>
        <v>1</v>
      </c>
      <c r="Y103" s="67">
        <f t="shared" si="55"/>
        <v>23.300699999999999</v>
      </c>
      <c r="Z103" s="67">
        <f t="shared" si="39"/>
        <v>1.5800000000000002E-2</v>
      </c>
      <c r="AA103" s="67">
        <f t="shared" si="46"/>
        <v>23.2849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7"/>
        <v>0192-07</v>
      </c>
      <c r="AE103" s="91" t="str">
        <f t="shared" si="48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03" s="88" t="str">
        <f t="shared" si="49"/>
        <v>"C:\Program Files (x86)\AstroGrep\AstroGrep.exe" /spath="%USERPROFILE%\AppData\Local\Temp\OnboardLogs" /stypes="app*4026*20161107*" /stext=" 23:.+((SYSTEM_STATE.+slice.+state.+changed )|(ment ac)|(system.+state.+changed )|(\[timeout)|(PRM\|1\|D)|(kpr)|(kdp)|(\|loc)|(penalty))" /e /r /s</v>
      </c>
      <c r="AG103" s="1" t="str">
        <f t="shared" si="50"/>
        <v>EC</v>
      </c>
      <c r="AH103" s="92" t="str">
        <f t="shared" si="52"/>
        <v>"%USERPROFILE%\Documents\GitHub\eaglep3\Utilities\RefineRTDCRunTimes.py" --tripid 192-07 --locoid 4026 --swversion DE.1.0.8.0 --startMP 204:233007 --initTime 2016-11-07T15:47:43 --startdatetime 2016-11-07T15:57:55 --delay 1 --endMP 204:158 --enddatetime 2016-11-07T16:36:47 --enforcementcount 0 &gt;&gt;C:\Users\stu\Documents\GitHub\eaglep3-reporting\EC\2016-11-07-refined-times.txt</v>
      </c>
      <c r="AI10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ID","value":"192-07"},{"id":16,"name":"Locomotive ID","value":"4026"},{"id":130,"name":"Impact","value":""},{"id":150,"name":"Time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540</v>
      </c>
      <c r="B104" s="7">
        <v>4007</v>
      </c>
      <c r="C104" s="22" t="s">
        <v>237</v>
      </c>
      <c r="D104" s="22" t="s">
        <v>333</v>
      </c>
      <c r="E104" s="13">
        <v>42681.632627314815</v>
      </c>
      <c r="F104" s="13">
        <v>42681.635937500003</v>
      </c>
      <c r="G104" s="7">
        <v>1</v>
      </c>
      <c r="H104" s="22" t="s">
        <v>662</v>
      </c>
      <c r="I104" s="13">
        <v>42681.660949074074</v>
      </c>
      <c r="J104" s="7">
        <v>0</v>
      </c>
      <c r="K104" s="110" t="str">
        <f t="shared" si="40"/>
        <v>4007/4008</v>
      </c>
      <c r="L104" s="22" t="str">
        <f>VLOOKUP(A104,'Trips&amp;Operators'!$C$1:$E$10000,3,FALSE)</f>
        <v>CLARK</v>
      </c>
      <c r="M104" s="6">
        <f t="shared" si="41"/>
        <v>2.5011574070958886E-2</v>
      </c>
      <c r="N104" s="7">
        <f t="shared" si="54"/>
        <v>36.016666662180796</v>
      </c>
      <c r="O104" s="7"/>
      <c r="P104" s="7"/>
      <c r="Q104" s="23"/>
      <c r="R104" s="23"/>
      <c r="S104" s="35">
        <f t="shared" si="42"/>
        <v>1</v>
      </c>
      <c r="T104" s="50" t="str">
        <f t="shared" si="43"/>
        <v>NorthBound</v>
      </c>
      <c r="U104" s="16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14:10:59-700',mode:absolute,to:'2016-11-07 16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4" s="52" t="str">
        <f t="shared" si="45"/>
        <v>N</v>
      </c>
      <c r="X104" s="174">
        <f t="shared" si="51"/>
        <v>1</v>
      </c>
      <c r="Y104" s="67">
        <f t="shared" si="55"/>
        <v>4.3700000000000003E-2</v>
      </c>
      <c r="Z104" s="67">
        <f t="shared" si="39"/>
        <v>23.336300000000001</v>
      </c>
      <c r="AA104" s="67">
        <f t="shared" si="46"/>
        <v>23.2926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7"/>
        <v>0193-07</v>
      </c>
      <c r="AE104" s="91" t="str">
        <f t="shared" si="48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04" s="88" t="str">
        <f t="shared" si="49"/>
        <v>"C:\Program Files (x86)\AstroGrep\AstroGrep.exe" /spath="%USERPROFILE%\AppData\Local\Temp\OnboardLogs" /stypes="app*4007*20161107*" /stext=" 22:.+((SYSTEM_STATE.+slice.+state.+changed )|(ment ac)|(system.+state.+changed )|(\[timeout)|(PRM\|1\|D)|(kpr)|(kdp)|(\|loc)|(penalty))" /e /r /s</v>
      </c>
      <c r="AG104" s="1" t="str">
        <f t="shared" si="50"/>
        <v>EC</v>
      </c>
      <c r="AH104" s="92" t="str">
        <f t="shared" si="52"/>
        <v>"%USERPROFILE%\Documents\GitHub\eaglep3\Utilities\RefineRTDCRunTimes.py" --tripid 193-07 --locoid 4007 --swversion DE.1.0.8.0 --startMP 204:437 --initTime 2016-11-07T15:10:59 --startdatetime 2016-11-07T15:15:45 --delay 1 --endMP 204:233363 --enddatetime 2016-11-07T15:51:46 --enforcementcount 0 &gt;&gt;C:\Users\stu\Documents\GitHub\eaglep3-reporting\EC\2016-11-07-refined-times.txt</v>
      </c>
      <c r="AI10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{"issue":{"subject":"","project_id":79,"tracker_id":40,"status_id":1,"priority_id":2,"assigned_to_id":23,"start_date":"2016-11-07","description":"","custom_fields":[{"id":1,"name":"Subdivision","value":"EC"},{"id":4,"name":"Milepost","value":"23.3363"},{"id":17,"name":"Train ID","value":"193-07"},{"id":16,"name":"Locomotive ID","value":"4007"},{"id":130,"name":"Impact","value":""},{"id":150,"name":"Time of Event (Mountain Time)","value":"15:51:46"},{"id":151,"name":"Denver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547</v>
      </c>
      <c r="B105" s="7">
        <v>4008</v>
      </c>
      <c r="C105" s="22" t="s">
        <v>237</v>
      </c>
      <c r="D105" s="22" t="s">
        <v>667</v>
      </c>
      <c r="E105" s="13">
        <v>42681.666817129626</v>
      </c>
      <c r="F105" s="13">
        <v>42681.674490740741</v>
      </c>
      <c r="G105" s="7">
        <v>1</v>
      </c>
      <c r="H105" s="22" t="s">
        <v>659</v>
      </c>
      <c r="I105" s="13">
        <v>42681.701388888891</v>
      </c>
      <c r="J105" s="7">
        <v>0</v>
      </c>
      <c r="K105" s="110" t="str">
        <f t="shared" si="40"/>
        <v>4007/4008</v>
      </c>
      <c r="L105" s="22" t="str">
        <f>VLOOKUP(A105,'Trips&amp;Operators'!$C$1:$E$10000,3,FALSE)</f>
        <v>CLARK</v>
      </c>
      <c r="M105" s="6">
        <f t="shared" si="41"/>
        <v>2.6898148149484769E-2</v>
      </c>
      <c r="N105" s="7">
        <f t="shared" si="54"/>
        <v>38.733333335258067</v>
      </c>
      <c r="O105" s="7"/>
      <c r="P105" s="7"/>
      <c r="Q105" s="23"/>
      <c r="R105" s="23"/>
      <c r="S105" s="35">
        <f t="shared" si="42"/>
        <v>1</v>
      </c>
      <c r="T105" s="50" t="str">
        <f t="shared" si="43"/>
        <v>Southbound</v>
      </c>
      <c r="U105" s="16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15:00:13-700',mode:absolute,to:'2016-11-07 17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5" s="52" t="str">
        <f t="shared" si="45"/>
        <v>N</v>
      </c>
      <c r="X105" s="174">
        <f t="shared" si="51"/>
        <v>1</v>
      </c>
      <c r="Y105" s="67">
        <f t="shared" si="55"/>
        <v>23.306799999999999</v>
      </c>
      <c r="Z105" s="67">
        <f t="shared" si="39"/>
        <v>1.89E-2</v>
      </c>
      <c r="AA105" s="67">
        <f t="shared" si="46"/>
        <v>23.2879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7"/>
        <v>0194-07</v>
      </c>
      <c r="AE105" s="91" t="str">
        <f t="shared" si="48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105" s="88" t="str">
        <f t="shared" si="49"/>
        <v>"C:\Program Files (x86)\AstroGrep\AstroGrep.exe" /spath="%USERPROFILE%\AppData\Local\Temp\OnboardLogs" /stypes="app*4008*20161107*" /stext=" 23:.+((SYSTEM_STATE.+slice.+state.+changed )|(ment ac)|(system.+state.+changed )|(\[timeout)|(PRM\|1\|D)|(kpr)|(kdp)|(\|loc)|(penalty))" /e /r /s</v>
      </c>
      <c r="AG105" s="1" t="str">
        <f t="shared" si="50"/>
        <v>EC</v>
      </c>
      <c r="AH105" s="92" t="str">
        <f t="shared" si="52"/>
        <v>"%USERPROFILE%\Documents\GitHub\eaglep3\Utilities\RefineRTDCRunTimes.py" --tripid 194-07 --locoid 4008 --swversion DE.1.0.8.0 --startMP 204:233068 --initTime 2016-11-07T16:00:13 --startdatetime 2016-11-07T16:11:16 --delay 1 --endMP 204:189 --enddatetime 2016-11-07T16:50:00 --enforcementcount 0 &gt;&gt;C:\Users\stu\Documents\GitHub\eaglep3-reporting\EC\2016-11-07-refined-times.txt</v>
      </c>
      <c r="AI10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{"issue":{"subject":"","project_id":79,"tracker_id":40,"status_id":1,"priority_id":2,"assigned_to_id":23,"start_date":"2016-11-07","description":"","custom_fields":[{"id":1,"name":"Subdivision","value":"EC"},{"id":4,"name":"Milepost","value":"0.0189"},{"id":17,"name":"Train ID","value":"194-07"},{"id":16,"name":"Locomotive ID","value":"4008"},{"id":130,"name":"Impact","value":""},{"id":150,"name":"Time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425</v>
      </c>
      <c r="B106" s="7">
        <v>4002</v>
      </c>
      <c r="C106" s="22" t="s">
        <v>237</v>
      </c>
      <c r="D106" s="22" t="s">
        <v>209</v>
      </c>
      <c r="E106" s="13">
        <v>42681.642511574071</v>
      </c>
      <c r="F106" s="13">
        <v>42681.64634259259</v>
      </c>
      <c r="G106" s="7">
        <v>1</v>
      </c>
      <c r="H106" s="22" t="s">
        <v>668</v>
      </c>
      <c r="I106" s="13">
        <v>42681.672500000001</v>
      </c>
      <c r="J106" s="7">
        <v>0</v>
      </c>
      <c r="K106" s="110" t="str">
        <f t="shared" si="40"/>
        <v>4001/4002</v>
      </c>
      <c r="L106" s="22" t="str">
        <f>VLOOKUP(A106,'Trips&amp;Operators'!$C$1:$E$10000,3,FALSE)</f>
        <v>YOUNG</v>
      </c>
      <c r="M106" s="6">
        <f t="shared" si="41"/>
        <v>2.6157407410209998E-2</v>
      </c>
      <c r="N106" s="7">
        <f t="shared" si="54"/>
        <v>37.666666670702398</v>
      </c>
      <c r="O106" s="7"/>
      <c r="P106" s="7"/>
      <c r="Q106" s="23"/>
      <c r="R106" s="23"/>
      <c r="S106" s="35">
        <f t="shared" si="42"/>
        <v>1</v>
      </c>
      <c r="T106" s="50" t="str">
        <f t="shared" si="43"/>
        <v>NorthBound</v>
      </c>
      <c r="U106" s="16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14:25:13-700',mode:absolute,to:'2016-11-07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6" s="52" t="str">
        <f t="shared" si="45"/>
        <v>N</v>
      </c>
      <c r="X106" s="174">
        <f t="shared" si="51"/>
        <v>1</v>
      </c>
      <c r="Y106" s="67">
        <f t="shared" si="55"/>
        <v>4.6600000000000003E-2</v>
      </c>
      <c r="Z106" s="67">
        <f t="shared" si="39"/>
        <v>23.326799999999999</v>
      </c>
      <c r="AA106" s="67">
        <f t="shared" si="46"/>
        <v>23.280199999999997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7"/>
        <v>0195-07</v>
      </c>
      <c r="AE106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06" s="88" t="str">
        <f t="shared" si="49"/>
        <v>"C:\Program Files (x86)\AstroGrep\AstroGrep.exe" /spath="%USERPROFILE%\AppData\Local\Temp\OnboardLogs" /stypes="app*4002*20161107*" /stext=" 23:.+((SYSTEM_STATE.+slice.+state.+changed )|(ment ac)|(system.+state.+changed )|(\[timeout)|(PRM\|1\|D)|(kpr)|(kdp)|(\|loc)|(penalty))" /e /r /s</v>
      </c>
      <c r="AG106" s="1" t="str">
        <f t="shared" si="50"/>
        <v>EC</v>
      </c>
      <c r="AH106" s="92" t="str">
        <f t="shared" si="52"/>
        <v>"%USERPROFILE%\Documents\GitHub\eaglep3\Utilities\RefineRTDCRunTimes.py" --tripid 195-07 --locoid 4002 --swversion DE.1.0.8.0 --startMP 204:466 --initTime 2016-11-07T15:25:13 --startdatetime 2016-11-07T15:30:44 --delay 1 --endMP 204:233268 --enddatetime 2016-11-07T16:08:24 --enforcementcount 0 &gt;&gt;C:\Users\stu\Documents\GitHub\eaglep3-reporting\EC\2016-11-07-refined-times.txt</v>
      </c>
      <c r="AI10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{"issue":{"subject":"","project_id":79,"tracker_id":40,"status_id":1,"priority_id":2,"assigned_to_id":23,"start_date":"2016-11-07","description":"","custom_fields":[{"id":1,"name":"Subdivision","value":"EC"},{"id":4,"name":"Milepost","value":"23.3268"},{"id":17,"name":"Train ID","value":"195-07"},{"id":16,"name":"Locomotive ID","value":"4002"},{"id":130,"name":"Impact","value":""},{"id":150,"name":"Time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550</v>
      </c>
      <c r="B107" s="7">
        <v>4001</v>
      </c>
      <c r="C107" s="22" t="s">
        <v>237</v>
      </c>
      <c r="D107" s="22" t="s">
        <v>669</v>
      </c>
      <c r="E107" s="13">
        <v>42681.676655092589</v>
      </c>
      <c r="F107" s="13">
        <v>42681.684907407405</v>
      </c>
      <c r="G107" s="7">
        <v>1</v>
      </c>
      <c r="H107" s="22" t="s">
        <v>382</v>
      </c>
      <c r="I107" s="13">
        <v>42681.713923611111</v>
      </c>
      <c r="J107" s="7">
        <v>0</v>
      </c>
      <c r="K107" s="110" t="str">
        <f t="shared" si="40"/>
        <v>4001/4002</v>
      </c>
      <c r="L107" s="22" t="str">
        <f>VLOOKUP(A107,'Trips&amp;Operators'!$C$1:$E$10000,3,FALSE)</f>
        <v>YOUNG</v>
      </c>
      <c r="M107" s="6">
        <f t="shared" si="41"/>
        <v>2.9016203705396038E-2</v>
      </c>
      <c r="N107" s="7">
        <f t="shared" si="54"/>
        <v>41.783333335770294</v>
      </c>
      <c r="O107" s="7"/>
      <c r="P107" s="7"/>
      <c r="Q107" s="23"/>
      <c r="R107" s="23"/>
      <c r="S107" s="35">
        <f t="shared" si="42"/>
        <v>1</v>
      </c>
      <c r="T107" s="50" t="str">
        <f t="shared" si="43"/>
        <v>Southbound</v>
      </c>
      <c r="U107" s="16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15:14:23-700',mode:absolute,to:'2016-11-07 18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7" s="52" t="str">
        <f t="shared" si="45"/>
        <v>N</v>
      </c>
      <c r="X107" s="174">
        <f t="shared" si="51"/>
        <v>1</v>
      </c>
      <c r="Y107" s="67">
        <f t="shared" si="55"/>
        <v>23.2944</v>
      </c>
      <c r="Z107" s="67">
        <f t="shared" si="39"/>
        <v>1.7600000000000001E-2</v>
      </c>
      <c r="AA107" s="67">
        <f t="shared" si="46"/>
        <v>23.276799999999998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7"/>
        <v>0196-07</v>
      </c>
      <c r="AE107" s="91" t="str">
        <f t="shared" si="48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07" s="88" t="str">
        <f t="shared" si="49"/>
        <v>"C:\Program Files (x86)\AstroGrep\AstroGrep.exe" /spath="%USERPROFILE%\AppData\Local\Temp\OnboardLogs" /stypes="app*4001*20161108*" /stext=" 00:.+((SYSTEM_STATE.+slice.+state.+changed )|(ment ac)|(system.+state.+changed )|(\[timeout)|(PRM\|1\|D)|(kpr)|(kdp)|(\|loc)|(penalty))" /e /r /s</v>
      </c>
      <c r="AG107" s="1" t="str">
        <f t="shared" si="50"/>
        <v>EC</v>
      </c>
      <c r="AH107" s="92" t="str">
        <f t="shared" si="52"/>
        <v>"%USERPROFILE%\Documents\GitHub\eaglep3\Utilities\RefineRTDCRunTimes.py" --tripid 196-07 --locoid 4001 --swversion DE.1.0.8.0 --startMP 204:232944 --initTime 2016-11-07T16:14:23 --startdatetime 2016-11-07T16:26:16 --delay 1 --endMP 204:176 --enddatetime 2016-11-07T17:08:03 --enforcementcount 0 &gt;&gt;C:\Users\stu\Documents\GitHub\eaglep3-reporting\EC\2016-11-07-refined-times.txt</v>
      </c>
      <c r="AI10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{"issue":{"subject":"","project_id":79,"tracker_id":40,"status_id":1,"priority_id":2,"assigned_to_id":23,"start_date":"2016-11-07","description":"","custom_fields":[{"id":1,"name":"Subdivision","value":"EC"},{"id":4,"name":"Milepost","value":"0.0176"},{"id":17,"name":"Train ID","value":"196-07"},{"id":16,"name":"Locomotive ID","value":"4001"},{"id":130,"name":"Impact","value":""},{"id":150,"name":"Time of Event (Mountain Time)","value":"17:08:03"},{"id":151,"name":"Denver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544</v>
      </c>
      <c r="B108" s="7">
        <v>4014</v>
      </c>
      <c r="C108" s="22" t="s">
        <v>237</v>
      </c>
      <c r="D108" s="22" t="s">
        <v>670</v>
      </c>
      <c r="E108" s="13">
        <v>42681.654861111114</v>
      </c>
      <c r="F108" s="13">
        <v>42681.653831018521</v>
      </c>
      <c r="G108" s="7">
        <v>1</v>
      </c>
      <c r="H108" s="22" t="s">
        <v>671</v>
      </c>
      <c r="I108" s="13">
        <v>42681.680844907409</v>
      </c>
      <c r="J108" s="7">
        <v>0</v>
      </c>
      <c r="K108" s="110" t="str">
        <f t="shared" si="40"/>
        <v>4013/4014</v>
      </c>
      <c r="L108" s="22" t="str">
        <f>VLOOKUP(A108,'Trips&amp;Operators'!$C$1:$E$10000,3,FALSE)</f>
        <v>DAVIDSON</v>
      </c>
      <c r="M108" s="6">
        <f t="shared" si="41"/>
        <v>2.7013888888177462E-2</v>
      </c>
      <c r="N108" s="7">
        <f t="shared" si="54"/>
        <v>38.899999998975545</v>
      </c>
      <c r="O108" s="7"/>
      <c r="P108" s="7"/>
      <c r="Q108" s="23"/>
      <c r="R108" s="23" t="s">
        <v>793</v>
      </c>
      <c r="S108" s="35">
        <f t="shared" si="42"/>
        <v>1</v>
      </c>
      <c r="T108" s="50" t="str">
        <f t="shared" si="43"/>
        <v>NorthBound</v>
      </c>
      <c r="U108" s="16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14:43:00-700',mode:absolute,to:'2016-11-07 17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8" s="52" t="str">
        <f t="shared" si="45"/>
        <v>N</v>
      </c>
      <c r="X108" s="174">
        <f t="shared" ref="X108:X111" si="56">VALUE(LEFT(AD108,4))-VALUE(LEFT(AD107,4))</f>
        <v>1</v>
      </c>
      <c r="Y108" s="67">
        <f t="shared" si="55"/>
        <v>3.9800000000000002E-2</v>
      </c>
      <c r="Z108" s="67">
        <f t="shared" ref="Z108:Z139" si="57">RIGHT(H108,LEN(H108)-4)/10000</f>
        <v>23.328099999999999</v>
      </c>
      <c r="AA108" s="67">
        <f t="shared" si="46"/>
        <v>23.2883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7"/>
        <v>0197-07</v>
      </c>
      <c r="AE108" s="91" t="str">
        <f t="shared" si="48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108" s="88" t="str">
        <f t="shared" si="49"/>
        <v>"C:\Program Files (x86)\AstroGrep\AstroGrep.exe" /spath="%USERPROFILE%\AppData\Local\Temp\OnboardLogs" /stypes="app*4014*20161107*" /stext=" 23:.+((SYSTEM_STATE.+slice.+state.+changed )|(ment ac)|(system.+state.+changed )|(\[timeout)|(PRM\|1\|D)|(kpr)|(kdp)|(\|loc)|(penalty))" /e /r /s</v>
      </c>
      <c r="AG108" s="1" t="str">
        <f t="shared" si="50"/>
        <v>EC</v>
      </c>
      <c r="AH108" s="92" t="str">
        <f t="shared" si="52"/>
        <v>"%USERPROFILE%\Documents\GitHub\eaglep3\Utilities\RefineRTDCRunTimes.py" --tripid 197-07 --locoid 4014 --swversion DE.1.0.8.0 --startMP 204:398 --initTime 2016-11-07T15:43:00 --startdatetime 2016-11-07T15:41:31 --delay 1 --endMP 204:233281 --enddatetime 2016-11-07T16:20:25 --enforcementcount 0 &gt;&gt;C:\Users\stu\Documents\GitHub\eaglep3-reporting\EC\2016-11-07-refined-times.txt</v>
      </c>
      <c r="AI108" s="120" t="str">
        <f t="shared" si="53"/>
        <v>echo {"issue":{"subject":"Delayed due to re-init","project_id":79,"tracker_id":40,"status_id":1,"priority_id":2,"assigned_to_id":23,"start_date":"2016-11-07","description":"","custom_fields":[{"id":1,"name":"Subdivision","value":"EC"},{"id":4,"name":"Milepost","value":"23.3281"},{"id":17,"name":"Train ID","value":"197-07"},{"id":16,"name":"Locomotive ID","value":"4014"},{"id":130,"name":"Impact","value":""},{"id":150,"name":"Time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552</v>
      </c>
      <c r="B109" s="7">
        <v>4013</v>
      </c>
      <c r="C109" s="22" t="s">
        <v>237</v>
      </c>
      <c r="D109" s="22" t="s">
        <v>672</v>
      </c>
      <c r="E109" s="13">
        <v>42681.68236111111</v>
      </c>
      <c r="F109" s="13">
        <v>42681.695289351854</v>
      </c>
      <c r="G109" s="7">
        <v>2</v>
      </c>
      <c r="H109" s="22" t="s">
        <v>661</v>
      </c>
      <c r="I109" s="13">
        <v>42681.721168981479</v>
      </c>
      <c r="J109" s="7">
        <v>0</v>
      </c>
      <c r="K109" s="110" t="str">
        <f t="shared" si="40"/>
        <v>4013/4014</v>
      </c>
      <c r="L109" s="22" t="str">
        <f>VLOOKUP(A109,'Trips&amp;Operators'!$C$1:$E$10000,3,FALSE)</f>
        <v>DAVIDSON</v>
      </c>
      <c r="M109" s="6">
        <f t="shared" si="41"/>
        <v>2.5879629625706002E-2</v>
      </c>
      <c r="N109" s="7">
        <f t="shared" si="54"/>
        <v>37.266666661016643</v>
      </c>
      <c r="O109" s="7"/>
      <c r="P109" s="7"/>
      <c r="Q109" s="23"/>
      <c r="R109" s="23"/>
      <c r="S109" s="35">
        <f t="shared" ref="S109:S140" si="58">SUM(U109:U109)/IF(AG109="EC",12,1)</f>
        <v>1</v>
      </c>
      <c r="T109" s="50" t="str">
        <f t="shared" si="43"/>
        <v>Southbound</v>
      </c>
      <c r="U109" s="16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15:22:36-700',mode:absolute,to:'2016-11-07 18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9" s="52" t="str">
        <f t="shared" si="45"/>
        <v>N</v>
      </c>
      <c r="X109" s="174">
        <f t="shared" si="56"/>
        <v>1</v>
      </c>
      <c r="Y109" s="67">
        <f t="shared" si="55"/>
        <v>23.296800000000001</v>
      </c>
      <c r="Z109" s="67">
        <f t="shared" si="57"/>
        <v>1.6500000000000001E-2</v>
      </c>
      <c r="AA109" s="67">
        <f t="shared" si="46"/>
        <v>23.2803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7"/>
        <v>0198-07</v>
      </c>
      <c r="AE109" s="91" t="str">
        <f t="shared" si="48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09" s="88" t="str">
        <f t="shared" si="49"/>
        <v>"C:\Program Files (x86)\AstroGrep\AstroGrep.exe" /spath="%USERPROFILE%\AppData\Local\Temp\OnboardLogs" /stypes="app*4013*20161108*" /stext=" 00:.+((SYSTEM_STATE.+slice.+state.+changed )|(ment ac)|(system.+state.+changed )|(\[timeout)|(PRM\|1\|D)|(kpr)|(kdp)|(\|loc)|(penalty))" /e /r /s</v>
      </c>
      <c r="AG109" s="1" t="str">
        <f t="shared" si="50"/>
        <v>EC</v>
      </c>
      <c r="AH109" s="92" t="str">
        <f t="shared" si="52"/>
        <v>"%USERPROFILE%\Documents\GitHub\eaglep3\Utilities\RefineRTDCRunTimes.py" --tripid 198-07 --locoid 4013 --swversion DE.1.0.8.0 --startMP 204:232968 --initTime 2016-11-07T16:22:36 --startdatetime 2016-11-07T16:41:13 --delay 2 --endMP 204:165 --enddatetime 2016-11-07T17:18:29 --enforcementcount 0 &gt;&gt;C:\Users\stu\Documents\GitHub\eaglep3-reporting\EC\2016-11-07-refined-times.txt</v>
      </c>
      <c r="AI10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ID","value":"198-07"},{"id":16,"name":"Locomotive ID","value":"4013"},{"id":130,"name":"Impact","value":""},{"id":150,"name":"Time of Event (Mountain Time)","value":"17:18:29"},{"id":151,"name":"Denver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546</v>
      </c>
      <c r="B110" s="7">
        <v>4046</v>
      </c>
      <c r="C110" s="22" t="s">
        <v>237</v>
      </c>
      <c r="D110" s="22" t="s">
        <v>232</v>
      </c>
      <c r="E110" s="13">
        <v>42681.661944444444</v>
      </c>
      <c r="F110" s="13">
        <v>42681.666863425926</v>
      </c>
      <c r="G110" s="7">
        <v>1</v>
      </c>
      <c r="H110" s="22" t="s">
        <v>673</v>
      </c>
      <c r="I110" s="13">
        <v>42681.691793981481</v>
      </c>
      <c r="J110" s="7">
        <v>0</v>
      </c>
      <c r="K110" s="110" t="str">
        <f t="shared" si="40"/>
        <v>4045/4046</v>
      </c>
      <c r="L110" s="22" t="str">
        <f>VLOOKUP(A110,'Trips&amp;Operators'!$C$1:$E$10000,3,FALSE)</f>
        <v>SHOOK</v>
      </c>
      <c r="M110" s="6">
        <f t="shared" si="41"/>
        <v>2.4930555555329192E-2</v>
      </c>
      <c r="N110" s="7">
        <f t="shared" si="54"/>
        <v>35.899999999674037</v>
      </c>
      <c r="O110" s="7"/>
      <c r="P110" s="7"/>
      <c r="Q110" s="23"/>
      <c r="R110" s="23"/>
      <c r="S110" s="35">
        <f t="shared" si="58"/>
        <v>1</v>
      </c>
      <c r="T110" s="50" t="str">
        <f t="shared" si="43"/>
        <v>NorthBound</v>
      </c>
      <c r="U110" s="16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14:53:12-700',mode:absolute,to:'2016-11-07 17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0" s="52" t="str">
        <f t="shared" si="45"/>
        <v>N</v>
      </c>
      <c r="X110" s="174">
        <f t="shared" si="56"/>
        <v>1</v>
      </c>
      <c r="Y110" s="67">
        <f t="shared" si="55"/>
        <v>4.5699999999999998E-2</v>
      </c>
      <c r="Z110" s="67">
        <f t="shared" si="57"/>
        <v>23.338699999999999</v>
      </c>
      <c r="AA110" s="67">
        <f t="shared" si="46"/>
        <v>23.292999999999999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7"/>
        <v>0199-07</v>
      </c>
      <c r="AE110" s="91" t="str">
        <f t="shared" si="48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10" s="88" t="str">
        <f t="shared" si="49"/>
        <v>"C:\Program Files (x86)\AstroGrep\AstroGrep.exe" /spath="%USERPROFILE%\AppData\Local\Temp\OnboardLogs" /stypes="app*4046*20161107*" /stext=" 23:.+((SYSTEM_STATE.+slice.+state.+changed )|(ment ac)|(system.+state.+changed )|(\[timeout)|(PRM\|1\|D)|(kpr)|(kdp)|(\|loc)|(penalty))" /e /r /s</v>
      </c>
      <c r="AG110" s="1" t="str">
        <f t="shared" si="50"/>
        <v>EC</v>
      </c>
      <c r="AH110" s="92" t="str">
        <f t="shared" si="52"/>
        <v>"%USERPROFILE%\Documents\GitHub\eaglep3\Utilities\RefineRTDCRunTimes.py" --tripid 199-07 --locoid 4046 --swversion DE.1.0.8.0 --startMP 204:457 --initTime 2016-11-07T15:53:12 --startdatetime 2016-11-07T16:00:17 --delay 1 --endMP 204:233387 --enddatetime 2016-11-07T16:36:11 --enforcementcount 0 &gt;&gt;C:\Users\stu\Documents\GitHub\eaglep3-reporting\EC\2016-11-07-refined-times.txt</v>
      </c>
      <c r="AI11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{"issue":{"subject":"","project_id":79,"tracker_id":40,"status_id":1,"priority_id":2,"assigned_to_id":23,"start_date":"2016-11-07","description":"","custom_fields":[{"id":1,"name":"Subdivision","value":"EC"},{"id":4,"name":"Milepost","value":"23.3387"},{"id":17,"name":"Train ID","value":"199-07"},{"id":16,"name":"Locomotive ID","value":"4046"},{"id":130,"name":"Impact","value":""},{"id":150,"name":"Time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557</v>
      </c>
      <c r="B111" s="7">
        <v>4045</v>
      </c>
      <c r="C111" s="22" t="s">
        <v>237</v>
      </c>
      <c r="D111" s="22" t="s">
        <v>674</v>
      </c>
      <c r="E111" s="13">
        <v>42681.701435185183</v>
      </c>
      <c r="F111" s="13">
        <v>42681.705740740741</v>
      </c>
      <c r="G111" s="7">
        <v>1</v>
      </c>
      <c r="H111" s="22" t="s">
        <v>332</v>
      </c>
      <c r="I111" s="13">
        <v>42681.732870370368</v>
      </c>
      <c r="J111" s="7">
        <v>0</v>
      </c>
      <c r="K111" s="110" t="str">
        <f t="shared" si="40"/>
        <v>4045/4046</v>
      </c>
      <c r="L111" s="22" t="str">
        <f>VLOOKUP(A111,'Trips&amp;Operators'!$C$1:$E$10000,3,FALSE)</f>
        <v>SHOOK</v>
      </c>
      <c r="M111" s="6">
        <f t="shared" si="41"/>
        <v>2.7129629626870155E-2</v>
      </c>
      <c r="N111" s="7">
        <f t="shared" si="54"/>
        <v>39.066666662693024</v>
      </c>
      <c r="O111" s="7"/>
      <c r="P111" s="7"/>
      <c r="Q111" s="23"/>
      <c r="R111" s="23"/>
      <c r="S111" s="35">
        <f t="shared" si="58"/>
        <v>1</v>
      </c>
      <c r="T111" s="50" t="str">
        <f t="shared" si="43"/>
        <v>Southbound</v>
      </c>
      <c r="U111" s="16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15:50:04-700',mode:absolute,to:'2016-11-07 18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1" s="52" t="str">
        <f t="shared" si="45"/>
        <v>N</v>
      </c>
      <c r="X111" s="174">
        <f t="shared" si="56"/>
        <v>1</v>
      </c>
      <c r="Y111" s="67">
        <f t="shared" si="55"/>
        <v>23.303999999999998</v>
      </c>
      <c r="Z111" s="67">
        <f t="shared" si="57"/>
        <v>1.3899999999999999E-2</v>
      </c>
      <c r="AA111" s="67">
        <f t="shared" si="46"/>
        <v>23.290099999999999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7"/>
        <v>0200-07</v>
      </c>
      <c r="AE111" s="91" t="str">
        <f t="shared" si="48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11" s="88" t="str">
        <f t="shared" si="49"/>
        <v>"C:\Program Files (x86)\AstroGrep\AstroGrep.exe" /spath="%USERPROFILE%\AppData\Local\Temp\OnboardLogs" /stypes="app*4045*20161108*" /stext=" 00:.+((SYSTEM_STATE.+slice.+state.+changed )|(ment ac)|(system.+state.+changed )|(\[timeout)|(PRM\|1\|D)|(kpr)|(kdp)|(\|loc)|(penalty))" /e /r /s</v>
      </c>
      <c r="AG111" s="1" t="str">
        <f t="shared" si="50"/>
        <v>EC</v>
      </c>
      <c r="AH111" s="92" t="str">
        <f t="shared" si="52"/>
        <v>"%USERPROFILE%\Documents\GitHub\eaglep3\Utilities\RefineRTDCRunTimes.py" --tripid 200-07 --locoid 4045 --swversion DE.1.0.8.0 --startMP 204:233040 --initTime 2016-11-07T16:50:04 --startdatetime 2016-11-07T16:56:16 --delay 1 --endMP 204:139 --enddatetime 2016-11-07T17:35:20 --enforcementcount 0 &gt;&gt;C:\Users\stu\Documents\GitHub\eaglep3-reporting\EC\2016-11-07-refined-times.txt</v>
      </c>
      <c r="AI111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ID","value":"200-07"},{"id":16,"name":"Locomotive ID","value":"4045"},{"id":130,"name":"Impact","value":""},{"id":150,"name":"Time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549</v>
      </c>
      <c r="B112" s="7">
        <v>4053</v>
      </c>
      <c r="C112" s="22" t="s">
        <v>237</v>
      </c>
      <c r="D112" s="22" t="s">
        <v>242</v>
      </c>
      <c r="E112" s="13">
        <v>42681.674224537041</v>
      </c>
      <c r="F112" s="13">
        <v>42681.677395833336</v>
      </c>
      <c r="G112" s="7">
        <v>1</v>
      </c>
      <c r="H112" s="22" t="s">
        <v>270</v>
      </c>
      <c r="I112" s="13">
        <v>42681.701666666668</v>
      </c>
      <c r="J112" s="7">
        <v>0</v>
      </c>
      <c r="K112" s="110" t="str">
        <f t="shared" si="40"/>
        <v>4053/4054</v>
      </c>
      <c r="L112" s="22" t="str">
        <f>VLOOKUP(A112,'Trips&amp;Operators'!$C$1:$E$10000,3,FALSE)</f>
        <v>LALONDE</v>
      </c>
      <c r="M112" s="6">
        <f t="shared" si="41"/>
        <v>2.4270833331684116E-2</v>
      </c>
      <c r="N112" s="7">
        <f t="shared" si="54"/>
        <v>34.949999997625127</v>
      </c>
      <c r="O112" s="7"/>
      <c r="P112" s="7"/>
      <c r="Q112" s="23"/>
      <c r="R112" s="23"/>
      <c r="S112" s="35">
        <f t="shared" si="58"/>
        <v>1</v>
      </c>
      <c r="T112" s="50" t="str">
        <f t="shared" si="43"/>
        <v>NorthBound</v>
      </c>
      <c r="U112" s="16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15:10:53-700',mode:absolute,to:'2016-11-07 17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2" s="52" t="str">
        <f t="shared" si="45"/>
        <v>N</v>
      </c>
      <c r="X112" s="174">
        <f t="shared" ref="X112:X147" si="59">VALUE(LEFT(AD112,4))-VALUE(LEFT(AD111,4))</f>
        <v>1</v>
      </c>
      <c r="Y112" s="67">
        <f t="shared" si="55"/>
        <v>4.58E-2</v>
      </c>
      <c r="Z112" s="67">
        <f t="shared" si="57"/>
        <v>23.331</v>
      </c>
      <c r="AA112" s="67">
        <f t="shared" si="46"/>
        <v>23.2852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7"/>
        <v>0201-07</v>
      </c>
      <c r="AE112" s="91" t="str">
        <f t="shared" si="48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112" s="88" t="str">
        <f t="shared" si="49"/>
        <v>"C:\Program Files (x86)\AstroGrep\AstroGrep.exe" /spath="%USERPROFILE%\AppData\Local\Temp\OnboardLogs" /stypes="app*4053*20161107*" /stext=" 23:.+((SYSTEM_STATE.+slice.+state.+changed )|(ment ac)|(system.+state.+changed )|(\[timeout)|(PRM\|1\|D)|(kpr)|(kdp)|(\|loc)|(penalty))" /e /r /s</v>
      </c>
      <c r="AG112" s="1" t="str">
        <f t="shared" si="50"/>
        <v>EC</v>
      </c>
      <c r="AH112" s="92" t="str">
        <f t="shared" si="52"/>
        <v>"%USERPROFILE%\Documents\GitHub\eaglep3\Utilities\RefineRTDCRunTimes.py" --tripid 201-07 --locoid 4053 --swversion DE.1.0.8.0 --startMP 204:458 --initTime 2016-11-07T16:10:53 --startdatetime 2016-11-07T16:15:27 --delay 1 --endMP 204:233310 --enddatetime 2016-11-07T16:50:24 --enforcementcount 0 &gt;&gt;C:\Users\stu\Documents\GitHub\eaglep3-reporting\EC\2016-11-07-refined-times.txt</v>
      </c>
      <c r="AI11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{"issue":{"subject":"","project_id":79,"tracker_id":40,"status_id":1,"priority_id":2,"assigned_to_id":23,"start_date":"2016-11-07","description":"","custom_fields":[{"id":1,"name":"Subdivision","value":"EC"},{"id":4,"name":"Milepost","value":"23.331"},{"id":17,"name":"Train ID","value":"201-07"},{"id":16,"name":"Locomotive ID","value":"4053"},{"id":130,"name":"Impact","value":""},{"id":150,"name":"Time of Event (Mountain Time)","value":"16:50:24"},{"id":151,"name":"Denver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560</v>
      </c>
      <c r="B113" s="7">
        <v>4054</v>
      </c>
      <c r="C113" s="22" t="s">
        <v>237</v>
      </c>
      <c r="D113" s="22" t="s">
        <v>296</v>
      </c>
      <c r="E113" s="13">
        <v>42681.713506944441</v>
      </c>
      <c r="F113" s="13">
        <v>42681.71634259259</v>
      </c>
      <c r="G113" s="7">
        <v>1</v>
      </c>
      <c r="H113" s="22" t="s">
        <v>328</v>
      </c>
      <c r="I113" s="13">
        <v>42681.742256944446</v>
      </c>
      <c r="J113" s="7">
        <v>0</v>
      </c>
      <c r="K113" s="110" t="str">
        <f t="shared" si="40"/>
        <v>4053/4054</v>
      </c>
      <c r="L113" s="22" t="str">
        <f>VLOOKUP(A113,'Trips&amp;Operators'!$C$1:$E$10000,3,FALSE)</f>
        <v>LALONDE</v>
      </c>
      <c r="M113" s="6">
        <f t="shared" si="41"/>
        <v>2.5914351856044959E-2</v>
      </c>
      <c r="N113" s="7">
        <f t="shared" si="54"/>
        <v>37.316666672704741</v>
      </c>
      <c r="O113" s="7"/>
      <c r="P113" s="7"/>
      <c r="Q113" s="23"/>
      <c r="R113" s="23"/>
      <c r="S113" s="35">
        <f t="shared" si="58"/>
        <v>1</v>
      </c>
      <c r="T113" s="50" t="str">
        <f t="shared" si="43"/>
        <v>Southbound</v>
      </c>
      <c r="U113" s="16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16:07:27-700',mode:absolute,to:'2016-11-07 18:48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3" s="52" t="str">
        <f t="shared" si="45"/>
        <v>N</v>
      </c>
      <c r="X113" s="174">
        <f t="shared" si="59"/>
        <v>1</v>
      </c>
      <c r="Y113" s="67">
        <f t="shared" si="55"/>
        <v>23.299800000000001</v>
      </c>
      <c r="Z113" s="67">
        <f t="shared" si="57"/>
        <v>1.4999999999999999E-2</v>
      </c>
      <c r="AA113" s="67">
        <f t="shared" si="46"/>
        <v>23.284800000000001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7"/>
        <v>0202-07</v>
      </c>
      <c r="AE113" s="91" t="str">
        <f t="shared" si="48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13" s="88" t="str">
        <f t="shared" si="49"/>
        <v>"C:\Program Files (x86)\AstroGrep\AstroGrep.exe" /spath="%USERPROFILE%\AppData\Local\Temp\OnboardLogs" /stypes="app*4054*20161108*" /stext=" 00:.+((SYSTEM_STATE.+slice.+state.+changed )|(ment ac)|(system.+state.+changed )|(\[timeout)|(PRM\|1\|D)|(kpr)|(kdp)|(\|loc)|(penalty))" /e /r /s</v>
      </c>
      <c r="AG113" s="1" t="str">
        <f t="shared" si="50"/>
        <v>EC</v>
      </c>
      <c r="AH113" s="92" t="str">
        <f t="shared" si="52"/>
        <v>"%USERPROFILE%\Documents\GitHub\eaglep3\Utilities\RefineRTDCRunTimes.py" --tripid 202-07 --locoid 4054 --swversion DE.1.0.8.0 --startMP 204:232998 --initTime 2016-11-07T17:07:27 --startdatetime 2016-11-07T17:11:32 --delay 1 --endMP 204:150 --enddatetime 2016-11-07T17:48:51 --enforcementcount 0 &gt;&gt;C:\Users\stu\Documents\GitHub\eaglep3-reporting\EC\2016-11-07-refined-times.txt</v>
      </c>
      <c r="AI11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{"issue":{"subject":"","project_id":79,"tracker_id":40,"status_id":1,"priority_id":2,"assigned_to_id":23,"start_date":"2016-11-07","description":"","custom_fields":[{"id":1,"name":"Subdivision","value":"EC"},{"id":4,"name":"Milepost","value":"0.015"},{"id":17,"name":"Train ID","value":"202-07"},{"id":16,"name":"Locomotive ID","value":"4054"},{"id":130,"name":"Impact","value":""},{"id":150,"name":"Time of Event (Mountain Time)","value":"17:48:51"},{"id":151,"name":"Denver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553</v>
      </c>
      <c r="B114" s="7">
        <v>4011</v>
      </c>
      <c r="C114" s="22" t="s">
        <v>237</v>
      </c>
      <c r="D114" s="22" t="s">
        <v>386</v>
      </c>
      <c r="E114" s="13">
        <v>42681.684733796297</v>
      </c>
      <c r="F114" s="13">
        <v>42681.687962962962</v>
      </c>
      <c r="G114" s="7">
        <v>1</v>
      </c>
      <c r="H114" s="22" t="s">
        <v>334</v>
      </c>
      <c r="I114" s="13">
        <v>42681.713888888888</v>
      </c>
      <c r="J114" s="7">
        <v>0</v>
      </c>
      <c r="K114" s="110" t="str">
        <f t="shared" si="40"/>
        <v>4011/4012</v>
      </c>
      <c r="L114" s="22" t="str">
        <f>VLOOKUP(A114,'Trips&amp;Operators'!$C$1:$E$10000,3,FALSE)</f>
        <v>BARTLETT</v>
      </c>
      <c r="M114" s="6">
        <f t="shared" si="41"/>
        <v>2.5925925925548654E-2</v>
      </c>
      <c r="N114" s="7">
        <f t="shared" si="54"/>
        <v>37.333333332790062</v>
      </c>
      <c r="O114" s="7"/>
      <c r="P114" s="7"/>
      <c r="Q114" s="23"/>
      <c r="R114" s="23"/>
      <c r="S114" s="35">
        <f t="shared" si="58"/>
        <v>1</v>
      </c>
      <c r="T114" s="50" t="str">
        <f t="shared" si="43"/>
        <v>NorthBound</v>
      </c>
      <c r="U114" s="16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15:26:01-700',mode:absolute,to:'2016-11-07 18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45"/>
        <v>N</v>
      </c>
      <c r="X114" s="174">
        <f t="shared" si="59"/>
        <v>1</v>
      </c>
      <c r="Y114" s="67">
        <f t="shared" si="55"/>
        <v>4.3299999999999998E-2</v>
      </c>
      <c r="Z114" s="67">
        <f t="shared" si="57"/>
        <v>23.3307</v>
      </c>
      <c r="AA114" s="67">
        <f t="shared" si="46"/>
        <v>23.287400000000002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7"/>
        <v>0203-07</v>
      </c>
      <c r="AE114" s="91" t="str">
        <f t="shared" si="48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14" s="88" t="str">
        <f t="shared" si="49"/>
        <v>"C:\Program Files (x86)\AstroGrep\AstroGrep.exe" /spath="%USERPROFILE%\AppData\Local\Temp\OnboardLogs" /stypes="app*4011*20161108*" /stext=" 00:.+((SYSTEM_STATE.+slice.+state.+changed )|(ment ac)|(system.+state.+changed )|(\[timeout)|(PRM\|1\|D)|(kpr)|(kdp)|(\|loc)|(penalty))" /e /r /s</v>
      </c>
      <c r="AG114" s="1" t="str">
        <f t="shared" si="50"/>
        <v>EC</v>
      </c>
      <c r="AH114" s="92" t="str">
        <f t="shared" si="52"/>
        <v>"%USERPROFILE%\Documents\GitHub\eaglep3\Utilities\RefineRTDCRunTimes.py" --tripid 203-07 --locoid 4011 --swversion DE.1.0.8.0 --startMP 204:433 --initTime 2016-11-07T16:26:01 --startdatetime 2016-11-07T16:30:40 --delay 1 --endMP 204:233307 --enddatetime 2016-11-07T17:08:00 --enforcementcount 0 &gt;&gt;C:\Users\stu\Documents\GitHub\eaglep3-reporting\EC\2016-11-07-refined-times.txt</v>
      </c>
      <c r="AI11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{"issue":{"subject":"","project_id":79,"tracker_id":40,"status_id":1,"priority_id":2,"assigned_to_id":23,"start_date":"2016-11-07","description":"","custom_fields":[{"id":1,"name":"Subdivision","value":"EC"},{"id":4,"name":"Milepost","value":"23.3307"},{"id":17,"name":"Train ID","value":"203-07"},{"id":16,"name":"Locomotive ID","value":"4011"},{"id":130,"name":"Impact","value":""},{"id":150,"name":"Time of Event (Mountain Time)","value":"17:08:00"},{"id":151,"name":"Denver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562</v>
      </c>
      <c r="B115" s="7">
        <v>4012</v>
      </c>
      <c r="C115" s="22" t="s">
        <v>237</v>
      </c>
      <c r="D115" s="22" t="s">
        <v>675</v>
      </c>
      <c r="E115" s="13">
        <v>42681.716747685183</v>
      </c>
      <c r="F115" s="13">
        <v>42681.726701388892</v>
      </c>
      <c r="G115" s="7">
        <v>1</v>
      </c>
      <c r="H115" s="22" t="s">
        <v>389</v>
      </c>
      <c r="I115" s="13">
        <v>42681.752708333333</v>
      </c>
      <c r="J115" s="7">
        <v>0</v>
      </c>
      <c r="K115" s="110" t="str">
        <f t="shared" si="40"/>
        <v>4011/4012</v>
      </c>
      <c r="L115" s="22" t="str">
        <f>VLOOKUP(A115,'Trips&amp;Operators'!$C$1:$E$10000,3,FALSE)</f>
        <v>BARTLETT</v>
      </c>
      <c r="M115" s="6">
        <f t="shared" si="41"/>
        <v>2.6006944441178348E-2</v>
      </c>
      <c r="N115" s="7">
        <f t="shared" si="54"/>
        <v>37.449999995296821</v>
      </c>
      <c r="O115" s="7"/>
      <c r="P115" s="7"/>
      <c r="Q115" s="23"/>
      <c r="R115" s="23"/>
      <c r="S115" s="35">
        <f t="shared" si="58"/>
        <v>1</v>
      </c>
      <c r="T115" s="50" t="str">
        <f t="shared" si="43"/>
        <v>Southbound</v>
      </c>
      <c r="U115" s="16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16:12:07-700',mode:absolute,to:'2016-11-07 19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45"/>
        <v>N</v>
      </c>
      <c r="X115" s="174">
        <f t="shared" si="59"/>
        <v>1</v>
      </c>
      <c r="Y115" s="67">
        <f t="shared" si="55"/>
        <v>23.3</v>
      </c>
      <c r="Z115" s="67">
        <f t="shared" si="57"/>
        <v>1.6899999999999998E-2</v>
      </c>
      <c r="AA115" s="67">
        <f t="shared" si="46"/>
        <v>23.283100000000001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7"/>
        <v>0204-07</v>
      </c>
      <c r="AE115" s="91" t="str">
        <f t="shared" si="48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15" s="88" t="str">
        <f t="shared" si="49"/>
        <v>"C:\Program Files (x86)\AstroGrep\AstroGrep.exe" /spath="%USERPROFILE%\AppData\Local\Temp\OnboardLogs" /stypes="app*4012*20161108*" /stext=" 01:.+((SYSTEM_STATE.+slice.+state.+changed )|(ment ac)|(system.+state.+changed )|(\[timeout)|(PRM\|1\|D)|(kpr)|(kdp)|(\|loc)|(penalty))" /e /r /s</v>
      </c>
      <c r="AG115" s="1" t="str">
        <f t="shared" si="50"/>
        <v>EC</v>
      </c>
      <c r="AH115" s="92" t="str">
        <f t="shared" si="52"/>
        <v>"%USERPROFILE%\Documents\GitHub\eaglep3\Utilities\RefineRTDCRunTimes.py" --tripid 204-07 --locoid 4012 --swversion DE.1.0.8.0 --startMP 204:233000 --initTime 2016-11-07T17:12:07 --startdatetime 2016-11-07T17:26:27 --delay 1 --endMP 204:169 --enddatetime 2016-11-07T18:03:54 --enforcementcount 0 &gt;&gt;C:\Users\stu\Documents\GitHub\eaglep3-reporting\EC\2016-11-07-refined-times.txt</v>
      </c>
      <c r="AI11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{"issue":{"subject":"","project_id":79,"tracker_id":40,"status_id":1,"priority_id":2,"assigned_to_id":23,"start_date":"2016-11-07","description":"","custom_fields":[{"id":1,"name":"Subdivision","value":"EC"},{"id":4,"name":"Milepost","value":"0.0169"},{"id":17,"name":"Train ID","value":"204-07"},{"id":16,"name":"Locomotive ID","value":"4012"},{"id":130,"name":"Impact","value":""},{"id":150,"name":"Time of Event (Mountain Time)","value":"18:03:54"},{"id":151,"name":"Denver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554</v>
      </c>
      <c r="B116" s="7">
        <v>4025</v>
      </c>
      <c r="C116" s="22" t="s">
        <v>237</v>
      </c>
      <c r="D116" s="22" t="s">
        <v>652</v>
      </c>
      <c r="E116" s="13">
        <v>42681.693506944444</v>
      </c>
      <c r="F116" s="13">
        <v>42681.698148148149</v>
      </c>
      <c r="G116" s="7">
        <v>1</v>
      </c>
      <c r="H116" s="22" t="s">
        <v>210</v>
      </c>
      <c r="I116" s="13">
        <v>42681.723900462966</v>
      </c>
      <c r="J116" s="7">
        <v>0</v>
      </c>
      <c r="K116" s="110" t="str">
        <f t="shared" si="40"/>
        <v>4025/4026</v>
      </c>
      <c r="L116" s="22" t="str">
        <f>VLOOKUP(A116,'Trips&amp;Operators'!$C$1:$E$10000,3,FALSE)</f>
        <v>NELSON</v>
      </c>
      <c r="M116" s="6">
        <f t="shared" si="41"/>
        <v>2.5752314817509614E-2</v>
      </c>
      <c r="N116" s="7">
        <f t="shared" si="54"/>
        <v>37.083333337213844</v>
      </c>
      <c r="O116" s="7"/>
      <c r="P116" s="7"/>
      <c r="Q116" s="23"/>
      <c r="R116" s="23"/>
      <c r="S116" s="35">
        <f t="shared" si="58"/>
        <v>1</v>
      </c>
      <c r="T116" s="50" t="str">
        <f t="shared" si="43"/>
        <v>NorthBound</v>
      </c>
      <c r="U116" s="16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15:38:39-700',mode:absolute,to:'2016-11-07 18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6" s="52" t="str">
        <f t="shared" si="45"/>
        <v>N</v>
      </c>
      <c r="X116" s="174">
        <f t="shared" si="59"/>
        <v>1</v>
      </c>
      <c r="Y116" s="67">
        <f t="shared" si="55"/>
        <v>4.7300000000000002E-2</v>
      </c>
      <c r="Z116" s="67">
        <f t="shared" si="57"/>
        <v>23.329499999999999</v>
      </c>
      <c r="AA116" s="67">
        <f t="shared" si="46"/>
        <v>23.2822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7"/>
        <v>0205-07</v>
      </c>
      <c r="AE116" s="91" t="str">
        <f t="shared" si="48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16" s="88" t="str">
        <f t="shared" si="49"/>
        <v>"C:\Program Files (x86)\AstroGrep\AstroGrep.exe" /spath="%USERPROFILE%\AppData\Local\Temp\OnboardLogs" /stypes="app*4025*20161108*" /stext=" 00:.+((SYSTEM_STATE.+slice.+state.+changed )|(ment ac)|(system.+state.+changed )|(\[timeout)|(PRM\|1\|D)|(kpr)|(kdp)|(\|loc)|(penalty))" /e /r /s</v>
      </c>
      <c r="AG116" s="1" t="str">
        <f t="shared" si="50"/>
        <v>EC</v>
      </c>
      <c r="AH116" s="92" t="str">
        <f t="shared" si="52"/>
        <v>"%USERPROFILE%\Documents\GitHub\eaglep3\Utilities\RefineRTDCRunTimes.py" --tripid 205-07 --locoid 4025 --swversion DE.1.0.8.0 --startMP 204:473 --initTime 2016-11-07T16:38:39 --startdatetime 2016-11-07T16:45:20 --delay 1 --endMP 204:233295 --enddatetime 2016-11-07T17:22:25 --enforcementcount 0 &gt;&gt;C:\Users\stu\Documents\GitHub\eaglep3-reporting\EC\2016-11-07-refined-times.txt</v>
      </c>
      <c r="AI11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ID","value":"205-07"},{"id":16,"name":"Locomotive ID","value":"4025"},{"id":130,"name":"Impact","value":""},{"id":150,"name":"Time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570</v>
      </c>
      <c r="B117" s="7">
        <v>4026</v>
      </c>
      <c r="C117" s="22" t="s">
        <v>237</v>
      </c>
      <c r="D117" s="22" t="s">
        <v>240</v>
      </c>
      <c r="E117" s="13">
        <v>42681.73033564815</v>
      </c>
      <c r="F117" s="13">
        <v>42681.73709490741</v>
      </c>
      <c r="G117" s="7">
        <v>1</v>
      </c>
      <c r="H117" s="22" t="s">
        <v>176</v>
      </c>
      <c r="I117" s="13">
        <v>42681.764201388891</v>
      </c>
      <c r="J117" s="7">
        <v>0</v>
      </c>
      <c r="K117" s="110" t="str">
        <f t="shared" si="40"/>
        <v>4025/4026</v>
      </c>
      <c r="L117" s="22" t="str">
        <f>VLOOKUP(A117,'Trips&amp;Operators'!$C$1:$E$10000,3,FALSE)</f>
        <v>NELSON</v>
      </c>
      <c r="M117" s="6">
        <f t="shared" si="41"/>
        <v>2.7106481480586808E-2</v>
      </c>
      <c r="N117" s="7">
        <f t="shared" si="54"/>
        <v>39.033333332045004</v>
      </c>
      <c r="O117" s="7"/>
      <c r="P117" s="7"/>
      <c r="Q117" s="23"/>
      <c r="R117" s="23"/>
      <c r="S117" s="35">
        <f t="shared" si="58"/>
        <v>1</v>
      </c>
      <c r="T117" s="50" t="str">
        <f t="shared" si="43"/>
        <v>Southbound</v>
      </c>
      <c r="U117" s="16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16:31:41-700',mode:absolute,to:'2016-11-07 19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7" s="52" t="str">
        <f t="shared" si="45"/>
        <v>N</v>
      </c>
      <c r="X117" s="174">
        <f t="shared" si="59"/>
        <v>1</v>
      </c>
      <c r="Y117" s="67">
        <f t="shared" si="55"/>
        <v>23.298300000000001</v>
      </c>
      <c r="Z117" s="67">
        <f t="shared" si="57"/>
        <v>1.52E-2</v>
      </c>
      <c r="AA117" s="67">
        <f t="shared" si="46"/>
        <v>23.283100000000001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7"/>
        <v>0206-07</v>
      </c>
      <c r="AE117" s="91" t="str">
        <f t="shared" si="48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17" s="88" t="str">
        <f t="shared" si="49"/>
        <v>"C:\Program Files (x86)\AstroGrep\AstroGrep.exe" /spath="%USERPROFILE%\AppData\Local\Temp\OnboardLogs" /stypes="app*4026*20161108*" /stext=" 01:.+((SYSTEM_STATE.+slice.+state.+changed )|(ment ac)|(system.+state.+changed )|(\[timeout)|(PRM\|1\|D)|(kpr)|(kdp)|(\|loc)|(penalty))" /e /r /s</v>
      </c>
      <c r="AG117" s="1" t="str">
        <f t="shared" si="50"/>
        <v>EC</v>
      </c>
      <c r="AH117" s="92" t="str">
        <f t="shared" si="52"/>
        <v>"%USERPROFILE%\Documents\GitHub\eaglep3\Utilities\RefineRTDCRunTimes.py" --tripid 206-07 --locoid 4026 --swversion DE.1.0.8.0 --startMP 204:232983 --initTime 2016-11-07T17:31:41 --startdatetime 2016-11-07T17:41:25 --delay 1 --endMP 204:152 --enddatetime 2016-11-07T18:20:27 --enforcementcount 0 &gt;&gt;C:\Users\stu\Documents\GitHub\eaglep3-reporting\EC\2016-11-07-refined-times.txt</v>
      </c>
      <c r="AI11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ID","value":"206-07"},{"id":16,"name":"Locomotive ID","value":"4026"},{"id":130,"name":"Impact","value":""},{"id":150,"name":"Time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558</v>
      </c>
      <c r="B118" s="7">
        <v>4007</v>
      </c>
      <c r="C118" s="22" t="s">
        <v>237</v>
      </c>
      <c r="D118" s="22" t="s">
        <v>676</v>
      </c>
      <c r="E118" s="13">
        <v>42681.705752314818</v>
      </c>
      <c r="F118" s="13">
        <v>42681.708541666667</v>
      </c>
      <c r="G118" s="7">
        <v>1</v>
      </c>
      <c r="H118" s="22" t="s">
        <v>677</v>
      </c>
      <c r="I118" s="13">
        <v>42681.733495370368</v>
      </c>
      <c r="J118" s="7">
        <v>0</v>
      </c>
      <c r="K118" s="110" t="str">
        <f t="shared" si="40"/>
        <v>4007/4008</v>
      </c>
      <c r="L118" s="22" t="str">
        <f>VLOOKUP(A118,'Trips&amp;Operators'!$C$1:$E$10000,3,FALSE)</f>
        <v>CLARK</v>
      </c>
      <c r="M118" s="6">
        <f t="shared" si="41"/>
        <v>2.495370370161254E-2</v>
      </c>
      <c r="N118" s="7">
        <f t="shared" si="54"/>
        <v>35.933333330322057</v>
      </c>
      <c r="O118" s="7"/>
      <c r="P118" s="7"/>
      <c r="Q118" s="23"/>
      <c r="R118" s="23"/>
      <c r="S118" s="35">
        <f t="shared" si="58"/>
        <v>1</v>
      </c>
      <c r="T118" s="50" t="str">
        <f t="shared" si="43"/>
        <v>NorthBound</v>
      </c>
      <c r="U118" s="16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15:56:17-700',mode:absolute,to:'2016-11-07 18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8" s="52" t="str">
        <f t="shared" si="45"/>
        <v>N</v>
      </c>
      <c r="X118" s="174">
        <f t="shared" si="59"/>
        <v>1</v>
      </c>
      <c r="Y118" s="67">
        <f t="shared" si="55"/>
        <v>4.8599999999999997E-2</v>
      </c>
      <c r="Z118" s="67">
        <f t="shared" si="57"/>
        <v>23.333400000000001</v>
      </c>
      <c r="AA118" s="67">
        <f t="shared" si="46"/>
        <v>23.284800000000001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7"/>
        <v>0207-07</v>
      </c>
      <c r="AE118" s="91" t="str">
        <f t="shared" si="48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18" s="88" t="str">
        <f t="shared" si="49"/>
        <v>"C:\Program Files (x86)\AstroGrep\AstroGrep.exe" /spath="%USERPROFILE%\AppData\Local\Temp\OnboardLogs" /stypes="app*4007*20161108*" /stext=" 00:.+((SYSTEM_STATE.+slice.+state.+changed )|(ment ac)|(system.+state.+changed )|(\[timeout)|(PRM\|1\|D)|(kpr)|(kdp)|(\|loc)|(penalty))" /e /r /s</v>
      </c>
      <c r="AG118" s="1" t="str">
        <f t="shared" si="50"/>
        <v>EC</v>
      </c>
      <c r="AH118" s="92" t="str">
        <f t="shared" si="52"/>
        <v>"%USERPROFILE%\Documents\GitHub\eaglep3\Utilities\RefineRTDCRunTimes.py" --tripid 207-07 --locoid 4007 --swversion DE.1.0.8.0 --startMP 204:486 --initTime 2016-11-07T16:56:17 --startdatetime 2016-11-07T17:00:18 --delay 1 --endMP 204:233334 --enddatetime 2016-11-07T17:36:14 --enforcementcount 0 &gt;&gt;C:\Users\stu\Documents\GitHub\eaglep3-reporting\EC\2016-11-07-refined-times.txt</v>
      </c>
      <c r="AI118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{"issue":{"subject":"","project_id":79,"tracker_id":40,"status_id":1,"priority_id":2,"assigned_to_id":23,"start_date":"2016-11-07","description":"","custom_fields":[{"id":1,"name":"Subdivision","value":"EC"},{"id":4,"name":"Milepost","value":"23.3334"},{"id":17,"name":"Train ID","value":"207-07"},{"id":16,"name":"Locomotive ID","value":"4007"},{"id":130,"name":"Impact","value":""},{"id":150,"name":"Time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573</v>
      </c>
      <c r="B119" s="7">
        <v>4008</v>
      </c>
      <c r="C119" s="22" t="s">
        <v>237</v>
      </c>
      <c r="D119" s="22" t="s">
        <v>397</v>
      </c>
      <c r="E119" s="13">
        <v>42681.74459490741</v>
      </c>
      <c r="F119" s="13">
        <v>42681.747407407405</v>
      </c>
      <c r="G119" s="7">
        <v>1</v>
      </c>
      <c r="H119" s="22" t="s">
        <v>205</v>
      </c>
      <c r="I119" s="13">
        <v>42681.776250000003</v>
      </c>
      <c r="J119" s="7">
        <v>0</v>
      </c>
      <c r="K119" s="110" t="str">
        <f t="shared" si="40"/>
        <v>4007/4008</v>
      </c>
      <c r="L119" s="22" t="str">
        <f>VLOOKUP(A119,'Trips&amp;Operators'!$C$1:$E$10000,3,FALSE)</f>
        <v>CLARK</v>
      </c>
      <c r="M119" s="6">
        <f t="shared" si="41"/>
        <v>2.8842592597356997E-2</v>
      </c>
      <c r="N119" s="7">
        <f t="shared" si="54"/>
        <v>41.533333340194076</v>
      </c>
      <c r="O119" s="7"/>
      <c r="P119" s="7"/>
      <c r="Q119" s="23"/>
      <c r="R119" s="23"/>
      <c r="S119" s="35">
        <f t="shared" si="58"/>
        <v>1</v>
      </c>
      <c r="T119" s="50" t="str">
        <f t="shared" si="43"/>
        <v>Southbound</v>
      </c>
      <c r="U119" s="16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16:52:13-700',mode:absolute,to:'2016-11-07 19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9" s="52" t="str">
        <f t="shared" si="45"/>
        <v>N</v>
      </c>
      <c r="X119" s="174">
        <f t="shared" si="59"/>
        <v>1</v>
      </c>
      <c r="Y119" s="67">
        <f t="shared" si="55"/>
        <v>23.300699999999999</v>
      </c>
      <c r="Z119" s="67">
        <f t="shared" si="57"/>
        <v>1.43E-2</v>
      </c>
      <c r="AA119" s="67">
        <f t="shared" si="46"/>
        <v>23.2864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7"/>
        <v>0208-07</v>
      </c>
      <c r="AE119" s="91" t="str">
        <f t="shared" si="48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119" s="88" t="str">
        <f t="shared" si="49"/>
        <v>"C:\Program Files (x86)\AstroGrep\AstroGrep.exe" /spath="%USERPROFILE%\AppData\Local\Temp\OnboardLogs" /stypes="app*4008*20161108*" /stext=" 01:.+((SYSTEM_STATE.+slice.+state.+changed )|(ment ac)|(system.+state.+changed )|(\[timeout)|(PRM\|1\|D)|(kpr)|(kdp)|(\|loc)|(penalty))" /e /r /s</v>
      </c>
      <c r="AG119" s="1" t="str">
        <f t="shared" si="50"/>
        <v>EC</v>
      </c>
      <c r="AH119" s="92" t="str">
        <f t="shared" si="52"/>
        <v>"%USERPROFILE%\Documents\GitHub\eaglep3\Utilities\RefineRTDCRunTimes.py" --tripid 208-07 --locoid 4008 --swversion DE.1.0.8.0 --startMP 204:233007 --initTime 2016-11-07T17:52:13 --startdatetime 2016-11-07T17:56:16 --delay 1 --endMP 204:143 --enddatetime 2016-11-07T18:37:48 --enforcementcount 0 &gt;&gt;C:\Users\stu\Documents\GitHub\eaglep3-reporting\EC\2016-11-07-refined-times.txt</v>
      </c>
      <c r="AI11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ID","value":"208-07"},{"id":16,"name":"Locomotive ID","value":"4008"},{"id":130,"name":"Impact","value":""},{"id":150,"name":"Time of Event (Mountain Time)","value":"18:37:48"},{"id":151,"name":"Denver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563</v>
      </c>
      <c r="B120" s="7">
        <v>4002</v>
      </c>
      <c r="C120" s="22" t="s">
        <v>237</v>
      </c>
      <c r="D120" s="22" t="s">
        <v>362</v>
      </c>
      <c r="E120" s="13">
        <v>42681.716620370367</v>
      </c>
      <c r="F120" s="13">
        <v>42681.7190625</v>
      </c>
      <c r="G120" s="7">
        <v>1</v>
      </c>
      <c r="H120" s="22" t="s">
        <v>678</v>
      </c>
      <c r="I120" s="13">
        <v>42681.743900462963</v>
      </c>
      <c r="J120" s="7">
        <v>0</v>
      </c>
      <c r="K120" s="110" t="str">
        <f t="shared" si="40"/>
        <v>4001/4002</v>
      </c>
      <c r="L120" s="22" t="str">
        <f>VLOOKUP(A120,'Trips&amp;Operators'!$C$1:$E$10000,3,FALSE)</f>
        <v>BADERTSCHER</v>
      </c>
      <c r="M120" s="6">
        <f t="shared" si="41"/>
        <v>2.4837962962919846E-2</v>
      </c>
      <c r="N120" s="7">
        <f t="shared" si="54"/>
        <v>35.766666666604578</v>
      </c>
      <c r="O120" s="7"/>
      <c r="P120" s="7"/>
      <c r="Q120" s="23"/>
      <c r="R120" s="23"/>
      <c r="S120" s="35">
        <f t="shared" si="58"/>
        <v>1</v>
      </c>
      <c r="T120" s="50" t="str">
        <f t="shared" si="43"/>
        <v>NorthBound</v>
      </c>
      <c r="U120" s="16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16:11:56-700',mode:absolute,to:'2016-11-07 18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52" t="str">
        <f t="shared" si="45"/>
        <v>N</v>
      </c>
      <c r="X120" s="174">
        <f t="shared" si="59"/>
        <v>1</v>
      </c>
      <c r="Y120" s="67">
        <f t="shared" si="55"/>
        <v>4.6699999999999998E-2</v>
      </c>
      <c r="Z120" s="67">
        <f t="shared" si="57"/>
        <v>23.327400000000001</v>
      </c>
      <c r="AA120" s="67">
        <f t="shared" si="46"/>
        <v>23.2807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7"/>
        <v>0209-07</v>
      </c>
      <c r="AE120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20" s="88" t="str">
        <f t="shared" si="49"/>
        <v>"C:\Program Files (x86)\AstroGrep\AstroGrep.exe" /spath="%USERPROFILE%\AppData\Local\Temp\OnboardLogs" /stypes="app*4002*20161108*" /stext=" 00:.+((SYSTEM_STATE.+slice.+state.+changed )|(ment ac)|(system.+state.+changed )|(\[timeout)|(PRM\|1\|D)|(kpr)|(kdp)|(\|loc)|(penalty))" /e /r /s</v>
      </c>
      <c r="AG120" s="1" t="str">
        <f t="shared" si="50"/>
        <v>EC</v>
      </c>
      <c r="AH120" s="92" t="str">
        <f t="shared" si="52"/>
        <v>"%USERPROFILE%\Documents\GitHub\eaglep3\Utilities\RefineRTDCRunTimes.py" --tripid 209-07 --locoid 4002 --swversion DE.1.0.8.0 --startMP 204:467 --initTime 2016-11-07T17:11:56 --startdatetime 2016-11-07T17:15:27 --delay 1 --endMP 204:233274 --enddatetime 2016-11-07T17:51:13 --enforcementcount 0 &gt;&gt;C:\Users\stu\Documents\GitHub\eaglep3-reporting\EC\2016-11-07-refined-times.txt</v>
      </c>
      <c r="AI12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{"issue":{"subject":"","project_id":79,"tracker_id":40,"status_id":1,"priority_id":2,"assigned_to_id":23,"start_date":"2016-11-07","description":"","custom_fields":[{"id":1,"name":"Subdivision","value":"EC"},{"id":4,"name":"Milepost","value":"23.3274"},{"id":17,"name":"Train ID","value":"209-07"},{"id":16,"name":"Locomotive ID","value":"4002"},{"id":130,"name":"Impact","value":""},{"id":150,"name":"Time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576</v>
      </c>
      <c r="B121" s="7">
        <v>4001</v>
      </c>
      <c r="C121" s="22" t="s">
        <v>237</v>
      </c>
      <c r="D121" s="22" t="s">
        <v>221</v>
      </c>
      <c r="E121" s="13">
        <v>42681.75340277778</v>
      </c>
      <c r="F121" s="13">
        <v>42681.757835648146</v>
      </c>
      <c r="G121" s="7">
        <v>2</v>
      </c>
      <c r="H121" s="22" t="s">
        <v>328</v>
      </c>
      <c r="I121" s="13">
        <v>42681.784351851849</v>
      </c>
      <c r="J121" s="7">
        <v>0</v>
      </c>
      <c r="K121" s="110" t="str">
        <f t="shared" si="40"/>
        <v>4001/4002</v>
      </c>
      <c r="L121" s="22" t="str">
        <f>VLOOKUP(A121,'Trips&amp;Operators'!$C$1:$E$10000,3,FALSE)</f>
        <v>BADERTSCHER</v>
      </c>
      <c r="M121" s="6">
        <f t="shared" si="41"/>
        <v>2.6516203703067731E-2</v>
      </c>
      <c r="N121" s="7">
        <f t="shared" si="54"/>
        <v>38.183333332417533</v>
      </c>
      <c r="O121" s="7"/>
      <c r="P121" s="7"/>
      <c r="Q121" s="23"/>
      <c r="R121" s="23"/>
      <c r="S121" s="35">
        <f t="shared" si="58"/>
        <v>1</v>
      </c>
      <c r="T121" s="50" t="str">
        <f t="shared" si="43"/>
        <v>Southbound</v>
      </c>
      <c r="U121" s="16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17:04:54-700',mode:absolute,to:'2016-11-07 19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52" t="str">
        <f t="shared" si="45"/>
        <v>N</v>
      </c>
      <c r="X121" s="174">
        <f t="shared" si="59"/>
        <v>1</v>
      </c>
      <c r="Y121" s="67">
        <f t="shared" si="55"/>
        <v>23.297699999999999</v>
      </c>
      <c r="Z121" s="67">
        <f t="shared" si="57"/>
        <v>1.4999999999999999E-2</v>
      </c>
      <c r="AA121" s="67">
        <f t="shared" si="46"/>
        <v>23.282699999999998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7"/>
        <v>0210-07</v>
      </c>
      <c r="AE121" s="91" t="str">
        <f t="shared" si="48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21" s="88" t="str">
        <f t="shared" si="49"/>
        <v>"C:\Program Files (x86)\AstroGrep\AstroGrep.exe" /spath="%USERPROFILE%\AppData\Local\Temp\OnboardLogs" /stypes="app*4001*20161108*" /stext=" 01:.+((SYSTEM_STATE.+slice.+state.+changed )|(ment ac)|(system.+state.+changed )|(\[timeout)|(PRM\|1\|D)|(kpr)|(kdp)|(\|loc)|(penalty))" /e /r /s</v>
      </c>
      <c r="AG121" s="1" t="str">
        <f t="shared" si="50"/>
        <v>EC</v>
      </c>
      <c r="AH121" s="92" t="str">
        <f t="shared" si="52"/>
        <v>"%USERPROFILE%\Documents\GitHub\eaglep3\Utilities\RefineRTDCRunTimes.py" --tripid 210-07 --locoid 4001 --swversion DE.1.0.8.0 --startMP 204:232977 --initTime 2016-11-07T18:04:54 --startdatetime 2016-11-07T18:11:17 --delay 2 --endMP 204:150 --enddatetime 2016-11-07T18:49:28 --enforcementcount 0 &gt;&gt;C:\Users\stu\Documents\GitHub\eaglep3-reporting\EC\2016-11-07-refined-times.txt</v>
      </c>
      <c r="AI121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{"issue":{"subject":"","project_id":79,"tracker_id":40,"status_id":1,"priority_id":2,"assigned_to_id":23,"start_date":"2016-11-07","description":"","custom_fields":[{"id":1,"name":"Subdivision","value":"EC"},{"id":4,"name":"Milepost","value":"0.015"},{"id":17,"name":"Train ID","value":"210-07"},{"id":16,"name":"Locomotive ID","value":"4001"},{"id":130,"name":"Impact","value":""},{"id":150,"name":"Time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567</v>
      </c>
      <c r="B122" s="7">
        <v>4014</v>
      </c>
      <c r="C122" s="22" t="s">
        <v>237</v>
      </c>
      <c r="D122" s="22" t="s">
        <v>254</v>
      </c>
      <c r="E122" s="13">
        <v>42681.723310185182</v>
      </c>
      <c r="F122" s="13">
        <v>42681.729351851849</v>
      </c>
      <c r="G122" s="7">
        <v>3</v>
      </c>
      <c r="H122" s="22" t="s">
        <v>248</v>
      </c>
      <c r="I122" s="13">
        <v>42681.756527777776</v>
      </c>
      <c r="J122" s="7">
        <v>0</v>
      </c>
      <c r="K122" s="110" t="str">
        <f t="shared" si="40"/>
        <v>4013/4014</v>
      </c>
      <c r="L122" s="22" t="str">
        <f>VLOOKUP(A122,'Trips&amp;Operators'!$C$1:$E$10000,3,FALSE)</f>
        <v>YOUNG</v>
      </c>
      <c r="M122" s="6">
        <f t="shared" si="41"/>
        <v>2.7175925926712807E-2</v>
      </c>
      <c r="N122" s="7">
        <f t="shared" si="54"/>
        <v>39.133333334466442</v>
      </c>
      <c r="O122" s="7"/>
      <c r="P122" s="7"/>
      <c r="Q122" s="23"/>
      <c r="R122" s="23"/>
      <c r="S122" s="35">
        <f t="shared" si="58"/>
        <v>1</v>
      </c>
      <c r="T122" s="50" t="str">
        <f t="shared" si="43"/>
        <v>NorthBound</v>
      </c>
      <c r="U122" s="16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16:21:34-700',mode:absolute,to:'2016-11-07 19:09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2" s="52" t="str">
        <f t="shared" si="45"/>
        <v>N</v>
      </c>
      <c r="X122" s="174">
        <f t="shared" si="59"/>
        <v>1</v>
      </c>
      <c r="Y122" s="67">
        <f t="shared" si="55"/>
        <v>4.7500000000000001E-2</v>
      </c>
      <c r="Z122" s="67">
        <f t="shared" si="57"/>
        <v>23.328900000000001</v>
      </c>
      <c r="AA122" s="67">
        <f t="shared" si="46"/>
        <v>23.281400000000001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7"/>
        <v>0211-07</v>
      </c>
      <c r="AE122" s="91" t="str">
        <f t="shared" si="48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122" s="88" t="str">
        <f t="shared" si="49"/>
        <v>"C:\Program Files (x86)\AstroGrep\AstroGrep.exe" /spath="%USERPROFILE%\AppData\Local\Temp\OnboardLogs" /stypes="app*4014*20161108*" /stext=" 01:.+((SYSTEM_STATE.+slice.+state.+changed )|(ment ac)|(system.+state.+changed )|(\[timeout)|(PRM\|1\|D)|(kpr)|(kdp)|(\|loc)|(penalty))" /e /r /s</v>
      </c>
      <c r="AG122" s="1" t="str">
        <f t="shared" si="50"/>
        <v>EC</v>
      </c>
      <c r="AH122" s="92" t="str">
        <f t="shared" si="52"/>
        <v>"%USERPROFILE%\Documents\GitHub\eaglep3\Utilities\RefineRTDCRunTimes.py" --tripid 211-07 --locoid 4014 --swversion DE.1.0.8.0 --startMP 204:475 --initTime 2016-11-07T17:21:34 --startdatetime 2016-11-07T17:30:16 --delay 3 --endMP 204:233289 --enddatetime 2016-11-07T18:09:24 --enforcementcount 0 &gt;&gt;C:\Users\stu\Documents\GitHub\eaglep3-reporting\EC\2016-11-07-refined-times.txt</v>
      </c>
      <c r="AI12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ID","value":"211-07"},{"id":16,"name":"Locomotive ID","value":"4014"},{"id":130,"name":"Impact","value":""},{"id":150,"name":"Time of Event (Mountain Time)","value":"18:09:24"},{"id":151,"name":"Denver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579</v>
      </c>
      <c r="B123" s="7">
        <v>4013</v>
      </c>
      <c r="C123" s="22" t="s">
        <v>237</v>
      </c>
      <c r="D123" s="22" t="s">
        <v>317</v>
      </c>
      <c r="E123" s="13">
        <v>42681.759409722225</v>
      </c>
      <c r="F123" s="13">
        <v>42681.768275462964</v>
      </c>
      <c r="G123" s="7">
        <v>1</v>
      </c>
      <c r="H123" s="22" t="s">
        <v>223</v>
      </c>
      <c r="I123" s="13">
        <v>42681.797835648147</v>
      </c>
      <c r="J123" s="7">
        <v>0</v>
      </c>
      <c r="K123" s="110" t="str">
        <f t="shared" si="40"/>
        <v>4013/4014</v>
      </c>
      <c r="L123" s="22" t="str">
        <f>VLOOKUP(A123,'Trips&amp;Operators'!$C$1:$E$10000,3,FALSE)</f>
        <v>YOUNG</v>
      </c>
      <c r="M123" s="6">
        <f t="shared" si="41"/>
        <v>2.9560185183072463E-2</v>
      </c>
      <c r="N123" s="7">
        <f t="shared" si="54"/>
        <v>42.566666663624346</v>
      </c>
      <c r="O123" s="7"/>
      <c r="P123" s="7"/>
      <c r="Q123" s="23"/>
      <c r="R123" s="23"/>
      <c r="S123" s="35">
        <f t="shared" si="58"/>
        <v>1</v>
      </c>
      <c r="T123" s="50" t="str">
        <f t="shared" si="43"/>
        <v>Southbound</v>
      </c>
      <c r="U123" s="16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17:13:33-700',mode:absolute,to:'2016-11-07 20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3" s="52" t="str">
        <f t="shared" si="45"/>
        <v>N</v>
      </c>
      <c r="X123" s="174">
        <f t="shared" si="59"/>
        <v>1</v>
      </c>
      <c r="Y123" s="67">
        <f t="shared" si="55"/>
        <v>23.2986</v>
      </c>
      <c r="Z123" s="67">
        <f t="shared" si="57"/>
        <v>1.5599999999999999E-2</v>
      </c>
      <c r="AA123" s="67">
        <f t="shared" si="46"/>
        <v>23.283000000000001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7"/>
        <v>0212-07</v>
      </c>
      <c r="AE123" s="91" t="str">
        <f t="shared" si="48"/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23" s="88" t="str">
        <f t="shared" si="49"/>
        <v>"C:\Program Files (x86)\AstroGrep\AstroGrep.exe" /spath="%USERPROFILE%\AppData\Local\Temp\OnboardLogs" /stypes="app*4013*20161108*" /stext=" 02:.+((SYSTEM_STATE.+slice.+state.+changed )|(ment ac)|(system.+state.+changed )|(\[timeout)|(PRM\|1\|D)|(kpr)|(kdp)|(\|loc)|(penalty))" /e /r /s</v>
      </c>
      <c r="AG123" s="1" t="str">
        <f t="shared" si="50"/>
        <v>EC</v>
      </c>
      <c r="AH123" s="92" t="str">
        <f t="shared" si="52"/>
        <v>"%USERPROFILE%\Documents\GitHub\eaglep3\Utilities\RefineRTDCRunTimes.py" --tripid 212-07 --locoid 4013 --swversion DE.1.0.8.0 --startMP 204:232986 --initTime 2016-11-07T18:13:33 --startdatetime 2016-11-07T18:26:19 --delay 1 --endMP 204:156 --enddatetime 2016-11-07T19:08:53 --enforcementcount 0 &gt;&gt;C:\Users\stu\Documents\GitHub\eaglep3-reporting\EC\2016-11-07-refined-times.txt</v>
      </c>
      <c r="AI12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ID","value":"212-07"},{"id":16,"name":"Locomotive ID","value":"4013"},{"id":130,"name":"Impact","value":""},{"id":150,"name":"Time of Event (Mountain Time)","value":"19:08:53"},{"id":151,"name":"Denver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572</v>
      </c>
      <c r="B124" s="7">
        <v>4046</v>
      </c>
      <c r="C124" s="22" t="s">
        <v>237</v>
      </c>
      <c r="D124" s="22" t="s">
        <v>371</v>
      </c>
      <c r="E124" s="13">
        <v>42681.736145833333</v>
      </c>
      <c r="F124" s="13">
        <v>42681.740277777775</v>
      </c>
      <c r="G124" s="7">
        <v>1</v>
      </c>
      <c r="H124" s="22" t="s">
        <v>321</v>
      </c>
      <c r="I124" s="13">
        <v>42681.764374999999</v>
      </c>
      <c r="J124" s="7">
        <v>0</v>
      </c>
      <c r="K124" s="110" t="str">
        <f t="shared" si="40"/>
        <v>4045/4046</v>
      </c>
      <c r="L124" s="22" t="str">
        <f>VLOOKUP(A124,'Trips&amp;Operators'!$C$1:$E$10000,3,FALSE)</f>
        <v>ROMERO</v>
      </c>
      <c r="M124" s="6">
        <f t="shared" si="41"/>
        <v>2.4097222223645076E-2</v>
      </c>
      <c r="N124" s="7">
        <f t="shared" ref="N124:N154" si="60">24*60*SUM($M124:$M124)</f>
        <v>34.70000000204891</v>
      </c>
      <c r="O124" s="7"/>
      <c r="P124" s="7"/>
      <c r="Q124" s="23"/>
      <c r="R124" s="23"/>
      <c r="S124" s="35">
        <f t="shared" si="58"/>
        <v>1</v>
      </c>
      <c r="T124" s="50" t="str">
        <f t="shared" si="43"/>
        <v>NorthBound</v>
      </c>
      <c r="U124" s="16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16:40:03-700',mode:absolute,to:'2016-11-07 19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4" s="52" t="str">
        <f t="shared" si="45"/>
        <v>N</v>
      </c>
      <c r="X124" s="174">
        <f t="shared" si="59"/>
        <v>1</v>
      </c>
      <c r="Y124" s="67">
        <f t="shared" si="55"/>
        <v>4.3999999999999997E-2</v>
      </c>
      <c r="Z124" s="67">
        <f t="shared" si="57"/>
        <v>23.331499999999998</v>
      </c>
      <c r="AA124" s="67">
        <f t="shared" si="46"/>
        <v>23.287499999999998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7"/>
        <v>0213-07</v>
      </c>
      <c r="AE124" s="91" t="str">
        <f t="shared" si="48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24" s="88" t="str">
        <f t="shared" si="49"/>
        <v>"C:\Program Files (x86)\AstroGrep\AstroGrep.exe" /spath="%USERPROFILE%\AppData\Local\Temp\OnboardLogs" /stypes="app*4046*20161108*" /stext=" 01:.+((SYSTEM_STATE.+slice.+state.+changed )|(ment ac)|(system.+state.+changed )|(\[timeout)|(PRM\|1\|D)|(kpr)|(kdp)|(\|loc)|(penalty))" /e /r /s</v>
      </c>
      <c r="AG124" s="1" t="str">
        <f t="shared" si="50"/>
        <v>EC</v>
      </c>
      <c r="AH124" s="92" t="str">
        <f t="shared" si="52"/>
        <v>"%USERPROFILE%\Documents\GitHub\eaglep3\Utilities\RefineRTDCRunTimes.py" --tripid 213-07 --locoid 4046 --swversion DE.1.0.8.0 --startMP 204:440 --initTime 2016-11-07T17:40:03 --startdatetime 2016-11-07T17:46:00 --delay 1 --endMP 204:233315 --enddatetime 2016-11-07T18:20:42 --enforcementcount 0 &gt;&gt;C:\Users\stu\Documents\GitHub\eaglep3-reporting\EC\2016-11-07-refined-times.txt</v>
      </c>
      <c r="AI12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{"issue":{"subject":"","project_id":79,"tracker_id":40,"status_id":1,"priority_id":2,"assigned_to_id":23,"start_date":"2016-11-07","description":"","custom_fields":[{"id":1,"name":"Subdivision","value":"EC"},{"id":4,"name":"Milepost","value":"23.3315"},{"id":17,"name":"Train ID","value":"213-07"},{"id":16,"name":"Locomotive ID","value":"4046"},{"id":130,"name":"Impact","value":""},{"id":150,"name":"Time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583</v>
      </c>
      <c r="B125" s="7">
        <v>4045</v>
      </c>
      <c r="C125" s="22" t="s">
        <v>237</v>
      </c>
      <c r="D125" s="22" t="s">
        <v>296</v>
      </c>
      <c r="E125" s="13">
        <v>42681.770902777775</v>
      </c>
      <c r="F125" s="13">
        <v>42681.779224537036</v>
      </c>
      <c r="G125" s="7">
        <v>1</v>
      </c>
      <c r="H125" s="22" t="s">
        <v>205</v>
      </c>
      <c r="I125" s="13">
        <v>42681.804108796299</v>
      </c>
      <c r="J125" s="7">
        <v>0</v>
      </c>
      <c r="K125" s="110" t="str">
        <f t="shared" si="40"/>
        <v>4045/4046</v>
      </c>
      <c r="L125" s="22" t="str">
        <f>VLOOKUP(A125,'Trips&amp;Operators'!$C$1:$E$10000,3,FALSE)</f>
        <v>ROMERO</v>
      </c>
      <c r="M125" s="6">
        <f t="shared" si="41"/>
        <v>2.4884259262762498E-2</v>
      </c>
      <c r="N125" s="7">
        <f t="shared" si="60"/>
        <v>35.833333338377997</v>
      </c>
      <c r="O125" s="7"/>
      <c r="P125" s="7"/>
      <c r="Q125" s="23"/>
      <c r="R125" s="23"/>
      <c r="S125" s="35">
        <f t="shared" si="58"/>
        <v>1</v>
      </c>
      <c r="T125" s="50" t="str">
        <f t="shared" si="43"/>
        <v>Southbound</v>
      </c>
      <c r="U125" s="16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17:30:06-700',mode:absolute,to:'2016-11-07 20:17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5" s="52" t="str">
        <f t="shared" si="45"/>
        <v>N</v>
      </c>
      <c r="X125" s="174">
        <f t="shared" si="59"/>
        <v>1</v>
      </c>
      <c r="Y125" s="67">
        <f t="shared" si="55"/>
        <v>23.299800000000001</v>
      </c>
      <c r="Z125" s="67">
        <f t="shared" si="57"/>
        <v>1.43E-2</v>
      </c>
      <c r="AA125" s="67">
        <f t="shared" si="46"/>
        <v>23.285500000000003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7"/>
        <v>0214-07</v>
      </c>
      <c r="AE125" s="91" t="str">
        <f t="shared" si="48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25" s="88" t="str">
        <f t="shared" si="49"/>
        <v>"C:\Program Files (x86)\AstroGrep\AstroGrep.exe" /spath="%USERPROFILE%\AppData\Local\Temp\OnboardLogs" /stypes="app*4045*20161108*" /stext=" 02:.+((SYSTEM_STATE.+slice.+state.+changed )|(ment ac)|(system.+state.+changed )|(\[timeout)|(PRM\|1\|D)|(kpr)|(kdp)|(\|loc)|(penalty))" /e /r /s</v>
      </c>
      <c r="AG125" s="1" t="str">
        <f t="shared" si="50"/>
        <v>EC</v>
      </c>
      <c r="AH125" s="92" t="str">
        <f t="shared" si="52"/>
        <v>"%USERPROFILE%\Documents\GitHub\eaglep3\Utilities\RefineRTDCRunTimes.py" --tripid 214-07 --locoid 4045 --swversion DE.1.0.8.0 --startMP 204:232998 --initTime 2016-11-07T18:30:06 --startdatetime 2016-11-07T18:42:05 --delay 1 --endMP 204:143 --enddatetime 2016-11-07T19:17:55 --enforcementcount 0 &gt;&gt;C:\Users\stu\Documents\GitHub\eaglep3-reporting\EC\2016-11-07-refined-times.txt</v>
      </c>
      <c r="AI12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ID","value":"214-07"},{"id":16,"name":"Locomotive ID","value":"4045"},{"id":130,"name":"Impact","value":""},{"id":150,"name":"Time of Event (Mountain Time)","value":"19:17:55"},{"id":151,"name":"Denver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574</v>
      </c>
      <c r="B126" s="7">
        <v>4053</v>
      </c>
      <c r="C126" s="22" t="s">
        <v>237</v>
      </c>
      <c r="D126" s="22" t="s">
        <v>209</v>
      </c>
      <c r="E126" s="13">
        <v>42681.744432870371</v>
      </c>
      <c r="F126" s="13">
        <v>42681.750196759262</v>
      </c>
      <c r="G126" s="7">
        <v>2</v>
      </c>
      <c r="H126" s="22" t="s">
        <v>679</v>
      </c>
      <c r="I126" s="13">
        <v>42681.775833333333</v>
      </c>
      <c r="J126" s="7">
        <v>0</v>
      </c>
      <c r="K126" s="110" t="str">
        <f t="shared" si="40"/>
        <v>4053/4054</v>
      </c>
      <c r="L126" s="22" t="str">
        <f>VLOOKUP(A126,'Trips&amp;Operators'!$C$1:$E$10000,3,FALSE)</f>
        <v>SHOOK</v>
      </c>
      <c r="M126" s="6">
        <f t="shared" si="41"/>
        <v>2.5636574071540963E-2</v>
      </c>
      <c r="N126" s="7">
        <f t="shared" si="60"/>
        <v>36.916666663018987</v>
      </c>
      <c r="O126" s="7"/>
      <c r="P126" s="7"/>
      <c r="Q126" s="23"/>
      <c r="R126" s="23"/>
      <c r="S126" s="35">
        <f t="shared" si="58"/>
        <v>1</v>
      </c>
      <c r="T126" s="50" t="str">
        <f t="shared" si="43"/>
        <v>NorthBound</v>
      </c>
      <c r="U126" s="16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16:51:59-700',mode:absolute,to:'2016-11-07 19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 t="shared" si="45"/>
        <v>N</v>
      </c>
      <c r="X126" s="174">
        <f t="shared" si="59"/>
        <v>1</v>
      </c>
      <c r="Y126" s="67">
        <f t="shared" si="55"/>
        <v>4.6600000000000003E-2</v>
      </c>
      <c r="Z126" s="67">
        <f t="shared" si="57"/>
        <v>23.335999999999999</v>
      </c>
      <c r="AA126" s="67">
        <f t="shared" si="46"/>
        <v>23.289399999999997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7"/>
        <v>0215-07</v>
      </c>
      <c r="AE126" s="91" t="str">
        <f t="shared" si="48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126" s="88" t="str">
        <f t="shared" si="49"/>
        <v>"C:\Program Files (x86)\AstroGrep\AstroGrep.exe" /spath="%USERPROFILE%\AppData\Local\Temp\OnboardLogs" /stypes="app*4053*20161108*" /stext=" 01:.+((SYSTEM_STATE.+slice.+state.+changed )|(ment ac)|(system.+state.+changed )|(\[timeout)|(PRM\|1\|D)|(kpr)|(kdp)|(\|loc)|(penalty))" /e /r /s</v>
      </c>
      <c r="AG126" s="1" t="str">
        <f t="shared" si="50"/>
        <v>EC</v>
      </c>
      <c r="AH126" s="92" t="str">
        <f t="shared" si="52"/>
        <v>"%USERPROFILE%\Documents\GitHub\eaglep3\Utilities\RefineRTDCRunTimes.py" --tripid 215-07 --locoid 4053 --swversion DE.1.0.8.0 --startMP 204:466 --initTime 2016-11-07T17:51:59 --startdatetime 2016-11-07T18:00:17 --delay 2 --endMP 204:233360 --enddatetime 2016-11-07T18:37:12 --enforcementcount 0 &gt;&gt;C:\Users\stu\Documents\GitHub\eaglep3-reporting\EC\2016-11-07-refined-times.txt</v>
      </c>
      <c r="AI12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{"issue":{"subject":"","project_id":79,"tracker_id":40,"status_id":1,"priority_id":2,"assigned_to_id":23,"start_date":"2016-11-07","description":"","custom_fields":[{"id":1,"name":"Subdivision","value":"EC"},{"id":4,"name":"Milepost","value":"23.336"},{"id":17,"name":"Train ID","value":"215-07"},{"id":16,"name":"Locomotive ID","value":"4053"},{"id":130,"name":"Impact","value":""},{"id":150,"name":"Time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586</v>
      </c>
      <c r="B127" s="7">
        <v>4054</v>
      </c>
      <c r="C127" s="22" t="s">
        <v>237</v>
      </c>
      <c r="D127" s="22" t="s">
        <v>390</v>
      </c>
      <c r="E127" s="13">
        <v>42681.783090277779</v>
      </c>
      <c r="F127" s="13">
        <v>42681.789085648146</v>
      </c>
      <c r="G127" s="7">
        <v>2</v>
      </c>
      <c r="H127" s="22" t="s">
        <v>223</v>
      </c>
      <c r="I127" s="13">
        <v>42681.815393518518</v>
      </c>
      <c r="J127" s="7">
        <v>0</v>
      </c>
      <c r="K127" s="110" t="str">
        <f t="shared" si="40"/>
        <v>4053/4054</v>
      </c>
      <c r="L127" s="22" t="str">
        <f>VLOOKUP(A127,'Trips&amp;Operators'!$C$1:$E$10000,3,FALSE)</f>
        <v>SHOOK</v>
      </c>
      <c r="M127" s="6">
        <f t="shared" si="41"/>
        <v>2.6307870371965691E-2</v>
      </c>
      <c r="N127" s="7">
        <f t="shared" si="60"/>
        <v>37.883333335630596</v>
      </c>
      <c r="O127" s="7"/>
      <c r="P127" s="7"/>
      <c r="Q127" s="23"/>
      <c r="R127" s="23"/>
      <c r="S127" s="35">
        <f t="shared" si="58"/>
        <v>1</v>
      </c>
      <c r="T127" s="50" t="str">
        <f t="shared" si="43"/>
        <v>Southbound</v>
      </c>
      <c r="U127" s="16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17:47:39-700',mode:absolute,to:'2016-11-07 20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7" s="52" t="str">
        <f t="shared" si="45"/>
        <v>N</v>
      </c>
      <c r="X127" s="174">
        <f t="shared" si="59"/>
        <v>1</v>
      </c>
      <c r="Y127" s="67">
        <f t="shared" si="55"/>
        <v>23.304600000000001</v>
      </c>
      <c r="Z127" s="67">
        <f t="shared" si="57"/>
        <v>1.5599999999999999E-2</v>
      </c>
      <c r="AA127" s="67">
        <f t="shared" si="46"/>
        <v>23.289000000000001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7"/>
        <v>0216-07</v>
      </c>
      <c r="AE127" s="91" t="str">
        <f t="shared" si="48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27" s="88" t="str">
        <f t="shared" si="49"/>
        <v>"C:\Program Files (x86)\AstroGrep\AstroGrep.exe" /spath="%USERPROFILE%\AppData\Local\Temp\OnboardLogs" /stypes="app*4054*20161108*" /stext=" 02:.+((SYSTEM_STATE.+slice.+state.+changed )|(ment ac)|(system.+state.+changed )|(\[timeout)|(PRM\|1\|D)|(kpr)|(kdp)|(\|loc)|(penalty))" /e /r /s</v>
      </c>
      <c r="AG127" s="1" t="str">
        <f t="shared" si="50"/>
        <v>EC</v>
      </c>
      <c r="AH127" s="92" t="str">
        <f t="shared" si="52"/>
        <v>"%USERPROFILE%\Documents\GitHub\eaglep3\Utilities\RefineRTDCRunTimes.py" --tripid 216-07 --locoid 4054 --swversion DE.1.0.8.0 --startMP 204:233046 --initTime 2016-11-07T18:47:39 --startdatetime 2016-11-07T18:56:17 --delay 2 --endMP 204:156 --enddatetime 2016-11-07T19:34:10 --enforcementcount 0 &gt;&gt;C:\Users\stu\Documents\GitHub\eaglep3-reporting\EC\2016-11-07-refined-times.txt</v>
      </c>
      <c r="AI12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ID","value":"216-07"},{"id":16,"name":"Locomotive ID","value":"4054"},{"id":130,"name":"Impact","value":""},{"id":150,"name":"Time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578</v>
      </c>
      <c r="B128" s="7">
        <v>4011</v>
      </c>
      <c r="C128" s="22" t="s">
        <v>237</v>
      </c>
      <c r="D128" s="22" t="s">
        <v>388</v>
      </c>
      <c r="E128" s="13">
        <v>42681.758344907408</v>
      </c>
      <c r="F128" s="13">
        <v>42681.760833333334</v>
      </c>
      <c r="G128" s="7">
        <v>2</v>
      </c>
      <c r="H128" s="22" t="s">
        <v>210</v>
      </c>
      <c r="I128" s="13">
        <v>42681.786226851851</v>
      </c>
      <c r="J128" s="7">
        <v>0</v>
      </c>
      <c r="K128" s="110" t="str">
        <f t="shared" si="40"/>
        <v>4011/4012</v>
      </c>
      <c r="L128" s="22" t="str">
        <f>VLOOKUP(A128,'Trips&amp;Operators'!$C$1:$E$10000,3,FALSE)</f>
        <v>CHANDLER</v>
      </c>
      <c r="M128" s="6">
        <f t="shared" si="41"/>
        <v>2.5393518517375924E-2</v>
      </c>
      <c r="N128" s="7">
        <f t="shared" si="60"/>
        <v>36.56666666502133</v>
      </c>
      <c r="O128" s="7"/>
      <c r="P128" s="7"/>
      <c r="Q128" s="23"/>
      <c r="R128" s="23"/>
      <c r="S128" s="35">
        <f t="shared" si="58"/>
        <v>1</v>
      </c>
      <c r="T128" s="50" t="str">
        <f t="shared" si="43"/>
        <v>NorthBound</v>
      </c>
      <c r="U128" s="16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17:12:01-700',mode:absolute,to:'2016-11-07 19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45"/>
        <v>N</v>
      </c>
      <c r="X128" s="174">
        <f t="shared" si="59"/>
        <v>1</v>
      </c>
      <c r="Y128" s="67">
        <f t="shared" si="55"/>
        <v>4.7699999999999999E-2</v>
      </c>
      <c r="Z128" s="67">
        <f t="shared" si="57"/>
        <v>23.329499999999999</v>
      </c>
      <c r="AA128" s="67">
        <f t="shared" si="46"/>
        <v>23.2818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7"/>
        <v>0217-07</v>
      </c>
      <c r="AE128" s="91" t="str">
        <f t="shared" si="48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28" s="88" t="str">
        <f t="shared" si="49"/>
        <v>"C:\Program Files (x86)\AstroGrep\AstroGrep.exe" /spath="%USERPROFILE%\AppData\Local\Temp\OnboardLogs" /stypes="app*4011*20161108*" /stext=" 01:.+((SYSTEM_STATE.+slice.+state.+changed )|(ment ac)|(system.+state.+changed )|(\[timeout)|(PRM\|1\|D)|(kpr)|(kdp)|(\|loc)|(penalty))" /e /r /s</v>
      </c>
      <c r="AG128" s="1" t="str">
        <f t="shared" si="50"/>
        <v>EC</v>
      </c>
      <c r="AH128" s="92" t="str">
        <f t="shared" si="52"/>
        <v>"%USERPROFILE%\Documents\GitHub\eaglep3\Utilities\RefineRTDCRunTimes.py" --tripid 217-07 --locoid 4011 --swversion DE.1.0.8.0 --startMP 204:477 --initTime 2016-11-07T18:12:01 --startdatetime 2016-11-07T18:15:36 --delay 2 --endMP 204:233295 --enddatetime 2016-11-07T18:52:10 --enforcementcount 0 &gt;&gt;C:\Users\stu\Documents\GitHub\eaglep3-reporting\EC\2016-11-07-refined-times.txt</v>
      </c>
      <c r="AI128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ID","value":"217-07"},{"id":16,"name":"Locomotive ID","value":"4011"},{"id":130,"name":"Impact","value":""},{"id":150,"name":"Time of Event (Mountain Time)","value":"18:52:10"},{"id":151,"name":"Denver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590</v>
      </c>
      <c r="B129" s="7">
        <v>4012</v>
      </c>
      <c r="C129" s="22" t="s">
        <v>237</v>
      </c>
      <c r="D129" s="22" t="s">
        <v>221</v>
      </c>
      <c r="E129" s="13">
        <v>42681.798009259262</v>
      </c>
      <c r="F129" s="13">
        <v>42681.79954861111</v>
      </c>
      <c r="G129" s="7">
        <v>1</v>
      </c>
      <c r="H129" s="22" t="s">
        <v>297</v>
      </c>
      <c r="I129" s="13">
        <v>42681.826481481483</v>
      </c>
      <c r="J129" s="7">
        <v>0</v>
      </c>
      <c r="K129" s="110" t="str">
        <f t="shared" si="40"/>
        <v>4011/4012</v>
      </c>
      <c r="L129" s="22" t="str">
        <f>VLOOKUP(A129,'Trips&amp;Operators'!$C$1:$E$10000,3,FALSE)</f>
        <v>CHANDLER</v>
      </c>
      <c r="M129" s="6">
        <f t="shared" si="41"/>
        <v>2.6932870372547768E-2</v>
      </c>
      <c r="N129" s="7">
        <f t="shared" si="60"/>
        <v>38.783333336468786</v>
      </c>
      <c r="O129" s="7"/>
      <c r="P129" s="7"/>
      <c r="Q129" s="23"/>
      <c r="R129" s="23"/>
      <c r="S129" s="35">
        <f t="shared" si="58"/>
        <v>1</v>
      </c>
      <c r="T129" s="50" t="str">
        <f t="shared" si="43"/>
        <v>Southbound</v>
      </c>
      <c r="U129" s="16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18:09:08-700',mode:absolute,to:'2016-11-07 20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45"/>
        <v>N</v>
      </c>
      <c r="X129" s="174">
        <f t="shared" si="59"/>
        <v>1</v>
      </c>
      <c r="Y129" s="67">
        <f t="shared" si="55"/>
        <v>23.297699999999999</v>
      </c>
      <c r="Z129" s="67">
        <f t="shared" si="57"/>
        <v>1.34E-2</v>
      </c>
      <c r="AA129" s="67">
        <f t="shared" si="46"/>
        <v>23.284299999999998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7"/>
        <v>0218-07</v>
      </c>
      <c r="AE129" s="91" t="str">
        <f t="shared" si="48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29" s="88" t="str">
        <f t="shared" si="49"/>
        <v>"C:\Program Files (x86)\AstroGrep\AstroGrep.exe" /spath="%USERPROFILE%\AppData\Local\Temp\OnboardLogs" /stypes="app*4012*20161108*" /stext=" 02:.+((SYSTEM_STATE.+slice.+state.+changed )|(ment ac)|(system.+state.+changed )|(\[timeout)|(PRM\|1\|D)|(kpr)|(kdp)|(\|loc)|(penalty))" /e /r /s</v>
      </c>
      <c r="AG129" s="1" t="str">
        <f t="shared" si="50"/>
        <v>EC</v>
      </c>
      <c r="AH129" s="92" t="str">
        <f t="shared" si="52"/>
        <v>"%USERPROFILE%\Documents\GitHub\eaglep3\Utilities\RefineRTDCRunTimes.py" --tripid 218-07 --locoid 4012 --swversion DE.1.0.8.0 --startMP 204:232977 --initTime 2016-11-07T19:09:08 --startdatetime 2016-11-07T19:11:21 --delay 1 --endMP 204:134 --enddatetime 2016-11-07T19:50:08 --enforcementcount 0 &gt;&gt;C:\Users\stu\Documents\GitHub\eaglep3-reporting\EC\2016-11-07-refined-times.txt</v>
      </c>
      <c r="AI12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ID","value":"218-07"},{"id":16,"name":"Locomotive ID","value":"4012"},{"id":130,"name":"Impact","value":""},{"id":150,"name":"Time of Event (Mountain Time)","value":"19:50:08"},{"id":151,"name":"Denver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581</v>
      </c>
      <c r="B130" s="7">
        <v>4025</v>
      </c>
      <c r="C130" s="22" t="s">
        <v>237</v>
      </c>
      <c r="D130" s="22" t="s">
        <v>232</v>
      </c>
      <c r="E130" s="13">
        <v>42681.766736111109</v>
      </c>
      <c r="F130" s="13">
        <v>42681.771018518521</v>
      </c>
      <c r="G130" s="7">
        <v>2</v>
      </c>
      <c r="H130" s="22" t="s">
        <v>680</v>
      </c>
      <c r="I130" s="13">
        <v>42681.796400462961</v>
      </c>
      <c r="J130" s="7">
        <v>0</v>
      </c>
      <c r="K130" s="110" t="str">
        <f t="shared" si="40"/>
        <v>4025/4026</v>
      </c>
      <c r="L130" s="22" t="str">
        <f>VLOOKUP(A130,'Trips&amp;Operators'!$C$1:$E$10000,3,FALSE)</f>
        <v>MAGEE</v>
      </c>
      <c r="M130" s="6">
        <f t="shared" si="41"/>
        <v>2.5381944440596271E-2</v>
      </c>
      <c r="N130" s="7">
        <f t="shared" si="60"/>
        <v>36.549999994458631</v>
      </c>
      <c r="O130" s="7"/>
      <c r="P130" s="7"/>
      <c r="Q130" s="23"/>
      <c r="R130" s="23"/>
      <c r="S130" s="35">
        <f t="shared" si="58"/>
        <v>1</v>
      </c>
      <c r="T130" s="50" t="str">
        <f t="shared" si="43"/>
        <v>NorthBound</v>
      </c>
      <c r="U130" s="16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17:24:06-700',mode:absolute,to:'2016-11-07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0" s="52" t="str">
        <f t="shared" si="45"/>
        <v>N</v>
      </c>
      <c r="X130" s="174">
        <f t="shared" si="59"/>
        <v>1</v>
      </c>
      <c r="Y130" s="67">
        <f t="shared" si="55"/>
        <v>4.5699999999999998E-2</v>
      </c>
      <c r="Z130" s="67">
        <f t="shared" si="57"/>
        <v>23.3322</v>
      </c>
      <c r="AA130" s="67">
        <f t="shared" si="46"/>
        <v>23.2865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7"/>
        <v>0219-07</v>
      </c>
      <c r="AE130" s="91" t="str">
        <f t="shared" si="48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30" s="88" t="str">
        <f t="shared" si="49"/>
        <v>"C:\Program Files (x86)\AstroGrep\AstroGrep.exe" /spath="%USERPROFILE%\AppData\Local\Temp\OnboardLogs" /stypes="app*4025*20161108*" /stext=" 02:.+((SYSTEM_STATE.+slice.+state.+changed )|(ment ac)|(system.+state.+changed )|(\[timeout)|(PRM\|1\|D)|(kpr)|(kdp)|(\|loc)|(penalty))" /e /r /s</v>
      </c>
      <c r="AG130" s="1" t="str">
        <f t="shared" si="50"/>
        <v>EC</v>
      </c>
      <c r="AH130" s="92" t="str">
        <f t="shared" si="52"/>
        <v>"%USERPROFILE%\Documents\GitHub\eaglep3\Utilities\RefineRTDCRunTimes.py" --tripid 219-07 --locoid 4025 --swversion DE.1.0.8.0 --startMP 204:457 --initTime 2016-11-07T18:24:06 --startdatetime 2016-11-07T18:30:16 --delay 2 --endMP 204:233322 --enddatetime 2016-11-07T19:06:49 --enforcementcount 0 &gt;&gt;C:\Users\stu\Documents\GitHub\eaglep3-reporting\EC\2016-11-07-refined-times.txt</v>
      </c>
      <c r="AI13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{"issue":{"subject":"","project_id":79,"tracker_id":40,"status_id":1,"priority_id":2,"assigned_to_id":23,"start_date":"2016-11-07","description":"","custom_fields":[{"id":1,"name":"Subdivision","value":"EC"},{"id":4,"name":"Milepost","value":"23.3322"},{"id":17,"name":"Train ID","value":"219-07"},{"id":16,"name":"Locomotive ID","value":"4025"},{"id":130,"name":"Impact","value":""},{"id":150,"name":"Time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429</v>
      </c>
      <c r="B131" s="7">
        <v>4026</v>
      </c>
      <c r="C131" s="22" t="s">
        <v>237</v>
      </c>
      <c r="D131" s="22" t="s">
        <v>269</v>
      </c>
      <c r="E131" s="13">
        <v>42681.807337962964</v>
      </c>
      <c r="F131" s="13">
        <v>42681.810381944444</v>
      </c>
      <c r="G131" s="7">
        <v>1</v>
      </c>
      <c r="H131" s="22" t="s">
        <v>681</v>
      </c>
      <c r="I131" s="13">
        <v>42681.836122685185</v>
      </c>
      <c r="J131" s="7">
        <v>0</v>
      </c>
      <c r="K131" s="110" t="str">
        <f t="shared" si="40"/>
        <v>4025/4026</v>
      </c>
      <c r="L131" s="22" t="str">
        <f>VLOOKUP(A131,'Trips&amp;Operators'!$C$1:$E$10000,3,FALSE)</f>
        <v>MAGEE</v>
      </c>
      <c r="M131" s="6">
        <f t="shared" si="41"/>
        <v>2.5740740740729962E-2</v>
      </c>
      <c r="N131" s="7">
        <f t="shared" si="60"/>
        <v>37.066666666651145</v>
      </c>
      <c r="O131" s="7"/>
      <c r="P131" s="7"/>
      <c r="Q131" s="23"/>
      <c r="R131" s="23"/>
      <c r="S131" s="35">
        <f t="shared" si="58"/>
        <v>1</v>
      </c>
      <c r="T131" s="50" t="str">
        <f t="shared" si="43"/>
        <v>Southbound</v>
      </c>
      <c r="U131" s="16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1" s="52" t="str">
        <f t="shared" si="45"/>
        <v>N</v>
      </c>
      <c r="X131" s="174">
        <f t="shared" si="59"/>
        <v>1</v>
      </c>
      <c r="Y131" s="67">
        <f t="shared" si="55"/>
        <v>23.298200000000001</v>
      </c>
      <c r="Z131" s="67">
        <f t="shared" si="57"/>
        <v>1.8700000000000001E-2</v>
      </c>
      <c r="AA131" s="67">
        <f t="shared" si="46"/>
        <v>23.279500000000002</v>
      </c>
      <c r="AB131" s="64" t="str">
        <f>VLOOKUP(A131,Enforcements!$C$7:$K$21,8,0)</f>
        <v>Speed (6)</v>
      </c>
      <c r="AC131" s="60" t="str">
        <f>VLOOKUP(A131,Enforcements!$C$7:$E$21,3,0)</f>
        <v>PERMANENT SPEED RESTRICTION</v>
      </c>
      <c r="AD131" s="61" t="str">
        <f t="shared" si="47"/>
        <v>0220-07</v>
      </c>
      <c r="AE131" s="91" t="str">
        <f t="shared" si="48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31" s="88" t="str">
        <f t="shared" si="49"/>
        <v>"C:\Program Files (x86)\AstroGrep\AstroGrep.exe" /spath="%USERPROFILE%\AppData\Local\Temp\OnboardLogs" /stypes="app*4026*20161108*" /stext=" 03:.+((SYSTEM_STATE.+slice.+state.+changed )|(ment ac)|(system.+state.+changed )|(\[timeout)|(PRM\|1\|D)|(kpr)|(kdp)|(\|loc)|(penalty))" /e /r /s</v>
      </c>
      <c r="AG131" s="1" t="str">
        <f t="shared" si="50"/>
        <v>EC</v>
      </c>
      <c r="AH131" s="92" t="str">
        <f t="shared" si="52"/>
        <v>"%USERPROFILE%\Documents\GitHub\eaglep3\Utilities\RefineRTDCRunTimes.py" --tripid 220-07 --locoid 4026 --swversion DE.1.0.8.0 --startMP 204:232982 --initTime 2016-11-07T19:22:34 --startdatetime 2016-11-07T19:26:57 --delay 1 --endMP 204:187 --enddatetime 2016-11-07T20:04:01 --enforcementcount 0 &gt;&gt;C:\Users\stu\Documents\GitHub\eaglep3-reporting\EC\2016-11-07-refined-times.txt</v>
      </c>
      <c r="AI131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{"issue":{"subject":"","project_id":79,"tracker_id":40,"status_id":1,"priority_id":2,"assigned_to_id":23,"start_date":"2016-11-07","description":"","custom_fields":[{"id":1,"name":"Subdivision","value":"EC"},{"id":4,"name":"Milepost","value":"0.0187"},{"id":17,"name":"Train ID","value":"220-07"},{"id":16,"name":"Locomotive ID","value":"4026"},{"id":130,"name":"Impact","value":""},{"id":150,"name":"Time of Event (Mountain Time)","value":"20:04:01"},{"id":151,"name":"Denver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587</v>
      </c>
      <c r="B132" s="7">
        <v>4002</v>
      </c>
      <c r="C132" s="22" t="s">
        <v>237</v>
      </c>
      <c r="D132" s="22" t="s">
        <v>232</v>
      </c>
      <c r="E132" s="13">
        <v>42681.786909722221</v>
      </c>
      <c r="F132" s="13">
        <v>42681.792141203703</v>
      </c>
      <c r="G132" s="7">
        <v>1</v>
      </c>
      <c r="H132" s="22" t="s">
        <v>678</v>
      </c>
      <c r="I132" s="13">
        <v>42681.817789351851</v>
      </c>
      <c r="J132" s="7">
        <v>0</v>
      </c>
      <c r="K132" s="110" t="str">
        <f t="shared" si="40"/>
        <v>4001/4002</v>
      </c>
      <c r="L132" s="22" t="str">
        <f>VLOOKUP(A132,'Trips&amp;Operators'!$C$1:$E$10000,3,FALSE)</f>
        <v>BADERTSCHER</v>
      </c>
      <c r="M132" s="6">
        <f t="shared" si="41"/>
        <v>2.5648148148320615E-2</v>
      </c>
      <c r="N132" s="7">
        <f t="shared" si="60"/>
        <v>36.933333333581686</v>
      </c>
      <c r="O132" s="7"/>
      <c r="P132" s="7"/>
      <c r="Q132" s="23"/>
      <c r="R132" s="23"/>
      <c r="S132" s="35">
        <f t="shared" si="58"/>
        <v>1</v>
      </c>
      <c r="T132" s="50" t="str">
        <f t="shared" si="43"/>
        <v>NorthBound</v>
      </c>
      <c r="U132" s="16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17:53:09-700',mode:absolute,to:'2016-11-07 20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 t="shared" si="45"/>
        <v>N</v>
      </c>
      <c r="X132" s="174">
        <f t="shared" si="59"/>
        <v>1</v>
      </c>
      <c r="Y132" s="67">
        <f t="shared" si="55"/>
        <v>4.5699999999999998E-2</v>
      </c>
      <c r="Z132" s="67">
        <f t="shared" si="57"/>
        <v>23.327400000000001</v>
      </c>
      <c r="AA132" s="67">
        <f t="shared" si="46"/>
        <v>23.281700000000001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7"/>
        <v>0221-07</v>
      </c>
      <c r="AE132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32" s="88" t="str">
        <f t="shared" si="49"/>
        <v>"C:\Program Files (x86)\AstroGrep\AstroGrep.exe" /spath="%USERPROFILE%\AppData\Local\Temp\OnboardLogs" /stypes="app*4002*20161108*" /stext=" 02:.+((SYSTEM_STATE.+slice.+state.+changed )|(ment ac)|(system.+state.+changed )|(\[timeout)|(PRM\|1\|D)|(kpr)|(kdp)|(\|loc)|(penalty))" /e /r /s</v>
      </c>
      <c r="AG132" s="1" t="str">
        <f t="shared" si="50"/>
        <v>EC</v>
      </c>
      <c r="AH132" s="92" t="str">
        <f t="shared" si="52"/>
        <v>"%USERPROFILE%\Documents\GitHub\eaglep3\Utilities\RefineRTDCRunTimes.py" --tripid 221-07 --locoid 4002 --swversion DE.1.0.8.0 --startMP 204:457 --initTime 2016-11-07T18:53:09 --startdatetime 2016-11-07T19:00:41 --delay 1 --endMP 204:233274 --enddatetime 2016-11-07T19:37:37 --enforcementcount 0 &gt;&gt;C:\Users\stu\Documents\GitHub\eaglep3-reporting\EC\2016-11-07-refined-times.txt</v>
      </c>
      <c r="AI13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{"issue":{"subject":"","project_id":79,"tracker_id":40,"status_id":1,"priority_id":2,"assigned_to_id":23,"start_date":"2016-11-07","description":"","custom_fields":[{"id":1,"name":"Subdivision","value":"EC"},{"id":4,"name":"Milepost","value":"23.3274"},{"id":17,"name":"Train ID","value":"221-07"},{"id":16,"name":"Locomotive ID","value":"4002"},{"id":130,"name":"Impact","value":""},{"id":150,"name":"Time of Event (Mountain Time)","value":"19:37:37"},{"id":151,"name":"Denver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430</v>
      </c>
      <c r="B133" s="7">
        <v>4001</v>
      </c>
      <c r="C133" s="22" t="s">
        <v>237</v>
      </c>
      <c r="D133" s="22" t="s">
        <v>259</v>
      </c>
      <c r="E133" s="13">
        <v>42681.824189814812</v>
      </c>
      <c r="F133" s="13">
        <v>42681.830787037034</v>
      </c>
      <c r="G133" s="7">
        <v>1</v>
      </c>
      <c r="H133" s="22" t="s">
        <v>682</v>
      </c>
      <c r="I133" s="13">
        <v>42681.858518518522</v>
      </c>
      <c r="J133" s="7">
        <v>0</v>
      </c>
      <c r="K133" s="110" t="str">
        <f t="shared" si="40"/>
        <v>4001/4002</v>
      </c>
      <c r="L133" s="22" t="str">
        <f>VLOOKUP(A133,'Trips&amp;Operators'!$C$1:$E$10000,3,FALSE)</f>
        <v>BADERTSCHER</v>
      </c>
      <c r="M133" s="6">
        <f t="shared" si="41"/>
        <v>2.7731481488444842E-2</v>
      </c>
      <c r="N133" s="7">
        <f t="shared" si="60"/>
        <v>39.933333343360573</v>
      </c>
      <c r="O133" s="7"/>
      <c r="P133" s="7"/>
      <c r="Q133" s="23"/>
      <c r="R133" s="23"/>
      <c r="S133" s="35">
        <f t="shared" si="58"/>
        <v>1</v>
      </c>
      <c r="T133" s="50" t="str">
        <f t="shared" si="43"/>
        <v>Southbound</v>
      </c>
      <c r="U133" s="16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18:46:50-700',mode:absolute,to:'2016-11-07 21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2" t="str">
        <f t="shared" si="45"/>
        <v>N</v>
      </c>
      <c r="X133" s="174">
        <f t="shared" si="59"/>
        <v>1</v>
      </c>
      <c r="Y133" s="67">
        <f t="shared" si="55"/>
        <v>23.299600000000002</v>
      </c>
      <c r="Z133" s="67">
        <f t="shared" si="57"/>
        <v>2.0899999999999998E-2</v>
      </c>
      <c r="AA133" s="67">
        <f t="shared" si="46"/>
        <v>23.278700000000001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7"/>
        <v>0222-07</v>
      </c>
      <c r="AE133" s="91" t="str">
        <f t="shared" si="48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33" s="88" t="str">
        <f t="shared" si="49"/>
        <v>"C:\Program Files (x86)\AstroGrep\AstroGrep.exe" /spath="%USERPROFILE%\AppData\Local\Temp\OnboardLogs" /stypes="app*4001*20161108*" /stext=" 03:.+((SYSTEM_STATE.+slice.+state.+changed )|(ment ac)|(system.+state.+changed )|(\[timeout)|(PRM\|1\|D)|(kpr)|(kdp)|(\|loc)|(penalty))" /e /r /s</v>
      </c>
      <c r="AG133" s="1" t="str">
        <f t="shared" si="50"/>
        <v>EC</v>
      </c>
      <c r="AH133" s="92" t="str">
        <f t="shared" si="52"/>
        <v>"%USERPROFILE%\Documents\GitHub\eaglep3\Utilities\RefineRTDCRunTimes.py" --tripid 222-07 --locoid 4001 --swversion DE.1.0.8.0 --startMP 204:232996 --initTime 2016-11-07T19:46:50 --startdatetime 2016-11-07T19:56:20 --delay 1 --endMP 204:209 --enddatetime 2016-11-07T20:36:16 --enforcementcount 0 &gt;&gt;C:\Users\stu\Documents\GitHub\eaglep3-reporting\EC\2016-11-07-refined-times.txt</v>
      </c>
      <c r="AI13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{"issue":{"subject":"","project_id":79,"tracker_id":40,"status_id":1,"priority_id":2,"assigned_to_id":23,"start_date":"2016-11-07","description":"","custom_fields":[{"id":1,"name":"Subdivision","value":"EC"},{"id":4,"name":"Milepost","value":"0.0209"},{"id":17,"name":"Train ID","value":"222-07"},{"id":16,"name":"Locomotive ID","value":"4001"},{"id":130,"name":"Impact","value":""},{"id":150,"name":"Time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592</v>
      </c>
      <c r="B134" s="7">
        <v>4046</v>
      </c>
      <c r="C134" s="22" t="s">
        <v>237</v>
      </c>
      <c r="D134" s="22" t="s">
        <v>206</v>
      </c>
      <c r="E134" s="13">
        <v>42681.80704861111</v>
      </c>
      <c r="F134" s="13">
        <v>42681.812847222223</v>
      </c>
      <c r="G134" s="7">
        <v>1</v>
      </c>
      <c r="H134" s="22" t="s">
        <v>300</v>
      </c>
      <c r="I134" s="13">
        <v>42681.838472222225</v>
      </c>
      <c r="J134" s="7">
        <v>0</v>
      </c>
      <c r="K134" s="110" t="str">
        <f t="shared" si="40"/>
        <v>4045/4046</v>
      </c>
      <c r="L134" s="22" t="str">
        <f>VLOOKUP(A134,'Trips&amp;Operators'!$C$1:$E$10000,3,FALSE)</f>
        <v>HOLCOMB</v>
      </c>
      <c r="M134" s="6">
        <f t="shared" si="41"/>
        <v>2.5625000002037268E-2</v>
      </c>
      <c r="N134" s="7">
        <f t="shared" si="60"/>
        <v>36.900000002933666</v>
      </c>
      <c r="O134" s="7"/>
      <c r="P134" s="7"/>
      <c r="Q134" s="23"/>
      <c r="R134" s="23"/>
      <c r="S134" s="35">
        <f t="shared" si="58"/>
        <v>1</v>
      </c>
      <c r="T134" s="50" t="str">
        <f t="shared" si="43"/>
        <v>NorthBound</v>
      </c>
      <c r="U134" s="16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18:22:09-700',mode:absolute,to:'2016-11-07 21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52" t="str">
        <f t="shared" si="45"/>
        <v>N</v>
      </c>
      <c r="X134" s="174">
        <f t="shared" si="59"/>
        <v>1</v>
      </c>
      <c r="Y134" s="67">
        <f t="shared" si="55"/>
        <v>4.4699999999999997E-2</v>
      </c>
      <c r="Z134" s="67">
        <f t="shared" si="57"/>
        <v>23.332699999999999</v>
      </c>
      <c r="AA134" s="67">
        <f t="shared" si="46"/>
        <v>23.288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7"/>
        <v>0223-07</v>
      </c>
      <c r="AE134" s="91" t="str">
        <f t="shared" si="48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34" s="88" t="str">
        <f t="shared" si="49"/>
        <v>"C:\Program Files (x86)\AstroGrep\AstroGrep.exe" /spath="%USERPROFILE%\AppData\Local\Temp\OnboardLogs" /stypes="app*4046*20161108*" /stext=" 03:.+((SYSTEM_STATE.+slice.+state.+changed )|(ment ac)|(system.+state.+changed )|(\[timeout)|(PRM\|1\|D)|(kpr)|(kdp)|(\|loc)|(penalty))" /e /r /s</v>
      </c>
      <c r="AG134" s="1" t="str">
        <f t="shared" si="50"/>
        <v>EC</v>
      </c>
      <c r="AH134" s="92" t="str">
        <f t="shared" si="52"/>
        <v>"%USERPROFILE%\Documents\GitHub\eaglep3\Utilities\RefineRTDCRunTimes.py" --tripid 223-07 --locoid 4046 --swversion DE.1.0.8.0 --startMP 204:447 --initTime 2016-11-07T19:22:09 --startdatetime 2016-11-07T19:30:30 --delay 1 --endMP 204:233327 --enddatetime 2016-11-07T20:07:24 --enforcementcount 0 &gt;&gt;C:\Users\stu\Documents\GitHub\eaglep3-reporting\EC\2016-11-07-refined-times.txt</v>
      </c>
      <c r="AI13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{"issue":{"subject":"","project_id":79,"tracker_id":40,"status_id":1,"priority_id":2,"assigned_to_id":23,"start_date":"2016-11-07","description":"","custom_fields":[{"id":1,"name":"Subdivision","value":"EC"},{"id":4,"name":"Milepost","value":"23.3327"},{"id":17,"name":"Train ID","value":"223-07"},{"id":16,"name":"Locomotive ID","value":"4046"},{"id":130,"name":"Impact","value":""},{"id":150,"name":"Time of Event (Mountain Time)","value":"20:07:24"},{"id":151,"name":"Denver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4045</v>
      </c>
      <c r="C135" s="22" t="s">
        <v>237</v>
      </c>
      <c r="D135" s="22" t="s">
        <v>259</v>
      </c>
      <c r="E135" s="13">
        <v>42681.846562500003</v>
      </c>
      <c r="F135" s="13">
        <v>42681.851805555554</v>
      </c>
      <c r="G135" s="7">
        <v>1</v>
      </c>
      <c r="H135" s="22" t="s">
        <v>297</v>
      </c>
      <c r="I135" s="13">
        <v>42681.878703703704</v>
      </c>
      <c r="J135" s="7">
        <v>0</v>
      </c>
      <c r="K135" s="110" t="str">
        <f t="shared" si="40"/>
        <v>4045/4046</v>
      </c>
      <c r="L135" s="22" t="str">
        <f>VLOOKUP(A135,'Trips&amp;Operators'!$C$1:$E$10000,3,FALSE)</f>
        <v>HOLCOMB</v>
      </c>
      <c r="M135" s="6">
        <f t="shared" si="41"/>
        <v>2.6898148149484769E-2</v>
      </c>
      <c r="N135" s="7">
        <f t="shared" si="60"/>
        <v>38.733333335258067</v>
      </c>
      <c r="O135" s="7"/>
      <c r="P135" s="7"/>
      <c r="Q135" s="23"/>
      <c r="R135" s="23"/>
      <c r="S135" s="35">
        <f t="shared" si="58"/>
        <v>1</v>
      </c>
      <c r="T135" s="50" t="str">
        <f t="shared" si="43"/>
        <v>Southbound</v>
      </c>
      <c r="U135" s="16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19:19:03-700',mode:absolute,to:'2016-11-07 22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52" t="str">
        <f t="shared" si="45"/>
        <v>N</v>
      </c>
      <c r="X135" s="174">
        <f t="shared" si="59"/>
        <v>1</v>
      </c>
      <c r="Y135" s="67">
        <f t="shared" si="55"/>
        <v>23.299600000000002</v>
      </c>
      <c r="Z135" s="67">
        <f t="shared" si="57"/>
        <v>1.34E-2</v>
      </c>
      <c r="AA135" s="67">
        <f t="shared" si="46"/>
        <v>23.286200000000001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7"/>
        <v>0224-07</v>
      </c>
      <c r="AE135" s="91" t="str">
        <f t="shared" si="48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35" s="88" t="str">
        <f t="shared" si="49"/>
        <v>"C:\Program Files (x86)\AstroGrep\AstroGrep.exe" /spath="%USERPROFILE%\AppData\Local\Temp\OnboardLogs" /stypes="app*4045*20161108*" /stext=" 04:.+((SYSTEM_STATE.+slice.+state.+changed )|(ment ac)|(system.+state.+changed )|(\[timeout)|(PRM\|1\|D)|(kpr)|(kdp)|(\|loc)|(penalty))" /e /r /s</v>
      </c>
      <c r="AG135" s="1" t="str">
        <f t="shared" si="50"/>
        <v>EC</v>
      </c>
      <c r="AH135" s="92" t="str">
        <f t="shared" si="52"/>
        <v>"%USERPROFILE%\Documents\GitHub\eaglep3\Utilities\RefineRTDCRunTimes.py" --tripid 224-07 --locoid 4045 --swversion DE.1.0.8.0 --startMP 204:232996 --initTime 2016-11-07T20:19:03 --startdatetime 2016-11-07T20:26:36 --delay 1 --endMP 204:134 --enddatetime 2016-11-07T21:05:20 --enforcementcount 0 &gt;&gt;C:\Users\stu\Documents\GitHub\eaglep3-reporting\EC\2016-11-07-refined-times.txt</v>
      </c>
      <c r="AI13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ID","value":"224-07"},{"id":16,"name":"Locomotive ID","value":"4045"},{"id":130,"name":"Impact","value":""},{"id":150,"name":"Time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596</v>
      </c>
      <c r="B136" s="7">
        <v>4011</v>
      </c>
      <c r="C136" s="22" t="s">
        <v>237</v>
      </c>
      <c r="D136" s="22" t="s">
        <v>212</v>
      </c>
      <c r="E136" s="13">
        <v>42681.830868055556</v>
      </c>
      <c r="F136" s="13">
        <v>42681.833564814813</v>
      </c>
      <c r="G136" s="7">
        <v>1</v>
      </c>
      <c r="H136" s="22" t="s">
        <v>369</v>
      </c>
      <c r="I136" s="13">
        <v>42681.859131944446</v>
      </c>
      <c r="J136" s="7">
        <v>0</v>
      </c>
      <c r="K136" s="110" t="str">
        <f t="shared" si="40"/>
        <v>4011/4012</v>
      </c>
      <c r="L136" s="22" t="str">
        <f>VLOOKUP(A136,'Trips&amp;Operators'!$C$1:$E$10000,3,FALSE)</f>
        <v>CHANDLER</v>
      </c>
      <c r="M136" s="6">
        <f t="shared" si="41"/>
        <v>2.5567129632690921E-2</v>
      </c>
      <c r="N136" s="7">
        <f t="shared" si="60"/>
        <v>36.816666671074927</v>
      </c>
      <c r="O136" s="7"/>
      <c r="P136" s="7"/>
      <c r="Q136" s="23"/>
      <c r="R136" s="23"/>
      <c r="S136" s="35">
        <f t="shared" si="58"/>
        <v>1</v>
      </c>
      <c r="T136" s="50" t="str">
        <f t="shared" si="43"/>
        <v>NorthBound</v>
      </c>
      <c r="U136" s="16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18:56:27-700',mode:absolute,to:'2016-11-07 21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 t="shared" si="45"/>
        <v>N</v>
      </c>
      <c r="X136" s="174">
        <f t="shared" si="59"/>
        <v>1</v>
      </c>
      <c r="Y136" s="67">
        <f t="shared" si="55"/>
        <v>4.5100000000000001E-2</v>
      </c>
      <c r="Z136" s="67">
        <f t="shared" si="57"/>
        <v>23.331700000000001</v>
      </c>
      <c r="AA136" s="67">
        <f t="shared" si="46"/>
        <v>23.2866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7"/>
        <v>0225-07</v>
      </c>
      <c r="AE136" s="91" t="str">
        <f t="shared" si="48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36" s="88" t="str">
        <f t="shared" si="49"/>
        <v>"C:\Program Files (x86)\AstroGrep\AstroGrep.exe" /spath="%USERPROFILE%\AppData\Local\Temp\OnboardLogs" /stypes="app*4011*20161108*" /stext=" 03:.+((SYSTEM_STATE.+slice.+state.+changed )|(ment ac)|(system.+state.+changed )|(\[timeout)|(PRM\|1\|D)|(kpr)|(kdp)|(\|loc)|(penalty))" /e /r /s</v>
      </c>
      <c r="AG136" s="1" t="str">
        <f t="shared" si="50"/>
        <v>EC</v>
      </c>
      <c r="AH136" s="92" t="str">
        <f t="shared" si="52"/>
        <v>"%USERPROFILE%\Documents\GitHub\eaglep3\Utilities\RefineRTDCRunTimes.py" --tripid 225-07 --locoid 4011 --swversion DE.1.0.8.0 --startMP 204:451 --initTime 2016-11-07T19:56:27 --startdatetime 2016-11-07T20:00:20 --delay 1 --endMP 204:233317 --enddatetime 2016-11-07T20:37:09 --enforcementcount 0 &gt;&gt;C:\Users\stu\Documents\GitHub\eaglep3-reporting\EC\2016-11-07-refined-times.txt</v>
      </c>
      <c r="AI136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{"issue":{"subject":"","project_id":79,"tracker_id":40,"status_id":1,"priority_id":2,"assigned_to_id":23,"start_date":"2016-11-07","description":"","custom_fields":[{"id":1,"name":"Subdivision","value":"EC"},{"id":4,"name":"Milepost","value":"23.3317"},{"id":17,"name":"Train ID","value":"225-07"},{"id":16,"name":"Locomotive ID","value":"4011"},{"id":130,"name":"Impact","value":""},{"id":150,"name":"Time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431</v>
      </c>
      <c r="B137" s="7">
        <v>4012</v>
      </c>
      <c r="C137" s="22" t="s">
        <v>237</v>
      </c>
      <c r="D137" s="22" t="s">
        <v>683</v>
      </c>
      <c r="E137" s="13">
        <v>42681.87128472222</v>
      </c>
      <c r="F137" s="13">
        <v>42681.872511574074</v>
      </c>
      <c r="G137" s="7">
        <v>1</v>
      </c>
      <c r="H137" s="22" t="s">
        <v>661</v>
      </c>
      <c r="I137" s="13">
        <v>42681.900810185187</v>
      </c>
      <c r="J137" s="7">
        <v>0</v>
      </c>
      <c r="K137" s="110" t="str">
        <f t="shared" si="40"/>
        <v>4011/4012</v>
      </c>
      <c r="L137" s="22" t="str">
        <f>VLOOKUP(A137,'Trips&amp;Operators'!$C$1:$E$10000,3,FALSE)</f>
        <v>CHANDLER</v>
      </c>
      <c r="M137" s="6">
        <f t="shared" si="41"/>
        <v>2.8298611112404615E-2</v>
      </c>
      <c r="N137" s="7">
        <f t="shared" si="60"/>
        <v>40.750000001862645</v>
      </c>
      <c r="O137" s="7"/>
      <c r="P137" s="7"/>
      <c r="Q137" s="23"/>
      <c r="R137" s="23"/>
      <c r="S137" s="35">
        <f t="shared" si="58"/>
        <v>1</v>
      </c>
      <c r="T137" s="50" t="str">
        <f t="shared" si="43"/>
        <v>Southbound</v>
      </c>
      <c r="U137" s="16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19:54:39-700',mode:absolute,to:'2016-11-07 22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 t="shared" si="45"/>
        <v>N</v>
      </c>
      <c r="X137" s="174">
        <f t="shared" si="59"/>
        <v>1</v>
      </c>
      <c r="Y137" s="67">
        <f t="shared" si="55"/>
        <v>23.301100000000002</v>
      </c>
      <c r="Z137" s="67">
        <f t="shared" si="57"/>
        <v>1.6500000000000001E-2</v>
      </c>
      <c r="AA137" s="67">
        <f t="shared" si="46"/>
        <v>23.284600000000001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7"/>
        <v>0226-07</v>
      </c>
      <c r="AE137" s="91" t="str">
        <f t="shared" si="48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37" s="88" t="str">
        <f t="shared" si="49"/>
        <v>"C:\Program Files (x86)\AstroGrep\AstroGrep.exe" /spath="%USERPROFILE%\AppData\Local\Temp\OnboardLogs" /stypes="app*4012*20161108*" /stext=" 04:.+((SYSTEM_STATE.+slice.+state.+changed )|(ment ac)|(system.+state.+changed )|(\[timeout)|(PRM\|1\|D)|(kpr)|(kdp)|(\|loc)|(penalty))" /e /r /s</v>
      </c>
      <c r="AG137" s="1" t="str">
        <f t="shared" si="50"/>
        <v>EC</v>
      </c>
      <c r="AH137" s="92" t="str">
        <f t="shared" si="52"/>
        <v>"%USERPROFILE%\Documents\GitHub\eaglep3\Utilities\RefineRTDCRunTimes.py" --tripid 226-07 --locoid 4012 --swversion DE.1.0.8.0 --startMP 204:233011 --initTime 2016-11-07T20:54:39 --startdatetime 2016-11-07T20:56:25 --delay 1 --endMP 204:165 --enddatetime 2016-11-07T21:37:10 --enforcementcount 0 &gt;&gt;C:\Users\stu\Documents\GitHub\eaglep3-reporting\EC\2016-11-07-refined-times.txt</v>
      </c>
      <c r="AI137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ID","value":"226-07"},{"id":16,"name":"Locomotive ID","value":"4012"},{"id":130,"name":"Impact","value":""},{"id":150,"name":"Time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598</v>
      </c>
      <c r="B138" s="7">
        <v>4025</v>
      </c>
      <c r="C138" s="22" t="s">
        <v>237</v>
      </c>
      <c r="D138" s="22" t="s">
        <v>391</v>
      </c>
      <c r="E138" s="13">
        <v>42681.838275462964</v>
      </c>
      <c r="F138" s="13">
        <v>42681.854386574072</v>
      </c>
      <c r="G138" s="7">
        <v>1</v>
      </c>
      <c r="H138" s="22" t="s">
        <v>190</v>
      </c>
      <c r="I138" s="13">
        <v>42681.880335648151</v>
      </c>
      <c r="J138" s="7">
        <v>0</v>
      </c>
      <c r="K138" s="110" t="str">
        <f t="shared" si="40"/>
        <v>4025/4026</v>
      </c>
      <c r="L138" s="22" t="str">
        <f>VLOOKUP(A138,'Trips&amp;Operators'!$C$1:$E$10000,3,FALSE)</f>
        <v>MAGEE</v>
      </c>
      <c r="M138" s="6">
        <f t="shared" si="41"/>
        <v>2.5949074079107959E-2</v>
      </c>
      <c r="N138" s="7">
        <f t="shared" si="60"/>
        <v>37.366666673915461</v>
      </c>
      <c r="O138" s="7"/>
      <c r="P138" s="7"/>
      <c r="Q138" s="23"/>
      <c r="R138" s="23"/>
      <c r="S138" s="35">
        <f t="shared" si="58"/>
        <v>1</v>
      </c>
      <c r="T138" s="50" t="str">
        <f t="shared" si="43"/>
        <v>NorthBound</v>
      </c>
      <c r="U138" s="16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19:07:07-700',mode:absolute,to:'2016-11-07 22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8" s="52" t="str">
        <f t="shared" si="45"/>
        <v>N</v>
      </c>
      <c r="X138" s="174">
        <f t="shared" si="59"/>
        <v>1</v>
      </c>
      <c r="Y138" s="67">
        <f t="shared" si="55"/>
        <v>4.8800000000000003E-2</v>
      </c>
      <c r="Z138" s="67">
        <f t="shared" si="57"/>
        <v>23.329699999999999</v>
      </c>
      <c r="AA138" s="67">
        <f t="shared" si="46"/>
        <v>23.280899999999999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7"/>
        <v>0227-07</v>
      </c>
      <c r="AE138" s="91" t="str">
        <f t="shared" si="48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38" s="88" t="str">
        <f t="shared" si="49"/>
        <v>"C:\Program Files (x86)\AstroGrep\AstroGrep.exe" /spath="%USERPROFILE%\AppData\Local\Temp\OnboardLogs" /stypes="app*4025*20161108*" /stext=" 04:.+((SYSTEM_STATE.+slice.+state.+changed )|(ment ac)|(system.+state.+changed )|(\[timeout)|(PRM\|1\|D)|(kpr)|(kdp)|(\|loc)|(penalty))" /e /r /s</v>
      </c>
      <c r="AG138" s="1" t="str">
        <f t="shared" si="50"/>
        <v>EC</v>
      </c>
      <c r="AH138" s="92" t="str">
        <f t="shared" si="52"/>
        <v>"%USERPROFILE%\Documents\GitHub\eaglep3\Utilities\RefineRTDCRunTimes.py" --tripid 227-07 --locoid 4025 --swversion DE.1.0.8.0 --startMP 204:488 --initTime 2016-11-07T20:07:07 --startdatetime 2016-11-07T20:30:19 --delay 1 --endMP 204:233297 --enddatetime 2016-11-07T21:07:41 --enforcementcount 0 &gt;&gt;C:\Users\stu\Documents\GitHub\eaglep3-reporting\EC\2016-11-07-refined-times.txt</v>
      </c>
      <c r="AI138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ID","value":"227-07"},{"id":16,"name":"Locomotive ID","value":"4025"},{"id":130,"name":"Impact","value":""},{"id":150,"name":"Time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605</v>
      </c>
      <c r="B139" s="7">
        <v>4026</v>
      </c>
      <c r="C139" s="22" t="s">
        <v>237</v>
      </c>
      <c r="D139" s="22" t="s">
        <v>684</v>
      </c>
      <c r="E139" s="13">
        <v>42681.888981481483</v>
      </c>
      <c r="F139" s="13">
        <v>42681.893217592595</v>
      </c>
      <c r="G139" s="7">
        <v>1</v>
      </c>
      <c r="H139" s="22" t="s">
        <v>685</v>
      </c>
      <c r="I139" s="13">
        <v>42681.920289351852</v>
      </c>
      <c r="J139" s="7">
        <v>0</v>
      </c>
      <c r="K139" s="110" t="str">
        <f t="shared" si="40"/>
        <v>4025/4026</v>
      </c>
      <c r="L139" s="22" t="str">
        <f>VLOOKUP(A139,'Trips&amp;Operators'!$C$1:$E$10000,3,FALSE)</f>
        <v>MAGEE</v>
      </c>
      <c r="M139" s="6">
        <f t="shared" si="41"/>
        <v>2.7071759257523809E-2</v>
      </c>
      <c r="N139" s="7">
        <f t="shared" si="60"/>
        <v>38.983333330834284</v>
      </c>
      <c r="O139" s="7"/>
      <c r="P139" s="7"/>
      <c r="Q139" s="23"/>
      <c r="R139" s="23"/>
      <c r="S139" s="35">
        <f t="shared" si="58"/>
        <v>1</v>
      </c>
      <c r="T139" s="50" t="str">
        <f t="shared" si="43"/>
        <v>Southbound</v>
      </c>
      <c r="U139" s="16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20:20:08-700',mode:absolute,to:'2016-11-07 23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9" s="52" t="str">
        <f t="shared" si="45"/>
        <v>N</v>
      </c>
      <c r="X139" s="174">
        <f t="shared" si="59"/>
        <v>1</v>
      </c>
      <c r="Y139" s="67">
        <f t="shared" si="55"/>
        <v>23.2972</v>
      </c>
      <c r="Z139" s="67">
        <f t="shared" si="57"/>
        <v>1.6299999999999999E-2</v>
      </c>
      <c r="AA139" s="67">
        <f t="shared" si="46"/>
        <v>23.280899999999999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7"/>
        <v>0228-07</v>
      </c>
      <c r="AE139" s="91" t="str">
        <f t="shared" si="48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39" s="88" t="str">
        <f t="shared" si="49"/>
        <v>"C:\Program Files (x86)\AstroGrep\AstroGrep.exe" /spath="%USERPROFILE%\AppData\Local\Temp\OnboardLogs" /stypes="app*4026*20161108*" /stext=" 05:.+((SYSTEM_STATE.+slice.+state.+changed )|(ment ac)|(system.+state.+changed )|(\[timeout)|(PRM\|1\|D)|(kpr)|(kdp)|(\|loc)|(penalty))" /e /r /s</v>
      </c>
      <c r="AG139" s="1" t="str">
        <f t="shared" si="50"/>
        <v>EC</v>
      </c>
      <c r="AH139" s="92" t="str">
        <f t="shared" si="52"/>
        <v>"%USERPROFILE%\Documents\GitHub\eaglep3\Utilities\RefineRTDCRunTimes.py" --tripid 228-07 --locoid 4026 --swversion DE.1.0.8.0 --startMP 204:232972 --initTime 2016-11-07T21:20:08 --startdatetime 2016-11-07T21:26:14 --delay 1 --endMP 204:163 --enddatetime 2016-11-07T22:05:13 --enforcementcount 0 &gt;&gt;C:\Users\stu\Documents\GitHub\eaglep3-reporting\EC\2016-11-07-refined-times.txt</v>
      </c>
      <c r="AI139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{"issue":{"subject":"","project_id":79,"tracker_id":40,"status_id":1,"priority_id":2,"assigned_to_id":23,"start_date":"2016-11-07","description":"","custom_fields":[{"id":1,"name":"Subdivision","value":"EC"},{"id":4,"name":"Milepost","value":"0.0163"},{"id":17,"name":"Train ID","value":"228-07"},{"id":16,"name":"Locomotive ID","value":"4026"},{"id":130,"name":"Impact","value":""},{"id":150,"name":"Time of Event (Mountain Time)","value":"22:05:13"},{"id":151,"name":"Denver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601</v>
      </c>
      <c r="B140" s="7">
        <v>4002</v>
      </c>
      <c r="C140" s="22" t="s">
        <v>237</v>
      </c>
      <c r="D140" s="22" t="s">
        <v>686</v>
      </c>
      <c r="E140" s="13">
        <v>42681.867662037039</v>
      </c>
      <c r="F140" s="13">
        <v>42681.875462962962</v>
      </c>
      <c r="G140" s="7">
        <v>1</v>
      </c>
      <c r="H140" s="22" t="s">
        <v>687</v>
      </c>
      <c r="I140" s="13">
        <v>42681.901087962964</v>
      </c>
      <c r="J140" s="7">
        <v>0</v>
      </c>
      <c r="K140" s="110" t="str">
        <f t="shared" si="40"/>
        <v>4001/4002</v>
      </c>
      <c r="L140" s="22" t="str">
        <f>VLOOKUP(A140,'Trips&amp;Operators'!$C$1:$E$10000,3,FALSE)</f>
        <v>BADERTSCHER</v>
      </c>
      <c r="M140" s="6">
        <f t="shared" si="41"/>
        <v>2.5625000002037268E-2</v>
      </c>
      <c r="N140" s="7">
        <f t="shared" si="60"/>
        <v>36.900000002933666</v>
      </c>
      <c r="O140" s="7"/>
      <c r="P140" s="7"/>
      <c r="Q140" s="23"/>
      <c r="R140" s="23"/>
      <c r="S140" s="35">
        <f t="shared" si="58"/>
        <v>1</v>
      </c>
      <c r="T140" s="50" t="str">
        <f t="shared" si="43"/>
        <v>NorthBound</v>
      </c>
      <c r="U140" s="16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4"/>
        <v>https://search-rtdc-monitor-bjffxe2xuh6vdkpspy63sjmuny.us-east-1.es.amazonaws.com/_plugin/kibana/#/discover/Steve-Slow-Train-Analysis-(2080s-and-2083s)?_g=(refreshInterval:(display:Off,section:0,value:0),time:(from:'2016-11-07 19:49:26-700',mode:absolute,to:'2016-11-07 22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52" t="str">
        <f t="shared" si="45"/>
        <v>N</v>
      </c>
      <c r="X140" s="174">
        <f t="shared" si="59"/>
        <v>1</v>
      </c>
      <c r="Y140" s="67">
        <f t="shared" si="55"/>
        <v>5.1900000000000002E-2</v>
      </c>
      <c r="Z140" s="67">
        <f t="shared" ref="Z140:Z171" si="61">RIGHT(H140,LEN(H140)-4)/10000</f>
        <v>23.322099999999999</v>
      </c>
      <c r="AA140" s="67">
        <f t="shared" si="46"/>
        <v>23.270199999999999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7"/>
        <v>0229-07</v>
      </c>
      <c r="AE140" s="91" t="str">
        <f t="shared" si="48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40" s="88" t="str">
        <f t="shared" si="49"/>
        <v>"C:\Program Files (x86)\AstroGrep\AstroGrep.exe" /spath="%USERPROFILE%\AppData\Local\Temp\OnboardLogs" /stypes="app*4002*20161108*" /stext=" 04:.+((SYSTEM_STATE.+slice.+state.+changed )|(ment ac)|(system.+state.+changed )|(\[timeout)|(PRM\|1\|D)|(kpr)|(kdp)|(\|loc)|(penalty))" /e /r /s</v>
      </c>
      <c r="AG140" s="1" t="str">
        <f t="shared" si="50"/>
        <v>EC</v>
      </c>
      <c r="AH140" s="92" t="str">
        <f t="shared" si="52"/>
        <v>"%USERPROFILE%\Documents\GitHub\eaglep3\Utilities\RefineRTDCRunTimes.py" --tripid 229-07 --locoid 4002 --swversion DE.1.0.8.0 --startMP 204:519 --initTime 2016-11-07T20:49:26 --startdatetime 2016-11-07T21:00:40 --delay 1 --endMP 204:233221 --enddatetime 2016-11-07T21:37:34 --enforcementcount 0 &gt;&gt;C:\Users\stu\Documents\GitHub\eaglep3-reporting\EC\2016-11-07-refined-times.txt</v>
      </c>
      <c r="AI140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{"issue":{"subject":"","project_id":79,"tracker_id":40,"status_id":1,"priority_id":2,"assigned_to_id":23,"start_date":"2016-11-07","description":"","custom_fields":[{"id":1,"name":"Subdivision","value":"EC"},{"id":4,"name":"Milepost","value":"23.3221"},{"id":17,"name":"Train ID","value":"229-07"},{"id":16,"name":"Locomotive ID","value":"4002"},{"id":130,"name":"Impact","value":""},{"id":150,"name":"Time of Event (Mountain Time)","value":"21:37:34"},{"id":151,"name":"Denver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4001</v>
      </c>
      <c r="C141" s="22" t="s">
        <v>237</v>
      </c>
      <c r="D141" s="22" t="s">
        <v>688</v>
      </c>
      <c r="E141" s="13">
        <v>42681.90834490741</v>
      </c>
      <c r="F141" s="13">
        <v>42681.914236111108</v>
      </c>
      <c r="G141" s="7">
        <v>1</v>
      </c>
      <c r="H141" s="22" t="s">
        <v>327</v>
      </c>
      <c r="I141" s="13">
        <v>42681.943020833336</v>
      </c>
      <c r="J141" s="7">
        <v>0</v>
      </c>
      <c r="K141" s="110" t="str">
        <f t="shared" ref="K141:K204" si="62">IF(ISEVEN(B141),(B141-1)&amp;"/"&amp;B141,B141&amp;"/"&amp;(B141+1))</f>
        <v>4001/4002</v>
      </c>
      <c r="L141" s="22" t="str">
        <f>VLOOKUP(A141,'Trips&amp;Operators'!$C$1:$E$10000,3,FALSE)</f>
        <v>BADERTSCHER</v>
      </c>
      <c r="M141" s="6">
        <f t="shared" ref="M141:M204" si="63">I141-F141</f>
        <v>2.8784722228010651E-2</v>
      </c>
      <c r="N141" s="7">
        <f t="shared" si="60"/>
        <v>41.450000008335337</v>
      </c>
      <c r="O141" s="7"/>
      <c r="P141" s="7"/>
      <c r="Q141" s="23"/>
      <c r="R141" s="23"/>
      <c r="S141" s="35">
        <f t="shared" ref="S141:S154" si="64">SUM(U141:U141)/IF(AG141="EC",12,1)</f>
        <v>1</v>
      </c>
      <c r="T141" s="50" t="str">
        <f t="shared" ref="T141:T204" si="65">IF(ISEVEN(LEFT(AD141,4)),"Southbound","NorthBound")</f>
        <v>Southbound</v>
      </c>
      <c r="U141" s="16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6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https://search-rtdc-monitor-bjffxe2xuh6vdkpspy63sjmuny.us-east-1.es.amazonaws.com/_plugin/kibana/#/discover/Steve-Slow-Train-Analysis-(2080s-and-2083s)?_g=(refreshInterval:(display:Off,section:0,value:0),time:(from:'2016-11-07 20:48:01-700',mode:absolute,to:'2016-11-07 23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52" t="str">
        <f t="shared" ref="W141:W204" si="67">IF(AA141&lt;IF(AG141="EC",23,5.65),"Y","N")</f>
        <v>N</v>
      </c>
      <c r="X141" s="174">
        <f t="shared" si="59"/>
        <v>1</v>
      </c>
      <c r="Y141" s="67">
        <f t="shared" si="55"/>
        <v>23.289400000000001</v>
      </c>
      <c r="Z141" s="67">
        <f t="shared" si="61"/>
        <v>1.6E-2</v>
      </c>
      <c r="AA141" s="67">
        <f t="shared" ref="AA141:AA204" si="68">ABS(Z141-Y141)</f>
        <v>23.273400000000002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69">IF(LEN(A141)=6,"0"&amp;A141,A141)</f>
        <v>0230-07</v>
      </c>
      <c r="AE141" s="91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41" s="88" t="str">
        <f t="shared" ref="AF141:AF204" si="7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/stypes="app*4001*20161108*" /stext=" 05:.+((SYSTEM_STATE.+slice.+state.+changed )|(ment ac)|(system.+state.+changed )|(\[timeout)|(PRM\|1\|D)|(kpr)|(kdp)|(\|loc)|(penalty))" /e /r /s</v>
      </c>
      <c r="AG141" s="1" t="str">
        <f t="shared" ref="AG141:AG204" si="72">IFERROR(IF(VALUE(LEFT(AD141,2))&lt;=2,"EC",IF(OR(VALUE(LEFT(AD141,2))=8,VALUE(LEFT(AD141,2))=18),"NW","Other")),"Other")</f>
        <v>EC</v>
      </c>
      <c r="AH141" s="92" t="str">
        <f t="shared" si="52"/>
        <v>"%USERPROFILE%\Documents\GitHub\eaglep3\Utilities\RefineRTDCRunTimes.py" --tripid 230-07 --locoid 4001 --swversion DE.1.0.8.0 --startMP 204:232894 --initTime 2016-11-07T21:48:01 --startdatetime 2016-11-07T21:56:30 --delay 1 --endMP 204:160 --enddatetime 2016-11-07T22:37:57 --enforcementcount 0 &gt;&gt;C:\Users\stu\Documents\GitHub\eaglep3-reporting\EC\2016-11-07-refined-times.txt</v>
      </c>
      <c r="AI141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ID","value":"230-07"},{"id":16,"name":"Locomotive ID","value":"4001"},{"id":130,"name":"Impact","value":""},{"id":150,"name":"Time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604</v>
      </c>
      <c r="B142" s="7">
        <v>4046</v>
      </c>
      <c r="C142" s="22" t="s">
        <v>237</v>
      </c>
      <c r="D142" s="22" t="s">
        <v>260</v>
      </c>
      <c r="E142" s="13">
        <v>42681.884699074071</v>
      </c>
      <c r="F142" s="13">
        <v>42681.896006944444</v>
      </c>
      <c r="G142" s="7">
        <v>1</v>
      </c>
      <c r="H142" s="22" t="s">
        <v>321</v>
      </c>
      <c r="I142" s="13">
        <v>42681.921678240738</v>
      </c>
      <c r="J142" s="7">
        <v>0</v>
      </c>
      <c r="K142" s="110" t="str">
        <f t="shared" si="62"/>
        <v>4045/4046</v>
      </c>
      <c r="L142" s="22" t="str">
        <f>VLOOKUP(A142,'Trips&amp;Operators'!$C$1:$E$10000,3,FALSE)</f>
        <v>ROMERO</v>
      </c>
      <c r="M142" s="6">
        <f t="shared" si="63"/>
        <v>2.5671296294603962E-2</v>
      </c>
      <c r="N142" s="7">
        <f t="shared" si="60"/>
        <v>36.966666664229706</v>
      </c>
      <c r="O142" s="7"/>
      <c r="P142" s="7"/>
      <c r="Q142" s="23"/>
      <c r="R142" s="23"/>
      <c r="S142" s="35">
        <f t="shared" si="64"/>
        <v>1</v>
      </c>
      <c r="T142" s="50" t="str">
        <f t="shared" si="65"/>
        <v>NorthBound</v>
      </c>
      <c r="U142" s="16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20:13:58-700',mode:absolute,to:'2016-11-07 23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52" t="str">
        <f t="shared" si="67"/>
        <v>N</v>
      </c>
      <c r="X142" s="174">
        <f t="shared" si="59"/>
        <v>1</v>
      </c>
      <c r="Y142" s="67">
        <f t="shared" si="55"/>
        <v>4.4200000000000003E-2</v>
      </c>
      <c r="Z142" s="67">
        <f t="shared" si="61"/>
        <v>23.331499999999998</v>
      </c>
      <c r="AA142" s="67">
        <f t="shared" si="68"/>
        <v>23.287299999999998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69"/>
        <v>0231-07</v>
      </c>
      <c r="AE142" s="91" t="str">
        <f t="shared" si="70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42" s="88" t="str">
        <f t="shared" si="71"/>
        <v>"C:\Program Files (x86)\AstroGrep\AstroGrep.exe" /spath="%USERPROFILE%\AppData\Local\Temp\OnboardLogs" /stypes="app*4046*20161108*" /stext=" 05:.+((SYSTEM_STATE.+slice.+state.+changed )|(ment ac)|(system.+state.+changed )|(\[timeout)|(PRM\|1\|D)|(kpr)|(kdp)|(\|loc)|(penalty))" /e /r /s</v>
      </c>
      <c r="AG142" s="1" t="str">
        <f t="shared" si="72"/>
        <v>EC</v>
      </c>
      <c r="AH142" s="92" t="str">
        <f t="shared" si="52"/>
        <v>"%USERPROFILE%\Documents\GitHub\eaglep3\Utilities\RefineRTDCRunTimes.py" --tripid 231-07 --locoid 4046 --swversion DE.1.0.8.0 --startMP 204:442 --initTime 2016-11-07T21:13:58 --startdatetime 2016-11-07T21:30:15 --delay 1 --endMP 204:233315 --enddatetime 2016-11-07T22:07:13 --enforcementcount 0 &gt;&gt;C:\Users\stu\Documents\GitHub\eaglep3-reporting\EC\2016-11-07-refined-times.txt</v>
      </c>
      <c r="AI142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{"issue":{"subject":"","project_id":79,"tracker_id":40,"status_id":1,"priority_id":2,"assigned_to_id":23,"start_date":"2016-11-07","description":"","custom_fields":[{"id":1,"name":"Subdivision","value":"EC"},{"id":4,"name":"Milepost","value":"23.3315"},{"id":17,"name":"Train ID","value":"231-07"},{"id":16,"name":"Locomotive ID","value":"4046"},{"id":130,"name":"Impact","value":""},{"id":150,"name":"Time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611</v>
      </c>
      <c r="B143" s="7">
        <v>4045</v>
      </c>
      <c r="C143" s="22" t="s">
        <v>237</v>
      </c>
      <c r="D143" s="22" t="s">
        <v>230</v>
      </c>
      <c r="E143" s="13">
        <v>42681.924212962964</v>
      </c>
      <c r="F143" s="13">
        <v>42681.934953703705</v>
      </c>
      <c r="G143" s="7">
        <v>2</v>
      </c>
      <c r="H143" s="22" t="s">
        <v>181</v>
      </c>
      <c r="I143" s="13">
        <v>42681.961053240739</v>
      </c>
      <c r="J143" s="7">
        <v>0</v>
      </c>
      <c r="K143" s="110" t="str">
        <f t="shared" si="62"/>
        <v>4045/4046</v>
      </c>
      <c r="L143" s="22" t="str">
        <f>VLOOKUP(A143,'Trips&amp;Operators'!$C$1:$E$10000,3,FALSE)</f>
        <v>ROMERO</v>
      </c>
      <c r="M143" s="6">
        <f t="shared" si="63"/>
        <v>2.6099537033587694E-2</v>
      </c>
      <c r="N143" s="7">
        <f t="shared" si="60"/>
        <v>37.58333332836628</v>
      </c>
      <c r="O143" s="7"/>
      <c r="P143" s="7"/>
      <c r="Q143" s="23"/>
      <c r="R143" s="23"/>
      <c r="S143" s="35">
        <f t="shared" si="64"/>
        <v>1</v>
      </c>
      <c r="T143" s="50" t="str">
        <f t="shared" si="65"/>
        <v>Southbound</v>
      </c>
      <c r="U143" s="16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21:10:52-700',mode:absolute,to:'2016-11-08 00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52" t="str">
        <f t="shared" si="67"/>
        <v>N</v>
      </c>
      <c r="X143" s="174">
        <f t="shared" si="59"/>
        <v>1</v>
      </c>
      <c r="Y143" s="67">
        <f t="shared" si="55"/>
        <v>23.298500000000001</v>
      </c>
      <c r="Z143" s="67">
        <f t="shared" si="61"/>
        <v>1.41E-2</v>
      </c>
      <c r="AA143" s="67">
        <f t="shared" si="68"/>
        <v>23.284400000000002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69"/>
        <v>0232-07</v>
      </c>
      <c r="AE143" s="91" t="str">
        <f t="shared" si="70"/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43" s="88" t="str">
        <f t="shared" si="71"/>
        <v>"C:\Program Files (x86)\AstroGrep\AstroGrep.exe" /spath="%USERPROFILE%\AppData\Local\Temp\OnboardLogs" /stypes="app*4045*20161108*" /stext=" 06:.+((SYSTEM_STATE.+slice.+state.+changed )|(ment ac)|(system.+state.+changed )|(\[timeout)|(PRM\|1\|D)|(kpr)|(kdp)|(\|loc)|(penalty))" /e /r /s</v>
      </c>
      <c r="AG143" s="1" t="str">
        <f t="shared" si="72"/>
        <v>EC</v>
      </c>
      <c r="AH143" s="92" t="str">
        <f t="shared" si="52"/>
        <v>"%USERPROFILE%\Documents\GitHub\eaglep3\Utilities\RefineRTDCRunTimes.py" --tripid 232-07 --locoid 4045 --swversion DE.1.0.8.0 --startMP 204:232985 --initTime 2016-11-07T22:10:52 --startdatetime 2016-11-07T22:26:20 --delay 2 --endMP 204:141 --enddatetime 2016-11-07T23:03:55 --enforcementcount 0 &gt;&gt;C:\Users\stu\Documents\GitHub\eaglep3-reporting\EC\2016-11-07-refined-times.txt</v>
      </c>
      <c r="AI143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{"issue":{"subject":"","project_id":79,"tracker_id":40,"status_id":1,"priority_id":2,"assigned_to_id":23,"start_date":"2016-11-07","description":"","custom_fields":[{"id":1,"name":"Subdivision","value":"EC"},{"id":4,"name":"Milepost","value":"0.0141"},{"id":17,"name":"Train ID","value":"232-07"},{"id":16,"name":"Locomotive ID","value":"4045"},{"id":130,"name":"Impact","value":""},{"id":150,"name":"Time of Event (Mountain Time)","value":"23:03:55"},{"id":151,"name":"Denver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609</v>
      </c>
      <c r="B144" s="7">
        <v>4011</v>
      </c>
      <c r="C144" s="22" t="s">
        <v>237</v>
      </c>
      <c r="D144" s="22" t="s">
        <v>207</v>
      </c>
      <c r="E144" s="13">
        <v>42681.914629629631</v>
      </c>
      <c r="F144" s="13">
        <v>42681.917326388888</v>
      </c>
      <c r="G144" s="7">
        <v>1</v>
      </c>
      <c r="H144" s="22" t="s">
        <v>637</v>
      </c>
      <c r="I144" s="13">
        <v>42681.949675925927</v>
      </c>
      <c r="J144" s="7">
        <v>0</v>
      </c>
      <c r="K144" s="110" t="str">
        <f t="shared" si="62"/>
        <v>4011/4012</v>
      </c>
      <c r="L144" s="22" t="str">
        <f>VLOOKUP(A144,'Trips&amp;Operators'!$C$1:$E$10000,3,FALSE)</f>
        <v>CHANDLER</v>
      </c>
      <c r="M144" s="6">
        <f t="shared" si="63"/>
        <v>3.234953703940846E-2</v>
      </c>
      <c r="N144" s="7">
        <f t="shared" si="60"/>
        <v>46.583333336748183</v>
      </c>
      <c r="O144" s="7"/>
      <c r="P144" s="7"/>
      <c r="Q144" s="23"/>
      <c r="R144" s="23"/>
      <c r="S144" s="35">
        <f t="shared" si="64"/>
        <v>1</v>
      </c>
      <c r="T144" s="50" t="str">
        <f t="shared" si="65"/>
        <v>NorthBound</v>
      </c>
      <c r="U144" s="16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20:57:04-700',mode:absolute,to:'2016-11-07 23:47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52" t="str">
        <f t="shared" si="67"/>
        <v>N</v>
      </c>
      <c r="X144" s="174">
        <f t="shared" si="59"/>
        <v>1</v>
      </c>
      <c r="Y144" s="67">
        <f t="shared" si="55"/>
        <v>4.53E-2</v>
      </c>
      <c r="Z144" s="67">
        <f t="shared" si="61"/>
        <v>23.327200000000001</v>
      </c>
      <c r="AA144" s="67">
        <f t="shared" si="68"/>
        <v>23.2819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9"/>
        <v>0233-07</v>
      </c>
      <c r="AE144" s="91" t="str">
        <f t="shared" si="70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44" s="88" t="str">
        <f t="shared" si="71"/>
        <v>"C:\Program Files (x86)\AstroGrep\AstroGrep.exe" /spath="%USERPROFILE%\AppData\Local\Temp\OnboardLogs" /stypes="app*4011*20161108*" /stext=" 05:.+((SYSTEM_STATE.+slice.+state.+changed )|(ment ac)|(system.+state.+changed )|(\[timeout)|(PRM\|1\|D)|(kpr)|(kdp)|(\|loc)|(penalty))" /e /r /s</v>
      </c>
      <c r="AG144" s="1" t="str">
        <f t="shared" si="72"/>
        <v>EC</v>
      </c>
      <c r="AH144" s="92" t="str">
        <f t="shared" si="52"/>
        <v>"%USERPROFILE%\Documents\GitHub\eaglep3\Utilities\RefineRTDCRunTimes.py" --tripid 233-07 --locoid 4011 --swversion DE.1.0.8.0 --startMP 204:453 --initTime 2016-11-07T21:57:04 --startdatetime 2016-11-07T22:00:57 --delay 1 --endMP 204:233272 --enddatetime 2016-11-07T22:47:32 --enforcementcount 0 &gt;&gt;C:\Users\stu\Documents\GitHub\eaglep3-reporting\EC\2016-11-07-refined-times.txt</v>
      </c>
      <c r="AI144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{"issue":{"subject":"","project_id":79,"tracker_id":40,"status_id":1,"priority_id":2,"assigned_to_id":23,"start_date":"2016-11-07","description":"","custom_fields":[{"id":1,"name":"Subdivision","value":"EC"},{"id":4,"name":"Milepost","value":"23.3272"},{"id":17,"name":"Train ID","value":"233-07"},{"id":16,"name":"Locomotive ID","value":"4011"},{"id":130,"name":"Impact","value":""},{"id":150,"name":"Time of Event (Mountain Time)","value":"22:47:32"},{"id":151,"name":"Denver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615</v>
      </c>
      <c r="B145" s="7">
        <v>4012</v>
      </c>
      <c r="C145" s="22" t="s">
        <v>237</v>
      </c>
      <c r="D145" s="22" t="s">
        <v>689</v>
      </c>
      <c r="E145" s="13">
        <v>42681.953645833331</v>
      </c>
      <c r="F145" s="13">
        <v>42681.957372685189</v>
      </c>
      <c r="G145" s="7">
        <v>1</v>
      </c>
      <c r="H145" s="22" t="s">
        <v>203</v>
      </c>
      <c r="I145" s="13">
        <v>42681.987511574072</v>
      </c>
      <c r="J145" s="7">
        <v>0</v>
      </c>
      <c r="K145" s="110" t="str">
        <f t="shared" si="62"/>
        <v>4011/4012</v>
      </c>
      <c r="L145" s="22" t="str">
        <f>VLOOKUP(A145,'Trips&amp;Operators'!$C$1:$E$10000,3,FALSE)</f>
        <v>CHANDLER</v>
      </c>
      <c r="M145" s="6">
        <f t="shared" si="63"/>
        <v>3.0138888883811887E-2</v>
      </c>
      <c r="N145" s="7">
        <f t="shared" si="60"/>
        <v>43.399999992689118</v>
      </c>
      <c r="O145" s="7"/>
      <c r="P145" s="7"/>
      <c r="Q145" s="23"/>
      <c r="R145" s="23"/>
      <c r="S145" s="35">
        <f t="shared" si="64"/>
        <v>1</v>
      </c>
      <c r="T145" s="50" t="str">
        <f t="shared" si="65"/>
        <v>Southbound</v>
      </c>
      <c r="U145" s="16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21:53:15-700',mode:absolute,to:'2016-11-08 00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52" t="str">
        <f t="shared" si="67"/>
        <v>N</v>
      </c>
      <c r="X145" s="174">
        <f t="shared" si="59"/>
        <v>1</v>
      </c>
      <c r="Y145" s="67">
        <f t="shared" si="55"/>
        <v>23.296399999999998</v>
      </c>
      <c r="Z145" s="67">
        <f t="shared" si="61"/>
        <v>1.4500000000000001E-2</v>
      </c>
      <c r="AA145" s="67">
        <f t="shared" si="68"/>
        <v>23.281899999999997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9"/>
        <v>0234-07</v>
      </c>
      <c r="AE145" s="91" t="str">
        <f t="shared" si="70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45" s="88" t="str">
        <f t="shared" si="71"/>
        <v>"C:\Program Files (x86)\AstroGrep\AstroGrep.exe" /spath="%USERPROFILE%\AppData\Local\Temp\OnboardLogs" /stypes="app*4012*20161108*" /stext=" 06:.+((SYSTEM_STATE.+slice.+state.+changed )|(ment ac)|(system.+state.+changed )|(\[timeout)|(PRM\|1\|D)|(kpr)|(kdp)|(\|loc)|(penalty))" /e /r /s</v>
      </c>
      <c r="AG145" s="1" t="str">
        <f t="shared" si="72"/>
        <v>EC</v>
      </c>
      <c r="AH145" s="92" t="str">
        <f t="shared" si="52"/>
        <v>"%USERPROFILE%\Documents\GitHub\eaglep3\Utilities\RefineRTDCRunTimes.py" --tripid 234-07 --locoid 4012 --swversion DE.1.0.8.0 --startMP 204:232964 --initTime 2016-11-07T22:53:15 --startdatetime 2016-11-07T22:58:37 --delay 1 --endMP 204:145 --enddatetime 2016-11-07T23:42:01 --enforcementcount 0 &gt;&gt;C:\Users\stu\Documents\GitHub\eaglep3-reporting\EC\2016-11-07-refined-times.txt</v>
      </c>
      <c r="AI145" s="120" t="str">
        <f t="shared" si="53"/>
        <v>echo {"issue":{"subject":"","project_id":79,"tracker_id":40,"status_id":1,"priority_id":2,"assigned_to_id":23,"start_date":"2016-11-07","description":"","custom_fields":[{"id":1,"name":"Subdivision","value":"EC"},{"id":4,"name":"Milepost","value":"0.0145"},{"id":17,"name":"Train ID","value":"234-07"},{"id":16,"name":"Locomotive ID","value":"4012"},{"id":130,"name":"Impact","value":""},{"id":150,"name":"Time of Event (Mountain Time)","value":"23:42:01"},{"id":151,"name":"Denver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4025</v>
      </c>
      <c r="C146" s="22" t="s">
        <v>237</v>
      </c>
      <c r="D146" s="22" t="s">
        <v>228</v>
      </c>
      <c r="E146" s="13">
        <v>42681.921481481484</v>
      </c>
      <c r="F146" s="13">
        <v>42681.937673611108</v>
      </c>
      <c r="G146" s="7">
        <v>1</v>
      </c>
      <c r="H146" s="22" t="s">
        <v>690</v>
      </c>
      <c r="I146" s="13">
        <v>42681.973773148151</v>
      </c>
      <c r="J146" s="7">
        <v>0</v>
      </c>
      <c r="K146" s="110" t="str">
        <f t="shared" si="62"/>
        <v>4025/4026</v>
      </c>
      <c r="L146" s="22" t="str">
        <f>VLOOKUP(A146,'Trips&amp;Operators'!$C$1:$E$10000,3,FALSE)</f>
        <v>MAGEE</v>
      </c>
      <c r="M146" s="6">
        <f t="shared" si="63"/>
        <v>3.609953704290092E-2</v>
      </c>
      <c r="N146" s="7">
        <f t="shared" si="60"/>
        <v>51.983333341777325</v>
      </c>
      <c r="O146" s="7"/>
      <c r="P146" s="7"/>
      <c r="Q146" s="23"/>
      <c r="R146" s="23" t="s">
        <v>796</v>
      </c>
      <c r="S146" s="35">
        <f t="shared" si="64"/>
        <v>1</v>
      </c>
      <c r="T146" s="50" t="str">
        <f t="shared" si="65"/>
        <v>NorthBound</v>
      </c>
      <c r="U146" s="16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21:06:56-700',mode:absolute,to:'2016-11-08 00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6" s="52" t="str">
        <f t="shared" si="67"/>
        <v>N</v>
      </c>
      <c r="X146" s="174">
        <f t="shared" si="59"/>
        <v>1</v>
      </c>
      <c r="Y146" s="67">
        <f t="shared" si="55"/>
        <v>4.6199999999999998E-2</v>
      </c>
      <c r="Z146" s="67">
        <f t="shared" si="61"/>
        <v>23.334399999999999</v>
      </c>
      <c r="AA146" s="67">
        <f t="shared" si="68"/>
        <v>23.2882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9"/>
        <v>0235-07</v>
      </c>
      <c r="AE146" s="91" t="str">
        <f t="shared" si="70"/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46" s="88" t="str">
        <f t="shared" si="71"/>
        <v>"C:\Program Files (x86)\AstroGrep\AstroGrep.exe" /spath="%USERPROFILE%\AppData\Local\Temp\OnboardLogs" /stypes="app*4025*20161108*" /stext=" 06:.+((SYSTEM_STATE.+slice.+state.+changed )|(ment ac)|(system.+state.+changed )|(\[timeout)|(PRM\|1\|D)|(kpr)|(kdp)|(\|loc)|(penalty))" /e /r /s</v>
      </c>
      <c r="AG146" s="1" t="str">
        <f t="shared" si="72"/>
        <v>EC</v>
      </c>
      <c r="AH146" s="92" t="str">
        <f t="shared" ref="AH146:AH207" si="73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235-07 --locoid 4025 --swversion DE.1.0.8.0 --startMP 204:462 --initTime 2016-11-07T22:06:56 --startdatetime 2016-11-07T22:30:15 --delay 1 --endMP 204:233344 --enddatetime 2016-11-07T23:22:14 --enforcementcount 0 &gt;&gt;C:\Users\stu\Documents\GitHub\eaglep3-reporting\EC\2016-11-07-refined-times.txt</v>
      </c>
      <c r="AI146" s="120" t="str">
        <f t="shared" ref="AI146:AI207" si="74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{"issue":{"subject":"Delayed by Form O","project_id":79,"tracker_id":40,"status_id":1,"priority_id":2,"assigned_to_id":23,"start_date":"2016-11-07","description":"","custom_fields":[{"id":1,"name":"Subdivision","value":"EC"},{"id":4,"name":"Milepost","value":"23.3344"},{"id":17,"name":"Train ID","value":"235-07"},{"id":16,"name":"Locomotive ID","value":"4025"},{"id":130,"name":"Impact","value":""},{"id":150,"name":"Time of Event (Mountain Time)","value":"23:22:14"},{"id":151,"name":"Denver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432</v>
      </c>
      <c r="B147" s="7">
        <v>4026</v>
      </c>
      <c r="C147" s="22" t="s">
        <v>237</v>
      </c>
      <c r="D147" s="22" t="s">
        <v>691</v>
      </c>
      <c r="E147" s="13">
        <v>42681.981631944444</v>
      </c>
      <c r="F147" s="13">
        <v>42681.990601851852</v>
      </c>
      <c r="G147" s="7">
        <v>1</v>
      </c>
      <c r="H147" s="22" t="s">
        <v>203</v>
      </c>
      <c r="I147" s="13">
        <v>42682.01767361111</v>
      </c>
      <c r="J147" s="7">
        <v>0</v>
      </c>
      <c r="K147" s="110" t="str">
        <f t="shared" si="62"/>
        <v>4025/4026</v>
      </c>
      <c r="L147" s="22" t="str">
        <f>VLOOKUP(A147,'Trips&amp;Operators'!$C$1:$E$10000,3,FALSE)</f>
        <v>YANAI</v>
      </c>
      <c r="M147" s="6">
        <f t="shared" si="63"/>
        <v>2.7071759257523809E-2</v>
      </c>
      <c r="N147" s="7">
        <f t="shared" si="60"/>
        <v>38.983333330834284</v>
      </c>
      <c r="O147" s="7"/>
      <c r="P147" s="7"/>
      <c r="Q147" s="23"/>
      <c r="R147" s="23" t="s">
        <v>794</v>
      </c>
      <c r="S147" s="35">
        <f t="shared" si="64"/>
        <v>1</v>
      </c>
      <c r="T147" s="50" t="str">
        <f t="shared" si="65"/>
        <v>Southbound</v>
      </c>
      <c r="U147" s="16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22:33:33-700',mode:absolute,to:'2016-11-08 01:25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7" s="52" t="str">
        <f t="shared" si="67"/>
        <v>N</v>
      </c>
      <c r="X147" s="174">
        <f t="shared" si="59"/>
        <v>1</v>
      </c>
      <c r="Y147" s="67">
        <f t="shared" si="55"/>
        <v>23.2622</v>
      </c>
      <c r="Z147" s="67">
        <f t="shared" si="61"/>
        <v>1.4500000000000001E-2</v>
      </c>
      <c r="AA147" s="67">
        <f t="shared" si="68"/>
        <v>23.247699999999998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9"/>
        <v>0236-07</v>
      </c>
      <c r="AE147" s="91" t="str">
        <f t="shared" si="70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47" s="88" t="str">
        <f t="shared" si="71"/>
        <v>"C:\Program Files (x86)\AstroGrep\AstroGrep.exe" /spath="%USERPROFILE%\AppData\Local\Temp\OnboardLogs" /stypes="app*4026*20161108*" /stext=" 07:.+((SYSTEM_STATE.+slice.+state.+changed )|(ment ac)|(system.+state.+changed )|(\[timeout)|(PRM\|1\|D)|(kpr)|(kdp)|(\|loc)|(penalty))" /e /r /s</v>
      </c>
      <c r="AG147" s="1" t="str">
        <f t="shared" si="72"/>
        <v>EC</v>
      </c>
      <c r="AH147" s="92" t="str">
        <f t="shared" si="73"/>
        <v>"%USERPROFILE%\Documents\GitHub\eaglep3\Utilities\RefineRTDCRunTimes.py" --tripid 236-07 --locoid 4026 --swversion DE.1.0.8.0 --startMP 204:232622 --initTime 2016-11-07T23:33:33 --startdatetime 2016-11-07T23:46:28 --delay 1 --endMP 204:145 --enddatetime 2016-11-08T00:25:27 --enforcementcount 0 &gt;&gt;C:\Users\stu\Documents\GitHub\eaglep3-reporting\EC\2016-11-07-refined-times.txt</v>
      </c>
      <c r="AI147" s="120" t="str">
        <f t="shared" si="74"/>
        <v>echo {"issue":{"subject":"Onboard in-route failure delayed departure","project_id":79,"tracker_id":40,"status_id":1,"priority_id":2,"assigned_to_id":23,"start_date":"2016-11-08","description":"multiple cpu faults at 2016-11-07 23:26:33  denver time","custom_fields":[{"id":1,"name":"Subdivision","value":"EC"},{"id":4,"name":"Milepost","value":"0.0145"},{"id":17,"name":"Train ID","value":"236-07"},{"id":16,"name":"Locomotive ID","value":"4026"},{"id":130,"name":"Impact","value":"Failed State"},{"id":150,"name":"Time of Event (Mountain Time)","value":"00:25:27"},{"id":151,"name":"Denver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7" s="53" t="s">
        <v>795</v>
      </c>
      <c r="AK147" s="53" t="s">
        <v>128</v>
      </c>
      <c r="AL147" s="53" t="s">
        <v>178</v>
      </c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614</v>
      </c>
      <c r="B148" s="7">
        <v>4002</v>
      </c>
      <c r="C148" s="22" t="s">
        <v>237</v>
      </c>
      <c r="D148" s="22" t="s">
        <v>208</v>
      </c>
      <c r="E148" s="13">
        <v>42681.952824074076</v>
      </c>
      <c r="F148" s="13">
        <v>42681.958564814813</v>
      </c>
      <c r="G148" s="7">
        <v>1</v>
      </c>
      <c r="H148" s="22" t="s">
        <v>241</v>
      </c>
      <c r="I148" s="13">
        <v>42681.991377314815</v>
      </c>
      <c r="J148" s="7">
        <v>0</v>
      </c>
      <c r="K148" s="110" t="str">
        <f t="shared" si="62"/>
        <v>4001/4002</v>
      </c>
      <c r="L148" s="22" t="str">
        <f>VLOOKUP(A148,'Trips&amp;Operators'!$C$1:$E$10000,3,FALSE)</f>
        <v>BADERTSCHER</v>
      </c>
      <c r="M148" s="6">
        <f t="shared" si="63"/>
        <v>3.2812500001455192E-2</v>
      </c>
      <c r="N148" s="7">
        <f t="shared" si="60"/>
        <v>47.250000002095476</v>
      </c>
      <c r="O148" s="7"/>
      <c r="P148" s="7"/>
      <c r="Q148" s="23"/>
      <c r="R148" s="23"/>
      <c r="S148" s="35">
        <f t="shared" si="64"/>
        <v>1</v>
      </c>
      <c r="T148" s="50" t="str">
        <f t="shared" si="65"/>
        <v>NorthBound</v>
      </c>
      <c r="U148" s="16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21:52:04-700',mode:absolute,to:'2016-11-08 00:47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52" t="str">
        <f t="shared" si="67"/>
        <v>N</v>
      </c>
      <c r="X148" s="174">
        <f t="shared" ref="X148:X149" si="75">VALUE(LEFT(AD148,4))-VALUE(LEFT(AD147,4))</f>
        <v>1</v>
      </c>
      <c r="Y148" s="67">
        <f t="shared" si="55"/>
        <v>4.5499999999999999E-2</v>
      </c>
      <c r="Z148" s="67">
        <f t="shared" si="61"/>
        <v>23.328800000000001</v>
      </c>
      <c r="AA148" s="67">
        <f t="shared" si="68"/>
        <v>23.283300000000001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69"/>
        <v>0237-07</v>
      </c>
      <c r="AE148" s="91" t="str">
        <f t="shared" si="70"/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48" s="88" t="str">
        <f t="shared" si="71"/>
        <v>"C:\Program Files (x86)\AstroGrep\AstroGrep.exe" /spath="%USERPROFILE%\AppData\Local\Temp\OnboardLogs" /stypes="app*4002*20161108*" /stext=" 06:.+((SYSTEM_STATE.+slice.+state.+changed )|(ment ac)|(system.+state.+changed )|(\[timeout)|(PRM\|1\|D)|(kpr)|(kdp)|(\|loc)|(penalty))" /e /r /s</v>
      </c>
      <c r="AG148" s="1" t="str">
        <f t="shared" si="72"/>
        <v>EC</v>
      </c>
      <c r="AH148" s="92" t="str">
        <f t="shared" si="73"/>
        <v>"%USERPROFILE%\Documents\GitHub\eaglep3\Utilities\RefineRTDCRunTimes.py" --tripid 237-07 --locoid 4002 --swversion DE.1.0.8.0 --startMP 204:455 --initTime 2016-11-07T22:52:04 --startdatetime 2016-11-07T23:00:20 --delay 1 --endMP 204:233288 --enddatetime 2016-11-07T23:47:35 --enforcementcount 0 &gt;&gt;C:\Users\stu\Documents\GitHub\eaglep3-reporting\EC\2016-11-07-refined-times.txt</v>
      </c>
      <c r="AI148" s="120" t="str">
        <f t="shared" si="74"/>
        <v>echo {"issue":{"subject":"","project_id":79,"tracker_id":40,"status_id":1,"priority_id":2,"assigned_to_id":23,"start_date":"2016-11-07","description":"","custom_fields":[{"id":1,"name":"Subdivision","value":"EC"},{"id":4,"name":"Milepost","value":"23.3288"},{"id":17,"name":"Train ID","value":"237-07"},{"id":16,"name":"Locomotive ID","value":"4002"},{"id":130,"name":"Impact","value":""},{"id":150,"name":"Time of Event (Mountain Time)","value":"23:47:35"},{"id":151,"name":"Denver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x14ac:dyDescent="0.25">
      <c r="A149" s="37" t="s">
        <v>618</v>
      </c>
      <c r="B149" s="7">
        <v>4001</v>
      </c>
      <c r="C149" s="22" t="s">
        <v>237</v>
      </c>
      <c r="D149" s="22" t="s">
        <v>267</v>
      </c>
      <c r="E149" s="13">
        <v>42681.993460648147</v>
      </c>
      <c r="F149" s="13">
        <v>42681.997418981482</v>
      </c>
      <c r="G149" s="7">
        <v>2</v>
      </c>
      <c r="H149" s="22" t="s">
        <v>176</v>
      </c>
      <c r="I149" s="13">
        <v>42682.026087962964</v>
      </c>
      <c r="J149" s="7">
        <v>0</v>
      </c>
      <c r="K149" s="110" t="str">
        <f t="shared" si="62"/>
        <v>4001/4002</v>
      </c>
      <c r="L149" s="22" t="str">
        <f>VLOOKUP(A149,'Trips&amp;Operators'!$C$1:$E$10000,3,FALSE)</f>
        <v>BADERTSCHER</v>
      </c>
      <c r="M149" s="6">
        <f t="shared" si="63"/>
        <v>2.8668981482042E-2</v>
      </c>
      <c r="N149" s="7">
        <f t="shared" si="60"/>
        <v>41.28333333414048</v>
      </c>
      <c r="O149" s="7"/>
      <c r="P149" s="7"/>
      <c r="Q149" s="23"/>
      <c r="R149" s="23"/>
      <c r="S149" s="35">
        <f t="shared" si="64"/>
        <v>1</v>
      </c>
      <c r="T149" s="50" t="str">
        <f t="shared" si="65"/>
        <v>Southbound</v>
      </c>
      <c r="U149" s="16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22:50:35-700',mode:absolute,to:'2016-11-08 01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52" t="str">
        <f t="shared" si="67"/>
        <v>N</v>
      </c>
      <c r="X149" s="174">
        <f t="shared" si="75"/>
        <v>1</v>
      </c>
      <c r="Y149" s="67">
        <f t="shared" si="55"/>
        <v>23.2971</v>
      </c>
      <c r="Z149" s="67">
        <f t="shared" si="61"/>
        <v>1.52E-2</v>
      </c>
      <c r="AA149" s="67">
        <f t="shared" si="68"/>
        <v>23.2819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9"/>
        <v>0238-07</v>
      </c>
      <c r="AE149" s="91" t="str">
        <f t="shared" si="70"/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49" s="88" t="str">
        <f t="shared" si="71"/>
        <v>"C:\Program Files (x86)\AstroGrep\AstroGrep.exe" /spath="%USERPROFILE%\AppData\Local\Temp\OnboardLogs" /stypes="app*4001*20161108*" /stext=" 07:.+((SYSTEM_STATE.+slice.+state.+changed )|(ment ac)|(system.+state.+changed )|(\[timeout)|(PRM\|1\|D)|(kpr)|(kdp)|(\|loc)|(penalty))" /e /r /s</v>
      </c>
      <c r="AG149" s="1" t="str">
        <f t="shared" si="72"/>
        <v>EC</v>
      </c>
      <c r="AH149" s="92" t="str">
        <f t="shared" si="73"/>
        <v>"%USERPROFILE%\Documents\GitHub\eaglep3\Utilities\RefineRTDCRunTimes.py" --tripid 238-07 --locoid 4001 --swversion DE.1.0.8.0 --startMP 204:232971 --initTime 2016-11-07T23:50:35 --startdatetime 2016-11-07T23:56:17 --delay 2 --endMP 204:152 --enddatetime 2016-11-08T00:37:34 --enforcementcount 0 &gt;&gt;C:\Users\stu\Documents\GitHub\eaglep3-reporting\EC\2016-11-07-refined-times.txt</v>
      </c>
      <c r="AI149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ID","value":"238-07"},{"id":16,"name":"Locomotive ID","value":"4001"},{"id":130,"name":"Impact","value":""},{"id":150,"name":"Time of Event (Mountain Time)","value":"00:37:34"},{"id":151,"name":"Denver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616</v>
      </c>
      <c r="B150" s="7">
        <v>4046</v>
      </c>
      <c r="C150" s="22" t="s">
        <v>237</v>
      </c>
      <c r="D150" s="22" t="s">
        <v>212</v>
      </c>
      <c r="E150" s="13">
        <v>42681.962650462963</v>
      </c>
      <c r="F150" s="13">
        <v>42681.979386574072</v>
      </c>
      <c r="G150" s="7">
        <v>1</v>
      </c>
      <c r="H150" s="22" t="s">
        <v>190</v>
      </c>
      <c r="I150" s="13">
        <v>42682.013715277775</v>
      </c>
      <c r="J150" s="7">
        <v>0</v>
      </c>
      <c r="K150" s="110" t="str">
        <f t="shared" si="62"/>
        <v>4045/4046</v>
      </c>
      <c r="L150" s="22" t="str">
        <f>VLOOKUP(A150,'Trips&amp;Operators'!$C$1:$E$10000,3,FALSE)</f>
        <v>ROMERO</v>
      </c>
      <c r="M150" s="6">
        <f t="shared" si="63"/>
        <v>3.4328703703067731E-2</v>
      </c>
      <c r="N150" s="7">
        <f t="shared" si="60"/>
        <v>49.433333332417533</v>
      </c>
      <c r="O150" s="7"/>
      <c r="P150" s="7"/>
      <c r="Q150" s="23"/>
      <c r="R150" s="23"/>
      <c r="S150" s="35">
        <f t="shared" si="64"/>
        <v>1</v>
      </c>
      <c r="T150" s="50" t="str">
        <f t="shared" si="65"/>
        <v>NorthBound</v>
      </c>
      <c r="U150" s="16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22:06:13-700',mode:absolute,to:'2016-11-08 01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 t="shared" si="67"/>
        <v>N</v>
      </c>
      <c r="X150" s="174">
        <f t="shared" ref="X150:X187" si="76">VALUE(LEFT(AD150,4))-VALUE(LEFT(AD149,4))</f>
        <v>1</v>
      </c>
      <c r="Y150" s="67">
        <f t="shared" si="55"/>
        <v>4.5100000000000001E-2</v>
      </c>
      <c r="Z150" s="67">
        <f t="shared" si="61"/>
        <v>23.329699999999999</v>
      </c>
      <c r="AA150" s="67">
        <f t="shared" si="68"/>
        <v>23.284599999999998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9"/>
        <v>0239-07</v>
      </c>
      <c r="AE150" s="91" t="str">
        <f t="shared" si="70"/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50" s="88" t="str">
        <f t="shared" si="71"/>
        <v>"C:\Program Files (x86)\AstroGrep\AstroGrep.exe" /spath="%USERPROFILE%\AppData\Local\Temp\OnboardLogs" /stypes="app*4046*20161108*" /stext=" 07:.+((SYSTEM_STATE.+slice.+state.+changed )|(ment ac)|(system.+state.+changed )|(\[timeout)|(PRM\|1\|D)|(kpr)|(kdp)|(\|loc)|(penalty))" /e /r /s</v>
      </c>
      <c r="AG150" s="1" t="str">
        <f t="shared" si="72"/>
        <v>EC</v>
      </c>
      <c r="AH150" s="92" t="str">
        <f t="shared" si="73"/>
        <v>"%USERPROFILE%\Documents\GitHub\eaglep3\Utilities\RefineRTDCRunTimes.py" --tripid 239-07 --locoid 4046 --swversion DE.1.0.8.0 --startMP 204:451 --initTime 2016-11-07T23:06:13 --startdatetime 2016-11-07T23:30:19 --delay 1 --endMP 204:233297 --enddatetime 2016-11-08T00:19:45 --enforcementcount 0 &gt;&gt;C:\Users\stu\Documents\GitHub\eaglep3-reporting\EC\2016-11-07-refined-times.txt</v>
      </c>
      <c r="AI150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ID","value":"239-07"},{"id":16,"name":"Locomotive ID","value":"4046"},{"id":130,"name":"Impact","value":""},{"id":150,"name":"Time of Event (Mountain Time)","value":"00:19:45"},{"id":151,"name":"Denver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621</v>
      </c>
      <c r="B151" s="7">
        <v>4045</v>
      </c>
      <c r="C151" s="22" t="s">
        <v>237</v>
      </c>
      <c r="D151" s="22" t="s">
        <v>316</v>
      </c>
      <c r="E151" s="13">
        <v>42682.015694444446</v>
      </c>
      <c r="F151" s="13">
        <v>42682.018460648149</v>
      </c>
      <c r="G151" s="7">
        <v>1</v>
      </c>
      <c r="H151" s="22" t="s">
        <v>175</v>
      </c>
      <c r="I151" s="13">
        <v>42682.044571759259</v>
      </c>
      <c r="J151" s="7">
        <v>0</v>
      </c>
      <c r="K151" s="110" t="str">
        <f t="shared" si="62"/>
        <v>4045/4046</v>
      </c>
      <c r="L151" s="22" t="str">
        <f>VLOOKUP(A151,'Trips&amp;Operators'!$C$1:$E$10000,3,FALSE)</f>
        <v>ROMERO</v>
      </c>
      <c r="M151" s="6">
        <f t="shared" si="63"/>
        <v>2.6111111110367347E-2</v>
      </c>
      <c r="N151" s="7">
        <f t="shared" si="60"/>
        <v>37.599999998928979</v>
      </c>
      <c r="O151" s="7"/>
      <c r="P151" s="7"/>
      <c r="Q151" s="23"/>
      <c r="R151" s="23"/>
      <c r="S151" s="35">
        <f t="shared" si="64"/>
        <v>1</v>
      </c>
      <c r="T151" s="50" t="str">
        <f t="shared" si="65"/>
        <v>Southbound</v>
      </c>
      <c r="U151" s="16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23:22:36-700',mode:absolute,to:'2016-11-08 02:04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 t="shared" si="67"/>
        <v>N</v>
      </c>
      <c r="X151" s="174">
        <f t="shared" si="76"/>
        <v>1</v>
      </c>
      <c r="Y151" s="67">
        <f t="shared" si="55"/>
        <v>23.299399999999999</v>
      </c>
      <c r="Z151" s="67">
        <f t="shared" si="61"/>
        <v>1.47E-2</v>
      </c>
      <c r="AA151" s="67">
        <f t="shared" si="68"/>
        <v>23.284699999999997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9"/>
        <v>0240-07</v>
      </c>
      <c r="AE151" s="91" t="str">
        <f t="shared" si="70"/>
        <v>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 &amp; 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</v>
      </c>
      <c r="AF151" s="88" t="str">
        <f t="shared" si="71"/>
        <v>"C:\Program Files (x86)\AstroGrep\AstroGrep.exe" /spath="%USERPROFILE%\AppData\Local\Temp\OnboardLogs" /stypes="app*4045*20161108*" /stext=" 08:.+((SYSTEM_STATE.+slice.+state.+changed )|(ment ac)|(system.+state.+changed )|(\[timeout)|(PRM\|1\|D)|(kpr)|(kdp)|(\|loc)|(penalty))" /e /r /s</v>
      </c>
      <c r="AG151" s="1" t="str">
        <f t="shared" si="72"/>
        <v>EC</v>
      </c>
      <c r="AH151" s="92" t="str">
        <f t="shared" si="73"/>
        <v>"%USERPROFILE%\Documents\GitHub\eaglep3\Utilities\RefineRTDCRunTimes.py" --tripid 240-07 --locoid 4045 --swversion DE.1.0.8.0 --startMP 204:232994 --initTime 2016-11-08T00:22:36 --startdatetime 2016-11-08T00:26:35 --delay 1 --endMP 204:147 --enddatetime 2016-11-08T01:04:11 --enforcementcount 0 &gt;&gt;C:\Users\stu\Documents\GitHub\eaglep3-reporting\EC\2016-11-07-refined-times.txt</v>
      </c>
      <c r="AI151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ID","value":"240-07"},{"id":16,"name":"Locomotive ID","value":"4045"},{"id":130,"name":"Impact","value":""},{"id":150,"name":"Time of Event (Mountain Time)","value":"01:04:11"},{"id":151,"name":"Denver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619</v>
      </c>
      <c r="B152" s="7">
        <v>4011</v>
      </c>
      <c r="C152" s="22" t="s">
        <v>237</v>
      </c>
      <c r="D152" s="22" t="s">
        <v>211</v>
      </c>
      <c r="E152" s="13">
        <v>42681.999340277776</v>
      </c>
      <c r="F152" s="13">
        <v>42682.000694444447</v>
      </c>
      <c r="G152" s="7">
        <v>1</v>
      </c>
      <c r="H152" s="22" t="s">
        <v>396</v>
      </c>
      <c r="I152" s="13">
        <v>42682.035381944443</v>
      </c>
      <c r="J152" s="7">
        <v>0</v>
      </c>
      <c r="K152" s="110" t="str">
        <f t="shared" si="62"/>
        <v>4011/4012</v>
      </c>
      <c r="L152" s="22" t="str">
        <f>VLOOKUP(A152,'Trips&amp;Operators'!$C$1:$E$10000,3,FALSE)</f>
        <v>CHANDLER</v>
      </c>
      <c r="M152" s="6">
        <f t="shared" si="63"/>
        <v>3.4687499995925464E-2</v>
      </c>
      <c r="N152" s="7">
        <f t="shared" si="60"/>
        <v>49.949999994132668</v>
      </c>
      <c r="O152" s="7"/>
      <c r="P152" s="7"/>
      <c r="Q152" s="23"/>
      <c r="R152" s="23"/>
      <c r="S152" s="35">
        <f t="shared" si="64"/>
        <v>1</v>
      </c>
      <c r="T152" s="50" t="str">
        <f t="shared" si="65"/>
        <v>NorthBound</v>
      </c>
      <c r="U152" s="16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22:59:03-700',mode:absolute,to:'2016-11-08 01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 t="shared" si="67"/>
        <v>N</v>
      </c>
      <c r="X152" s="174">
        <f t="shared" si="76"/>
        <v>1</v>
      </c>
      <c r="Y152" s="67">
        <f t="shared" si="55"/>
        <v>4.5999999999999999E-2</v>
      </c>
      <c r="Z152" s="67">
        <f t="shared" si="61"/>
        <v>23.3278</v>
      </c>
      <c r="AA152" s="67">
        <f t="shared" si="68"/>
        <v>23.2818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9"/>
        <v>0241-07</v>
      </c>
      <c r="AE152" s="91" t="str">
        <f t="shared" si="70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52" s="88" t="str">
        <f t="shared" si="71"/>
        <v>"C:\Program Files (x86)\AstroGrep\AstroGrep.exe" /spath="%USERPROFILE%\AppData\Local\Temp\OnboardLogs" /stypes="app*4011*20161108*" /stext=" 07:.+((SYSTEM_STATE.+slice.+state.+changed )|(ment ac)|(system.+state.+changed )|(\[timeout)|(PRM\|1\|D)|(kpr)|(kdp)|(\|loc)|(penalty))" /e /r /s</v>
      </c>
      <c r="AG152" s="1" t="str">
        <f t="shared" si="72"/>
        <v>EC</v>
      </c>
      <c r="AH152" s="92" t="str">
        <f t="shared" si="73"/>
        <v>"%USERPROFILE%\Documents\GitHub\eaglep3\Utilities\RefineRTDCRunTimes.py" --tripid 241-07 --locoid 4011 --swversion DE.1.0.8.0 --startMP 204:460 --initTime 2016-11-07T23:59:03 --startdatetime 2016-11-08T00:01:00 --delay 1 --endMP 204:233278 --enddatetime 2016-11-08T00:50:57 --enforcementcount 0 &gt;&gt;C:\Users\stu\Documents\GitHub\eaglep3-reporting\EC\2016-11-07-refined-times.txt</v>
      </c>
      <c r="AI152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{"issue":{"subject":"","project_id":79,"tracker_id":40,"status_id":1,"priority_id":2,"assigned_to_id":23,"start_date":"2016-11-08","description":"","custom_fields":[{"id":1,"name":"Subdivision","value":"EC"},{"id":4,"name":"Milepost","value":"23.3278"},{"id":17,"name":"Train ID","value":"241-07"},{"id":16,"name":"Locomotive ID","value":"4011"},{"id":130,"name":"Impact","value":""},{"id":150,"name":"Time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623</v>
      </c>
      <c r="B153" s="7">
        <v>4012</v>
      </c>
      <c r="C153" s="22" t="s">
        <v>237</v>
      </c>
      <c r="D153" s="22" t="s">
        <v>372</v>
      </c>
      <c r="E153" s="13">
        <v>42682.038622685184</v>
      </c>
      <c r="F153" s="13">
        <v>42682.039780092593</v>
      </c>
      <c r="G153" s="7">
        <v>1</v>
      </c>
      <c r="H153" s="22" t="s">
        <v>223</v>
      </c>
      <c r="I153" s="13">
        <v>42682.068437499998</v>
      </c>
      <c r="J153" s="7">
        <v>0</v>
      </c>
      <c r="K153" s="110" t="str">
        <f t="shared" si="62"/>
        <v>4011/4012</v>
      </c>
      <c r="L153" s="22" t="str">
        <f>VLOOKUP(A153,'Trips&amp;Operators'!$C$1:$E$10000,3,FALSE)</f>
        <v>CHANDLER</v>
      </c>
      <c r="M153" s="6">
        <f t="shared" si="63"/>
        <v>2.8657407405262347E-2</v>
      </c>
      <c r="N153" s="7">
        <f t="shared" si="60"/>
        <v>41.26666666357778</v>
      </c>
      <c r="O153" s="7"/>
      <c r="P153" s="7"/>
      <c r="Q153" s="23"/>
      <c r="R153" s="23"/>
      <c r="S153" s="35">
        <f t="shared" si="64"/>
        <v>1</v>
      </c>
      <c r="T153" s="50" t="str">
        <f t="shared" si="65"/>
        <v>Southbound</v>
      </c>
      <c r="U153" s="16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23:55:37-700',mode:absolute,to:'2016-11-08 02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 t="shared" si="67"/>
        <v>N</v>
      </c>
      <c r="X153" s="174">
        <f t="shared" si="76"/>
        <v>1</v>
      </c>
      <c r="Y153" s="67">
        <f t="shared" si="55"/>
        <v>23.296600000000002</v>
      </c>
      <c r="Z153" s="67">
        <f t="shared" si="61"/>
        <v>1.5599999999999999E-2</v>
      </c>
      <c r="AA153" s="67">
        <f t="shared" si="68"/>
        <v>23.281000000000002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9"/>
        <v>0242-07</v>
      </c>
      <c r="AE153" s="91" t="str">
        <f t="shared" si="70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53" s="88" t="str">
        <f t="shared" si="71"/>
        <v>"C:\Program Files (x86)\AstroGrep\AstroGrep.exe" /spath="%USERPROFILE%\AppData\Local\Temp\OnboardLogs" /stypes="app*4012*20161108*" /stext=" 08:.+((SYSTEM_STATE.+slice.+state.+changed )|(ment ac)|(system.+state.+changed )|(\[timeout)|(PRM\|1\|D)|(kpr)|(kdp)|(\|loc)|(penalty))" /e /r /s</v>
      </c>
      <c r="AG153" s="1" t="str">
        <f t="shared" si="72"/>
        <v>EC</v>
      </c>
      <c r="AH153" s="92" t="str">
        <f t="shared" si="73"/>
        <v>"%USERPROFILE%\Documents\GitHub\eaglep3\Utilities\RefineRTDCRunTimes.py" --tripid 242-07 --locoid 4012 --swversion DE.1.0.8.0 --startMP 204:232966 --initTime 2016-11-08T00:55:37 --startdatetime 2016-11-08T00:57:17 --delay 1 --endMP 204:156 --enddatetime 2016-11-08T01:38:33 --enforcementcount 0 &gt;&gt;C:\Users\stu\Documents\GitHub\eaglep3-reporting\EC\2016-11-07-refined-times.txt</v>
      </c>
      <c r="AI153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ID","value":"242-07"},{"id":16,"name":"Locomotive ID","value":"4012"},{"id":130,"name":"Impact","value":""},{"id":150,"name":"Time of Event (Mountain Time)","value":"01:38:33"},{"id":151,"name":"Denver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620</v>
      </c>
      <c r="B154" s="7">
        <v>4031</v>
      </c>
      <c r="C154" s="22" t="s">
        <v>237</v>
      </c>
      <c r="D154" s="22" t="s">
        <v>212</v>
      </c>
      <c r="E154" s="13">
        <v>42682.005011574074</v>
      </c>
      <c r="F154" s="13">
        <v>42682.02138888889</v>
      </c>
      <c r="G154" s="7">
        <v>2</v>
      </c>
      <c r="H154" s="22" t="s">
        <v>271</v>
      </c>
      <c r="I154" s="13">
        <v>42682.057766203703</v>
      </c>
      <c r="J154" s="7">
        <v>0</v>
      </c>
      <c r="K154" s="110" t="str">
        <f t="shared" si="62"/>
        <v>4031/4032</v>
      </c>
      <c r="L154" s="22" t="str">
        <f>VLOOKUP(A154,'Trips&amp;Operators'!$C$1:$E$10000,3,FALSE)</f>
        <v>WHITED</v>
      </c>
      <c r="M154" s="6">
        <f t="shared" si="63"/>
        <v>3.6377314812853001E-2</v>
      </c>
      <c r="N154" s="7">
        <f t="shared" si="60"/>
        <v>52.383333330508322</v>
      </c>
      <c r="O154" s="7"/>
      <c r="P154" s="7"/>
      <c r="Q154" s="23"/>
      <c r="R154" s="23" t="s">
        <v>796</v>
      </c>
      <c r="S154" s="35">
        <f t="shared" si="64"/>
        <v>1</v>
      </c>
      <c r="T154" s="50" t="str">
        <f t="shared" si="65"/>
        <v>NorthBound</v>
      </c>
      <c r="U154" s="16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23:07:13-700',mode:absolute,to:'2016-11-08 02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4" s="52" t="str">
        <f t="shared" si="67"/>
        <v>N</v>
      </c>
      <c r="X154" s="174">
        <f t="shared" si="76"/>
        <v>1</v>
      </c>
      <c r="Y154" s="67">
        <f t="shared" si="55"/>
        <v>4.5100000000000001E-2</v>
      </c>
      <c r="Z154" s="67">
        <f t="shared" si="61"/>
        <v>23.331199999999999</v>
      </c>
      <c r="AA154" s="67">
        <f t="shared" si="68"/>
        <v>23.286099999999998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9"/>
        <v>0243-07</v>
      </c>
      <c r="AE154" s="91" t="str">
        <f t="shared" si="70"/>
        <v>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 &amp; 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</v>
      </c>
      <c r="AF154" s="88" t="str">
        <f t="shared" si="71"/>
        <v>"C:\Program Files (x86)\AstroGrep\AstroGrep.exe" /spath="%USERPROFILE%\AppData\Local\Temp\OnboardLogs" /stypes="app*4031*20161108*" /stext=" 08:.+((SYSTEM_STATE.+slice.+state.+changed )|(ment ac)|(system.+state.+changed )|(\[timeout)|(PRM\|1\|D)|(kpr)|(kdp)|(\|loc)|(penalty))" /e /r /s</v>
      </c>
      <c r="AG154" s="1" t="str">
        <f t="shared" si="72"/>
        <v>EC</v>
      </c>
      <c r="AH154" s="92" t="str">
        <f t="shared" si="73"/>
        <v>"%USERPROFILE%\Documents\GitHub\eaglep3\Utilities\RefineRTDCRunTimes.py" --tripid 243-07 --locoid 4031 --swversion DE.1.0.8.0 --startMP 204:451 --initTime 2016-11-08T00:07:13 --startdatetime 2016-11-08T00:30:48 --delay 2 --endMP 204:233312 --enddatetime 2016-11-08T01:23:11 --enforcementcount 0 &gt;&gt;C:\Users\stu\Documents\GitHub\eaglep3-reporting\EC\2016-11-07-refined-times.txt</v>
      </c>
      <c r="AI154" s="120" t="str">
        <f t="shared" si="74"/>
        <v>echo {"issue":{"subject":"Delayed by Form O","project_id":79,"tracker_id":40,"status_id":1,"priority_id":2,"assigned_to_id":23,"start_date":"2016-11-08","description":"","custom_fields":[{"id":1,"name":"Subdivision","value":"EC"},{"id":4,"name":"Milepost","value":"23.3312"},{"id":17,"name":"Train ID","value":"243-07"},{"id":16,"name":"Locomotive ID","value":"4031"},{"id":130,"name":"Impact","value":""},{"id":150,"name":"Time of Event (Mountain Time)","value":"01:23:11"},{"id":151,"name":"Denver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625</v>
      </c>
      <c r="B155" s="7">
        <v>4032</v>
      </c>
      <c r="C155" s="22" t="s">
        <v>237</v>
      </c>
      <c r="D155" s="22" t="s">
        <v>692</v>
      </c>
      <c r="E155" s="13">
        <v>42682.086388888885</v>
      </c>
      <c r="F155" s="13">
        <v>42682.087418981479</v>
      </c>
      <c r="G155" s="7">
        <v>1</v>
      </c>
      <c r="H155" s="22" t="s">
        <v>693</v>
      </c>
      <c r="I155" s="13">
        <v>42682.088541666664</v>
      </c>
      <c r="J155" s="7">
        <v>0</v>
      </c>
      <c r="K155" s="110" t="str">
        <f t="shared" si="62"/>
        <v>4031/4032</v>
      </c>
      <c r="L155" s="22" t="str">
        <f>VLOOKUP(A155,'Trips&amp;Operators'!$C$1:$E$10000,3,FALSE)</f>
        <v>WHITED</v>
      </c>
      <c r="M155" s="6">
        <f t="shared" si="63"/>
        <v>1.1226851856918074E-3</v>
      </c>
      <c r="N155" s="7"/>
      <c r="O155" s="7"/>
      <c r="P155" s="7">
        <f>24*60*SUM($M155:$M156)</f>
        <v>38.283333334838971</v>
      </c>
      <c r="Q155" s="23"/>
      <c r="R155" s="23" t="s">
        <v>798</v>
      </c>
      <c r="S155" s="35">
        <f>SUM(U155:U156)/IF(AG155="EC",12,1)</f>
        <v>1</v>
      </c>
      <c r="T155" s="50" t="str">
        <f t="shared" si="65"/>
        <v>Southbound</v>
      </c>
      <c r="U155" s="16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https://search-rtdc-monitor-bjffxe2xuh6vdkpspy63sjmuny.us-east-1.es.amazonaws.com/_plugin/kibana/#/discover/Steve-Slow-Train-Analysis-(2080s-and-2083s)?_g=(refreshInterval:(display:Off,section:0,value:0),time:(from:'2016-11-08 01:04:24-700',mode:absolute,to:'2016-11-08 03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5" s="52" t="str">
        <f t="shared" si="67"/>
        <v>Y</v>
      </c>
      <c r="X155" s="174">
        <f t="shared" si="76"/>
        <v>1</v>
      </c>
      <c r="Y155" s="67">
        <f t="shared" si="55"/>
        <v>2.0407999999999999</v>
      </c>
      <c r="Z155" s="67">
        <f t="shared" si="61"/>
        <v>1.8775999999999999</v>
      </c>
      <c r="AA155" s="67">
        <f t="shared" si="68"/>
        <v>0.16320000000000001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9"/>
        <v>0244-07</v>
      </c>
      <c r="AE155" s="91" t="str">
        <f t="shared" si="70"/>
        <v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v>
      </c>
      <c r="AF155" s="88" t="str">
        <f t="shared" si="71"/>
        <v>"C:\Program Files (x86)\AstroGrep\AstroGrep.exe" /spath="%USERPROFILE%\AppData\Local\Temp\OnboardLogs" /stypes="app*4032*20161108*" /stext=" 09:.+((SYSTEM_STATE.+slice.+state.+changed )|(ment ac)|(system.+state.+changed )|(\[timeout)|(PRM\|1\|D)|(kpr)|(kdp)|(\|loc)|(penalty))" /e /r /s</v>
      </c>
      <c r="AG155" s="1" t="str">
        <f t="shared" si="72"/>
        <v>EC</v>
      </c>
      <c r="AH155" s="92" t="str">
        <f t="shared" si="73"/>
        <v>"%USERPROFILE%\Documents\GitHub\eaglep3\Utilities\RefineRTDCRunTimes.py" --tripid 244-07 --locoid 4032 --swversion DE.1.0.8.0 --startMP 204:20408 --initTime 2016-11-08T02:04:24 --startdatetime 2016-11-08T02:05:53 --delay 1 --endMP 204:18776 --enddatetime 2016-11-08T02:07:30 --enforcementcount 0 &gt;&gt;C:\Users\stu\Documents\GitHub\eaglep3-reporting\EC\2016-11-07-refined-times.txt</v>
      </c>
      <c r="AI155" s="120" t="str">
        <f t="shared" si="74"/>
        <v>echo {"issue":{"subject":"Wi-MAX data drop","project_id":79,"tracker_id":40,"status_id":1,"priority_id":2,"assigned_to_id":23,"start_date":"2016-11-08","description":"http://stevetu21.github.io/eaglep3/load_kml.html?kml=http://rtdc.gmaps-snips.s3.amazonaws.com/14481a68-1bfe-4cd1-9cfe-3da228709b45.kml","custom_fields":[{"id":1,"name":"Subdivision","value":"EC"},{"id":4,"name":"Milepost","value":"1.8776"},{"id":17,"name":"Train ID","value":"244-07"},{"id":16,"name":"Locomotive ID","value":"4032"},{"id":130,"name":"Impact","value":"Enforcement"},{"id":150,"name":"Time of Event (Mountain Time)","value":"02:07:30"},{"id":151,"name":"Denver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5" s="182" t="s">
        <v>797</v>
      </c>
      <c r="AK155" s="53" t="s">
        <v>125</v>
      </c>
      <c r="AL155" s="53" t="s">
        <v>138</v>
      </c>
    </row>
    <row r="156" spans="1:91" s="21" customFormat="1" x14ac:dyDescent="0.25">
      <c r="A156" s="37" t="s">
        <v>625</v>
      </c>
      <c r="B156" s="7">
        <v>4032</v>
      </c>
      <c r="C156" s="22" t="s">
        <v>237</v>
      </c>
      <c r="D156" s="22" t="s">
        <v>360</v>
      </c>
      <c r="E156" s="13">
        <v>42682.059895833336</v>
      </c>
      <c r="F156" s="13">
        <v>42682.060810185183</v>
      </c>
      <c r="G156" s="7">
        <v>1</v>
      </c>
      <c r="H156" s="22" t="s">
        <v>692</v>
      </c>
      <c r="I156" s="13">
        <v>42682.086273148147</v>
      </c>
      <c r="J156" s="7">
        <v>1</v>
      </c>
      <c r="K156" s="110" t="str">
        <f t="shared" si="62"/>
        <v>4031/4032</v>
      </c>
      <c r="L156" s="22" t="str">
        <f>VLOOKUP(A156,'Trips&amp;Operators'!$C$1:$E$10000,3,FALSE)</f>
        <v>WHITED</v>
      </c>
      <c r="M156" s="6">
        <f t="shared" si="63"/>
        <v>2.5462962963501923E-2</v>
      </c>
      <c r="N156" s="7"/>
      <c r="O156" s="7"/>
      <c r="P156" s="7"/>
      <c r="Q156" s="23"/>
      <c r="R156" s="23"/>
      <c r="S156" s="35"/>
      <c r="T156" s="50" t="str">
        <f t="shared" si="65"/>
        <v>Southbound</v>
      </c>
      <c r="U156" s="16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https://search-rtdc-monitor-bjffxe2xuh6vdkpspy63sjmuny.us-east-1.es.amazonaws.com/_plugin/kibana/#/discover/Steve-Slow-Train-Analysis-(2080s-and-2083s)?_g=(refreshInterval:(display:Off,section:0,value:0),time:(from:'2016-11-08 00:26:15-700',mode:absolute,to:'2016-11-08 03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67"/>
        <v>Y</v>
      </c>
      <c r="X156" s="174">
        <f t="shared" si="76"/>
        <v>0</v>
      </c>
      <c r="Y156" s="67">
        <f t="shared" si="55"/>
        <v>23.3002</v>
      </c>
      <c r="Z156" s="67">
        <f t="shared" si="61"/>
        <v>2.0407999999999999</v>
      </c>
      <c r="AA156" s="67">
        <f t="shared" si="68"/>
        <v>21.259399999999999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9"/>
        <v>0244-07</v>
      </c>
      <c r="AE156" s="91" t="str">
        <f t="shared" si="70"/>
        <v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v>
      </c>
      <c r="AF156" s="88" t="str">
        <f t="shared" si="71"/>
        <v>"C:\Program Files (x86)\AstroGrep\AstroGrep.exe" /spath="%USERPROFILE%\AppData\Local\Temp\OnboardLogs" /stypes="app*4032*20161108*" /stext=" 09:.+((SYSTEM_STATE.+slice.+state.+changed )|(ment ac)|(system.+state.+changed )|(\[timeout)|(PRM\|1\|D)|(kpr)|(kdp)|(\|loc)|(penalty))" /e /r /s</v>
      </c>
      <c r="AG156" s="1" t="str">
        <f t="shared" si="72"/>
        <v>EC</v>
      </c>
      <c r="AH156" s="92" t="str">
        <f t="shared" si="73"/>
        <v>"%USERPROFILE%\Documents\GitHub\eaglep3\Utilities\RefineRTDCRunTimes.py" --tripid 244-07 --locoid 4032 --swversion DE.1.0.8.0 --startMP 204:233002 --initTime 2016-11-08T01:26:15 --startdatetime 2016-11-08T01:27:34 --delay 1 --endMP 204:20408 --enddatetime 2016-11-08T02:04:14 --enforcementcount 1 &gt;&gt;C:\Users\stu\Documents\GitHub\eaglep3-reporting\EC\2016-11-07-refined-times.txt</v>
      </c>
      <c r="AI156" s="120" t="str">
        <f t="shared" si="74"/>
        <v>echo {"issue":{"subject":"","project_id":79,"tracker_id":40,"status_id":1,"priority_id":2,"assigned_to_id":23,"start_date":"2016-11-08","description":"","custom_fields":[{"id":1,"name":"Subdivision","value":"EC"},{"id":4,"name":"Milepost","value":"2.0408"},{"id":17,"name":"Train ID","value":"244-07"},{"id":16,"name":"Locomotive ID","value":"4032"},{"id":130,"name":"Impact","value":""},{"id":150,"name":"Time of Event (Mountain Time)","value":"02:04:14"},{"id":151,"name":"Denver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398</v>
      </c>
      <c r="B157" s="7">
        <v>4030</v>
      </c>
      <c r="C157" s="22" t="s">
        <v>237</v>
      </c>
      <c r="D157" s="22" t="s">
        <v>713</v>
      </c>
      <c r="E157" s="13">
        <v>42681.214166666665</v>
      </c>
      <c r="F157" s="13">
        <v>42681.215624999997</v>
      </c>
      <c r="G157" s="7">
        <v>1</v>
      </c>
      <c r="H157" s="22" t="s">
        <v>714</v>
      </c>
      <c r="I157" s="13">
        <v>42681.226655092592</v>
      </c>
      <c r="J157" s="7">
        <v>0</v>
      </c>
      <c r="K157" s="110" t="str">
        <f t="shared" si="62"/>
        <v>4029/4030</v>
      </c>
      <c r="L157" s="22" t="str">
        <f>VLOOKUP(A157,'Trips&amp;Operators'!$C$1:$E$10000,3,FALSE)</f>
        <v>DAVIS</v>
      </c>
      <c r="M157" s="6">
        <f t="shared" si="63"/>
        <v>1.1030092595319729E-2</v>
      </c>
      <c r="N157" s="7">
        <f t="shared" ref="N157:N188" si="77">24*60*SUM($M157:$M157)</f>
        <v>15.88333333726041</v>
      </c>
      <c r="O157" s="7"/>
      <c r="P157" s="7"/>
      <c r="Q157" s="23"/>
      <c r="R157" s="23"/>
      <c r="S157" s="35">
        <f t="shared" ref="S157:S188" si="78">SUM(U157:U157)/IF(AG157="EC",12,1)</f>
        <v>1</v>
      </c>
      <c r="T157" s="50" t="str">
        <f t="shared" si="65"/>
        <v>Southbound</v>
      </c>
      <c r="U157" s="16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04:08:24-700',mode:absolute,to:'2016-11-07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7" s="52" t="str">
        <f t="shared" si="67"/>
        <v>N</v>
      </c>
      <c r="X157" s="174">
        <f t="shared" si="76"/>
        <v>556</v>
      </c>
      <c r="Y157" s="67">
        <f t="shared" si="55"/>
        <v>5.8715000000000002</v>
      </c>
      <c r="Z157" s="67">
        <f t="shared" si="61"/>
        <v>6.4000000000000001E-2</v>
      </c>
      <c r="AA157" s="67">
        <f t="shared" si="68"/>
        <v>5.8075000000000001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69"/>
        <v>0800-07</v>
      </c>
      <c r="AE157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57" s="88" t="str">
        <f t="shared" si="71"/>
        <v>"C:\Program Files (x86)\AstroGrep\AstroGrep.exe" /spath="%USERPROFILE%\AppData\Local\Temp\OnboardLogs" /stypes="app*4030*20161107*" /stext=" 12:.+((SYSTEM_STATE.+slice.+state.+changed )|(ment ac)|(system.+state.+changed )|(\[timeout)|(PRM\|1\|D)|(kpr)|(kdp)|(\|loc)|(penalty))" /e /r /s</v>
      </c>
      <c r="AG157" s="1" t="str">
        <f t="shared" si="72"/>
        <v>NW</v>
      </c>
      <c r="AH157" s="92" t="str">
        <f t="shared" si="73"/>
        <v>"%USERPROFILE%\Documents\GitHub\eaglep3\Utilities\RefineRTDCRunTimes.py" --tripid 800-07 --locoid 4030 --swversion DE.1.0.8.0 --startMP 300:58715 --initTime 2016-11-07T05:08:24 --startdatetime 2016-11-07T05:10:30 --delay 1 --endMP 204:640 --enddatetime 2016-11-07T05:26:23 --enforcementcount 0 &gt;&gt;C:\Users\stu\Documents\GitHub\eaglep3-reporting\EC\2016-11-07-refined-times.txt</v>
      </c>
      <c r="AI157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{"issue":{"subject":"","project_id":79,"tracker_id":40,"status_id":1,"priority_id":2,"assigned_to_id":23,"start_date":"2016-11-07","description":"","custom_fields":[{"id":1,"name":"Subdivision","value":"NW"},{"id":4,"name":"Milepost","value":"0.064"},{"id":17,"name":"Train ID","value":"800-07"},{"id":16,"name":"Locomotive ID","value":"4030"},{"id":130,"name":"Impact","value":""},{"id":150,"name":"Time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399</v>
      </c>
      <c r="B158" s="7">
        <v>4029</v>
      </c>
      <c r="C158" s="22" t="s">
        <v>237</v>
      </c>
      <c r="D158" s="22" t="s">
        <v>715</v>
      </c>
      <c r="E158" s="13">
        <v>42681.241539351853</v>
      </c>
      <c r="F158" s="13">
        <v>42681.243935185186</v>
      </c>
      <c r="G158" s="7">
        <v>1</v>
      </c>
      <c r="H158" s="22" t="s">
        <v>716</v>
      </c>
      <c r="I158" s="13">
        <v>42681.254479166666</v>
      </c>
      <c r="J158" s="7">
        <v>0</v>
      </c>
      <c r="K158" s="110" t="str">
        <f t="shared" si="62"/>
        <v>4029/4030</v>
      </c>
      <c r="L158" s="22" t="str">
        <f>VLOOKUP(A158,'Trips&amp;Operators'!$C$1:$E$10000,3,FALSE)</f>
        <v>DAVIS</v>
      </c>
      <c r="M158" s="6">
        <f t="shared" si="63"/>
        <v>1.0543981479713693E-2</v>
      </c>
      <c r="N158" s="7">
        <f t="shared" si="77"/>
        <v>15.183333330787718</v>
      </c>
      <c r="O158" s="7"/>
      <c r="P158" s="7"/>
      <c r="Q158" s="23"/>
      <c r="R158" s="23"/>
      <c r="S158" s="35">
        <f t="shared" si="78"/>
        <v>1</v>
      </c>
      <c r="T158" s="50" t="str">
        <f t="shared" si="65"/>
        <v>NorthBound</v>
      </c>
      <c r="U158" s="16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04:47:49-700',mode:absolute,to:'2016-11-07 07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8" s="52" t="str">
        <f t="shared" si="67"/>
        <v>N</v>
      </c>
      <c r="X158" s="174">
        <f t="shared" si="76"/>
        <v>1</v>
      </c>
      <c r="Y158" s="67">
        <f t="shared" si="55"/>
        <v>9.3600000000000003E-2</v>
      </c>
      <c r="Z158" s="67">
        <f t="shared" si="61"/>
        <v>5.899</v>
      </c>
      <c r="AA158" s="67">
        <f t="shared" si="68"/>
        <v>5.8053999999999997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9"/>
        <v>0801-07</v>
      </c>
      <c r="AE158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58" s="88" t="str">
        <f t="shared" si="71"/>
        <v>"C:\Program Files (x86)\AstroGrep\AstroGrep.exe" /spath="%USERPROFILE%\AppData\Local\Temp\OnboardLogs" /stypes="app*4029*20161107*" /stext=" 13:.+((SYSTEM_STATE.+slice.+state.+changed )|(ment ac)|(system.+state.+changed )|(\[timeout)|(PRM\|1\|D)|(kpr)|(kdp)|(\|loc)|(penalty))" /e /r /s</v>
      </c>
      <c r="AG158" s="1" t="str">
        <f t="shared" si="72"/>
        <v>NW</v>
      </c>
      <c r="AH158" s="92" t="str">
        <f t="shared" si="73"/>
        <v>"%USERPROFILE%\Documents\GitHub\eaglep3\Utilities\RefineRTDCRunTimes.py" --tripid 801-07 --locoid 4029 --swversion DE.1.0.8.0 --startMP 204:936 --initTime 2016-11-07T05:47:49 --startdatetime 2016-11-07T05:51:16 --delay 1 --endMP 300:58990 --enddatetime 2016-11-07T06:06:27 --enforcementcount 0 &gt;&gt;C:\Users\stu\Documents\GitHub\eaglep3-reporting\EC\2016-11-07-refined-times.txt</v>
      </c>
      <c r="AI158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{"issue":{"subject":"","project_id":79,"tracker_id":40,"status_id":1,"priority_id":2,"assigned_to_id":23,"start_date":"2016-11-07","description":"","custom_fields":[{"id":1,"name":"Subdivision","value":"NW"},{"id":4,"name":"Milepost","value":"5.899"},{"id":17,"name":"Train ID","value":"801-07"},{"id":16,"name":"Locomotive ID","value":"4029"},{"id":130,"name":"Impact","value":""},{"id":150,"name":"Time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457</v>
      </c>
      <c r="B159" s="7">
        <v>4030</v>
      </c>
      <c r="C159" s="22" t="s">
        <v>237</v>
      </c>
      <c r="D159" s="22" t="s">
        <v>717</v>
      </c>
      <c r="E159" s="13">
        <v>42681.255856481483</v>
      </c>
      <c r="F159" s="13">
        <v>42681.257245370369</v>
      </c>
      <c r="G159" s="7">
        <v>1</v>
      </c>
      <c r="H159" s="22" t="s">
        <v>718</v>
      </c>
      <c r="I159" s="13">
        <v>42681.268310185187</v>
      </c>
      <c r="J159" s="7">
        <v>0</v>
      </c>
      <c r="K159" s="110" t="str">
        <f t="shared" si="62"/>
        <v>4029/4030</v>
      </c>
      <c r="L159" s="22" t="str">
        <f>VLOOKUP(A159,'Trips&amp;Operators'!$C$1:$E$10000,3,FALSE)</f>
        <v>DAVIS</v>
      </c>
      <c r="M159" s="6">
        <f t="shared" si="63"/>
        <v>1.1064814818382729E-2</v>
      </c>
      <c r="N159" s="7">
        <f t="shared" si="77"/>
        <v>15.93333333847113</v>
      </c>
      <c r="O159" s="7"/>
      <c r="P159" s="7"/>
      <c r="Q159" s="23"/>
      <c r="R159" s="23"/>
      <c r="S159" s="35">
        <f t="shared" si="78"/>
        <v>1</v>
      </c>
      <c r="T159" s="50" t="str">
        <f t="shared" si="65"/>
        <v>Southbound</v>
      </c>
      <c r="U159" s="16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05:08:26-700',mode:absolute,to:'2016-11-07 07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67"/>
        <v>N</v>
      </c>
      <c r="X159" s="174">
        <f t="shared" si="76"/>
        <v>1</v>
      </c>
      <c r="Y159" s="67">
        <f t="shared" si="55"/>
        <v>5.8677000000000001</v>
      </c>
      <c r="Z159" s="67">
        <f t="shared" si="61"/>
        <v>6.54E-2</v>
      </c>
      <c r="AA159" s="67">
        <f t="shared" si="68"/>
        <v>5.8022999999999998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9"/>
        <v>0802-07</v>
      </c>
      <c r="AE159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59" s="88" t="str">
        <f t="shared" si="71"/>
        <v>"C:\Program Files (x86)\AstroGrep\AstroGrep.exe" /spath="%USERPROFILE%\AppData\Local\Temp\OnboardLogs" /stypes="app*4030*20161107*" /stext=" 13:.+((SYSTEM_STATE.+slice.+state.+changed )|(ment ac)|(system.+state.+changed )|(\[timeout)|(PRM\|1\|D)|(kpr)|(kdp)|(\|loc)|(penalty))" /e /r /s</v>
      </c>
      <c r="AG159" s="1" t="str">
        <f t="shared" si="72"/>
        <v>NW</v>
      </c>
      <c r="AH159" s="92" t="str">
        <f t="shared" si="73"/>
        <v>"%USERPROFILE%\Documents\GitHub\eaglep3\Utilities\RefineRTDCRunTimes.py" --tripid 802-07 --locoid 4030 --swversion DE.1.0.8.0 --startMP 300:58677 --initTime 2016-11-07T06:08:26 --startdatetime 2016-11-07T06:10:26 --delay 1 --endMP 204:654 --enddatetime 2016-11-07T06:26:22 --enforcementcount 0 &gt;&gt;C:\Users\stu\Documents\GitHub\eaglep3-reporting\EC\2016-11-07-refined-times.txt</v>
      </c>
      <c r="AI159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{"issue":{"subject":"","project_id":79,"tracker_id":40,"status_id":1,"priority_id":2,"assigned_to_id":23,"start_date":"2016-11-07","description":"","custom_fields":[{"id":1,"name":"Subdivision","value":"NW"},{"id":4,"name":"Milepost","value":"0.0654"},{"id":17,"name":"Train ID","value":"802-07"},{"id":16,"name":"Locomotive ID","value":"4030"},{"id":130,"name":"Impact","value":""},{"id":150,"name":"Time of Event (Mountain Time)","value":"06:26:22"},{"id":151,"name":"Denver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458</v>
      </c>
      <c r="B160" s="7">
        <v>4038</v>
      </c>
      <c r="C160" s="22" t="s">
        <v>237</v>
      </c>
      <c r="D160" s="22" t="s">
        <v>381</v>
      </c>
      <c r="E160" s="13">
        <v>42681.261423611111</v>
      </c>
      <c r="F160" s="13">
        <v>42681.264918981484</v>
      </c>
      <c r="G160" s="7">
        <v>1</v>
      </c>
      <c r="H160" s="22" t="s">
        <v>719</v>
      </c>
      <c r="I160" s="13">
        <v>42681.274050925924</v>
      </c>
      <c r="J160" s="7">
        <v>0</v>
      </c>
      <c r="K160" s="110" t="str">
        <f t="shared" si="62"/>
        <v>4037/4038</v>
      </c>
      <c r="L160" s="22" t="str">
        <f>VLOOKUP(A160,'Trips&amp;Operators'!$C$1:$E$10000,3,FALSE)</f>
        <v>NICHOLSON</v>
      </c>
      <c r="M160" s="6">
        <f t="shared" si="63"/>
        <v>9.1319444400141947E-3</v>
      </c>
      <c r="N160" s="7">
        <f t="shared" si="77"/>
        <v>13.14999999362044</v>
      </c>
      <c r="O160" s="7"/>
      <c r="P160" s="7"/>
      <c r="Q160" s="23"/>
      <c r="R160" s="23"/>
      <c r="S160" s="35">
        <f t="shared" si="78"/>
        <v>1</v>
      </c>
      <c r="T160" s="50" t="str">
        <f t="shared" si="65"/>
        <v>NorthBound</v>
      </c>
      <c r="U160" s="16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05:16:27-700',mode:absolute,to:'2016-11-07 07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 t="shared" si="67"/>
        <v>N</v>
      </c>
      <c r="X160" s="174">
        <f t="shared" si="76"/>
        <v>1</v>
      </c>
      <c r="Y160" s="67">
        <f t="shared" si="55"/>
        <v>9.69E-2</v>
      </c>
      <c r="Z160" s="67">
        <f t="shared" si="61"/>
        <v>5.8960999999999997</v>
      </c>
      <c r="AA160" s="67">
        <f t="shared" si="68"/>
        <v>5.7991999999999999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9"/>
        <v>0803-07</v>
      </c>
      <c r="AE160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0" s="88" t="str">
        <f t="shared" si="71"/>
        <v>"C:\Program Files (x86)\AstroGrep\AstroGrep.exe" /spath="%USERPROFILE%\AppData\Local\Temp\OnboardLogs" /stypes="app*4038*20161107*" /stext=" 13:.+((SYSTEM_STATE.+slice.+state.+changed )|(ment ac)|(system.+state.+changed )|(\[timeout)|(PRM\|1\|D)|(kpr)|(kdp)|(\|loc)|(penalty))" /e /r /s</v>
      </c>
      <c r="AG160" s="1" t="str">
        <f t="shared" si="72"/>
        <v>NW</v>
      </c>
      <c r="AH160" s="92" t="str">
        <f t="shared" si="73"/>
        <v>"%USERPROFILE%\Documents\GitHub\eaglep3\Utilities\RefineRTDCRunTimes.py" --tripid 803-07 --locoid 4038 --swversion DE.1.0.8.0 --startMP 204:969 --initTime 2016-11-07T06:16:27 --startdatetime 2016-11-07T06:21:29 --delay 1 --endMP 300:58961 --enddatetime 2016-11-07T06:34:38 --enforcementcount 0 &gt;&gt;C:\Users\stu\Documents\GitHub\eaglep3-reporting\EC\2016-11-07-refined-times.txt</v>
      </c>
      <c r="AI160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{"issue":{"subject":"","project_id":79,"tracker_id":40,"status_id":1,"priority_id":2,"assigned_to_id":23,"start_date":"2016-11-07","description":"","custom_fields":[{"id":1,"name":"Subdivision","value":"NW"},{"id":4,"name":"Milepost","value":"5.8961"},{"id":17,"name":"Train ID","value":"803-07"},{"id":16,"name":"Locomotive ID","value":"4038"},{"id":130,"name":"Impact","value":""},{"id":150,"name":"Time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463</v>
      </c>
      <c r="B161" s="7">
        <v>4037</v>
      </c>
      <c r="C161" s="22" t="s">
        <v>237</v>
      </c>
      <c r="D161" s="22" t="s">
        <v>720</v>
      </c>
      <c r="E161" s="13">
        <v>42681.275208333333</v>
      </c>
      <c r="F161" s="13">
        <v>42681.276539351849</v>
      </c>
      <c r="G161" s="7">
        <v>1</v>
      </c>
      <c r="H161" s="22" t="s">
        <v>721</v>
      </c>
      <c r="I161" s="13">
        <v>42681.288587962961</v>
      </c>
      <c r="J161" s="7">
        <v>0</v>
      </c>
      <c r="K161" s="110" t="str">
        <f t="shared" si="62"/>
        <v>4037/4038</v>
      </c>
      <c r="L161" s="22" t="str">
        <f>VLOOKUP(A161,'Trips&amp;Operators'!$C$1:$E$10000,3,FALSE)</f>
        <v>NICHOLSON</v>
      </c>
      <c r="M161" s="6">
        <f t="shared" si="63"/>
        <v>1.2048611111822538E-2</v>
      </c>
      <c r="N161" s="7">
        <f t="shared" si="77"/>
        <v>17.350000001024455</v>
      </c>
      <c r="O161" s="7"/>
      <c r="P161" s="7"/>
      <c r="Q161" s="23"/>
      <c r="R161" s="23"/>
      <c r="S161" s="35">
        <f t="shared" si="78"/>
        <v>1</v>
      </c>
      <c r="T161" s="50" t="str">
        <f t="shared" si="65"/>
        <v>Southbound</v>
      </c>
      <c r="U161" s="16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05:36:18-700',mode:absolute,to:'2016-11-07 07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1" s="52" t="str">
        <f t="shared" si="67"/>
        <v>N</v>
      </c>
      <c r="X161" s="174">
        <f t="shared" si="76"/>
        <v>1</v>
      </c>
      <c r="Y161" s="67">
        <f t="shared" si="55"/>
        <v>5.8648999999999996</v>
      </c>
      <c r="Z161" s="67">
        <f t="shared" si="61"/>
        <v>6.8199999999999997E-2</v>
      </c>
      <c r="AA161" s="67">
        <f t="shared" si="68"/>
        <v>5.7966999999999995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9"/>
        <v>0804-07</v>
      </c>
      <c r="AE161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1" s="88" t="str">
        <f t="shared" si="71"/>
        <v>"C:\Program Files (x86)\AstroGrep\AstroGrep.exe" /spath="%USERPROFILE%\AppData\Local\Temp\OnboardLogs" /stypes="app*4037*20161107*" /stext=" 13:.+((SYSTEM_STATE.+slice.+state.+changed )|(ment ac)|(system.+state.+changed )|(\[timeout)|(PRM\|1\|D)|(kpr)|(kdp)|(\|loc)|(penalty))" /e /r /s</v>
      </c>
      <c r="AG161" s="1" t="str">
        <f t="shared" si="72"/>
        <v>NW</v>
      </c>
      <c r="AH161" s="92" t="str">
        <f t="shared" si="73"/>
        <v>"%USERPROFILE%\Documents\GitHub\eaglep3\Utilities\RefineRTDCRunTimes.py" --tripid 804-07 --locoid 4037 --swversion DE.1.0.8.0 --startMP 300:58649 --initTime 2016-11-07T06:36:18 --startdatetime 2016-11-07T06:38:13 --delay 1 --endMP 204:682 --enddatetime 2016-11-07T06:55:34 --enforcementcount 0 &gt;&gt;C:\Users\stu\Documents\GitHub\eaglep3-reporting\EC\2016-11-07-refined-times.txt</v>
      </c>
      <c r="AI161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{"issue":{"subject":"","project_id":79,"tracker_id":40,"status_id":1,"priority_id":2,"assigned_to_id":23,"start_date":"2016-11-07","description":"","custom_fields":[{"id":1,"name":"Subdivision","value":"NW"},{"id":4,"name":"Milepost","value":"0.0682"},{"id":17,"name":"Train ID","value":"804-07"},{"id":16,"name":"Locomotive ID","value":"4037"},{"id":130,"name":"Impact","value":""},{"id":150,"name":"Time of Event (Mountain Time)","value":"06:55:34"},{"id":151,"name":"Denver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401</v>
      </c>
      <c r="B162" s="7">
        <v>4029</v>
      </c>
      <c r="C162" s="22" t="s">
        <v>237</v>
      </c>
      <c r="D162" s="22" t="s">
        <v>722</v>
      </c>
      <c r="E162" s="13">
        <v>42681.283032407409</v>
      </c>
      <c r="F162" s="13">
        <v>42681.285624999997</v>
      </c>
      <c r="G162" s="7">
        <v>1</v>
      </c>
      <c r="H162" s="22" t="s">
        <v>723</v>
      </c>
      <c r="I162" s="13">
        <v>42681.295659722222</v>
      </c>
      <c r="J162" s="7">
        <v>0</v>
      </c>
      <c r="K162" s="110" t="str">
        <f t="shared" si="62"/>
        <v>4029/4030</v>
      </c>
      <c r="L162" s="22" t="str">
        <f>VLOOKUP(A162,'Trips&amp;Operators'!$C$1:$E$10000,3,FALSE)</f>
        <v>DAVIS</v>
      </c>
      <c r="M162" s="6">
        <f t="shared" si="63"/>
        <v>1.0034722225100268E-2</v>
      </c>
      <c r="N162" s="7">
        <f t="shared" si="77"/>
        <v>14.450000004144385</v>
      </c>
      <c r="O162" s="7"/>
      <c r="P162" s="7"/>
      <c r="Q162" s="23"/>
      <c r="R162" s="23"/>
      <c r="S162" s="35">
        <f t="shared" si="78"/>
        <v>1</v>
      </c>
      <c r="T162" s="50" t="str">
        <f t="shared" si="65"/>
        <v>NorthBound</v>
      </c>
      <c r="U162" s="16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05:47:34-700',mode:absolute,to:'2016-11-07 08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 t="shared" si="67"/>
        <v>N</v>
      </c>
      <c r="X162" s="174">
        <f t="shared" si="76"/>
        <v>1</v>
      </c>
      <c r="Y162" s="67">
        <f t="shared" si="55"/>
        <v>9.3399999999999997E-2</v>
      </c>
      <c r="Z162" s="67">
        <f t="shared" si="61"/>
        <v>5.9016000000000002</v>
      </c>
      <c r="AA162" s="67">
        <f t="shared" si="68"/>
        <v>5.8082000000000003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9"/>
        <v>0805-07</v>
      </c>
      <c r="AE162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62" s="88" t="str">
        <f t="shared" si="71"/>
        <v>"C:\Program Files (x86)\AstroGrep\AstroGrep.exe" /spath="%USERPROFILE%\AppData\Local\Temp\OnboardLogs" /stypes="app*4029*20161107*" /stext=" 14:.+((SYSTEM_STATE.+slice.+state.+changed )|(ment ac)|(system.+state.+changed )|(\[timeout)|(PRM\|1\|D)|(kpr)|(kdp)|(\|loc)|(penalty))" /e /r /s</v>
      </c>
      <c r="AG162" s="1" t="str">
        <f t="shared" si="72"/>
        <v>NW</v>
      </c>
      <c r="AH162" s="92" t="str">
        <f t="shared" si="73"/>
        <v>"%USERPROFILE%\Documents\GitHub\eaglep3\Utilities\RefineRTDCRunTimes.py" --tripid 805-07 --locoid 4029 --swversion DE.1.0.8.0 --startMP 204:934 --initTime 2016-11-07T06:47:34 --startdatetime 2016-11-07T06:51:18 --delay 1 --endMP 300:59016 --enddatetime 2016-11-07T07:05:45 --enforcementcount 0 &gt;&gt;C:\Users\stu\Documents\GitHub\eaglep3-reporting\EC\2016-11-07-refined-times.txt</v>
      </c>
      <c r="AI162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{"issue":{"subject":"","project_id":79,"tracker_id":40,"status_id":1,"priority_id":2,"assigned_to_id":23,"start_date":"2016-11-07","description":"","custom_fields":[{"id":1,"name":"Subdivision","value":"NW"},{"id":4,"name":"Milepost","value":"5.9016"},{"id":17,"name":"Train ID","value":"805-07"},{"id":16,"name":"Locomotive ID","value":"4029"},{"id":130,"name":"Impact","value":""},{"id":150,"name":"Time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x14ac:dyDescent="0.25">
      <c r="A163" s="37" t="s">
        <v>402</v>
      </c>
      <c r="B163" s="7">
        <v>4030</v>
      </c>
      <c r="C163" s="22" t="s">
        <v>237</v>
      </c>
      <c r="D163" s="22" t="s">
        <v>724</v>
      </c>
      <c r="E163" s="13">
        <v>42681.296458333331</v>
      </c>
      <c r="F163" s="13">
        <v>42681.29755787037</v>
      </c>
      <c r="G163" s="7">
        <v>1</v>
      </c>
      <c r="H163" s="22" t="s">
        <v>725</v>
      </c>
      <c r="I163" s="13">
        <v>42681.31</v>
      </c>
      <c r="J163" s="7">
        <v>0</v>
      </c>
      <c r="K163" s="110" t="str">
        <f t="shared" si="62"/>
        <v>4029/4030</v>
      </c>
      <c r="L163" s="22" t="str">
        <f>VLOOKUP(A163,'Trips&amp;Operators'!$C$1:$E$10000,3,FALSE)</f>
        <v>DAVIS</v>
      </c>
      <c r="M163" s="6">
        <f t="shared" si="63"/>
        <v>1.244212962774327E-2</v>
      </c>
      <c r="N163" s="7">
        <f t="shared" si="77"/>
        <v>17.916666663950309</v>
      </c>
      <c r="O163" s="7"/>
      <c r="P163" s="7"/>
      <c r="Q163" s="23"/>
      <c r="R163" s="23"/>
      <c r="S163" s="35">
        <f t="shared" si="78"/>
        <v>1</v>
      </c>
      <c r="T163" s="50" t="str">
        <f t="shared" si="65"/>
        <v>Southbound</v>
      </c>
      <c r="U163" s="16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 t="shared" si="67"/>
        <v>N</v>
      </c>
      <c r="X163" s="174">
        <f t="shared" si="76"/>
        <v>1</v>
      </c>
      <c r="Y163" s="67">
        <f t="shared" ref="Y163:Y226" si="79">RIGHT(D163,LEN(D163)-4)/10000</f>
        <v>5.8697999999999997</v>
      </c>
      <c r="Z163" s="67">
        <f t="shared" si="61"/>
        <v>6.6799999999999998E-2</v>
      </c>
      <c r="AA163" s="67">
        <f t="shared" si="68"/>
        <v>5.8029999999999999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9"/>
        <v>0806-07</v>
      </c>
      <c r="AE163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63" s="88" t="str">
        <f t="shared" si="71"/>
        <v>"C:\Program Files (x86)\AstroGrep\AstroGrep.exe" /spath="%USERPROFILE%\AppData\Local\Temp\OnboardLogs" /stypes="app*4030*20161107*" /stext=" 14:.+((SYSTEM_STATE.+slice.+state.+changed )|(ment ac)|(system.+state.+changed )|(\[timeout)|(PRM\|1\|D)|(kpr)|(kdp)|(\|loc)|(penalty))" /e /r /s</v>
      </c>
      <c r="AG163" s="1" t="str">
        <f t="shared" si="72"/>
        <v>NW</v>
      </c>
      <c r="AH163" s="92" t="str">
        <f t="shared" si="73"/>
        <v>"%USERPROFILE%\Documents\GitHub\eaglep3\Utilities\RefineRTDCRunTimes.py" --tripid 806-07 --locoid 4030 --swversion DE.1.0.8.0 --startMP 300:58698 --initTime 2016-11-07T07:06:54 --startdatetime 2016-11-07T07:08:29 --delay 1 --endMP 204:668 --enddatetime 2016-11-07T07:26:24 --enforcementcount 0 &gt;&gt;C:\Users\stu\Documents\GitHub\eaglep3-reporting\EC\2016-11-07-refined-times.txt</v>
      </c>
      <c r="AI163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{"issue":{"subject":"","project_id":79,"tracker_id":40,"status_id":1,"priority_id":2,"assigned_to_id":23,"start_date":"2016-11-07","description":"","custom_fields":[{"id":1,"name":"Subdivision","value":"NW"},{"id":4,"name":"Milepost","value":"0.0668"},{"id":17,"name":"Train ID","value":"806-07"},{"id":16,"name":"Locomotive ID","value":"4030"},{"id":130,"name":"Impact","value":""},{"id":150,"name":"Time of Event (Mountain Time)","value":"07:26:24"},{"id":151,"name":"Denver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467</v>
      </c>
      <c r="B164" s="7">
        <v>4038</v>
      </c>
      <c r="C164" s="22" t="s">
        <v>237</v>
      </c>
      <c r="D164" s="22" t="s">
        <v>726</v>
      </c>
      <c r="E164" s="13">
        <v>42681.291145833333</v>
      </c>
      <c r="F164" s="13">
        <v>42681.306446759256</v>
      </c>
      <c r="G164" s="7">
        <v>1</v>
      </c>
      <c r="H164" s="22" t="s">
        <v>727</v>
      </c>
      <c r="I164" s="13">
        <v>42681.31621527778</v>
      </c>
      <c r="J164" s="7">
        <v>0</v>
      </c>
      <c r="K164" s="110" t="str">
        <f t="shared" si="62"/>
        <v>4037/4038</v>
      </c>
      <c r="L164" s="22" t="str">
        <f>VLOOKUP(A164,'Trips&amp;Operators'!$C$1:$E$10000,3,FALSE)</f>
        <v>NICHOLSON</v>
      </c>
      <c r="M164" s="6">
        <f t="shared" si="63"/>
        <v>9.7685185246518813E-3</v>
      </c>
      <c r="N164" s="7">
        <f t="shared" si="77"/>
        <v>14.066666675498709</v>
      </c>
      <c r="O164" s="7"/>
      <c r="P164" s="7"/>
      <c r="Q164" s="23"/>
      <c r="R164" s="23"/>
      <c r="S164" s="35">
        <f t="shared" si="78"/>
        <v>1</v>
      </c>
      <c r="T164" s="50" t="str">
        <f t="shared" si="65"/>
        <v>NorthBound</v>
      </c>
      <c r="U164" s="16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05:59:15-700',mode:absolute,to:'2016-11-07 08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4" s="52" t="str">
        <f t="shared" si="67"/>
        <v>N</v>
      </c>
      <c r="X164" s="174">
        <f t="shared" si="76"/>
        <v>1</v>
      </c>
      <c r="Y164" s="67">
        <f t="shared" si="79"/>
        <v>9.7600000000000006E-2</v>
      </c>
      <c r="Z164" s="67">
        <f t="shared" si="61"/>
        <v>5.8939000000000004</v>
      </c>
      <c r="AA164" s="67">
        <f t="shared" si="68"/>
        <v>5.7963000000000005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9"/>
        <v>0807-07</v>
      </c>
      <c r="AE164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4" s="88" t="str">
        <f t="shared" si="71"/>
        <v>"C:\Program Files (x86)\AstroGrep\AstroGrep.exe" /spath="%USERPROFILE%\AppData\Local\Temp\OnboardLogs" /stypes="app*4038*20161107*" /stext=" 14:.+((SYSTEM_STATE.+slice.+state.+changed )|(ment ac)|(system.+state.+changed )|(\[timeout)|(PRM\|1\|D)|(kpr)|(kdp)|(\|loc)|(penalty))" /e /r /s</v>
      </c>
      <c r="AG164" s="1" t="str">
        <f t="shared" si="72"/>
        <v>NW</v>
      </c>
      <c r="AH164" s="92" t="str">
        <f t="shared" si="73"/>
        <v>"%USERPROFILE%\Documents\GitHub\eaglep3\Utilities\RefineRTDCRunTimes.py" --tripid 807-07 --locoid 4038 --swversion DE.1.0.8.0 --startMP 204:976 --initTime 2016-11-07T06:59:15 --startdatetime 2016-11-07T07:21:17 --delay 1 --endMP 300:58939 --enddatetime 2016-11-07T07:35:21 --enforcementcount 0 &gt;&gt;C:\Users\stu\Documents\GitHub\eaglep3-reporting\EC\2016-11-07-refined-times.txt</v>
      </c>
      <c r="AI164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{"issue":{"subject":"","project_id":79,"tracker_id":40,"status_id":1,"priority_id":2,"assigned_to_id":23,"start_date":"2016-11-07","description":"","custom_fields":[{"id":1,"name":"Subdivision","value":"NW"},{"id":4,"name":"Milepost","value":"5.8939"},{"id":17,"name":"Train ID","value":"807-07"},{"id":16,"name":"Locomotive ID","value":"4038"},{"id":130,"name":"Impact","value":""},{"id":150,"name":"Time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x14ac:dyDescent="0.25">
      <c r="A165" s="37" t="s">
        <v>471</v>
      </c>
      <c r="B165" s="7">
        <v>4037</v>
      </c>
      <c r="C165" s="22" t="s">
        <v>237</v>
      </c>
      <c r="D165" s="22" t="s">
        <v>728</v>
      </c>
      <c r="E165" s="13">
        <v>42681.317384259259</v>
      </c>
      <c r="F165" s="13">
        <v>42681.319456018522</v>
      </c>
      <c r="G165" s="7">
        <v>1</v>
      </c>
      <c r="H165" s="22" t="s">
        <v>729</v>
      </c>
      <c r="I165" s="13">
        <v>42681.33153935185</v>
      </c>
      <c r="J165" s="7">
        <v>0</v>
      </c>
      <c r="K165" s="110" t="str">
        <f t="shared" si="62"/>
        <v>4037/4038</v>
      </c>
      <c r="L165" s="22" t="str">
        <f>VLOOKUP(A165,'Trips&amp;Operators'!$C$1:$E$10000,3,FALSE)</f>
        <v>NICHOLSON</v>
      </c>
      <c r="M165" s="6">
        <f t="shared" si="63"/>
        <v>1.208333332760958E-2</v>
      </c>
      <c r="N165" s="7">
        <f t="shared" si="77"/>
        <v>17.399999991757795</v>
      </c>
      <c r="O165" s="7"/>
      <c r="P165" s="7"/>
      <c r="Q165" s="23"/>
      <c r="R165" s="23"/>
      <c r="S165" s="35">
        <f t="shared" si="78"/>
        <v>1</v>
      </c>
      <c r="T165" s="50" t="str">
        <f t="shared" si="65"/>
        <v>Southbound</v>
      </c>
      <c r="U165" s="16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06:37:02-700',mode:absolute,to:'2016-11-07 08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5" s="52" t="str">
        <f t="shared" si="67"/>
        <v>N</v>
      </c>
      <c r="X165" s="174">
        <f t="shared" si="76"/>
        <v>1</v>
      </c>
      <c r="Y165" s="67">
        <f t="shared" si="79"/>
        <v>5.8632</v>
      </c>
      <c r="Z165" s="67">
        <f t="shared" si="61"/>
        <v>6.8500000000000005E-2</v>
      </c>
      <c r="AA165" s="67">
        <f t="shared" si="68"/>
        <v>5.7946999999999997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69"/>
        <v>0808-07</v>
      </c>
      <c r="AE165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5" s="88" t="str">
        <f t="shared" si="71"/>
        <v>"C:\Program Files (x86)\AstroGrep\AstroGrep.exe" /spath="%USERPROFILE%\AppData\Local\Temp\OnboardLogs" /stypes="app*4037*20161107*" /stext=" 14:.+((SYSTEM_STATE.+slice.+state.+changed )|(ment ac)|(system.+state.+changed )|(\[timeout)|(PRM\|1\|D)|(kpr)|(kdp)|(\|loc)|(penalty))" /e /r /s</v>
      </c>
      <c r="AG165" s="1" t="str">
        <f t="shared" si="72"/>
        <v>NW</v>
      </c>
      <c r="AH165" s="92" t="str">
        <f t="shared" si="73"/>
        <v>"%USERPROFILE%\Documents\GitHub\eaglep3\Utilities\RefineRTDCRunTimes.py" --tripid 808-07 --locoid 4037 --swversion DE.1.0.8.0 --startMP 300:58632 --initTime 2016-11-07T07:37:02 --startdatetime 2016-11-07T07:40:01 --delay 1 --endMP 204:685 --enddatetime 2016-11-07T07:57:25 --enforcementcount 0 &gt;&gt;C:\Users\stu\Documents\GitHub\eaglep3-reporting\EC\2016-11-07-refined-times.txt</v>
      </c>
      <c r="AI165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{"issue":{"subject":"","project_id":79,"tracker_id":40,"status_id":1,"priority_id":2,"assigned_to_id":23,"start_date":"2016-11-07","description":"","custom_fields":[{"id":1,"name":"Subdivision","value":"NW"},{"id":4,"name":"Milepost","value":"0.0685"},{"id":17,"name":"Train ID","value":"808-07"},{"id":16,"name":"Locomotive ID","value":"4037"},{"id":130,"name":"Impact","value":""},{"id":150,"name":"Time of Event (Mountain Time)","value":"07:57:25"},{"id":151,"name":"Denver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403</v>
      </c>
      <c r="B166" s="7">
        <v>4029</v>
      </c>
      <c r="C166" s="22" t="s">
        <v>237</v>
      </c>
      <c r="D166" s="22" t="s">
        <v>730</v>
      </c>
      <c r="E166" s="13">
        <v>42681.322384259256</v>
      </c>
      <c r="F166" s="13">
        <v>42681.327245370368</v>
      </c>
      <c r="G166" s="7">
        <v>1</v>
      </c>
      <c r="H166" s="22" t="s">
        <v>731</v>
      </c>
      <c r="I166" s="13">
        <v>42681.33761574074</v>
      </c>
      <c r="J166" s="7">
        <v>0</v>
      </c>
      <c r="K166" s="110" t="str">
        <f t="shared" si="62"/>
        <v>4029/4030</v>
      </c>
      <c r="L166" s="22" t="str">
        <f>VLOOKUP(A166,'Trips&amp;Operators'!$C$1:$E$10000,3,FALSE)</f>
        <v>DAVIS</v>
      </c>
      <c r="M166" s="6">
        <f t="shared" si="63"/>
        <v>1.0370370371674653E-2</v>
      </c>
      <c r="N166" s="7">
        <f t="shared" si="77"/>
        <v>14.933333335211501</v>
      </c>
      <c r="O166" s="7"/>
      <c r="P166" s="7"/>
      <c r="Q166" s="23"/>
      <c r="R166" s="23"/>
      <c r="S166" s="35">
        <f t="shared" si="78"/>
        <v>1</v>
      </c>
      <c r="T166" s="50" t="str">
        <f t="shared" si="65"/>
        <v>NorthBound</v>
      </c>
      <c r="U166" s="16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06:44:14-700',mode:absolute,to:'2016-11-07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52" t="str">
        <f t="shared" si="67"/>
        <v>N</v>
      </c>
      <c r="X166" s="174">
        <f t="shared" si="76"/>
        <v>1</v>
      </c>
      <c r="Y166" s="67">
        <f t="shared" si="79"/>
        <v>9.5299999999999996E-2</v>
      </c>
      <c r="Z166" s="67">
        <f t="shared" si="61"/>
        <v>5.9013999999999998</v>
      </c>
      <c r="AA166" s="67">
        <f t="shared" si="68"/>
        <v>5.8060999999999998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69"/>
        <v>0809-07</v>
      </c>
      <c r="AE166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66" s="88" t="str">
        <f t="shared" si="71"/>
        <v>"C:\Program Files (x86)\AstroGrep\AstroGrep.exe" /spath="%USERPROFILE%\AppData\Local\Temp\OnboardLogs" /stypes="app*4029*20161107*" /stext=" 15:.+((SYSTEM_STATE.+slice.+state.+changed )|(ment ac)|(system.+state.+changed )|(\[timeout)|(PRM\|1\|D)|(kpr)|(kdp)|(\|loc)|(penalty))" /e /r /s</v>
      </c>
      <c r="AG166" s="1" t="str">
        <f t="shared" si="72"/>
        <v>NW</v>
      </c>
      <c r="AH166" s="92" t="str">
        <f t="shared" si="73"/>
        <v>"%USERPROFILE%\Documents\GitHub\eaglep3\Utilities\RefineRTDCRunTimes.py" --tripid 809-07 --locoid 4029 --swversion DE.1.0.8.0 --startMP 204:953 --initTime 2016-11-07T07:44:14 --startdatetime 2016-11-07T07:51:14 --delay 1 --endMP 300:59014 --enddatetime 2016-11-07T08:06:10 --enforcementcount 0 &gt;&gt;C:\Users\stu\Documents\GitHub\eaglep3-reporting\EC\2016-11-07-refined-times.txt</v>
      </c>
      <c r="AI166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{"issue":{"subject":"","project_id":79,"tracker_id":40,"status_id":1,"priority_id":2,"assigned_to_id":23,"start_date":"2016-11-07","description":"","custom_fields":[{"id":1,"name":"Subdivision","value":"NW"},{"id":4,"name":"Milepost","value":"5.9014"},{"id":17,"name":"Train ID","value":"809-07"},{"id":16,"name":"Locomotive ID","value":"4029"},{"id":130,"name":"Impact","value":""},{"id":150,"name":"Time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406</v>
      </c>
      <c r="B167" s="7">
        <v>4030</v>
      </c>
      <c r="C167" s="22" t="s">
        <v>237</v>
      </c>
      <c r="D167" s="22" t="s">
        <v>724</v>
      </c>
      <c r="E167" s="13">
        <v>42681.338553240741</v>
      </c>
      <c r="F167" s="13">
        <v>42681.340057870373</v>
      </c>
      <c r="G167" s="7">
        <v>1</v>
      </c>
      <c r="H167" s="22" t="s">
        <v>732</v>
      </c>
      <c r="I167" s="13">
        <v>42681.351678240739</v>
      </c>
      <c r="J167" s="7">
        <v>0</v>
      </c>
      <c r="K167" s="110" t="str">
        <f t="shared" si="62"/>
        <v>4029/4030</v>
      </c>
      <c r="L167" s="22" t="str">
        <f>VLOOKUP(A167,'Trips&amp;Operators'!$C$1:$E$10000,3,FALSE)</f>
        <v>DAVIS</v>
      </c>
      <c r="M167" s="6">
        <f t="shared" si="63"/>
        <v>1.1620370365562849E-2</v>
      </c>
      <c r="N167" s="7">
        <f t="shared" si="77"/>
        <v>16.733333326410502</v>
      </c>
      <c r="O167" s="7"/>
      <c r="P167" s="7"/>
      <c r="Q167" s="23"/>
      <c r="R167" s="23"/>
      <c r="S167" s="35">
        <f t="shared" si="78"/>
        <v>1</v>
      </c>
      <c r="T167" s="50" t="str">
        <f t="shared" si="65"/>
        <v>Southbound</v>
      </c>
      <c r="U167" s="16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07:07:31-700',mode:absolute,to:'2016-11-07 09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52" t="str">
        <f t="shared" si="67"/>
        <v>N</v>
      </c>
      <c r="X167" s="174">
        <f t="shared" si="76"/>
        <v>1</v>
      </c>
      <c r="Y167" s="67">
        <f t="shared" si="79"/>
        <v>5.8697999999999997</v>
      </c>
      <c r="Z167" s="67">
        <f t="shared" si="61"/>
        <v>6.2100000000000002E-2</v>
      </c>
      <c r="AA167" s="67">
        <f t="shared" si="68"/>
        <v>5.8076999999999996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69"/>
        <v>0810-07</v>
      </c>
      <c r="AE167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67" s="88" t="str">
        <f t="shared" si="71"/>
        <v>"C:\Program Files (x86)\AstroGrep\AstroGrep.exe" /spath="%USERPROFILE%\AppData\Local\Temp\OnboardLogs" /stypes="app*4030*20161107*" /stext=" 15:.+((SYSTEM_STATE.+slice.+state.+changed )|(ment ac)|(system.+state.+changed )|(\[timeout)|(PRM\|1\|D)|(kpr)|(kdp)|(\|loc)|(penalty))" /e /r /s</v>
      </c>
      <c r="AG167" s="1" t="str">
        <f t="shared" si="72"/>
        <v>NW</v>
      </c>
      <c r="AH167" s="92" t="str">
        <f t="shared" si="73"/>
        <v>"%USERPROFILE%\Documents\GitHub\eaglep3\Utilities\RefineRTDCRunTimes.py" --tripid 810-07 --locoid 4030 --swversion DE.1.0.8.0 --startMP 300:58698 --initTime 2016-11-07T08:07:31 --startdatetime 2016-11-07T08:09:41 --delay 1 --endMP 204:621 --enddatetime 2016-11-07T08:26:25 --enforcementcount 0 &gt;&gt;C:\Users\stu\Documents\GitHub\eaglep3-reporting\EC\2016-11-07-refined-times.txt</v>
      </c>
      <c r="AI167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{"issue":{"subject":"","project_id":79,"tracker_id":40,"status_id":1,"priority_id":2,"assigned_to_id":23,"start_date":"2016-11-07","description":"","custom_fields":[{"id":1,"name":"Subdivision","value":"NW"},{"id":4,"name":"Milepost","value":"0.0621"},{"id":17,"name":"Train ID","value":"810-07"},{"id":16,"name":"Locomotive ID","value":"4030"},{"id":130,"name":"Impact","value":""},{"id":150,"name":"Time of Event (Mountain Time)","value":"08:26:25"},{"id":151,"name":"Denver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475</v>
      </c>
      <c r="B168" s="7">
        <v>4038</v>
      </c>
      <c r="C168" s="22" t="s">
        <v>237</v>
      </c>
      <c r="D168" s="22" t="s">
        <v>383</v>
      </c>
      <c r="E168" s="13">
        <v>42681.334155092591</v>
      </c>
      <c r="F168" s="13">
        <v>42681.348101851851</v>
      </c>
      <c r="G168" s="7">
        <v>1</v>
      </c>
      <c r="H168" s="22" t="s">
        <v>378</v>
      </c>
      <c r="I168" s="13">
        <v>42681.357905092591</v>
      </c>
      <c r="J168" s="7">
        <v>0</v>
      </c>
      <c r="K168" s="110" t="str">
        <f t="shared" si="62"/>
        <v>4037/4038</v>
      </c>
      <c r="L168" s="22" t="str">
        <f>VLOOKUP(A168,'Trips&amp;Operators'!$C$1:$E$10000,3,FALSE)</f>
        <v>NICHOLSON</v>
      </c>
      <c r="M168" s="6">
        <f t="shared" si="63"/>
        <v>9.8032407404389232E-3</v>
      </c>
      <c r="N168" s="7">
        <f t="shared" si="77"/>
        <v>14.116666666232049</v>
      </c>
      <c r="O168" s="7"/>
      <c r="P168" s="7"/>
      <c r="Q168" s="23"/>
      <c r="R168" s="23"/>
      <c r="S168" s="35">
        <f t="shared" si="78"/>
        <v>1</v>
      </c>
      <c r="T168" s="50" t="str">
        <f t="shared" si="65"/>
        <v>NorthBound</v>
      </c>
      <c r="U168" s="16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07:01:11-700',mode:absolute,to:'2016-11-07 09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8" s="52" t="str">
        <f t="shared" si="67"/>
        <v>N</v>
      </c>
      <c r="X168" s="174">
        <f t="shared" si="76"/>
        <v>1</v>
      </c>
      <c r="Y168" s="67">
        <f t="shared" si="79"/>
        <v>9.7100000000000006E-2</v>
      </c>
      <c r="Z168" s="67">
        <f t="shared" si="61"/>
        <v>5.8933</v>
      </c>
      <c r="AA168" s="67">
        <f t="shared" si="68"/>
        <v>5.7961999999999998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69"/>
        <v>0811-07</v>
      </c>
      <c r="AE168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8" s="88" t="str">
        <f t="shared" si="71"/>
        <v>"C:\Program Files (x86)\AstroGrep\AstroGrep.exe" /spath="%USERPROFILE%\AppData\Local\Temp\OnboardLogs" /stypes="app*4038*20161107*" /stext=" 15:.+((SYSTEM_STATE.+slice.+state.+changed )|(ment ac)|(system.+state.+changed )|(\[timeout)|(PRM\|1\|D)|(kpr)|(kdp)|(\|loc)|(penalty))" /e /r /s</v>
      </c>
      <c r="AG168" s="1" t="str">
        <f t="shared" si="72"/>
        <v>NW</v>
      </c>
      <c r="AH168" s="92" t="str">
        <f t="shared" si="73"/>
        <v>"%USERPROFILE%\Documents\GitHub\eaglep3\Utilities\RefineRTDCRunTimes.py" --tripid 811-07 --locoid 4038 --swversion DE.1.0.8.0 --startMP 204:971 --initTime 2016-11-07T08:01:11 --startdatetime 2016-11-07T08:21:16 --delay 1 --endMP 300:58933 --enddatetime 2016-11-07T08:35:23 --enforcementcount 0 &gt;&gt;C:\Users\stu\Documents\GitHub\eaglep3-reporting\EC\2016-11-07-refined-times.txt</v>
      </c>
      <c r="AI168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ID","value":"811-07"},{"id":16,"name":"Locomotive ID","value":"4038"},{"id":130,"name":"Impact","value":""},{"id":150,"name":"Time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409</v>
      </c>
      <c r="B169" s="7">
        <v>4037</v>
      </c>
      <c r="C169" s="22" t="s">
        <v>237</v>
      </c>
      <c r="D169" s="22" t="s">
        <v>377</v>
      </c>
      <c r="E169" s="13">
        <v>42681.359444444446</v>
      </c>
      <c r="F169" s="13">
        <v>42681.361307870371</v>
      </c>
      <c r="G169" s="7">
        <v>1</v>
      </c>
      <c r="H169" s="22" t="s">
        <v>374</v>
      </c>
      <c r="I169" s="13">
        <v>42681.371921296297</v>
      </c>
      <c r="J169" s="7">
        <v>0</v>
      </c>
      <c r="K169" s="110" t="str">
        <f t="shared" si="62"/>
        <v>4037/4038</v>
      </c>
      <c r="L169" s="22" t="str">
        <f>VLOOKUP(A169,'Trips&amp;Operators'!$C$1:$E$10000,3,FALSE)</f>
        <v>NICHOLSON</v>
      </c>
      <c r="M169" s="6">
        <f t="shared" si="63"/>
        <v>1.0613425925839692E-2</v>
      </c>
      <c r="N169" s="7">
        <f t="shared" si="77"/>
        <v>15.283333333209157</v>
      </c>
      <c r="O169" s="7"/>
      <c r="P169" s="7"/>
      <c r="Q169" s="23"/>
      <c r="R169" s="23"/>
      <c r="S169" s="35">
        <f t="shared" si="78"/>
        <v>1</v>
      </c>
      <c r="T169" s="50" t="str">
        <f t="shared" si="65"/>
        <v>Southbound</v>
      </c>
      <c r="U169" s="16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07:37:36-700',mode:absolute,to:'2016-11-07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9" s="52" t="str">
        <f t="shared" si="67"/>
        <v>N</v>
      </c>
      <c r="X169" s="174">
        <f t="shared" si="76"/>
        <v>1</v>
      </c>
      <c r="Y169" s="67">
        <f t="shared" si="79"/>
        <v>5.8605999999999998</v>
      </c>
      <c r="Z169" s="67">
        <f t="shared" si="61"/>
        <v>6.8400000000000002E-2</v>
      </c>
      <c r="AA169" s="67">
        <f t="shared" si="68"/>
        <v>5.7922000000000002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69"/>
        <v>0812-07</v>
      </c>
      <c r="AE169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9" s="88" t="str">
        <f t="shared" si="71"/>
        <v>"C:\Program Files (x86)\AstroGrep\AstroGrep.exe" /spath="%USERPROFILE%\AppData\Local\Temp\OnboardLogs" /stypes="app*4037*20161107*" /stext=" 15:.+((SYSTEM_STATE.+slice.+state.+changed )|(ment ac)|(system.+state.+changed )|(\[timeout)|(PRM\|1\|D)|(kpr)|(kdp)|(\|loc)|(penalty))" /e /r /s</v>
      </c>
      <c r="AG169" s="1" t="str">
        <f t="shared" si="72"/>
        <v>NW</v>
      </c>
      <c r="AH169" s="92" t="str">
        <f t="shared" si="73"/>
        <v>"%USERPROFILE%\Documents\GitHub\eaglep3\Utilities\RefineRTDCRunTimes.py" --tripid 812-07 --locoid 4037 --swversion DE.1.0.8.0 --startMP 300:58606 --initTime 2016-11-07T08:37:36 --startdatetime 2016-11-07T08:40:17 --delay 1 --endMP 204:684 --enddatetime 2016-11-07T08:55:34 --enforcementcount 0 &gt;&gt;C:\Users\stu\Documents\GitHub\eaglep3-reporting\EC\2016-11-07-refined-times.txt</v>
      </c>
      <c r="AI169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{"issue":{"subject":"","project_id":79,"tracker_id":40,"status_id":1,"priority_id":2,"assigned_to_id":23,"start_date":"2016-11-07","description":"","custom_fields":[{"id":1,"name":"Subdivision","value":"NW"},{"id":4,"name":"Milepost","value":"0.0684"},{"id":17,"name":"Train ID","value":"812-07"},{"id":16,"name":"Locomotive ID","value":"4037"},{"id":130,"name":"Impact","value":""},{"id":150,"name":"Time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486</v>
      </c>
      <c r="B170" s="7">
        <v>4038</v>
      </c>
      <c r="C170" s="22" t="s">
        <v>237</v>
      </c>
      <c r="D170" s="22" t="s">
        <v>733</v>
      </c>
      <c r="E170" s="13">
        <v>42681.376006944447</v>
      </c>
      <c r="F170" s="13">
        <v>42681.390011574076</v>
      </c>
      <c r="G170" s="7">
        <v>2</v>
      </c>
      <c r="H170" s="22" t="s">
        <v>378</v>
      </c>
      <c r="I170" s="13">
        <v>42681.39916666667</v>
      </c>
      <c r="J170" s="7">
        <v>0</v>
      </c>
      <c r="K170" s="110" t="str">
        <f t="shared" si="62"/>
        <v>4037/4038</v>
      </c>
      <c r="L170" s="22" t="str">
        <f>VLOOKUP(A170,'Trips&amp;Operators'!$C$1:$E$10000,3,FALSE)</f>
        <v>NICHOLSON</v>
      </c>
      <c r="M170" s="6">
        <f t="shared" si="63"/>
        <v>9.1550925935734995E-3</v>
      </c>
      <c r="N170" s="7">
        <f t="shared" si="77"/>
        <v>13.183333334745839</v>
      </c>
      <c r="O170" s="7"/>
      <c r="P170" s="7"/>
      <c r="Q170" s="23"/>
      <c r="R170" s="23"/>
      <c r="S170" s="35">
        <f t="shared" si="78"/>
        <v>1</v>
      </c>
      <c r="T170" s="50" t="str">
        <f t="shared" si="65"/>
        <v>NorthBound</v>
      </c>
      <c r="U170" s="16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08:01:27-700',mode:absolute,to:'2016-11-07 10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0" s="52" t="str">
        <f t="shared" si="67"/>
        <v>N</v>
      </c>
      <c r="X170" s="174">
        <f t="shared" si="76"/>
        <v>1</v>
      </c>
      <c r="Y170" s="67">
        <f t="shared" si="79"/>
        <v>9.5799999999999996E-2</v>
      </c>
      <c r="Z170" s="67">
        <f t="shared" si="61"/>
        <v>5.8933</v>
      </c>
      <c r="AA170" s="67">
        <f t="shared" si="68"/>
        <v>5.7975000000000003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69"/>
        <v>0813-07</v>
      </c>
      <c r="AE170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0" s="88" t="str">
        <f t="shared" si="71"/>
        <v>"C:\Program Files (x86)\AstroGrep\AstroGrep.exe" /spath="%USERPROFILE%\AppData\Local\Temp\OnboardLogs" /stypes="app*4038*20161107*" /stext=" 16:.+((SYSTEM_STATE.+slice.+state.+changed )|(ment ac)|(system.+state.+changed )|(\[timeout)|(PRM\|1\|D)|(kpr)|(kdp)|(\|loc)|(penalty))" /e /r /s</v>
      </c>
      <c r="AG170" s="1" t="str">
        <f t="shared" si="72"/>
        <v>NW</v>
      </c>
      <c r="AH170" s="92" t="str">
        <f t="shared" si="73"/>
        <v>"%USERPROFILE%\Documents\GitHub\eaglep3\Utilities\RefineRTDCRunTimes.py" --tripid 813-07 --locoid 4038 --swversion DE.1.0.8.0 --startMP 204:958 --initTime 2016-11-07T09:01:27 --startdatetime 2016-11-07T09:21:37 --delay 2 --endMP 300:58933 --enddatetime 2016-11-07T09:34:48 --enforcementcount 0 &gt;&gt;C:\Users\stu\Documents\GitHub\eaglep3-reporting\EC\2016-11-07-refined-times.txt</v>
      </c>
      <c r="AI170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ID","value":"813-07"},{"id":16,"name":"Locomotive ID","value":"4038"},{"id":130,"name":"Impact","value":""},{"id":150,"name":"Time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490</v>
      </c>
      <c r="B171" s="7">
        <v>4037</v>
      </c>
      <c r="C171" s="22" t="s">
        <v>237</v>
      </c>
      <c r="D171" s="22" t="s">
        <v>336</v>
      </c>
      <c r="E171" s="13">
        <v>42681.400300925925</v>
      </c>
      <c r="F171" s="13">
        <v>42681.401782407411</v>
      </c>
      <c r="G171" s="7">
        <v>1</v>
      </c>
      <c r="H171" s="22" t="s">
        <v>734</v>
      </c>
      <c r="I171" s="13">
        <v>42681.41333333333</v>
      </c>
      <c r="J171" s="7">
        <v>0</v>
      </c>
      <c r="K171" s="110" t="str">
        <f t="shared" si="62"/>
        <v>4037/4038</v>
      </c>
      <c r="L171" s="22" t="str">
        <f>VLOOKUP(A171,'Trips&amp;Operators'!$C$1:$E$10000,3,FALSE)</f>
        <v>NICHOLSON</v>
      </c>
      <c r="M171" s="6">
        <f t="shared" si="63"/>
        <v>1.155092591943685E-2</v>
      </c>
      <c r="N171" s="7">
        <f t="shared" si="77"/>
        <v>16.633333323989064</v>
      </c>
      <c r="O171" s="7"/>
      <c r="P171" s="7"/>
      <c r="Q171" s="23"/>
      <c r="R171" s="23"/>
      <c r="S171" s="35">
        <f t="shared" si="78"/>
        <v>1</v>
      </c>
      <c r="T171" s="50" t="str">
        <f t="shared" si="65"/>
        <v>Southbound</v>
      </c>
      <c r="U171" s="16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08:36:26-700',mode:absolute,to:'2016-11-07 10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1" s="52" t="str">
        <f t="shared" si="67"/>
        <v>N</v>
      </c>
      <c r="X171" s="174">
        <f t="shared" si="76"/>
        <v>1</v>
      </c>
      <c r="Y171" s="67">
        <f t="shared" si="79"/>
        <v>5.8616999999999999</v>
      </c>
      <c r="Z171" s="67">
        <f t="shared" si="61"/>
        <v>6.7100000000000007E-2</v>
      </c>
      <c r="AA171" s="67">
        <f t="shared" si="68"/>
        <v>5.7946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69"/>
        <v>0814-07</v>
      </c>
      <c r="AE171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1" s="88" t="str">
        <f t="shared" si="71"/>
        <v>"C:\Program Files (x86)\AstroGrep\AstroGrep.exe" /spath="%USERPROFILE%\AppData\Local\Temp\OnboardLogs" /stypes="app*4037*20161107*" /stext=" 16:.+((SYSTEM_STATE.+slice.+state.+changed )|(ment ac)|(system.+state.+changed )|(\[timeout)|(PRM\|1\|D)|(kpr)|(kdp)|(\|loc)|(penalty))" /e /r /s</v>
      </c>
      <c r="AG171" s="1" t="str">
        <f t="shared" si="72"/>
        <v>NW</v>
      </c>
      <c r="AH171" s="92" t="str">
        <f t="shared" si="73"/>
        <v>"%USERPROFILE%\Documents\GitHub\eaglep3\Utilities\RefineRTDCRunTimes.py" --tripid 814-07 --locoid 4037 --swversion DE.1.0.8.0 --startMP 300:58617 --initTime 2016-11-07T09:36:26 --startdatetime 2016-11-07T09:38:34 --delay 1 --endMP 204:671 --enddatetime 2016-11-07T09:55:12 --enforcementcount 0 &gt;&gt;C:\Users\stu\Documents\GitHub\eaglep3-reporting\EC\2016-11-07-refined-times.txt</v>
      </c>
      <c r="AI171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{"issue":{"subject":"","project_id":79,"tracker_id":40,"status_id":1,"priority_id":2,"assigned_to_id":23,"start_date":"2016-11-07","description":"","custom_fields":[{"id":1,"name":"Subdivision","value":"NW"},{"id":4,"name":"Milepost","value":"0.0671"},{"id":17,"name":"Train ID","value":"814-07"},{"id":16,"name":"Locomotive ID","value":"4037"},{"id":130,"name":"Impact","value":""},{"id":150,"name":"Time of Event (Mountain Time)","value":"09:55:12"},{"id":151,"name":"Denver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412</v>
      </c>
      <c r="B172" s="7">
        <v>4038</v>
      </c>
      <c r="C172" s="22" t="s">
        <v>237</v>
      </c>
      <c r="D172" s="22" t="s">
        <v>735</v>
      </c>
      <c r="E172" s="13">
        <v>42681.418368055558</v>
      </c>
      <c r="F172" s="13">
        <v>42681.431458333333</v>
      </c>
      <c r="G172" s="7">
        <v>1</v>
      </c>
      <c r="H172" s="22" t="s">
        <v>378</v>
      </c>
      <c r="I172" s="13">
        <v>42681.441145833334</v>
      </c>
      <c r="J172" s="7">
        <v>0</v>
      </c>
      <c r="K172" s="110" t="str">
        <f t="shared" si="62"/>
        <v>4037/4038</v>
      </c>
      <c r="L172" s="22" t="str">
        <f>VLOOKUP(A172,'Trips&amp;Operators'!$C$1:$E$10000,3,FALSE)</f>
        <v>NICHOLSON</v>
      </c>
      <c r="M172" s="6">
        <f t="shared" si="63"/>
        <v>9.6875000017462298E-3</v>
      </c>
      <c r="N172" s="7">
        <f t="shared" si="77"/>
        <v>13.950000002514571</v>
      </c>
      <c r="O172" s="7"/>
      <c r="P172" s="7"/>
      <c r="Q172" s="23"/>
      <c r="R172" s="23"/>
      <c r="S172" s="35">
        <f t="shared" si="78"/>
        <v>1</v>
      </c>
      <c r="T172" s="50" t="str">
        <f t="shared" si="65"/>
        <v>NorthBound</v>
      </c>
      <c r="U172" s="16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09:02:27-700',mode:absolute,to:'2016-11-07 11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2" s="52" t="str">
        <f t="shared" si="67"/>
        <v>N</v>
      </c>
      <c r="X172" s="174">
        <f t="shared" si="76"/>
        <v>1</v>
      </c>
      <c r="Y172" s="67">
        <f t="shared" si="79"/>
        <v>9.9000000000000005E-2</v>
      </c>
      <c r="Z172" s="67">
        <f t="shared" ref="Z172:Z203" si="80">RIGHT(H172,LEN(H172)-4)/10000</f>
        <v>5.8933</v>
      </c>
      <c r="AA172" s="67">
        <f t="shared" si="68"/>
        <v>5.7942999999999998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69"/>
        <v>0815-07</v>
      </c>
      <c r="AE172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2" s="88" t="str">
        <f t="shared" si="71"/>
        <v>"C:\Program Files (x86)\AstroGrep\AstroGrep.exe" /spath="%USERPROFILE%\AppData\Local\Temp\OnboardLogs" /stypes="app*4038*20161107*" /stext=" 17:.+((SYSTEM_STATE.+slice.+state.+changed )|(ment ac)|(system.+state.+changed )|(\[timeout)|(PRM\|1\|D)|(kpr)|(kdp)|(\|loc)|(penalty))" /e /r /s</v>
      </c>
      <c r="AG172" s="1" t="str">
        <f t="shared" si="72"/>
        <v>NW</v>
      </c>
      <c r="AH172" s="92" t="str">
        <f t="shared" si="73"/>
        <v>"%USERPROFILE%\Documents\GitHub\eaglep3\Utilities\RefineRTDCRunTimes.py" --tripid 815-07 --locoid 4038 --swversion DE.1.0.8.0 --startMP 204:990 --initTime 2016-11-07T10:02:27 --startdatetime 2016-11-07T10:21:18 --delay 1 --endMP 300:58933 --enddatetime 2016-11-07T10:35:15 --enforcementcount 0 &gt;&gt;C:\Users\stu\Documents\GitHub\eaglep3-reporting\EC\2016-11-07-refined-times.txt</v>
      </c>
      <c r="AI172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ID","value":"815-07"},{"id":16,"name":"Locomotive ID","value":"4038"},{"id":130,"name":"Impact","value":""},{"id":150,"name":"Time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498</v>
      </c>
      <c r="B173" s="7">
        <v>4037</v>
      </c>
      <c r="C173" s="22" t="s">
        <v>237</v>
      </c>
      <c r="D173" s="22" t="s">
        <v>250</v>
      </c>
      <c r="E173" s="13">
        <v>42681.44253472222</v>
      </c>
      <c r="F173" s="13">
        <v>42681.444178240738</v>
      </c>
      <c r="G173" s="7">
        <v>1</v>
      </c>
      <c r="H173" s="22" t="s">
        <v>736</v>
      </c>
      <c r="I173" s="13">
        <v>42681.45553240741</v>
      </c>
      <c r="J173" s="7">
        <v>0</v>
      </c>
      <c r="K173" s="110" t="str">
        <f t="shared" si="62"/>
        <v>4037/4038</v>
      </c>
      <c r="L173" s="22" t="str">
        <f>VLOOKUP(A173,'Trips&amp;Operators'!$C$1:$E$10000,3,FALSE)</f>
        <v>NICHOLSON</v>
      </c>
      <c r="M173" s="6">
        <f t="shared" si="63"/>
        <v>1.135416667239042E-2</v>
      </c>
      <c r="N173" s="7">
        <f t="shared" si="77"/>
        <v>16.350000008242205</v>
      </c>
      <c r="O173" s="7"/>
      <c r="P173" s="7"/>
      <c r="Q173" s="23"/>
      <c r="R173" s="23"/>
      <c r="S173" s="35">
        <f t="shared" si="78"/>
        <v>1</v>
      </c>
      <c r="T173" s="50" t="str">
        <f t="shared" si="65"/>
        <v>Southbound</v>
      </c>
      <c r="U173" s="16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09:37:15-700',mode:absolute,to:'2016-11-07 11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3" s="52" t="str">
        <f t="shared" si="67"/>
        <v>N</v>
      </c>
      <c r="X173" s="174">
        <f t="shared" si="76"/>
        <v>1</v>
      </c>
      <c r="Y173" s="67">
        <f t="shared" si="79"/>
        <v>5.8613</v>
      </c>
      <c r="Z173" s="67">
        <f t="shared" si="80"/>
        <v>6.2600000000000003E-2</v>
      </c>
      <c r="AA173" s="67">
        <f t="shared" si="68"/>
        <v>5.7987000000000002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69"/>
        <v>0816-07</v>
      </c>
      <c r="AE173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3" s="88" t="str">
        <f t="shared" si="71"/>
        <v>"C:\Program Files (x86)\AstroGrep\AstroGrep.exe" /spath="%USERPROFILE%\AppData\Local\Temp\OnboardLogs" /stypes="app*4037*20161107*" /stext=" 17:.+((SYSTEM_STATE.+slice.+state.+changed )|(ment ac)|(system.+state.+changed )|(\[timeout)|(PRM\|1\|D)|(kpr)|(kdp)|(\|loc)|(penalty))" /e /r /s</v>
      </c>
      <c r="AG173" s="1" t="str">
        <f t="shared" si="72"/>
        <v>NW</v>
      </c>
      <c r="AH173" s="92" t="str">
        <f t="shared" si="73"/>
        <v>"%USERPROFILE%\Documents\GitHub\eaglep3\Utilities\RefineRTDCRunTimes.py" --tripid 816-07 --locoid 4037 --swversion DE.1.0.8.0 --startMP 300:58613 --initTime 2016-11-07T10:37:15 --startdatetime 2016-11-07T10:39:37 --delay 1 --endMP 204:626 --enddatetime 2016-11-07T10:55:58 --enforcementcount 0 &gt;&gt;C:\Users\stu\Documents\GitHub\eaglep3-reporting\EC\2016-11-07-refined-times.txt</v>
      </c>
      <c r="AI173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{"issue":{"subject":"","project_id":79,"tracker_id":40,"status_id":1,"priority_id":2,"assigned_to_id":23,"start_date":"2016-11-07","description":"","custom_fields":[{"id":1,"name":"Subdivision","value":"NW"},{"id":4,"name":"Milepost","value":"0.0626"},{"id":17,"name":"Train ID","value":"816-07"},{"id":16,"name":"Locomotive ID","value":"4037"},{"id":130,"name":"Impact","value":""},{"id":150,"name":"Time of Event (Mountain Time)","value":"10:55:58"},{"id":151,"name":"Denver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501</v>
      </c>
      <c r="B174" s="7">
        <v>4038</v>
      </c>
      <c r="C174" s="22" t="s">
        <v>237</v>
      </c>
      <c r="D174" s="22" t="s">
        <v>737</v>
      </c>
      <c r="E174" s="13">
        <v>42681.458958333336</v>
      </c>
      <c r="F174" s="13">
        <v>42681.473101851851</v>
      </c>
      <c r="G174" s="7">
        <v>1</v>
      </c>
      <c r="H174" s="22" t="s">
        <v>322</v>
      </c>
      <c r="I174" s="13">
        <v>42681.482766203706</v>
      </c>
      <c r="J174" s="7">
        <v>0</v>
      </c>
      <c r="K174" s="110" t="str">
        <f t="shared" si="62"/>
        <v>4037/4038</v>
      </c>
      <c r="L174" s="22" t="str">
        <f>VLOOKUP(A174,'Trips&amp;Operators'!$C$1:$E$10000,3,FALSE)</f>
        <v>NICHOLSON</v>
      </c>
      <c r="M174" s="6">
        <f t="shared" si="63"/>
        <v>9.6643518554628827E-3</v>
      </c>
      <c r="N174" s="7">
        <f t="shared" si="77"/>
        <v>13.916666671866551</v>
      </c>
      <c r="O174" s="7"/>
      <c r="P174" s="7"/>
      <c r="Q174" s="23"/>
      <c r="R174" s="23"/>
      <c r="S174" s="35">
        <f t="shared" si="78"/>
        <v>1</v>
      </c>
      <c r="T174" s="50" t="str">
        <f t="shared" si="65"/>
        <v>NorthBound</v>
      </c>
      <c r="U174" s="16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10:00:54-700',mode:absolute,to:'2016-11-07 12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4" s="52" t="str">
        <f t="shared" si="67"/>
        <v>N</v>
      </c>
      <c r="X174" s="174">
        <f t="shared" si="76"/>
        <v>1</v>
      </c>
      <c r="Y174" s="67">
        <f t="shared" si="79"/>
        <v>9.5500000000000002E-2</v>
      </c>
      <c r="Z174" s="67">
        <f t="shared" si="80"/>
        <v>5.8936999999999999</v>
      </c>
      <c r="AA174" s="67">
        <f t="shared" si="68"/>
        <v>5.7981999999999996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69"/>
        <v>0817-07</v>
      </c>
      <c r="AE174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4" s="88" t="str">
        <f t="shared" si="71"/>
        <v>"C:\Program Files (x86)\AstroGrep\AstroGrep.exe" /spath="%USERPROFILE%\AppData\Local\Temp\OnboardLogs" /stypes="app*4038*20161107*" /stext=" 18:.+((SYSTEM_STATE.+slice.+state.+changed )|(ment ac)|(system.+state.+changed )|(\[timeout)|(PRM\|1\|D)|(kpr)|(kdp)|(\|loc)|(penalty))" /e /r /s</v>
      </c>
      <c r="AG174" s="1" t="str">
        <f t="shared" si="72"/>
        <v>NW</v>
      </c>
      <c r="AH174" s="92" t="str">
        <f t="shared" si="73"/>
        <v>"%USERPROFILE%\Documents\GitHub\eaglep3\Utilities\RefineRTDCRunTimes.py" --tripid 817-07 --locoid 4038 --swversion DE.1.0.8.0 --startMP 204:955 --initTime 2016-11-07T11:00:54 --startdatetime 2016-11-07T11:21:16 --delay 1 --endMP 300:58937 --enddatetime 2016-11-07T11:35:11 --enforcementcount 0 &gt;&gt;C:\Users\stu\Documents\GitHub\eaglep3-reporting\EC\2016-11-07-refined-times.txt</v>
      </c>
      <c r="AI174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{"issue":{"subject":"","project_id":79,"tracker_id":40,"status_id":1,"priority_id":2,"assigned_to_id":23,"start_date":"2016-11-07","description":"","custom_fields":[{"id":1,"name":"Subdivision","value":"NW"},{"id":4,"name":"Milepost","value":"5.8937"},{"id":17,"name":"Train ID","value":"817-07"},{"id":16,"name":"Locomotive ID","value":"4038"},{"id":130,"name":"Impact","value":""},{"id":150,"name":"Time of Event (Mountain Time)","value":"11:35:11"},{"id":151,"name":"Denver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510</v>
      </c>
      <c r="B175" s="7">
        <v>4037</v>
      </c>
      <c r="C175" s="22" t="s">
        <v>237</v>
      </c>
      <c r="D175" s="22" t="s">
        <v>738</v>
      </c>
      <c r="E175" s="13">
        <v>42681.483865740738</v>
      </c>
      <c r="F175" s="13">
        <v>42681.485706018517</v>
      </c>
      <c r="G175" s="7">
        <v>1</v>
      </c>
      <c r="H175" s="22" t="s">
        <v>739</v>
      </c>
      <c r="I175" s="13">
        <v>42681.496921296297</v>
      </c>
      <c r="J175" s="7">
        <v>0</v>
      </c>
      <c r="K175" s="110" t="str">
        <f t="shared" si="62"/>
        <v>4037/4038</v>
      </c>
      <c r="L175" s="22" t="str">
        <f>VLOOKUP(A175,'Trips&amp;Operators'!$C$1:$E$10000,3,FALSE)</f>
        <v>NICHOLSON</v>
      </c>
      <c r="M175" s="6">
        <f t="shared" si="63"/>
        <v>1.1215277780138422E-2</v>
      </c>
      <c r="N175" s="7">
        <f t="shared" si="77"/>
        <v>16.150000003399327</v>
      </c>
      <c r="O175" s="7"/>
      <c r="P175" s="7"/>
      <c r="Q175" s="23"/>
      <c r="R175" s="23"/>
      <c r="S175" s="35">
        <f t="shared" si="78"/>
        <v>1</v>
      </c>
      <c r="T175" s="50" t="str">
        <f t="shared" si="65"/>
        <v>Southbound</v>
      </c>
      <c r="U175" s="16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10:36:46-700',mode:absolute,to:'2016-11-07 12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5" s="52" t="str">
        <f t="shared" si="67"/>
        <v>N</v>
      </c>
      <c r="X175" s="174">
        <f t="shared" si="76"/>
        <v>1</v>
      </c>
      <c r="Y175" s="67">
        <f t="shared" si="79"/>
        <v>5.8619000000000003</v>
      </c>
      <c r="Z175" s="67">
        <f t="shared" si="80"/>
        <v>6.5600000000000006E-2</v>
      </c>
      <c r="AA175" s="67">
        <f t="shared" si="68"/>
        <v>5.7963000000000005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69"/>
        <v>0818-07</v>
      </c>
      <c r="AE175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5" s="88" t="str">
        <f t="shared" si="71"/>
        <v>"C:\Program Files (x86)\AstroGrep\AstroGrep.exe" /spath="%USERPROFILE%\AppData\Local\Temp\OnboardLogs" /stypes="app*4037*20161107*" /stext=" 18:.+((SYSTEM_STATE.+slice.+state.+changed )|(ment ac)|(system.+state.+changed )|(\[timeout)|(PRM\|1\|D)|(kpr)|(kdp)|(\|loc)|(penalty))" /e /r /s</v>
      </c>
      <c r="AG175" s="1" t="str">
        <f t="shared" si="72"/>
        <v>NW</v>
      </c>
      <c r="AH175" s="92" t="str">
        <f t="shared" si="73"/>
        <v>"%USERPROFILE%\Documents\GitHub\eaglep3\Utilities\RefineRTDCRunTimes.py" --tripid 818-07 --locoid 4037 --swversion DE.1.0.8.0 --startMP 300:58619 --initTime 2016-11-07T11:36:46 --startdatetime 2016-11-07T11:39:25 --delay 1 --endMP 204:656 --enddatetime 2016-11-07T11:55:34 --enforcementcount 0 &gt;&gt;C:\Users\stu\Documents\GitHub\eaglep3-reporting\EC\2016-11-07-refined-times.txt</v>
      </c>
      <c r="AI175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{"issue":{"subject":"","project_id":79,"tracker_id":40,"status_id":1,"priority_id":2,"assigned_to_id":23,"start_date":"2016-11-07","description":"","custom_fields":[{"id":1,"name":"Subdivision","value":"NW"},{"id":4,"name":"Milepost","value":"0.0656"},{"id":17,"name":"Train ID","value":"818-07"},{"id":16,"name":"Locomotive ID","value":"4037"},{"id":130,"name":"Impact","value":""},{"id":150,"name":"Time of Event (Mountain Time)","value":"11:55:34"},{"id":151,"name":"Denver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416</v>
      </c>
      <c r="B176" s="7">
        <v>4038</v>
      </c>
      <c r="C176" s="22" t="s">
        <v>237</v>
      </c>
      <c r="D176" s="22" t="s">
        <v>740</v>
      </c>
      <c r="E176" s="13">
        <v>42681.499097222222</v>
      </c>
      <c r="F176" s="13">
        <v>42681.514872685184</v>
      </c>
      <c r="G176" s="7">
        <v>1</v>
      </c>
      <c r="H176" s="22" t="s">
        <v>741</v>
      </c>
      <c r="I176" s="13">
        <v>42681.524548611109</v>
      </c>
      <c r="J176" s="7">
        <v>0</v>
      </c>
      <c r="K176" s="110" t="str">
        <f t="shared" si="62"/>
        <v>4037/4038</v>
      </c>
      <c r="L176" s="22" t="str">
        <f>VLOOKUP(A176,'Trips&amp;Operators'!$C$1:$E$10000,3,FALSE)</f>
        <v>NICHOLSON</v>
      </c>
      <c r="M176" s="6">
        <f t="shared" si="63"/>
        <v>9.6759259249665774E-3</v>
      </c>
      <c r="N176" s="7">
        <f t="shared" si="77"/>
        <v>13.933333331951872</v>
      </c>
      <c r="O176" s="7"/>
      <c r="P176" s="7"/>
      <c r="Q176" s="23"/>
      <c r="R176" s="23"/>
      <c r="S176" s="35">
        <f t="shared" si="78"/>
        <v>1</v>
      </c>
      <c r="T176" s="50" t="str">
        <f t="shared" si="65"/>
        <v>NorthBound</v>
      </c>
      <c r="U176" s="16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10:58:42-700',mode:absolute,to:'2016-11-07 13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6" s="52" t="str">
        <f t="shared" si="67"/>
        <v>N</v>
      </c>
      <c r="X176" s="174">
        <f t="shared" si="76"/>
        <v>1</v>
      </c>
      <c r="Y176" s="67">
        <f t="shared" si="79"/>
        <v>9.5000000000000001E-2</v>
      </c>
      <c r="Z176" s="67">
        <f t="shared" si="80"/>
        <v>5.8929</v>
      </c>
      <c r="AA176" s="67">
        <f t="shared" si="68"/>
        <v>5.7979000000000003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69"/>
        <v>0819-07</v>
      </c>
      <c r="AE176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6" s="88" t="str">
        <f t="shared" si="71"/>
        <v>"C:\Program Files (x86)\AstroGrep\AstroGrep.exe" /spath="%USERPROFILE%\AppData\Local\Temp\OnboardLogs" /stypes="app*4038*20161107*" /stext=" 19:.+((SYSTEM_STATE.+slice.+state.+changed )|(ment ac)|(system.+state.+changed )|(\[timeout)|(PRM\|1\|D)|(kpr)|(kdp)|(\|loc)|(penalty))" /e /r /s</v>
      </c>
      <c r="AG176" s="1" t="str">
        <f t="shared" si="72"/>
        <v>NW</v>
      </c>
      <c r="AH176" s="92" t="str">
        <f t="shared" si="73"/>
        <v>"%USERPROFILE%\Documents\GitHub\eaglep3\Utilities\RefineRTDCRunTimes.py" --tripid 819-07 --locoid 4038 --swversion DE.1.0.8.0 --startMP 204:950 --initTime 2016-11-07T11:58:42 --startdatetime 2016-11-07T12:21:25 --delay 1 --endMP 300:58929 --enddatetime 2016-11-07T12:35:21 --enforcementcount 0 &gt;&gt;C:\Users\stu\Documents\GitHub\eaglep3-reporting\EC\2016-11-07-refined-times.txt</v>
      </c>
      <c r="AI176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{"issue":{"subject":"","project_id":79,"tracker_id":40,"status_id":1,"priority_id":2,"assigned_to_id":23,"start_date":"2016-11-07","description":"","custom_fields":[{"id":1,"name":"Subdivision","value":"NW"},{"id":4,"name":"Milepost","value":"5.8929"},{"id":17,"name":"Train ID","value":"819-07"},{"id":16,"name":"Locomotive ID","value":"4038"},{"id":130,"name":"Impact","value":""},{"id":150,"name":"Time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517</v>
      </c>
      <c r="B177" s="7">
        <v>4037</v>
      </c>
      <c r="C177" s="22" t="s">
        <v>237</v>
      </c>
      <c r="D177" s="22" t="s">
        <v>250</v>
      </c>
      <c r="E177" s="13">
        <v>42681.525902777779</v>
      </c>
      <c r="F177" s="13">
        <v>42681.528460648151</v>
      </c>
      <c r="G177" s="7">
        <v>1</v>
      </c>
      <c r="H177" s="22" t="s">
        <v>742</v>
      </c>
      <c r="I177" s="13">
        <v>42681.538576388892</v>
      </c>
      <c r="J177" s="7">
        <v>0</v>
      </c>
      <c r="K177" s="110" t="str">
        <f t="shared" si="62"/>
        <v>4037/4038</v>
      </c>
      <c r="L177" s="22" t="str">
        <f>VLOOKUP(A177,'Trips&amp;Operators'!$C$1:$E$10000,3,FALSE)</f>
        <v>NICHOLSON</v>
      </c>
      <c r="M177" s="6">
        <f t="shared" si="63"/>
        <v>1.0115740740729962E-2</v>
      </c>
      <c r="N177" s="7">
        <f t="shared" si="77"/>
        <v>14.566666666651145</v>
      </c>
      <c r="O177" s="7"/>
      <c r="P177" s="7"/>
      <c r="Q177" s="23"/>
      <c r="R177" s="23"/>
      <c r="S177" s="35">
        <f t="shared" si="78"/>
        <v>1</v>
      </c>
      <c r="T177" s="50" t="str">
        <f t="shared" si="65"/>
        <v>Southbound</v>
      </c>
      <c r="U177" s="16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11:37:18-700',mode:absolute,to:'2016-11-07 13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7" s="52" t="str">
        <f t="shared" si="67"/>
        <v>N</v>
      </c>
      <c r="X177" s="174">
        <f t="shared" si="76"/>
        <v>1</v>
      </c>
      <c r="Y177" s="67">
        <f t="shared" si="79"/>
        <v>5.8613</v>
      </c>
      <c r="Z177" s="67">
        <f t="shared" si="80"/>
        <v>6.6299999999999998E-2</v>
      </c>
      <c r="AA177" s="67">
        <f t="shared" si="68"/>
        <v>5.7949999999999999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69"/>
        <v>0820-07</v>
      </c>
      <c r="AE177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7" s="88" t="str">
        <f t="shared" si="71"/>
        <v>"C:\Program Files (x86)\AstroGrep\AstroGrep.exe" /spath="%USERPROFILE%\AppData\Local\Temp\OnboardLogs" /stypes="app*4037*20161107*" /stext=" 19:.+((SYSTEM_STATE.+slice.+state.+changed )|(ment ac)|(system.+state.+changed )|(\[timeout)|(PRM\|1\|D)|(kpr)|(kdp)|(\|loc)|(penalty))" /e /r /s</v>
      </c>
      <c r="AG177" s="1" t="str">
        <f t="shared" si="72"/>
        <v>NW</v>
      </c>
      <c r="AH177" s="92" t="str">
        <f t="shared" si="73"/>
        <v>"%USERPROFILE%\Documents\GitHub\eaglep3\Utilities\RefineRTDCRunTimes.py" --tripid 820-07 --locoid 4037 --swversion DE.1.0.8.0 --startMP 300:58613 --initTime 2016-11-07T12:37:18 --startdatetime 2016-11-07T12:40:59 --delay 1 --endMP 204:663 --enddatetime 2016-11-07T12:55:33 --enforcementcount 0 &gt;&gt;C:\Users\stu\Documents\GitHub\eaglep3-reporting\EC\2016-11-07-refined-times.txt</v>
      </c>
      <c r="AI177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{"issue":{"subject":"","project_id":79,"tracker_id":40,"status_id":1,"priority_id":2,"assigned_to_id":23,"start_date":"2016-11-07","description":"","custom_fields":[{"id":1,"name":"Subdivision","value":"NW"},{"id":4,"name":"Milepost","value":"0.0663"},{"id":17,"name":"Train ID","value":"820-07"},{"id":16,"name":"Locomotive ID","value":"4037"},{"id":130,"name":"Impact","value":""},{"id":150,"name":"Time of Event (Mountain Time)","value":"12:55:33"},{"id":151,"name":"Denver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522</v>
      </c>
      <c r="B178" s="7">
        <v>4038</v>
      </c>
      <c r="C178" s="22" t="s">
        <v>237</v>
      </c>
      <c r="D178" s="22" t="s">
        <v>730</v>
      </c>
      <c r="E178" s="13">
        <v>42681.548414351855</v>
      </c>
      <c r="F178" s="13">
        <v>42681.556643518517</v>
      </c>
      <c r="G178" s="7">
        <v>1</v>
      </c>
      <c r="H178" s="22" t="s">
        <v>743</v>
      </c>
      <c r="I178" s="13">
        <v>42681.566365740742</v>
      </c>
      <c r="J178" s="7">
        <v>0</v>
      </c>
      <c r="K178" s="110" t="str">
        <f t="shared" si="62"/>
        <v>4037/4038</v>
      </c>
      <c r="L178" s="22" t="str">
        <f>VLOOKUP(A178,'Trips&amp;Operators'!$C$1:$E$10000,3,FALSE)</f>
        <v>SAFIEF</v>
      </c>
      <c r="M178" s="6">
        <f t="shared" si="63"/>
        <v>9.7222222248092294E-3</v>
      </c>
      <c r="N178" s="7">
        <f t="shared" si="77"/>
        <v>14.00000000372529</v>
      </c>
      <c r="O178" s="7"/>
      <c r="P178" s="7"/>
      <c r="Q178" s="23"/>
      <c r="R178" s="23"/>
      <c r="S178" s="35">
        <f t="shared" si="78"/>
        <v>1</v>
      </c>
      <c r="T178" s="50" t="str">
        <f t="shared" si="65"/>
        <v>NorthBound</v>
      </c>
      <c r="U178" s="16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12:09:43-700',mode:absolute,to:'2016-11-07 14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8" s="52" t="str">
        <f t="shared" si="67"/>
        <v>N</v>
      </c>
      <c r="X178" s="174">
        <f t="shared" si="76"/>
        <v>1</v>
      </c>
      <c r="Y178" s="67">
        <f t="shared" si="79"/>
        <v>9.5299999999999996E-2</v>
      </c>
      <c r="Z178" s="67">
        <f t="shared" si="80"/>
        <v>5.8954000000000004</v>
      </c>
      <c r="AA178" s="67">
        <f t="shared" si="68"/>
        <v>5.8001000000000005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69"/>
        <v>0821-07</v>
      </c>
      <c r="AE178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8" s="88" t="str">
        <f t="shared" si="71"/>
        <v>"C:\Program Files (x86)\AstroGrep\AstroGrep.exe" /spath="%USERPROFILE%\AppData\Local\Temp\OnboardLogs" /stypes="app*4038*20161107*" /stext=" 20:.+((SYSTEM_STATE.+slice.+state.+changed )|(ment ac)|(system.+state.+changed )|(\[timeout)|(PRM\|1\|D)|(kpr)|(kdp)|(\|loc)|(penalty))" /e /r /s</v>
      </c>
      <c r="AG178" s="1" t="str">
        <f t="shared" si="72"/>
        <v>NW</v>
      </c>
      <c r="AH178" s="92" t="str">
        <f t="shared" si="73"/>
        <v>"%USERPROFILE%\Documents\GitHub\eaglep3\Utilities\RefineRTDCRunTimes.py" --tripid 821-07 --locoid 4038 --swversion DE.1.0.8.0 --startMP 204:953 --initTime 2016-11-07T13:09:43 --startdatetime 2016-11-07T13:21:34 --delay 1 --endMP 300:58954 --enddatetime 2016-11-07T13:35:34 --enforcementcount 0 &gt;&gt;C:\Users\stu\Documents\GitHub\eaglep3-reporting\EC\2016-11-07-refined-times.txt</v>
      </c>
      <c r="AI178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{"issue":{"subject":"","project_id":79,"tracker_id":40,"status_id":1,"priority_id":2,"assigned_to_id":23,"start_date":"2016-11-07","description":"","custom_fields":[{"id":1,"name":"Subdivision","value":"NW"},{"id":4,"name":"Milepost","value":"5.8954"},{"id":17,"name":"Train ID","value":"821-07"},{"id":16,"name":"Locomotive ID","value":"4038"},{"id":130,"name":"Impact","value":""},{"id":150,"name":"Time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526</v>
      </c>
      <c r="B179" s="7">
        <v>4037</v>
      </c>
      <c r="C179" s="22" t="s">
        <v>237</v>
      </c>
      <c r="D179" s="22" t="s">
        <v>728</v>
      </c>
      <c r="E179" s="13">
        <v>42681.568148148152</v>
      </c>
      <c r="F179" s="13">
        <v>42681.570567129631</v>
      </c>
      <c r="G179" s="7">
        <v>1</v>
      </c>
      <c r="H179" s="22" t="s">
        <v>744</v>
      </c>
      <c r="I179" s="13">
        <v>42681.579884259256</v>
      </c>
      <c r="J179" s="7">
        <v>0</v>
      </c>
      <c r="K179" s="110" t="str">
        <f t="shared" si="62"/>
        <v>4037/4038</v>
      </c>
      <c r="L179" s="22" t="str">
        <f>VLOOKUP(A179,'Trips&amp;Operators'!$C$1:$E$10000,3,FALSE)</f>
        <v>SAFIEF</v>
      </c>
      <c r="M179" s="6">
        <f t="shared" si="63"/>
        <v>9.3171296248328872E-3</v>
      </c>
      <c r="N179" s="7">
        <f t="shared" si="77"/>
        <v>13.416666659759358</v>
      </c>
      <c r="O179" s="7"/>
      <c r="P179" s="7"/>
      <c r="Q179" s="23"/>
      <c r="R179" s="23"/>
      <c r="S179" s="35">
        <f t="shared" si="78"/>
        <v>1</v>
      </c>
      <c r="T179" s="50" t="str">
        <f t="shared" si="65"/>
        <v>Southbound</v>
      </c>
      <c r="U179" s="16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12:38:08-700',mode:absolute,to:'2016-11-07 14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9" s="52" t="str">
        <f t="shared" si="67"/>
        <v>N</v>
      </c>
      <c r="X179" s="174">
        <f t="shared" si="76"/>
        <v>1</v>
      </c>
      <c r="Y179" s="67">
        <f t="shared" si="79"/>
        <v>5.8632</v>
      </c>
      <c r="Z179" s="67">
        <f t="shared" si="80"/>
        <v>6.7699999999999996E-2</v>
      </c>
      <c r="AA179" s="67">
        <f t="shared" si="68"/>
        <v>5.7954999999999997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69"/>
        <v>0822-07</v>
      </c>
      <c r="AE179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9" s="88" t="str">
        <f t="shared" si="71"/>
        <v>"C:\Program Files (x86)\AstroGrep\AstroGrep.exe" /spath="%USERPROFILE%\AppData\Local\Temp\OnboardLogs" /stypes="app*4037*20161107*" /stext=" 20:.+((SYSTEM_STATE.+slice.+state.+changed )|(ment ac)|(system.+state.+changed )|(\[timeout)|(PRM\|1\|D)|(kpr)|(kdp)|(\|loc)|(penalty))" /e /r /s</v>
      </c>
      <c r="AG179" s="1" t="str">
        <f t="shared" si="72"/>
        <v>NW</v>
      </c>
      <c r="AH179" s="92" t="str">
        <f t="shared" si="73"/>
        <v>"%USERPROFILE%\Documents\GitHub\eaglep3\Utilities\RefineRTDCRunTimes.py" --tripid 822-07 --locoid 4037 --swversion DE.1.0.8.0 --startMP 300:58632 --initTime 2016-11-07T13:38:08 --startdatetime 2016-11-07T13:41:37 --delay 1 --endMP 204:677 --enddatetime 2016-11-07T13:55:02 --enforcementcount 0 &gt;&gt;C:\Users\stu\Documents\GitHub\eaglep3-reporting\EC\2016-11-07-refined-times.txt</v>
      </c>
      <c r="AI179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ID","value":"822-07"},{"id":16,"name":"Locomotive ID","value":"4037"},{"id":130,"name":"Impact","value":""},{"id":150,"name":"Time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531</v>
      </c>
      <c r="B180" s="7">
        <v>4038</v>
      </c>
      <c r="C180" s="22" t="s">
        <v>237</v>
      </c>
      <c r="D180" s="22" t="s">
        <v>745</v>
      </c>
      <c r="E180" s="13">
        <v>42681.594641203701</v>
      </c>
      <c r="F180" s="13">
        <v>42681.598194444443</v>
      </c>
      <c r="G180" s="7">
        <v>1</v>
      </c>
      <c r="H180" s="22" t="s">
        <v>378</v>
      </c>
      <c r="I180" s="13">
        <v>42681.608078703706</v>
      </c>
      <c r="J180" s="7">
        <v>0</v>
      </c>
      <c r="K180" s="110" t="str">
        <f t="shared" si="62"/>
        <v>4037/4038</v>
      </c>
      <c r="L180" s="22" t="str">
        <f>VLOOKUP(A180,'Trips&amp;Operators'!$C$1:$E$10000,3,FALSE)</f>
        <v>SAFIEF</v>
      </c>
      <c r="M180" s="6">
        <f t="shared" si="63"/>
        <v>9.8842592633445747E-3</v>
      </c>
      <c r="N180" s="7">
        <f t="shared" si="77"/>
        <v>14.233333339216188</v>
      </c>
      <c r="O180" s="7"/>
      <c r="P180" s="7"/>
      <c r="Q180" s="23"/>
      <c r="R180" s="23"/>
      <c r="S180" s="35">
        <f t="shared" si="78"/>
        <v>1</v>
      </c>
      <c r="T180" s="50" t="str">
        <f t="shared" si="65"/>
        <v>NorthBound</v>
      </c>
      <c r="U180" s="16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13:16:17-700',mode:absolute,to:'2016-11-07 15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0" s="52" t="str">
        <f t="shared" si="67"/>
        <v>N</v>
      </c>
      <c r="X180" s="174">
        <f t="shared" si="76"/>
        <v>1</v>
      </c>
      <c r="Y180" s="67">
        <f t="shared" si="79"/>
        <v>9.6199999999999994E-2</v>
      </c>
      <c r="Z180" s="67">
        <f t="shared" si="80"/>
        <v>5.8933</v>
      </c>
      <c r="AA180" s="67">
        <f t="shared" si="68"/>
        <v>5.7971000000000004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69"/>
        <v>0823-07</v>
      </c>
      <c r="AE180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0" s="88" t="str">
        <f t="shared" si="71"/>
        <v>"C:\Program Files (x86)\AstroGrep\AstroGrep.exe" /spath="%USERPROFILE%\AppData\Local\Temp\OnboardLogs" /stypes="app*4038*20161107*" /stext=" 21:.+((SYSTEM_STATE.+slice.+state.+changed )|(ment ac)|(system.+state.+changed )|(\[timeout)|(PRM\|1\|D)|(kpr)|(kdp)|(\|loc)|(penalty))" /e /r /s</v>
      </c>
      <c r="AG180" s="1" t="str">
        <f t="shared" si="72"/>
        <v>NW</v>
      </c>
      <c r="AH180" s="92" t="str">
        <f t="shared" si="73"/>
        <v>"%USERPROFILE%\Documents\GitHub\eaglep3\Utilities\RefineRTDCRunTimes.py" --tripid 823-07 --locoid 4038 --swversion DE.1.0.8.0 --startMP 204:962 --initTime 2016-11-07T14:16:17 --startdatetime 2016-11-07T14:21:24 --delay 1 --endMP 300:58933 --enddatetime 2016-11-07T14:35:38 --enforcementcount 0 &gt;&gt;C:\Users\stu\Documents\GitHub\eaglep3-reporting\EC\2016-11-07-refined-times.txt</v>
      </c>
      <c r="AI180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ID","value":"823-07"},{"id":16,"name":"Locomotive ID","value":"4038"},{"id":130,"name":"Impact","value":""},{"id":150,"name":"Time of Event (Mountain Time)","value":"14:35:38"},{"id":151,"name":"Denver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535</v>
      </c>
      <c r="B181" s="7">
        <v>4037</v>
      </c>
      <c r="C181" s="22" t="s">
        <v>237</v>
      </c>
      <c r="D181" s="22" t="s">
        <v>746</v>
      </c>
      <c r="E181" s="13">
        <v>42681.609386574077</v>
      </c>
      <c r="F181" s="13">
        <v>42681.611435185187</v>
      </c>
      <c r="G181" s="7">
        <v>1</v>
      </c>
      <c r="H181" s="22" t="s">
        <v>747</v>
      </c>
      <c r="I181" s="13">
        <v>42681.622314814813</v>
      </c>
      <c r="J181" s="7">
        <v>0</v>
      </c>
      <c r="K181" s="110" t="str">
        <f t="shared" si="62"/>
        <v>4037/4038</v>
      </c>
      <c r="L181" s="22" t="str">
        <f>VLOOKUP(A181,'Trips&amp;Operators'!$C$1:$E$10000,3,FALSE)</f>
        <v>SAFIEF</v>
      </c>
      <c r="M181" s="6">
        <f t="shared" si="63"/>
        <v>1.0879629626288079E-2</v>
      </c>
      <c r="N181" s="7">
        <f t="shared" si="77"/>
        <v>15.666666661854833</v>
      </c>
      <c r="O181" s="7"/>
      <c r="P181" s="7"/>
      <c r="Q181" s="23"/>
      <c r="R181" s="23"/>
      <c r="S181" s="35">
        <f t="shared" si="78"/>
        <v>1</v>
      </c>
      <c r="T181" s="50" t="str">
        <f t="shared" si="65"/>
        <v>Southbound</v>
      </c>
      <c r="U181" s="16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13:37:31-700',mode:absolute,to:'2016-11-07 15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1" s="52" t="str">
        <f t="shared" si="67"/>
        <v>N</v>
      </c>
      <c r="X181" s="174">
        <f t="shared" si="76"/>
        <v>1</v>
      </c>
      <c r="Y181" s="67">
        <f t="shared" si="79"/>
        <v>5.8624000000000001</v>
      </c>
      <c r="Z181" s="67">
        <f t="shared" si="80"/>
        <v>6.9800000000000001E-2</v>
      </c>
      <c r="AA181" s="67">
        <f t="shared" si="68"/>
        <v>5.7926000000000002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69"/>
        <v>0824-07</v>
      </c>
      <c r="AE181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1" s="88" t="str">
        <f t="shared" si="71"/>
        <v>"C:\Program Files (x86)\AstroGrep\AstroGrep.exe" /spath="%USERPROFILE%\AppData\Local\Temp\OnboardLogs" /stypes="app*4037*20161107*" /stext=" 21:.+((SYSTEM_STATE.+slice.+state.+changed )|(ment ac)|(system.+state.+changed )|(\[timeout)|(PRM\|1\|D)|(kpr)|(kdp)|(\|loc)|(penalty))" /e /r /s</v>
      </c>
      <c r="AG181" s="1" t="str">
        <f t="shared" si="72"/>
        <v>NW</v>
      </c>
      <c r="AH181" s="92" t="str">
        <f t="shared" si="73"/>
        <v>"%USERPROFILE%\Documents\GitHub\eaglep3\Utilities\RefineRTDCRunTimes.py" --tripid 824-07 --locoid 4037 --swversion DE.1.0.8.0 --startMP 300:58624 --initTime 2016-11-07T14:37:31 --startdatetime 2016-11-07T14:40:28 --delay 1 --endMP 204:698 --enddatetime 2016-11-07T14:56:08 --enforcementcount 0 &gt;&gt;C:\Users\stu\Documents\GitHub\eaglep3-reporting\EC\2016-11-07-refined-times.txt</v>
      </c>
      <c r="AI181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{"issue":{"subject":"","project_id":79,"tracker_id":40,"status_id":1,"priority_id":2,"assigned_to_id":23,"start_date":"2016-11-07","description":"","custom_fields":[{"id":1,"name":"Subdivision","value":"NW"},{"id":4,"name":"Milepost","value":"0.0698"},{"id":17,"name":"Train ID","value":"824-07"},{"id":16,"name":"Locomotive ID","value":"4037"},{"id":130,"name":"Impact","value":""},{"id":150,"name":"Time of Event (Mountain Time)","value":"14:56:08"},{"id":151,"name":"Denver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422</v>
      </c>
      <c r="B182" s="7">
        <v>4038</v>
      </c>
      <c r="C182" s="22" t="s">
        <v>237</v>
      </c>
      <c r="D182" s="22" t="s">
        <v>381</v>
      </c>
      <c r="E182" s="13">
        <v>42681.635266203702</v>
      </c>
      <c r="F182" s="13">
        <v>42681.639826388891</v>
      </c>
      <c r="G182" s="7">
        <v>1</v>
      </c>
      <c r="H182" s="22" t="s">
        <v>337</v>
      </c>
      <c r="I182" s="13">
        <v>42681.64912037037</v>
      </c>
      <c r="J182" s="7">
        <v>0</v>
      </c>
      <c r="K182" s="110" t="str">
        <f t="shared" si="62"/>
        <v>4037/4038</v>
      </c>
      <c r="L182" s="22" t="str">
        <f>VLOOKUP(A182,'Trips&amp;Operators'!$C$1:$E$10000,3,FALSE)</f>
        <v>SAFIEF</v>
      </c>
      <c r="M182" s="6">
        <f t="shared" si="63"/>
        <v>9.29398147854954E-3</v>
      </c>
      <c r="N182" s="7">
        <f t="shared" si="77"/>
        <v>13.383333329111338</v>
      </c>
      <c r="O182" s="7"/>
      <c r="P182" s="7"/>
      <c r="Q182" s="23"/>
      <c r="R182" s="23"/>
      <c r="S182" s="35">
        <f t="shared" si="78"/>
        <v>1</v>
      </c>
      <c r="T182" s="50" t="str">
        <f t="shared" si="65"/>
        <v>NorthBound</v>
      </c>
      <c r="U182" s="16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14:14:47-700',mode:absolute,to:'2016-11-07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2" s="52" t="str">
        <f t="shared" si="67"/>
        <v>N</v>
      </c>
      <c r="X182" s="174">
        <f t="shared" si="76"/>
        <v>1</v>
      </c>
      <c r="Y182" s="67">
        <f t="shared" si="79"/>
        <v>9.69E-2</v>
      </c>
      <c r="Z182" s="67">
        <f t="shared" si="80"/>
        <v>5.8935000000000004</v>
      </c>
      <c r="AA182" s="67">
        <f t="shared" si="68"/>
        <v>5.7966000000000006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69"/>
        <v>0825-07</v>
      </c>
      <c r="AE182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2" s="88" t="str">
        <f t="shared" si="71"/>
        <v>"C:\Program Files (x86)\AstroGrep\AstroGrep.exe" /spath="%USERPROFILE%\AppData\Local\Temp\OnboardLogs" /stypes="app*4038*20161107*" /stext=" 22:.+((SYSTEM_STATE.+slice.+state.+changed )|(ment ac)|(system.+state.+changed )|(\[timeout)|(PRM\|1\|D)|(kpr)|(kdp)|(\|loc)|(penalty))" /e /r /s</v>
      </c>
      <c r="AG182" s="1" t="str">
        <f t="shared" si="72"/>
        <v>NW</v>
      </c>
      <c r="AH182" s="92" t="str">
        <f t="shared" si="73"/>
        <v>"%USERPROFILE%\Documents\GitHub\eaglep3\Utilities\RefineRTDCRunTimes.py" --tripid 825-07 --locoid 4038 --swversion DE.1.0.8.0 --startMP 204:969 --initTime 2016-11-07T15:14:47 --startdatetime 2016-11-07T15:21:21 --delay 1 --endMP 300:58935 --enddatetime 2016-11-07T15:34:44 --enforcementcount 0 &gt;&gt;C:\Users\stu\Documents\GitHub\eaglep3-reporting\EC\2016-11-07-refined-times.txt</v>
      </c>
      <c r="AI182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ID","value":"825-07"},{"id":16,"name":"Locomotive ID","value":"4038"},{"id":130,"name":"Impact","value":""},{"id":150,"name":"Time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543</v>
      </c>
      <c r="B183" s="7">
        <v>4037</v>
      </c>
      <c r="C183" s="22" t="s">
        <v>237</v>
      </c>
      <c r="D183" s="22" t="s">
        <v>304</v>
      </c>
      <c r="E183" s="13">
        <v>42681.651134259257</v>
      </c>
      <c r="F183" s="13">
        <v>42681.653402777774</v>
      </c>
      <c r="G183" s="7">
        <v>1</v>
      </c>
      <c r="H183" s="22" t="s">
        <v>744</v>
      </c>
      <c r="I183" s="13">
        <v>42681.664270833331</v>
      </c>
      <c r="J183" s="7">
        <v>0</v>
      </c>
      <c r="K183" s="110" t="str">
        <f t="shared" si="62"/>
        <v>4037/4038</v>
      </c>
      <c r="L183" s="22" t="str">
        <f>VLOOKUP(A183,'Trips&amp;Operators'!$C$1:$E$10000,3,FALSE)</f>
        <v>SAFIEF</v>
      </c>
      <c r="M183" s="6">
        <f t="shared" si="63"/>
        <v>1.0868055556784384E-2</v>
      </c>
      <c r="N183" s="7">
        <f t="shared" si="77"/>
        <v>15.650000001769513</v>
      </c>
      <c r="O183" s="7"/>
      <c r="P183" s="7"/>
      <c r="Q183" s="23"/>
      <c r="R183" s="23"/>
      <c r="S183" s="35">
        <f t="shared" si="78"/>
        <v>1</v>
      </c>
      <c r="T183" s="50" t="str">
        <f t="shared" si="65"/>
        <v>Southbound</v>
      </c>
      <c r="U183" s="16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14:37:38-700',mode:absolute,to:'2016-11-07 16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3" s="52" t="str">
        <f t="shared" si="67"/>
        <v>N</v>
      </c>
      <c r="X183" s="174">
        <f t="shared" si="76"/>
        <v>1</v>
      </c>
      <c r="Y183" s="67">
        <f t="shared" si="79"/>
        <v>5.8615000000000004</v>
      </c>
      <c r="Z183" s="67">
        <f t="shared" si="80"/>
        <v>6.7699999999999996E-2</v>
      </c>
      <c r="AA183" s="67">
        <f t="shared" si="68"/>
        <v>5.7938000000000001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69"/>
        <v>0826-07</v>
      </c>
      <c r="AE183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3" s="88" t="str">
        <f t="shared" si="71"/>
        <v>"C:\Program Files (x86)\AstroGrep\AstroGrep.exe" /spath="%USERPROFILE%\AppData\Local\Temp\OnboardLogs" /stypes="app*4037*20161107*" /stext=" 22:.+((SYSTEM_STATE.+slice.+state.+changed )|(ment ac)|(system.+state.+changed )|(\[timeout)|(PRM\|1\|D)|(kpr)|(kdp)|(\|loc)|(penalty))" /e /r /s</v>
      </c>
      <c r="AG183" s="1" t="str">
        <f t="shared" si="72"/>
        <v>NW</v>
      </c>
      <c r="AH183" s="92" t="str">
        <f t="shared" si="73"/>
        <v>"%USERPROFILE%\Documents\GitHub\eaglep3\Utilities\RefineRTDCRunTimes.py" --tripid 826-07 --locoid 4037 --swversion DE.1.0.8.0 --startMP 300:58615 --initTime 2016-11-07T15:37:38 --startdatetime 2016-11-07T15:40:54 --delay 1 --endMP 204:677 --enddatetime 2016-11-07T15:56:33 --enforcementcount 0 &gt;&gt;C:\Users\stu\Documents\GitHub\eaglep3-reporting\EC\2016-11-07-refined-times.txt</v>
      </c>
      <c r="AI183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ID","value":"826-07"},{"id":16,"name":"Locomotive ID","value":"4037"},{"id":130,"name":"Impact","value":""},{"id":150,"name":"Time of Event (Mountain Time)","value":"15:56:33"},{"id":151,"name":"Denver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545</v>
      </c>
      <c r="B184" s="7">
        <v>4029</v>
      </c>
      <c r="C184" s="22" t="s">
        <v>237</v>
      </c>
      <c r="D184" s="22" t="s">
        <v>748</v>
      </c>
      <c r="E184" s="13">
        <v>42681.654305555552</v>
      </c>
      <c r="F184" s="13">
        <v>42681.66064814815</v>
      </c>
      <c r="G184" s="7">
        <v>1</v>
      </c>
      <c r="H184" s="22" t="s">
        <v>749</v>
      </c>
      <c r="I184" s="13">
        <v>42681.670787037037</v>
      </c>
      <c r="J184" s="7">
        <v>0</v>
      </c>
      <c r="K184" s="110" t="str">
        <f t="shared" si="62"/>
        <v>4029/4030</v>
      </c>
      <c r="L184" s="22" t="str">
        <f>VLOOKUP(A184,'Trips&amp;Operators'!$C$1:$E$10000,3,FALSE)</f>
        <v>CRAYTON</v>
      </c>
      <c r="M184" s="6">
        <f t="shared" si="63"/>
        <v>1.0138888887013309E-2</v>
      </c>
      <c r="N184" s="7">
        <f t="shared" si="77"/>
        <v>14.599999997299165</v>
      </c>
      <c r="O184" s="7"/>
      <c r="P184" s="7"/>
      <c r="Q184" s="23"/>
      <c r="R184" s="23"/>
      <c r="S184" s="35">
        <f t="shared" si="78"/>
        <v>1</v>
      </c>
      <c r="T184" s="50" t="str">
        <f t="shared" si="65"/>
        <v>NorthBound</v>
      </c>
      <c r="U184" s="16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14:42:12-700',mode:absolute,to:'2016-11-07 17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2" t="str">
        <f t="shared" si="67"/>
        <v>N</v>
      </c>
      <c r="X184" s="174">
        <f t="shared" si="76"/>
        <v>1</v>
      </c>
      <c r="Y184" s="67">
        <f t="shared" si="79"/>
        <v>4.2099999999999999E-2</v>
      </c>
      <c r="Z184" s="67">
        <f t="shared" si="80"/>
        <v>5.8921999999999999</v>
      </c>
      <c r="AA184" s="67">
        <f t="shared" si="68"/>
        <v>5.8501000000000003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69"/>
        <v>0827-07</v>
      </c>
      <c r="AE184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84" s="88" t="str">
        <f t="shared" si="71"/>
        <v>"C:\Program Files (x86)\AstroGrep\AstroGrep.exe" /spath="%USERPROFILE%\AppData\Local\Temp\OnboardLogs" /stypes="app*4029*20161107*" /stext=" 23:.+((SYSTEM_STATE.+slice.+state.+changed )|(ment ac)|(system.+state.+changed )|(\[timeout)|(PRM\|1\|D)|(kpr)|(kdp)|(\|loc)|(penalty))" /e /r /s</v>
      </c>
      <c r="AG184" s="1" t="str">
        <f t="shared" si="72"/>
        <v>NW</v>
      </c>
      <c r="AH184" s="92" t="str">
        <f t="shared" si="73"/>
        <v>"%USERPROFILE%\Documents\GitHub\eaglep3\Utilities\RefineRTDCRunTimes.py" --tripid 827-07 --locoid 4029 --swversion DE.1.0.8.0 --startMP 204:421 --initTime 2016-11-07T15:42:12 --startdatetime 2016-11-07T15:51:20 --delay 1 --endMP 300:58922 --enddatetime 2016-11-07T16:05:56 --enforcementcount 0 &gt;&gt;C:\Users\stu\Documents\GitHub\eaglep3-reporting\EC\2016-11-07-refined-times.txt</v>
      </c>
      <c r="AI184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{"issue":{"subject":"","project_id":79,"tracker_id":40,"status_id":1,"priority_id":2,"assigned_to_id":23,"start_date":"2016-11-07","description":"","custom_fields":[{"id":1,"name":"Subdivision","value":"NW"},{"id":4,"name":"Milepost","value":"5.8922"},{"id":17,"name":"Train ID","value":"827-07"},{"id":16,"name":"Locomotive ID","value":"4029"},{"id":130,"name":"Impact","value":""},{"id":150,"name":"Time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548</v>
      </c>
      <c r="B185" s="7">
        <v>4030</v>
      </c>
      <c r="C185" s="22" t="s">
        <v>237</v>
      </c>
      <c r="D185" s="22" t="s">
        <v>250</v>
      </c>
      <c r="E185" s="13">
        <v>42681.671631944446</v>
      </c>
      <c r="F185" s="13">
        <v>42681.673020833332</v>
      </c>
      <c r="G185" s="7">
        <v>1</v>
      </c>
      <c r="H185" s="22" t="s">
        <v>750</v>
      </c>
      <c r="I185" s="13">
        <v>42681.685196759259</v>
      </c>
      <c r="J185" s="7">
        <v>0</v>
      </c>
      <c r="K185" s="110" t="str">
        <f t="shared" si="62"/>
        <v>4029/4030</v>
      </c>
      <c r="L185" s="22" t="str">
        <f>VLOOKUP(A185,'Trips&amp;Operators'!$C$1:$E$10000,3,FALSE)</f>
        <v>CRAYTON</v>
      </c>
      <c r="M185" s="6">
        <f t="shared" si="63"/>
        <v>1.2175925927294884E-2</v>
      </c>
      <c r="N185" s="7">
        <f t="shared" si="77"/>
        <v>17.533333335304633</v>
      </c>
      <c r="O185" s="7"/>
      <c r="P185" s="7"/>
      <c r="Q185" s="23"/>
      <c r="R185" s="23"/>
      <c r="S185" s="35">
        <f t="shared" si="78"/>
        <v>1</v>
      </c>
      <c r="T185" s="50" t="str">
        <f t="shared" si="65"/>
        <v>Southbound</v>
      </c>
      <c r="U185" s="16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15:07:09-700',mode:absolute,to:'2016-11-07 17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2" t="str">
        <f t="shared" si="67"/>
        <v>N</v>
      </c>
      <c r="X185" s="174">
        <f t="shared" si="76"/>
        <v>1</v>
      </c>
      <c r="Y185" s="67">
        <f t="shared" si="79"/>
        <v>5.8613</v>
      </c>
      <c r="Z185" s="67">
        <f t="shared" si="80"/>
        <v>7.0099999999999996E-2</v>
      </c>
      <c r="AA185" s="67">
        <f t="shared" si="68"/>
        <v>5.7911999999999999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69"/>
        <v>0828-07</v>
      </c>
      <c r="AE185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85" s="88" t="str">
        <f t="shared" si="71"/>
        <v>"C:\Program Files (x86)\AstroGrep\AstroGrep.exe" /spath="%USERPROFILE%\AppData\Local\Temp\OnboardLogs" /stypes="app*4030*20161107*" /stext=" 23:.+((SYSTEM_STATE.+slice.+state.+changed )|(ment ac)|(system.+state.+changed )|(\[timeout)|(PRM\|1\|D)|(kpr)|(kdp)|(\|loc)|(penalty))" /e /r /s</v>
      </c>
      <c r="AG185" s="1" t="str">
        <f t="shared" si="72"/>
        <v>NW</v>
      </c>
      <c r="AH185" s="92" t="str">
        <f t="shared" si="73"/>
        <v>"%USERPROFILE%\Documents\GitHub\eaglep3\Utilities\RefineRTDCRunTimes.py" --tripid 828-07 --locoid 4030 --swversion DE.1.0.8.0 --startMP 300:58613 --initTime 2016-11-07T16:07:09 --startdatetime 2016-11-07T16:09:09 --delay 1 --endMP 204:701 --enddatetime 2016-11-07T16:26:41 --enforcementcount 0 &gt;&gt;C:\Users\stu\Documents\GitHub\eaglep3-reporting\EC\2016-11-07-refined-times.txt</v>
      </c>
      <c r="AI185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{"issue":{"subject":"","project_id":79,"tracker_id":40,"status_id":1,"priority_id":2,"assigned_to_id":23,"start_date":"2016-11-07","description":"","custom_fields":[{"id":1,"name":"Subdivision","value":"NW"},{"id":4,"name":"Milepost","value":"0.0701"},{"id":17,"name":"Train ID","value":"828-07"},{"id":16,"name":"Locomotive ID","value":"4030"},{"id":130,"name":"Impact","value":""},{"id":150,"name":"Time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551</v>
      </c>
      <c r="B186" s="7">
        <v>4038</v>
      </c>
      <c r="C186" s="22" t="s">
        <v>237</v>
      </c>
      <c r="D186" s="22" t="s">
        <v>383</v>
      </c>
      <c r="E186" s="13">
        <v>42681.677430555559</v>
      </c>
      <c r="F186" s="13">
        <v>42681.681689814817</v>
      </c>
      <c r="G186" s="7">
        <v>1</v>
      </c>
      <c r="H186" s="22" t="s">
        <v>322</v>
      </c>
      <c r="I186" s="13">
        <v>42681.691608796296</v>
      </c>
      <c r="J186" s="7">
        <v>0</v>
      </c>
      <c r="K186" s="110" t="str">
        <f t="shared" si="62"/>
        <v>4037/4038</v>
      </c>
      <c r="L186" s="22" t="str">
        <f>VLOOKUP(A186,'Trips&amp;Operators'!$C$1:$E$10000,3,FALSE)</f>
        <v>SAFIEF</v>
      </c>
      <c r="M186" s="6">
        <f t="shared" si="63"/>
        <v>9.9189814791316167E-3</v>
      </c>
      <c r="N186" s="7">
        <f t="shared" si="77"/>
        <v>14.283333329949528</v>
      </c>
      <c r="O186" s="7"/>
      <c r="P186" s="7"/>
      <c r="Q186" s="23"/>
      <c r="R186" s="23"/>
      <c r="S186" s="35">
        <f t="shared" si="78"/>
        <v>1</v>
      </c>
      <c r="T186" s="50" t="str">
        <f t="shared" si="65"/>
        <v>NorthBound</v>
      </c>
      <c r="U186" s="16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15:15:30-700',mode:absolute,to:'2016-11-07 17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6" s="52" t="str">
        <f t="shared" si="67"/>
        <v>N</v>
      </c>
      <c r="X186" s="174">
        <f t="shared" si="76"/>
        <v>1</v>
      </c>
      <c r="Y186" s="67">
        <f t="shared" si="79"/>
        <v>9.7100000000000006E-2</v>
      </c>
      <c r="Z186" s="67">
        <f t="shared" si="80"/>
        <v>5.8936999999999999</v>
      </c>
      <c r="AA186" s="67">
        <f t="shared" si="68"/>
        <v>5.7965999999999998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69"/>
        <v>0829-07</v>
      </c>
      <c r="AE186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6" s="88" t="str">
        <f t="shared" si="71"/>
        <v>"C:\Program Files (x86)\AstroGrep\AstroGrep.exe" /spath="%USERPROFILE%\AppData\Local\Temp\OnboardLogs" /stypes="app*4038*20161107*" /stext=" 23:.+((SYSTEM_STATE.+slice.+state.+changed )|(ment ac)|(system.+state.+changed )|(\[timeout)|(PRM\|1\|D)|(kpr)|(kdp)|(\|loc)|(penalty))" /e /r /s</v>
      </c>
      <c r="AG186" s="1" t="str">
        <f t="shared" si="72"/>
        <v>NW</v>
      </c>
      <c r="AH186" s="92" t="str">
        <f t="shared" si="73"/>
        <v>"%USERPROFILE%\Documents\GitHub\eaglep3\Utilities\RefineRTDCRunTimes.py" --tripid 829-07 --locoid 4038 --swversion DE.1.0.8.0 --startMP 204:971 --initTime 2016-11-07T16:15:30 --startdatetime 2016-11-07T16:21:38 --delay 1 --endMP 300:58937 --enddatetime 2016-11-07T16:35:55 --enforcementcount 0 &gt;&gt;C:\Users\stu\Documents\GitHub\eaglep3-reporting\EC\2016-11-07-refined-times.txt</v>
      </c>
      <c r="AI186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{"issue":{"subject":"","project_id":79,"tracker_id":40,"status_id":1,"priority_id":2,"assigned_to_id":23,"start_date":"2016-11-07","description":"","custom_fields":[{"id":1,"name":"Subdivision","value":"NW"},{"id":4,"name":"Milepost","value":"5.8937"},{"id":17,"name":"Train ID","value":"829-07"},{"id":16,"name":"Locomotive ID","value":"4038"},{"id":130,"name":"Impact","value":""},{"id":150,"name":"Time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555</v>
      </c>
      <c r="B187" s="7">
        <v>4037</v>
      </c>
      <c r="C187" s="22" t="s">
        <v>237</v>
      </c>
      <c r="D187" s="22" t="s">
        <v>339</v>
      </c>
      <c r="E187" s="13">
        <v>42681.693518518521</v>
      </c>
      <c r="F187" s="13">
        <v>42681.695740740739</v>
      </c>
      <c r="G187" s="7">
        <v>1</v>
      </c>
      <c r="H187" s="22" t="s">
        <v>750</v>
      </c>
      <c r="I187" s="13">
        <v>42681.706041666665</v>
      </c>
      <c r="J187" s="7">
        <v>0</v>
      </c>
      <c r="K187" s="110" t="str">
        <f t="shared" si="62"/>
        <v>4037/4038</v>
      </c>
      <c r="L187" s="22" t="str">
        <f>VLOOKUP(A187,'Trips&amp;Operators'!$C$1:$E$10000,3,FALSE)</f>
        <v>SAFIEF</v>
      </c>
      <c r="M187" s="6">
        <f t="shared" si="63"/>
        <v>1.0300925925548654E-2</v>
      </c>
      <c r="N187" s="7">
        <f t="shared" si="77"/>
        <v>14.833333332790062</v>
      </c>
      <c r="O187" s="7"/>
      <c r="P187" s="7"/>
      <c r="Q187" s="23"/>
      <c r="R187" s="23"/>
      <c r="S187" s="35">
        <f t="shared" si="78"/>
        <v>1</v>
      </c>
      <c r="T187" s="50" t="str">
        <f t="shared" si="65"/>
        <v>Southbound</v>
      </c>
      <c r="U187" s="16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15:38:40-700',mode:absolute,to:'2016-11-07 17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7" s="52" t="str">
        <f t="shared" si="67"/>
        <v>N</v>
      </c>
      <c r="X187" s="174">
        <f t="shared" si="76"/>
        <v>1</v>
      </c>
      <c r="Y187" s="67">
        <f t="shared" si="79"/>
        <v>5.8623000000000003</v>
      </c>
      <c r="Z187" s="67">
        <f t="shared" si="80"/>
        <v>7.0099999999999996E-2</v>
      </c>
      <c r="AA187" s="67">
        <f t="shared" si="68"/>
        <v>5.7922000000000002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69"/>
        <v>0830-07</v>
      </c>
      <c r="AE187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7" s="88" t="str">
        <f t="shared" si="71"/>
        <v>"C:\Program Files (x86)\AstroGrep\AstroGrep.exe" /spath="%USERPROFILE%\AppData\Local\Temp\OnboardLogs" /stypes="app*4037*20161107*" /stext=" 23:.+((SYSTEM_STATE.+slice.+state.+changed )|(ment ac)|(system.+state.+changed )|(\[timeout)|(PRM\|1\|D)|(kpr)|(kdp)|(\|loc)|(penalty))" /e /r /s</v>
      </c>
      <c r="AG187" s="1" t="str">
        <f t="shared" si="72"/>
        <v>NW</v>
      </c>
      <c r="AH187" s="92" t="str">
        <f t="shared" si="73"/>
        <v>"%USERPROFILE%\Documents\GitHub\eaglep3\Utilities\RefineRTDCRunTimes.py" --tripid 830-07 --locoid 4037 --swversion DE.1.0.8.0 --startMP 300:58623 --initTime 2016-11-07T16:38:40 --startdatetime 2016-11-07T16:41:52 --delay 1 --endMP 204:701 --enddatetime 2016-11-07T16:56:42 --enforcementcount 0 &gt;&gt;C:\Users\stu\Documents\GitHub\eaglep3-reporting\EC\2016-11-07-refined-times.txt</v>
      </c>
      <c r="AI187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{"issue":{"subject":"","project_id":79,"tracker_id":40,"status_id":1,"priority_id":2,"assigned_to_id":23,"start_date":"2016-11-07","description":"","custom_fields":[{"id":1,"name":"Subdivision","value":"NW"},{"id":4,"name":"Milepost","value":"0.0701"},{"id":17,"name":"Train ID","value":"830-07"},{"id":16,"name":"Locomotive ID","value":"4037"},{"id":130,"name":"Impact","value":""},{"id":150,"name":"Time of Event (Mountain Time)","value":"16:56:42"},{"id":151,"name":"Denver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556</v>
      </c>
      <c r="B188" s="7">
        <v>4029</v>
      </c>
      <c r="C188" s="22" t="s">
        <v>237</v>
      </c>
      <c r="D188" s="22" t="s">
        <v>385</v>
      </c>
      <c r="E188" s="13">
        <v>42681.700011574074</v>
      </c>
      <c r="F188" s="13">
        <v>42681.702453703707</v>
      </c>
      <c r="G188" s="7">
        <v>1</v>
      </c>
      <c r="H188" s="22" t="s">
        <v>378</v>
      </c>
      <c r="I188" s="13">
        <v>42681.712627314817</v>
      </c>
      <c r="J188" s="7">
        <v>0</v>
      </c>
      <c r="K188" s="110" t="str">
        <f t="shared" si="62"/>
        <v>4029/4030</v>
      </c>
      <c r="L188" s="22" t="str">
        <f>VLOOKUP(A188,'Trips&amp;Operators'!$C$1:$E$10000,3,FALSE)</f>
        <v>CRAYTON</v>
      </c>
      <c r="M188" s="6">
        <f t="shared" si="63"/>
        <v>1.0173611110076308E-2</v>
      </c>
      <c r="N188" s="7">
        <f t="shared" si="77"/>
        <v>14.649999998509884</v>
      </c>
      <c r="O188" s="7"/>
      <c r="P188" s="7"/>
      <c r="Q188" s="23"/>
      <c r="R188" s="23"/>
      <c r="S188" s="35">
        <f t="shared" si="78"/>
        <v>1</v>
      </c>
      <c r="T188" s="50" t="str">
        <f t="shared" si="65"/>
        <v>NorthBound</v>
      </c>
      <c r="U188" s="16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15:48:01-700',mode:absolute,to:'2016-11-07 18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2" t="str">
        <f t="shared" si="67"/>
        <v>N</v>
      </c>
      <c r="X188" s="174">
        <f t="shared" ref="X188:X190" si="81">VALUE(LEFT(AD188,4))-VALUE(LEFT(AD187,4))</f>
        <v>1</v>
      </c>
      <c r="Y188" s="67">
        <f t="shared" si="79"/>
        <v>9.74E-2</v>
      </c>
      <c r="Z188" s="67">
        <f t="shared" si="80"/>
        <v>5.8933</v>
      </c>
      <c r="AA188" s="67">
        <f t="shared" si="68"/>
        <v>5.7958999999999996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69"/>
        <v>0831-07</v>
      </c>
      <c r="AE188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88" s="88" t="str">
        <f t="shared" si="71"/>
        <v>"C:\Program Files (x86)\AstroGrep\AstroGrep.exe" /spath="%USERPROFILE%\AppData\Local\Temp\OnboardLogs" /stypes="app*4029*20161108*" /stext=" 00:.+((SYSTEM_STATE.+slice.+state.+changed )|(ment ac)|(system.+state.+changed )|(\[timeout)|(PRM\|1\|D)|(kpr)|(kdp)|(\|loc)|(penalty))" /e /r /s</v>
      </c>
      <c r="AG188" s="1" t="str">
        <f t="shared" si="72"/>
        <v>NW</v>
      </c>
      <c r="AH188" s="92" t="str">
        <f t="shared" si="73"/>
        <v>"%USERPROFILE%\Documents\GitHub\eaglep3\Utilities\RefineRTDCRunTimes.py" --tripid 831-07 --locoid 4029 --swversion DE.1.0.8.0 --startMP 204:974 --initTime 2016-11-07T16:48:01 --startdatetime 2016-11-07T16:51:32 --delay 1 --endMP 300:58933 --enddatetime 2016-11-07T17:06:11 --enforcementcount 0 &gt;&gt;C:\Users\stu\Documents\GitHub\eaglep3-reporting\EC\2016-11-07-refined-times.txt</v>
      </c>
      <c r="AI188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ID","value":"831-07"},{"id":16,"name":"Locomotive ID","value":"4029"},{"id":130,"name":"Impact","value":""},{"id":150,"name":"Time of Event (Mountain Time)","value":"17:06:11"},{"id":151,"name":"Denver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559</v>
      </c>
      <c r="B189" s="7">
        <v>4030</v>
      </c>
      <c r="C189" s="22" t="s">
        <v>237</v>
      </c>
      <c r="D189" s="22" t="s">
        <v>384</v>
      </c>
      <c r="E189" s="13">
        <v>42681.713541666664</v>
      </c>
      <c r="F189" s="13">
        <v>42681.714814814812</v>
      </c>
      <c r="G189" s="7">
        <v>1</v>
      </c>
      <c r="H189" s="22" t="s">
        <v>751</v>
      </c>
      <c r="I189" s="13">
        <v>42681.726469907408</v>
      </c>
      <c r="J189" s="7">
        <v>0</v>
      </c>
      <c r="K189" s="110" t="str">
        <f t="shared" si="62"/>
        <v>4029/4030</v>
      </c>
      <c r="L189" s="22" t="str">
        <f>VLOOKUP(A189,'Trips&amp;Operators'!$C$1:$E$10000,3,FALSE)</f>
        <v>CRAYTON</v>
      </c>
      <c r="M189" s="6">
        <f t="shared" si="63"/>
        <v>1.1655092595901806E-2</v>
      </c>
      <c r="N189" s="7">
        <f t="shared" ref="N189:N220" si="82">24*60*SUM($M189:$M189)</f>
        <v>16.783333338098601</v>
      </c>
      <c r="O189" s="7"/>
      <c r="P189" s="7"/>
      <c r="Q189" s="23"/>
      <c r="R189" s="23"/>
      <c r="S189" s="35">
        <f t="shared" ref="S189:S220" si="83">SUM(U189:U189)/IF(AG189="EC",12,1)</f>
        <v>1</v>
      </c>
      <c r="T189" s="50" t="str">
        <f t="shared" si="65"/>
        <v>Southbound</v>
      </c>
      <c r="U189" s="16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16:07:30-700',mode:absolute,to:'2016-11-07 18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2" t="str">
        <f t="shared" si="67"/>
        <v>N</v>
      </c>
      <c r="X189" s="174">
        <f t="shared" si="81"/>
        <v>1</v>
      </c>
      <c r="Y189" s="67">
        <f t="shared" si="79"/>
        <v>5.8625999999999996</v>
      </c>
      <c r="Z189" s="67">
        <f t="shared" si="80"/>
        <v>7.0800000000000002E-2</v>
      </c>
      <c r="AA189" s="67">
        <f t="shared" si="68"/>
        <v>5.7917999999999994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69"/>
        <v>0832-07</v>
      </c>
      <c r="AE189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89" s="88" t="str">
        <f t="shared" si="71"/>
        <v>"C:\Program Files (x86)\AstroGrep\AstroGrep.exe" /spath="%USERPROFILE%\AppData\Local\Temp\OnboardLogs" /stypes="app*4030*20161108*" /stext=" 00:.+((SYSTEM_STATE.+slice.+state.+changed )|(ment ac)|(system.+state.+changed )|(\[timeout)|(PRM\|1\|D)|(kpr)|(kdp)|(\|loc)|(penalty))" /e /r /s</v>
      </c>
      <c r="AG189" s="1" t="str">
        <f t="shared" si="72"/>
        <v>NW</v>
      </c>
      <c r="AH189" s="92" t="str">
        <f t="shared" si="73"/>
        <v>"%USERPROFILE%\Documents\GitHub\eaglep3\Utilities\RefineRTDCRunTimes.py" --tripid 832-07 --locoid 4030 --swversion DE.1.0.8.0 --startMP 300:58626 --initTime 2016-11-07T17:07:30 --startdatetime 2016-11-07T17:09:20 --delay 1 --endMP 204:708 --enddatetime 2016-11-07T17:26:07 --enforcementcount 0 &gt;&gt;C:\Users\stu\Documents\GitHub\eaglep3-reporting\EC\2016-11-07-refined-times.txt</v>
      </c>
      <c r="AI189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{"issue":{"subject":"","project_id":79,"tracker_id":40,"status_id":1,"priority_id":2,"assigned_to_id":23,"start_date":"2016-11-07","description":"","custom_fields":[{"id":1,"name":"Subdivision","value":"NW"},{"id":4,"name":"Milepost","value":"0.0708"},{"id":17,"name":"Train ID","value":"832-07"},{"id":16,"name":"Locomotive ID","value":"4030"},{"id":130,"name":"Impact","value":""},{"id":150,"name":"Time of Event (Mountain Time)","value":"17:26:07"},{"id":151,"name":"Denver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561</v>
      </c>
      <c r="B190" s="7">
        <v>4038</v>
      </c>
      <c r="C190" s="22" t="s">
        <v>237</v>
      </c>
      <c r="D190" s="22" t="s">
        <v>752</v>
      </c>
      <c r="E190" s="13">
        <v>42681.716840277775</v>
      </c>
      <c r="F190" s="13">
        <v>42681.723240740743</v>
      </c>
      <c r="G190" s="7">
        <v>1</v>
      </c>
      <c r="H190" s="22" t="s">
        <v>337</v>
      </c>
      <c r="I190" s="13">
        <v>42681.733495370368</v>
      </c>
      <c r="J190" s="7">
        <v>0</v>
      </c>
      <c r="K190" s="110" t="str">
        <f t="shared" si="62"/>
        <v>4037/4038</v>
      </c>
      <c r="L190" s="22" t="str">
        <f>VLOOKUP(A190,'Trips&amp;Operators'!$C$1:$E$10000,3,FALSE)</f>
        <v>SAFIEF</v>
      </c>
      <c r="M190" s="6">
        <f t="shared" si="63"/>
        <v>1.0254629625706002E-2</v>
      </c>
      <c r="N190" s="7">
        <f t="shared" si="82"/>
        <v>14.766666661016643</v>
      </c>
      <c r="O190" s="7"/>
      <c r="P190" s="7"/>
      <c r="Q190" s="23"/>
      <c r="R190" s="23"/>
      <c r="S190" s="35">
        <f t="shared" si="83"/>
        <v>1</v>
      </c>
      <c r="T190" s="50" t="str">
        <f t="shared" si="65"/>
        <v>NorthBound</v>
      </c>
      <c r="U190" s="16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16:12:15-700',mode:absolute,to:'2016-11-07 18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0" s="52" t="str">
        <f t="shared" si="67"/>
        <v>N</v>
      </c>
      <c r="X190" s="174">
        <f t="shared" si="81"/>
        <v>1</v>
      </c>
      <c r="Y190" s="67">
        <f t="shared" si="79"/>
        <v>9.7799999999999998E-2</v>
      </c>
      <c r="Z190" s="67">
        <f t="shared" si="80"/>
        <v>5.8935000000000004</v>
      </c>
      <c r="AA190" s="67">
        <f t="shared" si="68"/>
        <v>5.7957000000000001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69"/>
        <v>0833-07</v>
      </c>
      <c r="AE190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0" s="88" t="str">
        <f t="shared" si="71"/>
        <v>"C:\Program Files (x86)\AstroGrep\AstroGrep.exe" /spath="%USERPROFILE%\AppData\Local\Temp\OnboardLogs" /stypes="app*4038*20161108*" /stext=" 00:.+((SYSTEM_STATE.+slice.+state.+changed )|(ment ac)|(system.+state.+changed )|(\[timeout)|(PRM\|1\|D)|(kpr)|(kdp)|(\|loc)|(penalty))" /e /r /s</v>
      </c>
      <c r="AG190" s="1" t="str">
        <f t="shared" si="72"/>
        <v>NW</v>
      </c>
      <c r="AH190" s="92" t="str">
        <f t="shared" si="73"/>
        <v>"%USERPROFILE%\Documents\GitHub\eaglep3\Utilities\RefineRTDCRunTimes.py" --tripid 833-07 --locoid 4038 --swversion DE.1.0.8.0 --startMP 204:978 --initTime 2016-11-07T17:12:15 --startdatetime 2016-11-07T17:21:28 --delay 1 --endMP 300:58935 --enddatetime 2016-11-07T17:36:14 --enforcementcount 0 &gt;&gt;C:\Users\stu\Documents\GitHub\eaglep3-reporting\EC\2016-11-07-refined-times.txt</v>
      </c>
      <c r="AI190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ID","value":"833-07"},{"id":16,"name":"Locomotive ID","value":"4038"},{"id":130,"name":"Impact","value":""},{"id":150,"name":"Time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571</v>
      </c>
      <c r="B191" s="7">
        <v>4037</v>
      </c>
      <c r="C191" s="22" t="s">
        <v>237</v>
      </c>
      <c r="D191" s="22" t="s">
        <v>746</v>
      </c>
      <c r="E191" s="13">
        <v>42681.735127314816</v>
      </c>
      <c r="F191" s="13">
        <v>42681.737118055556</v>
      </c>
      <c r="G191" s="7">
        <v>1</v>
      </c>
      <c r="H191" s="22" t="s">
        <v>753</v>
      </c>
      <c r="I191" s="13">
        <v>42681.747511574074</v>
      </c>
      <c r="J191" s="7">
        <v>0</v>
      </c>
      <c r="K191" s="110" t="str">
        <f t="shared" si="62"/>
        <v>4037/4038</v>
      </c>
      <c r="L191" s="22" t="str">
        <f>VLOOKUP(A191,'Trips&amp;Operators'!$C$1:$E$10000,3,FALSE)</f>
        <v>SAFIEF</v>
      </c>
      <c r="M191" s="6">
        <f t="shared" si="63"/>
        <v>1.0393518517958E-2</v>
      </c>
      <c r="N191" s="7">
        <f t="shared" si="82"/>
        <v>14.96666666585952</v>
      </c>
      <c r="O191" s="7"/>
      <c r="P191" s="7"/>
      <c r="Q191" s="23"/>
      <c r="R191" s="23"/>
      <c r="S191" s="35">
        <f t="shared" si="83"/>
        <v>1</v>
      </c>
      <c r="T191" s="50" t="str">
        <f t="shared" si="65"/>
        <v>Southbound</v>
      </c>
      <c r="U191" s="16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16:38:35-700',mode:absolute,to:'2016-11-07 18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1" s="52" t="str">
        <f t="shared" si="67"/>
        <v>N</v>
      </c>
      <c r="X191" s="174">
        <f t="shared" ref="X191:X236" si="84">VALUE(LEFT(AD191,4))-VALUE(LEFT(AD190,4))</f>
        <v>1</v>
      </c>
      <c r="Y191" s="67">
        <f t="shared" si="79"/>
        <v>5.8624000000000001</v>
      </c>
      <c r="Z191" s="67">
        <f t="shared" si="80"/>
        <v>6.8000000000000005E-2</v>
      </c>
      <c r="AA191" s="67">
        <f t="shared" si="68"/>
        <v>5.7944000000000004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69"/>
        <v>0834-07</v>
      </c>
      <c r="AE191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1" s="88" t="str">
        <f t="shared" si="71"/>
        <v>"C:\Program Files (x86)\AstroGrep\AstroGrep.exe" /spath="%USERPROFILE%\AppData\Local\Temp\OnboardLogs" /stypes="app*4037*20161108*" /stext=" 00:.+((SYSTEM_STATE.+slice.+state.+changed )|(ment ac)|(system.+state.+changed )|(\[timeout)|(PRM\|1\|D)|(kpr)|(kdp)|(\|loc)|(penalty))" /e /r /s</v>
      </c>
      <c r="AG191" s="1" t="str">
        <f t="shared" si="72"/>
        <v>NW</v>
      </c>
      <c r="AH191" s="92" t="str">
        <f t="shared" si="73"/>
        <v>"%USERPROFILE%\Documents\GitHub\eaglep3\Utilities\RefineRTDCRunTimes.py" --tripid 834-07 --locoid 4037 --swversion DE.1.0.8.0 --startMP 300:58624 --initTime 2016-11-07T17:38:35 --startdatetime 2016-11-07T17:41:27 --delay 1 --endMP 204:680 --enddatetime 2016-11-07T17:56:25 --enforcementcount 0 &gt;&gt;C:\Users\stu\Documents\GitHub\eaglep3-reporting\EC\2016-11-07-refined-times.txt</v>
      </c>
      <c r="AI191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{"issue":{"subject":"","project_id":79,"tracker_id":40,"status_id":1,"priority_id":2,"assigned_to_id":23,"start_date":"2016-11-07","description":"","custom_fields":[{"id":1,"name":"Subdivision","value":"NW"},{"id":4,"name":"Milepost","value":"0.068"},{"id":17,"name":"Train ID","value":"834-07"},{"id":16,"name":"Locomotive ID","value":"4037"},{"id":130,"name":"Impact","value":""},{"id":150,"name":"Time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569</v>
      </c>
      <c r="B192" s="7">
        <v>4029</v>
      </c>
      <c r="C192" s="22" t="s">
        <v>237</v>
      </c>
      <c r="D192" s="22" t="s">
        <v>754</v>
      </c>
      <c r="E192" s="13">
        <v>42681.729930555557</v>
      </c>
      <c r="F192" s="13">
        <v>42681.743946759256</v>
      </c>
      <c r="G192" s="7">
        <v>1</v>
      </c>
      <c r="H192" s="22" t="s">
        <v>727</v>
      </c>
      <c r="I192" s="13">
        <v>42681.753761574073</v>
      </c>
      <c r="J192" s="7">
        <v>0</v>
      </c>
      <c r="K192" s="110" t="str">
        <f t="shared" si="62"/>
        <v>4029/4030</v>
      </c>
      <c r="L192" s="22" t="str">
        <f>VLOOKUP(A192,'Trips&amp;Operators'!$C$1:$E$10000,3,FALSE)</f>
        <v>CRAYTON</v>
      </c>
      <c r="M192" s="6">
        <f t="shared" si="63"/>
        <v>9.8148148172185756E-3</v>
      </c>
      <c r="N192" s="7">
        <f t="shared" si="82"/>
        <v>14.133333336794749</v>
      </c>
      <c r="O192" s="7"/>
      <c r="P192" s="7"/>
      <c r="Q192" s="23"/>
      <c r="R192" s="23"/>
      <c r="S192" s="35">
        <f t="shared" si="83"/>
        <v>1</v>
      </c>
      <c r="T192" s="50" t="str">
        <f t="shared" si="65"/>
        <v>NorthBound</v>
      </c>
      <c r="U192" s="16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16:31:06-700',mode:absolute,to:'2016-11-07 19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2" t="str">
        <f t="shared" si="67"/>
        <v>N</v>
      </c>
      <c r="X192" s="174">
        <f t="shared" si="84"/>
        <v>1</v>
      </c>
      <c r="Y192" s="67">
        <f t="shared" si="79"/>
        <v>0.10059999999999999</v>
      </c>
      <c r="Z192" s="67">
        <f t="shared" si="80"/>
        <v>5.8939000000000004</v>
      </c>
      <c r="AA192" s="67">
        <f t="shared" si="68"/>
        <v>5.7933000000000003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69"/>
        <v>0835-07</v>
      </c>
      <c r="AE192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92" s="88" t="str">
        <f t="shared" si="71"/>
        <v>"C:\Program Files (x86)\AstroGrep\AstroGrep.exe" /spath="%USERPROFILE%\AppData\Local\Temp\OnboardLogs" /stypes="app*4029*20161108*" /stext=" 01:.+((SYSTEM_STATE.+slice.+state.+changed )|(ment ac)|(system.+state.+changed )|(\[timeout)|(PRM\|1\|D)|(kpr)|(kdp)|(\|loc)|(penalty))" /e /r /s</v>
      </c>
      <c r="AG192" s="1" t="str">
        <f t="shared" si="72"/>
        <v>NW</v>
      </c>
      <c r="AH192" s="92" t="str">
        <f t="shared" si="73"/>
        <v>"%USERPROFILE%\Documents\GitHub\eaglep3\Utilities\RefineRTDCRunTimes.py" --tripid 835-07 --locoid 4029 --swversion DE.1.0.8.0 --startMP 204:1006 --initTime 2016-11-07T17:31:06 --startdatetime 2016-11-07T17:51:17 --delay 1 --endMP 300:58939 --enddatetime 2016-11-07T18:05:25 --enforcementcount 0 &gt;&gt;C:\Users\stu\Documents\GitHub\eaglep3-reporting\EC\2016-11-07-refined-times.txt</v>
      </c>
      <c r="AI192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{"issue":{"subject":"","project_id":79,"tracker_id":40,"status_id":1,"priority_id":2,"assigned_to_id":23,"start_date":"2016-11-07","description":"","custom_fields":[{"id":1,"name":"Subdivision","value":"NW"},{"id":4,"name":"Milepost","value":"5.8939"},{"id":17,"name":"Train ID","value":"835-07"},{"id":16,"name":"Locomotive ID","value":"4029"},{"id":130,"name":"Impact","value":""},{"id":150,"name":"Time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577</v>
      </c>
      <c r="B193" s="7">
        <v>4030</v>
      </c>
      <c r="C193" s="22" t="s">
        <v>237</v>
      </c>
      <c r="D193" s="22" t="s">
        <v>338</v>
      </c>
      <c r="E193" s="13">
        <v>42681.754895833335</v>
      </c>
      <c r="F193" s="13">
        <v>42681.756307870368</v>
      </c>
      <c r="G193" s="7">
        <v>1</v>
      </c>
      <c r="H193" s="22" t="s">
        <v>755</v>
      </c>
      <c r="I193" s="13">
        <v>42681.768703703703</v>
      </c>
      <c r="J193" s="7">
        <v>0</v>
      </c>
      <c r="K193" s="110" t="str">
        <f t="shared" si="62"/>
        <v>4029/4030</v>
      </c>
      <c r="L193" s="22" t="str">
        <f>VLOOKUP(A193,'Trips&amp;Operators'!$C$1:$E$10000,3,FALSE)</f>
        <v>CRAYTON</v>
      </c>
      <c r="M193" s="6">
        <f t="shared" si="63"/>
        <v>1.2395833335176576E-2</v>
      </c>
      <c r="N193" s="7">
        <f t="shared" si="82"/>
        <v>17.850000002654269</v>
      </c>
      <c r="O193" s="7"/>
      <c r="P193" s="7"/>
      <c r="Q193" s="23"/>
      <c r="R193" s="23"/>
      <c r="S193" s="35">
        <f t="shared" si="83"/>
        <v>1</v>
      </c>
      <c r="T193" s="50" t="str">
        <f t="shared" si="65"/>
        <v>Southbound</v>
      </c>
      <c r="U193" s="16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17:07:03-700',mode:absolute,to:'2016-11-07 19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3" s="52" t="str">
        <f t="shared" si="67"/>
        <v>N</v>
      </c>
      <c r="X193" s="174">
        <f t="shared" si="84"/>
        <v>1</v>
      </c>
      <c r="Y193" s="67">
        <f t="shared" si="79"/>
        <v>5.8620999999999999</v>
      </c>
      <c r="Z193" s="67">
        <f t="shared" si="80"/>
        <v>7.0599999999999996E-2</v>
      </c>
      <c r="AA193" s="67">
        <f t="shared" si="68"/>
        <v>5.7915000000000001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69"/>
        <v>0836-07</v>
      </c>
      <c r="AE193" s="91" t="str">
        <f t="shared" si="70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93" s="88" t="str">
        <f t="shared" si="71"/>
        <v>"C:\Program Files (x86)\AstroGrep\AstroGrep.exe" /spath="%USERPROFILE%\AppData\Local\Temp\OnboardLogs" /stypes="app*4030*20161108*" /stext=" 01:.+((SYSTEM_STATE.+slice.+state.+changed )|(ment ac)|(system.+state.+changed )|(\[timeout)|(PRM\|1\|D)|(kpr)|(kdp)|(\|loc)|(penalty))" /e /r /s</v>
      </c>
      <c r="AG193" s="1" t="str">
        <f t="shared" si="72"/>
        <v>NW</v>
      </c>
      <c r="AH193" s="92" t="str">
        <f t="shared" si="73"/>
        <v>"%USERPROFILE%\Documents\GitHub\eaglep3\Utilities\RefineRTDCRunTimes.py" --tripid 836-07 --locoid 4030 --swversion DE.1.0.8.0 --startMP 300:58621 --initTime 2016-11-07T18:07:03 --startdatetime 2016-11-07T18:09:05 --delay 1 --endMP 204:706 --enddatetime 2016-11-07T18:26:56 --enforcementcount 0 &gt;&gt;C:\Users\stu\Documents\GitHub\eaglep3-reporting\EC\2016-11-07-refined-times.txt</v>
      </c>
      <c r="AI193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{"issue":{"subject":"","project_id":79,"tracker_id":40,"status_id":1,"priority_id":2,"assigned_to_id":23,"start_date":"2016-11-07","description":"","custom_fields":[{"id":1,"name":"Subdivision","value":"NW"},{"id":4,"name":"Milepost","value":"0.0706"},{"id":17,"name":"Train ID","value":"836-07"},{"id":16,"name":"Locomotive ID","value":"4030"},{"id":130,"name":"Impact","value":""},{"id":150,"name":"Time of Event (Mountain Time)","value":"18:26:56"},{"id":151,"name":"Denver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580</v>
      </c>
      <c r="B194" s="7">
        <v>4038</v>
      </c>
      <c r="C194" s="22" t="s">
        <v>237</v>
      </c>
      <c r="D194" s="22" t="s">
        <v>383</v>
      </c>
      <c r="E194" s="13">
        <v>42681.759513888886</v>
      </c>
      <c r="F194" s="13">
        <v>42681.764803240738</v>
      </c>
      <c r="G194" s="7">
        <v>1</v>
      </c>
      <c r="H194" s="22" t="s">
        <v>376</v>
      </c>
      <c r="I194" s="13">
        <v>42681.774942129632</v>
      </c>
      <c r="J194" s="7">
        <v>0</v>
      </c>
      <c r="K194" s="110" t="str">
        <f t="shared" si="62"/>
        <v>4037/4038</v>
      </c>
      <c r="L194" s="22" t="str">
        <f>VLOOKUP(A194,'Trips&amp;Operators'!$C$1:$E$10000,3,FALSE)</f>
        <v>SAFIEF</v>
      </c>
      <c r="M194" s="6">
        <f t="shared" si="63"/>
        <v>1.0138888894289266E-2</v>
      </c>
      <c r="N194" s="7">
        <f t="shared" si="82"/>
        <v>14.600000007776543</v>
      </c>
      <c r="O194" s="7"/>
      <c r="P194" s="7"/>
      <c r="Q194" s="23"/>
      <c r="R194" s="23"/>
      <c r="S194" s="35">
        <f t="shared" si="83"/>
        <v>1</v>
      </c>
      <c r="T194" s="50" t="str">
        <f t="shared" si="65"/>
        <v>NorthBound</v>
      </c>
      <c r="U194" s="16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17:13:42-700',mode:absolute,to:'2016-11-07 19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4" s="52" t="str">
        <f t="shared" si="67"/>
        <v>N</v>
      </c>
      <c r="X194" s="174">
        <f t="shared" si="84"/>
        <v>1</v>
      </c>
      <c r="Y194" s="67">
        <f t="shared" si="79"/>
        <v>9.7100000000000006E-2</v>
      </c>
      <c r="Z194" s="67">
        <f t="shared" si="80"/>
        <v>5.8943000000000003</v>
      </c>
      <c r="AA194" s="67">
        <f t="shared" si="68"/>
        <v>5.7972000000000001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69"/>
        <v>0837-07</v>
      </c>
      <c r="AE194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4" s="88" t="str">
        <f t="shared" si="71"/>
        <v>"C:\Program Files (x86)\AstroGrep\AstroGrep.exe" /spath="%USERPROFILE%\AppData\Local\Temp\OnboardLogs" /stypes="app*4038*20161108*" /stext=" 01:.+((SYSTEM_STATE.+slice.+state.+changed )|(ment ac)|(system.+state.+changed )|(\[timeout)|(PRM\|1\|D)|(kpr)|(kdp)|(\|loc)|(penalty))" /e /r /s</v>
      </c>
      <c r="AG194" s="1" t="str">
        <f t="shared" si="72"/>
        <v>NW</v>
      </c>
      <c r="AH194" s="92" t="str">
        <f t="shared" si="73"/>
        <v>"%USERPROFILE%\Documents\GitHub\eaglep3\Utilities\RefineRTDCRunTimes.py" --tripid 837-07 --locoid 4038 --swversion DE.1.0.8.0 --startMP 204:971 --initTime 2016-11-07T18:13:42 --startdatetime 2016-11-07T18:21:19 --delay 1 --endMP 300:58943 --enddatetime 2016-11-07T18:35:55 --enforcementcount 0 &gt;&gt;C:\Users\stu\Documents\GitHub\eaglep3-reporting\EC\2016-11-07-refined-times.txt</v>
      </c>
      <c r="AI194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{"issue":{"subject":"","project_id":79,"tracker_id":40,"status_id":1,"priority_id":2,"assigned_to_id":23,"start_date":"2016-11-07","description":"","custom_fields":[{"id":1,"name":"Subdivision","value":"NW"},{"id":4,"name":"Milepost","value":"5.8943"},{"id":17,"name":"Train ID","value":"837-07"},{"id":16,"name":"Locomotive ID","value":"4038"},{"id":130,"name":"Impact","value":""},{"id":150,"name":"Time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427</v>
      </c>
      <c r="B195" s="7">
        <v>4037</v>
      </c>
      <c r="C195" s="22" t="s">
        <v>237</v>
      </c>
      <c r="D195" s="22" t="s">
        <v>250</v>
      </c>
      <c r="E195" s="13">
        <v>42681.77652777778</v>
      </c>
      <c r="F195" s="13">
        <v>42681.778344907405</v>
      </c>
      <c r="G195" s="7">
        <v>1</v>
      </c>
      <c r="H195" s="22" t="s">
        <v>753</v>
      </c>
      <c r="I195" s="13">
        <v>42681.789513888885</v>
      </c>
      <c r="J195" s="7">
        <v>0</v>
      </c>
      <c r="K195" s="110" t="str">
        <f t="shared" si="62"/>
        <v>4037/4038</v>
      </c>
      <c r="L195" s="22" t="str">
        <f>VLOOKUP(A195,'Trips&amp;Operators'!$C$1:$E$10000,3,FALSE)</f>
        <v>SAFIEF</v>
      </c>
      <c r="M195" s="6">
        <f t="shared" si="63"/>
        <v>1.116898148029577E-2</v>
      </c>
      <c r="N195" s="7">
        <f t="shared" si="82"/>
        <v>16.083333331625909</v>
      </c>
      <c r="O195" s="7"/>
      <c r="P195" s="7"/>
      <c r="Q195" s="23"/>
      <c r="R195" s="23"/>
      <c r="S195" s="35">
        <f t="shared" si="83"/>
        <v>1</v>
      </c>
      <c r="T195" s="50" t="str">
        <f t="shared" si="65"/>
        <v>Southbound</v>
      </c>
      <c r="U195" s="16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17:38:12-700',mode:absolute,to:'2016-11-07 19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5" s="52" t="str">
        <f t="shared" si="67"/>
        <v>N</v>
      </c>
      <c r="X195" s="174">
        <f t="shared" si="84"/>
        <v>1</v>
      </c>
      <c r="Y195" s="67">
        <f t="shared" si="79"/>
        <v>5.8613</v>
      </c>
      <c r="Z195" s="67">
        <f t="shared" si="80"/>
        <v>6.8000000000000005E-2</v>
      </c>
      <c r="AA195" s="67">
        <f t="shared" si="68"/>
        <v>5.7933000000000003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69"/>
        <v>0838-07</v>
      </c>
      <c r="AE195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5" s="88" t="str">
        <f t="shared" si="71"/>
        <v>"C:\Program Files (x86)\AstroGrep\AstroGrep.exe" /spath="%USERPROFILE%\AppData\Local\Temp\OnboardLogs" /stypes="app*4037*20161108*" /stext=" 01:.+((SYSTEM_STATE.+slice.+state.+changed )|(ment ac)|(system.+state.+changed )|(\[timeout)|(PRM\|1\|D)|(kpr)|(kdp)|(\|loc)|(penalty))" /e /r /s</v>
      </c>
      <c r="AG195" s="1" t="str">
        <f t="shared" si="72"/>
        <v>NW</v>
      </c>
      <c r="AH195" s="92" t="str">
        <f t="shared" si="73"/>
        <v>"%USERPROFILE%\Documents\GitHub\eaglep3\Utilities\RefineRTDCRunTimes.py" --tripid 838-07 --locoid 4037 --swversion DE.1.0.8.0 --startMP 300:58613 --initTime 2016-11-07T18:38:12 --startdatetime 2016-11-07T18:40:49 --delay 1 --endMP 204:680 --enddatetime 2016-11-07T18:56:54 --enforcementcount 0 &gt;&gt;C:\Users\stu\Documents\GitHub\eaglep3-reporting\EC\2016-11-07-refined-times.txt</v>
      </c>
      <c r="AI195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{"issue":{"subject":"","project_id":79,"tracker_id":40,"status_id":1,"priority_id":2,"assigned_to_id":23,"start_date":"2016-11-07","description":"","custom_fields":[{"id":1,"name":"Subdivision","value":"NW"},{"id":4,"name":"Milepost","value":"0.068"},{"id":17,"name":"Train ID","value":"838-07"},{"id":16,"name":"Locomotive ID","value":"4037"},{"id":130,"name":"Impact","value":""},{"id":150,"name":"Time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585</v>
      </c>
      <c r="B196" s="7">
        <v>4029</v>
      </c>
      <c r="C196" s="22" t="s">
        <v>237</v>
      </c>
      <c r="D196" s="22" t="s">
        <v>379</v>
      </c>
      <c r="E196" s="13">
        <v>42681.779351851852</v>
      </c>
      <c r="F196" s="13">
        <v>42681.78565972222</v>
      </c>
      <c r="G196" s="7">
        <v>1</v>
      </c>
      <c r="H196" s="22" t="s">
        <v>337</v>
      </c>
      <c r="I196" s="13">
        <v>42681.795289351852</v>
      </c>
      <c r="J196" s="7">
        <v>0</v>
      </c>
      <c r="K196" s="110" t="str">
        <f t="shared" si="62"/>
        <v>4029/4030</v>
      </c>
      <c r="L196" s="22" t="str">
        <f>VLOOKUP(A196,'Trips&amp;Operators'!$C$1:$E$10000,3,FALSE)</f>
        <v>CRAYTON</v>
      </c>
      <c r="M196" s="6">
        <f t="shared" si="63"/>
        <v>9.6296296323998831E-3</v>
      </c>
      <c r="N196" s="7">
        <f t="shared" si="82"/>
        <v>13.866666670655832</v>
      </c>
      <c r="O196" s="7"/>
      <c r="P196" s="7"/>
      <c r="Q196" s="23"/>
      <c r="R196" s="23"/>
      <c r="S196" s="35">
        <f t="shared" si="83"/>
        <v>1</v>
      </c>
      <c r="T196" s="50" t="str">
        <f t="shared" si="65"/>
        <v>NorthBound</v>
      </c>
      <c r="U196" s="16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17:42:16-700',mode:absolute,to:'2016-11-07 20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6" s="52" t="str">
        <f t="shared" si="67"/>
        <v>N</v>
      </c>
      <c r="X196" s="174">
        <f t="shared" si="84"/>
        <v>1</v>
      </c>
      <c r="Y196" s="67">
        <f t="shared" si="79"/>
        <v>0.1011</v>
      </c>
      <c r="Z196" s="67">
        <f t="shared" si="80"/>
        <v>5.8935000000000004</v>
      </c>
      <c r="AA196" s="67">
        <f t="shared" si="68"/>
        <v>5.7924000000000007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69"/>
        <v>0839-07</v>
      </c>
      <c r="AE196" s="91" t="str">
        <f t="shared" si="70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96" s="88" t="str">
        <f t="shared" si="71"/>
        <v>"C:\Program Files (x86)\AstroGrep\AstroGrep.exe" /spath="%USERPROFILE%\AppData\Local\Temp\OnboardLogs" /stypes="app*4029*20161108*" /stext=" 02:.+((SYSTEM_STATE.+slice.+state.+changed )|(ment ac)|(system.+state.+changed )|(\[timeout)|(PRM\|1\|D)|(kpr)|(kdp)|(\|loc)|(penalty))" /e /r /s</v>
      </c>
      <c r="AG196" s="1" t="str">
        <f t="shared" si="72"/>
        <v>NW</v>
      </c>
      <c r="AH196" s="92" t="str">
        <f t="shared" si="73"/>
        <v>"%USERPROFILE%\Documents\GitHub\eaglep3\Utilities\RefineRTDCRunTimes.py" --tripid 839-07 --locoid 4029 --swversion DE.1.0.8.0 --startMP 204:1011 --initTime 2016-11-07T18:42:16 --startdatetime 2016-11-07T18:51:21 --delay 1 --endMP 300:58935 --enddatetime 2016-11-07T19:05:13 --enforcementcount 0 &gt;&gt;C:\Users\stu\Documents\GitHub\eaglep3-reporting\EC\2016-11-07-refined-times.txt</v>
      </c>
      <c r="AI196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ID","value":"839-07"},{"id":16,"name":"Locomotive ID","value":"4029"},{"id":130,"name":"Impact","value":""},{"id":150,"name":"Time of Event (Mountain Time)","value":"19:05:13"},{"id":151,"name":"Denver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595</v>
      </c>
      <c r="B197" s="7">
        <v>4037</v>
      </c>
      <c r="C197" s="22" t="s">
        <v>237</v>
      </c>
      <c r="D197" s="22" t="s">
        <v>756</v>
      </c>
      <c r="E197" s="13">
        <v>42681.817800925928</v>
      </c>
      <c r="F197" s="13">
        <v>42681.819907407407</v>
      </c>
      <c r="G197" s="7">
        <v>1</v>
      </c>
      <c r="H197" s="22" t="s">
        <v>729</v>
      </c>
      <c r="I197" s="13">
        <v>42681.831041666665</v>
      </c>
      <c r="J197" s="7">
        <v>0</v>
      </c>
      <c r="K197" s="110" t="str">
        <f t="shared" si="62"/>
        <v>4037/4038</v>
      </c>
      <c r="L197" s="22" t="str">
        <f>VLOOKUP(A197,'Trips&amp;Operators'!$C$1:$E$10000,3,FALSE)</f>
        <v>SAFIEF</v>
      </c>
      <c r="M197" s="6">
        <f t="shared" si="63"/>
        <v>1.113425925723277E-2</v>
      </c>
      <c r="N197" s="7">
        <f t="shared" si="82"/>
        <v>16.033333330415189</v>
      </c>
      <c r="O197" s="7"/>
      <c r="P197" s="7"/>
      <c r="Q197" s="23"/>
      <c r="R197" s="23"/>
      <c r="S197" s="35">
        <f t="shared" si="83"/>
        <v>1</v>
      </c>
      <c r="T197" s="50" t="str">
        <f t="shared" si="65"/>
        <v>Southbound</v>
      </c>
      <c r="U197" s="16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18:37:38-700',mode:absolute,to:'2016-11-07 20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7" s="52" t="str">
        <f t="shared" si="67"/>
        <v>N</v>
      </c>
      <c r="X197" s="174">
        <f t="shared" si="84"/>
        <v>1</v>
      </c>
      <c r="Y197" s="67">
        <f t="shared" si="79"/>
        <v>5.8638000000000003</v>
      </c>
      <c r="Z197" s="67">
        <f t="shared" si="80"/>
        <v>6.8500000000000005E-2</v>
      </c>
      <c r="AA197" s="67">
        <f t="shared" si="68"/>
        <v>5.7953000000000001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69"/>
        <v>0840-07</v>
      </c>
      <c r="AE197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7" s="88" t="str">
        <f t="shared" si="71"/>
        <v>"C:\Program Files (x86)\AstroGrep\AstroGrep.exe" /spath="%USERPROFILE%\AppData\Local\Temp\OnboardLogs" /stypes="app*4037*20161108*" /stext=" 02:.+((SYSTEM_STATE.+slice.+state.+changed )|(ment ac)|(system.+state.+changed )|(\[timeout)|(PRM\|1\|D)|(kpr)|(kdp)|(\|loc)|(penalty))" /e /r /s</v>
      </c>
      <c r="AG197" s="1" t="str">
        <f t="shared" si="72"/>
        <v>NW</v>
      </c>
      <c r="AH197" s="92" t="str">
        <f t="shared" si="73"/>
        <v>"%USERPROFILE%\Documents\GitHub\eaglep3\Utilities\RefineRTDCRunTimes.py" --tripid 840-07 --locoid 4037 --swversion DE.1.0.8.0 --startMP 300:58638 --initTime 2016-11-07T19:37:38 --startdatetime 2016-11-07T19:40:40 --delay 1 --endMP 204:685 --enddatetime 2016-11-07T19:56:42 --enforcementcount 0 &gt;&gt;C:\Users\stu\Documents\GitHub\eaglep3-reporting\EC\2016-11-07-refined-times.txt</v>
      </c>
      <c r="AI197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{"issue":{"subject":"","project_id":79,"tracker_id":40,"status_id":1,"priority_id":2,"assigned_to_id":23,"start_date":"2016-11-07","description":"","custom_fields":[{"id":1,"name":"Subdivision","value":"NW"},{"id":4,"name":"Milepost","value":"0.0685"},{"id":17,"name":"Train ID","value":"840-07"},{"id":16,"name":"Locomotive ID","value":"4037"},{"id":130,"name":"Impact","value":""},{"id":150,"name":"Time of Event (Mountain Time)","value":"19:56:42"},{"id":151,"name":"Denver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589</v>
      </c>
      <c r="B198" s="7">
        <v>4038</v>
      </c>
      <c r="C198" s="22" t="s">
        <v>237</v>
      </c>
      <c r="D198" s="22" t="s">
        <v>385</v>
      </c>
      <c r="E198" s="13">
        <v>42681.797094907408</v>
      </c>
      <c r="F198" s="13">
        <v>42681.806446759256</v>
      </c>
      <c r="G198" s="7">
        <v>1</v>
      </c>
      <c r="H198" s="22" t="s">
        <v>376</v>
      </c>
      <c r="I198" s="13">
        <v>42681.816377314812</v>
      </c>
      <c r="J198" s="7">
        <v>0</v>
      </c>
      <c r="K198" s="110" t="str">
        <f t="shared" si="62"/>
        <v>4037/4038</v>
      </c>
      <c r="L198" s="22" t="str">
        <f>VLOOKUP(A198,'Trips&amp;Operators'!$C$1:$E$10000,3,FALSE)</f>
        <v>SAFIEF</v>
      </c>
      <c r="M198" s="6">
        <f t="shared" si="63"/>
        <v>9.930555555911269E-3</v>
      </c>
      <c r="N198" s="7">
        <f t="shared" si="82"/>
        <v>14.300000000512227</v>
      </c>
      <c r="O198" s="7"/>
      <c r="P198" s="7"/>
      <c r="Q198" s="23"/>
      <c r="R198" s="23"/>
      <c r="S198" s="35">
        <f t="shared" si="83"/>
        <v>1</v>
      </c>
      <c r="T198" s="50" t="str">
        <f t="shared" si="65"/>
        <v>NorthBound</v>
      </c>
      <c r="U198" s="16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18:07:49-700',mode:absolute,to:'2016-11-07 20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8" s="52" t="str">
        <f t="shared" si="67"/>
        <v>N</v>
      </c>
      <c r="X198" s="174">
        <f t="shared" si="84"/>
        <v>1</v>
      </c>
      <c r="Y198" s="67">
        <f t="shared" si="79"/>
        <v>9.74E-2</v>
      </c>
      <c r="Z198" s="67">
        <f t="shared" si="80"/>
        <v>5.8943000000000003</v>
      </c>
      <c r="AA198" s="67">
        <f t="shared" si="68"/>
        <v>5.7968999999999999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69"/>
        <v>0841-07</v>
      </c>
      <c r="AE198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8" s="88" t="str">
        <f t="shared" si="71"/>
        <v>"C:\Program Files (x86)\AstroGrep\AstroGrep.exe" /spath="%USERPROFILE%\AppData\Local\Temp\OnboardLogs" /stypes="app*4038*20161108*" /stext=" 02:.+((SYSTEM_STATE.+slice.+state.+changed )|(ment ac)|(system.+state.+changed )|(\[timeout)|(PRM\|1\|D)|(kpr)|(kdp)|(\|loc)|(penalty))" /e /r /s</v>
      </c>
      <c r="AG198" s="1" t="str">
        <f t="shared" si="72"/>
        <v>NW</v>
      </c>
      <c r="AH198" s="92" t="str">
        <f t="shared" si="73"/>
        <v>"%USERPROFILE%\Documents\GitHub\eaglep3\Utilities\RefineRTDCRunTimes.py" --tripid 841-07 --locoid 4038 --swversion DE.1.0.8.0 --startMP 204:974 --initTime 2016-11-07T19:07:49 --startdatetime 2016-11-07T19:21:17 --delay 1 --endMP 300:58943 --enddatetime 2016-11-07T19:35:35 --enforcementcount 0 &gt;&gt;C:\Users\stu\Documents\GitHub\eaglep3-reporting\EC\2016-11-07-refined-times.txt</v>
      </c>
      <c r="AI198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{"issue":{"subject":"","project_id":79,"tracker_id":40,"status_id":1,"priority_id":2,"assigned_to_id":23,"start_date":"2016-11-07","description":"","custom_fields":[{"id":1,"name":"Subdivision","value":"NW"},{"id":4,"name":"Milepost","value":"5.8943"},{"id":17,"name":"Train ID","value":"841-07"},{"id":16,"name":"Locomotive ID","value":"4038"},{"id":130,"name":"Impact","value":""},{"id":150,"name":"Time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600</v>
      </c>
      <c r="B199" s="7">
        <v>4037</v>
      </c>
      <c r="C199" s="22" t="s">
        <v>237</v>
      </c>
      <c r="D199" s="22" t="s">
        <v>339</v>
      </c>
      <c r="E199" s="13">
        <v>42681.859166666669</v>
      </c>
      <c r="F199" s="13">
        <v>42681.860914351855</v>
      </c>
      <c r="G199" s="7">
        <v>1</v>
      </c>
      <c r="H199" s="22" t="s">
        <v>744</v>
      </c>
      <c r="I199" s="13">
        <v>42681.871631944443</v>
      </c>
      <c r="J199" s="7">
        <v>0</v>
      </c>
      <c r="K199" s="110" t="str">
        <f t="shared" si="62"/>
        <v>4037/4038</v>
      </c>
      <c r="L199" s="22" t="str">
        <f>VLOOKUP(A199,'Trips&amp;Operators'!$C$1:$E$10000,3,FALSE)</f>
        <v>SAFIEF</v>
      </c>
      <c r="M199" s="6">
        <f t="shared" si="63"/>
        <v>1.0717592587752733E-2</v>
      </c>
      <c r="N199" s="7">
        <f t="shared" si="82"/>
        <v>15.433333326363936</v>
      </c>
      <c r="O199" s="7"/>
      <c r="P199" s="7"/>
      <c r="Q199" s="23"/>
      <c r="R199" s="23"/>
      <c r="S199" s="35">
        <f t="shared" si="83"/>
        <v>1</v>
      </c>
      <c r="T199" s="50" t="str">
        <f t="shared" si="65"/>
        <v>Southbound</v>
      </c>
      <c r="U199" s="16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19:37:12-700',mode:absolute,to:'2016-11-07 21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9" s="52" t="str">
        <f t="shared" si="67"/>
        <v>N</v>
      </c>
      <c r="X199" s="174">
        <f t="shared" si="84"/>
        <v>1</v>
      </c>
      <c r="Y199" s="67">
        <f t="shared" si="79"/>
        <v>5.8623000000000003</v>
      </c>
      <c r="Z199" s="67">
        <f t="shared" si="80"/>
        <v>6.7699999999999996E-2</v>
      </c>
      <c r="AA199" s="67">
        <f t="shared" si="68"/>
        <v>5.7946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69"/>
        <v>0842-07</v>
      </c>
      <c r="AE199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9" s="88" t="str">
        <f t="shared" si="71"/>
        <v>"C:\Program Files (x86)\AstroGrep\AstroGrep.exe" /spath="%USERPROFILE%\AppData\Local\Temp\OnboardLogs" /stypes="app*4037*20161108*" /stext=" 03:.+((SYSTEM_STATE.+slice.+state.+changed )|(ment ac)|(system.+state.+changed )|(\[timeout)|(PRM\|1\|D)|(kpr)|(kdp)|(\|loc)|(penalty))" /e /r /s</v>
      </c>
      <c r="AG199" s="1" t="str">
        <f t="shared" si="72"/>
        <v>NW</v>
      </c>
      <c r="AH199" s="92" t="str">
        <f t="shared" si="73"/>
        <v>"%USERPROFILE%\Documents\GitHub\eaglep3\Utilities\RefineRTDCRunTimes.py" --tripid 842-07 --locoid 4037 --swversion DE.1.0.8.0 --startMP 300:58623 --initTime 2016-11-07T20:37:12 --startdatetime 2016-11-07T20:39:43 --delay 1 --endMP 204:677 --enddatetime 2016-11-07T20:55:09 --enforcementcount 0 &gt;&gt;C:\Users\stu\Documents\GitHub\eaglep3-reporting\EC\2016-11-07-refined-times.txt</v>
      </c>
      <c r="AI199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ID","value":"842-07"},{"id":16,"name":"Locomotive ID","value":"4037"},{"id":130,"name":"Impact","value":""},{"id":150,"name":"Time of Event (Mountain Time)","value":"20:55:09"},{"id":151,"name":"Denver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597</v>
      </c>
      <c r="B200" s="7">
        <v>4038</v>
      </c>
      <c r="C200" s="22" t="s">
        <v>237</v>
      </c>
      <c r="D200" s="22" t="s">
        <v>757</v>
      </c>
      <c r="E200" s="13">
        <v>42681.833761574075</v>
      </c>
      <c r="F200" s="13">
        <v>42681.84815972222</v>
      </c>
      <c r="G200" s="7">
        <v>1</v>
      </c>
      <c r="H200" s="22" t="s">
        <v>375</v>
      </c>
      <c r="I200" s="13">
        <v>42681.857858796298</v>
      </c>
      <c r="J200" s="7">
        <v>0</v>
      </c>
      <c r="K200" s="110" t="str">
        <f t="shared" si="62"/>
        <v>4037/4038</v>
      </c>
      <c r="L200" s="22" t="str">
        <f>VLOOKUP(A200,'Trips&amp;Operators'!$C$1:$E$10000,3,FALSE)</f>
        <v>SAFIEF</v>
      </c>
      <c r="M200" s="6">
        <f t="shared" si="63"/>
        <v>9.6990740785258822E-3</v>
      </c>
      <c r="N200" s="7">
        <f t="shared" si="82"/>
        <v>13.96666667307727</v>
      </c>
      <c r="O200" s="7"/>
      <c r="P200" s="7"/>
      <c r="Q200" s="23"/>
      <c r="R200" s="23"/>
      <c r="S200" s="35">
        <f t="shared" si="83"/>
        <v>1</v>
      </c>
      <c r="T200" s="50" t="str">
        <f t="shared" si="65"/>
        <v>NorthBound</v>
      </c>
      <c r="U200" s="16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19:00:37-700',mode:absolute,to:'2016-11-07 21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0" s="52" t="str">
        <f t="shared" si="67"/>
        <v>N</v>
      </c>
      <c r="X200" s="174">
        <f t="shared" si="84"/>
        <v>1</v>
      </c>
      <c r="Y200" s="67">
        <f t="shared" si="79"/>
        <v>9.5699999999999993E-2</v>
      </c>
      <c r="Z200" s="67">
        <f t="shared" si="80"/>
        <v>5.8944000000000001</v>
      </c>
      <c r="AA200" s="67">
        <f t="shared" si="68"/>
        <v>5.7987000000000002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9"/>
        <v>0843-07</v>
      </c>
      <c r="AE200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0" s="88" t="str">
        <f t="shared" si="71"/>
        <v>"C:\Program Files (x86)\AstroGrep\AstroGrep.exe" /spath="%USERPROFILE%\AppData\Local\Temp\OnboardLogs" /stypes="app*4038*20161108*" /stext=" 03:.+((SYSTEM_STATE.+slice.+state.+changed )|(ment ac)|(system.+state.+changed )|(\[timeout)|(PRM\|1\|D)|(kpr)|(kdp)|(\|loc)|(penalty))" /e /r /s</v>
      </c>
      <c r="AG200" s="1" t="str">
        <f t="shared" si="72"/>
        <v>NW</v>
      </c>
      <c r="AH200" s="92" t="str">
        <f t="shared" si="73"/>
        <v>"%USERPROFILE%\Documents\GitHub\eaglep3\Utilities\RefineRTDCRunTimes.py" --tripid 843-07 --locoid 4038 --swversion DE.1.0.8.0 --startMP 204:957 --initTime 2016-11-07T20:00:37 --startdatetime 2016-11-07T20:21:21 --delay 1 --endMP 300:58944 --enddatetime 2016-11-07T20:35:19 --enforcementcount 0 &gt;&gt;C:\Users\stu\Documents\GitHub\eaglep3-reporting\EC\2016-11-07-refined-times.txt</v>
      </c>
      <c r="AI200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{"issue":{"subject":"","project_id":79,"tracker_id":40,"status_id":1,"priority_id":2,"assigned_to_id":23,"start_date":"2016-11-07","description":"","custom_fields":[{"id":1,"name":"Subdivision","value":"NW"},{"id":4,"name":"Milepost","value":"5.8944"},{"id":17,"name":"Train ID","value":"843-07"},{"id":16,"name":"Locomotive ID","value":"4038"},{"id":130,"name":"Impact","value":""},{"id":150,"name":"Time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607</v>
      </c>
      <c r="B201" s="7">
        <v>4037</v>
      </c>
      <c r="C201" s="22" t="s">
        <v>237</v>
      </c>
      <c r="D201" s="22" t="s">
        <v>373</v>
      </c>
      <c r="E201" s="13">
        <v>42681.901273148149</v>
      </c>
      <c r="F201" s="13">
        <v>42681.903171296297</v>
      </c>
      <c r="G201" s="7">
        <v>1</v>
      </c>
      <c r="H201" s="22" t="s">
        <v>758</v>
      </c>
      <c r="I201" s="13">
        <v>42681.914351851854</v>
      </c>
      <c r="J201" s="7">
        <v>0</v>
      </c>
      <c r="K201" s="110" t="str">
        <f t="shared" si="62"/>
        <v>4037/4038</v>
      </c>
      <c r="L201" s="22" t="str">
        <f>VLOOKUP(A201,'Trips&amp;Operators'!$C$1:$E$10000,3,FALSE)</f>
        <v>CRAYTON</v>
      </c>
      <c r="M201" s="6">
        <f t="shared" si="63"/>
        <v>1.1180555557075422E-2</v>
      </c>
      <c r="N201" s="7">
        <f t="shared" si="82"/>
        <v>16.100000002188608</v>
      </c>
      <c r="O201" s="7"/>
      <c r="P201" s="7"/>
      <c r="Q201" s="23"/>
      <c r="R201" s="23"/>
      <c r="S201" s="35">
        <f t="shared" si="83"/>
        <v>1</v>
      </c>
      <c r="T201" s="50" t="str">
        <f t="shared" si="65"/>
        <v>Southbound</v>
      </c>
      <c r="U201" s="16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20:37:50-700',mode:absolute,to:'2016-11-07 22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1" s="52" t="str">
        <f t="shared" si="67"/>
        <v>N</v>
      </c>
      <c r="X201" s="174">
        <f t="shared" si="84"/>
        <v>1</v>
      </c>
      <c r="Y201" s="67">
        <f t="shared" si="79"/>
        <v>5.8609</v>
      </c>
      <c r="Z201" s="67">
        <f t="shared" si="80"/>
        <v>6.7000000000000004E-2</v>
      </c>
      <c r="AA201" s="67">
        <f t="shared" si="68"/>
        <v>5.7938999999999998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9"/>
        <v>0844-07</v>
      </c>
      <c r="AE201" s="91" t="str">
        <f t="shared" si="70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01" s="88" t="str">
        <f t="shared" si="71"/>
        <v>"C:\Program Files (x86)\AstroGrep\AstroGrep.exe" /spath="%USERPROFILE%\AppData\Local\Temp\OnboardLogs" /stypes="app*4037*20161108*" /stext=" 04:.+((SYSTEM_STATE.+slice.+state.+changed )|(ment ac)|(system.+state.+changed )|(\[timeout)|(PRM\|1\|D)|(kpr)|(kdp)|(\|loc)|(penalty))" /e /r /s</v>
      </c>
      <c r="AG201" s="1" t="str">
        <f t="shared" si="72"/>
        <v>NW</v>
      </c>
      <c r="AH201" s="92" t="str">
        <f t="shared" si="73"/>
        <v>"%USERPROFILE%\Documents\GitHub\eaglep3\Utilities\RefineRTDCRunTimes.py" --tripid 844-07 --locoid 4037 --swversion DE.1.0.8.0 --startMP 300:58609 --initTime 2016-11-07T21:37:50 --startdatetime 2016-11-07T21:40:34 --delay 1 --endMP 204:670 --enddatetime 2016-11-07T21:56:40 --enforcementcount 0 &gt;&gt;C:\Users\stu\Documents\GitHub\eaglep3-reporting\EC\2016-11-07-refined-times.txt</v>
      </c>
      <c r="AI201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{"issue":{"subject":"","project_id":79,"tracker_id":40,"status_id":1,"priority_id":2,"assigned_to_id":23,"start_date":"2016-11-07","description":"","custom_fields":[{"id":1,"name":"Subdivision","value":"NW"},{"id":4,"name":"Milepost","value":"0.067"},{"id":17,"name":"Train ID","value":"844-07"},{"id":16,"name":"Locomotive ID","value":"4037"},{"id":130,"name":"Impact","value":""},{"id":150,"name":"Time of Event (Mountain Time)","value":"21:56:40"},{"id":151,"name":"Denver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602</v>
      </c>
      <c r="B202" s="7">
        <v>4038</v>
      </c>
      <c r="C202" s="22" t="s">
        <v>237</v>
      </c>
      <c r="D202" s="22" t="s">
        <v>385</v>
      </c>
      <c r="E202" s="13">
        <v>42681.875740740739</v>
      </c>
      <c r="F202" s="13">
        <v>42681.889837962961</v>
      </c>
      <c r="G202" s="7">
        <v>1</v>
      </c>
      <c r="H202" s="22" t="s">
        <v>741</v>
      </c>
      <c r="I202" s="13">
        <v>42681.900138888886</v>
      </c>
      <c r="J202" s="7">
        <v>0</v>
      </c>
      <c r="K202" s="110" t="str">
        <f t="shared" si="62"/>
        <v>4037/4038</v>
      </c>
      <c r="L202" s="22" t="str">
        <f>VLOOKUP(A202,'Trips&amp;Operators'!$C$1:$E$10000,3,FALSE)</f>
        <v>CRAYTON</v>
      </c>
      <c r="M202" s="6">
        <f t="shared" si="63"/>
        <v>1.0300925925548654E-2</v>
      </c>
      <c r="N202" s="7">
        <f t="shared" si="82"/>
        <v>14.833333332790062</v>
      </c>
      <c r="O202" s="7"/>
      <c r="P202" s="7"/>
      <c r="Q202" s="23"/>
      <c r="R202" s="23"/>
      <c r="S202" s="35">
        <f t="shared" si="83"/>
        <v>1</v>
      </c>
      <c r="T202" s="50" t="str">
        <f t="shared" si="65"/>
        <v>NorthBound</v>
      </c>
      <c r="U202" s="16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20:01:04-700',mode:absolute,to:'2016-11-07 22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2" s="52" t="str">
        <f t="shared" si="67"/>
        <v>N</v>
      </c>
      <c r="X202" s="174">
        <f t="shared" si="84"/>
        <v>1</v>
      </c>
      <c r="Y202" s="67">
        <f t="shared" si="79"/>
        <v>9.74E-2</v>
      </c>
      <c r="Z202" s="67">
        <f t="shared" si="80"/>
        <v>5.8929</v>
      </c>
      <c r="AA202" s="67">
        <f t="shared" si="68"/>
        <v>5.7954999999999997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9"/>
        <v>0845-07</v>
      </c>
      <c r="AE202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2" s="88" t="str">
        <f t="shared" si="71"/>
        <v>"C:\Program Files (x86)\AstroGrep\AstroGrep.exe" /spath="%USERPROFILE%\AppData\Local\Temp\OnboardLogs" /stypes="app*4038*20161108*" /stext=" 04:.+((SYSTEM_STATE.+slice.+state.+changed )|(ment ac)|(system.+state.+changed )|(\[timeout)|(PRM\|1\|D)|(kpr)|(kdp)|(\|loc)|(penalty))" /e /r /s</v>
      </c>
      <c r="AG202" s="1" t="str">
        <f t="shared" si="72"/>
        <v>NW</v>
      </c>
      <c r="AH202" s="92" t="str">
        <f t="shared" si="73"/>
        <v>"%USERPROFILE%\Documents\GitHub\eaglep3\Utilities\RefineRTDCRunTimes.py" --tripid 845-07 --locoid 4038 --swversion DE.1.0.8.0 --startMP 204:974 --initTime 2016-11-07T21:01:04 --startdatetime 2016-11-07T21:21:22 --delay 1 --endMP 300:58929 --enddatetime 2016-11-07T21:36:12 --enforcementcount 0 &gt;&gt;C:\Users\stu\Documents\GitHub\eaglep3-reporting\EC\2016-11-07-refined-times.txt</v>
      </c>
      <c r="AI202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{"issue":{"subject":"","project_id":79,"tracker_id":40,"status_id":1,"priority_id":2,"assigned_to_id":23,"start_date":"2016-11-07","description":"","custom_fields":[{"id":1,"name":"Subdivision","value":"NW"},{"id":4,"name":"Milepost","value":"5.8929"},{"id":17,"name":"Train ID","value":"845-07"},{"id":16,"name":"Locomotive ID","value":"4038"},{"id":130,"name":"Impact","value":""},{"id":150,"name":"Time of Event (Mountain Time)","value":"21:36:12"},{"id":151,"name":"Denver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612</v>
      </c>
      <c r="B203" s="7">
        <v>4038</v>
      </c>
      <c r="C203" s="22" t="s">
        <v>237</v>
      </c>
      <c r="D203" s="22" t="s">
        <v>740</v>
      </c>
      <c r="E203" s="13">
        <v>42681.925555555557</v>
      </c>
      <c r="F203" s="13">
        <v>42681.931423611109</v>
      </c>
      <c r="G203" s="7">
        <v>0</v>
      </c>
      <c r="H203" s="22" t="s">
        <v>380</v>
      </c>
      <c r="I203" s="13">
        <v>42681.941874999997</v>
      </c>
      <c r="J203" s="7">
        <v>0</v>
      </c>
      <c r="K203" s="110" t="str">
        <f t="shared" si="62"/>
        <v>4037/4038</v>
      </c>
      <c r="L203" s="22" t="str">
        <f>VLOOKUP(A203,'Trips&amp;Operators'!$C$1:$E$10000,3,FALSE)</f>
        <v>CRAYTON</v>
      </c>
      <c r="M203" s="6">
        <f t="shared" si="63"/>
        <v>1.0451388887304347E-2</v>
      </c>
      <c r="N203" s="7">
        <f t="shared" si="82"/>
        <v>15.04999999771826</v>
      </c>
      <c r="O203" s="7"/>
      <c r="P203" s="7"/>
      <c r="Q203" s="23"/>
      <c r="R203" s="23"/>
      <c r="S203" s="35">
        <f t="shared" si="83"/>
        <v>1</v>
      </c>
      <c r="T203" s="50" t="str">
        <f t="shared" si="65"/>
        <v>NorthBound</v>
      </c>
      <c r="U203" s="16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21:12:48-700',mode:absolute,to:'2016-11-07 23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3" s="52" t="str">
        <f t="shared" si="67"/>
        <v>N</v>
      </c>
      <c r="X203" s="174">
        <f t="shared" si="84"/>
        <v>2</v>
      </c>
      <c r="Y203" s="67">
        <f t="shared" si="79"/>
        <v>9.5000000000000001E-2</v>
      </c>
      <c r="Z203" s="67">
        <f t="shared" si="80"/>
        <v>5.8924000000000003</v>
      </c>
      <c r="AA203" s="67">
        <f t="shared" si="68"/>
        <v>5.7974000000000006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9"/>
        <v>0847-07</v>
      </c>
      <c r="AE203" s="91" t="str">
        <f t="shared" si="70"/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3" s="88" t="str">
        <f t="shared" si="71"/>
        <v>"C:\Program Files (x86)\AstroGrep\AstroGrep.exe" /spath="%USERPROFILE%\AppData\Local\Temp\OnboardLogs" /stypes="app*4038*20161108*" /stext=" 05:.+((SYSTEM_STATE.+slice.+state.+changed )|(ment ac)|(system.+state.+changed )|(\[timeout)|(PRM\|1\|D)|(kpr)|(kdp)|(\|loc)|(penalty))" /e /r /s</v>
      </c>
      <c r="AG203" s="1" t="str">
        <f t="shared" si="72"/>
        <v>NW</v>
      </c>
      <c r="AH203" s="92" t="str">
        <f t="shared" si="73"/>
        <v>"%USERPROFILE%\Documents\GitHub\eaglep3\Utilities\RefineRTDCRunTimes.py" --tripid 847-07 --locoid 4038 --swversion DE.1.0.8.0 --startMP 204:950 --initTime 2016-11-07T22:12:48 --startdatetime 2016-11-07T22:21:15 --delay 0 --endMP 300:58924 --enddatetime 2016-11-07T22:36:18 --enforcementcount 0 &gt;&gt;C:\Users\stu\Documents\GitHub\eaglep3-reporting\EC\2016-11-07-refined-times.txt</v>
      </c>
      <c r="AI203" s="120" t="str">
        <f t="shared" si="74"/>
        <v>echo {"issue":{"subject":"","project_id":79,"tracker_id":40,"status_id":1,"priority_id":2,"assigned_to_id":23,"start_date":"2016-11-07","description":"","custom_fields":[{"id":1,"name":"Subdivision","value":"NW"},{"id":4,"name":"Milepost","value":"5.8924"},{"id":17,"name":"Train ID","value":"847-07"},{"id":16,"name":"Locomotive ID","value":"4038"},{"id":130,"name":"Impact","value":""},{"id":150,"name":"Time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584</v>
      </c>
      <c r="B204" s="7">
        <v>4007</v>
      </c>
      <c r="C204" s="22" t="s">
        <v>237</v>
      </c>
      <c r="D204" s="22" t="s">
        <v>206</v>
      </c>
      <c r="E204" s="13">
        <v>42681.778715277775</v>
      </c>
      <c r="F204" s="13">
        <v>42681.789918981478</v>
      </c>
      <c r="G204" s="7">
        <v>1</v>
      </c>
      <c r="H204" s="22" t="s">
        <v>694</v>
      </c>
      <c r="I204" s="13">
        <v>42681.7965625</v>
      </c>
      <c r="J204" s="7">
        <v>0</v>
      </c>
      <c r="K204" s="110" t="str">
        <f t="shared" si="62"/>
        <v>4007/4008</v>
      </c>
      <c r="L204" s="22" t="str">
        <f>VLOOKUP(A204,'Trips&amp;Operators'!$C$1:$E$10000,3,FALSE)</f>
        <v>CLARK</v>
      </c>
      <c r="M204" s="6">
        <f t="shared" si="63"/>
        <v>6.6435185217414983E-3</v>
      </c>
      <c r="N204" s="7">
        <f t="shared" si="82"/>
        <v>9.5666666713077575</v>
      </c>
      <c r="O204" s="7"/>
      <c r="P204" s="7"/>
      <c r="Q204" s="23"/>
      <c r="R204" s="23"/>
      <c r="S204" s="35">
        <f t="shared" si="83"/>
        <v>1</v>
      </c>
      <c r="T204" s="50" t="str">
        <f t="shared" si="65"/>
        <v>NorthBound</v>
      </c>
      <c r="U204" s="16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https://search-rtdc-monitor-bjffxe2xuh6vdkpspy63sjmuny.us-east-1.es.amazonaws.com/_plugin/kibana/#/discover/Steve-Slow-Train-Analysis-(2080s-and-2083s)?_g=(refreshInterval:(display:Off,section:0,value:0),time:(from:'2016-11-07 17:41:21-700',mode:absolute,to:'2016-11-07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4" s="52" t="str">
        <f t="shared" si="67"/>
        <v>Y</v>
      </c>
      <c r="X204" s="174">
        <f t="shared" si="84"/>
        <v>-544</v>
      </c>
      <c r="Y204" s="67">
        <f t="shared" si="79"/>
        <v>4.4699999999999997E-2</v>
      </c>
      <c r="Z204" s="67">
        <f t="shared" ref="Z204:Z236" si="85">RIGHT(H204,LEN(H204)-4)/10000</f>
        <v>2.3304</v>
      </c>
      <c r="AA204" s="67">
        <f t="shared" si="68"/>
        <v>2.2856999999999998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9"/>
        <v>0303-07</v>
      </c>
      <c r="AE204" s="91" t="str">
        <f t="shared" si="70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04" s="88" t="str">
        <f t="shared" si="71"/>
        <v>"C:\Program Files (x86)\AstroGrep\AstroGrep.exe" /spath="%USERPROFILE%\AppData\Local\Temp\OnboardLogs" /stypes="app*4007*20161108*" /stext=" 02:.+((SYSTEM_STATE.+slice.+state.+changed )|(ment ac)|(system.+state.+changed )|(\[timeout)|(PRM\|1\|D)|(kpr)|(kdp)|(\|loc)|(penalty))" /e /r /s</v>
      </c>
      <c r="AG204" s="1" t="str">
        <f t="shared" si="72"/>
        <v>Other</v>
      </c>
      <c r="AH204" s="92" t="str">
        <f t="shared" si="73"/>
        <v>"%USERPROFILE%\Documents\GitHub\eaglep3\Utilities\RefineRTDCRunTimes.py" --tripid 303-07 --locoid 4007 --swversion DE.1.0.8.0 --startMP 204:447 --initTime 2016-11-07T18:41:21 --startdatetime 2016-11-07T18:57:29 --delay 1 --endMP 300:23304 --enddatetime 2016-11-07T19:07:03 --enforcementcount 0 &gt;&gt;C:\Users\stu\Documents\GitHub\eaglep3-reporting\EC\2016-11-07-refined-times.txt</v>
      </c>
      <c r="AI204" s="120" t="str">
        <f t="shared" si="74"/>
        <v>echo {"issue":{"subject":"","project_id":79,"tracker_id":40,"status_id":1,"priority_id":2,"assigned_to_id":23,"start_date":"2016-11-07","description":"","custom_fields":[{"id":1,"name":"Subdivision","value":"Other"},{"id":4,"name":"Milepost","value":"2.3304"},{"id":17,"name":"Train ID","value":"303-07"},{"id":16,"name":"Locomotive ID","value":"4007"},{"id":130,"name":"Impact","value":""},{"id":150,"name":"Time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584</v>
      </c>
      <c r="B205" s="7">
        <v>4007</v>
      </c>
      <c r="C205" s="22" t="s">
        <v>237</v>
      </c>
      <c r="D205" s="22" t="s">
        <v>695</v>
      </c>
      <c r="E205" s="13">
        <v>42681.778715277775</v>
      </c>
      <c r="F205" s="13">
        <v>42681.789918981478</v>
      </c>
      <c r="G205" s="7">
        <v>27</v>
      </c>
      <c r="H205" s="22" t="s">
        <v>694</v>
      </c>
      <c r="I205" s="13">
        <v>42681.7965625</v>
      </c>
      <c r="J205" s="7">
        <v>0</v>
      </c>
      <c r="K205" s="110" t="str">
        <f t="shared" ref="K205:K236" si="86">IF(ISEVEN(B205),(B205-1)&amp;"/"&amp;B205,B205&amp;"/"&amp;(B205+1))</f>
        <v>4007/4008</v>
      </c>
      <c r="L205" s="22" t="str">
        <f>VLOOKUP(A205,'Trips&amp;Operators'!$C$1:$E$10000,3,FALSE)</f>
        <v>CLARK</v>
      </c>
      <c r="M205" s="6">
        <f t="shared" ref="M205:M236" si="87">I205-F205</f>
        <v>6.6435185217414983E-3</v>
      </c>
      <c r="N205" s="7">
        <f t="shared" si="82"/>
        <v>9.5666666713077575</v>
      </c>
      <c r="O205" s="7"/>
      <c r="P205" s="7"/>
      <c r="Q205" s="23"/>
      <c r="R205" s="23"/>
      <c r="S205" s="35">
        <f t="shared" si="83"/>
        <v>0</v>
      </c>
      <c r="T205" s="50" t="str">
        <f t="shared" ref="T205:T236" si="88">IF(ISEVEN(LEFT(AD205,4)),"Southbound","NorthBound")</f>
        <v>NorthBound</v>
      </c>
      <c r="U205" s="16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:V236" si="89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https://search-rtdc-monitor-bjffxe2xuh6vdkpspy63sjmuny.us-east-1.es.amazonaws.com/_plugin/kibana/#/discover/Steve-Slow-Train-Analysis-(2080s-and-2083s)?_g=(refreshInterval:(display:Off,section:0,value:0),time:(from:'2016-11-07 17:41:21-700',mode:absolute,to:'2016-11-07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5" s="52" t="str">
        <f t="shared" ref="W205:W236" si="90">IF(AA205&lt;IF(AG205="EC",23,5.65),"Y","N")</f>
        <v>Y</v>
      </c>
      <c r="X205" s="174">
        <f t="shared" si="84"/>
        <v>0</v>
      </c>
      <c r="Y205" s="67">
        <f t="shared" si="79"/>
        <v>2.3260999999999998</v>
      </c>
      <c r="Z205" s="67">
        <f t="shared" si="85"/>
        <v>2.3304</v>
      </c>
      <c r="AA205" s="67">
        <f t="shared" ref="AA205:AA268" si="91">ABS(Z205-Y205)</f>
        <v>4.3000000000001926E-3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6" si="92">IF(LEN(A205)=6,"0"&amp;A205,A205)</f>
        <v>0303-07</v>
      </c>
      <c r="AE205" s="91" t="str">
        <f t="shared" ref="AE205:AE236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05" s="88" t="str">
        <f t="shared" ref="AF205:AF236" si="9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/stypes="app*4007*20161108*" /stext=" 02:.+((SYSTEM_STATE.+slice.+state.+changed )|(ment ac)|(system.+state.+changed )|(\[timeout)|(PRM\|1\|D)|(kpr)|(kdp)|(\|loc)|(penalty))" /e /r /s</v>
      </c>
      <c r="AG205" s="1" t="str">
        <f t="shared" ref="AG205:AG236" si="95">IFERROR(IF(VALUE(LEFT(AD205,2))&lt;=2,"EC",IF(OR(VALUE(LEFT(AD205,2))=8,VALUE(LEFT(AD205,2))=18),"NW","Other")),"Other")</f>
        <v>Other</v>
      </c>
      <c r="AH205" s="92" t="str">
        <f t="shared" si="73"/>
        <v>"%USERPROFILE%\Documents\GitHub\eaglep3\Utilities\RefineRTDCRunTimes.py" --tripid 303-07 --locoid 4007 --swversion DE.1.0.8.0 --startMP 300:23261 --initTime 2016-11-07T18:41:21 --startdatetime 2016-11-07T18:57:29 --delay 27 --endMP 300:23304 --enddatetime 2016-11-07T19:07:03 --enforcementcount 0 &gt;&gt;C:\Users\stu\Documents\GitHub\eaglep3-reporting\EC\2016-11-07-refined-times.txt</v>
      </c>
      <c r="AI205" s="120" t="str">
        <f t="shared" si="74"/>
        <v>echo {"issue":{"subject":"","project_id":79,"tracker_id":40,"status_id":1,"priority_id":2,"assigned_to_id":23,"start_date":"2016-11-07","description":"","custom_fields":[{"id":1,"name":"Subdivision","value":"Other"},{"id":4,"name":"Milepost","value":"2.3304"},{"id":17,"name":"Train ID","value":"303-07"},{"id":16,"name":"Locomotive ID","value":"4007"},{"id":130,"name":"Impact","value":""},{"id":150,"name":"Time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436</v>
      </c>
      <c r="B206" s="7">
        <v>4054</v>
      </c>
      <c r="C206" s="22" t="s">
        <v>237</v>
      </c>
      <c r="D206" s="22" t="s">
        <v>696</v>
      </c>
      <c r="E206" s="13">
        <v>42681.139548611114</v>
      </c>
      <c r="F206" s="13">
        <v>42681.141192129631</v>
      </c>
      <c r="G206" s="7">
        <v>1</v>
      </c>
      <c r="H206" s="22" t="s">
        <v>223</v>
      </c>
      <c r="I206" s="13">
        <v>42681.147222222222</v>
      </c>
      <c r="J206" s="7">
        <v>0</v>
      </c>
      <c r="K206" s="110" t="str">
        <f t="shared" si="86"/>
        <v>4053/4054</v>
      </c>
      <c r="L206" s="22" t="str">
        <f>VLOOKUP(A206,'Trips&amp;Operators'!$C$1:$E$10000,3,FALSE)</f>
        <v>MCREYNOLDS</v>
      </c>
      <c r="M206" s="6">
        <f t="shared" si="87"/>
        <v>6.0300925906631164E-3</v>
      </c>
      <c r="N206" s="7">
        <f t="shared" si="82"/>
        <v>8.6833333305548877</v>
      </c>
      <c r="O206" s="7"/>
      <c r="P206" s="7"/>
      <c r="Q206" s="23"/>
      <c r="R206" s="23"/>
      <c r="S206" s="35">
        <f t="shared" si="83"/>
        <v>1</v>
      </c>
      <c r="T206" s="50" t="str">
        <f t="shared" si="88"/>
        <v>Southbound</v>
      </c>
      <c r="U206" s="16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02:20:57-700',mode:absolute,to:'2016-11-07 04:32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6" s="52" t="str">
        <f t="shared" si="90"/>
        <v>Y</v>
      </c>
      <c r="X206" s="174">
        <f t="shared" si="84"/>
        <v>1</v>
      </c>
      <c r="Y206" s="67">
        <f t="shared" si="79"/>
        <v>2.1818</v>
      </c>
      <c r="Z206" s="67">
        <f t="shared" si="85"/>
        <v>1.5599999999999999E-2</v>
      </c>
      <c r="AA206" s="67">
        <f t="shared" si="91"/>
        <v>2.1661999999999999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92"/>
        <v>0304-07</v>
      </c>
      <c r="AE206" s="91" t="str">
        <f t="shared" si="93"/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206" s="88" t="str">
        <f t="shared" si="94"/>
        <v>"C:\Program Files (x86)\AstroGrep\AstroGrep.exe" /spath="%USERPROFILE%\AppData\Local\Temp\OnboardLogs" /stypes="app*4054*20161107*" /stext=" 10:.+((SYSTEM_STATE.+slice.+state.+changed )|(ment ac)|(system.+state.+changed )|(\[timeout)|(PRM\|1\|D)|(kpr)|(kdp)|(\|loc)|(penalty))" /e /r /s</v>
      </c>
      <c r="AG206" s="1" t="str">
        <f t="shared" si="95"/>
        <v>Other</v>
      </c>
      <c r="AH206" s="92" t="str">
        <f t="shared" si="73"/>
        <v>"%USERPROFILE%\Documents\GitHub\eaglep3\Utilities\RefineRTDCRunTimes.py" --tripid 304-07 --locoid 4054 --swversion DE.1.0.8.0 --startMP 300:21818 --initTime 2016-11-07T03:20:57 --startdatetime 2016-11-07T03:23:19 --delay 1 --endMP 204:156 --enddatetime 2016-11-07T03:32:00 --enforcementcount 0 &gt;&gt;C:\Users\stu\Documents\GitHub\eaglep3-reporting\EC\2016-11-07-refined-times.txt</v>
      </c>
      <c r="AI206" s="120" t="str">
        <f t="shared" si="74"/>
        <v>echo {"issue":{"subject":"","project_id":79,"tracker_id":40,"status_id":1,"priority_id":2,"assigned_to_id":23,"start_date":"2016-11-07","description":"","custom_fields":[{"id":1,"name":"Subdivision","value":"Other"},{"id":4,"name":"Milepost","value":"0.0156"},{"id":17,"name":"Train ID","value":"304-07"},{"id":16,"name":"Locomotive ID","value":"4054"},{"id":130,"name":"Impact","value":""},{"id":150,"name":"Time of Event (Mountain Time)","value":"03:32:00"},{"id":151,"name":"Denver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591</v>
      </c>
      <c r="B207" s="7">
        <v>4014</v>
      </c>
      <c r="C207" s="22" t="s">
        <v>237</v>
      </c>
      <c r="D207" s="22" t="s">
        <v>362</v>
      </c>
      <c r="E207" s="13">
        <v>42681.800381944442</v>
      </c>
      <c r="F207" s="13">
        <v>42681.810532407406</v>
      </c>
      <c r="G207" s="7">
        <v>1</v>
      </c>
      <c r="H207" s="22" t="s">
        <v>697</v>
      </c>
      <c r="I207" s="13">
        <v>42681.817094907405</v>
      </c>
      <c r="J207" s="7">
        <v>0</v>
      </c>
      <c r="K207" s="110" t="str">
        <f t="shared" si="86"/>
        <v>4013/4014</v>
      </c>
      <c r="L207" s="22" t="str">
        <f>VLOOKUP(A207,'Trips&amp;Operators'!$C$1:$E$10000,3,FALSE)</f>
        <v>YOUNG</v>
      </c>
      <c r="M207" s="6">
        <f t="shared" si="87"/>
        <v>6.5624999988358468E-3</v>
      </c>
      <c r="N207" s="7">
        <f t="shared" si="82"/>
        <v>9.4499999983236194</v>
      </c>
      <c r="O207" s="7"/>
      <c r="P207" s="7"/>
      <c r="Q207" s="23"/>
      <c r="R207" s="23"/>
      <c r="S207" s="35">
        <f t="shared" si="83"/>
        <v>1</v>
      </c>
      <c r="T207" s="50" t="str">
        <f t="shared" si="88"/>
        <v>NorthBound</v>
      </c>
      <c r="U207" s="16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18:12:33-700',mode:absolute,to:'2016-11-07 20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 t="shared" si="90"/>
        <v>Y</v>
      </c>
      <c r="X207" s="174">
        <f t="shared" si="84"/>
        <v>1</v>
      </c>
      <c r="Y207" s="67">
        <f t="shared" si="79"/>
        <v>4.6699999999999998E-2</v>
      </c>
      <c r="Z207" s="67">
        <f t="shared" si="85"/>
        <v>2.3294999999999999</v>
      </c>
      <c r="AA207" s="67">
        <f t="shared" si="91"/>
        <v>2.2827999999999999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92"/>
        <v>0305-07</v>
      </c>
      <c r="AE207" s="91" t="str">
        <f t="shared" si="93"/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207" s="88" t="str">
        <f t="shared" si="94"/>
        <v>"C:\Program Files (x86)\AstroGrep\AstroGrep.exe" /spath="%USERPROFILE%\AppData\Local\Temp\OnboardLogs" /stypes="app*4014*20161108*" /stext=" 02:.+((SYSTEM_STATE.+slice.+state.+changed )|(ment ac)|(system.+state.+changed )|(\[timeout)|(PRM\|1\|D)|(kpr)|(kdp)|(\|loc)|(penalty))" /e /r /s</v>
      </c>
      <c r="AG207" s="1" t="str">
        <f t="shared" si="95"/>
        <v>Other</v>
      </c>
      <c r="AH207" s="92" t="str">
        <f t="shared" si="73"/>
        <v>"%USERPROFILE%\Documents\GitHub\eaglep3\Utilities\RefineRTDCRunTimes.py" --tripid 305-07 --locoid 4014 --swversion DE.1.0.8.0 --startMP 204:467 --initTime 2016-11-07T19:12:33 --startdatetime 2016-11-07T19:27:10 --delay 1 --endMP 300:23295 --enddatetime 2016-11-07T19:36:37 --enforcementcount 0 &gt;&gt;C:\Users\stu\Documents\GitHub\eaglep3-reporting\EC\2016-11-07-refined-times.txt</v>
      </c>
      <c r="AI207" s="120" t="str">
        <f t="shared" si="74"/>
        <v>echo {"issue":{"subject":"","project_id":79,"tracker_id":40,"status_id":1,"priority_id":2,"assigned_to_id":23,"start_date":"2016-11-07","description":"","custom_fields":[{"id":1,"name":"Subdivision","value":"Other"},{"id":4,"name":"Milepost","value":"2.3295"},{"id":17,"name":"Train ID","value":"305-07"},{"id":16,"name":"Locomotive ID","value":"4014"},{"id":130,"name":"Impact","value":""},{"id":150,"name":"Time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439</v>
      </c>
      <c r="B208" s="7">
        <v>4026</v>
      </c>
      <c r="C208" s="22" t="s">
        <v>237</v>
      </c>
      <c r="D208" s="22" t="s">
        <v>698</v>
      </c>
      <c r="E208" s="13">
        <v>42681.161562499998</v>
      </c>
      <c r="F208" s="13">
        <v>42681.162627314814</v>
      </c>
      <c r="G208" s="7">
        <v>1</v>
      </c>
      <c r="H208" s="22" t="s">
        <v>202</v>
      </c>
      <c r="I208" s="13">
        <v>42681.168379629627</v>
      </c>
      <c r="J208" s="7">
        <v>0</v>
      </c>
      <c r="K208" s="110" t="str">
        <f t="shared" si="86"/>
        <v>4025/4026</v>
      </c>
      <c r="L208" s="22" t="str">
        <f>VLOOKUP(A208,'Trips&amp;Operators'!$C$1:$E$10000,3,FALSE)</f>
        <v>PERKINS</v>
      </c>
      <c r="M208" s="6">
        <f t="shared" si="87"/>
        <v>5.7523148134350777E-3</v>
      </c>
      <c r="N208" s="7">
        <f t="shared" si="82"/>
        <v>8.2833333313465118</v>
      </c>
      <c r="O208" s="7"/>
      <c r="P208" s="7"/>
      <c r="Q208" s="23"/>
      <c r="R208" s="23"/>
      <c r="S208" s="35">
        <f t="shared" si="83"/>
        <v>1</v>
      </c>
      <c r="T208" s="50" t="str">
        <f t="shared" si="88"/>
        <v>Southbound</v>
      </c>
      <c r="U208" s="16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02:52:39-700',mode:absolute,to:'2016-11-07 05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8" s="52" t="str">
        <f t="shared" si="90"/>
        <v>Y</v>
      </c>
      <c r="X208" s="174">
        <f t="shared" si="84"/>
        <v>1</v>
      </c>
      <c r="Y208" s="67">
        <f t="shared" si="79"/>
        <v>2.2404000000000002</v>
      </c>
      <c r="Z208" s="67">
        <f t="shared" si="85"/>
        <v>1.54E-2</v>
      </c>
      <c r="AA208" s="67">
        <f t="shared" si="91"/>
        <v>2.2250000000000001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92"/>
        <v>0306-07</v>
      </c>
      <c r="AE208" s="91" t="str">
        <f t="shared" si="93"/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208" s="88" t="str">
        <f t="shared" si="94"/>
        <v>"C:\Program Files (x86)\AstroGrep\AstroGrep.exe" /spath="%USERPROFILE%\AppData\Local\Temp\OnboardLogs" /stypes="app*4026*20161107*" /stext=" 11:.+((SYSTEM_STATE.+slice.+state.+changed )|(ment ac)|(system.+state.+changed )|(\[timeout)|(PRM\|1\|D)|(kpr)|(kdp)|(\|loc)|(penalty))" /e /r /s</v>
      </c>
      <c r="AG208" s="1" t="str">
        <f t="shared" si="95"/>
        <v>Other</v>
      </c>
      <c r="AH208" s="92" t="str">
        <f t="shared" ref="AH208:AH236" si="9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306-07 --locoid 4026 --swversion DE.1.0.8.0 --startMP 300:22404 --initTime 2016-11-07T03:52:39 --startdatetime 2016-11-07T03:54:11 --delay 1 --endMP 204:154 --enddatetime 2016-11-07T04:02:28 --enforcementcount 0 &gt;&gt;C:\Users\stu\Documents\GitHub\eaglep3-reporting\EC\2016-11-07-refined-times.txt</v>
      </c>
      <c r="AI208" s="120" t="str">
        <f t="shared" ref="AI208:AI236" si="9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{"issue":{"subject":"","project_id":79,"tracker_id":40,"status_id":1,"priority_id":2,"assigned_to_id":23,"start_date":"2016-11-07","description":"","custom_fields":[{"id":1,"name":"Subdivision","value":"Other"},{"id":4,"name":"Milepost","value":"0.0154"},{"id":17,"name":"Train ID","value":"306-07"},{"id":16,"name":"Locomotive ID","value":"4026"},{"id":130,"name":"Impact","value":""},{"id":150,"name":"Time of Event (Mountain Time)","value":"04:02:28"},{"id":151,"name":"Denver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594</v>
      </c>
      <c r="B209" s="7">
        <v>4053</v>
      </c>
      <c r="C209" s="22" t="s">
        <v>237</v>
      </c>
      <c r="D209" s="22" t="s">
        <v>235</v>
      </c>
      <c r="E209" s="13">
        <v>42681.817858796298</v>
      </c>
      <c r="F209" s="13">
        <v>42681.820428240739</v>
      </c>
      <c r="G209" s="7">
        <v>1</v>
      </c>
      <c r="H209" s="22" t="s">
        <v>699</v>
      </c>
      <c r="I209" s="13">
        <v>42681.826863425929</v>
      </c>
      <c r="J209" s="7">
        <v>0</v>
      </c>
      <c r="K209" s="110" t="str">
        <f t="shared" si="86"/>
        <v>4053/4054</v>
      </c>
      <c r="L209" s="22" t="str">
        <f>VLOOKUP(A209,'Trips&amp;Operators'!$C$1:$E$10000,3,FALSE)</f>
        <v>SHOOK</v>
      </c>
      <c r="M209" s="6">
        <f t="shared" si="87"/>
        <v>6.4351851906394586E-3</v>
      </c>
      <c r="N209" s="7">
        <f t="shared" si="82"/>
        <v>9.2666666745208204</v>
      </c>
      <c r="O209" s="7"/>
      <c r="P209" s="7"/>
      <c r="Q209" s="23"/>
      <c r="R209" s="23"/>
      <c r="S209" s="35">
        <f t="shared" si="83"/>
        <v>1</v>
      </c>
      <c r="T209" s="50" t="str">
        <f t="shared" si="88"/>
        <v>NorthBound</v>
      </c>
      <c r="U209" s="16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18:37:43-700',mode:absolute,to:'2016-11-07 20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2" t="str">
        <f t="shared" si="90"/>
        <v>Y</v>
      </c>
      <c r="X209" s="174">
        <f t="shared" si="84"/>
        <v>1</v>
      </c>
      <c r="Y209" s="67">
        <f t="shared" si="79"/>
        <v>4.6399999999999997E-2</v>
      </c>
      <c r="Z209" s="67">
        <f t="shared" si="85"/>
        <v>2.3311999999999999</v>
      </c>
      <c r="AA209" s="67">
        <f t="shared" si="91"/>
        <v>2.2847999999999997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2"/>
        <v>0307-07</v>
      </c>
      <c r="AE209" s="91" t="str">
        <f t="shared" si="93"/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209" s="88" t="str">
        <f t="shared" si="94"/>
        <v>"C:\Program Files (x86)\AstroGrep\AstroGrep.exe" /spath="%USERPROFILE%\AppData\Local\Temp\OnboardLogs" /stypes="app*4053*20161108*" /stext=" 02:.+((SYSTEM_STATE.+slice.+state.+changed )|(ment ac)|(system.+state.+changed )|(\[timeout)|(PRM\|1\|D)|(kpr)|(kdp)|(\|loc)|(penalty))" /e /r /s</v>
      </c>
      <c r="AG209" s="1" t="str">
        <f t="shared" si="95"/>
        <v>Other</v>
      </c>
      <c r="AH209" s="92" t="str">
        <f t="shared" si="96"/>
        <v>"%USERPROFILE%\Documents\GitHub\eaglep3\Utilities\RefineRTDCRunTimes.py" --tripid 307-07 --locoid 4053 --swversion DE.1.0.8.0 --startMP 204:464 --initTime 2016-11-07T19:37:43 --startdatetime 2016-11-07T19:41:25 --delay 1 --endMP 300:23312 --enddatetime 2016-11-07T19:50:41 --enforcementcount 0 &gt;&gt;C:\Users\stu\Documents\GitHub\eaglep3-reporting\EC\2016-11-07-refined-times.txt</v>
      </c>
      <c r="AI209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{"issue":{"subject":"","project_id":79,"tracker_id":40,"status_id":1,"priority_id":2,"assigned_to_id":23,"start_date":"2016-11-07","description":"","custom_fields":[{"id":1,"name":"Subdivision","value":"Other"},{"id":4,"name":"Milepost","value":"2.3312"},{"id":17,"name":"Train ID","value":"307-07"},{"id":16,"name":"Locomotive ID","value":"4053"},{"id":130,"name":"Impact","value":""},{"id":150,"name":"Time of Event (Mountain Time)","value":"19:50:41"},{"id":151,"name":"Denver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622</v>
      </c>
      <c r="B210" s="7">
        <v>4002</v>
      </c>
      <c r="C210" s="22" t="s">
        <v>237</v>
      </c>
      <c r="D210" s="22" t="s">
        <v>208</v>
      </c>
      <c r="E210" s="13">
        <v>42682.027928240743</v>
      </c>
      <c r="F210" s="13">
        <v>42682.029965277776</v>
      </c>
      <c r="G210" s="7">
        <v>1</v>
      </c>
      <c r="H210" s="22" t="s">
        <v>700</v>
      </c>
      <c r="I210" s="13">
        <v>42682.035787037035</v>
      </c>
      <c r="J210" s="7">
        <v>0</v>
      </c>
      <c r="K210" s="110" t="str">
        <f t="shared" si="86"/>
        <v>4001/4002</v>
      </c>
      <c r="L210" s="22" t="str">
        <f>VLOOKUP(A210,'Trips&amp;Operators'!$C$1:$E$10000,3,FALSE)</f>
        <v>BADERTSCHER</v>
      </c>
      <c r="M210" s="6">
        <f t="shared" si="87"/>
        <v>5.8217592595610768E-3</v>
      </c>
      <c r="N210" s="7">
        <f t="shared" si="82"/>
        <v>8.3833333337679505</v>
      </c>
      <c r="O210" s="7"/>
      <c r="P210" s="7"/>
      <c r="Q210" s="23"/>
      <c r="R210" s="23"/>
      <c r="S210" s="35">
        <f t="shared" si="83"/>
        <v>1</v>
      </c>
      <c r="T210" s="50" t="str">
        <f t="shared" si="88"/>
        <v>NorthBound</v>
      </c>
      <c r="U210" s="16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23:40:13-700',mode:absolute,to:'2016-11-08 01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0" s="52" t="str">
        <f t="shared" si="90"/>
        <v>Y</v>
      </c>
      <c r="X210" s="174">
        <f t="shared" si="84"/>
        <v>2</v>
      </c>
      <c r="Y210" s="67">
        <f t="shared" si="79"/>
        <v>4.5499999999999999E-2</v>
      </c>
      <c r="Z210" s="67">
        <f t="shared" si="85"/>
        <v>2.2837000000000001</v>
      </c>
      <c r="AA210" s="67">
        <f t="shared" si="91"/>
        <v>2.2382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2"/>
        <v>0309-07</v>
      </c>
      <c r="AE210" s="91" t="str">
        <f t="shared" si="93"/>
        <v>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 &amp; 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</v>
      </c>
      <c r="AF210" s="88" t="str">
        <f t="shared" si="94"/>
        <v>"C:\Program Files (x86)\AstroGrep\AstroGrep.exe" /spath="%USERPROFILE%\AppData\Local\Temp\OnboardLogs" /stypes="app*4002*20161108*" /stext=" 07:.+((SYSTEM_STATE.+slice.+state.+changed )|(ment ac)|(system.+state.+changed )|(\[timeout)|(PRM\|1\|D)|(kpr)|(kdp)|(\|loc)|(penalty))" /e /r /s</v>
      </c>
      <c r="AG210" s="1" t="str">
        <f t="shared" si="95"/>
        <v>Other</v>
      </c>
      <c r="AH210" s="92" t="str">
        <f t="shared" si="96"/>
        <v>"%USERPROFILE%\Documents\GitHub\eaglep3\Utilities\RefineRTDCRunTimes.py" --tripid 309-07 --locoid 4002 --swversion DE.1.0.8.0 --startMP 204:455 --initTime 2016-11-08T00:40:13 --startdatetime 2016-11-08T00:43:09 --delay 1 --endMP 300:22837 --enddatetime 2016-11-08T00:51:32 --enforcementcount 0 &gt;&gt;C:\Users\stu\Documents\GitHub\eaglep3-reporting\EC\2016-11-07-refined-times.txt</v>
      </c>
      <c r="AI210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{"issue":{"subject":"","project_id":79,"tracker_id":40,"status_id":1,"priority_id":2,"assigned_to_id":23,"start_date":"2016-11-08","description":"","custom_fields":[{"id":1,"name":"Subdivision","value":"Other"},{"id":4,"name":"Milepost","value":"2.2837"},{"id":17,"name":"Train ID","value":"309-07"},{"id":16,"name":"Locomotive ID","value":"4002"},{"id":130,"name":"Impact","value":""},{"id":150,"name":"Time of Event (Mountain Time)","value":"00:51:32"},{"id":151,"name":"Denver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442</v>
      </c>
      <c r="B211" s="7">
        <v>4008</v>
      </c>
      <c r="C211" s="22" t="s">
        <v>237</v>
      </c>
      <c r="D211" s="22" t="s">
        <v>701</v>
      </c>
      <c r="E211" s="13">
        <v>42681.180381944447</v>
      </c>
      <c r="F211" s="13">
        <v>42681.181458333333</v>
      </c>
      <c r="G211" s="7">
        <v>1</v>
      </c>
      <c r="H211" s="22" t="s">
        <v>234</v>
      </c>
      <c r="I211" s="13">
        <v>42681.18712962963</v>
      </c>
      <c r="J211" s="7">
        <v>0</v>
      </c>
      <c r="K211" s="110" t="str">
        <f t="shared" si="86"/>
        <v>4007/4008</v>
      </c>
      <c r="L211" s="22" t="str">
        <f>VLOOKUP(A211,'Trips&amp;Operators'!$C$1:$E$10000,3,FALSE)</f>
        <v>MACDONALD</v>
      </c>
      <c r="M211" s="6">
        <f t="shared" si="87"/>
        <v>5.6712962978053838E-3</v>
      </c>
      <c r="N211" s="7">
        <f t="shared" si="82"/>
        <v>8.1666666688397527</v>
      </c>
      <c r="O211" s="7"/>
      <c r="P211" s="7"/>
      <c r="Q211" s="23"/>
      <c r="R211" s="23"/>
      <c r="S211" s="35">
        <f t="shared" si="83"/>
        <v>1</v>
      </c>
      <c r="T211" s="50" t="str">
        <f t="shared" si="88"/>
        <v>Southbound</v>
      </c>
      <c r="U211" s="16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03:19:45-700',mode:absolute,to:'2016-11-07 05:29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1" s="52" t="str">
        <f t="shared" si="90"/>
        <v>Y</v>
      </c>
      <c r="X211" s="174">
        <f t="shared" si="84"/>
        <v>1</v>
      </c>
      <c r="Y211" s="67">
        <f t="shared" si="79"/>
        <v>2.3540000000000001</v>
      </c>
      <c r="Z211" s="67">
        <f t="shared" si="85"/>
        <v>1.61E-2</v>
      </c>
      <c r="AA211" s="67">
        <f t="shared" si="91"/>
        <v>2.3379000000000003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2"/>
        <v>0310-07</v>
      </c>
      <c r="AE211" s="91" t="str">
        <f t="shared" si="93"/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211" s="88" t="str">
        <f t="shared" si="94"/>
        <v>"C:\Program Files (x86)\AstroGrep\AstroGrep.exe" /spath="%USERPROFILE%\AppData\Local\Temp\OnboardLogs" /stypes="app*4008*20161107*" /stext=" 11:.+((SYSTEM_STATE.+slice.+state.+changed )|(ment ac)|(system.+state.+changed )|(\[timeout)|(PRM\|1\|D)|(kpr)|(kdp)|(\|loc)|(penalty))" /e /r /s</v>
      </c>
      <c r="AG211" s="1" t="str">
        <f t="shared" si="95"/>
        <v>Other</v>
      </c>
      <c r="AH211" s="92" t="str">
        <f t="shared" si="96"/>
        <v>"%USERPROFILE%\Documents\GitHub\eaglep3\Utilities\RefineRTDCRunTimes.py" --tripid 310-07 --locoid 4008 --swversion DE.1.0.8.0 --startMP 300:23540 --initTime 2016-11-07T04:19:45 --startdatetime 2016-11-07T04:21:18 --delay 1 --endMP 204:161 --enddatetime 2016-11-07T04:29:28 --enforcementcount 0 &gt;&gt;C:\Users\stu\Documents\GitHub\eaglep3-reporting\EC\2016-11-07-refined-times.txt</v>
      </c>
      <c r="AI211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{"issue":{"subject":"","project_id":79,"tracker_id":40,"status_id":1,"priority_id":2,"assigned_to_id":23,"start_date":"2016-11-07","description":"","custom_fields":[{"id":1,"name":"Subdivision","value":"Other"},{"id":4,"name":"Milepost","value":"0.0161"},{"id":17,"name":"Train ID","value":"310-07"},{"id":16,"name":"Locomotive ID","value":"4008"},{"id":130,"name":"Impact","value":""},{"id":150,"name":"Time of Event (Mountain Time)","value":"04:29:28"},{"id":151,"name":"Denver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624</v>
      </c>
      <c r="B212" s="7">
        <v>4046</v>
      </c>
      <c r="C212" s="22" t="s">
        <v>237</v>
      </c>
      <c r="D212" s="22" t="s">
        <v>208</v>
      </c>
      <c r="E212" s="13">
        <v>42682.049861111111</v>
      </c>
      <c r="F212" s="13">
        <v>25568.708333333332</v>
      </c>
      <c r="G212" s="7">
        <v>1</v>
      </c>
      <c r="H212" s="22" t="s">
        <v>232</v>
      </c>
      <c r="I212" s="13">
        <v>25568.708333333332</v>
      </c>
      <c r="J212" s="7">
        <v>0</v>
      </c>
      <c r="K212" s="110" t="str">
        <f t="shared" si="86"/>
        <v>4045/4046</v>
      </c>
      <c r="L212" s="22" t="str">
        <f>VLOOKUP(A212,'Trips&amp;Operators'!$C$1:$E$10000,3,FALSE)</f>
        <v>ROMERO</v>
      </c>
      <c r="M212" s="6">
        <f t="shared" si="87"/>
        <v>0</v>
      </c>
      <c r="N212" s="7">
        <f t="shared" si="82"/>
        <v>0</v>
      </c>
      <c r="O212" s="7"/>
      <c r="P212" s="7"/>
      <c r="Q212" s="23"/>
      <c r="R212" s="23"/>
      <c r="S212" s="35">
        <f t="shared" si="83"/>
        <v>0</v>
      </c>
      <c r="T212" s="50" t="str">
        <f t="shared" si="88"/>
        <v>NorthBound</v>
      </c>
      <c r="U212" s="16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https://search-rtdc-monitor-bjffxe2xuh6vdkpspy63sjmuny.us-east-1.es.amazonaws.com/_plugin/kibana/#/discover/Steve-Slow-Train-Analysis-(2080s-and-2083s)?_g=(refreshInterval:(display:Off,section:0,value:0),time:(from:'2016-11-08 00:11:48-700',mode:absolute,to:'1969-12-31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52" t="str">
        <f t="shared" si="90"/>
        <v>Y</v>
      </c>
      <c r="X212" s="174">
        <f t="shared" si="84"/>
        <v>1</v>
      </c>
      <c r="Y212" s="67">
        <f t="shared" si="79"/>
        <v>4.5499999999999999E-2</v>
      </c>
      <c r="Z212" s="67">
        <f t="shared" si="85"/>
        <v>4.5699999999999998E-2</v>
      </c>
      <c r="AA212" s="67">
        <f t="shared" si="91"/>
        <v>1.9999999999999879E-4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2"/>
        <v>0311-07</v>
      </c>
      <c r="AE212" s="91" t="str">
        <f t="shared" si="93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2" s="88" t="str">
        <f t="shared" si="94"/>
        <v>"C:\Program Files (x86)\AstroGrep\AstroGrep.exe" /spath="%USERPROFILE%\AppData\Local\Temp\OnboardLogs" /stypes="app*4046*19700101*" /stext=" 00:.+((SYSTEM_STATE.+slice.+state.+changed )|(ment ac)|(system.+state.+changed )|(\[timeout)|(PRM\|1\|D)|(kpr)|(kdp)|(\|loc)|(penalty))" /e /r /s</v>
      </c>
      <c r="AG212" s="1" t="str">
        <f t="shared" si="95"/>
        <v>Other</v>
      </c>
      <c r="AH212" s="92" t="str">
        <f t="shared" si="96"/>
        <v>"%USERPROFILE%\Documents\GitHub\eaglep3\Utilities\RefineRTDCRunTimes.py" --tripid 311-07 --locoid 4046 --swversion DE.1.0.8.0 --startMP 204:455 --initTime 2016-11-08T01:11:48 --startdatetime 1969-12-31T17:00:00 --delay 1 --endMP 204:457 --enddatetime 1969-12-31T17:00:00 --enforcementcount 0 &gt;&gt;C:\Users\stu\Documents\GitHub\eaglep3-reporting\EC\2016-11-07-refined-times.txt</v>
      </c>
      <c r="AI212" s="120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{"issue":{"subject":"","project_id":79,"tracker_id":40,"status_id":1,"priority_id":2,"assigned_to_id":23,"start_date":"1969-12-31","description":"","custom_fields":[{"id":1,"name":"Subdivision","value":"Other"},{"id":4,"name":"Milepost","value":"0.0457"},{"id":17,"name":"Train ID","value":"311-07"},{"id":16,"name":"Locomotive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624</v>
      </c>
      <c r="B213" s="7">
        <v>4046</v>
      </c>
      <c r="C213" s="22" t="s">
        <v>237</v>
      </c>
      <c r="D213" s="22" t="s">
        <v>208</v>
      </c>
      <c r="E213" s="13">
        <v>42682.049861111111</v>
      </c>
      <c r="F213" s="13">
        <v>25568.708333333332</v>
      </c>
      <c r="G213" s="7">
        <v>2</v>
      </c>
      <c r="H213" s="22" t="s">
        <v>232</v>
      </c>
      <c r="I213" s="13">
        <v>25568.708333333332</v>
      </c>
      <c r="J213" s="7">
        <v>0</v>
      </c>
      <c r="K213" s="110" t="str">
        <f t="shared" si="86"/>
        <v>4045/4046</v>
      </c>
      <c r="L213" s="22" t="str">
        <f>VLOOKUP(A213,'Trips&amp;Operators'!$C$1:$E$10000,3,FALSE)</f>
        <v>ROMERO</v>
      </c>
      <c r="M213" s="6">
        <f t="shared" si="87"/>
        <v>0</v>
      </c>
      <c r="N213" s="7">
        <f t="shared" si="82"/>
        <v>0</v>
      </c>
      <c r="O213" s="7"/>
      <c r="P213" s="7"/>
      <c r="Q213" s="23"/>
      <c r="R213" s="23"/>
      <c r="S213" s="35">
        <f t="shared" si="83"/>
        <v>0</v>
      </c>
      <c r="T213" s="50" t="str">
        <f t="shared" si="88"/>
        <v>NorthBound</v>
      </c>
      <c r="U213" s="16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https://search-rtdc-monitor-bjffxe2xuh6vdkpspy63sjmuny.us-east-1.es.amazonaws.com/_plugin/kibana/#/discover/Steve-Slow-Train-Analysis-(2080s-and-2083s)?_g=(refreshInterval:(display:Off,section:0,value:0),time:(from:'2016-11-08 00:11:48-700',mode:absolute,to:'1969-12-31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3" s="52" t="str">
        <f t="shared" si="90"/>
        <v>Y</v>
      </c>
      <c r="X213" s="174">
        <f t="shared" si="84"/>
        <v>0</v>
      </c>
      <c r="Y213" s="67">
        <f t="shared" si="79"/>
        <v>4.5499999999999999E-2</v>
      </c>
      <c r="Z213" s="67">
        <f t="shared" si="85"/>
        <v>4.5699999999999998E-2</v>
      </c>
      <c r="AA213" s="67">
        <f t="shared" si="91"/>
        <v>1.9999999999999879E-4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2"/>
        <v>0311-07</v>
      </c>
      <c r="AE213" s="91" t="str">
        <f t="shared" si="93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3" s="88" t="str">
        <f t="shared" si="94"/>
        <v>"C:\Program Files (x86)\AstroGrep\AstroGrep.exe" /spath="%USERPROFILE%\AppData\Local\Temp\OnboardLogs" /stypes="app*4046*19700101*" /stext=" 00:.+((SYSTEM_STATE.+slice.+state.+changed )|(ment ac)|(system.+state.+changed )|(\[timeout)|(PRM\|1\|D)|(kpr)|(kdp)|(\|loc)|(penalty))" /e /r /s</v>
      </c>
      <c r="AG213" s="1" t="str">
        <f t="shared" si="95"/>
        <v>Other</v>
      </c>
      <c r="AH213" s="92" t="str">
        <f t="shared" si="96"/>
        <v>"%USERPROFILE%\Documents\GitHub\eaglep3\Utilities\RefineRTDCRunTimes.py" --tripid 311-07 --locoid 4046 --swversion DE.1.0.8.0 --startMP 204:455 --initTime 2016-11-08T01:11:48 --startdatetime 1969-12-31T17:00:00 --delay 2 --endMP 204:457 --enddatetime 1969-12-31T17:00:00 --enforcementcount 0 &gt;&gt;C:\Users\stu\Documents\GitHub\eaglep3-reporting\EC\2016-11-07-refined-times.txt</v>
      </c>
      <c r="AI213" s="120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{"issue":{"subject":"","project_id":79,"tracker_id":40,"status_id":1,"priority_id":2,"assigned_to_id":23,"start_date":"1969-12-31","description":"","custom_fields":[{"id":1,"name":"Subdivision","value":"Other"},{"id":4,"name":"Milepost","value":"0.0457"},{"id":17,"name":"Train ID","value":"311-07"},{"id":16,"name":"Locomotive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626</v>
      </c>
      <c r="B214" s="7">
        <v>4011</v>
      </c>
      <c r="C214" s="22" t="s">
        <v>237</v>
      </c>
      <c r="D214" s="22" t="s">
        <v>242</v>
      </c>
      <c r="E214" s="13">
        <v>42682.070960648147</v>
      </c>
      <c r="F214" s="13">
        <v>42682.072615740741</v>
      </c>
      <c r="G214" s="7">
        <v>2</v>
      </c>
      <c r="H214" s="22" t="s">
        <v>702</v>
      </c>
      <c r="I214" s="13">
        <v>42682.078842592593</v>
      </c>
      <c r="J214" s="7">
        <v>0</v>
      </c>
      <c r="K214" s="110" t="str">
        <f t="shared" si="86"/>
        <v>4011/4012</v>
      </c>
      <c r="L214" s="22" t="str">
        <f>VLOOKUP(A214,'Trips&amp;Operators'!$C$1:$E$10000,3,FALSE)</f>
        <v>CHANDLER</v>
      </c>
      <c r="M214" s="6">
        <f t="shared" si="87"/>
        <v>6.2268518522614613E-3</v>
      </c>
      <c r="N214" s="7">
        <f t="shared" si="82"/>
        <v>8.9666666672565043</v>
      </c>
      <c r="O214" s="7"/>
      <c r="P214" s="7"/>
      <c r="Q214" s="23"/>
      <c r="R214" s="23"/>
      <c r="S214" s="35">
        <f t="shared" si="83"/>
        <v>1</v>
      </c>
      <c r="T214" s="50" t="str">
        <f t="shared" si="88"/>
        <v>NorthBound</v>
      </c>
      <c r="U214" s="16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https://search-rtdc-monitor-bjffxe2xuh6vdkpspy63sjmuny.us-east-1.es.amazonaws.com/_plugin/kibana/#/discover/Steve-Slow-Train-Analysis-(2080s-and-2083s)?_g=(refreshInterval:(display:Off,section:0,value:0),time:(from:'2016-11-08 00:42:11-700',mode:absolute,to:'2016-11-08 02:53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4" s="52" t="str">
        <f t="shared" si="90"/>
        <v>Y</v>
      </c>
      <c r="X214" s="174">
        <f t="shared" si="84"/>
        <v>2</v>
      </c>
      <c r="Y214" s="67">
        <f t="shared" si="79"/>
        <v>4.58E-2</v>
      </c>
      <c r="Z214" s="67">
        <f t="shared" si="85"/>
        <v>2.2865000000000002</v>
      </c>
      <c r="AA214" s="67">
        <f t="shared" si="91"/>
        <v>2.2407000000000004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2"/>
        <v>0313-07</v>
      </c>
      <c r="AE214" s="91" t="str">
        <f t="shared" si="93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214" s="88" t="str">
        <f t="shared" si="94"/>
        <v>"C:\Program Files (x86)\AstroGrep\AstroGrep.exe" /spath="%USERPROFILE%\AppData\Local\Temp\OnboardLogs" /stypes="app*4011*20161108*" /stext=" 08:.+((SYSTEM_STATE.+slice.+state.+changed )|(ment ac)|(system.+state.+changed )|(\[timeout)|(PRM\|1\|D)|(kpr)|(kdp)|(\|loc)|(penalty))" /e /r /s</v>
      </c>
      <c r="AG214" s="1" t="str">
        <f t="shared" si="95"/>
        <v>Other</v>
      </c>
      <c r="AH214" s="92" t="str">
        <f t="shared" si="96"/>
        <v>"%USERPROFILE%\Documents\GitHub\eaglep3\Utilities\RefineRTDCRunTimes.py" --tripid 313-07 --locoid 4011 --swversion DE.1.0.8.0 --startMP 204:458 --initTime 2016-11-08T01:42:11 --startdatetime 2016-11-08T01:44:34 --delay 2 --endMP 300:22865 --enddatetime 2016-11-08T01:53:32 --enforcementcount 0 &gt;&gt;C:\Users\stu\Documents\GitHub\eaglep3-reporting\EC\2016-11-07-refined-times.txt</v>
      </c>
      <c r="AI214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{"issue":{"subject":"","project_id":79,"tracker_id":40,"status_id":1,"priority_id":2,"assigned_to_id":23,"start_date":"2016-11-08","description":"","custom_fields":[{"id":1,"name":"Subdivision","value":"Other"},{"id":4,"name":"Milepost","value":"2.2865"},{"id":17,"name":"Train ID","value":"313-07"},{"id":16,"name":"Locomotive ID","value":"4011"},{"id":130,"name":"Impact","value":""},{"id":150,"name":"Time of Event (Mountain Time)","value":"01:53:32"},{"id":151,"name":"Denver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196</v>
      </c>
      <c r="B215" s="7">
        <v>4011</v>
      </c>
      <c r="C215" s="22" t="s">
        <v>237</v>
      </c>
      <c r="D215" s="22" t="s">
        <v>362</v>
      </c>
      <c r="E215" s="13">
        <v>42681.090162037035</v>
      </c>
      <c r="F215" s="13">
        <v>42681.091412037036</v>
      </c>
      <c r="G215" s="7">
        <v>1</v>
      </c>
      <c r="H215" s="22" t="s">
        <v>703</v>
      </c>
      <c r="I215" s="13">
        <v>42681.096145833333</v>
      </c>
      <c r="J215" s="7">
        <v>0</v>
      </c>
      <c r="K215" s="110" t="str">
        <f t="shared" si="86"/>
        <v>4011/4012</v>
      </c>
      <c r="L215" s="22" t="str">
        <f>VLOOKUP(A215,'Trips&amp;Operators'!$C$1:$E$10000,3,FALSE)</f>
        <v>CHANDLER</v>
      </c>
      <c r="M215" s="6">
        <f t="shared" si="87"/>
        <v>4.7337962969322689E-3</v>
      </c>
      <c r="N215" s="7">
        <f t="shared" si="82"/>
        <v>6.8166666675824672</v>
      </c>
      <c r="O215" s="7"/>
      <c r="P215" s="7"/>
      <c r="Q215" s="23"/>
      <c r="R215" s="23"/>
      <c r="S215" s="35">
        <f t="shared" si="83"/>
        <v>1</v>
      </c>
      <c r="T215" s="50" t="str">
        <f t="shared" si="88"/>
        <v>NorthBound</v>
      </c>
      <c r="U215" s="16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01:09:50-700',mode:absolute,to:'2016-11-07 03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90"/>
        <v>Y</v>
      </c>
      <c r="X215" s="174">
        <f t="shared" si="84"/>
        <v>2</v>
      </c>
      <c r="Y215" s="67">
        <f t="shared" si="79"/>
        <v>4.6699999999999998E-2</v>
      </c>
      <c r="Z215" s="67">
        <f t="shared" si="85"/>
        <v>2.2252000000000001</v>
      </c>
      <c r="AA215" s="67">
        <f t="shared" si="91"/>
        <v>2.1785000000000001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2"/>
        <v>0315-06</v>
      </c>
      <c r="AE215" s="91" t="str">
        <f t="shared" si="93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215" s="88" t="str">
        <f t="shared" si="94"/>
        <v>"C:\Program Files (x86)\AstroGrep\AstroGrep.exe" /spath="%USERPROFILE%\AppData\Local\Temp\OnboardLogs" /stypes="app*4011*20161107*" /stext=" 09:.+((SYSTEM_STATE.+slice.+state.+changed )|(ment ac)|(system.+state.+changed )|(\[timeout)|(PRM\|1\|D)|(kpr)|(kdp)|(\|loc)|(penalty))" /e /r /s</v>
      </c>
      <c r="AG215" s="1" t="str">
        <f t="shared" si="95"/>
        <v>Other</v>
      </c>
      <c r="AH215" s="92" t="str">
        <f t="shared" si="96"/>
        <v>"%USERPROFILE%\Documents\GitHub\eaglep3\Utilities\RefineRTDCRunTimes.py" --tripid 315-06 --locoid 4011 --swversion DE.1.0.8.0 --startMP 204:467 --initTime 2016-11-07T02:09:50 --startdatetime 2016-11-07T02:11:38 --delay 1 --endMP 300:22252 --enddatetime 2016-11-07T02:18:27 --enforcementcount 0 &gt;&gt;C:\Users\stu\Documents\GitHub\eaglep3-reporting\EC\2016-11-07-refined-times.txt</v>
      </c>
      <c r="AI215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{"issue":{"subject":"","project_id":79,"tracker_id":40,"status_id":1,"priority_id":2,"assigned_to_id":23,"start_date":"2016-11-07","description":"","custom_fields":[{"id":1,"name":"Subdivision","value":"Other"},{"id":4,"name":"Milepost","value":"2.2252"},{"id":17,"name":"Train ID","value":"315-06"},{"id":16,"name":"Locomotive ID","value":"4011"},{"id":130,"name":"Impact","value":""},{"id":150,"name":"Time of Event (Mountain Time)","value":"02:18:27"},{"id":151,"name":"Denver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455</v>
      </c>
      <c r="B216" s="7">
        <v>4037</v>
      </c>
      <c r="C216" s="22" t="s">
        <v>237</v>
      </c>
      <c r="D216" s="22" t="s">
        <v>772</v>
      </c>
      <c r="E216" s="13">
        <v>42681.252615740741</v>
      </c>
      <c r="F216" s="13">
        <v>42681.254131944443</v>
      </c>
      <c r="G216" s="7">
        <v>1</v>
      </c>
      <c r="H216" s="22" t="s">
        <v>773</v>
      </c>
      <c r="I216" s="13">
        <v>42681.259398148148</v>
      </c>
      <c r="J216" s="7">
        <v>0</v>
      </c>
      <c r="K216" s="110" t="str">
        <f t="shared" si="86"/>
        <v>4037/4038</v>
      </c>
      <c r="L216" s="22" t="str">
        <f>VLOOKUP(A216,'Trips&amp;Operators'!$C$1:$E$10000,3,FALSE)</f>
        <v>NICHOLSON</v>
      </c>
      <c r="M216" s="6">
        <f t="shared" si="87"/>
        <v>5.2662037051049992E-3</v>
      </c>
      <c r="N216" s="7">
        <f t="shared" si="82"/>
        <v>7.5833333353511989</v>
      </c>
      <c r="O216" s="7"/>
      <c r="P216" s="7"/>
      <c r="Q216" s="23"/>
      <c r="R216" s="23"/>
      <c r="S216" s="35">
        <f t="shared" si="83"/>
        <v>1</v>
      </c>
      <c r="T216" s="50" t="str">
        <f t="shared" si="88"/>
        <v>Southbound</v>
      </c>
      <c r="U216" s="16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05:03:46-700',mode:absolute,to:'2016-11-07 07:13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6" s="52" t="str">
        <f t="shared" si="90"/>
        <v>Y</v>
      </c>
      <c r="X216" s="174">
        <f t="shared" si="84"/>
        <v>587</v>
      </c>
      <c r="Y216" s="67">
        <f t="shared" si="79"/>
        <v>2.1869000000000001</v>
      </c>
      <c r="Z216" s="67">
        <f t="shared" si="85"/>
        <v>6.7299999999999999E-2</v>
      </c>
      <c r="AA216" s="67">
        <f t="shared" si="91"/>
        <v>2.1196000000000002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2"/>
        <v>0902-07</v>
      </c>
      <c r="AE216" s="91" t="str">
        <f t="shared" si="93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16" s="88" t="str">
        <f t="shared" si="94"/>
        <v>"C:\Program Files (x86)\AstroGrep\AstroGrep.exe" /spath="%USERPROFILE%\AppData\Local\Temp\OnboardLogs" /stypes="app*4037*20161107*" /stext=" 13:.+((SYSTEM_STATE.+slice.+state.+changed )|(ment ac)|(system.+state.+changed )|(\[timeout)|(PRM\|1\|D)|(kpr)|(kdp)|(\|loc)|(penalty))" /e /r /s</v>
      </c>
      <c r="AG216" s="1" t="str">
        <f t="shared" si="95"/>
        <v>Other</v>
      </c>
      <c r="AH216" s="92" t="str">
        <f t="shared" si="96"/>
        <v>"%USERPROFILE%\Documents\GitHub\eaglep3\Utilities\RefineRTDCRunTimes.py" --tripid 902-07 --locoid 4037 --swversion DE.1.0.8.0 --startMP 300:21869 --initTime 2016-11-07T06:03:46 --startdatetime 2016-11-07T06:05:57 --delay 1 --endMP 204:673 --enddatetime 2016-11-07T06:13:32 --enforcementcount 0 &gt;&gt;C:\Users\stu\Documents\GitHub\eaglep3-reporting\EC\2016-11-07-refined-times.txt</v>
      </c>
      <c r="AI216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{"issue":{"subject":"","project_id":79,"tracker_id":40,"status_id":1,"priority_id":2,"assigned_to_id":23,"start_date":"2016-11-07","description":"","custom_fields":[{"id":1,"name":"Subdivision","value":"Other"},{"id":4,"name":"Milepost","value":"0.0673"},{"id":17,"name":"Train ID","value":"902-07"},{"id":16,"name":"Locomotive ID","value":"4037"},{"id":130,"name":"Impact","value":""},{"id":150,"name":"Time of Event (Mountain Time)","value":"06:13:32"},{"id":151,"name":"Denver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479</v>
      </c>
      <c r="B217" s="7">
        <v>4029</v>
      </c>
      <c r="C217" s="22" t="s">
        <v>237</v>
      </c>
      <c r="D217" s="22" t="s">
        <v>774</v>
      </c>
      <c r="E217" s="13">
        <v>42681.353344907409</v>
      </c>
      <c r="F217" s="13">
        <v>42681.354629629626</v>
      </c>
      <c r="G217" s="7">
        <v>1</v>
      </c>
      <c r="H217" s="22" t="s">
        <v>775</v>
      </c>
      <c r="I217" s="13">
        <v>42681.360694444447</v>
      </c>
      <c r="J217" s="7">
        <v>0</v>
      </c>
      <c r="K217" s="110" t="str">
        <f t="shared" si="86"/>
        <v>4029/4030</v>
      </c>
      <c r="L217" s="22" t="str">
        <f>VLOOKUP(A217,'Trips&amp;Operators'!$C$1:$E$10000,3,FALSE)</f>
        <v>DAVIS</v>
      </c>
      <c r="M217" s="6">
        <f t="shared" si="87"/>
        <v>6.0648148210020736E-3</v>
      </c>
      <c r="N217" s="7">
        <f t="shared" si="82"/>
        <v>8.733333342242986</v>
      </c>
      <c r="O217" s="7"/>
      <c r="P217" s="7"/>
      <c r="Q217" s="23"/>
      <c r="R217" s="23"/>
      <c r="S217" s="35">
        <f t="shared" si="83"/>
        <v>1</v>
      </c>
      <c r="T217" s="50" t="str">
        <f t="shared" si="88"/>
        <v>NorthBound</v>
      </c>
      <c r="U217" s="16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07:28:49-700',mode:absolute,to:'2016-11-07 09:39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7" s="52" t="str">
        <f t="shared" si="90"/>
        <v>Y</v>
      </c>
      <c r="X217" s="174">
        <f t="shared" si="84"/>
        <v>1</v>
      </c>
      <c r="Y217" s="67">
        <f t="shared" si="79"/>
        <v>9.2700000000000005E-2</v>
      </c>
      <c r="Z217" s="67">
        <f t="shared" si="85"/>
        <v>2.5453000000000001</v>
      </c>
      <c r="AA217" s="67">
        <f t="shared" si="91"/>
        <v>2.4526000000000003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2"/>
        <v>0903-07</v>
      </c>
      <c r="AE217" s="91" t="str">
        <f t="shared" si="93"/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217" s="88" t="str">
        <f t="shared" si="94"/>
        <v>"C:\Program Files (x86)\AstroGrep\AstroGrep.exe" /spath="%USERPROFILE%\AppData\Local\Temp\OnboardLogs" /stypes="app*4029*20161107*" /stext=" 15:.+((SYSTEM_STATE.+slice.+state.+changed )|(ment ac)|(system.+state.+changed )|(\[timeout)|(PRM\|1\|D)|(kpr)|(kdp)|(\|loc)|(penalty))" /e /r /s</v>
      </c>
      <c r="AG217" s="1" t="str">
        <f t="shared" si="95"/>
        <v>Other</v>
      </c>
      <c r="AH217" s="92" t="str">
        <f t="shared" si="96"/>
        <v>"%USERPROFILE%\Documents\GitHub\eaglep3\Utilities\RefineRTDCRunTimes.py" --tripid 903-07 --locoid 4029 --swversion DE.1.0.8.0 --startMP 204:927 --initTime 2016-11-07T08:28:49 --startdatetime 2016-11-07T08:30:40 --delay 1 --endMP 300:25453 --enddatetime 2016-11-07T08:39:24 --enforcementcount 0 &gt;&gt;C:\Users\stu\Documents\GitHub\eaglep3-reporting\EC\2016-11-07-refined-times.txt</v>
      </c>
      <c r="AI217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{"issue":{"subject":"","project_id":79,"tracker_id":40,"status_id":1,"priority_id":2,"assigned_to_id":23,"start_date":"2016-11-07","description":"","custom_fields":[{"id":1,"name":"Subdivision","value":"Other"},{"id":4,"name":"Milepost","value":"2.5453"},{"id":17,"name":"Train ID","value":"903-07"},{"id":16,"name":"Locomotive ID","value":"4029"},{"id":130,"name":"Impact","value":""},{"id":150,"name":"Time of Event (Mountain Time)","value":"08:39:24"},{"id":151,"name":"Denver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541</v>
      </c>
      <c r="B218" s="7">
        <v>4030</v>
      </c>
      <c r="C218" s="22" t="s">
        <v>237</v>
      </c>
      <c r="D218" s="22" t="s">
        <v>776</v>
      </c>
      <c r="E218" s="13">
        <v>42681.637453703705</v>
      </c>
      <c r="F218" s="13">
        <v>42681.639097222222</v>
      </c>
      <c r="G218" s="7">
        <v>1</v>
      </c>
      <c r="H218" s="22" t="s">
        <v>777</v>
      </c>
      <c r="I218" s="13">
        <v>42681.645543981482</v>
      </c>
      <c r="J218" s="7">
        <v>0</v>
      </c>
      <c r="K218" s="110" t="str">
        <f t="shared" si="86"/>
        <v>4029/4030</v>
      </c>
      <c r="L218" s="22" t="str">
        <f>VLOOKUP(A218,'Trips&amp;Operators'!$C$1:$E$10000,3,FALSE)</f>
        <v>CRAYTON</v>
      </c>
      <c r="M218" s="6">
        <f t="shared" si="87"/>
        <v>6.4467592601431534E-3</v>
      </c>
      <c r="N218" s="7">
        <f t="shared" si="82"/>
        <v>9.2833333346061409</v>
      </c>
      <c r="O218" s="7"/>
      <c r="P218" s="7"/>
      <c r="Q218" s="23"/>
      <c r="R218" s="23"/>
      <c r="S218" s="35">
        <f t="shared" si="83"/>
        <v>1</v>
      </c>
      <c r="T218" s="50" t="str">
        <f t="shared" si="88"/>
        <v>Southbound</v>
      </c>
      <c r="U218" s="16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14:17:56-700',mode:absolute,to:'2016-11-07 16:29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8" s="52" t="str">
        <f t="shared" si="90"/>
        <v>Y</v>
      </c>
      <c r="X218" s="174">
        <f t="shared" si="84"/>
        <v>1</v>
      </c>
      <c r="Y218" s="67">
        <f t="shared" si="79"/>
        <v>2.3552</v>
      </c>
      <c r="Z218" s="67">
        <f t="shared" si="85"/>
        <v>1.4800000000000001E-2</v>
      </c>
      <c r="AA218" s="67">
        <f t="shared" si="91"/>
        <v>2.3403999999999998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2"/>
        <v>0904-07</v>
      </c>
      <c r="AE218" s="91" t="str">
        <f t="shared" si="93"/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218" s="88" t="str">
        <f t="shared" si="94"/>
        <v>"C:\Program Files (x86)\AstroGrep\AstroGrep.exe" /spath="%USERPROFILE%\AppData\Local\Temp\OnboardLogs" /stypes="app*4030*20161107*" /stext=" 22:.+((SYSTEM_STATE.+slice.+state.+changed )|(ment ac)|(system.+state.+changed )|(\[timeout)|(PRM\|1\|D)|(kpr)|(kdp)|(\|loc)|(penalty))" /e /r /s</v>
      </c>
      <c r="AG218" s="1" t="str">
        <f t="shared" si="95"/>
        <v>Other</v>
      </c>
      <c r="AH218" s="92" t="str">
        <f t="shared" si="96"/>
        <v>"%USERPROFILE%\Documents\GitHub\eaglep3\Utilities\RefineRTDCRunTimes.py" --tripid 904-07 --locoid 4030 --swversion DE.1.0.8.0 --startMP 300:23552 --initTime 2016-11-07T15:17:56 --startdatetime 2016-11-07T15:20:18 --delay 1 --endMP 204:148 --enddatetime 2016-11-07T15:29:35 --enforcementcount 0 &gt;&gt;C:\Users\stu\Documents\GitHub\eaglep3-reporting\EC\2016-11-07-refined-times.txt</v>
      </c>
      <c r="AI218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{"issue":{"subject":"","project_id":79,"tracker_id":40,"status_id":1,"priority_id":2,"assigned_to_id":23,"start_date":"2016-11-07","description":"","custom_fields":[{"id":1,"name":"Subdivision","value":"Other"},{"id":4,"name":"Milepost","value":"0.0148"},{"id":17,"name":"Train ID","value":"904-07"},{"id":16,"name":"Locomotive ID","value":"4030"},{"id":130,"name":"Impact","value":""},{"id":150,"name":"Time of Event (Mountain Time)","value":"15:29:35"},{"id":151,"name":"Denver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588</v>
      </c>
      <c r="B219" s="7">
        <v>4030</v>
      </c>
      <c r="C219" s="22" t="s">
        <v>237</v>
      </c>
      <c r="D219" s="22" t="s">
        <v>738</v>
      </c>
      <c r="E219" s="13">
        <v>42681.796215277776</v>
      </c>
      <c r="F219" s="13">
        <v>25568.708333333332</v>
      </c>
      <c r="G219" s="7">
        <v>0</v>
      </c>
      <c r="H219" s="22" t="s">
        <v>778</v>
      </c>
      <c r="I219" s="13">
        <v>25568.708333333332</v>
      </c>
      <c r="J219" s="7">
        <v>0</v>
      </c>
      <c r="K219" s="110" t="str">
        <f t="shared" si="86"/>
        <v>4029/4030</v>
      </c>
      <c r="L219" s="22" t="str">
        <f>VLOOKUP(A219,'Trips&amp;Operators'!$C$1:$E$10000,3,FALSE)</f>
        <v>CRAYTON</v>
      </c>
      <c r="M219" s="6">
        <f t="shared" si="87"/>
        <v>0</v>
      </c>
      <c r="N219" s="7">
        <f t="shared" si="82"/>
        <v>0</v>
      </c>
      <c r="O219" s="7"/>
      <c r="P219" s="7"/>
      <c r="Q219" s="23"/>
      <c r="R219" s="23"/>
      <c r="S219" s="35">
        <f t="shared" si="83"/>
        <v>0</v>
      </c>
      <c r="T219" s="50" t="str">
        <f t="shared" si="88"/>
        <v>Southbound</v>
      </c>
      <c r="U219" s="16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18:06:33-700',mode:absolute,to:'1969-12-31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9" s="52" t="str">
        <f t="shared" si="90"/>
        <v>Y</v>
      </c>
      <c r="X219" s="174">
        <f t="shared" si="84"/>
        <v>2</v>
      </c>
      <c r="Y219" s="67">
        <f t="shared" si="79"/>
        <v>5.8619000000000003</v>
      </c>
      <c r="Z219" s="67">
        <f t="shared" si="85"/>
        <v>2.8793000000000002</v>
      </c>
      <c r="AA219" s="67">
        <f t="shared" si="91"/>
        <v>2.9826000000000001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2"/>
        <v>0906-07</v>
      </c>
      <c r="AE219" s="91" t="str">
        <f t="shared" si="93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19" s="88" t="str">
        <f t="shared" si="94"/>
        <v>"C:\Program Files (x86)\AstroGrep\AstroGrep.exe" /spath="%USERPROFILE%\AppData\Local\Temp\OnboardLogs" /stypes="app*4030*19700101*" /stext=" 00:.+((SYSTEM_STATE.+slice.+state.+changed )|(ment ac)|(system.+state.+changed )|(\[timeout)|(PRM\|1\|D)|(kpr)|(kdp)|(\|loc)|(penalty))" /e /r /s</v>
      </c>
      <c r="AG219" s="1" t="str">
        <f t="shared" si="95"/>
        <v>Other</v>
      </c>
      <c r="AH219" s="92" t="str">
        <f t="shared" si="96"/>
        <v>"%USERPROFILE%\Documents\GitHub\eaglep3\Utilities\RefineRTDCRunTimes.py" --tripid 906-07 --locoid 4030 --swversion DE.1.0.8.0 --startMP 300:58619 --initTime 2016-11-07T19:06:33 --startdatetime 1969-12-31T17:00:00 --delay 0 --endMP 300:28793 --enddatetime 1969-12-31T17:00:00 --enforcementcount 0 &gt;&gt;C:\Users\stu\Documents\GitHub\eaglep3-reporting\EC\2016-11-07-refined-times.txt</v>
      </c>
      <c r="AI219" s="120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ID","value":"906-07"},{"id":16,"name":"Locomotive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613</v>
      </c>
      <c r="B220" s="7">
        <v>4037</v>
      </c>
      <c r="C220" s="22" t="s">
        <v>237</v>
      </c>
      <c r="D220" s="22" t="s">
        <v>779</v>
      </c>
      <c r="E220" s="13">
        <v>42681.942800925928</v>
      </c>
      <c r="F220" s="13">
        <v>42681.94431712963</v>
      </c>
      <c r="G220" s="7">
        <v>1</v>
      </c>
      <c r="H220" s="22" t="s">
        <v>780</v>
      </c>
      <c r="I220" s="13">
        <v>42681.950092592589</v>
      </c>
      <c r="J220" s="7">
        <v>0</v>
      </c>
      <c r="K220" s="110" t="str">
        <f t="shared" si="86"/>
        <v>4037/4038</v>
      </c>
      <c r="L220" s="22" t="str">
        <f>VLOOKUP(A220,'Trips&amp;Operators'!$C$1:$E$10000,3,FALSE)</f>
        <v>CRAYTON</v>
      </c>
      <c r="M220" s="6">
        <f t="shared" si="87"/>
        <v>5.7754629597184248E-3</v>
      </c>
      <c r="N220" s="7">
        <f t="shared" si="82"/>
        <v>8.3166666619945318</v>
      </c>
      <c r="O220" s="7"/>
      <c r="P220" s="7"/>
      <c r="Q220" s="23"/>
      <c r="R220" s="23"/>
      <c r="S220" s="35">
        <f t="shared" si="83"/>
        <v>0</v>
      </c>
      <c r="T220" s="50" t="str">
        <f t="shared" si="88"/>
        <v>Southbound</v>
      </c>
      <c r="U220" s="16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21:37:38-700',mode:absolute,to:'2016-11-07 23:48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0" s="52" t="str">
        <f t="shared" si="90"/>
        <v>Y</v>
      </c>
      <c r="X220" s="174">
        <f t="shared" si="84"/>
        <v>2</v>
      </c>
      <c r="Y220" s="67">
        <f t="shared" si="79"/>
        <v>5.8593999999999999</v>
      </c>
      <c r="Z220" s="67">
        <f t="shared" si="85"/>
        <v>2.1772</v>
      </c>
      <c r="AA220" s="67">
        <f t="shared" si="91"/>
        <v>3.6821999999999999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2"/>
        <v>0908-07</v>
      </c>
      <c r="AE220" s="91" t="str">
        <f t="shared" si="93"/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20" s="88" t="str">
        <f t="shared" si="94"/>
        <v>"C:\Program Files (x86)\AstroGrep\AstroGrep.exe" /spath="%USERPROFILE%\AppData\Local\Temp\OnboardLogs" /stypes="app*4037*20161108*" /stext=" 05:.+((SYSTEM_STATE.+slice.+state.+changed )|(ment ac)|(system.+state.+changed )|(\[timeout)|(PRM\|1\|D)|(kpr)|(kdp)|(\|loc)|(penalty))" /e /r /s</v>
      </c>
      <c r="AG220" s="1" t="str">
        <f t="shared" si="95"/>
        <v>Other</v>
      </c>
      <c r="AH220" s="92" t="str">
        <f t="shared" si="96"/>
        <v>"%USERPROFILE%\Documents\GitHub\eaglep3\Utilities\RefineRTDCRunTimes.py" --tripid 908-07 --locoid 4037 --swversion DE.1.0.8.0 --startMP 300:58594 --initTime 2016-11-07T22:37:38 --startdatetime 2016-11-07T22:39:49 --delay 1 --endMP 300:21772 --enddatetime 2016-11-07T22:48:08 --enforcementcount 0 &gt;&gt;C:\Users\stu\Documents\GitHub\eaglep3-reporting\EC\2016-11-07-refined-times.txt</v>
      </c>
      <c r="AI220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{"issue":{"subject":"","project_id":79,"tracker_id":40,"status_id":1,"priority_id":2,"assigned_to_id":23,"start_date":"2016-11-07","description":"","custom_fields":[{"id":1,"name":"Subdivision","value":"Other"},{"id":4,"name":"Milepost","value":"2.1772"},{"id":17,"name":"Train ID","value":"908-07"},{"id":16,"name":"Locomotive ID","value":"4037"},{"id":130,"name":"Impact","value":""},{"id":150,"name":"Time of Event (Mountain Time)","value":"22:48:08"},{"id":151,"name":"Denver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504</v>
      </c>
      <c r="B221" s="7">
        <v>4012</v>
      </c>
      <c r="C221" s="22" t="s">
        <v>237</v>
      </c>
      <c r="D221" s="22" t="s">
        <v>704</v>
      </c>
      <c r="E221" s="13">
        <v>42681.47587962963</v>
      </c>
      <c r="F221" s="13">
        <v>42681.481608796297</v>
      </c>
      <c r="G221" s="7">
        <v>7</v>
      </c>
      <c r="H221" s="22" t="s">
        <v>705</v>
      </c>
      <c r="I221" s="13">
        <v>42681.488877314812</v>
      </c>
      <c r="J221" s="7">
        <v>0</v>
      </c>
      <c r="K221" s="110" t="str">
        <f t="shared" si="86"/>
        <v>4011/4012</v>
      </c>
      <c r="L221" s="22" t="str">
        <f>VLOOKUP(A221,'Trips&amp;Operators'!$C$1:$E$10000,3,FALSE)</f>
        <v>PINCURA</v>
      </c>
      <c r="M221" s="6">
        <f t="shared" si="87"/>
        <v>7.2685185150476173E-3</v>
      </c>
      <c r="N221" s="7">
        <f t="shared" ref="N221:N236" si="98">24*60*SUM($M221:$M221)</f>
        <v>10.466666661668569</v>
      </c>
      <c r="O221" s="7"/>
      <c r="P221" s="7"/>
      <c r="Q221" s="23"/>
      <c r="R221" s="23"/>
      <c r="S221" s="35">
        <f t="shared" ref="S221:S236" si="99">SUM(U221:U221)/IF(AG221="EC",12,1)</f>
        <v>0</v>
      </c>
      <c r="T221" s="50" t="e">
        <f t="shared" si="88"/>
        <v>#VALUE!</v>
      </c>
      <c r="U221" s="16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10:25:16-700',mode:absolute,to:'2016-11-07 12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 t="shared" si="90"/>
        <v>Y</v>
      </c>
      <c r="X221" s="174" t="e">
        <f t="shared" si="84"/>
        <v>#VALUE!</v>
      </c>
      <c r="Y221" s="67">
        <f t="shared" si="79"/>
        <v>2.2067999999999999</v>
      </c>
      <c r="Z221" s="67">
        <f t="shared" si="85"/>
        <v>0.1226</v>
      </c>
      <c r="AA221" s="67">
        <f t="shared" si="91"/>
        <v>2.0842000000000001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2"/>
        <v>50-07</v>
      </c>
      <c r="AE221" s="91" t="str">
        <f t="shared" si="93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221" s="88" t="str">
        <f t="shared" si="94"/>
        <v>"C:\Program Files (x86)\AstroGrep\AstroGrep.exe" /spath="%USERPROFILE%\AppData\Local\Temp\OnboardLogs" /stypes="app*4012*20161107*" /stext=" 18:.+((SYSTEM_STATE.+slice.+state.+changed )|(ment ac)|(system.+state.+changed )|(\[timeout)|(PRM\|1\|D)|(kpr)|(kdp)|(\|loc)|(penalty))" /e /r /s</v>
      </c>
      <c r="AG221" s="1" t="str">
        <f t="shared" si="95"/>
        <v>Other</v>
      </c>
      <c r="AH221" s="92" t="str">
        <f t="shared" si="96"/>
        <v>"%USERPROFILE%\Documents\GitHub\eaglep3\Utilities\RefineRTDCRunTimes.py" --tripid 50-07 --locoid 4012 --swversion DE.1.0.8.0 --startMP 300:22068 --initTime 2016-11-07T11:25:16 --startdatetime 2016-11-07T11:33:31 --delay 7 --endMP 204:1226 --enddatetime 2016-11-07T11:43:59 --enforcementcount 0 &gt;&gt;C:\Users\stu\Documents\GitHub\eaglep3-reporting\EC\2016-11-07-refined-times.txt</v>
      </c>
      <c r="AI221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{"issue":{"subject":"","project_id":79,"tracker_id":40,"status_id":1,"priority_id":2,"assigned_to_id":23,"start_date":"2016-11-07","description":"","custom_fields":[{"id":1,"name":"Subdivision","value":"Other"},{"id":4,"name":"Milepost","value":"0.1226"},{"id":17,"name":"Train ID","value":"50-07"},{"id":16,"name":"Locomotive ID","value":"4012"},{"id":130,"name":"Impact","value":""},{"id":150,"name":"Time of Event (Mountain Time)","value":"11:43:59"},{"id":151,"name":"Denver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504</v>
      </c>
      <c r="B222" s="7">
        <v>4012</v>
      </c>
      <c r="C222" s="22" t="s">
        <v>237</v>
      </c>
      <c r="D222" s="22" t="s">
        <v>335</v>
      </c>
      <c r="E222" s="13">
        <v>42681.469814814816</v>
      </c>
      <c r="F222" s="13">
        <v>42681.481608796297</v>
      </c>
      <c r="G222" s="7">
        <v>8</v>
      </c>
      <c r="H222" s="22" t="s">
        <v>705</v>
      </c>
      <c r="I222" s="13">
        <v>42681.488877314812</v>
      </c>
      <c r="J222" s="7">
        <v>0</v>
      </c>
      <c r="K222" s="110" t="str">
        <f t="shared" si="86"/>
        <v>4011/4012</v>
      </c>
      <c r="L222" s="22" t="str">
        <f>VLOOKUP(A222,'Trips&amp;Operators'!$C$1:$E$10000,3,FALSE)</f>
        <v>PINCURA</v>
      </c>
      <c r="M222" s="6">
        <f t="shared" si="87"/>
        <v>7.2685185150476173E-3</v>
      </c>
      <c r="N222" s="7">
        <f t="shared" si="98"/>
        <v>10.466666661668569</v>
      </c>
      <c r="O222" s="7"/>
      <c r="P222" s="7"/>
      <c r="Q222" s="23"/>
      <c r="R222" s="23"/>
      <c r="S222" s="35">
        <f t="shared" si="99"/>
        <v>0</v>
      </c>
      <c r="T222" s="50" t="e">
        <f t="shared" si="88"/>
        <v>#VALUE!</v>
      </c>
      <c r="U222" s="16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10:16:32-700',mode:absolute,to:'2016-11-07 12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2" s="52" t="str">
        <f t="shared" si="90"/>
        <v>Y</v>
      </c>
      <c r="X222" s="174" t="e">
        <f t="shared" si="84"/>
        <v>#VALUE!</v>
      </c>
      <c r="Y222" s="67">
        <f t="shared" si="79"/>
        <v>2.3308</v>
      </c>
      <c r="Z222" s="67">
        <f t="shared" si="85"/>
        <v>0.1226</v>
      </c>
      <c r="AA222" s="67">
        <f t="shared" si="91"/>
        <v>2.2082000000000002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2"/>
        <v>50-07</v>
      </c>
      <c r="AE222" s="91" t="str">
        <f t="shared" si="93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222" s="88" t="str">
        <f t="shared" si="94"/>
        <v>"C:\Program Files (x86)\AstroGrep\AstroGrep.exe" /spath="%USERPROFILE%\AppData\Local\Temp\OnboardLogs" /stypes="app*4012*20161107*" /stext=" 18:.+((SYSTEM_STATE.+slice.+state.+changed )|(ment ac)|(system.+state.+changed )|(\[timeout)|(PRM\|1\|D)|(kpr)|(kdp)|(\|loc)|(penalty))" /e /r /s</v>
      </c>
      <c r="AG222" s="1" t="str">
        <f t="shared" si="95"/>
        <v>Other</v>
      </c>
      <c r="AH222" s="92" t="str">
        <f t="shared" si="96"/>
        <v>"%USERPROFILE%\Documents\GitHub\eaglep3\Utilities\RefineRTDCRunTimes.py" --tripid 50-07 --locoid 4012 --swversion DE.1.0.8.0 --startMP 300:23308 --initTime 2016-11-07T11:16:32 --startdatetime 2016-11-07T11:33:31 --delay 8 --endMP 204:1226 --enddatetime 2016-11-07T11:43:59 --enforcementcount 0 &gt;&gt;C:\Users\stu\Documents\GitHub\eaglep3-reporting\EC\2016-11-07-refined-times.txt</v>
      </c>
      <c r="AI222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{"issue":{"subject":"","project_id":79,"tracker_id":40,"status_id":1,"priority_id":2,"assigned_to_id":23,"start_date":"2016-11-07","description":"","custom_fields":[{"id":1,"name":"Subdivision","value":"Other"},{"id":4,"name":"Milepost","value":"0.1226"},{"id":17,"name":"Train ID","value":"50-07"},{"id":16,"name":"Locomotive ID","value":"4012"},{"id":130,"name":"Impact","value":""},{"id":150,"name":"Time of Event (Mountain Time)","value":"11:43:59"},{"id":151,"name":"Denver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565</v>
      </c>
      <c r="B223" s="7">
        <v>4017</v>
      </c>
      <c r="C223" s="22" t="s">
        <v>237</v>
      </c>
      <c r="D223" s="22" t="s">
        <v>706</v>
      </c>
      <c r="E223" s="13">
        <v>42681.717557870368</v>
      </c>
      <c r="F223" s="13">
        <v>42681.722638888888</v>
      </c>
      <c r="G223" s="7">
        <v>7</v>
      </c>
      <c r="H223" s="22" t="s">
        <v>707</v>
      </c>
      <c r="I223" s="13">
        <v>42681.729398148149</v>
      </c>
      <c r="J223" s="7">
        <v>0</v>
      </c>
      <c r="K223" s="110" t="str">
        <f t="shared" si="86"/>
        <v>4017/4018</v>
      </c>
      <c r="L223" s="22" t="str">
        <f>VLOOKUP(A223,'Trips&amp;Operators'!$C$1:$E$10000,3,FALSE)</f>
        <v>ROMERO</v>
      </c>
      <c r="M223" s="6">
        <f t="shared" si="87"/>
        <v>6.7592592604341917E-3</v>
      </c>
      <c r="N223" s="7">
        <f t="shared" si="98"/>
        <v>9.733333335025236</v>
      </c>
      <c r="O223" s="7"/>
      <c r="P223" s="7"/>
      <c r="Q223" s="23"/>
      <c r="R223" s="23"/>
      <c r="S223" s="35">
        <f t="shared" si="99"/>
        <v>0</v>
      </c>
      <c r="T223" s="50" t="e">
        <f t="shared" si="88"/>
        <v>#VALUE!</v>
      </c>
      <c r="U223" s="16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16:13:17-700',mode:absolute,to:'2016-11-07 18:30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3" s="52" t="str">
        <f t="shared" si="90"/>
        <v>Y</v>
      </c>
      <c r="X223" s="174" t="e">
        <f t="shared" si="84"/>
        <v>#VALUE!</v>
      </c>
      <c r="Y223" s="67">
        <f t="shared" si="79"/>
        <v>2.3302999999999998</v>
      </c>
      <c r="Z223" s="67">
        <f t="shared" si="85"/>
        <v>8.6900000000000005E-2</v>
      </c>
      <c r="AA223" s="67">
        <f t="shared" si="91"/>
        <v>2.2433999999999998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2"/>
        <v>54-07</v>
      </c>
      <c r="AE223" s="91" t="str">
        <f t="shared" si="93"/>
        <v>aws s3 cp s3://rtdc.mdm.uploadarchive.raw/RTDC4017/ "%USERPROFILE%\AppData\Local\Temp\OnboardLogs"\RTDC4017\2016-11-07 --exclude "*" --recursive --include "*20161107*" &amp; "%USERPROFILE%\Documents\GitHub\mrs-test-scripts\Headless Mode &amp; Sideloading\WalkAndUnGZ.bat" "%USERPROFILE%\AppData\Local\Temp\OnboardLogs"\RTDC4017\2016-11-07 &amp; 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</v>
      </c>
      <c r="AF223" s="88" t="str">
        <f t="shared" si="94"/>
        <v>"C:\Program Files (x86)\AstroGrep\AstroGrep.exe" /spath="%USERPROFILE%\AppData\Local\Temp\OnboardLogs" /stypes="app*4017*20161108*" /stext=" 00:.+((SYSTEM_STATE.+slice.+state.+changed )|(ment ac)|(system.+state.+changed )|(\[timeout)|(PRM\|1\|D)|(kpr)|(kdp)|(\|loc)|(penalty))" /e /r /s</v>
      </c>
      <c r="AG223" s="1" t="str">
        <f t="shared" si="95"/>
        <v>Other</v>
      </c>
      <c r="AH223" s="92" t="str">
        <f t="shared" si="96"/>
        <v>"%USERPROFILE%\Documents\GitHub\eaglep3\Utilities\RefineRTDCRunTimes.py" --tripid 54-07 --locoid 4017 --swversion DE.1.0.8.0 --startMP 300:23303 --initTime 2016-11-07T17:13:17 --startdatetime 2016-11-07T17:20:36 --delay 7 --endMP 204:869 --enddatetime 2016-11-07T17:30:20 --enforcementcount 0 &gt;&gt;C:\Users\stu\Documents\GitHub\eaglep3-reporting\EC\2016-11-07-refined-times.txt</v>
      </c>
      <c r="AI223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{"issue":{"subject":"","project_id":79,"tracker_id":40,"status_id":1,"priority_id":2,"assigned_to_id":23,"start_date":"2016-11-07","description":"","custom_fields":[{"id":1,"name":"Subdivision","value":"Other"},{"id":4,"name":"Milepost","value":"0.0869"},{"id":17,"name":"Train ID","value":"54-07"},{"id":16,"name":"Locomotive ID","value":"4017"},{"id":130,"name":"Impact","value":""},{"id":150,"name":"Time of Event (Mountain Time)","value":"17:30:20"},{"id":151,"name":"Denver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568</v>
      </c>
      <c r="B224" s="7">
        <v>4040</v>
      </c>
      <c r="C224" s="22" t="s">
        <v>237</v>
      </c>
      <c r="D224" s="22" t="s">
        <v>708</v>
      </c>
      <c r="E224" s="13">
        <v>42681.724583333336</v>
      </c>
      <c r="F224" s="13">
        <v>25568.708333333332</v>
      </c>
      <c r="G224" s="7">
        <v>1</v>
      </c>
      <c r="H224" s="22" t="s">
        <v>694</v>
      </c>
      <c r="I224" s="13">
        <v>25568.708333333332</v>
      </c>
      <c r="J224" s="7">
        <v>0</v>
      </c>
      <c r="K224" s="110" t="str">
        <f t="shared" si="86"/>
        <v>4039/4040</v>
      </c>
      <c r="L224" s="22" t="str">
        <f>VLOOKUP(A224,'Trips&amp;Operators'!$C$1:$E$10000,3,FALSE)</f>
        <v>SWANSON</v>
      </c>
      <c r="M224" s="6">
        <f t="shared" si="87"/>
        <v>0</v>
      </c>
      <c r="N224" s="7">
        <f t="shared" si="98"/>
        <v>0</v>
      </c>
      <c r="O224" s="7"/>
      <c r="P224" s="7"/>
      <c r="Q224" s="23"/>
      <c r="R224" s="23"/>
      <c r="S224" s="35">
        <f t="shared" si="99"/>
        <v>0</v>
      </c>
      <c r="T224" s="50" t="e">
        <f t="shared" si="88"/>
        <v>#VALUE!</v>
      </c>
      <c r="U224" s="16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16:23:24-700',mode:absolute,to:'1969-12-31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2" t="str">
        <f t="shared" si="90"/>
        <v>Y</v>
      </c>
      <c r="X224" s="174" t="e">
        <f t="shared" si="84"/>
        <v>#VALUE!</v>
      </c>
      <c r="Y224" s="67">
        <f t="shared" si="79"/>
        <v>0.15279999999999999</v>
      </c>
      <c r="Z224" s="67">
        <f t="shared" si="85"/>
        <v>2.3304</v>
      </c>
      <c r="AA224" s="67">
        <f t="shared" si="91"/>
        <v>2.1776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2"/>
        <v>59-07</v>
      </c>
      <c r="AE224" s="91" t="str">
        <f t="shared" si="93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4" s="88" t="str">
        <f t="shared" si="94"/>
        <v>"C:\Program Files (x86)\AstroGrep\AstroGrep.exe" /spath="%USERPROFILE%\AppData\Local\Temp\OnboardLogs" /stypes="app*4040*19700101*" /stext=" 00:.+((SYSTEM_STATE.+slice.+state.+changed )|(ment ac)|(system.+state.+changed )|(\[timeout)|(PRM\|1\|D)|(kpr)|(kdp)|(\|loc)|(penalty))" /e /r /s</v>
      </c>
      <c r="AG224" s="1" t="str">
        <f t="shared" si="95"/>
        <v>Other</v>
      </c>
      <c r="AH224" s="92" t="str">
        <f t="shared" si="96"/>
        <v>"%USERPROFILE%\Documents\GitHub\eaglep3\Utilities\RefineRTDCRunTimes.py" --tripid 59-07 --locoid 4040 --swversion DE.1.0.8.0 --startMP 204:1528 --initTime 2016-11-07T17:23:24 --startdatetime 1969-12-31T17:00:00 --delay 1 --endMP 300:23304 --enddatetime 1969-12-31T17:00:00 --enforcementcount 0 &gt;&gt;C:\Users\stu\Documents\GitHub\eaglep3-reporting\EC\2016-11-07-refined-times.txt</v>
      </c>
      <c r="AI224" s="120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ID","value":"59-07"},{"id":16,"name":"Locomotive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575</v>
      </c>
      <c r="B225" s="7">
        <v>4018</v>
      </c>
      <c r="C225" s="22" t="s">
        <v>237</v>
      </c>
      <c r="D225" s="22" t="s">
        <v>709</v>
      </c>
      <c r="E225" s="13">
        <v>42681.75277777778</v>
      </c>
      <c r="F225" s="13">
        <v>42681.75545138889</v>
      </c>
      <c r="G225" s="7">
        <v>3</v>
      </c>
      <c r="H225" s="22" t="s">
        <v>710</v>
      </c>
      <c r="I225" s="13">
        <v>42681.762060185189</v>
      </c>
      <c r="J225" s="7">
        <v>0</v>
      </c>
      <c r="K225" s="110" t="str">
        <f t="shared" si="86"/>
        <v>4017/4018</v>
      </c>
      <c r="L225" s="22" t="str">
        <f>VLOOKUP(A225,'Trips&amp;Operators'!$C$1:$E$10000,3,FALSE)</f>
        <v>LALONDE</v>
      </c>
      <c r="M225" s="6">
        <f t="shared" si="87"/>
        <v>6.6087962986784987E-3</v>
      </c>
      <c r="N225" s="7">
        <f t="shared" si="98"/>
        <v>9.5166666700970381</v>
      </c>
      <c r="O225" s="7"/>
      <c r="P225" s="7"/>
      <c r="Q225" s="23"/>
      <c r="R225" s="23"/>
      <c r="S225" s="35">
        <f t="shared" si="99"/>
        <v>0</v>
      </c>
      <c r="T225" s="50" t="e">
        <f t="shared" si="88"/>
        <v>#VALUE!</v>
      </c>
      <c r="U225" s="16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17:04:00-700',mode:absolute,to:'2016-11-07 19:17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5" s="52" t="str">
        <f t="shared" si="90"/>
        <v>Y</v>
      </c>
      <c r="X225" s="174" t="e">
        <f t="shared" si="84"/>
        <v>#VALUE!</v>
      </c>
      <c r="Y225" s="67">
        <f t="shared" si="79"/>
        <v>0.1179</v>
      </c>
      <c r="Z225" s="67">
        <f t="shared" si="85"/>
        <v>2.4209999999999998</v>
      </c>
      <c r="AA225" s="67">
        <f t="shared" si="91"/>
        <v>2.3030999999999997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2"/>
        <v>61-07</v>
      </c>
      <c r="AE225" s="91" t="str">
        <f t="shared" si="93"/>
        <v>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 &amp; 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</v>
      </c>
      <c r="AF225" s="88" t="str">
        <f t="shared" si="94"/>
        <v>"C:\Program Files (x86)\AstroGrep\AstroGrep.exe" /spath="%USERPROFILE%\AppData\Local\Temp\OnboardLogs" /stypes="app*4018*20161108*" /stext=" 01:.+((SYSTEM_STATE.+slice.+state.+changed )|(ment ac)|(system.+state.+changed )|(\[timeout)|(PRM\|1\|D)|(kpr)|(kdp)|(\|loc)|(penalty))" /e /r /s</v>
      </c>
      <c r="AG225" s="1" t="str">
        <f t="shared" si="95"/>
        <v>Other</v>
      </c>
      <c r="AH225" s="92" t="str">
        <f t="shared" si="96"/>
        <v>"%USERPROFILE%\Documents\GitHub\eaglep3\Utilities\RefineRTDCRunTimes.py" --tripid 61-07 --locoid 4018 --swversion DE.1.0.8.0 --startMP 204:1179 --initTime 2016-11-07T18:04:00 --startdatetime 2016-11-07T18:07:51 --delay 3 --endMP 300:24210 --enddatetime 2016-11-07T18:17:22 --enforcementcount 0 &gt;&gt;C:\Users\stu\Documents\GitHub\eaglep3-reporting\EC\2016-11-07-refined-times.txt</v>
      </c>
      <c r="AI225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{"issue":{"subject":"","project_id":79,"tracker_id":40,"status_id":1,"priority_id":2,"assigned_to_id":23,"start_date":"2016-11-07","description":"","custom_fields":[{"id":1,"name":"Subdivision","value":"Other"},{"id":4,"name":"Milepost","value":"2.421"},{"id":17,"name":"Train ID","value":"61-07"},{"id":16,"name":"Locomotive ID","value":"4018"},{"id":130,"name":"Impact","value":""},{"id":150,"name":"Time of Event (Mountain Time)","value":"18:17:22"},{"id":151,"name":"Denver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428</v>
      </c>
      <c r="B226" s="7">
        <v>4032</v>
      </c>
      <c r="C226" s="22" t="s">
        <v>237</v>
      </c>
      <c r="D226" s="22" t="s">
        <v>711</v>
      </c>
      <c r="E226" s="13">
        <v>42681.80128472222</v>
      </c>
      <c r="F226" s="13">
        <v>42681.802581018521</v>
      </c>
      <c r="G226" s="7">
        <v>1</v>
      </c>
      <c r="H226" s="22" t="s">
        <v>712</v>
      </c>
      <c r="I226" s="13">
        <v>42681.810150462959</v>
      </c>
      <c r="J226" s="7">
        <v>0</v>
      </c>
      <c r="K226" s="110" t="str">
        <f t="shared" si="86"/>
        <v>4031/4032</v>
      </c>
      <c r="L226" s="22" t="str">
        <f>VLOOKUP(A226,'Trips&amp;Operators'!$C$1:$E$10000,3,FALSE)</f>
        <v>WHITED</v>
      </c>
      <c r="M226" s="6">
        <f t="shared" si="87"/>
        <v>7.5694444385590032E-3</v>
      </c>
      <c r="N226" s="7">
        <f t="shared" si="98"/>
        <v>10.899999991524965</v>
      </c>
      <c r="O226" s="7"/>
      <c r="P226" s="7"/>
      <c r="Q226" s="23"/>
      <c r="R226" s="23"/>
      <c r="S226" s="35">
        <f t="shared" si="99"/>
        <v>0</v>
      </c>
      <c r="T226" s="50" t="e">
        <f t="shared" si="88"/>
        <v>#VALUE!</v>
      </c>
      <c r="U226" s="16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6" s="52" t="str">
        <f t="shared" si="90"/>
        <v>Y</v>
      </c>
      <c r="X226" s="174" t="e">
        <f t="shared" si="84"/>
        <v>#VALUE!</v>
      </c>
      <c r="Y226" s="67">
        <f t="shared" si="79"/>
        <v>2.3498999999999999</v>
      </c>
      <c r="Z226" s="67">
        <f t="shared" si="85"/>
        <v>9.0899999999999995E-2</v>
      </c>
      <c r="AA226" s="67">
        <f t="shared" si="91"/>
        <v>2.2589999999999999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2"/>
        <v>80-07</v>
      </c>
      <c r="AE226" s="91" t="str">
        <f t="shared" si="93"/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226" s="88" t="str">
        <f t="shared" si="94"/>
        <v>"C:\Program Files (x86)\AstroGrep\AstroGrep.exe" /spath="%USERPROFILE%\AppData\Local\Temp\OnboardLogs" /stypes="app*4032*20161108*" /stext=" 02:.+((SYSTEM_STATE.+slice.+state.+changed )|(ment ac)|(system.+state.+changed )|(\[timeout)|(PRM\|1\|D)|(kpr)|(kdp)|(\|loc)|(penalty))" /e /r /s</v>
      </c>
      <c r="AG226" s="1" t="str">
        <f t="shared" si="95"/>
        <v>Other</v>
      </c>
      <c r="AH226" s="92" t="str">
        <f t="shared" si="96"/>
        <v>"%USERPROFILE%\Documents\GitHub\eaglep3\Utilities\RefineRTDCRunTimes.py" --tripid 80-07 --locoid 4032 --swversion DE.1.0.8.0 --startMP 300:23499 --initTime 2016-11-07T19:13:51 --startdatetime 2016-11-07T19:15:43 --delay 1 --endMP 204:909 --enddatetime 2016-11-07T19:26:37 --enforcementcount 0 &gt;&gt;C:\Users\stu\Documents\GitHub\eaglep3-reporting\EC\2016-11-07-refined-times.txt</v>
      </c>
      <c r="AI226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{"issue":{"subject":"","project_id":79,"tracker_id":40,"status_id":1,"priority_id":2,"assigned_to_id":23,"start_date":"2016-11-07","description":"","custom_fields":[{"id":1,"name":"Subdivision","value":"Other"},{"id":4,"name":"Milepost","value":"0.0909"},{"id":17,"name":"Train ID","value":"80-07"},{"id":16,"name":"Locomotive ID","value":"4032"},{"id":130,"name":"Impact","value":""},{"id":150,"name":"Time of Event (Mountain Time)","value":"19:26:37"},{"id":151,"name":"Denver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606</v>
      </c>
      <c r="B227" s="7">
        <v>4051</v>
      </c>
      <c r="C227" s="22" t="s">
        <v>237</v>
      </c>
      <c r="D227" s="22" t="s">
        <v>226</v>
      </c>
      <c r="E227" s="13">
        <v>42681.983888888892</v>
      </c>
      <c r="F227" s="13">
        <v>42682.015335648146</v>
      </c>
      <c r="G227" s="7">
        <v>1</v>
      </c>
      <c r="H227" s="22" t="s">
        <v>759</v>
      </c>
      <c r="I227" s="13">
        <v>42682.033761574072</v>
      </c>
      <c r="J227" s="7">
        <v>0</v>
      </c>
      <c r="K227" s="110" t="str">
        <f t="shared" si="86"/>
        <v>4051/4052</v>
      </c>
      <c r="L227" s="22" t="str">
        <f>VLOOKUP(A227,'Trips&amp;Operators'!$C$1:$E$10000,3,FALSE)</f>
        <v>NEWELL</v>
      </c>
      <c r="M227" s="6">
        <f t="shared" si="87"/>
        <v>1.8425925925839692E-2</v>
      </c>
      <c r="N227" s="7">
        <f t="shared" si="98"/>
        <v>26.533333333209157</v>
      </c>
      <c r="O227" s="7"/>
      <c r="P227" s="7"/>
      <c r="Q227" s="23"/>
      <c r="R227" s="23"/>
      <c r="S227" s="35">
        <f t="shared" si="99"/>
        <v>0</v>
      </c>
      <c r="T227" s="50" t="e">
        <f t="shared" si="88"/>
        <v>#VALUE!</v>
      </c>
      <c r="U227" s="16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22:36:48-700',mode:absolute,to:'2016-11-08 01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7" s="52" t="str">
        <f t="shared" si="90"/>
        <v>N</v>
      </c>
      <c r="X227" s="174" t="e">
        <f t="shared" si="84"/>
        <v>#VALUE!</v>
      </c>
      <c r="Y227" s="67">
        <f t="shared" ref="Y227:Y236" si="100">RIGHT(D227,LEN(D227)-4)/10000</f>
        <v>4.4900000000000002E-2</v>
      </c>
      <c r="Z227" s="67">
        <f t="shared" si="85"/>
        <v>12.883100000000001</v>
      </c>
      <c r="AA227" s="67">
        <f t="shared" si="91"/>
        <v>12.838200000000001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2"/>
        <v>85-07</v>
      </c>
      <c r="AE227" s="91" t="str">
        <f t="shared" si="93"/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27" s="88" t="str">
        <f t="shared" si="94"/>
        <v>"C:\Program Files (x86)\AstroGrep\AstroGrep.exe" /spath="%USERPROFILE%\AppData\Local\Temp\OnboardLogs" /stypes="app*4051*20161108*" /stext=" 07:.+((SYSTEM_STATE.+slice.+state.+changed )|(ment ac)|(system.+state.+changed )|(\[timeout)|(PRM\|1\|D)|(kpr)|(kdp)|(\|loc)|(penalty))" /e /r /s</v>
      </c>
      <c r="AG227" s="1" t="str">
        <f t="shared" si="95"/>
        <v>Other</v>
      </c>
      <c r="AH227" s="92" t="str">
        <f t="shared" si="96"/>
        <v>"%USERPROFILE%\Documents\GitHub\eaglep3\Utilities\RefineRTDCRunTimes.py" --tripid 85-07 --locoid 4051 --swversion DE.1.0.8.0 --startMP 204:449 --initTime 2016-11-07T23:36:48 --startdatetime 2016-11-08T00:22:05 --delay 1 --endMP 204:128831 --enddatetime 2016-11-08T00:48:37 --enforcementcount 0 &gt;&gt;C:\Users\stu\Documents\GitHub\eaglep3-reporting\EC\2016-11-07-refined-times.txt</v>
      </c>
      <c r="AI227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{"issue":{"subject":"","project_id":79,"tracker_id":40,"status_id":1,"priority_id":2,"assigned_to_id":23,"start_date":"2016-11-08","description":"","custom_fields":[{"id":1,"name":"Subdivision","value":"Other"},{"id":4,"name":"Milepost","value":"12.8831"},{"id":17,"name":"Train ID","value":"85-07"},{"id":16,"name":"Locomotive ID","value":"4051"},{"id":130,"name":"Impact","value":""},{"id":150,"name":"Time of Event (Mountain Time)","value":"00:48:37"},{"id":151,"name":"Denver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606</v>
      </c>
      <c r="B228" s="7">
        <v>4051</v>
      </c>
      <c r="C228" s="22" t="s">
        <v>237</v>
      </c>
      <c r="D228" s="22" t="s">
        <v>228</v>
      </c>
      <c r="E228" s="13">
        <v>42681.892372685186</v>
      </c>
      <c r="F228" s="13">
        <v>42681.905104166668</v>
      </c>
      <c r="G228" s="7">
        <v>2</v>
      </c>
      <c r="H228" s="22" t="s">
        <v>760</v>
      </c>
      <c r="I228" s="13">
        <v>42681.918368055558</v>
      </c>
      <c r="J228" s="7">
        <v>0</v>
      </c>
      <c r="K228" s="110" t="str">
        <f t="shared" si="86"/>
        <v>4051/4052</v>
      </c>
      <c r="L228" s="22" t="str">
        <f>VLOOKUP(A228,'Trips&amp;Operators'!$C$1:$E$10000,3,FALSE)</f>
        <v>NEWELL</v>
      </c>
      <c r="M228" s="6">
        <f t="shared" si="87"/>
        <v>1.3263888889923692E-2</v>
      </c>
      <c r="N228" s="7">
        <f t="shared" si="98"/>
        <v>19.100000001490116</v>
      </c>
      <c r="O228" s="7"/>
      <c r="P228" s="7"/>
      <c r="Q228" s="23"/>
      <c r="R228" s="23"/>
      <c r="S228" s="35">
        <f t="shared" si="99"/>
        <v>0</v>
      </c>
      <c r="T228" s="50" t="e">
        <f t="shared" si="88"/>
        <v>#VALUE!</v>
      </c>
      <c r="U228" s="16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20:25:01-700',mode:absolute,to:'2016-11-07 23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8" s="52" t="str">
        <f t="shared" si="90"/>
        <v>N</v>
      </c>
      <c r="X228" s="174" t="e">
        <f t="shared" si="84"/>
        <v>#VALUE!</v>
      </c>
      <c r="Y228" s="67">
        <f t="shared" si="100"/>
        <v>4.6199999999999998E-2</v>
      </c>
      <c r="Z228" s="67">
        <f t="shared" si="85"/>
        <v>12.890700000000001</v>
      </c>
      <c r="AA228" s="67">
        <f t="shared" si="91"/>
        <v>12.8445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2"/>
        <v>85-07</v>
      </c>
      <c r="AE228" s="91" t="str">
        <f t="shared" si="93"/>
        <v>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 &amp; 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</v>
      </c>
      <c r="AF228" s="88" t="str">
        <f t="shared" si="94"/>
        <v>"C:\Program Files (x86)\AstroGrep\AstroGrep.exe" /spath="%USERPROFILE%\AppData\Local\Temp\OnboardLogs" /stypes="app*4051*20161108*" /stext=" 05:.+((SYSTEM_STATE.+slice.+state.+changed )|(ment ac)|(system.+state.+changed )|(\[timeout)|(PRM\|1\|D)|(kpr)|(kdp)|(\|loc)|(penalty))" /e /r /s</v>
      </c>
      <c r="AG228" s="1" t="str">
        <f t="shared" si="95"/>
        <v>Other</v>
      </c>
      <c r="AH228" s="92" t="str">
        <f t="shared" si="96"/>
        <v>"%USERPROFILE%\Documents\GitHub\eaglep3\Utilities\RefineRTDCRunTimes.py" --tripid 85-07 --locoid 4051 --swversion DE.1.0.8.0 --startMP 204:462 --initTime 2016-11-07T21:25:01 --startdatetime 2016-11-07T21:43:21 --delay 2 --endMP 204:128907 --enddatetime 2016-11-07T22:02:27 --enforcementcount 0 &gt;&gt;C:\Users\stu\Documents\GitHub\eaglep3-reporting\EC\2016-11-07-refined-times.txt</v>
      </c>
      <c r="AI228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{"issue":{"subject":"","project_id":79,"tracker_id":40,"status_id":1,"priority_id":2,"assigned_to_id":23,"start_date":"2016-11-07","description":"","custom_fields":[{"id":1,"name":"Subdivision","value":"Other"},{"id":4,"name":"Milepost","value":"12.8907"},{"id":17,"name":"Train ID","value":"85-07"},{"id":16,"name":"Locomotive ID","value":"4051"},{"id":130,"name":"Impact","value":""},{"id":150,"name":"Time of Event (Mountain Time)","value":"22:02:27"},{"id":151,"name":"Denver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606</v>
      </c>
      <c r="B229" s="7">
        <v>4051</v>
      </c>
      <c r="C229" s="22" t="s">
        <v>237</v>
      </c>
      <c r="D229" s="22" t="s">
        <v>235</v>
      </c>
      <c r="E229" s="13">
        <v>42681.947199074071</v>
      </c>
      <c r="F229" s="13">
        <v>42681.948229166665</v>
      </c>
      <c r="G229" s="7">
        <v>1</v>
      </c>
      <c r="H229" s="22" t="s">
        <v>761</v>
      </c>
      <c r="I229" s="13">
        <v>42681.959861111114</v>
      </c>
      <c r="J229" s="7">
        <v>0</v>
      </c>
      <c r="K229" s="110" t="str">
        <f t="shared" si="86"/>
        <v>4051/4052</v>
      </c>
      <c r="L229" s="22" t="str">
        <f>VLOOKUP(A229,'Trips&amp;Operators'!$C$1:$E$10000,3,FALSE)</f>
        <v>NEWELL</v>
      </c>
      <c r="M229" s="6">
        <f t="shared" si="87"/>
        <v>1.1631944449618459E-2</v>
      </c>
      <c r="N229" s="7">
        <f t="shared" si="98"/>
        <v>16.750000007450581</v>
      </c>
      <c r="O229" s="7"/>
      <c r="P229" s="7"/>
      <c r="Q229" s="23"/>
      <c r="R229" s="23"/>
      <c r="S229" s="35">
        <f t="shared" si="99"/>
        <v>0</v>
      </c>
      <c r="T229" s="50" t="e">
        <f t="shared" si="88"/>
        <v>#VALUE!</v>
      </c>
      <c r="U229" s="16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21:43:58-700',mode:absolute,to:'2016-11-08 00:02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9" s="52" t="str">
        <f t="shared" si="90"/>
        <v>N</v>
      </c>
      <c r="X229" s="174" t="e">
        <f t="shared" si="84"/>
        <v>#VALUE!</v>
      </c>
      <c r="Y229" s="67">
        <f t="shared" si="100"/>
        <v>4.6399999999999997E-2</v>
      </c>
      <c r="Z229" s="67">
        <f t="shared" si="85"/>
        <v>12.882400000000001</v>
      </c>
      <c r="AA229" s="67">
        <f t="shared" si="91"/>
        <v>12.836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2"/>
        <v>85-07</v>
      </c>
      <c r="AE229" s="91" t="str">
        <f t="shared" si="93"/>
        <v>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 &amp; 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</v>
      </c>
      <c r="AF229" s="88" t="str">
        <f t="shared" si="94"/>
        <v>"C:\Program Files (x86)\AstroGrep\AstroGrep.exe" /spath="%USERPROFILE%\AppData\Local\Temp\OnboardLogs" /stypes="app*4051*20161108*" /stext=" 06:.+((SYSTEM_STATE.+slice.+state.+changed )|(ment ac)|(system.+state.+changed )|(\[timeout)|(PRM\|1\|D)|(kpr)|(kdp)|(\|loc)|(penalty))" /e /r /s</v>
      </c>
      <c r="AG229" s="1" t="str">
        <f t="shared" si="95"/>
        <v>Other</v>
      </c>
      <c r="AH229" s="92" t="str">
        <f t="shared" si="96"/>
        <v>"%USERPROFILE%\Documents\GitHub\eaglep3\Utilities\RefineRTDCRunTimes.py" --tripid 85-07 --locoid 4051 --swversion DE.1.0.8.0 --startMP 204:464 --initTime 2016-11-07T22:43:58 --startdatetime 2016-11-07T22:45:27 --delay 1 --endMP 204:128824 --enddatetime 2016-11-07T23:02:12 --enforcementcount 0 &gt;&gt;C:\Users\stu\Documents\GitHub\eaglep3-reporting\EC\2016-11-07-refined-times.txt</v>
      </c>
      <c r="AI229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{"issue":{"subject":"","project_id":79,"tracker_id":40,"status_id":1,"priority_id":2,"assigned_to_id":23,"start_date":"2016-11-07","description":"","custom_fields":[{"id":1,"name":"Subdivision","value":"Other"},{"id":4,"name":"Milepost","value":"12.8824"},{"id":17,"name":"Train ID","value":"85-07"},{"id":16,"name":"Locomotive ID","value":"4051"},{"id":130,"name":"Impact","value":""},{"id":150,"name":"Time of Event (Mountain Time)","value":"23:02:12"},{"id":151,"name":"Denver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606</v>
      </c>
      <c r="B230" s="7">
        <v>4051</v>
      </c>
      <c r="C230" s="22" t="s">
        <v>237</v>
      </c>
      <c r="D230" s="22" t="s">
        <v>762</v>
      </c>
      <c r="E230" s="13">
        <v>42682.078055555554</v>
      </c>
      <c r="F230" s="13">
        <v>42682.091365740744</v>
      </c>
      <c r="G230" s="7">
        <v>1</v>
      </c>
      <c r="H230" s="22" t="s">
        <v>763</v>
      </c>
      <c r="I230" s="13">
        <v>42682.10732638889</v>
      </c>
      <c r="J230" s="7">
        <v>0</v>
      </c>
      <c r="K230" s="110" t="str">
        <f t="shared" si="86"/>
        <v>4051/4052</v>
      </c>
      <c r="L230" s="22" t="str">
        <f>VLOOKUP(A230,'Trips&amp;Operators'!$C$1:$E$10000,3,FALSE)</f>
        <v>NEWELL</v>
      </c>
      <c r="M230" s="6">
        <f t="shared" si="87"/>
        <v>1.5960648146574385E-2</v>
      </c>
      <c r="N230" s="7">
        <f t="shared" si="98"/>
        <v>22.983333331067115</v>
      </c>
      <c r="O230" s="7"/>
      <c r="P230" s="7"/>
      <c r="Q230" s="23"/>
      <c r="R230" s="23"/>
      <c r="S230" s="35">
        <f t="shared" si="99"/>
        <v>0</v>
      </c>
      <c r="T230" s="50" t="e">
        <f t="shared" si="88"/>
        <v>#VALUE!</v>
      </c>
      <c r="U230" s="16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https://search-rtdc-monitor-bjffxe2xuh6vdkpspy63sjmuny.us-east-1.es.amazonaws.com/_plugin/kibana/#/discover/Steve-Slow-Train-Analysis-(2080s-and-2083s)?_g=(refreshInterval:(display:Off,section:0,value:0),time:(from:'2016-11-08 00:52:24-700',mode:absolute,to:'2016-11-08 03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0" s="52" t="str">
        <f t="shared" si="90"/>
        <v>N</v>
      </c>
      <c r="X230" s="174" t="e">
        <f t="shared" si="84"/>
        <v>#VALUE!</v>
      </c>
      <c r="Y230" s="67">
        <f t="shared" si="100"/>
        <v>7.6999999999999999E-2</v>
      </c>
      <c r="Z230" s="67">
        <f t="shared" si="85"/>
        <v>12.882300000000001</v>
      </c>
      <c r="AA230" s="67">
        <f t="shared" si="91"/>
        <v>12.805300000000001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2"/>
        <v>85-07</v>
      </c>
      <c r="AE230" s="91" t="str">
        <f t="shared" si="93"/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30" s="88" t="str">
        <f t="shared" si="94"/>
        <v>"C:\Program Files (x86)\AstroGrep\AstroGrep.exe" /spath="%USERPROFILE%\AppData\Local\Temp\OnboardLogs" /stypes="app*4051*20161108*" /stext=" 09:.+((SYSTEM_STATE.+slice.+state.+changed )|(ment ac)|(system.+state.+changed )|(\[timeout)|(PRM\|1\|D)|(kpr)|(kdp)|(\|loc)|(penalty))" /e /r /s</v>
      </c>
      <c r="AG230" s="1" t="str">
        <f t="shared" si="95"/>
        <v>Other</v>
      </c>
      <c r="AH230" s="92" t="str">
        <f t="shared" si="96"/>
        <v>"%USERPROFILE%\Documents\GitHub\eaglep3\Utilities\RefineRTDCRunTimes.py" --tripid 85-07 --locoid 4051 --swversion DE.1.0.8.0 --startMP 204:770 --initTime 2016-11-08T01:52:24 --startdatetime 2016-11-08T02:11:34 --delay 1 --endMP 204:128823 --enddatetime 2016-11-08T02:34:33 --enforcementcount 0 &gt;&gt;C:\Users\stu\Documents\GitHub\eaglep3-reporting\EC\2016-11-07-refined-times.txt</v>
      </c>
      <c r="AI230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{"issue":{"subject":"","project_id":79,"tracker_id":40,"status_id":1,"priority_id":2,"assigned_to_id":23,"start_date":"2016-11-08","description":"","custom_fields":[{"id":1,"name":"Subdivision","value":"Other"},{"id":4,"name":"Milepost","value":"12.8823"},{"id":17,"name":"Train ID","value":"85-07"},{"id":16,"name":"Locomotive ID","value":"4051"},{"id":130,"name":"Impact","value":""},{"id":150,"name":"Time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606</v>
      </c>
      <c r="B231" s="7">
        <v>4051</v>
      </c>
      <c r="C231" s="22" t="s">
        <v>237</v>
      </c>
      <c r="D231" s="22" t="s">
        <v>764</v>
      </c>
      <c r="E231" s="13">
        <v>42682.036087962966</v>
      </c>
      <c r="F231" s="13">
        <v>42682.091365740744</v>
      </c>
      <c r="G231" s="7">
        <v>1</v>
      </c>
      <c r="H231" s="22" t="s">
        <v>765</v>
      </c>
      <c r="I231" s="13">
        <v>42682.10732638889</v>
      </c>
      <c r="J231" s="7">
        <v>0</v>
      </c>
      <c r="K231" s="110" t="str">
        <f t="shared" si="86"/>
        <v>4051/4052</v>
      </c>
      <c r="L231" s="22" t="str">
        <f>VLOOKUP(A231,'Trips&amp;Operators'!$C$1:$E$10000,3,FALSE)</f>
        <v>NEWELL</v>
      </c>
      <c r="M231" s="6">
        <f t="shared" si="87"/>
        <v>1.5960648146574385E-2</v>
      </c>
      <c r="N231" s="7">
        <f t="shared" si="98"/>
        <v>22.983333331067115</v>
      </c>
      <c r="O231" s="7"/>
      <c r="P231" s="7"/>
      <c r="Q231" s="23"/>
      <c r="R231" s="23"/>
      <c r="S231" s="35">
        <f t="shared" si="99"/>
        <v>0</v>
      </c>
      <c r="T231" s="50" t="e">
        <f t="shared" si="88"/>
        <v>#VALUE!</v>
      </c>
      <c r="U231" s="16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23:51:58-700',mode:absolute,to:'2016-11-08 03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1" s="52" t="str">
        <f t="shared" si="90"/>
        <v>N</v>
      </c>
      <c r="X231" s="174" t="e">
        <f t="shared" si="84"/>
        <v>#VALUE!</v>
      </c>
      <c r="Y231" s="67">
        <f t="shared" si="100"/>
        <v>7.8799999999999995E-2</v>
      </c>
      <c r="Z231" s="67">
        <f t="shared" si="85"/>
        <v>12.8818</v>
      </c>
      <c r="AA231" s="67">
        <f t="shared" si="91"/>
        <v>12.803000000000001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2"/>
        <v>85-07</v>
      </c>
      <c r="AE231" s="91" t="str">
        <f t="shared" si="93"/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31" s="88" t="str">
        <f t="shared" si="94"/>
        <v>"C:\Program Files (x86)\AstroGrep\AstroGrep.exe" /spath="%USERPROFILE%\AppData\Local\Temp\OnboardLogs" /stypes="app*4051*20161108*" /stext=" 09:.+((SYSTEM_STATE.+slice.+state.+changed )|(ment ac)|(system.+state.+changed )|(\[timeout)|(PRM\|1\|D)|(kpr)|(kdp)|(\|loc)|(penalty))" /e /r /s</v>
      </c>
      <c r="AG231" s="1" t="str">
        <f t="shared" si="95"/>
        <v>Other</v>
      </c>
      <c r="AH231" s="92" t="str">
        <f t="shared" si="96"/>
        <v>"%USERPROFILE%\Documents\GitHub\eaglep3\Utilities\RefineRTDCRunTimes.py" --tripid 85-07 --locoid 4051 --swversion DE.1.0.8.0 --startMP 204:788 --initTime 2016-11-08T00:51:58 --startdatetime 2016-11-08T02:11:34 --delay 1 --endMP 204:128818 --enddatetime 2016-11-08T02:34:33 --enforcementcount 0 &gt;&gt;C:\Users\stu\Documents\GitHub\eaglep3-reporting\EC\2016-11-07-refined-times.txt</v>
      </c>
      <c r="AI231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{"issue":{"subject":"","project_id":79,"tracker_id":40,"status_id":1,"priority_id":2,"assigned_to_id":23,"start_date":"2016-11-08","description":"","custom_fields":[{"id":1,"name":"Subdivision","value":"Other"},{"id":4,"name":"Milepost","value":"12.8818"},{"id":17,"name":"Train ID","value":"85-07"},{"id":16,"name":"Locomotive ID","value":"4051"},{"id":130,"name":"Impact","value":""},{"id":150,"name":"Time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603</v>
      </c>
      <c r="B232" s="7">
        <v>4052</v>
      </c>
      <c r="C232" s="22" t="s">
        <v>237</v>
      </c>
      <c r="D232" s="22" t="s">
        <v>766</v>
      </c>
      <c r="E232" s="13">
        <v>42682.059016203704</v>
      </c>
      <c r="F232" s="13">
        <v>42682.060104166667</v>
      </c>
      <c r="G232" s="7">
        <v>0</v>
      </c>
      <c r="H232" s="22" t="s">
        <v>652</v>
      </c>
      <c r="I232" s="13">
        <v>42682.07707175926</v>
      </c>
      <c r="J232" s="7">
        <v>0</v>
      </c>
      <c r="K232" s="110" t="str">
        <f t="shared" si="86"/>
        <v>4051/4052</v>
      </c>
      <c r="L232" s="22" t="str">
        <f>VLOOKUP(A232,'Trips&amp;Operators'!$C$1:$E$10000,3,FALSE)</f>
        <v>NEWELL</v>
      </c>
      <c r="M232" s="6">
        <f t="shared" si="87"/>
        <v>1.6967592593573499E-2</v>
      </c>
      <c r="N232" s="7">
        <f t="shared" si="98"/>
        <v>24.433333334745839</v>
      </c>
      <c r="O232" s="7"/>
      <c r="P232" s="7"/>
      <c r="Q232" s="23"/>
      <c r="R232" s="23"/>
      <c r="S232" s="35">
        <f t="shared" si="99"/>
        <v>0</v>
      </c>
      <c r="T232" s="50" t="e">
        <f t="shared" si="88"/>
        <v>#VALUE!</v>
      </c>
      <c r="U232" s="16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https://search-rtdc-monitor-bjffxe2xuh6vdkpspy63sjmuny.us-east-1.es.amazonaws.com/_plugin/kibana/#/discover/Steve-Slow-Train-Analysis-(2080s-and-2083s)?_g=(refreshInterval:(display:Off,section:0,value:0),time:(from:'2016-11-08 00:24:59-700',mode:absolute,to:'2016-11-08 02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2" s="52" t="str">
        <f t="shared" si="90"/>
        <v>N</v>
      </c>
      <c r="X232" s="174" t="e">
        <f t="shared" si="84"/>
        <v>#VALUE!</v>
      </c>
      <c r="Y232" s="67">
        <f t="shared" si="100"/>
        <v>12.8454</v>
      </c>
      <c r="Z232" s="67">
        <f t="shared" si="85"/>
        <v>4.7300000000000002E-2</v>
      </c>
      <c r="AA232" s="67">
        <f t="shared" si="91"/>
        <v>12.7981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2"/>
        <v>86-07</v>
      </c>
      <c r="AE232" s="91" t="str">
        <f t="shared" si="93"/>
        <v>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 &amp; aws s3 cp s3://rtdc.mdm.uploadarchive.raw/RTDC4052/ "%USERPROFILE%\AppData\Local\Temp\OnboardLogs"\RTDC4052\2016-11-09 --exclude "*" --recursive --include "*20161109*" &amp; "%USERPROFILE%\Documents\GitHub\mrs-test-scripts\Headless Mode &amp; Sideloading\WalkAndUnGZ.bat" "%USERPROFILE%\AppData\Local\Temp\OnboardLogs"\RTDC4052\2016-11-09</v>
      </c>
      <c r="AF232" s="88" t="str">
        <f t="shared" si="94"/>
        <v>"C:\Program Files (x86)\AstroGrep\AstroGrep.exe" /spath="%USERPROFILE%\AppData\Local\Temp\OnboardLogs" /stypes="app*4052*20161108*" /stext=" 08:.+((SYSTEM_STATE.+slice.+state.+changed )|(ment ac)|(system.+state.+changed )|(\[timeout)|(PRM\|1\|D)|(kpr)|(kdp)|(\|loc)|(penalty))" /e /r /s</v>
      </c>
      <c r="AG232" s="1" t="str">
        <f t="shared" si="95"/>
        <v>Other</v>
      </c>
      <c r="AH232" s="92" t="str">
        <f t="shared" si="96"/>
        <v>"%USERPROFILE%\Documents\GitHub\eaglep3\Utilities\RefineRTDCRunTimes.py" --tripid 86-07 --locoid 4052 --swversion DE.1.0.8.0 --startMP 204:128454 --initTime 2016-11-08T01:24:59 --startdatetime 2016-11-08T01:26:33 --delay 0 --endMP 204:473 --enddatetime 2016-11-08T01:50:59 --enforcementcount 0 &gt;&gt;C:\Users\stu\Documents\GitHub\eaglep3-reporting\EC\2016-11-07-refined-times.txt</v>
      </c>
      <c r="AI232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{"issue":{"subject":"","project_id":79,"tracker_id":40,"status_id":1,"priority_id":2,"assigned_to_id":23,"start_date":"2016-11-08","description":"","custom_fields":[{"id":1,"name":"Subdivision","value":"Other"},{"id":4,"name":"Milepost","value":"0.0473"},{"id":17,"name":"Train ID","value":"86-07"},{"id":16,"name":"Locomotive ID","value":"4052"},{"id":130,"name":"Impact","value":""},{"id":150,"name":"Time of Event (Mountain Time)","value":"01:50:59"},{"id":151,"name":"Denver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603</v>
      </c>
      <c r="B233" s="7">
        <v>4052</v>
      </c>
      <c r="C233" s="22" t="s">
        <v>237</v>
      </c>
      <c r="D233" s="22" t="s">
        <v>767</v>
      </c>
      <c r="E233" s="13">
        <v>42681.960787037038</v>
      </c>
      <c r="F233" s="13">
        <v>42681.962141203701</v>
      </c>
      <c r="G233" s="7">
        <v>1</v>
      </c>
      <c r="H233" s="22" t="s">
        <v>176</v>
      </c>
      <c r="I233" s="13">
        <v>42681.98300925926</v>
      </c>
      <c r="J233" s="7">
        <v>0</v>
      </c>
      <c r="K233" s="110" t="str">
        <f t="shared" si="86"/>
        <v>4051/4052</v>
      </c>
      <c r="L233" s="22" t="str">
        <f>VLOOKUP(A233,'Trips&amp;Operators'!$C$1:$E$10000,3,FALSE)</f>
        <v>NEWELL</v>
      </c>
      <c r="M233" s="6">
        <f t="shared" si="87"/>
        <v>2.0868055558821652E-2</v>
      </c>
      <c r="N233" s="7">
        <f t="shared" si="98"/>
        <v>30.050000004703179</v>
      </c>
      <c r="O233" s="7"/>
      <c r="P233" s="7"/>
      <c r="Q233" s="23"/>
      <c r="R233" s="23"/>
      <c r="S233" s="35">
        <f t="shared" si="99"/>
        <v>0</v>
      </c>
      <c r="T233" s="50" t="e">
        <f t="shared" si="88"/>
        <v>#VALUE!</v>
      </c>
      <c r="U233" s="16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22:03:32-700',mode:absolute,to:'2016-11-08 00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90"/>
        <v>N</v>
      </c>
      <c r="X233" s="174" t="e">
        <f t="shared" si="84"/>
        <v>#VALUE!</v>
      </c>
      <c r="Y233" s="67">
        <f t="shared" si="100"/>
        <v>12.845599999999999</v>
      </c>
      <c r="Z233" s="67">
        <f t="shared" si="85"/>
        <v>1.52E-2</v>
      </c>
      <c r="AA233" s="67">
        <f t="shared" si="91"/>
        <v>12.830399999999999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92"/>
        <v>86-07</v>
      </c>
      <c r="AE233" s="91" t="str">
        <f t="shared" si="93"/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3" s="88" t="str">
        <f t="shared" si="94"/>
        <v>"C:\Program Files (x86)\AstroGrep\AstroGrep.exe" /spath="%USERPROFILE%\AppData\Local\Temp\OnboardLogs" /stypes="app*4052*20161108*" /stext=" 06:.+((SYSTEM_STATE.+slice.+state.+changed )|(ment ac)|(system.+state.+changed )|(\[timeout)|(PRM\|1\|D)|(kpr)|(kdp)|(\|loc)|(penalty))" /e /r /s</v>
      </c>
      <c r="AG233" s="1" t="str">
        <f t="shared" si="95"/>
        <v>Other</v>
      </c>
      <c r="AH233" s="92" t="str">
        <f t="shared" si="96"/>
        <v>"%USERPROFILE%\Documents\GitHub\eaglep3\Utilities\RefineRTDCRunTimes.py" --tripid 86-07 --locoid 4052 --swversion DE.1.0.8.0 --startMP 204:128456 --initTime 2016-11-07T23:03:32 --startdatetime 2016-11-07T23:05:29 --delay 1 --endMP 204:152 --enddatetime 2016-11-07T23:35:32 --enforcementcount 0 &gt;&gt;C:\Users\stu\Documents\GitHub\eaglep3-reporting\EC\2016-11-07-refined-times.txt</v>
      </c>
      <c r="AI233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{"issue":{"subject":"","project_id":79,"tracker_id":40,"status_id":1,"priority_id":2,"assigned_to_id":23,"start_date":"2016-11-07","description":"","custom_fields":[{"id":1,"name":"Subdivision","value":"Other"},{"id":4,"name":"Milepost","value":"0.0152"},{"id":17,"name":"Train ID","value":"86-07"},{"id":16,"name":"Locomotive ID","value":"4052"},{"id":130,"name":"Impact","value":""},{"id":150,"name":"Time of Event (Mountain Time)","value":"23:35:32"},{"id":151,"name":"Denver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603</v>
      </c>
      <c r="B234" s="7">
        <v>4052</v>
      </c>
      <c r="C234" s="22" t="s">
        <v>237</v>
      </c>
      <c r="D234" s="22" t="s">
        <v>768</v>
      </c>
      <c r="E234" s="13">
        <v>42682.003831018519</v>
      </c>
      <c r="F234" s="13">
        <v>42682.015335648146</v>
      </c>
      <c r="G234" s="7">
        <v>1</v>
      </c>
      <c r="H234" s="22" t="s">
        <v>235</v>
      </c>
      <c r="I234" s="13">
        <v>42682.033761574072</v>
      </c>
      <c r="J234" s="7">
        <v>0</v>
      </c>
      <c r="K234" s="110" t="str">
        <f t="shared" si="86"/>
        <v>4051/4052</v>
      </c>
      <c r="L234" s="22" t="str">
        <f>VLOOKUP(A234,'Trips&amp;Operators'!$C$1:$E$10000,3,FALSE)</f>
        <v>NEWELL</v>
      </c>
      <c r="M234" s="6">
        <f t="shared" si="87"/>
        <v>1.8425925925839692E-2</v>
      </c>
      <c r="N234" s="7">
        <f t="shared" si="98"/>
        <v>26.533333333209157</v>
      </c>
      <c r="O234" s="7"/>
      <c r="P234" s="7"/>
      <c r="Q234" s="23"/>
      <c r="R234" s="23"/>
      <c r="S234" s="35">
        <f t="shared" si="99"/>
        <v>0</v>
      </c>
      <c r="T234" s="50" t="e">
        <f t="shared" si="88"/>
        <v>#VALUE!</v>
      </c>
      <c r="U234" s="16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23:05:31-700',mode:absolute,to:'2016-11-08 01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4" s="52" t="str">
        <f t="shared" si="90"/>
        <v>N</v>
      </c>
      <c r="X234" s="174" t="e">
        <f t="shared" si="84"/>
        <v>#VALUE!</v>
      </c>
      <c r="Y234" s="67">
        <f t="shared" si="100"/>
        <v>12.846399999999999</v>
      </c>
      <c r="Z234" s="67">
        <f t="shared" si="85"/>
        <v>4.6399999999999997E-2</v>
      </c>
      <c r="AA234" s="67">
        <f t="shared" si="91"/>
        <v>12.799999999999999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92"/>
        <v>86-07</v>
      </c>
      <c r="AE234" s="91" t="str">
        <f t="shared" si="93"/>
        <v>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 &amp; aws s3 cp s3://rtdc.mdm.uploadarchive.raw/RTDC4052/ "%USERPROFILE%\AppData\Local\Temp\OnboardLogs"\RTDC4052\2016-11-09 --exclude "*" --recursive --include "*20161109*" &amp; "%USERPROFILE%\Documents\GitHub\mrs-test-scripts\Headless Mode &amp; Sideloading\WalkAndUnGZ.bat" "%USERPROFILE%\AppData\Local\Temp\OnboardLogs"\RTDC4052\2016-11-09</v>
      </c>
      <c r="AF234" s="88" t="str">
        <f t="shared" si="94"/>
        <v>"C:\Program Files (x86)\AstroGrep\AstroGrep.exe" /spath="%USERPROFILE%\AppData\Local\Temp\OnboardLogs" /stypes="app*4052*20161108*" /stext=" 07:.+((SYSTEM_STATE.+slice.+state.+changed )|(ment ac)|(system.+state.+changed )|(\[timeout)|(PRM\|1\|D)|(kpr)|(kdp)|(\|loc)|(penalty))" /e /r /s</v>
      </c>
      <c r="AG234" s="1" t="str">
        <f t="shared" si="95"/>
        <v>Other</v>
      </c>
      <c r="AH234" s="92" t="str">
        <f t="shared" si="96"/>
        <v>"%USERPROFILE%\Documents\GitHub\eaglep3\Utilities\RefineRTDCRunTimes.py" --tripid 86-07 --locoid 4052 --swversion DE.1.0.8.0 --startMP 204:128464 --initTime 2016-11-08T00:05:31 --startdatetime 2016-11-08T00:22:05 --delay 1 --endMP 204:464 --enddatetime 2016-11-08T00:48:37 --enforcementcount 0 &gt;&gt;C:\Users\stu\Documents\GitHub\eaglep3-reporting\EC\2016-11-07-refined-times.txt</v>
      </c>
      <c r="AI234" s="120" t="str">
        <f t="shared" si="97"/>
        <v>echo {"issue":{"subject":"","project_id":79,"tracker_id":40,"status_id":1,"priority_id":2,"assigned_to_id":23,"start_date":"2016-11-08","description":"","custom_fields":[{"id":1,"name":"Subdivision","value":"Other"},{"id":4,"name":"Milepost","value":"0.0464"},{"id":17,"name":"Train ID","value":"86-07"},{"id":16,"name":"Locomotive ID","value":"4052"},{"id":130,"name":"Impact","value":""},{"id":150,"name":"Time of Event (Mountain Time)","value":"00:48:37"},{"id":151,"name":"Denver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603</v>
      </c>
      <c r="B235" s="7">
        <v>4052</v>
      </c>
      <c r="C235" s="22" t="s">
        <v>237</v>
      </c>
      <c r="D235" s="22" t="s">
        <v>769</v>
      </c>
      <c r="E235" s="13">
        <v>42681.91946759259</v>
      </c>
      <c r="F235" s="13">
        <v>42681.962141203701</v>
      </c>
      <c r="G235" s="7">
        <v>1</v>
      </c>
      <c r="H235" s="22" t="s">
        <v>770</v>
      </c>
      <c r="I235" s="13">
        <v>42681.98300925926</v>
      </c>
      <c r="J235" s="7">
        <v>0</v>
      </c>
      <c r="K235" s="110" t="str">
        <f t="shared" si="86"/>
        <v>4051/4052</v>
      </c>
      <c r="L235" s="22" t="str">
        <f>VLOOKUP(A235,'Trips&amp;Operators'!$C$1:$E$10000,3,FALSE)</f>
        <v>NEWELL</v>
      </c>
      <c r="M235" s="6">
        <f t="shared" si="87"/>
        <v>2.0868055558821652E-2</v>
      </c>
      <c r="N235" s="7">
        <f t="shared" si="98"/>
        <v>30.050000004703179</v>
      </c>
      <c r="O235" s="7"/>
      <c r="P235" s="7"/>
      <c r="Q235" s="23"/>
      <c r="R235" s="23"/>
      <c r="S235" s="35">
        <f t="shared" si="99"/>
        <v>0</v>
      </c>
      <c r="T235" s="50" t="e">
        <f t="shared" si="88"/>
        <v>#VALUE!</v>
      </c>
      <c r="U235" s="16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21:04:02-700',mode:absolute,to:'2016-11-08 00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5" s="52" t="str">
        <f t="shared" si="90"/>
        <v>N</v>
      </c>
      <c r="X235" s="174" t="e">
        <f t="shared" si="84"/>
        <v>#VALUE!</v>
      </c>
      <c r="Y235" s="67">
        <f t="shared" si="100"/>
        <v>12.853300000000001</v>
      </c>
      <c r="Z235" s="67">
        <f t="shared" si="85"/>
        <v>0.2059</v>
      </c>
      <c r="AA235" s="67">
        <f t="shared" si="91"/>
        <v>12.647400000000001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92"/>
        <v>86-07</v>
      </c>
      <c r="AE235" s="91" t="str">
        <f t="shared" si="93"/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5" s="88" t="str">
        <f t="shared" si="94"/>
        <v>"C:\Program Files (x86)\AstroGrep\AstroGrep.exe" /spath="%USERPROFILE%\AppData\Local\Temp\OnboardLogs" /stypes="app*4052*20161108*" /stext=" 06:.+((SYSTEM_STATE.+slice.+state.+changed )|(ment ac)|(system.+state.+changed )|(\[timeout)|(PRM\|1\|D)|(kpr)|(kdp)|(\|loc)|(penalty))" /e /r /s</v>
      </c>
      <c r="AG235" s="1" t="str">
        <f t="shared" si="95"/>
        <v>Other</v>
      </c>
      <c r="AH235" s="92" t="str">
        <f t="shared" si="96"/>
        <v>"%USERPROFILE%\Documents\GitHub\eaglep3\Utilities\RefineRTDCRunTimes.py" --tripid 86-07 --locoid 4052 --swversion DE.1.0.8.0 --startMP 204:128533 --initTime 2016-11-07T22:04:02 --startdatetime 2016-11-07T23:05:29 --delay 1 --endMP 204:2059 --enddatetime 2016-11-07T23:35:32 --enforcementcount 0 &gt;&gt;C:\Users\stu\Documents\GitHub\eaglep3-reporting\EC\2016-11-07-refined-times.txt</v>
      </c>
      <c r="AI235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{"issue":{"subject":"","project_id":79,"tracker_id":40,"status_id":1,"priority_id":2,"assigned_to_id":23,"start_date":"2016-11-07","description":"","custom_fields":[{"id":1,"name":"Subdivision","value":"Other"},{"id":4,"name":"Milepost","value":"0.2059"},{"id":17,"name":"Train ID","value":"86-07"},{"id":16,"name":"Locomotive ID","value":"4052"},{"id":130,"name":"Impact","value":""},{"id":150,"name":"Time of Event (Mountain Time)","value":"23:35:32"},{"id":151,"name":"Denver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603</v>
      </c>
      <c r="B236" s="7">
        <v>4052</v>
      </c>
      <c r="C236" s="22" t="s">
        <v>237</v>
      </c>
      <c r="D236" s="22" t="s">
        <v>771</v>
      </c>
      <c r="E236" s="13">
        <v>42681.88380787037</v>
      </c>
      <c r="F236" s="13">
        <v>42681.885115740741</v>
      </c>
      <c r="G236" s="7">
        <v>1</v>
      </c>
      <c r="H236" s="22" t="s">
        <v>223</v>
      </c>
      <c r="I236" s="13">
        <v>42681.891203703701</v>
      </c>
      <c r="J236" s="7">
        <v>0</v>
      </c>
      <c r="K236" s="110" t="str">
        <f t="shared" si="86"/>
        <v>4051/4052</v>
      </c>
      <c r="L236" s="22" t="str">
        <f>VLOOKUP(A236,'Trips&amp;Operators'!$C$1:$E$10000,3,FALSE)</f>
        <v>NEWELL</v>
      </c>
      <c r="M236" s="6">
        <f t="shared" si="87"/>
        <v>6.0879629600094631E-3</v>
      </c>
      <c r="N236" s="7">
        <f t="shared" si="98"/>
        <v>8.7666666624136269</v>
      </c>
      <c r="O236" s="7"/>
      <c r="P236" s="7"/>
      <c r="Q236" s="23"/>
      <c r="R236" s="23"/>
      <c r="S236" s="35">
        <f t="shared" si="99"/>
        <v>0</v>
      </c>
      <c r="T236" s="50" t="e">
        <f t="shared" si="88"/>
        <v>#VALUE!</v>
      </c>
      <c r="U236" s="16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https://search-rtdc-monitor-bjffxe2xuh6vdkpspy63sjmuny.us-east-1.es.amazonaws.com/_plugin/kibana/#/discover/Steve-Slow-Train-Analysis-(2080s-and-2083s)?_g=(refreshInterval:(display:Off,section:0,value:0),time:(from:'2016-11-07 20:12:41-700',mode:absolute,to:'2016-11-07 22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6" s="52" t="str">
        <f t="shared" si="90"/>
        <v>Y</v>
      </c>
      <c r="X236" s="174" t="e">
        <f t="shared" si="84"/>
        <v>#VALUE!</v>
      </c>
      <c r="Y236" s="67">
        <f t="shared" si="100"/>
        <v>3.0851999999999999</v>
      </c>
      <c r="Z236" s="67">
        <f t="shared" si="85"/>
        <v>1.5599999999999999E-2</v>
      </c>
      <c r="AA236" s="67">
        <f t="shared" si="91"/>
        <v>3.0695999999999999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92"/>
        <v>86-07</v>
      </c>
      <c r="AE236" s="91" t="str">
        <f t="shared" si="93"/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6" s="88" t="str">
        <f t="shared" si="94"/>
        <v>"C:\Program Files (x86)\AstroGrep\AstroGrep.exe" /spath="%USERPROFILE%\AppData\Local\Temp\OnboardLogs" /stypes="app*4052*20161108*" /stext=" 04:.+((SYSTEM_STATE.+slice.+state.+changed )|(ment ac)|(system.+state.+changed )|(\[timeout)|(PRM\|1\|D)|(kpr)|(kdp)|(\|loc)|(penalty))" /e /r /s</v>
      </c>
      <c r="AG236" s="1" t="str">
        <f t="shared" si="95"/>
        <v>Other</v>
      </c>
      <c r="AH236" s="92" t="str">
        <f t="shared" si="96"/>
        <v>"%USERPROFILE%\Documents\GitHub\eaglep3\Utilities\RefineRTDCRunTimes.py" --tripid 86-07 --locoid 4052 --swversion DE.1.0.8.0 --startMP 300:30852 --initTime 2016-11-07T21:12:41 --startdatetime 2016-11-07T21:14:34 --delay 1 --endMP 204:156 --enddatetime 2016-11-07T21:23:20 --enforcementcount 0 &gt;&gt;C:\Users\stu\Documents\GitHub\eaglep3-reporting\EC\2016-11-07-refined-times.txt</v>
      </c>
      <c r="AI236" s="120" t="str">
        <f t="shared" si="97"/>
        <v>echo {"issue":{"subject":"","project_id":79,"tracker_id":40,"status_id":1,"priority_id":2,"assigned_to_id":23,"start_date":"2016-11-07","description":"","custom_fields":[{"id":1,"name":"Subdivision","value":"Other"},{"id":4,"name":"Milepost","value":"0.0156"},{"id":17,"name":"Train ID","value":"86-07"},{"id":16,"name":"Locomotive ID","value":"4052"},{"id":130,"name":"Impact","value":""},{"id":150,"name":"Time of Event (Mountain Time)","value":"21:23:20"},{"id":151,"name":"Denver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265:X1048576 W13:X236">
    <cfRule type="cellIs" dxfId="10" priority="344" operator="equal">
      <formula>"Y"</formula>
    </cfRule>
  </conditionalFormatting>
  <conditionalFormatting sqref="X265:X1048576 X13:X236">
    <cfRule type="cellIs" dxfId="9" priority="327" operator="greaterThan">
      <formula>1</formula>
    </cfRule>
  </conditionalFormatting>
  <conditionalFormatting sqref="X265:X1048576 X12:X236">
    <cfRule type="cellIs" dxfId="8" priority="324" operator="equal">
      <formula>0</formula>
    </cfRule>
  </conditionalFormatting>
  <conditionalFormatting sqref="A13:S236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91" r:id="rId1"/>
    <hyperlink ref="AJ155" r:id="rId2"/>
    <hyperlink ref="AJ17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P13" sqref="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7" customWidth="1"/>
    <col min="5" max="5" width="18.5703125" style="137" customWidth="1"/>
    <col min="6" max="6" width="5.7109375" style="137" customWidth="1"/>
    <col min="7" max="7" width="5.85546875" style="137" customWidth="1"/>
    <col min="8" max="8" width="7.85546875" style="137" customWidth="1"/>
    <col min="9" max="9" width="9" style="137" customWidth="1"/>
    <col min="10" max="10" width="11.5703125" style="137" hidden="1" customWidth="1"/>
    <col min="11" max="11" width="9.140625" style="137" customWidth="1"/>
    <col min="12" max="12" width="7.85546875" style="137" customWidth="1"/>
    <col min="13" max="13" width="7.85546875" style="2" customWidth="1"/>
    <col min="14" max="14" width="13.5703125" style="136" bestFit="1" customWidth="1"/>
    <col min="15" max="15" width="5.140625" style="166" customWidth="1"/>
    <col min="16" max="16" width="31" style="137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9" customWidth="1"/>
  </cols>
  <sheetData>
    <row r="1" spans="1:29" s="21" customFormat="1" ht="15.75" hidden="1" thickBot="1" x14ac:dyDescent="0.3">
      <c r="A1" s="8"/>
      <c r="D1" s="137"/>
      <c r="E1" s="137"/>
      <c r="F1" s="137"/>
      <c r="G1" s="137"/>
      <c r="H1" s="137"/>
      <c r="I1" s="137"/>
      <c r="J1" s="137"/>
      <c r="K1" s="137"/>
      <c r="L1" s="137"/>
      <c r="M1" s="2"/>
      <c r="N1" s="136"/>
      <c r="O1" s="166"/>
      <c r="P1" s="137"/>
      <c r="R1" s="89"/>
      <c r="S1" s="101"/>
      <c r="T1" s="86"/>
      <c r="V1" s="48"/>
      <c r="AC1" s="139"/>
    </row>
    <row r="2" spans="1:29" s="21" customFormat="1" x14ac:dyDescent="0.25">
      <c r="A2" s="8"/>
      <c r="D2" s="137"/>
      <c r="E2" s="137"/>
      <c r="F2" s="137"/>
      <c r="G2" s="137"/>
      <c r="H2" s="137"/>
      <c r="I2" s="137"/>
      <c r="J2" s="137"/>
      <c r="K2" s="137"/>
      <c r="L2" s="148" t="s">
        <v>80</v>
      </c>
      <c r="M2" s="132"/>
      <c r="N2" s="149"/>
      <c r="O2" s="178">
        <f>COUNTIF($O$7:$O$337,"=Y")</f>
        <v>1</v>
      </c>
      <c r="P2" s="134"/>
      <c r="R2" s="89"/>
      <c r="S2" s="101"/>
      <c r="T2" s="86"/>
      <c r="V2" s="48"/>
      <c r="AC2" s="140"/>
    </row>
    <row r="3" spans="1:29" s="21" customFormat="1" ht="15.75" thickBot="1" x14ac:dyDescent="0.3">
      <c r="A3" s="8"/>
      <c r="D3" s="137"/>
      <c r="E3" s="137"/>
      <c r="F3" s="137"/>
      <c r="G3" s="137"/>
      <c r="H3" s="137"/>
      <c r="I3" s="137"/>
      <c r="J3" s="137"/>
      <c r="K3" s="137"/>
      <c r="L3" s="150" t="s">
        <v>81</v>
      </c>
      <c r="M3" s="133"/>
      <c r="N3" s="151"/>
      <c r="O3" s="179">
        <f>COUNTA($O$7:$O$337)-O2</f>
        <v>40</v>
      </c>
      <c r="P3" s="134"/>
      <c r="R3" s="89"/>
      <c r="S3" s="101"/>
      <c r="T3" s="86"/>
      <c r="V3" s="48"/>
      <c r="AC3" s="140"/>
    </row>
    <row r="4" spans="1:29" s="21" customFormat="1" x14ac:dyDescent="0.25">
      <c r="A4" s="8"/>
      <c r="D4" s="137"/>
      <c r="E4" s="137"/>
      <c r="F4" s="137"/>
      <c r="G4" s="137"/>
      <c r="H4" s="137"/>
      <c r="I4" s="137"/>
      <c r="J4" s="137"/>
      <c r="K4" s="137"/>
      <c r="L4" s="137"/>
      <c r="M4" s="2"/>
      <c r="N4" s="136"/>
      <c r="O4" s="166"/>
      <c r="P4" s="137"/>
      <c r="R4" s="89"/>
      <c r="S4" s="101"/>
      <c r="T4" s="86"/>
      <c r="V4" s="48"/>
      <c r="AC4" s="140"/>
    </row>
    <row r="5" spans="1:29" s="10" customFormat="1" ht="15" customHeight="1" x14ac:dyDescent="0.25">
      <c r="A5" s="185" t="str">
        <f>"Eagle P3 Braking Events - "&amp;TEXT(Variables!$A$2,"YYYY-mm-dd")</f>
        <v>Eagle P3 Braking Events - 2016-11-07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2"/>
      <c r="R5" s="99"/>
      <c r="S5" s="102"/>
      <c r="T5" s="104"/>
      <c r="V5" s="49"/>
      <c r="AC5" s="141"/>
    </row>
    <row r="6" spans="1:29" s="131" customFormat="1" ht="69.75" customHeight="1" x14ac:dyDescent="0.2">
      <c r="A6" s="121" t="s">
        <v>38</v>
      </c>
      <c r="B6" s="122" t="s">
        <v>37</v>
      </c>
      <c r="C6" s="122" t="s">
        <v>36</v>
      </c>
      <c r="D6" s="138" t="s">
        <v>35</v>
      </c>
      <c r="E6" s="138" t="s">
        <v>34</v>
      </c>
      <c r="F6" s="138" t="s">
        <v>33</v>
      </c>
      <c r="G6" s="138" t="s">
        <v>32</v>
      </c>
      <c r="H6" s="138" t="s">
        <v>31</v>
      </c>
      <c r="I6" s="138" t="s">
        <v>158</v>
      </c>
      <c r="J6" s="138" t="s">
        <v>30</v>
      </c>
      <c r="K6" s="138" t="s">
        <v>29</v>
      </c>
      <c r="L6" s="138" t="s">
        <v>28</v>
      </c>
      <c r="M6" s="123" t="s">
        <v>159</v>
      </c>
      <c r="N6" s="153" t="s">
        <v>47</v>
      </c>
      <c r="O6" s="180" t="s">
        <v>27</v>
      </c>
      <c r="P6" s="138" t="s">
        <v>24</v>
      </c>
      <c r="Q6" s="124"/>
      <c r="R6" s="125" t="s">
        <v>89</v>
      </c>
      <c r="S6" s="126" t="s">
        <v>55</v>
      </c>
      <c r="T6" s="127" t="s">
        <v>88</v>
      </c>
      <c r="U6" s="122" t="s">
        <v>83</v>
      </c>
      <c r="V6" s="128" t="s">
        <v>84</v>
      </c>
      <c r="W6" s="124" t="s">
        <v>96</v>
      </c>
      <c r="X6" s="124" t="s">
        <v>97</v>
      </c>
      <c r="Y6" s="129" t="s">
        <v>148</v>
      </c>
      <c r="Z6" s="130" t="s">
        <v>149</v>
      </c>
      <c r="AA6" s="130" t="s">
        <v>122</v>
      </c>
      <c r="AB6" s="130" t="s">
        <v>150</v>
      </c>
      <c r="AC6" s="142" t="s">
        <v>180</v>
      </c>
    </row>
    <row r="7" spans="1:29" s="1" customFormat="1" x14ac:dyDescent="0.25">
      <c r="A7" s="36">
        <v>42681.45815972222</v>
      </c>
      <c r="B7" s="31" t="s">
        <v>261</v>
      </c>
      <c r="C7" s="31" t="s">
        <v>413</v>
      </c>
      <c r="D7" s="31" t="s">
        <v>98</v>
      </c>
      <c r="E7" s="31" t="s">
        <v>154</v>
      </c>
      <c r="F7" s="47">
        <v>190</v>
      </c>
      <c r="G7" s="47">
        <v>241</v>
      </c>
      <c r="H7" s="47">
        <v>27095</v>
      </c>
      <c r="I7" s="47">
        <v>26577</v>
      </c>
      <c r="J7" s="31" t="s">
        <v>153</v>
      </c>
      <c r="K7" s="47">
        <v>27350</v>
      </c>
      <c r="L7" s="155" t="s">
        <v>51</v>
      </c>
      <c r="M7" s="156">
        <f t="shared" ref="M7:M47" si="0">CONVERT((I7-K7)/10000,"mi","ft")*IF(L7="Increasing Mileposts (1)",-1,1)</f>
        <v>-408.14400000000001</v>
      </c>
      <c r="N7" s="157" t="str">
        <f>VLOOKUP(C7,'Trips&amp;Operators'!$C$1:$E$99999,3,FALSE)</f>
        <v>PERKINS</v>
      </c>
      <c r="O7" s="181" t="s">
        <v>213</v>
      </c>
      <c r="P7" s="158" t="s">
        <v>814</v>
      </c>
      <c r="Q7" s="31"/>
      <c r="R7" s="100" t="str">
        <f>VLOOKUP(C7,'Train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7" s="103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/stypes="*4039*201611071*" /stext=" 17:.+((SYSTEM_STATE.+slice.+state.+changed )|(ment ac)|(system.+state.+changed )|(\[timeout)|(PRM\|1\|D)|(kpr)|(kdp)|(\|loc)|(penalty))" /e /r /s</v>
      </c>
      <c r="U7" s="9" t="str">
        <f t="shared" ref="U7:U47" si="2">MID(B7,13,4)</f>
        <v>4039</v>
      </c>
      <c r="V7" s="36">
        <f t="shared" ref="V7:V47" si="3">A7-utc_offset/24</f>
        <v>42681.749826388885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47" si="5">IF(AND(E7="TRACK WARRANT AUTHORITY",G7&lt;10),"OMIT","KEEP")</f>
        <v>KEEP</v>
      </c>
      <c r="Y7" s="120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accelerated before clearing crossing","project_id":79,"tracker_id":40,"status_id":1,"priority_id":2,"assigned_to_id":23,"start_date":"2016-11-07","description":"","custom_fields":[{"id":1,"name":"Subdivision","value":"EC"},{"id":4,"name":"Milepost","value":"2.735"},{"id":17,"name":"Train ID","value":"148-07"},{"id":16,"name":"Locomotive ID","value":"4039"},{"id":130,"name":"Impact","value":""},{"id":150,"name":"Time of Event (Mountain Time)","value":"10:59:45"},{"id":151,"name":"Denver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9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"%USERPROFILE%\AppData\Local\Temp\OnboardLogs"\RTDC4039\*4039*201611071* | grep -SE "((Enforcement Ac)|(PRM))" -</v>
      </c>
    </row>
    <row r="8" spans="1:29" s="1" customFormat="1" x14ac:dyDescent="0.25">
      <c r="A8" s="36">
        <v>42681.363611111112</v>
      </c>
      <c r="B8" s="31" t="s">
        <v>340</v>
      </c>
      <c r="C8" s="31" t="s">
        <v>407</v>
      </c>
      <c r="D8" s="31" t="s">
        <v>49</v>
      </c>
      <c r="E8" s="31" t="s">
        <v>154</v>
      </c>
      <c r="F8" s="47">
        <v>0</v>
      </c>
      <c r="G8" s="47">
        <v>232</v>
      </c>
      <c r="H8" s="47">
        <v>33303</v>
      </c>
      <c r="I8" s="47">
        <v>33058</v>
      </c>
      <c r="J8" s="31" t="s">
        <v>153</v>
      </c>
      <c r="K8" s="47">
        <v>33257</v>
      </c>
      <c r="L8" s="155" t="s">
        <v>51</v>
      </c>
      <c r="M8" s="156">
        <f t="shared" si="0"/>
        <v>-105.072</v>
      </c>
      <c r="N8" s="157" t="str">
        <f>VLOOKUP(C8,'Trips&amp;Operators'!$C$1:$E$99999,3,FALSE)</f>
        <v>MALAVE</v>
      </c>
      <c r="O8" s="181" t="s">
        <v>213</v>
      </c>
      <c r="P8" s="158" t="s">
        <v>815</v>
      </c>
      <c r="Q8" s="31"/>
      <c r="R8" s="100" t="str">
        <f>VLOOKUP(C8,'Train Runs'!$A$13:$AE$10008,31,0)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S8" s="103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07:09:17-700',mode:absolute,to:'2016-11-07 09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8" s="105" t="str">
        <f t="shared" si="1"/>
        <v>"C:\Program Files (x86)\AstroGrep\AstroGrep.exe" /spath="%USERPROFILE%\AppData\Local\Temp\OnboardLogs" /stypes="*4045*201611071*" /stext=" 15:.+((SYSTEM_STATE.+slice.+state.+changed )|(ment ac)|(system.+state.+changed )|(\[timeout)|(PRM\|1\|D)|(kpr)|(kdp)|(\|loc)|(penalty))" /e /r /s</v>
      </c>
      <c r="U8" s="9" t="str">
        <f t="shared" si="2"/>
        <v>4045</v>
      </c>
      <c r="V8" s="36">
        <f t="shared" si="3"/>
        <v>42681.655277777776</v>
      </c>
      <c r="W8" s="50" t="str">
        <f t="shared" si="4"/>
        <v>EC</v>
      </c>
      <c r="X8" s="50" t="str">
        <f t="shared" si="5"/>
        <v>KEEP</v>
      </c>
      <c r="Y8" s="120" t="str">
        <f t="shared" si="6"/>
        <v>echo {"issue":{"subject":"Early arrival; did not slow down quickly enough","project_id":79,"tracker_id":40,"status_id":1,"priority_id":2,"assigned_to_id":23,"start_date":"2016-11-07","description":"","custom_fields":[{"id":1,"name":"Subdivision","value":"EC"},{"id":4,"name":"Milepost","value":"3.3257"},{"id":17,"name":"Train ID","value":"130-07"},{"id":16,"name":"Locomotive ID","value":"4045"},{"id":130,"name":"Impact","value":""},{"id":150,"name":"Time of Event (Mountain Time)","value":"08:43:36"},{"id":151,"name":"Denver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9" t="str">
        <f t="shared" si="7"/>
        <v>grep -hSE -A100 "Enforcement Action" "%USERPROFILE%\AppData\Local\Temp\OnboardLogs"\RTDC4045\*4045*201611071* | grep -SE "((Enforcement Ac)|(PRM))" -</v>
      </c>
    </row>
    <row r="9" spans="1:29" s="1" customFormat="1" x14ac:dyDescent="0.25">
      <c r="A9" s="36">
        <v>42681.538831018515</v>
      </c>
      <c r="B9" s="31" t="s">
        <v>311</v>
      </c>
      <c r="C9" s="31" t="s">
        <v>418</v>
      </c>
      <c r="D9" s="31" t="s">
        <v>49</v>
      </c>
      <c r="E9" s="31" t="s">
        <v>154</v>
      </c>
      <c r="F9" s="47">
        <v>0</v>
      </c>
      <c r="G9" s="47">
        <v>216</v>
      </c>
      <c r="H9" s="47">
        <v>33315</v>
      </c>
      <c r="I9" s="47">
        <v>33060</v>
      </c>
      <c r="J9" s="31" t="s">
        <v>153</v>
      </c>
      <c r="K9" s="47">
        <v>33257</v>
      </c>
      <c r="L9" s="155" t="s">
        <v>51</v>
      </c>
      <c r="M9" s="156">
        <f t="shared" si="0"/>
        <v>-104.01600000000001</v>
      </c>
      <c r="N9" s="157" t="str">
        <f>VLOOKUP(C9,'Trips&amp;Operators'!$C$1:$E$99999,3,FALSE)</f>
        <v>NELSON</v>
      </c>
      <c r="O9" s="181" t="s">
        <v>213</v>
      </c>
      <c r="P9" s="158" t="s">
        <v>813</v>
      </c>
      <c r="Q9" s="31"/>
      <c r="R9" s="100" t="str">
        <f>VLOOKUP(C9,'Train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9" s="103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 t="shared" si="1"/>
        <v>"C:\Program Files (x86)\AstroGrep\AstroGrep.exe" /spath="%USERPROFILE%\AppData\Local\Temp\OnboardLogs" /stypes="*4026*201611071*" /stext=" 19:.+((SYSTEM_STATE.+slice.+state.+changed )|(ment ac)|(system.+state.+changed )|(\[timeout)|(PRM\|1\|D)|(kpr)|(kdp)|(\|loc)|(penalty))" /e /r /s</v>
      </c>
      <c r="U9" s="9" t="str">
        <f t="shared" si="2"/>
        <v>4026</v>
      </c>
      <c r="V9" s="36">
        <f t="shared" si="3"/>
        <v>42681.83049768518</v>
      </c>
      <c r="W9" s="50" t="str">
        <f t="shared" si="4"/>
        <v>EC</v>
      </c>
      <c r="X9" s="50" t="str">
        <f t="shared" si="5"/>
        <v>KEEP</v>
      </c>
      <c r="Y9" s="120" t="str">
        <f t="shared" si="6"/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crossing","project_id":79,"tracker_id":40,"status_id":1,"priority_id":2,"assigned_to_id":23,"start_date":"2016-11-07","description":"","custom_fields":[{"id":1,"name":"Subdivision","value":"EC"},{"id":4,"name":"Milepost","value":"3.3257"},{"id":17,"name":"Train ID","value":"164-07"},{"id":16,"name":"Locomotive ID","value":"4026"},{"id":130,"name":"Impact","value":""},{"id":150,"name":"Time of Event (Mountain Time)","value":"12:55:55"},{"id":151,"name":"Denver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9" t="str">
        <f t="shared" si="7"/>
        <v>grep -hSE -A100 "Enforcement Action" "%USERPROFILE%\AppData\Local\Temp\OnboardLogs"\RTDC4026\*4026*201611071* | grep -SE "((Enforcement Ac)|(PRM))" -</v>
      </c>
    </row>
    <row r="10" spans="1:29" s="1" customFormat="1" x14ac:dyDescent="0.25">
      <c r="A10" s="36">
        <v>42681.256782407407</v>
      </c>
      <c r="B10" s="31" t="s">
        <v>274</v>
      </c>
      <c r="C10" s="31" t="s">
        <v>400</v>
      </c>
      <c r="D10" s="31" t="s">
        <v>49</v>
      </c>
      <c r="E10" s="31" t="s">
        <v>154</v>
      </c>
      <c r="F10" s="47">
        <v>240</v>
      </c>
      <c r="G10" s="47">
        <v>290</v>
      </c>
      <c r="H10" s="47">
        <v>34074</v>
      </c>
      <c r="I10" s="47">
        <v>33237</v>
      </c>
      <c r="J10" s="31" t="s">
        <v>153</v>
      </c>
      <c r="K10" s="47">
        <v>33257</v>
      </c>
      <c r="L10" s="155" t="s">
        <v>51</v>
      </c>
      <c r="M10" s="156">
        <f t="shared" si="0"/>
        <v>-10.56</v>
      </c>
      <c r="N10" s="157" t="str">
        <f>VLOOKUP(C10,'Trips&amp;Operators'!$C$1:$E$99999,3,FALSE)</f>
        <v>MACDONALD</v>
      </c>
      <c r="O10" s="181" t="s">
        <v>213</v>
      </c>
      <c r="P10" s="158" t="s">
        <v>813</v>
      </c>
      <c r="Q10" s="31"/>
      <c r="R10" s="100" t="str">
        <f>VLOOKUP(C10,'Train Runs'!$A$13:$AE$10008,31,0)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S10" s="103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04:23:05-700',mode:absolute,to:'2016-11-07 07:29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0" s="105" t="str">
        <f t="shared" si="1"/>
        <v>"C:\Program Files (x86)\AstroGrep\AstroGrep.exe" /spath="%USERPROFILE%\AppData\Local\Temp\OnboardLogs" /stypes="*4008*201611071*" /stext=" 13:.+((SYSTEM_STATE.+slice.+state.+changed )|(ment ac)|(system.+state.+changed )|(\[timeout)|(PRM\|1\|D)|(kpr)|(kdp)|(\|loc)|(penalty))" /e /r /s</v>
      </c>
      <c r="U10" s="9" t="str">
        <f t="shared" si="2"/>
        <v>4008</v>
      </c>
      <c r="V10" s="36">
        <f t="shared" si="3"/>
        <v>42681.548449074071</v>
      </c>
      <c r="W10" s="50" t="str">
        <f t="shared" si="4"/>
        <v>EC</v>
      </c>
      <c r="X10" s="50" t="str">
        <f t="shared" si="5"/>
        <v>KEEP</v>
      </c>
      <c r="Y10" s="120" t="str">
        <f t="shared" si="6"/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crossing","project_id":79,"tracker_id":40,"status_id":1,"priority_id":2,"assigned_to_id":23,"start_date":"2016-11-07","description":"","custom_fields":[{"id":1,"name":"Subdivision","value":"EC"},{"id":4,"name":"Milepost","value":"3.3257"},{"id":17,"name":"Train ID","value":"110-07"},{"id":16,"name":"Locomotive ID","value":"4008"},{"id":130,"name":"Impact","value":""},{"id":150,"name":"Time of Event (Mountain Time)","value":"06:09:46"},{"id":151,"name":"Denver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9" t="str">
        <f t="shared" si="7"/>
        <v>grep -hSE -A100 "Enforcement Action" "%USERPROFILE%\AppData\Local\Temp\OnboardLogs"\RTDC4008\*4008*201611071* | grep -SE "((Enforcement Ac)|(PRM))" -</v>
      </c>
    </row>
    <row r="11" spans="1:29" s="1" customFormat="1" x14ac:dyDescent="0.25">
      <c r="A11" s="36">
        <v>42681.449699074074</v>
      </c>
      <c r="B11" s="31" t="s">
        <v>261</v>
      </c>
      <c r="C11" s="31" t="s">
        <v>413</v>
      </c>
      <c r="D11" s="31" t="s">
        <v>49</v>
      </c>
      <c r="E11" s="31" t="s">
        <v>154</v>
      </c>
      <c r="F11" s="47">
        <v>590</v>
      </c>
      <c r="G11" s="47">
        <v>647</v>
      </c>
      <c r="H11" s="47">
        <v>80342</v>
      </c>
      <c r="I11" s="47">
        <v>77844</v>
      </c>
      <c r="J11" s="31" t="s">
        <v>153</v>
      </c>
      <c r="K11" s="47">
        <v>78469</v>
      </c>
      <c r="L11" s="155" t="s">
        <v>51</v>
      </c>
      <c r="M11" s="156">
        <f t="shared" si="0"/>
        <v>-330</v>
      </c>
      <c r="N11" s="157" t="str">
        <f>VLOOKUP(C11,'Trips&amp;Operators'!$C$1:$E$99999,3,FALSE)</f>
        <v>PERKINS</v>
      </c>
      <c r="O11" s="181" t="s">
        <v>213</v>
      </c>
      <c r="P11" s="158" t="s">
        <v>813</v>
      </c>
      <c r="Q11" s="31"/>
      <c r="R11" s="100" t="str">
        <f>VLOOKUP(C11,'Train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1" s="103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 t="shared" si="1"/>
        <v>"C:\Program Files (x86)\AstroGrep\AstroGrep.exe" /spath="%USERPROFILE%\AppData\Local\Temp\OnboardLogs" /stypes="*4039*201611071*" /stext=" 17:.+((SYSTEM_STATE.+slice.+state.+changed )|(ment ac)|(system.+state.+changed )|(\[timeout)|(PRM\|1\|D)|(kpr)|(kdp)|(\|loc)|(penalty))" /e /r /s</v>
      </c>
      <c r="U11" s="9" t="str">
        <f t="shared" si="2"/>
        <v>4039</v>
      </c>
      <c r="V11" s="36">
        <f t="shared" si="3"/>
        <v>42681.741365740738</v>
      </c>
      <c r="W11" s="50" t="str">
        <f t="shared" si="4"/>
        <v>EC</v>
      </c>
      <c r="X11" s="50" t="str">
        <f t="shared" si="5"/>
        <v>KEEP</v>
      </c>
      <c r="Y11" s="120" t="str">
        <f t="shared" si="6"/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crossing","project_id":79,"tracker_id":40,"status_id":1,"priority_id":2,"assigned_to_id":23,"start_date":"2016-11-07","description":"","custom_fields":[{"id":1,"name":"Subdivision","value":"EC"},{"id":4,"name":"Milepost","value":"7.8469"},{"id":17,"name":"Train ID","value":"148-07"},{"id":16,"name":"Locomotive ID","value":"4039"},{"id":130,"name":"Impact","value":""},{"id":150,"name":"Time of Event (Mountain Time)","value":"10:47:34"},{"id":151,"name":"Denver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9" t="str">
        <f t="shared" si="7"/>
        <v>grep -hSE -A100 "Enforcement Action" "%USERPROFILE%\AppData\Local\Temp\OnboardLogs"\RTDC4039\*4039*201611071* | grep -SE "((Enforcement Ac)|(PRM))" -</v>
      </c>
    </row>
    <row r="12" spans="1:29" s="1" customFormat="1" x14ac:dyDescent="0.25">
      <c r="A12" s="36">
        <v>42681.462222222224</v>
      </c>
      <c r="B12" s="31" t="s">
        <v>261</v>
      </c>
      <c r="C12" s="31" t="s">
        <v>413</v>
      </c>
      <c r="D12" s="31" t="s">
        <v>49</v>
      </c>
      <c r="E12" s="31" t="s">
        <v>214</v>
      </c>
      <c r="F12" s="47">
        <v>150</v>
      </c>
      <c r="G12" s="47">
        <v>200</v>
      </c>
      <c r="H12" s="47">
        <v>6185</v>
      </c>
      <c r="I12" s="47">
        <v>5670</v>
      </c>
      <c r="J12" s="31" t="s">
        <v>215</v>
      </c>
      <c r="K12" s="47">
        <v>4677</v>
      </c>
      <c r="L12" s="155" t="s">
        <v>51</v>
      </c>
      <c r="M12" s="156">
        <f t="shared" si="0"/>
        <v>524.30399999999997</v>
      </c>
      <c r="N12" s="157" t="str">
        <f>VLOOKUP(C12,'Trips&amp;Operators'!$C$1:$E$99999,3,FALSE)</f>
        <v>PERKINS</v>
      </c>
      <c r="O12" s="181" t="s">
        <v>213</v>
      </c>
      <c r="P12" s="158"/>
      <c r="Q12" s="31"/>
      <c r="R12" s="100" t="str">
        <f>VLOOKUP(C12,'Train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2" s="103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2" s="105" t="str">
        <f t="shared" si="1"/>
        <v>"C:\Program Files (x86)\AstroGrep\AstroGrep.exe" /spath="%USERPROFILE%\AppData\Local\Temp\OnboardLogs" /stypes="*4039*201611071*" /stext=" 18:.+((SYSTEM_STATE.+slice.+state.+changed )|(ment ac)|(system.+state.+changed )|(\[timeout)|(PRM\|1\|D)|(kpr)|(kdp)|(\|loc)|(penalty))" /e /r /s</v>
      </c>
      <c r="U12" s="9" t="str">
        <f t="shared" si="2"/>
        <v>4039</v>
      </c>
      <c r="V12" s="36">
        <f t="shared" si="3"/>
        <v>42681.753888888888</v>
      </c>
      <c r="W12" s="50" t="str">
        <f t="shared" si="4"/>
        <v>EC</v>
      </c>
      <c r="X12" s="50" t="str">
        <f t="shared" si="5"/>
        <v>KEEP</v>
      </c>
      <c r="Y12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{"issue":{"subject":"","project_id":79,"tracker_id":40,"status_id":1,"priority_id":2,"assigned_to_id":23,"start_date":"2016-11-07","description":"","custom_fields":[{"id":1,"name":"Subdivision","value":"EC"},{"id":4,"name":"Milepost","value":"0.4677"},{"id":17,"name":"Train ID","value":"148-07"},{"id":16,"name":"Locomotive ID","value":"4039"},{"id":130,"name":"Impact","value":""},{"id":150,"name":"Time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9" t="str">
        <f t="shared" si="7"/>
        <v>grep -hSE -A100 "Enforcement Action" "%USERPROFILE%\AppData\Local\Temp\OnboardLogs"\RTDC4039\*4039*201611071* | grep -SE "((Enforcement Ac)|(PRM))" -</v>
      </c>
    </row>
    <row r="13" spans="1:29" s="1" customFormat="1" x14ac:dyDescent="0.25">
      <c r="A13" s="36">
        <v>42681.461608796293</v>
      </c>
      <c r="B13" s="31" t="s">
        <v>261</v>
      </c>
      <c r="C13" s="31" t="s">
        <v>413</v>
      </c>
      <c r="D13" s="31" t="s">
        <v>49</v>
      </c>
      <c r="E13" s="31" t="s">
        <v>214</v>
      </c>
      <c r="F13" s="47">
        <v>200</v>
      </c>
      <c r="G13" s="47">
        <v>399</v>
      </c>
      <c r="H13" s="47">
        <v>7527</v>
      </c>
      <c r="I13" s="47">
        <v>6522</v>
      </c>
      <c r="J13" s="31" t="s">
        <v>215</v>
      </c>
      <c r="K13" s="47">
        <v>5457</v>
      </c>
      <c r="L13" s="155" t="s">
        <v>51</v>
      </c>
      <c r="M13" s="156">
        <f t="shared" si="0"/>
        <v>562.32000000000005</v>
      </c>
      <c r="N13" s="157" t="str">
        <f>VLOOKUP(C13,'Trips&amp;Operators'!$C$1:$E$99999,3,FALSE)</f>
        <v>PERKINS</v>
      </c>
      <c r="O13" s="181" t="s">
        <v>213</v>
      </c>
      <c r="P13" s="158"/>
      <c r="Q13" s="31"/>
      <c r="R13" s="100" t="str">
        <f>VLOOKUP(C13,'Train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3" s="103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/stypes="*4039*201611071*" /stext=" 18:.+((SYSTEM_STATE.+slice.+state.+changed )|(ment ac)|(system.+state.+changed )|(\[timeout)|(PRM\|1\|D)|(kpr)|(kdp)|(\|loc)|(penalty))" /e /r /s</v>
      </c>
      <c r="U13" s="9" t="str">
        <f t="shared" si="2"/>
        <v>4039</v>
      </c>
      <c r="V13" s="36">
        <f t="shared" si="3"/>
        <v>42681.753275462957</v>
      </c>
      <c r="W13" s="50" t="str">
        <f t="shared" si="4"/>
        <v>EC</v>
      </c>
      <c r="X13" s="50" t="str">
        <f t="shared" si="5"/>
        <v>KEEP</v>
      </c>
      <c r="Y13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{"issue":{"subject":"","project_id":79,"tracker_id":40,"status_id":1,"priority_id":2,"assigned_to_id":23,"start_date":"2016-11-07","description":"","custom_fields":[{"id":1,"name":"Subdivision","value":"EC"},{"id":4,"name":"Milepost","value":"0.5457"},{"id":17,"name":"Train ID","value":"148-07"},{"id":16,"name":"Locomotive ID","value":"4039"},{"id":130,"name":"Impact","value":""},{"id":150,"name":"Time of Event (Mountain Time)","value":"11:04:43"},{"id":151,"name":"Denver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9" t="str">
        <f t="shared" si="7"/>
        <v>grep -hSE -A100 "Enforcement Action" "%USERPROFILE%\AppData\Local\Temp\OnboardLogs"\RTDC4039\*4039*201611071* | grep -SE "((Enforcement Ac)|(PRM))" -</v>
      </c>
    </row>
    <row r="14" spans="1:29" s="1" customFormat="1" x14ac:dyDescent="0.25">
      <c r="A14" s="36">
        <v>42681.539421296293</v>
      </c>
      <c r="B14" s="31" t="s">
        <v>311</v>
      </c>
      <c r="C14" s="31" t="s">
        <v>418</v>
      </c>
      <c r="D14" s="31" t="s">
        <v>49</v>
      </c>
      <c r="E14" s="31" t="s">
        <v>214</v>
      </c>
      <c r="F14" s="47">
        <v>200</v>
      </c>
      <c r="G14" s="47">
        <v>254</v>
      </c>
      <c r="H14" s="47">
        <v>32542</v>
      </c>
      <c r="I14" s="47">
        <v>31836</v>
      </c>
      <c r="J14" s="31" t="s">
        <v>215</v>
      </c>
      <c r="K14" s="47">
        <v>30562</v>
      </c>
      <c r="L14" s="155" t="s">
        <v>51</v>
      </c>
      <c r="M14" s="156">
        <f t="shared" si="0"/>
        <v>672.67200000000003</v>
      </c>
      <c r="N14" s="157" t="str">
        <f>VLOOKUP(C14,'Trips&amp;Operators'!$C$1:$E$99999,3,FALSE)</f>
        <v>NELSON</v>
      </c>
      <c r="O14" s="181" t="s">
        <v>213</v>
      </c>
      <c r="P14" s="158"/>
      <c r="Q14" s="31"/>
      <c r="R14" s="100" t="str">
        <f>VLOOKUP(C14,'Train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14" s="103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/stypes="*4026*201611071*" /stext=" 19:.+((SYSTEM_STATE.+slice.+state.+changed )|(ment ac)|(system.+state.+changed )|(\[timeout)|(PRM\|1\|D)|(kpr)|(kdp)|(\|loc)|(penalty))" /e /r /s</v>
      </c>
      <c r="U14" s="9" t="str">
        <f t="shared" si="2"/>
        <v>4026</v>
      </c>
      <c r="V14" s="36">
        <f t="shared" si="3"/>
        <v>42681.831087962957</v>
      </c>
      <c r="W14" s="50" t="str">
        <f t="shared" si="4"/>
        <v>EC</v>
      </c>
      <c r="X14" s="50" t="str">
        <f t="shared" si="5"/>
        <v>KEEP</v>
      </c>
      <c r="Y14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{"issue":{"subject":"","project_id":79,"tracker_id":40,"status_id":1,"priority_id":2,"assigned_to_id":23,"start_date":"2016-11-07","description":"","custom_fields":[{"id":1,"name":"Subdivision","value":"EC"},{"id":4,"name":"Milepost","value":"3.0562"},{"id":17,"name":"Train ID","value":"164-07"},{"id":16,"name":"Locomotive ID","value":"4026"},{"id":130,"name":"Impact","value":""},{"id":150,"name":"Time of Event (Mountain Time)","value":"12:56:46"},{"id":151,"name":"Denver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9" t="str">
        <f t="shared" si="7"/>
        <v>grep -hSE -A100 "Enforcement Action" "%USERPROFILE%\AppData\Local\Temp\OnboardLogs"\RTDC4026\*4026*201611071* | grep -SE "((Enforcement Ac)|(PRM))" -</v>
      </c>
    </row>
    <row r="15" spans="1:29" s="1" customFormat="1" x14ac:dyDescent="0.25">
      <c r="A15" s="36">
        <v>42681.467361111114</v>
      </c>
      <c r="B15" s="31" t="s">
        <v>341</v>
      </c>
      <c r="C15" s="31" t="s">
        <v>414</v>
      </c>
      <c r="D15" s="31" t="s">
        <v>98</v>
      </c>
      <c r="E15" s="31" t="s">
        <v>214</v>
      </c>
      <c r="F15" s="47">
        <v>700</v>
      </c>
      <c r="G15" s="47">
        <v>750</v>
      </c>
      <c r="H15" s="47">
        <v>164745</v>
      </c>
      <c r="I15" s="47">
        <v>168271</v>
      </c>
      <c r="J15" s="31" t="s">
        <v>215</v>
      </c>
      <c r="K15" s="47">
        <v>161962</v>
      </c>
      <c r="L15" s="155" t="s">
        <v>50</v>
      </c>
      <c r="M15" s="156">
        <f t="shared" si="0"/>
        <v>-3331.152</v>
      </c>
      <c r="N15" s="157" t="str">
        <f>VLOOKUP(C15,'Trips&amp;Operators'!$C$1:$E$99999,3,FALSE)</f>
        <v>MALAVE</v>
      </c>
      <c r="O15" s="181" t="s">
        <v>213</v>
      </c>
      <c r="P15" s="158"/>
      <c r="Q15" s="31"/>
      <c r="R15" s="100" t="str">
        <f>VLOOKUP(C15,'Train Runs'!$A$13:$AE$10008,31,0)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S15" s="103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09:44:29-700',mode:absolute,to:'2016-11-07 12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5" t="str">
        <f t="shared" si="1"/>
        <v>"C:\Program Files (x86)\AstroGrep\AstroGrep.exe" /spath="%USERPROFILE%\AppData\Local\Temp\OnboardLogs" /stypes="*4046*201611071*" /stext=" 18:.+((SYSTEM_STATE.+slice.+state.+changed )|(ment ac)|(system.+state.+changed )|(\[timeout)|(PRM\|1\|D)|(kpr)|(kdp)|(\|loc)|(penalty))" /e /r /s</v>
      </c>
      <c r="U15" s="9" t="str">
        <f t="shared" si="2"/>
        <v>4046</v>
      </c>
      <c r="V15" s="36">
        <f t="shared" si="3"/>
        <v>42681.759027777778</v>
      </c>
      <c r="W15" s="50" t="str">
        <f t="shared" si="4"/>
        <v>EC</v>
      </c>
      <c r="X15" s="50" t="str">
        <f t="shared" si="5"/>
        <v>KEEP</v>
      </c>
      <c r="Y15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{"issue":{"subject":"","project_id":79,"tracker_id":40,"status_id":1,"priority_id":2,"assigned_to_id":23,"start_date":"2016-11-07","description":"","custom_fields":[{"id":1,"name":"Subdivision","value":"EC"},{"id":4,"name":"Milepost","value":"16.1962"},{"id":17,"name":"Train ID","value":"157-07"},{"id":16,"name":"Locomotive ID","value":"4046"},{"id":130,"name":"Impact","value":""},{"id":150,"name":"Time of Event (Mountain Time)","value":"11:13:00"},{"id":151,"name":"Denver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9" t="str">
        <f t="shared" si="7"/>
        <v>grep -hSE -A100 "Enforcement Action" "%USERPROFILE%\AppData\Local\Temp\OnboardLogs"\RTDC4046\*4046*201611071* | grep -SE "((Enforcement Ac)|(PRM))" -</v>
      </c>
    </row>
    <row r="16" spans="1:29" s="1" customFormat="1" x14ac:dyDescent="0.25">
      <c r="A16" s="36">
        <v>42681.587453703702</v>
      </c>
      <c r="B16" s="31" t="s">
        <v>261</v>
      </c>
      <c r="C16" s="31" t="s">
        <v>420</v>
      </c>
      <c r="D16" s="31" t="s">
        <v>98</v>
      </c>
      <c r="E16" s="31" t="s">
        <v>214</v>
      </c>
      <c r="F16" s="47">
        <v>700</v>
      </c>
      <c r="G16" s="47">
        <v>761</v>
      </c>
      <c r="H16" s="47">
        <v>176284</v>
      </c>
      <c r="I16" s="47">
        <v>173074</v>
      </c>
      <c r="J16" s="31" t="s">
        <v>215</v>
      </c>
      <c r="K16" s="47">
        <v>183829</v>
      </c>
      <c r="L16" s="155" t="s">
        <v>51</v>
      </c>
      <c r="M16" s="156">
        <f t="shared" si="0"/>
        <v>-5678.6399999999994</v>
      </c>
      <c r="N16" s="157" t="str">
        <f>VLOOKUP(C16,'Trips&amp;Operators'!$C$1:$E$99999,3,FALSE)</f>
        <v>BARTLETT</v>
      </c>
      <c r="O16" s="181" t="s">
        <v>213</v>
      </c>
      <c r="P16" s="158"/>
      <c r="Q16" s="31"/>
      <c r="R16" s="100" t="str">
        <f>VLOOKUP(C16,'Train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6" s="103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 t="shared" si="1"/>
        <v>"C:\Program Files (x86)\AstroGrep\AstroGrep.exe" /spath="%USERPROFILE%\AppData\Local\Temp\OnboardLogs" /stypes="*4039*201611072*" /stext=" 21:.+((SYSTEM_STATE.+slice.+state.+changed )|(ment ac)|(system.+state.+changed )|(\[timeout)|(PRM\|1\|D)|(kpr)|(kdp)|(\|loc)|(penalty))" /e /r /s</v>
      </c>
      <c r="U16" s="9" t="str">
        <f t="shared" si="2"/>
        <v>4039</v>
      </c>
      <c r="V16" s="36">
        <f t="shared" si="3"/>
        <v>42681.879120370366</v>
      </c>
      <c r="W16" s="50" t="str">
        <f t="shared" si="4"/>
        <v>EC</v>
      </c>
      <c r="X16" s="50" t="str">
        <f t="shared" si="5"/>
        <v>KEEP</v>
      </c>
      <c r="Y16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{"issue":{"subject":"","project_id":79,"tracker_id":40,"status_id":1,"priority_id":2,"assigned_to_id":23,"start_date":"2016-11-07","description":"","custom_fields":[{"id":1,"name":"Subdivision","value":"EC"},{"id":4,"name":"Milepost","value":"18.3829"},{"id":17,"name":"Train ID","value":"176-07"},{"id":16,"name":"Locomotive ID","value":"4039"},{"id":130,"name":"Impact","value":""},{"id":150,"name":"Time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9" t="str">
        <f t="shared" si="7"/>
        <v>grep -hSE -A100 "Enforcement Action" "%USERPROFILE%\AppData\Local\Temp\OnboardLogs"\RTDC4039\*4039*201611072* | grep -SE "((Enforcement Ac)|(PRM))" -</v>
      </c>
    </row>
    <row r="17" spans="1:30" s="1" customFormat="1" x14ac:dyDescent="0.25">
      <c r="A17" s="36">
        <v>42681.658738425926</v>
      </c>
      <c r="B17" s="31" t="s">
        <v>261</v>
      </c>
      <c r="C17" s="31" t="s">
        <v>423</v>
      </c>
      <c r="D17" s="31" t="s">
        <v>98</v>
      </c>
      <c r="E17" s="31" t="s">
        <v>214</v>
      </c>
      <c r="F17" s="47">
        <v>700</v>
      </c>
      <c r="G17" s="47">
        <v>758</v>
      </c>
      <c r="H17" s="47">
        <v>175270</v>
      </c>
      <c r="I17" s="47">
        <v>172007</v>
      </c>
      <c r="J17" s="31" t="s">
        <v>215</v>
      </c>
      <c r="K17" s="47">
        <v>183829</v>
      </c>
      <c r="L17" s="155" t="s">
        <v>51</v>
      </c>
      <c r="M17" s="156">
        <f t="shared" si="0"/>
        <v>-6242.0159999999996</v>
      </c>
      <c r="N17" s="157" t="str">
        <f>VLOOKUP(C17,'Trips&amp;Operators'!$C$1:$E$99999,3,FALSE)</f>
        <v>BARTLETT</v>
      </c>
      <c r="O17" s="181" t="s">
        <v>213</v>
      </c>
      <c r="P17" s="158"/>
      <c r="Q17" s="31"/>
      <c r="R17" s="100" t="str">
        <f>VLOOKUP(C17,'Train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7" s="103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14:23:36-700',mode:absolute,to:'2016-11-07 17:18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5" t="str">
        <f t="shared" si="1"/>
        <v>"C:\Program Files (x86)\AstroGrep\AstroGrep.exe" /spath="%USERPROFILE%\AppData\Local\Temp\OnboardLogs" /stypes="*4039*201611072*" /stext=" 22:.+((SYSTEM_STATE.+slice.+state.+changed )|(ment ac)|(system.+state.+changed )|(\[timeout)|(PRM\|1\|D)|(kpr)|(kdp)|(\|loc)|(penalty))" /e /r /s</v>
      </c>
      <c r="U17" s="9" t="str">
        <f t="shared" si="2"/>
        <v>4039</v>
      </c>
      <c r="V17" s="36">
        <f t="shared" si="3"/>
        <v>42681.95040509259</v>
      </c>
      <c r="W17" s="50" t="str">
        <f t="shared" si="4"/>
        <v>EC</v>
      </c>
      <c r="X17" s="50" t="str">
        <f t="shared" si="5"/>
        <v>KEEP</v>
      </c>
      <c r="Y17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{"issue":{"subject":"","project_id":79,"tracker_id":40,"status_id":1,"priority_id":2,"assigned_to_id":23,"start_date":"2016-11-07","description":"","custom_fields":[{"id":1,"name":"Subdivision","value":"EC"},{"id":4,"name":"Milepost","value":"18.3829"},{"id":17,"name":"Train ID","value":"190-07"},{"id":16,"name":"Locomotive ID","value":"4039"},{"id":130,"name":"Impact","value":""},{"id":150,"name":"Time of Event (Mountain Time)","value":"15:48:35"},{"id":151,"name":"Denver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9" t="str">
        <f t="shared" si="7"/>
        <v>grep -hSE -A100 "Enforcement Action" "%USERPROFILE%\AppData\Local\Temp\OnboardLogs"\RTDC4039\*4039*201611072* | grep -SE "((Enforcement Ac)|(PRM))" -</v>
      </c>
    </row>
    <row r="18" spans="1:30" s="1" customFormat="1" x14ac:dyDescent="0.25">
      <c r="A18" s="36">
        <v>42681.429548611108</v>
      </c>
      <c r="B18" s="31" t="s">
        <v>307</v>
      </c>
      <c r="C18" s="31" t="s">
        <v>411</v>
      </c>
      <c r="D18" s="31" t="s">
        <v>98</v>
      </c>
      <c r="E18" s="31" t="s">
        <v>214</v>
      </c>
      <c r="F18" s="47">
        <v>350</v>
      </c>
      <c r="G18" s="47">
        <v>404</v>
      </c>
      <c r="H18" s="47">
        <v>225753</v>
      </c>
      <c r="I18" s="47">
        <v>227264</v>
      </c>
      <c r="J18" s="31" t="s">
        <v>215</v>
      </c>
      <c r="K18" s="47">
        <v>224578</v>
      </c>
      <c r="L18" s="155" t="s">
        <v>50</v>
      </c>
      <c r="M18" s="156">
        <f t="shared" si="0"/>
        <v>-1418.2080000000001</v>
      </c>
      <c r="N18" s="157" t="str">
        <f>VLOOKUP(C18,'Trips&amp;Operators'!$C$1:$E$99999,3,FALSE)</f>
        <v>JOHNSON</v>
      </c>
      <c r="O18" s="181" t="s">
        <v>213</v>
      </c>
      <c r="P18" s="158"/>
      <c r="Q18" s="31"/>
      <c r="R18" s="100" t="str">
        <f>VLOOKUP(C18,'Train Runs'!$A$13:$AE$10008,31,0)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S18" s="103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08:40:08-700',mode:absolute,to:'2016-11-07 11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8" s="105" t="str">
        <f t="shared" si="1"/>
        <v>"C:\Program Files (x86)\AstroGrep\AstroGrep.exe" /spath="%USERPROFILE%\AppData\Local\Temp\OnboardLogs" /stypes="*4025*201611071*" /stext=" 17:.+((SYSTEM_STATE.+slice.+state.+changed )|(ment ac)|(system.+state.+changed )|(\[timeout)|(PRM\|1\|D)|(kpr)|(kdp)|(\|loc)|(penalty))" /e /r /s</v>
      </c>
      <c r="U18" s="9" t="str">
        <f t="shared" si="2"/>
        <v>4025</v>
      </c>
      <c r="V18" s="36">
        <f t="shared" si="3"/>
        <v>42681.721215277772</v>
      </c>
      <c r="W18" s="50" t="str">
        <f t="shared" si="4"/>
        <v>EC</v>
      </c>
      <c r="X18" s="50" t="str">
        <f t="shared" si="5"/>
        <v>KEEP</v>
      </c>
      <c r="Y18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{"issue":{"subject":"","project_id":79,"tracker_id":40,"status_id":1,"priority_id":2,"assigned_to_id":23,"start_date":"2016-11-07","description":"","custom_fields":[{"id":1,"name":"Subdivision","value":"EC"},{"id":4,"name":"Milepost","value":"22.4578"},{"id":17,"name":"Train ID","value":"149-07"},{"id":16,"name":"Locomotive ID","value":"4025"},{"id":130,"name":"Impact","value":""},{"id":150,"name":"Time of Event (Mountain Time)","value":"10:18:33"},{"id":151,"name":"Denver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9" t="str">
        <f t="shared" si="7"/>
        <v>grep -hSE -A100 "Enforcement Action" "%USERPROFILE%\AppData\Local\Temp\OnboardLogs"\RTDC4025\*4025*201611071* | grep -SE "((Enforcement Ac)|(PRM))" -</v>
      </c>
    </row>
    <row r="19" spans="1:30" s="1" customFormat="1" x14ac:dyDescent="0.25">
      <c r="A19" s="36">
        <v>42681.811840277776</v>
      </c>
      <c r="B19" s="31" t="s">
        <v>311</v>
      </c>
      <c r="C19" s="31" t="s">
        <v>429</v>
      </c>
      <c r="D19" s="31" t="s">
        <v>98</v>
      </c>
      <c r="E19" s="31" t="s">
        <v>214</v>
      </c>
      <c r="F19" s="47">
        <v>350</v>
      </c>
      <c r="G19" s="47">
        <v>403</v>
      </c>
      <c r="H19" s="47">
        <v>225463</v>
      </c>
      <c r="I19" s="47">
        <v>224201</v>
      </c>
      <c r="J19" s="31" t="s">
        <v>215</v>
      </c>
      <c r="K19" s="47">
        <v>232080</v>
      </c>
      <c r="L19" s="155" t="s">
        <v>51</v>
      </c>
      <c r="M19" s="156">
        <f t="shared" si="0"/>
        <v>-4160.1120000000001</v>
      </c>
      <c r="N19" s="157" t="str">
        <f>VLOOKUP(C19,'Trips&amp;Operators'!$C$1:$E$99999,3,FALSE)</f>
        <v>MAGEE</v>
      </c>
      <c r="O19" s="181" t="s">
        <v>213</v>
      </c>
      <c r="P19" s="158"/>
      <c r="Q19" s="31"/>
      <c r="R19" s="100" t="str">
        <f>VLOOKUP(C19,'Train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19" s="103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 t="shared" si="1"/>
        <v>"C:\Program Files (x86)\AstroGrep\AstroGrep.exe" /spath="%USERPROFILE%\AppData\Local\Temp\OnboardLogs" /stypes="*4026*201611080*" /stext=" 02:.+((SYSTEM_STATE.+slice.+state.+changed )|(ment ac)|(system.+state.+changed )|(\[timeout)|(PRM\|1\|D)|(kpr)|(kdp)|(\|loc)|(penalty))" /e /r /s</v>
      </c>
      <c r="U19" s="9" t="str">
        <f t="shared" si="2"/>
        <v>4026</v>
      </c>
      <c r="V19" s="36">
        <f t="shared" si="3"/>
        <v>42682.103506944441</v>
      </c>
      <c r="W19" s="50" t="str">
        <f t="shared" si="4"/>
        <v>EC</v>
      </c>
      <c r="X19" s="50" t="str">
        <f t="shared" si="5"/>
        <v>KEEP</v>
      </c>
      <c r="Y19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{"issue":{"subject":"","project_id":79,"tracker_id":40,"status_id":1,"priority_id":2,"assigned_to_id":23,"start_date":"2016-11-07","description":"","custom_fields":[{"id":1,"name":"Subdivision","value":"EC"},{"id":4,"name":"Milepost","value":"23.208"},{"id":17,"name":"Train ID","value":"220-07"},{"id":16,"name":"Locomotive ID","value":"4026"},{"id":130,"name":"Impact","value":""},{"id":150,"name":"Time of Event (Mountain Time)","value":"19:29:03"},{"id":151,"name":"Denver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9" t="str">
        <f t="shared" si="7"/>
        <v>grep -hSE -A100 "Enforcement Action" "%USERPROFILE%\AppData\Local\Temp\OnboardLogs"\RTDC4026\*4026*201611080* | grep -SE "((Enforcement Ac)|(PRM))" -</v>
      </c>
    </row>
    <row r="20" spans="1:30" x14ac:dyDescent="0.25">
      <c r="A20" s="36">
        <v>42681.490219907406</v>
      </c>
      <c r="B20" s="31" t="s">
        <v>340</v>
      </c>
      <c r="C20" s="31" t="s">
        <v>415</v>
      </c>
      <c r="D20" s="31" t="s">
        <v>49</v>
      </c>
      <c r="E20" s="31" t="s">
        <v>216</v>
      </c>
      <c r="F20" s="47">
        <v>0</v>
      </c>
      <c r="G20" s="47">
        <v>630</v>
      </c>
      <c r="H20" s="47">
        <v>196068</v>
      </c>
      <c r="I20" s="47">
        <v>193908</v>
      </c>
      <c r="J20" s="31" t="s">
        <v>217</v>
      </c>
      <c r="K20" s="47">
        <v>191723</v>
      </c>
      <c r="L20" s="155" t="s">
        <v>51</v>
      </c>
      <c r="M20" s="156">
        <f t="shared" si="0"/>
        <v>1153.68</v>
      </c>
      <c r="N20" s="157" t="str">
        <f>VLOOKUP(C20,'Trips&amp;Operators'!$C$1:$E$99999,3,FALSE)</f>
        <v>MALAVE</v>
      </c>
      <c r="O20" s="181" t="s">
        <v>213</v>
      </c>
      <c r="P20" s="158" t="s">
        <v>799</v>
      </c>
      <c r="Q20" s="31"/>
      <c r="R20" s="100" t="str">
        <f>VLOOKUP(C20,'Train Runs'!$A$13:$AE$10008,31,0)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S20" s="103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10:38:37-700',mode:absolute,to:'2016-11-07 13:18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/stypes="*4045*201611071*" /stext=" 18:.+((SYSTEM_STATE.+slice.+state.+changed )|(ment ac)|(system.+state.+changed )|(\[timeout)|(PRM\|1\|D)|(kpr)|(kdp)|(\|loc)|(penalty))" /e /r /s</v>
      </c>
      <c r="U20" s="9" t="str">
        <f t="shared" si="2"/>
        <v>4045</v>
      </c>
      <c r="V20" s="36">
        <f t="shared" si="3"/>
        <v>42681.78188657407</v>
      </c>
      <c r="W20" s="50" t="str">
        <f t="shared" si="4"/>
        <v>EC</v>
      </c>
      <c r="X20" s="50" t="str">
        <f t="shared" si="5"/>
        <v>KEEP</v>
      </c>
      <c r="Y20" s="120" t="str">
        <f t="shared" si="6"/>
        <v>echo {"issue":{"subject":"Pena 4S STOP, cleared afterward","project_id":79,"tracker_id":40,"status_id":1,"priority_id":2,"assigned_to_id":23,"start_date":"2016-11-07","description":"","custom_fields":[{"id":1,"name":"Subdivision","value":"EC"},{"id":4,"name":"Milepost","value":"19.1723"},{"id":17,"name":"Train ID","value":"158-07"},{"id":16,"name":"Locomotive ID","value":"4045"},{"id":130,"name":"Impact","value":""},{"id":150,"name":"Time of Event (Mountain Time)","value":"11:45:55"},{"id":151,"name":"Denver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9" t="str">
        <f t="shared" si="7"/>
        <v>grep -hSE -A100 "Enforcement Action" "%USERPROFILE%\AppData\Local\Temp\OnboardLogs"\RTDC4045\*4045*201611071* | grep -SE "((Enforcement Ac)|(PRM))" -</v>
      </c>
      <c r="AD20" s="1"/>
    </row>
    <row r="21" spans="1:30" s="1" customFormat="1" x14ac:dyDescent="0.25">
      <c r="A21" s="36">
        <v>42681.585659722223</v>
      </c>
      <c r="B21" s="31" t="s">
        <v>261</v>
      </c>
      <c r="C21" s="31" t="s">
        <v>420</v>
      </c>
      <c r="D21" s="31" t="s">
        <v>49</v>
      </c>
      <c r="E21" s="31" t="s">
        <v>216</v>
      </c>
      <c r="F21" s="47">
        <v>0</v>
      </c>
      <c r="G21" s="47">
        <v>101</v>
      </c>
      <c r="H21" s="47">
        <v>192231</v>
      </c>
      <c r="I21" s="47">
        <v>191962</v>
      </c>
      <c r="J21" s="31" t="s">
        <v>217</v>
      </c>
      <c r="K21" s="47">
        <v>191723</v>
      </c>
      <c r="L21" s="155" t="s">
        <v>51</v>
      </c>
      <c r="M21" s="156">
        <f t="shared" si="0"/>
        <v>126.19199999999999</v>
      </c>
      <c r="N21" s="157" t="str">
        <f>VLOOKUP(C21,'Trips&amp;Operators'!$C$1:$E$99999,3,FALSE)</f>
        <v>BARTLETT</v>
      </c>
      <c r="O21" s="181" t="s">
        <v>213</v>
      </c>
      <c r="P21" s="158" t="s">
        <v>799</v>
      </c>
      <c r="Q21" s="31"/>
      <c r="R21" s="100" t="str">
        <f>VLOOKUP(C21,'Train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21" s="103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 t="shared" si="1"/>
        <v>"C:\Program Files (x86)\AstroGrep\AstroGrep.exe" /spath="%USERPROFILE%\AppData\Local\Temp\OnboardLogs" /stypes="*4039*201611072*" /stext=" 21:.+((SYSTEM_STATE.+slice.+state.+changed )|(ment ac)|(system.+state.+changed )|(\[timeout)|(PRM\|1\|D)|(kpr)|(kdp)|(\|loc)|(penalty))" /e /r /s</v>
      </c>
      <c r="U21" s="9" t="str">
        <f t="shared" si="2"/>
        <v>4039</v>
      </c>
      <c r="V21" s="36">
        <f t="shared" si="3"/>
        <v>42681.877326388887</v>
      </c>
      <c r="W21" s="50" t="str">
        <f t="shared" si="4"/>
        <v>EC</v>
      </c>
      <c r="X21" s="50" t="str">
        <f t="shared" si="5"/>
        <v>KEEP</v>
      </c>
      <c r="Y21" s="120" t="str">
        <f t="shared" si="6"/>
        <v>echo {"issue":{"subject":"Pena 4S STOP, cleared afterward","project_id":79,"tracker_id":40,"status_id":1,"priority_id":2,"assigned_to_id":23,"start_date":"2016-11-07","description":"","custom_fields":[{"id":1,"name":"Subdivision","value":"EC"},{"id":4,"name":"Milepost","value":"19.1723"},{"id":17,"name":"Train ID","value":"176-07"},{"id":16,"name":"Locomotive ID","value":"4039"},{"id":130,"name":"Impact","value":""},{"id":150,"name":"Time of Event (Mountain Time)","value":"14:03:21"},{"id":151,"name":"Denver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9" t="str">
        <f t="shared" si="7"/>
        <v>grep -hSE -A100 "Enforcement Action" "%USERPROFILE%\AppData\Local\Temp\OnboardLogs"\RTDC4039\*4039*201611072* | grep -SE "((Enforcement Ac)|(PRM))" -</v>
      </c>
    </row>
    <row r="22" spans="1:30" x14ac:dyDescent="0.25">
      <c r="A22" s="36">
        <v>42681.404456018521</v>
      </c>
      <c r="B22" s="31" t="s">
        <v>243</v>
      </c>
      <c r="C22" s="31" t="s">
        <v>410</v>
      </c>
      <c r="D22" s="31" t="s">
        <v>98</v>
      </c>
      <c r="E22" s="31" t="s">
        <v>216</v>
      </c>
      <c r="F22" s="47">
        <v>200</v>
      </c>
      <c r="G22" s="47">
        <v>257</v>
      </c>
      <c r="H22" s="47">
        <v>231652</v>
      </c>
      <c r="I22" s="47">
        <v>231101</v>
      </c>
      <c r="J22" s="31" t="s">
        <v>217</v>
      </c>
      <c r="K22" s="47">
        <v>233492</v>
      </c>
      <c r="L22" s="155" t="s">
        <v>51</v>
      </c>
      <c r="M22" s="156">
        <f t="shared" si="0"/>
        <v>-1262.4480000000001</v>
      </c>
      <c r="N22" s="157" t="str">
        <f>VLOOKUP(C22,'Trips&amp;Operators'!$C$1:$E$99999,3,FALSE)</f>
        <v>RICHARDSON</v>
      </c>
      <c r="O22" s="181" t="s">
        <v>213</v>
      </c>
      <c r="P22" s="158" t="s">
        <v>800</v>
      </c>
      <c r="Q22" s="31"/>
      <c r="R22" s="100" t="str">
        <f>VLOOKUP(C22,'Train Runs'!$A$13:$AE$10008,31,0)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S22" s="103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08:24:13-700',mode:absolute,to:'2016-11-07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5" t="str">
        <f t="shared" si="1"/>
        <v>"C:\Program Files (x86)\AstroGrep\AstroGrep.exe" /spath="%USERPROFILE%\AppData\Local\Temp\OnboardLogs" /stypes="*4013*201611071*" /stext=" 16:.+((SYSTEM_STATE.+slice.+state.+changed )|(ment ac)|(system.+state.+changed )|(\[timeout)|(PRM\|1\|D)|(kpr)|(kdp)|(\|loc)|(penalty))" /e /r /s</v>
      </c>
      <c r="U22" s="9" t="str">
        <f t="shared" si="2"/>
        <v>4013</v>
      </c>
      <c r="V22" s="36">
        <f t="shared" si="3"/>
        <v>42681.696122685185</v>
      </c>
      <c r="W22" s="50" t="str">
        <f t="shared" si="4"/>
        <v>EC</v>
      </c>
      <c r="X22" s="50" t="str">
        <f t="shared" si="5"/>
        <v>KEEP</v>
      </c>
      <c r="Y22" s="120" t="str">
        <f t="shared" si="6"/>
        <v>echo {"issue":{"subject":"Overspeed","project_id":79,"tracker_id":40,"status_id":1,"priority_id":2,"assigned_to_id":23,"start_date":"2016-11-07","description":"","custom_fields":[{"id":1,"name":"Subdivision","value":"EC"},{"id":4,"name":"Milepost","value":"23.3492"},{"id":17,"name":"Train ID","value":"142-07"},{"id":16,"name":"Locomotive ID","value":"4013"},{"id":130,"name":"Impact","value":""},{"id":150,"name":"Time of Event (Mountain Time)","value":"09:42:25"},{"id":151,"name":"Denver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9" t="str">
        <f t="shared" si="7"/>
        <v>grep -hSE -A100 "Enforcement Action" "%USERPROFILE%\AppData\Local\Temp\OnboardLogs"\RTDC4013\*4013*201611071* | grep -SE "((Enforcement Ac)|(PRM))" -</v>
      </c>
      <c r="AD22" s="1"/>
    </row>
    <row r="23" spans="1:30" x14ac:dyDescent="0.25">
      <c r="A23" s="36">
        <v>42681.992407407408</v>
      </c>
      <c r="B23" s="31" t="s">
        <v>311</v>
      </c>
      <c r="C23" s="31" t="s">
        <v>432</v>
      </c>
      <c r="D23" s="31" t="s">
        <v>98</v>
      </c>
      <c r="E23" s="31" t="s">
        <v>433</v>
      </c>
      <c r="F23" s="47">
        <v>400</v>
      </c>
      <c r="G23" s="47">
        <v>461</v>
      </c>
      <c r="H23" s="47">
        <v>223506</v>
      </c>
      <c r="I23" s="47">
        <v>221699</v>
      </c>
      <c r="J23" s="31" t="s">
        <v>153</v>
      </c>
      <c r="K23" s="47">
        <v>223800</v>
      </c>
      <c r="L23" s="155" t="s">
        <v>51</v>
      </c>
      <c r="M23" s="156">
        <f t="shared" si="0"/>
        <v>-1109.328</v>
      </c>
      <c r="N23" s="157" t="str">
        <f>VLOOKUP(C23,'Trips&amp;Operators'!$C$1:$E$99999,3,FALSE)</f>
        <v>YANAI</v>
      </c>
      <c r="O23" s="181" t="s">
        <v>213</v>
      </c>
      <c r="P23" s="158"/>
      <c r="Q23" s="31"/>
      <c r="R23" s="100" t="str">
        <f>VLOOKUP(C23,'Train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3" s="103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https://search-rtdc-monitor-bjffxe2xuh6vdkpspy63sjmuny.us-east-1.es.amazonaws.com/_plugin/kibana/#/discover/Steve-Slow-Train-Analysis-(2080s-and-2083s)?_g=(refreshInterval:(display:Off,section:0,value:0),time:(from:'2016-11-07 22:33:33-700',mode:absolute,to:'2016-11-08 01:25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 t="shared" si="1"/>
        <v>"C:\Program Files (x86)\AstroGrep\AstroGrep.exe" /spath="%USERPROFILE%\AppData\Local\Temp\OnboardLogs" /stypes="*4026*201611080*" /stext=" 06:.+((SYSTEM_STATE.+slice.+state.+changed )|(ment ac)|(system.+state.+changed )|(\[timeout)|(PRM\|1\|D)|(kpr)|(kdp)|(\|loc)|(penalty))" /e /r /s</v>
      </c>
      <c r="U23" s="9" t="str">
        <f t="shared" si="2"/>
        <v>4026</v>
      </c>
      <c r="V23" s="36">
        <f t="shared" si="3"/>
        <v>42682.284074074072</v>
      </c>
      <c r="W23" s="50" t="str">
        <f t="shared" si="4"/>
        <v>EC</v>
      </c>
      <c r="X23" s="50" t="str">
        <f t="shared" si="5"/>
        <v>KEEP</v>
      </c>
      <c r="Y23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{"issue":{"subject":"","project_id":79,"tracker_id":40,"status_id":1,"priority_id":2,"assigned_to_id":23,"start_date":"2016-11-07","description":"","custom_fields":[{"id":1,"name":"Subdivision","value":"EC"},{"id":4,"name":"Milepost","value":"22.38"},{"id":17,"name":"Train ID","value":"236-07"},{"id":16,"name":"Locomotive ID","value":"4026"},{"id":130,"name":"Impact","value":""},{"id":150,"name":"Time of Event (Mountain Time)","value":"23:49:04"},{"id":151,"name":"Denver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9" t="str">
        <f t="shared" si="7"/>
        <v>grep -hSE -A100 "Enforcement Action" "%USERPROFILE%\AppData\Local\Temp\OnboardLogs"\RTDC4026\*4026*201611080* | grep -SE "((Enforcement Ac)|(PRM))" -</v>
      </c>
      <c r="AD23" s="1"/>
    </row>
    <row r="24" spans="1:30" x14ac:dyDescent="0.25">
      <c r="A24" s="36">
        <v>42681.347905092596</v>
      </c>
      <c r="B24" s="31" t="s">
        <v>404</v>
      </c>
      <c r="C24" s="31" t="s">
        <v>405</v>
      </c>
      <c r="D24" s="31" t="s">
        <v>49</v>
      </c>
      <c r="E24" s="31" t="s">
        <v>218</v>
      </c>
      <c r="F24" s="47">
        <v>0</v>
      </c>
      <c r="G24" s="47">
        <v>42</v>
      </c>
      <c r="H24" s="47">
        <v>150</v>
      </c>
      <c r="I24" s="47">
        <v>118</v>
      </c>
      <c r="J24" s="31" t="s">
        <v>219</v>
      </c>
      <c r="K24" s="47">
        <v>1</v>
      </c>
      <c r="L24" s="155" t="s">
        <v>51</v>
      </c>
      <c r="M24" s="156">
        <f t="shared" si="0"/>
        <v>61.776000000000003</v>
      </c>
      <c r="N24" s="157" t="str">
        <f>VLOOKUP(C24,'Trips&amp;Operators'!$C$1:$E$99999,3,FALSE)</f>
        <v>ROBINSON</v>
      </c>
      <c r="O24" s="181" t="s">
        <v>213</v>
      </c>
      <c r="P24" s="158"/>
      <c r="Q24" s="31"/>
      <c r="R24" s="100" t="str">
        <f>VLOOKUP(C24,'Train Runs'!$A$13:$AE$10008,31,0)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S24" s="103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06:35:35-700',mode:absolute,to:'2016-11-07 09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/stypes="*4001*201611071*" /stext=" 15:.+((SYSTEM_STATE.+slice.+state.+changed )|(ment ac)|(system.+state.+changed )|(\[timeout)|(PRM\|1\|D)|(kpr)|(kdp)|(\|loc)|(penalty))" /e /r /s</v>
      </c>
      <c r="U24" s="9" t="str">
        <f t="shared" si="2"/>
        <v>4001</v>
      </c>
      <c r="V24" s="36">
        <f t="shared" si="3"/>
        <v>42681.63957175926</v>
      </c>
      <c r="W24" s="50" t="str">
        <f t="shared" si="4"/>
        <v>EC</v>
      </c>
      <c r="X24" s="50" t="str">
        <f t="shared" si="5"/>
        <v>KEEP</v>
      </c>
      <c r="Y24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ID","value":"126-07"},{"id":16,"name":"Locomotive ID","value":"4001"},{"id":130,"name":"Impact","value":""},{"id":150,"name":"Time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9" t="str">
        <f t="shared" si="7"/>
        <v>grep -hSE -A100 "Enforcement Action" "%USERPROFILE%\AppData\Local\Temp\OnboardLogs"\RTDC4001\*4001*201611071* | grep -SE "((Enforcement Ac)|(PRM))" -</v>
      </c>
      <c r="AD24" s="1"/>
    </row>
    <row r="25" spans="1:30" ht="15" customHeight="1" x14ac:dyDescent="0.25">
      <c r="A25" s="36">
        <v>42681.533518518518</v>
      </c>
      <c r="B25" s="31" t="s">
        <v>261</v>
      </c>
      <c r="C25" s="31" t="s">
        <v>417</v>
      </c>
      <c r="D25" s="31" t="s">
        <v>49</v>
      </c>
      <c r="E25" s="31" t="s">
        <v>218</v>
      </c>
      <c r="F25" s="47">
        <v>0</v>
      </c>
      <c r="G25" s="47">
        <v>106</v>
      </c>
      <c r="H25" s="47">
        <v>426</v>
      </c>
      <c r="I25" s="47">
        <v>278</v>
      </c>
      <c r="J25" s="31" t="s">
        <v>219</v>
      </c>
      <c r="K25" s="47">
        <v>1</v>
      </c>
      <c r="L25" s="155" t="s">
        <v>51</v>
      </c>
      <c r="M25" s="156">
        <f t="shared" si="0"/>
        <v>146.256</v>
      </c>
      <c r="N25" s="157" t="str">
        <f>VLOOKUP(C25,'Trips&amp;Operators'!$C$1:$E$99999,3,FALSE)</f>
        <v>BARTLETT</v>
      </c>
      <c r="O25" s="181" t="s">
        <v>213</v>
      </c>
      <c r="P25" s="158"/>
      <c r="Q25" s="31"/>
      <c r="R25" s="100" t="str">
        <f>VLOOKUP(C25,'Train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25" s="103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10:56:34-700',mode:absolute,to:'2016-11-07 13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 t="shared" si="1"/>
        <v>"C:\Program Files (x86)\AstroGrep\AstroGrep.exe" /spath="%USERPROFILE%\AppData\Local\Temp\OnboardLogs" /stypes="*4039*201611071*" /stext=" 19:.+((SYSTEM_STATE.+slice.+state.+changed )|(ment ac)|(system.+state.+changed )|(\[timeout)|(PRM\|1\|D)|(kpr)|(kdp)|(\|loc)|(penalty))" /e /r /s</v>
      </c>
      <c r="U25" s="9" t="str">
        <f t="shared" si="2"/>
        <v>4039</v>
      </c>
      <c r="V25" s="36">
        <f t="shared" si="3"/>
        <v>42681.825185185182</v>
      </c>
      <c r="W25" s="50" t="str">
        <f t="shared" si="4"/>
        <v>EC</v>
      </c>
      <c r="X25" s="50" t="str">
        <f t="shared" si="5"/>
        <v>KEEP</v>
      </c>
      <c r="Y25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ID","value":"162-07"},{"id":16,"name":"Locomotive ID","value":"4039"},{"id":130,"name":"Impact","value":""},{"id":150,"name":"Time of Event (Mountain Time)","value":"12:48:16"},{"id":151,"name":"Denver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9" t="str">
        <f t="shared" si="7"/>
        <v>grep -hSE -A100 "Enforcement Action" "%USERPROFILE%\AppData\Local\Temp\OnboardLogs"\RTDC4039\*4039*201611071* | grep -SE "((Enforcement Ac)|(PRM))" -</v>
      </c>
      <c r="AD25" s="1"/>
    </row>
    <row r="26" spans="1:30" x14ac:dyDescent="0.25">
      <c r="A26" s="36">
        <v>42681.692199074074</v>
      </c>
      <c r="B26" s="31" t="s">
        <v>311</v>
      </c>
      <c r="C26" s="31" t="s">
        <v>426</v>
      </c>
      <c r="D26" s="31" t="s">
        <v>49</v>
      </c>
      <c r="E26" s="31" t="s">
        <v>218</v>
      </c>
      <c r="F26" s="47">
        <v>0</v>
      </c>
      <c r="G26" s="47">
        <v>41</v>
      </c>
      <c r="H26" s="47">
        <v>149</v>
      </c>
      <c r="I26" s="47">
        <v>129</v>
      </c>
      <c r="J26" s="31" t="s">
        <v>219</v>
      </c>
      <c r="K26" s="47">
        <v>1</v>
      </c>
      <c r="L26" s="155" t="s">
        <v>51</v>
      </c>
      <c r="M26" s="156">
        <f t="shared" si="0"/>
        <v>67.584000000000003</v>
      </c>
      <c r="N26" s="157" t="str">
        <f>VLOOKUP(C26,'Trips&amp;Operators'!$C$1:$E$99999,3,FALSE)</f>
        <v>NELSON</v>
      </c>
      <c r="O26" s="181" t="s">
        <v>213</v>
      </c>
      <c r="P26" s="158"/>
      <c r="Q26" s="31"/>
      <c r="R26" s="100" t="str">
        <f>VLOOKUP(C26,'Train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6" s="103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14:47:43-700',mode:absolute,to:'2016-11-07 17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5" t="str">
        <f t="shared" si="1"/>
        <v>"C:\Program Files (x86)\AstroGrep\AstroGrep.exe" /spath="%USERPROFILE%\AppData\Local\Temp\OnboardLogs" /stypes="*4026*201611072*" /stext=" 23:.+((SYSTEM_STATE.+slice.+state.+changed )|(ment ac)|(system.+state.+changed )|(\[timeout)|(PRM\|1\|D)|(kpr)|(kdp)|(\|loc)|(penalty))" /e /r /s</v>
      </c>
      <c r="U26" s="9" t="str">
        <f t="shared" si="2"/>
        <v>4026</v>
      </c>
      <c r="V26" s="36">
        <f t="shared" si="3"/>
        <v>42681.983865740738</v>
      </c>
      <c r="W26" s="50" t="str">
        <f t="shared" si="4"/>
        <v>EC</v>
      </c>
      <c r="X26" s="50" t="str">
        <f t="shared" si="5"/>
        <v>KEEP</v>
      </c>
      <c r="Y26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ID","value":"192-07"},{"id":16,"name":"Locomotive ID","value":"4026"},{"id":130,"name":"Impact","value":""},{"id":150,"name":"Time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9" t="str">
        <f t="shared" si="7"/>
        <v>grep -hSE -A100 "Enforcement Action" "%USERPROFILE%\AppData\Local\Temp\OnboardLogs"\RTDC4026\*4026*201611072* | grep -SE "((Enforcement Ac)|(PRM))" -</v>
      </c>
      <c r="AD26" s="1"/>
    </row>
    <row r="27" spans="1:30" x14ac:dyDescent="0.25">
      <c r="A27" s="36">
        <v>42681.836111111108</v>
      </c>
      <c r="B27" s="31" t="s">
        <v>311</v>
      </c>
      <c r="C27" s="31" t="s">
        <v>429</v>
      </c>
      <c r="D27" s="31" t="s">
        <v>49</v>
      </c>
      <c r="E27" s="31" t="s">
        <v>218</v>
      </c>
      <c r="F27" s="47">
        <v>0</v>
      </c>
      <c r="G27" s="47">
        <v>50</v>
      </c>
      <c r="H27" s="47">
        <v>196</v>
      </c>
      <c r="I27" s="47">
        <v>158</v>
      </c>
      <c r="J27" s="31" t="s">
        <v>219</v>
      </c>
      <c r="K27" s="47">
        <v>1</v>
      </c>
      <c r="L27" s="155" t="s">
        <v>51</v>
      </c>
      <c r="M27" s="156">
        <f t="shared" si="0"/>
        <v>82.895999999999987</v>
      </c>
      <c r="N27" s="157" t="str">
        <f>VLOOKUP(C27,'Trips&amp;Operators'!$C$1:$E$99999,3,FALSE)</f>
        <v>MAGEE</v>
      </c>
      <c r="O27" s="181" t="s">
        <v>213</v>
      </c>
      <c r="P27" s="158"/>
      <c r="Q27" s="31"/>
      <c r="R27" s="100" t="str">
        <f>VLOOKUP(C27,'Train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7" s="103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7" s="105" t="str">
        <f t="shared" si="1"/>
        <v>"C:\Program Files (x86)\AstroGrep\AstroGrep.exe" /spath="%USERPROFILE%\AppData\Local\Temp\OnboardLogs" /stypes="*4026*201611080*" /stext=" 03:.+((SYSTEM_STATE.+slice.+state.+changed )|(ment ac)|(system.+state.+changed )|(\[timeout)|(PRM\|1\|D)|(kpr)|(kdp)|(\|loc)|(penalty))" /e /r /s</v>
      </c>
      <c r="U27" s="9" t="str">
        <f t="shared" si="2"/>
        <v>4026</v>
      </c>
      <c r="V27" s="36">
        <f t="shared" si="3"/>
        <v>42682.127777777772</v>
      </c>
      <c r="W27" s="50" t="str">
        <f t="shared" si="4"/>
        <v>EC</v>
      </c>
      <c r="X27" s="50" t="str">
        <f t="shared" si="5"/>
        <v>KEEP</v>
      </c>
      <c r="Y27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ID","value":"220-07"},{"id":16,"name":"Locomotive ID","value":"4026"},{"id":130,"name":"Impact","value":""},{"id":150,"name":"Time of Event (Mountain Time)","value":"20:04:00"},{"id":151,"name":"Denver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9" t="str">
        <f t="shared" si="7"/>
        <v>grep -hSE -A100 "Enforcement Action" "%USERPROFILE%\AppData\Local\Temp\OnboardLogs"\RTDC4026\*4026*201611080* | grep -SE "((Enforcement Ac)|(PRM))" -</v>
      </c>
      <c r="AD27" s="1"/>
    </row>
    <row r="28" spans="1:30" x14ac:dyDescent="0.25">
      <c r="A28" s="36">
        <v>42681.858518518522</v>
      </c>
      <c r="B28" s="31" t="s">
        <v>404</v>
      </c>
      <c r="C28" s="31" t="s">
        <v>430</v>
      </c>
      <c r="D28" s="31" t="s">
        <v>49</v>
      </c>
      <c r="E28" s="31" t="s">
        <v>218</v>
      </c>
      <c r="F28" s="47">
        <v>0</v>
      </c>
      <c r="G28" s="47">
        <v>66</v>
      </c>
      <c r="H28" s="47">
        <v>245</v>
      </c>
      <c r="I28" s="47">
        <v>183</v>
      </c>
      <c r="J28" s="31" t="s">
        <v>219</v>
      </c>
      <c r="K28" s="47">
        <v>1</v>
      </c>
      <c r="L28" s="155" t="s">
        <v>51</v>
      </c>
      <c r="M28" s="156">
        <f t="shared" si="0"/>
        <v>96.096000000000004</v>
      </c>
      <c r="N28" s="157" t="str">
        <f>VLOOKUP(C28,'Trips&amp;Operators'!$C$1:$E$99999,3,FALSE)</f>
        <v>BADERTSCHER</v>
      </c>
      <c r="O28" s="181" t="s">
        <v>213</v>
      </c>
      <c r="P28" s="158"/>
      <c r="Q28" s="31"/>
      <c r="R28" s="100" t="str">
        <f>VLOOKUP(C28,'Train Runs'!$A$13:$AE$10008,31,0)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S28" s="103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18:46:50-700',mode:absolute,to:'2016-11-07 21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8" s="105" t="str">
        <f t="shared" si="1"/>
        <v>"C:\Program Files (x86)\AstroGrep\AstroGrep.exe" /spath="%USERPROFILE%\AppData\Local\Temp\OnboardLogs" /stypes="*4001*201611080*" /stext=" 03:.+((SYSTEM_STATE.+slice.+state.+changed )|(ment ac)|(system.+state.+changed )|(\[timeout)|(PRM\|1\|D)|(kpr)|(kdp)|(\|loc)|(penalty))" /e /r /s</v>
      </c>
      <c r="U28" s="9" t="str">
        <f t="shared" si="2"/>
        <v>4001</v>
      </c>
      <c r="V28" s="36">
        <f t="shared" si="3"/>
        <v>42682.150185185186</v>
      </c>
      <c r="W28" s="50" t="str">
        <f t="shared" si="4"/>
        <v>EC</v>
      </c>
      <c r="X28" s="50" t="str">
        <f t="shared" si="5"/>
        <v>KEEP</v>
      </c>
      <c r="Y28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ID","value":"222-07"},{"id":16,"name":"Locomotive ID","value":"4001"},{"id":130,"name":"Impact","value":""},{"id":150,"name":"Time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9" t="str">
        <f t="shared" si="7"/>
        <v>grep -hSE -A100 "Enforcement Action" "%USERPROFILE%\AppData\Local\Temp\OnboardLogs"\RTDC4001\*4001*201611080* | grep -SE "((Enforcement Ac)|(PRM))" -</v>
      </c>
      <c r="AD28" s="1"/>
    </row>
    <row r="29" spans="1:30" x14ac:dyDescent="0.25">
      <c r="A29" s="36">
        <v>42681.900810185187</v>
      </c>
      <c r="B29" s="31" t="s">
        <v>323</v>
      </c>
      <c r="C29" s="31" t="s">
        <v>431</v>
      </c>
      <c r="D29" s="31" t="s">
        <v>49</v>
      </c>
      <c r="E29" s="31" t="s">
        <v>218</v>
      </c>
      <c r="F29" s="47">
        <v>0</v>
      </c>
      <c r="G29" s="47">
        <v>46</v>
      </c>
      <c r="H29" s="47">
        <v>156</v>
      </c>
      <c r="I29" s="47">
        <v>132</v>
      </c>
      <c r="J29" s="31" t="s">
        <v>219</v>
      </c>
      <c r="K29" s="47">
        <v>1</v>
      </c>
      <c r="L29" s="155" t="s">
        <v>51</v>
      </c>
      <c r="M29" s="156">
        <f t="shared" si="0"/>
        <v>69.168000000000006</v>
      </c>
      <c r="N29" s="157" t="str">
        <f>VLOOKUP(C29,'Trips&amp;Operators'!$C$1:$E$99999,3,FALSE)</f>
        <v>CHANDLER</v>
      </c>
      <c r="O29" s="181" t="s">
        <v>213</v>
      </c>
      <c r="P29" s="158"/>
      <c r="Q29" s="31"/>
      <c r="R29" s="100" t="str">
        <f>VLOOKUP(C29,'Train Runs'!$A$13:$AE$10008,31,0)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S29" s="103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19:54:39-700',mode:absolute,to:'2016-11-07 22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/stypes="*4012*201611080*" /stext=" 04:.+((SYSTEM_STATE.+slice.+state.+changed )|(ment ac)|(system.+state.+changed )|(\[timeout)|(PRM\|1\|D)|(kpr)|(kdp)|(\|loc)|(penalty))" /e /r /s</v>
      </c>
      <c r="U29" s="9" t="str">
        <f t="shared" si="2"/>
        <v>4012</v>
      </c>
      <c r="V29" s="36">
        <f t="shared" si="3"/>
        <v>42682.192476851851</v>
      </c>
      <c r="W29" s="50" t="str">
        <f t="shared" si="4"/>
        <v>EC</v>
      </c>
      <c r="X29" s="50" t="str">
        <f t="shared" si="5"/>
        <v>KEEP</v>
      </c>
      <c r="Y29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ID","value":"226-07"},{"id":16,"name":"Locomotive ID","value":"4012"},{"id":130,"name":"Impact","value":""},{"id":150,"name":"Time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9" t="str">
        <f t="shared" si="7"/>
        <v>grep -hSE -A100 "Enforcement Action" "%USERPROFILE%\AppData\Local\Temp\OnboardLogs"\RTDC4012\*4012*201611080* | grep -SE "((Enforcement Ac)|(PRM))" -</v>
      </c>
      <c r="AD29" s="1"/>
    </row>
    <row r="30" spans="1:30" x14ac:dyDescent="0.25">
      <c r="A30" s="36">
        <v>42681.57712962963</v>
      </c>
      <c r="B30" s="31" t="s">
        <v>307</v>
      </c>
      <c r="C30" s="31" t="s">
        <v>419</v>
      </c>
      <c r="D30" s="31" t="s">
        <v>49</v>
      </c>
      <c r="E30" s="31" t="s">
        <v>218</v>
      </c>
      <c r="F30" s="47">
        <v>0</v>
      </c>
      <c r="G30" s="47">
        <v>72</v>
      </c>
      <c r="H30" s="47">
        <v>233225</v>
      </c>
      <c r="I30" s="47">
        <v>233293</v>
      </c>
      <c r="J30" s="31" t="s">
        <v>219</v>
      </c>
      <c r="K30" s="47">
        <v>233491</v>
      </c>
      <c r="L30" s="155" t="s">
        <v>50</v>
      </c>
      <c r="M30" s="156">
        <f t="shared" si="0"/>
        <v>104.544</v>
      </c>
      <c r="N30" s="157" t="str">
        <f>VLOOKUP(C30,'Trips&amp;Operators'!$C$1:$E$99999,3,FALSE)</f>
        <v>NELSON</v>
      </c>
      <c r="O30" s="181" t="s">
        <v>213</v>
      </c>
      <c r="P30" s="158"/>
      <c r="Q30" s="31"/>
      <c r="R30" s="100" t="str">
        <f>VLOOKUP(C30,'Train Runs'!$A$13:$AE$10008,31,0)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S30" s="103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12:09:02-700',mode:absolute,to:'2016-11-07 14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0" s="105" t="str">
        <f t="shared" si="1"/>
        <v>"C:\Program Files (x86)\AstroGrep\AstroGrep.exe" /spath="%USERPROFILE%\AppData\Local\Temp\OnboardLogs" /stypes="*4025*201611072*" /stext=" 20:.+((SYSTEM_STATE.+slice.+state.+changed )|(ment ac)|(system.+state.+changed )|(\[timeout)|(PRM\|1\|D)|(kpr)|(kdp)|(\|loc)|(penalty))" /e /r /s</v>
      </c>
      <c r="U30" s="9" t="str">
        <f t="shared" si="2"/>
        <v>4025</v>
      </c>
      <c r="V30" s="36">
        <f t="shared" si="3"/>
        <v>42681.868796296294</v>
      </c>
      <c r="W30" s="50" t="str">
        <f t="shared" si="4"/>
        <v>EC</v>
      </c>
      <c r="X30" s="50" t="str">
        <f t="shared" si="5"/>
        <v>KEEP</v>
      </c>
      <c r="Y30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ID","value":"177-07"},{"id":16,"name":"Locomotive ID","value":"4025"},{"id":130,"name":"Impact","value":""},{"id":150,"name":"Time of Event (Mountain Time)","value":"13:51:04"},{"id":151,"name":"Denver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9" t="str">
        <f t="shared" si="7"/>
        <v>grep -hSE -A100 "Enforcement Action" "%USERPROFILE%\AppData\Local\Temp\OnboardLogs"\RTDC4025\*4025*201611072* | grep -SE "((Enforcement Ac)|(PRM))" -</v>
      </c>
      <c r="AD30" s="1"/>
    </row>
    <row r="31" spans="1:30" ht="15" customHeight="1" x14ac:dyDescent="0.25">
      <c r="A31" s="36">
        <v>42681.589016203703</v>
      </c>
      <c r="B31" s="31" t="s">
        <v>192</v>
      </c>
      <c r="C31" s="31" t="s">
        <v>421</v>
      </c>
      <c r="D31" s="31" t="s">
        <v>49</v>
      </c>
      <c r="E31" s="31" t="s">
        <v>218</v>
      </c>
      <c r="F31" s="47">
        <v>0</v>
      </c>
      <c r="G31" s="47">
        <v>127</v>
      </c>
      <c r="H31" s="47">
        <v>233097</v>
      </c>
      <c r="I31" s="47">
        <v>233224</v>
      </c>
      <c r="J31" s="31" t="s">
        <v>219</v>
      </c>
      <c r="K31" s="47">
        <v>233491</v>
      </c>
      <c r="L31" s="155" t="s">
        <v>50</v>
      </c>
      <c r="M31" s="156">
        <f t="shared" si="0"/>
        <v>140.976</v>
      </c>
      <c r="N31" s="157" t="str">
        <f>VLOOKUP(C31,'Trips&amp;Operators'!$C$1:$E$99999,3,FALSE)</f>
        <v>CLARK</v>
      </c>
      <c r="O31" s="181" t="s">
        <v>213</v>
      </c>
      <c r="P31" s="158"/>
      <c r="Q31" s="31"/>
      <c r="R31" s="100" t="str">
        <f>VLOOKUP(C31,'Train Runs'!$A$13:$AE$10008,31,0)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S31" s="103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12:25:05-700',mode:absolute,to:'2016-11-07 15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1" s="105" t="str">
        <f t="shared" si="1"/>
        <v>"C:\Program Files (x86)\AstroGrep\AstroGrep.exe" /spath="%USERPROFILE%\AppData\Local\Temp\OnboardLogs" /stypes="*4007*201611072*" /stext=" 21:.+((SYSTEM_STATE.+slice.+state.+changed )|(ment ac)|(system.+state.+changed )|(\[timeout)|(PRM\|1\|D)|(kpr)|(kdp)|(\|loc)|(penalty))" /e /r /s</v>
      </c>
      <c r="U31" s="9" t="str">
        <f t="shared" si="2"/>
        <v>4007</v>
      </c>
      <c r="V31" s="36">
        <f t="shared" si="3"/>
        <v>42681.880682870367</v>
      </c>
      <c r="W31" s="50" t="str">
        <f t="shared" si="4"/>
        <v>EC</v>
      </c>
      <c r="X31" s="50" t="str">
        <f t="shared" si="5"/>
        <v>KEEP</v>
      </c>
      <c r="Y31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ID","value":"179-07"},{"id":16,"name":"Locomotive ID","value":"4007"},{"id":130,"name":"Impact","value":""},{"id":150,"name":"Time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9" t="str">
        <f t="shared" si="7"/>
        <v>grep -hSE -A100 "Enforcement Action" "%USERPROFILE%\AppData\Local\Temp\OnboardLogs"\RTDC4007\*4007*201611072* | grep -SE "((Enforcement Ac)|(PRM))" -</v>
      </c>
      <c r="AD31" s="1"/>
    </row>
    <row r="32" spans="1:30" x14ac:dyDescent="0.25">
      <c r="A32" s="36">
        <v>42681.672488425924</v>
      </c>
      <c r="B32" s="31" t="s">
        <v>424</v>
      </c>
      <c r="C32" s="31" t="s">
        <v>425</v>
      </c>
      <c r="D32" s="31" t="s">
        <v>49</v>
      </c>
      <c r="E32" s="31" t="s">
        <v>218</v>
      </c>
      <c r="F32" s="47">
        <v>0</v>
      </c>
      <c r="G32" s="47">
        <v>75</v>
      </c>
      <c r="H32" s="47">
        <v>233213</v>
      </c>
      <c r="I32" s="47">
        <v>233303</v>
      </c>
      <c r="J32" s="31" t="s">
        <v>219</v>
      </c>
      <c r="K32" s="47">
        <v>233491</v>
      </c>
      <c r="L32" s="155" t="s">
        <v>50</v>
      </c>
      <c r="M32" s="156">
        <f t="shared" si="0"/>
        <v>99.263999999999996</v>
      </c>
      <c r="N32" s="157" t="str">
        <f>VLOOKUP(C32,'Trips&amp;Operators'!$C$1:$E$99999,3,FALSE)</f>
        <v>YOUNG</v>
      </c>
      <c r="O32" s="181" t="s">
        <v>213</v>
      </c>
      <c r="P32" s="158"/>
      <c r="Q32" s="31"/>
      <c r="R32" s="100" t="str">
        <f>VLOOKUP(C32,'Train Runs'!$A$13:$AE$10008,31,0)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S32" s="103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14:25:13-700',mode:absolute,to:'2016-11-07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2" s="105" t="str">
        <f t="shared" si="1"/>
        <v>"C:\Program Files (x86)\AstroGrep\AstroGrep.exe" /spath="%USERPROFILE%\AppData\Local\Temp\OnboardLogs" /stypes="*4002*201611072*" /stext=" 23:.+((SYSTEM_STATE.+slice.+state.+changed )|(ment ac)|(system.+state.+changed )|(\[timeout)|(PRM\|1\|D)|(kpr)|(kdp)|(\|loc)|(penalty))" /e /r /s</v>
      </c>
      <c r="U32" s="9" t="str">
        <f t="shared" si="2"/>
        <v>4002</v>
      </c>
      <c r="V32" s="36">
        <f t="shared" si="3"/>
        <v>42681.964155092588</v>
      </c>
      <c r="W32" s="50" t="str">
        <f t="shared" si="4"/>
        <v>EC</v>
      </c>
      <c r="X32" s="50" t="str">
        <f t="shared" si="5"/>
        <v>KEEP</v>
      </c>
      <c r="Y32" s="120" t="str">
        <f t="shared" si="6"/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ID","value":"195-07"},{"id":16,"name":"Locomotive ID","value":"4002"},{"id":130,"name":"Impact","value":""},{"id":150,"name":"Time of Event (Mountain Time)","value":"16:08:23"},{"id":151,"name":"Denver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9" t="str">
        <f t="shared" si="7"/>
        <v>grep -hSE -A100 "Enforcement Action" "%USERPROFILE%\AppData\Local\Temp\OnboardLogs"\RTDC4002\*4002*201611072* | grep -SE "((Enforcement Ac)|(PRM))" -</v>
      </c>
      <c r="AD32" s="1"/>
    </row>
    <row r="33" spans="1:30" ht="15" customHeight="1" x14ac:dyDescent="0.25">
      <c r="A33" s="36">
        <v>42681.30097222222</v>
      </c>
      <c r="B33" s="31" t="s">
        <v>225</v>
      </c>
      <c r="C33" s="31" t="s">
        <v>402</v>
      </c>
      <c r="D33" s="31" t="s">
        <v>98</v>
      </c>
      <c r="E33" s="31" t="s">
        <v>214</v>
      </c>
      <c r="F33" s="47">
        <v>150</v>
      </c>
      <c r="G33" s="47">
        <v>200</v>
      </c>
      <c r="H33" s="47">
        <v>56988</v>
      </c>
      <c r="I33" s="47">
        <v>56646</v>
      </c>
      <c r="J33" s="31" t="s">
        <v>215</v>
      </c>
      <c r="K33" s="47">
        <v>59050</v>
      </c>
      <c r="L33" s="155" t="s">
        <v>51</v>
      </c>
      <c r="M33" s="156">
        <f t="shared" si="0"/>
        <v>-1269.3119999999999</v>
      </c>
      <c r="N33" s="157" t="str">
        <f>VLOOKUP(C33,'Trips&amp;Operators'!$C$1:$E$99999,3,FALSE)</f>
        <v>DAVIS</v>
      </c>
      <c r="O33" s="181" t="s">
        <v>213</v>
      </c>
      <c r="P33" s="158"/>
      <c r="Q33" s="31"/>
      <c r="R33" s="100" t="str">
        <f>VLOOKUP(C33,'Train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3" s="103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3" s="105" t="str">
        <f t="shared" si="1"/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3" s="9" t="str">
        <f t="shared" si="2"/>
        <v>4030</v>
      </c>
      <c r="V33" s="36">
        <f t="shared" si="3"/>
        <v>42681.592638888884</v>
      </c>
      <c r="W33" s="50" t="str">
        <f t="shared" si="4"/>
        <v>NW</v>
      </c>
      <c r="X33" s="50" t="str">
        <f t="shared" si="5"/>
        <v>KEEP</v>
      </c>
      <c r="Y33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{"issue":{"subject":"","project_id":79,"tracker_id":40,"status_id":1,"priority_id":2,"assigned_to_id":23,"start_date":"2016-11-07","description":"","custom_fields":[{"id":1,"name":"Subdivision","value":"NW"},{"id":4,"name":"Milepost","value":"5.905"},{"id":17,"name":"Train ID","value":"806-07"},{"id":16,"name":"Locomotive ID","value":"4030"},{"id":130,"name":"Impact","value":""},{"id":150,"name":"Time of Event (Mountain Time)","value":"07:13:24"},{"id":151,"name":"Denver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9" t="str">
        <f t="shared" si="7"/>
        <v>grep -hSE -A100 "Enforcement Action" "%USERPROFILE%\AppData\Local\Temp\OnboardLogs"\RTDC4030\*4030*201611071* | grep -SE "((Enforcement Ac)|(PRM))" -</v>
      </c>
      <c r="AD33" s="1"/>
    </row>
    <row r="34" spans="1:30" x14ac:dyDescent="0.25">
      <c r="A34" s="36">
        <v>42681.78570601852</v>
      </c>
      <c r="B34" s="31" t="s">
        <v>408</v>
      </c>
      <c r="C34" s="31" t="s">
        <v>427</v>
      </c>
      <c r="D34" s="31" t="s">
        <v>49</v>
      </c>
      <c r="E34" s="31" t="s">
        <v>216</v>
      </c>
      <c r="F34" s="47">
        <v>0</v>
      </c>
      <c r="G34" s="47">
        <v>82</v>
      </c>
      <c r="H34" s="47">
        <v>11042</v>
      </c>
      <c r="I34" s="47">
        <v>10693</v>
      </c>
      <c r="J34" s="31" t="s">
        <v>217</v>
      </c>
      <c r="K34" s="47">
        <v>11016</v>
      </c>
      <c r="L34" s="155" t="s">
        <v>51</v>
      </c>
      <c r="M34" s="156">
        <f t="shared" si="0"/>
        <v>-170.54400000000001</v>
      </c>
      <c r="N34" s="157" t="str">
        <f>VLOOKUP(C34,'Trips&amp;Operators'!$C$1:$E$99999,3,FALSE)</f>
        <v>SAFIEF</v>
      </c>
      <c r="O34" s="181" t="s">
        <v>263</v>
      </c>
      <c r="P34" s="158" t="s">
        <v>801</v>
      </c>
      <c r="Q34" s="31"/>
      <c r="R34" s="100" t="str">
        <f>VLOOKUP(C34,'Train Runs'!$A$13:$AE$10008,31,0)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S34" s="103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17:38:12-700',mode:absolute,to:'2016-11-07 19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4" s="105" t="str">
        <f t="shared" si="1"/>
        <v>"C:\Program Files (x86)\AstroGrep\AstroGrep.exe" /spath="%USERPROFILE%\AppData\Local\Temp\OnboardLogs" /stypes="*4037*201611080*" /stext=" 01:.+((SYSTEM_STATE.+slice.+state.+changed )|(ment ac)|(system.+state.+changed )|(\[timeout)|(PRM\|1\|D)|(kpr)|(kdp)|(\|loc)|(penalty))" /e /r /s</v>
      </c>
      <c r="U34" s="9" t="str">
        <f t="shared" si="2"/>
        <v>4037</v>
      </c>
      <c r="V34" s="36">
        <f t="shared" si="3"/>
        <v>42682.077372685184</v>
      </c>
      <c r="W34" s="50" t="str">
        <f t="shared" si="4"/>
        <v>NW</v>
      </c>
      <c r="X34" s="50" t="str">
        <f t="shared" si="5"/>
        <v>KEEP</v>
      </c>
      <c r="Y34" s="120" t="str">
        <f t="shared" si="6"/>
        <v>echo {"issue":{"subject":"Discrepancy between GPS- and Wheeltach-derived location @ I-25 bridge","project_id":79,"tracker_id":40,"status_id":1,"priority_id":2,"assigned_to_id":23,"start_date":"2016-11-07","description":"","custom_fields":[{"id":1,"name":"Subdivision","value":"NW"},{"id":4,"name":"Milepost","value":"1.1016"},{"id":17,"name":"Train ID","value":"838-07"},{"id":16,"name":"Locomotive ID","value":"4037"},{"id":130,"name":"Impact","value":""},{"id":150,"name":"Time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9" t="str">
        <f t="shared" si="7"/>
        <v>grep -hSE -A100 "Enforcement Action" "%USERPROFILE%\AppData\Local\Temp\OnboardLogs"\RTDC4037\*4037*201611080* | grep -SE "((Enforcement Ac)|(PRM))" -</v>
      </c>
      <c r="AD34" s="1"/>
    </row>
    <row r="35" spans="1:30" x14ac:dyDescent="0.25">
      <c r="A35" s="36">
        <v>42681.226655092592</v>
      </c>
      <c r="B35" s="31" t="s">
        <v>225</v>
      </c>
      <c r="C35" s="31" t="s">
        <v>398</v>
      </c>
      <c r="D35" s="31" t="s">
        <v>49</v>
      </c>
      <c r="E35" s="31" t="s">
        <v>218</v>
      </c>
      <c r="F35" s="47">
        <v>0</v>
      </c>
      <c r="G35" s="47">
        <v>22</v>
      </c>
      <c r="H35" s="47">
        <v>633</v>
      </c>
      <c r="I35" s="47">
        <v>614</v>
      </c>
      <c r="J35" s="31" t="s">
        <v>219</v>
      </c>
      <c r="K35" s="47">
        <v>575</v>
      </c>
      <c r="L35" s="155" t="s">
        <v>51</v>
      </c>
      <c r="M35" s="156">
        <f t="shared" si="0"/>
        <v>20.591999999999999</v>
      </c>
      <c r="N35" s="157" t="str">
        <f>VLOOKUP(C35,'Trips&amp;Operators'!$C$1:$E$99999,3,FALSE)</f>
        <v>DAVIS</v>
      </c>
      <c r="O35" s="181" t="s">
        <v>213</v>
      </c>
      <c r="P35" s="158"/>
      <c r="Q35" s="31"/>
      <c r="R35" s="100" t="str">
        <f>VLOOKUP(C35,'Train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5" s="103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04:08:24-700',mode:absolute,to:'2016-11-07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 t="shared" si="1"/>
        <v>"C:\Program Files (x86)\AstroGrep\AstroGrep.exe" /spath="%USERPROFILE%\AppData\Local\Temp\OnboardLogs" /stypes="*4030*201611071*" /stext=" 12:.+((SYSTEM_STATE.+slice.+state.+changed )|(ment ac)|(system.+state.+changed )|(\[timeout)|(PRM\|1\|D)|(kpr)|(kdp)|(\|loc)|(penalty))" /e /r /s</v>
      </c>
      <c r="U35" s="9" t="str">
        <f t="shared" si="2"/>
        <v>4030</v>
      </c>
      <c r="V35" s="36">
        <f t="shared" si="3"/>
        <v>42681.518321759257</v>
      </c>
      <c r="W35" s="50" t="str">
        <f t="shared" si="4"/>
        <v>NW</v>
      </c>
      <c r="X35" s="50" t="str">
        <f t="shared" si="5"/>
        <v>KEEP</v>
      </c>
      <c r="Y35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ID","value":"800-07"},{"id":16,"name":"Locomotive ID","value":"4030"},{"id":130,"name":"Impact","value":""},{"id":150,"name":"Time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9" t="str">
        <f t="shared" si="7"/>
        <v>grep -hSE -A100 "Enforcement Action" "%USERPROFILE%\AppData\Local\Temp\OnboardLogs"\RTDC4030\*4030*201611071* | grep -SE "((Enforcement Ac)|(PRM))" -</v>
      </c>
      <c r="AD35" s="1"/>
    </row>
    <row r="36" spans="1:30" x14ac:dyDescent="0.25">
      <c r="A36" s="36">
        <v>42681.31</v>
      </c>
      <c r="B36" s="31" t="s">
        <v>225</v>
      </c>
      <c r="C36" s="31" t="s">
        <v>402</v>
      </c>
      <c r="D36" s="31" t="s">
        <v>49</v>
      </c>
      <c r="E36" s="31" t="s">
        <v>218</v>
      </c>
      <c r="F36" s="47">
        <v>0</v>
      </c>
      <c r="G36" s="47">
        <v>44</v>
      </c>
      <c r="H36" s="47">
        <v>710</v>
      </c>
      <c r="I36" s="47">
        <v>675</v>
      </c>
      <c r="J36" s="31" t="s">
        <v>219</v>
      </c>
      <c r="K36" s="47">
        <v>575</v>
      </c>
      <c r="L36" s="155" t="s">
        <v>51</v>
      </c>
      <c r="M36" s="156">
        <f t="shared" si="0"/>
        <v>52.8</v>
      </c>
      <c r="N36" s="157" t="str">
        <f>VLOOKUP(C36,'Trips&amp;Operators'!$C$1:$E$99999,3,FALSE)</f>
        <v>DAVIS</v>
      </c>
      <c r="O36" s="181" t="s">
        <v>213</v>
      </c>
      <c r="P36" s="158"/>
      <c r="Q36" s="31"/>
      <c r="R36" s="100" t="str">
        <f>VLOOKUP(C36,'Train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6" s="103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6" s="105" t="str">
        <f t="shared" si="1"/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6" s="9" t="str">
        <f t="shared" si="2"/>
        <v>4030</v>
      </c>
      <c r="V36" s="36">
        <f t="shared" si="3"/>
        <v>42681.601666666662</v>
      </c>
      <c r="W36" s="50" t="str">
        <f t="shared" si="4"/>
        <v>NW</v>
      </c>
      <c r="X36" s="50" t="str">
        <f t="shared" si="5"/>
        <v>KEEP</v>
      </c>
      <c r="Y36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ID","value":"806-07"},{"id":16,"name":"Locomotive ID","value":"4030"},{"id":130,"name":"Impact","value":""},{"id":150,"name":"Time of Event (Mountain Time)","value":"07:26:24"},{"id":151,"name":"Denver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9" t="str">
        <f t="shared" si="7"/>
        <v>grep -hSE -A100 "Enforcement Action" "%USERPROFILE%\AppData\Local\Temp\OnboardLogs"\RTDC4030\*4030*201611071* | grep -SE "((Enforcement Ac)|(PRM))" -</v>
      </c>
      <c r="AD36" s="1"/>
    </row>
    <row r="37" spans="1:30" x14ac:dyDescent="0.25">
      <c r="A37" s="36">
        <v>42681.310891203706</v>
      </c>
      <c r="B37" s="31" t="s">
        <v>225</v>
      </c>
      <c r="C37" s="31" t="s">
        <v>402</v>
      </c>
      <c r="D37" s="31" t="s">
        <v>49</v>
      </c>
      <c r="E37" s="31" t="s">
        <v>218</v>
      </c>
      <c r="F37" s="47">
        <v>0</v>
      </c>
      <c r="G37" s="47">
        <v>16</v>
      </c>
      <c r="H37" s="47">
        <v>643</v>
      </c>
      <c r="I37" s="47">
        <v>636</v>
      </c>
      <c r="J37" s="31" t="s">
        <v>219</v>
      </c>
      <c r="K37" s="47">
        <v>575</v>
      </c>
      <c r="L37" s="155" t="s">
        <v>51</v>
      </c>
      <c r="M37" s="156">
        <f t="shared" si="0"/>
        <v>32.207999999999998</v>
      </c>
      <c r="N37" s="157" t="str">
        <f>VLOOKUP(C37,'Trips&amp;Operators'!$C$1:$E$99999,3,FALSE)</f>
        <v>DAVIS</v>
      </c>
      <c r="O37" s="181" t="s">
        <v>213</v>
      </c>
      <c r="P37" s="158"/>
      <c r="Q37" s="31"/>
      <c r="R37" s="100" t="str">
        <f>VLOOKUP(C37,'Train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7" s="103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7" s="105" t="str">
        <f t="shared" si="1"/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7" s="9" t="str">
        <f t="shared" si="2"/>
        <v>4030</v>
      </c>
      <c r="V37" s="36">
        <f t="shared" si="3"/>
        <v>42681.60255787037</v>
      </c>
      <c r="W37" s="50" t="str">
        <f t="shared" si="4"/>
        <v>NW</v>
      </c>
      <c r="X37" s="50" t="str">
        <f t="shared" si="5"/>
        <v>KEEP</v>
      </c>
      <c r="Y37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ID","value":"806-07"},{"id":16,"name":"Locomotive ID","value":"4030"},{"id":130,"name":"Impact","value":""},{"id":150,"name":"Time of Event (Mountain Time)","value":"07:27:41"},{"id":151,"name":"Denver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9" t="str">
        <f t="shared" si="7"/>
        <v>grep -hSE -A100 "Enforcement Action" "%USERPROFILE%\AppData\Local\Temp\OnboardLogs"\RTDC4030\*4030*201611071* | grep -SE "((Enforcement Ac)|(PRM))" -</v>
      </c>
      <c r="AD37" s="1"/>
    </row>
    <row r="38" spans="1:30" x14ac:dyDescent="0.25">
      <c r="A38" s="36">
        <v>42681.351678240739</v>
      </c>
      <c r="B38" s="31" t="s">
        <v>225</v>
      </c>
      <c r="C38" s="31" t="s">
        <v>406</v>
      </c>
      <c r="D38" s="31" t="s">
        <v>49</v>
      </c>
      <c r="E38" s="31" t="s">
        <v>218</v>
      </c>
      <c r="F38" s="47">
        <v>0</v>
      </c>
      <c r="G38" s="47">
        <v>22</v>
      </c>
      <c r="H38" s="47">
        <v>619</v>
      </c>
      <c r="I38" s="47">
        <v>593</v>
      </c>
      <c r="J38" s="31" t="s">
        <v>219</v>
      </c>
      <c r="K38" s="47">
        <v>575</v>
      </c>
      <c r="L38" s="155" t="s">
        <v>51</v>
      </c>
      <c r="M38" s="156">
        <f t="shared" si="0"/>
        <v>9.5039999999999996</v>
      </c>
      <c r="N38" s="157" t="str">
        <f>VLOOKUP(C38,'Trips&amp;Operators'!$C$1:$E$99999,3,FALSE)</f>
        <v>DAVIS</v>
      </c>
      <c r="O38" s="181" t="s">
        <v>213</v>
      </c>
      <c r="P38" s="158"/>
      <c r="Q38" s="31"/>
      <c r="R38" s="100" t="str">
        <f>VLOOKUP(C38,'Train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8" s="103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07:07:31-700',mode:absolute,to:'2016-11-07 09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5" t="str">
        <f t="shared" si="1"/>
        <v>"C:\Program Files (x86)\AstroGrep\AstroGrep.exe" /spath="%USERPROFILE%\AppData\Local\Temp\OnboardLogs" /stypes="*4030*201611071*" /stext=" 15:.+((SYSTEM_STATE.+slice.+state.+changed )|(ment ac)|(system.+state.+changed )|(\[timeout)|(PRM\|1\|D)|(kpr)|(kdp)|(\|loc)|(penalty))" /e /r /s</v>
      </c>
      <c r="U38" s="9" t="str">
        <f t="shared" si="2"/>
        <v>4030</v>
      </c>
      <c r="V38" s="36">
        <f t="shared" si="3"/>
        <v>42681.643344907403</v>
      </c>
      <c r="W38" s="50" t="str">
        <f t="shared" si="4"/>
        <v>NW</v>
      </c>
      <c r="X38" s="50" t="str">
        <f t="shared" si="5"/>
        <v>KEEP</v>
      </c>
      <c r="Y38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ID","value":"810-07"},{"id":16,"name":"Locomotive ID","value":"4030"},{"id":130,"name":"Impact","value":""},{"id":150,"name":"Time of Event (Mountain Time)","value":"08:26:25"},{"id":151,"name":"Denver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9" t="str">
        <f t="shared" si="7"/>
        <v>grep -hSE -A100 "Enforcement Action" "%USERPROFILE%\AppData\Local\Temp\OnboardLogs"\RTDC4030\*4030*201611071* | grep -SE "((Enforcement Ac)|(PRM))" -</v>
      </c>
      <c r="AD38" s="1"/>
    </row>
    <row r="39" spans="1:30" x14ac:dyDescent="0.25">
      <c r="A39" s="36">
        <v>42681.371921296297</v>
      </c>
      <c r="B39" s="31" t="s">
        <v>408</v>
      </c>
      <c r="C39" s="31" t="s">
        <v>409</v>
      </c>
      <c r="D39" s="31" t="s">
        <v>49</v>
      </c>
      <c r="E39" s="31" t="s">
        <v>218</v>
      </c>
      <c r="F39" s="47">
        <v>0</v>
      </c>
      <c r="G39" s="47">
        <v>92</v>
      </c>
      <c r="H39" s="47">
        <v>892</v>
      </c>
      <c r="I39" s="47">
        <v>810</v>
      </c>
      <c r="J39" s="31" t="s">
        <v>219</v>
      </c>
      <c r="K39" s="47">
        <v>575</v>
      </c>
      <c r="L39" s="155" t="s">
        <v>51</v>
      </c>
      <c r="M39" s="156">
        <f t="shared" si="0"/>
        <v>124.08</v>
      </c>
      <c r="N39" s="157" t="str">
        <f>VLOOKUP(C39,'Trips&amp;Operators'!$C$1:$E$99999,3,FALSE)</f>
        <v>NICHOLSON</v>
      </c>
      <c r="O39" s="181" t="s">
        <v>213</v>
      </c>
      <c r="P39" s="158"/>
      <c r="Q39" s="31"/>
      <c r="R39" s="100" t="str">
        <f>VLOOKUP(C39,'Train Runs'!$A$13:$AE$10008,31,0)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S39" s="103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07:37:36-700',mode:absolute,to:'2016-11-07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9" s="105" t="str">
        <f t="shared" si="1"/>
        <v>"C:\Program Files (x86)\AstroGrep\AstroGrep.exe" /spath="%USERPROFILE%\AppData\Local\Temp\OnboardLogs" /stypes="*4037*201611071*" /stext=" 15:.+((SYSTEM_STATE.+slice.+state.+changed )|(ment ac)|(system.+state.+changed )|(\[timeout)|(PRM\|1\|D)|(kpr)|(kdp)|(\|loc)|(penalty))" /e /r /s</v>
      </c>
      <c r="U39" s="9" t="str">
        <f t="shared" si="2"/>
        <v>4037</v>
      </c>
      <c r="V39" s="36">
        <f t="shared" si="3"/>
        <v>42681.663587962961</v>
      </c>
      <c r="W39" s="50" t="str">
        <f t="shared" si="4"/>
        <v>NW</v>
      </c>
      <c r="X39" s="50" t="str">
        <f t="shared" si="5"/>
        <v>KEEP</v>
      </c>
      <c r="Y39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ID","value":"812-07"},{"id":16,"name":"Locomotive ID","value":"4037"},{"id":130,"name":"Impact","value":""},{"id":150,"name":"Time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9" t="str">
        <f t="shared" si="7"/>
        <v>grep -hSE -A100 "Enforcement Action" "%USERPROFILE%\AppData\Local\Temp\OnboardLogs"\RTDC4037\*4037*201611071* | grep -SE "((Enforcement Ac)|(PRM))" -</v>
      </c>
      <c r="AD39" s="1"/>
    </row>
    <row r="40" spans="1:30" x14ac:dyDescent="0.25">
      <c r="A40" s="36">
        <v>42681.254479166666</v>
      </c>
      <c r="B40" s="31" t="s">
        <v>224</v>
      </c>
      <c r="C40" s="31" t="s">
        <v>399</v>
      </c>
      <c r="D40" s="31" t="s">
        <v>49</v>
      </c>
      <c r="E40" s="31" t="s">
        <v>218</v>
      </c>
      <c r="F40" s="47">
        <v>0</v>
      </c>
      <c r="G40" s="47">
        <v>7</v>
      </c>
      <c r="H40" s="47">
        <v>59018</v>
      </c>
      <c r="I40" s="47">
        <v>59024</v>
      </c>
      <c r="J40" s="31" t="s">
        <v>219</v>
      </c>
      <c r="K40" s="47">
        <v>59048</v>
      </c>
      <c r="L40" s="155" t="s">
        <v>50</v>
      </c>
      <c r="M40" s="156">
        <f t="shared" si="0"/>
        <v>12.672000000000001</v>
      </c>
      <c r="N40" s="157" t="str">
        <f>VLOOKUP(C40,'Trips&amp;Operators'!$C$1:$E$99999,3,FALSE)</f>
        <v>DAVIS</v>
      </c>
      <c r="O40" s="181" t="s">
        <v>213</v>
      </c>
      <c r="P40" s="158"/>
      <c r="Q40" s="31"/>
      <c r="R40" s="100" t="str">
        <f>VLOOKUP(C40,'Train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0" s="103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04:47:49-700',mode:absolute,to:'2016-11-07 07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5" t="str">
        <f t="shared" si="1"/>
        <v>"C:\Program Files (x86)\AstroGrep\AstroGrep.exe" /spath="%USERPROFILE%\AppData\Local\Temp\OnboardLogs" /stypes="*4029*201611071*" /stext=" 13:.+((SYSTEM_STATE.+slice.+state.+changed )|(ment ac)|(system.+state.+changed )|(\[timeout)|(PRM\|1\|D)|(kpr)|(kdp)|(\|loc)|(penalty))" /e /r /s</v>
      </c>
      <c r="U40" s="9" t="str">
        <f t="shared" si="2"/>
        <v>4029</v>
      </c>
      <c r="V40" s="36">
        <f t="shared" si="3"/>
        <v>42681.54614583333</v>
      </c>
      <c r="W40" s="50" t="str">
        <f t="shared" si="4"/>
        <v>NW</v>
      </c>
      <c r="X40" s="50" t="str">
        <f t="shared" si="5"/>
        <v>OMIT</v>
      </c>
      <c r="Y40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ID","value":"801-07"},{"id":16,"name":"Locomotive ID","value":"4029"},{"id":130,"name":"Impact","value":""},{"id":150,"name":"Time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9" t="str">
        <f t="shared" si="7"/>
        <v>grep -hSE -A100 "Enforcement Action" "%USERPROFILE%\AppData\Local\Temp\OnboardLogs"\RTDC4029\*4029*201611071* | grep -SE "((Enforcement Ac)|(PRM))" -</v>
      </c>
      <c r="AD40" s="1"/>
    </row>
    <row r="41" spans="1:30" x14ac:dyDescent="0.25">
      <c r="A41" s="36">
        <v>42681.295659722222</v>
      </c>
      <c r="B41" s="31" t="s">
        <v>224</v>
      </c>
      <c r="C41" s="31" t="s">
        <v>401</v>
      </c>
      <c r="D41" s="31" t="s">
        <v>98</v>
      </c>
      <c r="E41" s="31" t="s">
        <v>218</v>
      </c>
      <c r="F41" s="47">
        <v>0</v>
      </c>
      <c r="G41" s="47">
        <v>6</v>
      </c>
      <c r="H41" s="47">
        <v>59048</v>
      </c>
      <c r="I41" s="47">
        <v>59048</v>
      </c>
      <c r="J41" s="31" t="s">
        <v>219</v>
      </c>
      <c r="K41" s="47">
        <v>59048</v>
      </c>
      <c r="L41" s="155" t="s">
        <v>50</v>
      </c>
      <c r="M41" s="156">
        <f t="shared" si="0"/>
        <v>0</v>
      </c>
      <c r="N41" s="157" t="str">
        <f>VLOOKUP(C41,'Trips&amp;Operators'!$C$1:$E$99999,3,FALSE)</f>
        <v>DAVIS</v>
      </c>
      <c r="O41" s="181" t="s">
        <v>213</v>
      </c>
      <c r="P41" s="158"/>
      <c r="Q41" s="31"/>
      <c r="R41" s="100" t="str">
        <f>VLOOKUP(C41,'Train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1" s="103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https://search-rtdc-monitor-bjffxe2xuh6vdkpspy63sjmuny.us-east-1.es.amazonaws.com/_plugin/kibana/#/discover/Steve-Slow-Train-Analysis-(2080s-and-2083s)?_g=(refreshInterval:(display:Off,section:0,value:0),time:(from:'2016-11-07 05:47:34-700',mode:absolute,to:'2016-11-07 08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1" s="105" t="str">
        <f t="shared" si="1"/>
        <v>"C:\Program Files (x86)\AstroGrep\AstroGrep.exe" /spath="%USERPROFILE%\AppData\Local\Temp\OnboardLogs" /stypes="*4029*201611071*" /stext=" 14:.+((SYSTEM_STATE.+slice.+state.+changed )|(ment ac)|(system.+state.+changed )|(\[timeout)|(PRM\|1\|D)|(kpr)|(kdp)|(\|loc)|(penalty))" /e /r /s</v>
      </c>
      <c r="U41" s="9" t="str">
        <f t="shared" si="2"/>
        <v>4029</v>
      </c>
      <c r="V41" s="36">
        <f t="shared" si="3"/>
        <v>42681.587326388886</v>
      </c>
      <c r="W41" s="50" t="str">
        <f t="shared" si="4"/>
        <v>NW</v>
      </c>
      <c r="X41" s="50" t="str">
        <f t="shared" si="5"/>
        <v>OMIT</v>
      </c>
      <c r="Y41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ID","value":"805-07"},{"id":16,"name":"Locomotive ID","value":"4029"},{"id":130,"name":"Impact","value":""},{"id":150,"name":"Time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9" t="str">
        <f t="shared" si="7"/>
        <v>grep -hSE -A100 "Enforcement Action" "%USERPROFILE%\AppData\Local\Temp\OnboardLogs"\RTDC4029\*4029*201611071* | grep -SE "((Enforcement Ac)|(PRM))" -</v>
      </c>
      <c r="AD41" s="1"/>
    </row>
    <row r="42" spans="1:30" x14ac:dyDescent="0.25">
      <c r="A42" s="36">
        <v>42681.33761574074</v>
      </c>
      <c r="B42" s="31" t="s">
        <v>224</v>
      </c>
      <c r="C42" s="31" t="s">
        <v>403</v>
      </c>
      <c r="D42" s="31" t="s">
        <v>49</v>
      </c>
      <c r="E42" s="31" t="s">
        <v>218</v>
      </c>
      <c r="F42" s="47">
        <v>0</v>
      </c>
      <c r="G42" s="47">
        <v>4</v>
      </c>
      <c r="H42" s="47">
        <v>59046</v>
      </c>
      <c r="I42" s="47">
        <v>59044</v>
      </c>
      <c r="J42" s="31" t="s">
        <v>219</v>
      </c>
      <c r="K42" s="47">
        <v>59048</v>
      </c>
      <c r="L42" s="155" t="s">
        <v>50</v>
      </c>
      <c r="M42" s="156">
        <f t="shared" si="0"/>
        <v>2.1120000000000001</v>
      </c>
      <c r="N42" s="157" t="str">
        <f>VLOOKUP(C42,'Trips&amp;Operators'!$C$1:$E$99999,3,FALSE)</f>
        <v>DAVIS</v>
      </c>
      <c r="O42" s="181" t="s">
        <v>213</v>
      </c>
      <c r="P42" s="158"/>
      <c r="Q42" s="31"/>
      <c r="R42" s="100" t="str">
        <f>VLOOKUP(C42,'Train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2" s="103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06:44:14-700',mode:absolute,to:'2016-11-07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2" s="105" t="str">
        <f t="shared" si="1"/>
        <v>"C:\Program Files (x86)\AstroGrep\AstroGrep.exe" /spath="%USERPROFILE%\AppData\Local\Temp\OnboardLogs" /stypes="*4029*201611071*" /stext=" 15:.+((SYSTEM_STATE.+slice.+state.+changed )|(ment ac)|(system.+state.+changed )|(\[timeout)|(PRM\|1\|D)|(kpr)|(kdp)|(\|loc)|(penalty))" /e /r /s</v>
      </c>
      <c r="U42" s="9" t="str">
        <f t="shared" si="2"/>
        <v>4029</v>
      </c>
      <c r="V42" s="36">
        <f t="shared" si="3"/>
        <v>42681.629282407404</v>
      </c>
      <c r="W42" s="50" t="str">
        <f t="shared" si="4"/>
        <v>NW</v>
      </c>
      <c r="X42" s="50" t="str">
        <f t="shared" si="5"/>
        <v>OMIT</v>
      </c>
      <c r="Y42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ID","value":"809-07"},{"id":16,"name":"Locomotive ID","value":"4029"},{"id":130,"name":"Impact","value":""},{"id":150,"name":"Time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9" t="str">
        <f t="shared" si="7"/>
        <v>grep -hSE -A100 "Enforcement Action" "%USERPROFILE%\AppData\Local\Temp\OnboardLogs"\RTDC4029\*4029*201611071* | grep -SE "((Enforcement Ac)|(PRM))" -</v>
      </c>
      <c r="AD42" s="1"/>
    </row>
    <row r="43" spans="1:30" x14ac:dyDescent="0.25">
      <c r="A43" s="36">
        <v>42681.441145833334</v>
      </c>
      <c r="B43" s="31" t="s">
        <v>239</v>
      </c>
      <c r="C43" s="31" t="s">
        <v>412</v>
      </c>
      <c r="D43" s="31" t="s">
        <v>49</v>
      </c>
      <c r="E43" s="31" t="s">
        <v>218</v>
      </c>
      <c r="F43" s="47">
        <v>0</v>
      </c>
      <c r="G43" s="47">
        <v>44</v>
      </c>
      <c r="H43" s="47">
        <v>58926</v>
      </c>
      <c r="I43" s="47">
        <v>58965</v>
      </c>
      <c r="J43" s="31" t="s">
        <v>219</v>
      </c>
      <c r="K43" s="47">
        <v>59048</v>
      </c>
      <c r="L43" s="155" t="s">
        <v>50</v>
      </c>
      <c r="M43" s="156">
        <f t="shared" si="0"/>
        <v>43.823999999999998</v>
      </c>
      <c r="N43" s="157" t="str">
        <f>VLOOKUP(C43,'Trips&amp;Operators'!$C$1:$E$99999,3,FALSE)</f>
        <v>NICHOLSON</v>
      </c>
      <c r="O43" s="181" t="s">
        <v>213</v>
      </c>
      <c r="P43" s="158"/>
      <c r="Q43" s="31"/>
      <c r="R43" s="100" t="str">
        <f>VLOOKUP(C43,'Train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3" s="103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09:02:27-700',mode:absolute,to:'2016-11-07 11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3" s="105" t="str">
        <f t="shared" si="1"/>
        <v>"C:\Program Files (x86)\AstroGrep\AstroGrep.exe" /spath="%USERPROFILE%\AppData\Local\Temp\OnboardLogs" /stypes="*4038*201611071*" /stext=" 17:.+((SYSTEM_STATE.+slice.+state.+changed )|(ment ac)|(system.+state.+changed )|(\[timeout)|(PRM\|1\|D)|(kpr)|(kdp)|(\|loc)|(penalty))" /e /r /s</v>
      </c>
      <c r="U43" s="9" t="str">
        <f t="shared" si="2"/>
        <v>4038</v>
      </c>
      <c r="V43" s="36">
        <f t="shared" si="3"/>
        <v>42681.732812499999</v>
      </c>
      <c r="W43" s="50" t="str">
        <f t="shared" si="4"/>
        <v>NW</v>
      </c>
      <c r="X43" s="50" t="str">
        <f t="shared" si="5"/>
        <v>KEEP</v>
      </c>
      <c r="Y43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ID","value":"815-07"},{"id":16,"name":"Locomotive ID","value":"4038"},{"id":130,"name":"Impact","value":""},{"id":150,"name":"Time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9" t="str">
        <f t="shared" si="7"/>
        <v>grep -hSE -A100 "Enforcement Action" "%USERPROFILE%\AppData\Local\Temp\OnboardLogs"\RTDC4038\*4038*201611071* | grep -SE "((Enforcement Ac)|(PRM))" -</v>
      </c>
      <c r="AD43" s="1"/>
    </row>
    <row r="44" spans="1:30" x14ac:dyDescent="0.25">
      <c r="A44" s="36">
        <v>42681.524548611109</v>
      </c>
      <c r="B44" s="31" t="s">
        <v>239</v>
      </c>
      <c r="C44" s="31" t="s">
        <v>416</v>
      </c>
      <c r="D44" s="31" t="s">
        <v>49</v>
      </c>
      <c r="E44" s="31" t="s">
        <v>218</v>
      </c>
      <c r="F44" s="47">
        <v>0</v>
      </c>
      <c r="G44" s="47">
        <v>49</v>
      </c>
      <c r="H44" s="47">
        <v>58922</v>
      </c>
      <c r="I44" s="47">
        <v>58963</v>
      </c>
      <c r="J44" s="31" t="s">
        <v>219</v>
      </c>
      <c r="K44" s="47">
        <v>59048</v>
      </c>
      <c r="L44" s="155" t="s">
        <v>50</v>
      </c>
      <c r="M44" s="156">
        <f t="shared" si="0"/>
        <v>44.88</v>
      </c>
      <c r="N44" s="157" t="str">
        <f>VLOOKUP(C44,'Trips&amp;Operators'!$C$1:$E$99999,3,FALSE)</f>
        <v>NICHOLSON</v>
      </c>
      <c r="O44" s="181" t="s">
        <v>213</v>
      </c>
      <c r="P44" s="158"/>
      <c r="Q44" s="31"/>
      <c r="R44" s="100" t="str">
        <f>VLOOKUP(C44,'Train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4" s="103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10:58:42-700',mode:absolute,to:'2016-11-07 13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4" s="105" t="str">
        <f t="shared" si="1"/>
        <v>"C:\Program Files (x86)\AstroGrep\AstroGrep.exe" /spath="%USERPROFILE%\AppData\Local\Temp\OnboardLogs" /stypes="*4038*201611071*" /stext=" 19:.+((SYSTEM_STATE.+slice.+state.+changed )|(ment ac)|(system.+state.+changed )|(\[timeout)|(PRM\|1\|D)|(kpr)|(kdp)|(\|loc)|(penalty))" /e /r /s</v>
      </c>
      <c r="U44" s="9" t="str">
        <f t="shared" si="2"/>
        <v>4038</v>
      </c>
      <c r="V44" s="36">
        <f t="shared" si="3"/>
        <v>42681.816215277773</v>
      </c>
      <c r="W44" s="50" t="str">
        <f t="shared" si="4"/>
        <v>NW</v>
      </c>
      <c r="X44" s="50" t="str">
        <f t="shared" si="5"/>
        <v>KEEP</v>
      </c>
      <c r="Y44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ID","value":"819-07"},{"id":16,"name":"Locomotive ID","value":"4038"},{"id":130,"name":"Impact","value":""},{"id":150,"name":"Time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9" t="str">
        <f t="shared" si="7"/>
        <v>grep -hSE -A100 "Enforcement Action" "%USERPROFILE%\AppData\Local\Temp\OnboardLogs"\RTDC4038\*4038*201611071* | grep -SE "((Enforcement Ac)|(PRM))" -</v>
      </c>
      <c r="AD44" s="1"/>
    </row>
    <row r="45" spans="1:30" x14ac:dyDescent="0.25">
      <c r="A45" s="36">
        <v>42681.64912037037</v>
      </c>
      <c r="B45" s="31" t="s">
        <v>239</v>
      </c>
      <c r="C45" s="31" t="s">
        <v>422</v>
      </c>
      <c r="D45" s="31" t="s">
        <v>49</v>
      </c>
      <c r="E45" s="31" t="s">
        <v>218</v>
      </c>
      <c r="F45" s="47">
        <v>0</v>
      </c>
      <c r="G45" s="47">
        <v>59</v>
      </c>
      <c r="H45" s="47">
        <v>58864</v>
      </c>
      <c r="I45" s="47">
        <v>58916</v>
      </c>
      <c r="J45" s="31" t="s">
        <v>219</v>
      </c>
      <c r="K45" s="47">
        <v>59048</v>
      </c>
      <c r="L45" s="155" t="s">
        <v>50</v>
      </c>
      <c r="M45" s="156">
        <f t="shared" si="0"/>
        <v>69.695999999999998</v>
      </c>
      <c r="N45" s="157" t="str">
        <f>VLOOKUP(C45,'Trips&amp;Operators'!$C$1:$E$99999,3,FALSE)</f>
        <v>SAFIEF</v>
      </c>
      <c r="O45" s="181" t="s">
        <v>213</v>
      </c>
      <c r="P45" s="158"/>
      <c r="Q45" s="31"/>
      <c r="R45" s="100" t="str">
        <f>VLOOKUP(C45,'Train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5" s="103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14:14:47-700',mode:absolute,to:'2016-11-07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5" s="105" t="str">
        <f t="shared" si="1"/>
        <v>"C:\Program Files (x86)\AstroGrep\AstroGrep.exe" /spath="%USERPROFILE%\AppData\Local\Temp\OnboardLogs" /stypes="*4038*201611072*" /stext=" 22:.+((SYSTEM_STATE.+slice.+state.+changed )|(ment ac)|(system.+state.+changed )|(\[timeout)|(PRM\|1\|D)|(kpr)|(kdp)|(\|loc)|(penalty))" /e /r /s</v>
      </c>
      <c r="U45" s="9" t="str">
        <f t="shared" si="2"/>
        <v>4038</v>
      </c>
      <c r="V45" s="36">
        <f t="shared" si="3"/>
        <v>42681.940787037034</v>
      </c>
      <c r="W45" s="50" t="str">
        <f t="shared" si="4"/>
        <v>NW</v>
      </c>
      <c r="X45" s="50" t="str">
        <f t="shared" si="5"/>
        <v>KEEP</v>
      </c>
      <c r="Y45" s="120" t="str">
        <f t="shared" si="6"/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ID","value":"825-07"},{"id":16,"name":"Locomotive ID","value":"4038"},{"id":130,"name":"Impact","value":""},{"id":150,"name":"Time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9" t="str">
        <f t="shared" si="7"/>
        <v>grep -hSE -A100 "Enforcement Action" "%USERPROFILE%\AppData\Local\Temp\OnboardLogs"\RTDC4038\*4038*201611072* | grep -SE "((Enforcement Ac)|(PRM))" -</v>
      </c>
      <c r="AD45" s="1"/>
    </row>
    <row r="46" spans="1:30" x14ac:dyDescent="0.25">
      <c r="A46" s="36">
        <v>42681.810150462959</v>
      </c>
      <c r="B46" s="31" t="s">
        <v>262</v>
      </c>
      <c r="C46" s="31" t="s">
        <v>428</v>
      </c>
      <c r="D46" s="31" t="s">
        <v>49</v>
      </c>
      <c r="E46" s="31" t="s">
        <v>218</v>
      </c>
      <c r="F46" s="47">
        <v>0</v>
      </c>
      <c r="G46" s="47">
        <v>28</v>
      </c>
      <c r="H46" s="47">
        <v>922</v>
      </c>
      <c r="I46" s="47">
        <v>898</v>
      </c>
      <c r="J46" s="31" t="s">
        <v>219</v>
      </c>
      <c r="K46" s="47">
        <v>839</v>
      </c>
      <c r="L46" s="155" t="s">
        <v>51</v>
      </c>
      <c r="M46" s="156">
        <f t="shared" si="0"/>
        <v>31.152000000000001</v>
      </c>
      <c r="N46" s="157" t="str">
        <f>VLOOKUP(C46,'Trips&amp;Operators'!$C$1:$E$99999,3,FALSE)</f>
        <v>WHITED</v>
      </c>
      <c r="O46" s="181" t="s">
        <v>213</v>
      </c>
      <c r="P46" s="158"/>
      <c r="Q46" s="31"/>
      <c r="R46" s="100" t="str">
        <f>VLOOKUP(C46,'Train Runs'!$A$13:$AE$10008,31,0)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S46" s="103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6" s="105" t="str">
        <f t="shared" si="1"/>
        <v>"C:\Program Files (x86)\AstroGrep\AstroGrep.exe" /spath="%USERPROFILE%\AppData\Local\Temp\OnboardLogs" /stypes="*4032*201611080*" /stext=" 02:.+((SYSTEM_STATE.+slice.+state.+changed )|(ment ac)|(system.+state.+changed )|(\[timeout)|(PRM\|1\|D)|(kpr)|(kdp)|(\|loc)|(penalty))" /e /r /s</v>
      </c>
      <c r="U46" s="9" t="str">
        <f t="shared" si="2"/>
        <v>4032</v>
      </c>
      <c r="V46" s="36">
        <f t="shared" si="3"/>
        <v>42682.101817129624</v>
      </c>
      <c r="W46" s="50" t="str">
        <f t="shared" si="4"/>
        <v>Other</v>
      </c>
      <c r="X46" s="50" t="str">
        <f t="shared" si="5"/>
        <v>KEEP</v>
      </c>
      <c r="Y46" s="120" t="str">
        <f t="shared" si="6"/>
        <v>echo {"issue":{"subject":"","project_id":79,"tracker_id":40,"status_id":1,"priority_id":2,"assigned_to_id":23,"start_date":"2016-11-07","description":"","custom_fields":[{"id":1,"name":"Subdivision","value":"Other"},{"id":4,"name":"Milepost","value":"0.0839"},{"id":17,"name":"Train ID","value":"80-07"},{"id":16,"name":"Locomotive ID","value":"4032"},{"id":130,"name":"Impact","value":""},{"id":150,"name":"Time of Event (Mountain Time)","value":"19:26:37"},{"id":151,"name":"Denver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9" t="str">
        <f t="shared" si="7"/>
        <v>grep -hSE -A100 "Enforcement Action" "%USERPROFILE%\AppData\Local\Temp\OnboardLogs"\RTDC4032\*4032*201611080* | grep -SE "((Enforcement Ac)|(PRM))" -</v>
      </c>
      <c r="AD46" s="1"/>
    </row>
    <row r="47" spans="1:30" x14ac:dyDescent="0.25">
      <c r="A47" s="36">
        <v>42681.810578703706</v>
      </c>
      <c r="B47" s="31" t="s">
        <v>262</v>
      </c>
      <c r="C47" s="31" t="s">
        <v>428</v>
      </c>
      <c r="D47" s="31" t="s">
        <v>49</v>
      </c>
      <c r="E47" s="31" t="s">
        <v>218</v>
      </c>
      <c r="F47" s="47">
        <v>0</v>
      </c>
      <c r="G47" s="47">
        <v>13</v>
      </c>
      <c r="H47" s="47">
        <v>884</v>
      </c>
      <c r="I47" s="47">
        <v>871</v>
      </c>
      <c r="J47" s="31" t="s">
        <v>219</v>
      </c>
      <c r="K47" s="47">
        <v>839</v>
      </c>
      <c r="L47" s="155" t="s">
        <v>51</v>
      </c>
      <c r="M47" s="156">
        <f t="shared" si="0"/>
        <v>16.896000000000001</v>
      </c>
      <c r="N47" s="157" t="str">
        <f>VLOOKUP(C47,'Trips&amp;Operators'!$C$1:$E$99999,3,FALSE)</f>
        <v>WHITED</v>
      </c>
      <c r="O47" s="181" t="s">
        <v>213</v>
      </c>
      <c r="P47" s="158"/>
      <c r="Q47" s="31"/>
      <c r="R47" s="100" t="str">
        <f>VLOOKUP(C47,'Train Runs'!$A$13:$AE$10008,31,0)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S47" s="103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7" s="105" t="str">
        <f t="shared" si="1"/>
        <v>"C:\Program Files (x86)\AstroGrep\AstroGrep.exe" /spath="%USERPROFILE%\AppData\Local\Temp\OnboardLogs" /stypes="*4032*201611080*" /stext=" 02:.+((SYSTEM_STATE.+slice.+state.+changed )|(ment ac)|(system.+state.+changed )|(\[timeout)|(PRM\|1\|D)|(kpr)|(kdp)|(\|loc)|(penalty))" /e /r /s</v>
      </c>
      <c r="U47" s="9" t="str">
        <f t="shared" si="2"/>
        <v>4032</v>
      </c>
      <c r="V47" s="36">
        <f t="shared" si="3"/>
        <v>42682.10224537037</v>
      </c>
      <c r="W47" s="50" t="str">
        <f t="shared" si="4"/>
        <v>Other</v>
      </c>
      <c r="X47" s="50" t="str">
        <f t="shared" si="5"/>
        <v>KEEP</v>
      </c>
      <c r="Y47" s="120" t="str">
        <f t="shared" si="6"/>
        <v>echo {"issue":{"subject":"","project_id":79,"tracker_id":40,"status_id":1,"priority_id":2,"assigned_to_id":23,"start_date":"2016-11-07","description":"","custom_fields":[{"id":1,"name":"Subdivision","value":"Other"},{"id":4,"name":"Milepost","value":"0.0839"},{"id":17,"name":"Train ID","value":"80-07"},{"id":16,"name":"Locomotive ID","value":"4032"},{"id":130,"name":"Impact","value":""},{"id":150,"name":"Time of Event (Mountain Time)","value":"19:27:14"},{"id":151,"name":"Denver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9" t="str">
        <f t="shared" si="7"/>
        <v>grep -hSE -A100 "Enforcement Action" "%USERPROFILE%\AppData\Local\Temp\OnboardLogs"\RTDC4032\*4032*201611080* | grep -SE "((Enforcement Ac)|(PRM))" -</v>
      </c>
      <c r="AD47" s="1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47">
      <sortCondition ref="W7:W47"/>
      <sortCondition ref="E7:E47"/>
      <sortCondition ref="K7:K47"/>
      <sortCondition ref="F7:F4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O7:O47">
    <cfRule type="cellIs" dxfId="1" priority="21" operator="equal">
      <formula>"Y"</formula>
    </cfRule>
  </conditionalFormatting>
  <conditionalFormatting sqref="A7:P47">
    <cfRule type="expression" dxfId="0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/>
  </sheetViews>
  <sheetFormatPr defaultRowHeight="15" x14ac:dyDescent="0.25"/>
  <cols>
    <col min="1" max="1" width="9.140625" style="166"/>
    <col min="2" max="2" width="9.140625" style="2" customWidth="1"/>
    <col min="3" max="3" width="8" style="109" bestFit="1" customWidth="1"/>
    <col min="4" max="4" width="9.85546875" style="16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6"/>
      <c r="B1" s="186" t="str">
        <f>"Trips that did not appear in PTC Data "&amp;TEXT(Variables!$A$2,"YYYY-mm-dd")</f>
        <v>Trips that did not appear in PTC Data 2016-11-07</v>
      </c>
      <c r="C1" s="186"/>
      <c r="D1" s="186"/>
      <c r="E1" s="186"/>
      <c r="F1" s="186"/>
    </row>
    <row r="2" spans="1:11" s="24" customFormat="1" ht="45" x14ac:dyDescent="0.25">
      <c r="A2" s="176" t="s">
        <v>155</v>
      </c>
      <c r="B2" s="111" t="s">
        <v>58</v>
      </c>
      <c r="C2" s="107" t="s">
        <v>59</v>
      </c>
      <c r="D2" s="183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7">
        <v>133</v>
      </c>
      <c r="B3" s="47" t="str">
        <f>A3&amp;"-"&amp;IF(DAY(Variables!$A$2)&lt;10,0,"")&amp;DAY(Variables!$A$2)</f>
        <v>133-07</v>
      </c>
      <c r="C3" s="159"/>
      <c r="D3" s="184"/>
      <c r="E3" s="31" t="s">
        <v>811</v>
      </c>
      <c r="F3" s="22" t="str">
        <f>VLOOKUP(B3,'Trips&amp;Operators'!$C$2:$E$10000,3,FALSE)</f>
        <v>PERKINS</v>
      </c>
      <c r="G3" s="22" t="str">
        <f>VLOOKUP(B3,'Trips&amp;Operators'!$C$1:$F$10000,4,FALSE)</f>
        <v>rtdc.l.rtdc.4039:itc</v>
      </c>
      <c r="H3" s="30">
        <f>VLOOKUP(B3,'Trips&amp;Operators'!$C$1:$H$10000,5,FALSE)</f>
        <v>42681.354444444441</v>
      </c>
      <c r="I3" s="50" t="str">
        <f t="shared" ref="I3:I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-07%22)),sort:!(Time,asc))</v>
      </c>
      <c r="J3" s="31" t="e">
        <f>VLOOKUP(B3,'Train Runs'!$A$13:$A$100005,1,FALSE)</f>
        <v>#N/A</v>
      </c>
      <c r="K3" s="21" t="e">
        <f t="shared" ref="K3:K9" si="1">IF(VLOOKUP(A3,$K$48:$K$71,1,FALSE),"Cancelled")</f>
        <v>#N/A</v>
      </c>
    </row>
    <row r="4" spans="1:11" x14ac:dyDescent="0.25">
      <c r="A4" s="177"/>
      <c r="B4" s="47" t="str">
        <f>A4&amp;"-"&amp;IF(DAY(Variables!$A$2)&lt;10,0,"")&amp;DAY(Variables!$A$2)</f>
        <v>-07</v>
      </c>
      <c r="C4" s="159"/>
      <c r="D4" s="184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31" t="e">
        <f>VLOOKUP(B4,'Train Runs'!$A$13:$A$100005,1,FALSE)</f>
        <v>#N/A</v>
      </c>
      <c r="K4" s="21" t="e">
        <f t="shared" si="1"/>
        <v>#N/A</v>
      </c>
    </row>
    <row r="5" spans="1:11" x14ac:dyDescent="0.25">
      <c r="A5" s="177"/>
      <c r="B5" s="47" t="str">
        <f>A5&amp;"-"&amp;IF(DAY(Variables!$A$2)&lt;10,0,"")&amp;DAY(Variables!$A$2)</f>
        <v>-07</v>
      </c>
      <c r="C5" s="159"/>
      <c r="D5" s="184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Runs'!$A$13:$A$100005,1,FALSE)</f>
        <v>#N/A</v>
      </c>
      <c r="K5" s="21" t="e">
        <f t="shared" si="1"/>
        <v>#N/A</v>
      </c>
    </row>
    <row r="6" spans="1:11" x14ac:dyDescent="0.25">
      <c r="A6" s="177"/>
      <c r="B6" s="47" t="str">
        <f>A6&amp;"-"&amp;IF(DAY(Variables!$A$2)&lt;10,0,"")&amp;DAY(Variables!$A$2)</f>
        <v>-07</v>
      </c>
      <c r="C6" s="159"/>
      <c r="D6" s="184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Runs'!$A$13:$A$100005,1,FALSE)</f>
        <v>#N/A</v>
      </c>
      <c r="K6" s="21" t="e">
        <f t="shared" si="1"/>
        <v>#N/A</v>
      </c>
    </row>
    <row r="7" spans="1:11" x14ac:dyDescent="0.25">
      <c r="A7" s="177"/>
      <c r="B7" s="47" t="str">
        <f>A7&amp;"-"&amp;IF(DAY(Variables!$A$2)&lt;10,0,"")&amp;DAY(Variables!$A$2)</f>
        <v>-07</v>
      </c>
      <c r="C7" s="159"/>
      <c r="D7" s="184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31" t="e">
        <f>VLOOKUP(B7,'Train Runs'!$A$13:$A$100005,1,FALSE)</f>
        <v>#N/A</v>
      </c>
      <c r="K7" s="21" t="e">
        <f t="shared" si="1"/>
        <v>#N/A</v>
      </c>
    </row>
    <row r="8" spans="1:11" x14ac:dyDescent="0.25">
      <c r="A8" s="177"/>
      <c r="B8" s="47" t="str">
        <f>A8&amp;"-"&amp;IF(DAY(Variables!$A$2)&lt;10,0,"")&amp;DAY(Variables!$A$2)</f>
        <v>-07</v>
      </c>
      <c r="C8" s="159"/>
      <c r="D8" s="184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31" t="e">
        <f>VLOOKUP(B8,'Train Runs'!$A$13:$A$100005,1,FALSE)</f>
        <v>#N/A</v>
      </c>
      <c r="K8" s="21" t="e">
        <f t="shared" si="1"/>
        <v>#N/A</v>
      </c>
    </row>
    <row r="9" spans="1:11" x14ac:dyDescent="0.25">
      <c r="A9" s="177"/>
      <c r="B9" s="47" t="str">
        <f>A9&amp;"-"&amp;IF(DAY(Variables!$A$2)&lt;10,0,"")&amp;DAY(Variables!$A$2)</f>
        <v>-07</v>
      </c>
      <c r="C9" s="159"/>
      <c r="D9" s="184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31" t="e">
        <f>VLOOKUP(B9,'Train Runs'!$A$13:$A$100005,1,FALSE)</f>
        <v>#N/A</v>
      </c>
      <c r="K9" s="21" t="e">
        <f t="shared" si="1"/>
        <v>#N/A</v>
      </c>
    </row>
    <row r="10" spans="1:11" x14ac:dyDescent="0.25">
      <c r="C10" s="108"/>
      <c r="D10" s="177"/>
      <c r="E10" s="31"/>
      <c r="F10" s="22"/>
      <c r="G10" s="22"/>
      <c r="H10" s="30"/>
      <c r="I10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42680.99386574074</v>
      </c>
      <c r="B2" s="21" t="s">
        <v>274</v>
      </c>
      <c r="C2" s="21" t="s">
        <v>351</v>
      </c>
      <c r="D2" s="21">
        <v>1180000</v>
      </c>
      <c r="E2" s="21" t="s">
        <v>348</v>
      </c>
      <c r="F2" s="21" t="str">
        <f t="shared" ref="F2:F65" si="0">B2</f>
        <v>rtdc.l.rtdc.4008:itc</v>
      </c>
      <c r="G2" s="8">
        <f t="shared" ref="G2:G65" si="1">A2</f>
        <v>42680.99386574074</v>
      </c>
    </row>
    <row r="3" spans="1:7" x14ac:dyDescent="0.25">
      <c r="A3" s="8">
        <v>42680.993923611109</v>
      </c>
      <c r="B3" s="21" t="s">
        <v>276</v>
      </c>
      <c r="C3" s="21" t="s">
        <v>352</v>
      </c>
      <c r="D3" s="21">
        <v>2370000</v>
      </c>
      <c r="E3" s="21" t="s">
        <v>349</v>
      </c>
      <c r="F3" s="21" t="str">
        <f t="shared" si="0"/>
        <v>rtdc.l.rtdc.4042:itc</v>
      </c>
      <c r="G3" s="8">
        <f t="shared" si="1"/>
        <v>42680.993923611109</v>
      </c>
    </row>
    <row r="4" spans="1:7" x14ac:dyDescent="0.25">
      <c r="A4" s="8">
        <v>42681.011018518519</v>
      </c>
      <c r="B4" s="21" t="s">
        <v>188</v>
      </c>
      <c r="C4" s="21" t="s">
        <v>353</v>
      </c>
      <c r="D4" s="21">
        <v>2250000</v>
      </c>
      <c r="E4" s="21" t="s">
        <v>255</v>
      </c>
      <c r="F4" s="21" t="str">
        <f t="shared" si="0"/>
        <v>rtdc.l.rtdc.4010:itc</v>
      </c>
      <c r="G4" s="8">
        <f t="shared" si="1"/>
        <v>42681.011018518519</v>
      </c>
    </row>
    <row r="5" spans="1:7" x14ac:dyDescent="0.25">
      <c r="A5" s="8">
        <v>42681.016631944447</v>
      </c>
      <c r="B5" s="21" t="s">
        <v>231</v>
      </c>
      <c r="C5" s="21" t="s">
        <v>354</v>
      </c>
      <c r="D5" s="21">
        <v>1800000</v>
      </c>
      <c r="E5" s="21" t="s">
        <v>251</v>
      </c>
      <c r="F5" s="21" t="str">
        <f t="shared" si="0"/>
        <v>rtdc.l.rtdc.4011:itc</v>
      </c>
      <c r="G5" s="8">
        <f t="shared" si="1"/>
        <v>42681.016631944447</v>
      </c>
    </row>
    <row r="6" spans="1:7" x14ac:dyDescent="0.25">
      <c r="A6" s="8">
        <v>42681.027280092596</v>
      </c>
      <c r="B6" s="21" t="s">
        <v>192</v>
      </c>
      <c r="C6" s="21" t="s">
        <v>355</v>
      </c>
      <c r="D6" s="21">
        <v>1180000</v>
      </c>
      <c r="E6" s="21" t="s">
        <v>348</v>
      </c>
      <c r="F6" s="21" t="str">
        <f t="shared" si="0"/>
        <v>rtdc.l.rtdc.4007:itc</v>
      </c>
      <c r="G6" s="8">
        <f t="shared" si="1"/>
        <v>42681.027280092596</v>
      </c>
    </row>
    <row r="7" spans="1:7" x14ac:dyDescent="0.25">
      <c r="A7" s="8">
        <v>42681.028391203705</v>
      </c>
      <c r="B7" s="21" t="s">
        <v>192</v>
      </c>
      <c r="C7" s="21" t="s">
        <v>355</v>
      </c>
      <c r="D7" s="21">
        <v>1180000</v>
      </c>
      <c r="E7" s="21" t="s">
        <v>348</v>
      </c>
      <c r="F7" s="21" t="str">
        <f t="shared" si="0"/>
        <v>rtdc.l.rtdc.4007:itc</v>
      </c>
      <c r="G7" s="8">
        <f t="shared" si="1"/>
        <v>42681.028391203705</v>
      </c>
    </row>
    <row r="8" spans="1:7" x14ac:dyDescent="0.25">
      <c r="A8" s="8">
        <v>42681.03398148148</v>
      </c>
      <c r="B8" s="21" t="s">
        <v>273</v>
      </c>
      <c r="C8" s="21" t="s">
        <v>356</v>
      </c>
      <c r="D8" s="21">
        <v>2350000</v>
      </c>
      <c r="E8" s="21" t="s">
        <v>325</v>
      </c>
      <c r="F8" s="21" t="str">
        <f t="shared" si="0"/>
        <v>rtdc.l.rtdc.4041:itc</v>
      </c>
      <c r="G8" s="8">
        <f t="shared" si="1"/>
        <v>42681.03398148148</v>
      </c>
    </row>
    <row r="9" spans="1:7" ht="15.75" thickBot="1" x14ac:dyDescent="0.3">
      <c r="A9" s="25">
        <v>42681.047407407408</v>
      </c>
      <c r="B9" s="21" t="s">
        <v>189</v>
      </c>
      <c r="C9" s="21" t="s">
        <v>195</v>
      </c>
      <c r="D9" s="21">
        <v>2250000</v>
      </c>
      <c r="E9" s="21" t="s">
        <v>255</v>
      </c>
      <c r="F9" s="21" t="str">
        <f t="shared" si="0"/>
        <v>rtdc.l.rtdc.4009:itc</v>
      </c>
      <c r="G9" s="8">
        <f t="shared" si="1"/>
        <v>42681.047407407408</v>
      </c>
    </row>
    <row r="10" spans="1:7" x14ac:dyDescent="0.25">
      <c r="A10" s="8">
        <v>42681.058032407411</v>
      </c>
      <c r="B10" s="21" t="s">
        <v>323</v>
      </c>
      <c r="C10" s="21" t="s">
        <v>194</v>
      </c>
      <c r="D10" s="21">
        <v>1800000</v>
      </c>
      <c r="E10" s="21" t="s">
        <v>251</v>
      </c>
      <c r="F10" s="21" t="str">
        <f t="shared" si="0"/>
        <v>rtdc.l.rtdc.4012:itc</v>
      </c>
      <c r="G10" s="8">
        <f t="shared" si="1"/>
        <v>42681.058032407411</v>
      </c>
    </row>
    <row r="11" spans="1:7" x14ac:dyDescent="0.25">
      <c r="A11" s="8">
        <v>42681.068009259259</v>
      </c>
      <c r="B11" s="21" t="s">
        <v>276</v>
      </c>
      <c r="C11" s="21" t="s">
        <v>357</v>
      </c>
      <c r="D11" s="21">
        <v>2350000</v>
      </c>
      <c r="E11" s="21" t="s">
        <v>325</v>
      </c>
      <c r="F11" s="21" t="str">
        <f t="shared" si="0"/>
        <v>rtdc.l.rtdc.4042:itc</v>
      </c>
      <c r="G11" s="8">
        <f t="shared" si="1"/>
        <v>42681.068009259259</v>
      </c>
    </row>
    <row r="12" spans="1:7" x14ac:dyDescent="0.25">
      <c r="A12" s="8">
        <v>42681.090474537035</v>
      </c>
      <c r="B12" s="21" t="s">
        <v>231</v>
      </c>
      <c r="C12" s="21" t="s">
        <v>196</v>
      </c>
      <c r="D12" s="21">
        <v>1800000</v>
      </c>
      <c r="E12" s="21" t="s">
        <v>251</v>
      </c>
      <c r="F12" s="21" t="str">
        <f t="shared" si="0"/>
        <v>rtdc.l.rtdc.4011:itc</v>
      </c>
      <c r="G12" s="8">
        <f t="shared" si="1"/>
        <v>42681.090474537035</v>
      </c>
    </row>
    <row r="13" spans="1:7" x14ac:dyDescent="0.25">
      <c r="A13" s="8">
        <v>42681.13212962963</v>
      </c>
      <c r="B13" s="21" t="s">
        <v>424</v>
      </c>
      <c r="C13" s="21" t="s">
        <v>434</v>
      </c>
      <c r="D13" s="21">
        <v>2380000</v>
      </c>
      <c r="E13" s="21" t="s">
        <v>435</v>
      </c>
      <c r="F13" s="21" t="str">
        <f t="shared" si="0"/>
        <v>rtdc.l.rtdc.4002:itc</v>
      </c>
      <c r="G13" s="8">
        <f t="shared" si="1"/>
        <v>42681.13212962963</v>
      </c>
    </row>
    <row r="14" spans="1:7" x14ac:dyDescent="0.25">
      <c r="A14" s="8">
        <v>42681.140428240738</v>
      </c>
      <c r="B14" s="21" t="s">
        <v>309</v>
      </c>
      <c r="C14" s="21" t="s">
        <v>436</v>
      </c>
      <c r="D14" s="21">
        <v>2540000</v>
      </c>
      <c r="E14" s="21" t="s">
        <v>437</v>
      </c>
      <c r="F14" s="21" t="str">
        <f t="shared" si="0"/>
        <v>rtdc.l.rtdc.4054:itc</v>
      </c>
      <c r="G14" s="8">
        <f t="shared" si="1"/>
        <v>42681.140428240738</v>
      </c>
    </row>
    <row r="15" spans="1:7" x14ac:dyDescent="0.25">
      <c r="A15" s="8">
        <v>42681.150231481479</v>
      </c>
      <c r="B15" s="21" t="s">
        <v>341</v>
      </c>
      <c r="C15" s="21" t="s">
        <v>438</v>
      </c>
      <c r="D15" s="21">
        <v>2540000</v>
      </c>
      <c r="E15" s="21" t="s">
        <v>437</v>
      </c>
      <c r="F15" s="21" t="str">
        <f t="shared" si="0"/>
        <v>rtdc.l.rtdc.4046:itc</v>
      </c>
      <c r="G15" s="8">
        <f t="shared" si="1"/>
        <v>42681.150231481479</v>
      </c>
    </row>
    <row r="16" spans="1:7" x14ac:dyDescent="0.25">
      <c r="A16" s="8">
        <v>42681.162002314813</v>
      </c>
      <c r="B16" s="21" t="s">
        <v>311</v>
      </c>
      <c r="C16" s="21" t="s">
        <v>439</v>
      </c>
      <c r="D16" s="21">
        <v>2620000</v>
      </c>
      <c r="E16" s="21" t="s">
        <v>440</v>
      </c>
      <c r="F16" s="21" t="str">
        <f t="shared" si="0"/>
        <v>rtdc.l.rtdc.4026:itc</v>
      </c>
      <c r="G16" s="8">
        <f t="shared" si="1"/>
        <v>42681.162002314813</v>
      </c>
    </row>
    <row r="17" spans="1:7" x14ac:dyDescent="0.25">
      <c r="A17" s="8">
        <v>42681.169212962966</v>
      </c>
      <c r="B17" s="21" t="s">
        <v>243</v>
      </c>
      <c r="C17" s="21" t="s">
        <v>441</v>
      </c>
      <c r="D17" s="21">
        <v>2380000</v>
      </c>
      <c r="E17" s="21" t="s">
        <v>435</v>
      </c>
      <c r="F17" s="21" t="str">
        <f t="shared" si="0"/>
        <v>rtdc.l.rtdc.4013:itc</v>
      </c>
      <c r="G17" s="8">
        <f t="shared" si="1"/>
        <v>42681.169212962966</v>
      </c>
    </row>
    <row r="18" spans="1:7" x14ac:dyDescent="0.25">
      <c r="A18" s="8">
        <v>42681.180844907409</v>
      </c>
      <c r="B18" s="21" t="s">
        <v>274</v>
      </c>
      <c r="C18" s="21" t="s">
        <v>442</v>
      </c>
      <c r="D18" s="21">
        <v>2560000</v>
      </c>
      <c r="E18" s="21" t="s">
        <v>443</v>
      </c>
      <c r="F18" s="21" t="str">
        <f t="shared" si="0"/>
        <v>rtdc.l.rtdc.4008:itc</v>
      </c>
      <c r="G18" s="8">
        <f t="shared" si="1"/>
        <v>42681.180844907409</v>
      </c>
    </row>
    <row r="19" spans="1:7" x14ac:dyDescent="0.25">
      <c r="A19" s="8">
        <v>42681.186516203707</v>
      </c>
      <c r="B19" s="21" t="s">
        <v>305</v>
      </c>
      <c r="C19" s="21" t="s">
        <v>444</v>
      </c>
      <c r="D19" s="21">
        <v>2430000</v>
      </c>
      <c r="E19" s="21" t="s">
        <v>265</v>
      </c>
      <c r="F19" s="21" t="str">
        <f t="shared" si="0"/>
        <v>rtdc.l.rtdc.4031:itc</v>
      </c>
      <c r="G19" s="8">
        <f t="shared" si="1"/>
        <v>42681.186516203707</v>
      </c>
    </row>
    <row r="20" spans="1:7" x14ac:dyDescent="0.25">
      <c r="A20" s="8">
        <v>42681.190300925926</v>
      </c>
      <c r="B20" s="21" t="s">
        <v>192</v>
      </c>
      <c r="C20" s="21" t="s">
        <v>445</v>
      </c>
      <c r="D20" s="21">
        <v>2560000</v>
      </c>
      <c r="E20" s="21" t="s">
        <v>443</v>
      </c>
      <c r="F20" s="21" t="str">
        <f t="shared" si="0"/>
        <v>rtdc.l.rtdc.4007:itc</v>
      </c>
      <c r="G20" s="8">
        <f t="shared" si="1"/>
        <v>42681.190300925926</v>
      </c>
    </row>
    <row r="21" spans="1:7" x14ac:dyDescent="0.25">
      <c r="A21" s="8">
        <v>42681.193784722222</v>
      </c>
      <c r="B21" s="21" t="s">
        <v>309</v>
      </c>
      <c r="C21" s="21" t="s">
        <v>446</v>
      </c>
      <c r="D21" s="21">
        <v>2540000</v>
      </c>
      <c r="E21" s="21" t="s">
        <v>437</v>
      </c>
      <c r="F21" s="21" t="str">
        <f t="shared" si="0"/>
        <v>rtdc.l.rtdc.4054:itc</v>
      </c>
      <c r="G21" s="8">
        <f t="shared" si="1"/>
        <v>42681.193784722222</v>
      </c>
    </row>
    <row r="22" spans="1:7" x14ac:dyDescent="0.25">
      <c r="A22" s="27">
        <v>42681.205358796295</v>
      </c>
      <c r="B22" s="21" t="s">
        <v>224</v>
      </c>
      <c r="C22" s="21" t="s">
        <v>447</v>
      </c>
      <c r="D22" s="21">
        <v>1990000</v>
      </c>
      <c r="E22" s="21" t="s">
        <v>342</v>
      </c>
      <c r="F22" s="21" t="str">
        <f t="shared" si="0"/>
        <v>rtdc.l.rtdc.4029:itc</v>
      </c>
      <c r="G22" s="8">
        <f t="shared" si="1"/>
        <v>42681.205358796295</v>
      </c>
    </row>
    <row r="23" spans="1:7" x14ac:dyDescent="0.25">
      <c r="A23" s="8">
        <v>42681.206238425926</v>
      </c>
      <c r="B23" s="21" t="s">
        <v>244</v>
      </c>
      <c r="C23" s="21" t="s">
        <v>448</v>
      </c>
      <c r="D23" s="21">
        <v>2380000</v>
      </c>
      <c r="E23" s="21" t="s">
        <v>435</v>
      </c>
      <c r="F23" s="21" t="str">
        <f t="shared" si="0"/>
        <v>rtdc.l.rtdc.4014:itc</v>
      </c>
      <c r="G23" s="8">
        <f t="shared" si="1"/>
        <v>42681.206238425926</v>
      </c>
    </row>
    <row r="24" spans="1:7" x14ac:dyDescent="0.25">
      <c r="A24" s="8">
        <v>42681.206655092596</v>
      </c>
      <c r="B24" s="21" t="s">
        <v>224</v>
      </c>
      <c r="C24" s="21" t="s">
        <v>447</v>
      </c>
      <c r="D24" s="21">
        <v>1990000</v>
      </c>
      <c r="E24" s="21" t="s">
        <v>342</v>
      </c>
      <c r="F24" s="21" t="str">
        <f t="shared" si="0"/>
        <v>rtdc.l.rtdc.4029:itc</v>
      </c>
      <c r="G24" s="8">
        <f t="shared" si="1"/>
        <v>42681.206655092596</v>
      </c>
    </row>
    <row r="25" spans="1:7" x14ac:dyDescent="0.25">
      <c r="A25" s="8">
        <v>42681.212384259263</v>
      </c>
      <c r="B25" s="21" t="s">
        <v>311</v>
      </c>
      <c r="C25" s="21" t="s">
        <v>449</v>
      </c>
      <c r="D25" s="21">
        <v>2620000</v>
      </c>
      <c r="E25" s="21" t="s">
        <v>440</v>
      </c>
      <c r="F25" s="21" t="str">
        <f t="shared" si="0"/>
        <v>rtdc.l.rtdc.4026:itc</v>
      </c>
      <c r="G25" s="8">
        <f t="shared" si="1"/>
        <v>42681.212384259263</v>
      </c>
    </row>
    <row r="26" spans="1:7" x14ac:dyDescent="0.25">
      <c r="A26" s="8">
        <v>42681.21471064815</v>
      </c>
      <c r="B26" s="21" t="s">
        <v>225</v>
      </c>
      <c r="C26" s="21" t="s">
        <v>398</v>
      </c>
      <c r="D26" s="21">
        <v>1990000</v>
      </c>
      <c r="E26" s="21" t="s">
        <v>342</v>
      </c>
      <c r="F26" s="21" t="str">
        <f t="shared" si="0"/>
        <v>rtdc.l.rtdc.4030:itc</v>
      </c>
      <c r="G26" s="8">
        <f t="shared" si="1"/>
        <v>42681.21471064815</v>
      </c>
    </row>
    <row r="27" spans="1:7" x14ac:dyDescent="0.25">
      <c r="A27" s="8">
        <v>42681.224687499998</v>
      </c>
      <c r="B27" s="21" t="s">
        <v>274</v>
      </c>
      <c r="C27" s="21" t="s">
        <v>400</v>
      </c>
      <c r="D27" s="21">
        <v>2560000</v>
      </c>
      <c r="E27" s="21" t="s">
        <v>443</v>
      </c>
      <c r="F27" s="21" t="str">
        <f t="shared" si="0"/>
        <v>rtdc.l.rtdc.4008:itc</v>
      </c>
      <c r="G27" s="8">
        <f t="shared" si="1"/>
        <v>42681.224687499998</v>
      </c>
    </row>
    <row r="28" spans="1:7" x14ac:dyDescent="0.25">
      <c r="A28" s="8">
        <v>42681.22619212963</v>
      </c>
      <c r="B28" s="21" t="s">
        <v>341</v>
      </c>
      <c r="C28" s="21" t="s">
        <v>450</v>
      </c>
      <c r="D28" s="21">
        <v>1310000</v>
      </c>
      <c r="E28" s="21" t="s">
        <v>343</v>
      </c>
      <c r="F28" s="21" t="str">
        <f t="shared" si="0"/>
        <v>rtdc.l.rtdc.4046:itc</v>
      </c>
      <c r="G28" s="8">
        <f t="shared" si="1"/>
        <v>42681.22619212963</v>
      </c>
    </row>
    <row r="29" spans="1:7" x14ac:dyDescent="0.25">
      <c r="A29" s="8">
        <v>42681.233958333331</v>
      </c>
      <c r="B29" s="21" t="s">
        <v>310</v>
      </c>
      <c r="C29" s="21" t="s">
        <v>451</v>
      </c>
      <c r="D29" s="21">
        <v>2540000</v>
      </c>
      <c r="E29" s="21" t="s">
        <v>437</v>
      </c>
      <c r="F29" s="21" t="str">
        <f t="shared" si="0"/>
        <v>rtdc.l.rtdc.4053:itc</v>
      </c>
      <c r="G29" s="8">
        <f t="shared" si="1"/>
        <v>42681.233958333331</v>
      </c>
    </row>
    <row r="30" spans="1:7" x14ac:dyDescent="0.25">
      <c r="A30" s="8">
        <v>42681.236157407409</v>
      </c>
      <c r="B30" s="21" t="s">
        <v>404</v>
      </c>
      <c r="C30" s="21" t="s">
        <v>452</v>
      </c>
      <c r="D30" s="21">
        <v>2140000</v>
      </c>
      <c r="E30" s="21" t="s">
        <v>453</v>
      </c>
      <c r="F30" s="21" t="str">
        <f t="shared" si="0"/>
        <v>rtdc.l.rtdc.4001:itc</v>
      </c>
      <c r="G30" s="8">
        <f t="shared" si="1"/>
        <v>42681.236157407409</v>
      </c>
    </row>
    <row r="31" spans="1:7" x14ac:dyDescent="0.25">
      <c r="A31" s="8">
        <v>42681.241944444446</v>
      </c>
      <c r="B31" s="21" t="s">
        <v>224</v>
      </c>
      <c r="C31" s="21" t="s">
        <v>399</v>
      </c>
      <c r="D31" s="21">
        <v>1990000</v>
      </c>
      <c r="E31" s="21" t="s">
        <v>342</v>
      </c>
      <c r="F31" s="21" t="str">
        <f t="shared" si="0"/>
        <v>rtdc.l.rtdc.4029:itc</v>
      </c>
      <c r="G31" s="8">
        <f t="shared" si="1"/>
        <v>42681.241944444446</v>
      </c>
    </row>
    <row r="32" spans="1:7" x14ac:dyDescent="0.25">
      <c r="A32" s="8">
        <v>42681.252557870372</v>
      </c>
      <c r="B32" s="21" t="s">
        <v>243</v>
      </c>
      <c r="C32" s="21" t="s">
        <v>454</v>
      </c>
      <c r="D32" s="21">
        <v>2380000</v>
      </c>
      <c r="E32" s="21" t="s">
        <v>435</v>
      </c>
      <c r="F32" s="21" t="str">
        <f t="shared" si="0"/>
        <v>rtdc.l.rtdc.4013:itc</v>
      </c>
      <c r="G32" s="8">
        <f t="shared" si="1"/>
        <v>42681.252557870372</v>
      </c>
    </row>
    <row r="33" spans="1:7" x14ac:dyDescent="0.25">
      <c r="A33" s="8">
        <v>42681.253333333334</v>
      </c>
      <c r="B33" s="21" t="s">
        <v>408</v>
      </c>
      <c r="C33" s="21" t="s">
        <v>455</v>
      </c>
      <c r="D33" s="21">
        <v>2460000</v>
      </c>
      <c r="E33" s="21" t="s">
        <v>456</v>
      </c>
      <c r="F33" s="21" t="str">
        <f t="shared" si="0"/>
        <v>rtdc.l.rtdc.4037:itc</v>
      </c>
      <c r="G33" s="8">
        <f t="shared" si="1"/>
        <v>42681.253333333334</v>
      </c>
    </row>
    <row r="34" spans="1:7" x14ac:dyDescent="0.25">
      <c r="A34" s="8">
        <v>42681.256354166668</v>
      </c>
      <c r="B34" s="21" t="s">
        <v>225</v>
      </c>
      <c r="C34" s="21" t="s">
        <v>457</v>
      </c>
      <c r="D34" s="21">
        <v>1990000</v>
      </c>
      <c r="E34" s="21" t="s">
        <v>342</v>
      </c>
      <c r="F34" s="21" t="str">
        <f t="shared" si="0"/>
        <v>rtdc.l.rtdc.4030:itc</v>
      </c>
      <c r="G34" s="8">
        <f t="shared" si="1"/>
        <v>42681.256354166668</v>
      </c>
    </row>
    <row r="35" spans="1:7" x14ac:dyDescent="0.25">
      <c r="A35" s="8">
        <v>42681.261967592596</v>
      </c>
      <c r="B35" s="21" t="s">
        <v>239</v>
      </c>
      <c r="C35" s="21" t="s">
        <v>458</v>
      </c>
      <c r="D35" s="21">
        <v>2460000</v>
      </c>
      <c r="E35" s="21" t="s">
        <v>456</v>
      </c>
      <c r="F35" s="21" t="str">
        <f t="shared" si="0"/>
        <v>rtdc.l.rtdc.4038:itc</v>
      </c>
      <c r="G35" s="8">
        <f t="shared" si="1"/>
        <v>42681.261967592596</v>
      </c>
    </row>
    <row r="36" spans="1:7" x14ac:dyDescent="0.25">
      <c r="A36" s="8">
        <v>42681.266273148147</v>
      </c>
      <c r="B36" s="21" t="s">
        <v>340</v>
      </c>
      <c r="C36" s="21" t="s">
        <v>450</v>
      </c>
      <c r="D36" s="21">
        <v>1310000</v>
      </c>
      <c r="E36" s="21" t="s">
        <v>343</v>
      </c>
      <c r="F36" s="21" t="str">
        <f t="shared" si="0"/>
        <v>rtdc.l.rtdc.4045:itc</v>
      </c>
      <c r="G36" s="8">
        <f t="shared" si="1"/>
        <v>42681.266273148147</v>
      </c>
    </row>
    <row r="37" spans="1:7" x14ac:dyDescent="0.25">
      <c r="A37" s="8">
        <v>42681.266793981478</v>
      </c>
      <c r="B37" s="21" t="s">
        <v>305</v>
      </c>
      <c r="C37" s="21" t="s">
        <v>459</v>
      </c>
      <c r="D37" s="21">
        <v>2430000</v>
      </c>
      <c r="E37" s="21" t="s">
        <v>265</v>
      </c>
      <c r="F37" s="21" t="str">
        <f t="shared" si="0"/>
        <v>rtdc.l.rtdc.4031:itc</v>
      </c>
      <c r="G37" s="8">
        <f t="shared" si="1"/>
        <v>42681.266793981478</v>
      </c>
    </row>
    <row r="38" spans="1:7" x14ac:dyDescent="0.25">
      <c r="A38" s="8">
        <v>42681.266805555555</v>
      </c>
      <c r="B38" s="21" t="s">
        <v>340</v>
      </c>
      <c r="C38" s="21" t="s">
        <v>460</v>
      </c>
      <c r="D38" s="21">
        <v>1310000</v>
      </c>
      <c r="E38" s="21" t="s">
        <v>343</v>
      </c>
      <c r="F38" s="21" t="str">
        <f t="shared" si="0"/>
        <v>rtdc.l.rtdc.4045:itc</v>
      </c>
      <c r="G38" s="8">
        <f t="shared" si="1"/>
        <v>42681.266805555555</v>
      </c>
    </row>
    <row r="39" spans="1:7" x14ac:dyDescent="0.25">
      <c r="A39" s="8">
        <v>42681.272488425922</v>
      </c>
      <c r="B39" s="21" t="s">
        <v>192</v>
      </c>
      <c r="C39" s="21" t="s">
        <v>461</v>
      </c>
      <c r="D39" s="21">
        <v>2560000</v>
      </c>
      <c r="E39" s="21" t="s">
        <v>443</v>
      </c>
      <c r="F39" s="21" t="str">
        <f t="shared" si="0"/>
        <v>rtdc.l.rtdc.4007:itc</v>
      </c>
      <c r="G39" s="8">
        <f t="shared" si="1"/>
        <v>42681.272488425922</v>
      </c>
    </row>
    <row r="40" spans="1:7" x14ac:dyDescent="0.25">
      <c r="A40" s="8">
        <v>42681.275416666664</v>
      </c>
      <c r="B40" s="26" t="s">
        <v>309</v>
      </c>
      <c r="C40" s="21" t="s">
        <v>462</v>
      </c>
      <c r="D40" s="21">
        <v>2540000</v>
      </c>
      <c r="E40" s="21" t="s">
        <v>437</v>
      </c>
      <c r="F40" s="21" t="str">
        <f t="shared" si="0"/>
        <v>rtdc.l.rtdc.4054:itc</v>
      </c>
      <c r="G40" s="8">
        <f t="shared" si="1"/>
        <v>42681.275416666664</v>
      </c>
    </row>
    <row r="41" spans="1:7" x14ac:dyDescent="0.25">
      <c r="A41" s="8">
        <v>42681.275567129633</v>
      </c>
      <c r="B41" s="21" t="s">
        <v>408</v>
      </c>
      <c r="C41" s="21" t="s">
        <v>463</v>
      </c>
      <c r="D41" s="21">
        <v>2460000</v>
      </c>
      <c r="E41" s="21" t="s">
        <v>456</v>
      </c>
      <c r="F41" s="21" t="str">
        <f t="shared" si="0"/>
        <v>rtdc.l.rtdc.4037:itc</v>
      </c>
      <c r="G41" s="8">
        <f t="shared" si="1"/>
        <v>42681.275567129633</v>
      </c>
    </row>
    <row r="42" spans="1:7" x14ac:dyDescent="0.25">
      <c r="A42" s="8">
        <v>42681.278217592589</v>
      </c>
      <c r="B42" s="21" t="s">
        <v>424</v>
      </c>
      <c r="C42" s="21" t="s">
        <v>464</v>
      </c>
      <c r="D42" s="21">
        <v>2140000</v>
      </c>
      <c r="E42" s="21" t="s">
        <v>453</v>
      </c>
      <c r="F42" s="21" t="str">
        <f t="shared" si="0"/>
        <v>rtdc.l.rtdc.4002:itc</v>
      </c>
      <c r="G42" s="8">
        <f t="shared" si="1"/>
        <v>42681.278217592589</v>
      </c>
    </row>
    <row r="43" spans="1:7" x14ac:dyDescent="0.25">
      <c r="A43" s="8">
        <v>42681.283587962964</v>
      </c>
      <c r="B43" s="21" t="s">
        <v>224</v>
      </c>
      <c r="C43" s="21" t="s">
        <v>401</v>
      </c>
      <c r="D43" s="21">
        <v>1990000</v>
      </c>
      <c r="E43" s="21" t="s">
        <v>342</v>
      </c>
      <c r="F43" s="21" t="str">
        <f t="shared" si="0"/>
        <v>rtdc.l.rtdc.4029:itc</v>
      </c>
      <c r="G43" s="8">
        <f t="shared" si="1"/>
        <v>42681.283587962964</v>
      </c>
    </row>
    <row r="44" spans="1:7" x14ac:dyDescent="0.25">
      <c r="A44" s="8">
        <v>42681.284421296295</v>
      </c>
      <c r="B44" s="21" t="s">
        <v>261</v>
      </c>
      <c r="C44" s="21" t="s">
        <v>465</v>
      </c>
      <c r="D44" s="21">
        <v>2620000</v>
      </c>
      <c r="E44" s="21" t="s">
        <v>440</v>
      </c>
      <c r="F44" s="21" t="str">
        <f t="shared" si="0"/>
        <v>rtdc.l.rtdc.4039:itc</v>
      </c>
      <c r="G44" s="8">
        <f t="shared" si="1"/>
        <v>42681.284421296295</v>
      </c>
    </row>
    <row r="45" spans="1:7" x14ac:dyDescent="0.25">
      <c r="A45" s="8">
        <v>42681.286435185182</v>
      </c>
      <c r="B45" s="21" t="s">
        <v>244</v>
      </c>
      <c r="C45" s="21" t="s">
        <v>466</v>
      </c>
      <c r="D45" s="21">
        <v>2380000</v>
      </c>
      <c r="E45" s="21" t="s">
        <v>435</v>
      </c>
      <c r="F45" s="21" t="str">
        <f t="shared" si="0"/>
        <v>rtdc.l.rtdc.4014:itc</v>
      </c>
      <c r="G45" s="8">
        <f t="shared" si="1"/>
        <v>42681.286435185182</v>
      </c>
    </row>
    <row r="46" spans="1:7" x14ac:dyDescent="0.25">
      <c r="A46" s="8">
        <v>42681.291712962964</v>
      </c>
      <c r="B46" s="21" t="s">
        <v>239</v>
      </c>
      <c r="C46" s="21" t="s">
        <v>467</v>
      </c>
      <c r="D46" s="21">
        <v>2460000</v>
      </c>
      <c r="E46" s="21" t="s">
        <v>456</v>
      </c>
      <c r="F46" s="21" t="str">
        <f t="shared" si="0"/>
        <v>rtdc.l.rtdc.4038:itc</v>
      </c>
      <c r="G46" s="8">
        <f t="shared" si="1"/>
        <v>42681.291712962964</v>
      </c>
    </row>
    <row r="47" spans="1:7" x14ac:dyDescent="0.25">
      <c r="A47" s="8">
        <v>42681.296770833331</v>
      </c>
      <c r="B47" s="21" t="s">
        <v>225</v>
      </c>
      <c r="C47" s="21" t="s">
        <v>402</v>
      </c>
      <c r="D47" s="21">
        <v>1990000</v>
      </c>
      <c r="E47" s="21" t="s">
        <v>342</v>
      </c>
      <c r="F47" s="21" t="str">
        <f t="shared" si="0"/>
        <v>rtdc.l.rtdc.4030:itc</v>
      </c>
      <c r="G47" s="8">
        <f t="shared" si="1"/>
        <v>42681.296770833331</v>
      </c>
    </row>
    <row r="48" spans="1:7" x14ac:dyDescent="0.25">
      <c r="A48" s="8">
        <v>42681.301064814812</v>
      </c>
      <c r="B48" s="21" t="s">
        <v>341</v>
      </c>
      <c r="C48" s="21" t="s">
        <v>468</v>
      </c>
      <c r="D48" s="21">
        <v>1310000</v>
      </c>
      <c r="E48" s="21" t="s">
        <v>343</v>
      </c>
      <c r="F48" s="21" t="str">
        <f t="shared" si="0"/>
        <v>rtdc.l.rtdc.4046:itc</v>
      </c>
      <c r="G48" s="8">
        <f t="shared" si="1"/>
        <v>42681.301064814812</v>
      </c>
    </row>
    <row r="49" spans="1:7" x14ac:dyDescent="0.25">
      <c r="A49" s="8">
        <v>42681.304768518516</v>
      </c>
      <c r="B49" s="21" t="s">
        <v>274</v>
      </c>
      <c r="C49" s="21" t="s">
        <v>469</v>
      </c>
      <c r="D49" s="21">
        <v>2560000</v>
      </c>
      <c r="E49" s="21" t="s">
        <v>443</v>
      </c>
      <c r="F49" s="21" t="str">
        <f t="shared" si="0"/>
        <v>rtdc.l.rtdc.4008:itc</v>
      </c>
      <c r="G49" s="8">
        <f t="shared" si="1"/>
        <v>42681.304768518516</v>
      </c>
    </row>
    <row r="50" spans="1:7" x14ac:dyDescent="0.25">
      <c r="A50" s="8">
        <v>42681.307812500003</v>
      </c>
      <c r="B50" s="21" t="s">
        <v>310</v>
      </c>
      <c r="C50" s="21" t="s">
        <v>470</v>
      </c>
      <c r="D50" s="21">
        <v>2540000</v>
      </c>
      <c r="E50" s="21" t="s">
        <v>437</v>
      </c>
      <c r="F50" s="21" t="str">
        <f t="shared" si="0"/>
        <v>rtdc.l.rtdc.4053:itc</v>
      </c>
      <c r="G50" s="8">
        <f t="shared" si="1"/>
        <v>42681.307812500003</v>
      </c>
    </row>
    <row r="51" spans="1:7" x14ac:dyDescent="0.25">
      <c r="A51" s="8">
        <v>42681.316828703704</v>
      </c>
      <c r="B51" s="21" t="s">
        <v>404</v>
      </c>
      <c r="C51" s="21" t="s">
        <v>405</v>
      </c>
      <c r="D51" s="21">
        <v>2140000</v>
      </c>
      <c r="E51" s="21" t="s">
        <v>453</v>
      </c>
      <c r="F51" s="21" t="str">
        <f t="shared" si="0"/>
        <v>rtdc.l.rtdc.4001:itc</v>
      </c>
      <c r="G51" s="8">
        <f t="shared" si="1"/>
        <v>42681.316828703704</v>
      </c>
    </row>
    <row r="52" spans="1:7" x14ac:dyDescent="0.25">
      <c r="A52" s="8">
        <v>42681.317858796298</v>
      </c>
      <c r="B52" s="21" t="s">
        <v>408</v>
      </c>
      <c r="C52" s="21" t="s">
        <v>471</v>
      </c>
      <c r="D52" s="21">
        <v>2460000</v>
      </c>
      <c r="E52" s="21" t="s">
        <v>456</v>
      </c>
      <c r="F52" s="21" t="str">
        <f t="shared" si="0"/>
        <v>rtdc.l.rtdc.4037:itc</v>
      </c>
      <c r="G52" s="8">
        <f t="shared" si="1"/>
        <v>42681.317858796298</v>
      </c>
    </row>
    <row r="53" spans="1:7" x14ac:dyDescent="0.25">
      <c r="A53" s="8">
        <v>42681.322916666664</v>
      </c>
      <c r="B53" s="21" t="s">
        <v>224</v>
      </c>
      <c r="C53" s="21" t="s">
        <v>403</v>
      </c>
      <c r="D53" s="21">
        <v>1990000</v>
      </c>
      <c r="E53" s="21" t="s">
        <v>342</v>
      </c>
      <c r="F53" s="21" t="str">
        <f t="shared" si="0"/>
        <v>rtdc.l.rtdc.4029:itc</v>
      </c>
      <c r="G53" s="8">
        <f t="shared" si="1"/>
        <v>42681.322916666664</v>
      </c>
    </row>
    <row r="54" spans="1:7" x14ac:dyDescent="0.25">
      <c r="A54" s="8">
        <v>42681.326967592591</v>
      </c>
      <c r="B54" s="21" t="s">
        <v>307</v>
      </c>
      <c r="C54" s="21" t="s">
        <v>472</v>
      </c>
      <c r="D54" s="21">
        <v>1200000</v>
      </c>
      <c r="E54" s="21" t="s">
        <v>473</v>
      </c>
      <c r="F54" s="21" t="str">
        <f t="shared" si="0"/>
        <v>rtdc.l.rtdc.4025:itc</v>
      </c>
      <c r="G54" s="8">
        <f t="shared" si="1"/>
        <v>42681.326967592591</v>
      </c>
    </row>
    <row r="55" spans="1:7" x14ac:dyDescent="0.25">
      <c r="A55" s="8">
        <v>42681.327175925922</v>
      </c>
      <c r="B55" s="21" t="s">
        <v>243</v>
      </c>
      <c r="C55" s="21" t="s">
        <v>474</v>
      </c>
      <c r="D55" s="21">
        <v>2380000</v>
      </c>
      <c r="E55" s="21" t="s">
        <v>435</v>
      </c>
      <c r="F55" s="21" t="str">
        <f t="shared" si="0"/>
        <v>rtdc.l.rtdc.4013:itc</v>
      </c>
      <c r="G55" s="8">
        <f t="shared" si="1"/>
        <v>42681.327175925922</v>
      </c>
    </row>
    <row r="56" spans="1:7" x14ac:dyDescent="0.25">
      <c r="A56" s="8">
        <v>42681.334594907406</v>
      </c>
      <c r="B56" s="21" t="s">
        <v>239</v>
      </c>
      <c r="C56" s="21" t="s">
        <v>475</v>
      </c>
      <c r="D56" s="21">
        <v>2460000</v>
      </c>
      <c r="E56" s="21" t="s">
        <v>456</v>
      </c>
      <c r="F56" s="21" t="str">
        <f t="shared" si="0"/>
        <v>rtdc.l.rtdc.4038:itc</v>
      </c>
      <c r="G56" s="8">
        <f t="shared" si="1"/>
        <v>42681.334594907406</v>
      </c>
    </row>
    <row r="57" spans="1:7" x14ac:dyDescent="0.25">
      <c r="A57" s="8">
        <v>42681.338935185187</v>
      </c>
      <c r="B57" s="21" t="s">
        <v>225</v>
      </c>
      <c r="C57" s="21" t="s">
        <v>406</v>
      </c>
      <c r="D57" s="21">
        <v>1990000</v>
      </c>
      <c r="E57" s="21" t="s">
        <v>342</v>
      </c>
      <c r="F57" s="21" t="str">
        <f t="shared" si="0"/>
        <v>rtdc.l.rtdc.4030:itc</v>
      </c>
      <c r="G57" s="8">
        <f t="shared" si="1"/>
        <v>42681.338935185187</v>
      </c>
    </row>
    <row r="58" spans="1:7" x14ac:dyDescent="0.25">
      <c r="A58" s="8">
        <v>42681.340081018519</v>
      </c>
      <c r="B58" s="21" t="s">
        <v>340</v>
      </c>
      <c r="C58" s="21" t="s">
        <v>407</v>
      </c>
      <c r="D58" s="21">
        <v>1310000</v>
      </c>
      <c r="E58" s="21" t="s">
        <v>343</v>
      </c>
      <c r="F58" s="21" t="str">
        <f t="shared" si="0"/>
        <v>rtdc.l.rtdc.4045:itc</v>
      </c>
      <c r="G58" s="8">
        <f t="shared" si="1"/>
        <v>42681.340081018519</v>
      </c>
    </row>
    <row r="59" spans="1:7" x14ac:dyDescent="0.25">
      <c r="A59" s="8">
        <v>42681.340381944443</v>
      </c>
      <c r="B59" s="21" t="s">
        <v>192</v>
      </c>
      <c r="C59" s="21" t="s">
        <v>476</v>
      </c>
      <c r="D59" s="21">
        <v>2560000</v>
      </c>
      <c r="E59" s="21" t="s">
        <v>443</v>
      </c>
      <c r="F59" s="21" t="str">
        <f t="shared" si="0"/>
        <v>rtdc.l.rtdc.4007:itc</v>
      </c>
      <c r="G59" s="8">
        <f t="shared" si="1"/>
        <v>42681.340381944443</v>
      </c>
    </row>
    <row r="60" spans="1:7" x14ac:dyDescent="0.25">
      <c r="A60" s="8">
        <v>42681.349849537037</v>
      </c>
      <c r="B60" s="21" t="s">
        <v>309</v>
      </c>
      <c r="C60" s="21" t="s">
        <v>477</v>
      </c>
      <c r="D60" s="21">
        <v>2540000</v>
      </c>
      <c r="E60" s="21" t="s">
        <v>437</v>
      </c>
      <c r="F60" s="21" t="str">
        <f t="shared" si="0"/>
        <v>rtdc.l.rtdc.4054:itc</v>
      </c>
      <c r="G60" s="8">
        <f t="shared" si="1"/>
        <v>42681.349849537037</v>
      </c>
    </row>
    <row r="61" spans="1:7" x14ac:dyDescent="0.25">
      <c r="A61" s="8">
        <v>42681.349861111114</v>
      </c>
      <c r="B61" s="21" t="s">
        <v>424</v>
      </c>
      <c r="C61" s="21" t="s">
        <v>478</v>
      </c>
      <c r="D61" s="21">
        <v>2140000</v>
      </c>
      <c r="E61" s="21" t="s">
        <v>453</v>
      </c>
      <c r="F61" s="21" t="str">
        <f t="shared" si="0"/>
        <v>rtdc.l.rtdc.4002:itc</v>
      </c>
      <c r="G61" s="8">
        <f t="shared" si="1"/>
        <v>42681.349861111114</v>
      </c>
    </row>
    <row r="62" spans="1:7" x14ac:dyDescent="0.25">
      <c r="A62" s="8">
        <v>42681.353773148148</v>
      </c>
      <c r="B62" s="21" t="s">
        <v>224</v>
      </c>
      <c r="C62" s="21" t="s">
        <v>479</v>
      </c>
      <c r="D62" s="21">
        <v>1990000</v>
      </c>
      <c r="E62" s="21" t="s">
        <v>342</v>
      </c>
      <c r="F62" s="21" t="str">
        <f t="shared" si="0"/>
        <v>rtdc.l.rtdc.4029:itc</v>
      </c>
      <c r="G62" s="8">
        <f t="shared" si="1"/>
        <v>42681.353773148148</v>
      </c>
    </row>
    <row r="63" spans="1:7" x14ac:dyDescent="0.25">
      <c r="A63" s="8">
        <v>42681.354444444441</v>
      </c>
      <c r="B63" s="21" t="s">
        <v>261</v>
      </c>
      <c r="C63" s="21" t="s">
        <v>480</v>
      </c>
      <c r="D63" s="21">
        <v>2620000</v>
      </c>
      <c r="E63" s="21" t="s">
        <v>440</v>
      </c>
      <c r="F63" s="21" t="str">
        <f t="shared" si="0"/>
        <v>rtdc.l.rtdc.4039:itc</v>
      </c>
      <c r="G63" s="8">
        <f t="shared" si="1"/>
        <v>42681.354444444441</v>
      </c>
    </row>
    <row r="64" spans="1:7" x14ac:dyDescent="0.25">
      <c r="A64" s="27">
        <v>42681.3596875</v>
      </c>
      <c r="B64" s="21" t="s">
        <v>261</v>
      </c>
      <c r="C64" s="21" t="s">
        <v>480</v>
      </c>
      <c r="D64" s="21">
        <v>2620000</v>
      </c>
      <c r="E64" s="21" t="s">
        <v>440</v>
      </c>
      <c r="F64" s="21" t="str">
        <f t="shared" si="0"/>
        <v>rtdc.l.rtdc.4039:itc</v>
      </c>
      <c r="G64" s="8">
        <f t="shared" si="1"/>
        <v>42681.3596875</v>
      </c>
    </row>
    <row r="65" spans="1:7" x14ac:dyDescent="0.25">
      <c r="A65" s="8">
        <v>42681.360069444447</v>
      </c>
      <c r="B65" s="21" t="s">
        <v>408</v>
      </c>
      <c r="C65" s="21" t="s">
        <v>409</v>
      </c>
      <c r="D65" s="21">
        <v>2460000</v>
      </c>
      <c r="E65" s="21" t="s">
        <v>456</v>
      </c>
      <c r="F65" s="21" t="str">
        <f t="shared" si="0"/>
        <v>rtdc.l.rtdc.4037:itc</v>
      </c>
      <c r="G65" s="8">
        <f t="shared" si="1"/>
        <v>42681.360069444447</v>
      </c>
    </row>
    <row r="66" spans="1:7" x14ac:dyDescent="0.25">
      <c r="A66" s="8">
        <v>42681.361307870371</v>
      </c>
      <c r="B66" s="21" t="s">
        <v>261</v>
      </c>
      <c r="C66" s="21" t="s">
        <v>481</v>
      </c>
      <c r="D66" s="21">
        <v>2620000</v>
      </c>
      <c r="E66" s="21" t="s">
        <v>440</v>
      </c>
      <c r="F66" s="21" t="str">
        <f t="shared" ref="F66:F129" si="2">B66</f>
        <v>rtdc.l.rtdc.4039:itc</v>
      </c>
      <c r="G66" s="8">
        <f t="shared" ref="G66:G129" si="3">A66</f>
        <v>42681.361307870371</v>
      </c>
    </row>
    <row r="67" spans="1:7" x14ac:dyDescent="0.25">
      <c r="A67" s="8">
        <v>42681.362233796295</v>
      </c>
      <c r="B67" s="21" t="s">
        <v>244</v>
      </c>
      <c r="C67" s="21" t="s">
        <v>482</v>
      </c>
      <c r="D67" s="21">
        <v>2380000</v>
      </c>
      <c r="E67" s="21" t="s">
        <v>435</v>
      </c>
      <c r="F67" s="21" t="str">
        <f t="shared" si="2"/>
        <v>rtdc.l.rtdc.4014:itc</v>
      </c>
      <c r="G67" s="8">
        <f t="shared" si="3"/>
        <v>42681.362233796295</v>
      </c>
    </row>
    <row r="68" spans="1:7" x14ac:dyDescent="0.25">
      <c r="A68" s="8">
        <v>42681.367627314816</v>
      </c>
      <c r="B68" s="21" t="s">
        <v>311</v>
      </c>
      <c r="C68" s="21" t="s">
        <v>483</v>
      </c>
      <c r="D68" s="21">
        <v>1200000</v>
      </c>
      <c r="E68" s="21" t="s">
        <v>473</v>
      </c>
      <c r="F68" s="21" t="str">
        <f t="shared" si="2"/>
        <v>rtdc.l.rtdc.4026:itc</v>
      </c>
      <c r="G68" s="8">
        <f t="shared" si="3"/>
        <v>42681.367627314816</v>
      </c>
    </row>
    <row r="69" spans="1:7" x14ac:dyDescent="0.25">
      <c r="A69" s="8">
        <v>42681.369270833333</v>
      </c>
      <c r="B69" s="21" t="s">
        <v>274</v>
      </c>
      <c r="C69" s="21" t="s">
        <v>484</v>
      </c>
      <c r="D69" s="21">
        <v>2560000</v>
      </c>
      <c r="E69" s="21" t="s">
        <v>443</v>
      </c>
      <c r="F69" s="21" t="str">
        <f t="shared" si="2"/>
        <v>rtdc.l.rtdc.4008:itc</v>
      </c>
      <c r="G69" s="8">
        <f t="shared" si="3"/>
        <v>42681.369270833333</v>
      </c>
    </row>
    <row r="70" spans="1:7" x14ac:dyDescent="0.25">
      <c r="A70" s="8">
        <v>42681.374641203707</v>
      </c>
      <c r="B70" s="21" t="s">
        <v>341</v>
      </c>
      <c r="C70" s="21" t="s">
        <v>485</v>
      </c>
      <c r="D70" s="21">
        <v>1310000</v>
      </c>
      <c r="E70" s="21" t="s">
        <v>343</v>
      </c>
      <c r="F70" s="21" t="str">
        <f t="shared" si="2"/>
        <v>rtdc.l.rtdc.4046:itc</v>
      </c>
      <c r="G70" s="8">
        <f t="shared" si="3"/>
        <v>42681.374641203707</v>
      </c>
    </row>
    <row r="71" spans="1:7" x14ac:dyDescent="0.25">
      <c r="A71" s="8">
        <v>42681.376944444448</v>
      </c>
      <c r="B71" s="21" t="s">
        <v>239</v>
      </c>
      <c r="C71" s="21" t="s">
        <v>486</v>
      </c>
      <c r="D71" s="21">
        <v>2460000</v>
      </c>
      <c r="E71" s="21" t="s">
        <v>456</v>
      </c>
      <c r="F71" s="21" t="str">
        <f t="shared" si="2"/>
        <v>rtdc.l.rtdc.4038:itc</v>
      </c>
      <c r="G71" s="8">
        <f t="shared" si="3"/>
        <v>42681.376944444448</v>
      </c>
    </row>
    <row r="72" spans="1:7" x14ac:dyDescent="0.25">
      <c r="A72" s="8">
        <v>42681.382025462961</v>
      </c>
      <c r="B72" s="21" t="s">
        <v>310</v>
      </c>
      <c r="C72" s="21" t="s">
        <v>487</v>
      </c>
      <c r="D72" s="21">
        <v>2540000</v>
      </c>
      <c r="E72" s="21" t="s">
        <v>437</v>
      </c>
      <c r="F72" s="21" t="str">
        <f t="shared" si="2"/>
        <v>rtdc.l.rtdc.4053:itc</v>
      </c>
      <c r="G72" s="8">
        <f t="shared" si="3"/>
        <v>42681.382025462961</v>
      </c>
    </row>
    <row r="73" spans="1:7" x14ac:dyDescent="0.25">
      <c r="A73" s="8">
        <v>42681.383622685185</v>
      </c>
      <c r="B73" s="21" t="s">
        <v>310</v>
      </c>
      <c r="C73" s="21" t="s">
        <v>487</v>
      </c>
      <c r="D73" s="21">
        <v>2540000</v>
      </c>
      <c r="E73" s="21" t="s">
        <v>437</v>
      </c>
      <c r="F73" s="21" t="str">
        <f t="shared" si="2"/>
        <v>rtdc.l.rtdc.4053:itc</v>
      </c>
      <c r="G73" s="8">
        <f t="shared" si="3"/>
        <v>42681.383622685185</v>
      </c>
    </row>
    <row r="74" spans="1:7" x14ac:dyDescent="0.25">
      <c r="A74" s="8">
        <v>42681.386250000003</v>
      </c>
      <c r="B74" s="21" t="s">
        <v>404</v>
      </c>
      <c r="C74" s="21" t="s">
        <v>488</v>
      </c>
      <c r="D74" s="21">
        <v>2140000</v>
      </c>
      <c r="E74" s="21" t="s">
        <v>453</v>
      </c>
      <c r="F74" s="21" t="str">
        <f t="shared" si="2"/>
        <v>rtdc.l.rtdc.4001:itc</v>
      </c>
      <c r="G74" s="8">
        <f t="shared" si="3"/>
        <v>42681.386250000003</v>
      </c>
    </row>
    <row r="75" spans="1:7" x14ac:dyDescent="0.25">
      <c r="A75" s="8">
        <v>42681.392152777778</v>
      </c>
      <c r="B75" s="21" t="s">
        <v>243</v>
      </c>
      <c r="C75" s="21" t="s">
        <v>410</v>
      </c>
      <c r="D75" s="21">
        <v>2380000</v>
      </c>
      <c r="E75" s="21" t="s">
        <v>435</v>
      </c>
      <c r="F75" s="21" t="str">
        <f t="shared" si="2"/>
        <v>rtdc.l.rtdc.4013:itc</v>
      </c>
      <c r="G75" s="8">
        <f t="shared" si="3"/>
        <v>42681.392152777778</v>
      </c>
    </row>
    <row r="76" spans="1:7" x14ac:dyDescent="0.25">
      <c r="A76" s="8">
        <v>42681.396736111114</v>
      </c>
      <c r="B76" s="21" t="s">
        <v>238</v>
      </c>
      <c r="C76" s="21" t="s">
        <v>489</v>
      </c>
      <c r="D76" s="21">
        <v>2620000</v>
      </c>
      <c r="E76" s="21" t="s">
        <v>440</v>
      </c>
      <c r="F76" s="21" t="str">
        <f t="shared" si="2"/>
        <v>rtdc.l.rtdc.4040:itc</v>
      </c>
      <c r="G76" s="8">
        <f t="shared" si="3"/>
        <v>42681.396736111114</v>
      </c>
    </row>
    <row r="77" spans="1:7" x14ac:dyDescent="0.25">
      <c r="A77" s="8">
        <v>42681.400752314818</v>
      </c>
      <c r="B77" s="21" t="s">
        <v>408</v>
      </c>
      <c r="C77" s="21" t="s">
        <v>490</v>
      </c>
      <c r="D77" s="21">
        <v>2460000</v>
      </c>
      <c r="E77" s="21" t="s">
        <v>456</v>
      </c>
      <c r="F77" s="21" t="str">
        <f t="shared" si="2"/>
        <v>rtdc.l.rtdc.4037:itc</v>
      </c>
      <c r="G77" s="8">
        <f t="shared" si="3"/>
        <v>42681.400752314818</v>
      </c>
    </row>
    <row r="78" spans="1:7" x14ac:dyDescent="0.25">
      <c r="A78" s="8">
        <v>42681.403437499997</v>
      </c>
      <c r="B78" s="21" t="s">
        <v>307</v>
      </c>
      <c r="C78" s="21" t="s">
        <v>411</v>
      </c>
      <c r="D78" s="21">
        <v>2430000</v>
      </c>
      <c r="E78" s="21" t="s">
        <v>265</v>
      </c>
      <c r="F78" s="21" t="str">
        <f t="shared" si="2"/>
        <v>rtdc.l.rtdc.4025:itc</v>
      </c>
      <c r="G78" s="8">
        <f t="shared" si="3"/>
        <v>42681.403437499997</v>
      </c>
    </row>
    <row r="79" spans="1:7" x14ac:dyDescent="0.25">
      <c r="A79" s="8">
        <v>42681.412106481483</v>
      </c>
      <c r="B79" s="21" t="s">
        <v>192</v>
      </c>
      <c r="C79" s="21" t="s">
        <v>491</v>
      </c>
      <c r="D79" s="21">
        <v>2560000</v>
      </c>
      <c r="E79" s="21" t="s">
        <v>443</v>
      </c>
      <c r="F79" s="21" t="str">
        <f t="shared" si="2"/>
        <v>rtdc.l.rtdc.4007:itc</v>
      </c>
      <c r="G79" s="8">
        <f t="shared" si="3"/>
        <v>42681.412106481483</v>
      </c>
    </row>
    <row r="80" spans="1:7" x14ac:dyDescent="0.25">
      <c r="A80" s="8">
        <v>42681.412407407406</v>
      </c>
      <c r="B80" s="21" t="s">
        <v>340</v>
      </c>
      <c r="C80" s="21" t="s">
        <v>492</v>
      </c>
      <c r="D80" s="21">
        <v>1310000</v>
      </c>
      <c r="E80" s="21" t="s">
        <v>343</v>
      </c>
      <c r="F80" s="21" t="str">
        <f t="shared" si="2"/>
        <v>rtdc.l.rtdc.4045:itc</v>
      </c>
      <c r="G80" s="8">
        <f t="shared" si="3"/>
        <v>42681.412407407406</v>
      </c>
    </row>
    <row r="81" spans="1:7" x14ac:dyDescent="0.25">
      <c r="A81" s="8">
        <v>42681.417222222219</v>
      </c>
      <c r="B81" s="21" t="s">
        <v>309</v>
      </c>
      <c r="C81" s="21" t="s">
        <v>493</v>
      </c>
      <c r="D81" s="21">
        <v>2540000</v>
      </c>
      <c r="E81" s="21" t="s">
        <v>437</v>
      </c>
      <c r="F81" s="21" t="str">
        <f t="shared" si="2"/>
        <v>rtdc.l.rtdc.4054:itc</v>
      </c>
      <c r="G81" s="8">
        <f t="shared" si="3"/>
        <v>42681.417222222219</v>
      </c>
    </row>
    <row r="82" spans="1:7" x14ac:dyDescent="0.25">
      <c r="A82" s="8">
        <v>42681.418935185182</v>
      </c>
      <c r="B82" s="21" t="s">
        <v>239</v>
      </c>
      <c r="C82" s="21" t="s">
        <v>412</v>
      </c>
      <c r="D82" s="21">
        <v>2460000</v>
      </c>
      <c r="E82" s="21" t="s">
        <v>456</v>
      </c>
      <c r="F82" s="21" t="str">
        <f t="shared" si="2"/>
        <v>rtdc.l.rtdc.4038:itc</v>
      </c>
      <c r="G82" s="8">
        <f t="shared" si="3"/>
        <v>42681.418935185182</v>
      </c>
    </row>
    <row r="83" spans="1:7" x14ac:dyDescent="0.25">
      <c r="A83" s="8">
        <v>42681.421111111114</v>
      </c>
      <c r="B83" s="21" t="s">
        <v>424</v>
      </c>
      <c r="C83" s="21" t="s">
        <v>494</v>
      </c>
      <c r="D83" s="21">
        <v>2140000</v>
      </c>
      <c r="E83" s="21" t="s">
        <v>453</v>
      </c>
      <c r="F83" s="21" t="str">
        <f t="shared" si="2"/>
        <v>rtdc.l.rtdc.4002:itc</v>
      </c>
      <c r="G83" s="8">
        <f t="shared" si="3"/>
        <v>42681.421111111114</v>
      </c>
    </row>
    <row r="84" spans="1:7" x14ac:dyDescent="0.25">
      <c r="A84" s="8">
        <v>42681.424895833334</v>
      </c>
      <c r="B84" s="21" t="s">
        <v>261</v>
      </c>
      <c r="C84" s="21" t="s">
        <v>413</v>
      </c>
      <c r="D84" s="21">
        <v>2620000</v>
      </c>
      <c r="E84" s="21" t="s">
        <v>440</v>
      </c>
      <c r="F84" s="21" t="str">
        <f t="shared" si="2"/>
        <v>rtdc.l.rtdc.4039:itc</v>
      </c>
      <c r="G84" s="8">
        <f t="shared" si="3"/>
        <v>42681.424895833334</v>
      </c>
    </row>
    <row r="85" spans="1:7" x14ac:dyDescent="0.25">
      <c r="A85" s="8">
        <v>42681.434374999997</v>
      </c>
      <c r="B85" s="21" t="s">
        <v>244</v>
      </c>
      <c r="C85" s="21" t="s">
        <v>495</v>
      </c>
      <c r="D85" s="21">
        <v>1990000</v>
      </c>
      <c r="E85" s="21" t="s">
        <v>342</v>
      </c>
      <c r="F85" s="21" t="str">
        <f t="shared" si="2"/>
        <v>rtdc.l.rtdc.4014:itc</v>
      </c>
      <c r="G85" s="8">
        <f t="shared" si="3"/>
        <v>42681.434374999997</v>
      </c>
    </row>
    <row r="86" spans="1:7" x14ac:dyDescent="0.25">
      <c r="A86" s="8">
        <v>42681.435763888891</v>
      </c>
      <c r="B86" s="21" t="s">
        <v>311</v>
      </c>
      <c r="C86" s="21" t="s">
        <v>496</v>
      </c>
      <c r="D86" s="21">
        <v>2430000</v>
      </c>
      <c r="E86" s="21" t="s">
        <v>265</v>
      </c>
      <c r="F86" s="21" t="str">
        <f t="shared" si="2"/>
        <v>rtdc.l.rtdc.4026:itc</v>
      </c>
      <c r="G86" s="8">
        <f t="shared" si="3"/>
        <v>42681.435763888891</v>
      </c>
    </row>
    <row r="87" spans="1:7" x14ac:dyDescent="0.25">
      <c r="A87" s="8">
        <v>42681.442858796298</v>
      </c>
      <c r="B87" s="21" t="s">
        <v>274</v>
      </c>
      <c r="C87" s="21" t="s">
        <v>497</v>
      </c>
      <c r="D87" s="21">
        <v>2560000</v>
      </c>
      <c r="E87" s="21" t="s">
        <v>443</v>
      </c>
      <c r="F87" s="21" t="str">
        <f t="shared" si="2"/>
        <v>rtdc.l.rtdc.4008:itc</v>
      </c>
      <c r="G87" s="8">
        <f t="shared" si="3"/>
        <v>42681.442858796298</v>
      </c>
    </row>
    <row r="88" spans="1:7" x14ac:dyDescent="0.25">
      <c r="A88" s="8">
        <v>42681.443032407406</v>
      </c>
      <c r="B88" s="21" t="s">
        <v>408</v>
      </c>
      <c r="C88" s="21" t="s">
        <v>498</v>
      </c>
      <c r="D88" s="21">
        <v>2460000</v>
      </c>
      <c r="E88" s="21" t="s">
        <v>456</v>
      </c>
      <c r="F88" s="21" t="str">
        <f t="shared" si="2"/>
        <v>rtdc.l.rtdc.4037:itc</v>
      </c>
      <c r="G88" s="8">
        <f t="shared" si="3"/>
        <v>42681.443032407406</v>
      </c>
    </row>
    <row r="89" spans="1:7" x14ac:dyDescent="0.25">
      <c r="A89" s="8">
        <v>42681.447824074072</v>
      </c>
      <c r="B89" s="21" t="s">
        <v>341</v>
      </c>
      <c r="C89" s="21" t="s">
        <v>414</v>
      </c>
      <c r="D89" s="21">
        <v>1310000</v>
      </c>
      <c r="E89" s="21" t="s">
        <v>343</v>
      </c>
      <c r="F89" s="21" t="str">
        <f t="shared" si="2"/>
        <v>rtdc.l.rtdc.4046:itc</v>
      </c>
      <c r="G89" s="8">
        <f t="shared" si="3"/>
        <v>42681.447824074072</v>
      </c>
    </row>
    <row r="90" spans="1:7" x14ac:dyDescent="0.25">
      <c r="A90" s="8">
        <v>42681.455011574071</v>
      </c>
      <c r="B90" s="21" t="s">
        <v>310</v>
      </c>
      <c r="C90" s="21" t="s">
        <v>499</v>
      </c>
      <c r="D90" s="21">
        <v>2530000</v>
      </c>
      <c r="E90" s="21" t="s">
        <v>500</v>
      </c>
      <c r="F90" s="21" t="str">
        <f t="shared" si="2"/>
        <v>rtdc.l.rtdc.4053:itc</v>
      </c>
      <c r="G90" s="8">
        <f t="shared" si="3"/>
        <v>42681.455011574071</v>
      </c>
    </row>
    <row r="91" spans="1:7" x14ac:dyDescent="0.25">
      <c r="A91" s="8">
        <v>42681.459409722222</v>
      </c>
      <c r="B91" s="21" t="s">
        <v>239</v>
      </c>
      <c r="C91" s="21" t="s">
        <v>501</v>
      </c>
      <c r="D91" s="21">
        <v>2460000</v>
      </c>
      <c r="E91" s="21" t="s">
        <v>456</v>
      </c>
      <c r="F91" s="21" t="str">
        <f t="shared" si="2"/>
        <v>rtdc.l.rtdc.4038:itc</v>
      </c>
      <c r="G91" s="8">
        <f t="shared" si="3"/>
        <v>42681.459409722222</v>
      </c>
    </row>
    <row r="92" spans="1:7" x14ac:dyDescent="0.25">
      <c r="A92" s="8">
        <v>42681.460833333331</v>
      </c>
      <c r="B92" s="21" t="s">
        <v>404</v>
      </c>
      <c r="C92" s="21" t="s">
        <v>502</v>
      </c>
      <c r="D92" s="21">
        <v>2140000</v>
      </c>
      <c r="E92" s="21" t="s">
        <v>453</v>
      </c>
      <c r="F92" s="21" t="str">
        <f t="shared" si="2"/>
        <v>rtdc.l.rtdc.4001:itc</v>
      </c>
      <c r="G92" s="8">
        <f t="shared" si="3"/>
        <v>42681.460833333331</v>
      </c>
    </row>
    <row r="93" spans="1:7" x14ac:dyDescent="0.25">
      <c r="A93" s="8">
        <v>42681.468078703707</v>
      </c>
      <c r="B93" s="21" t="s">
        <v>238</v>
      </c>
      <c r="C93" s="21" t="s">
        <v>503</v>
      </c>
      <c r="D93" s="21">
        <v>1280000</v>
      </c>
      <c r="E93" s="21" t="s">
        <v>345</v>
      </c>
      <c r="F93" s="21" t="str">
        <f t="shared" si="2"/>
        <v>rtdc.l.rtdc.4040:itc</v>
      </c>
      <c r="G93" s="8">
        <f t="shared" si="3"/>
        <v>42681.468078703707</v>
      </c>
    </row>
    <row r="94" spans="1:7" x14ac:dyDescent="0.25">
      <c r="A94" s="8">
        <v>42681.471250000002</v>
      </c>
      <c r="B94" s="21" t="s">
        <v>323</v>
      </c>
      <c r="C94" s="21" t="s">
        <v>504</v>
      </c>
      <c r="D94" s="21">
        <v>110000</v>
      </c>
      <c r="E94" s="21" t="s">
        <v>505</v>
      </c>
      <c r="F94" s="21" t="str">
        <f t="shared" si="2"/>
        <v>rtdc.l.rtdc.4012:itc</v>
      </c>
      <c r="G94" s="8">
        <f t="shared" si="3"/>
        <v>42681.471250000002</v>
      </c>
    </row>
    <row r="95" spans="1:7" x14ac:dyDescent="0.25">
      <c r="A95" s="8">
        <v>42681.471631944441</v>
      </c>
      <c r="B95" s="21" t="s">
        <v>243</v>
      </c>
      <c r="C95" s="21" t="s">
        <v>506</v>
      </c>
      <c r="D95" s="21">
        <v>1990000</v>
      </c>
      <c r="E95" s="21" t="s">
        <v>342</v>
      </c>
      <c r="F95" s="21" t="str">
        <f t="shared" si="2"/>
        <v>rtdc.l.rtdc.4013:itc</v>
      </c>
      <c r="G95" s="8">
        <f t="shared" si="3"/>
        <v>42681.471631944441</v>
      </c>
    </row>
    <row r="96" spans="1:7" x14ac:dyDescent="0.25">
      <c r="A96" s="8">
        <v>42681.474236111113</v>
      </c>
      <c r="B96" s="21" t="s">
        <v>307</v>
      </c>
      <c r="C96" s="21" t="s">
        <v>507</v>
      </c>
      <c r="D96" s="21">
        <v>2450000</v>
      </c>
      <c r="E96" s="21" t="s">
        <v>508</v>
      </c>
      <c r="F96" s="21" t="str">
        <f t="shared" si="2"/>
        <v>rtdc.l.rtdc.4025:itc</v>
      </c>
      <c r="G96" s="8">
        <f t="shared" si="3"/>
        <v>42681.474236111113</v>
      </c>
    </row>
    <row r="97" spans="1:7" x14ac:dyDescent="0.25">
      <c r="A97" s="8">
        <v>42681.47619212963</v>
      </c>
      <c r="B97" s="21" t="s">
        <v>323</v>
      </c>
      <c r="C97" s="21" t="s">
        <v>504</v>
      </c>
      <c r="D97" s="21">
        <v>110000</v>
      </c>
      <c r="E97" s="21" t="s">
        <v>505</v>
      </c>
      <c r="F97" s="21" t="str">
        <f t="shared" si="2"/>
        <v>rtdc.l.rtdc.4012:itc</v>
      </c>
      <c r="G97" s="8">
        <f t="shared" si="3"/>
        <v>42681.47619212963</v>
      </c>
    </row>
    <row r="98" spans="1:7" x14ac:dyDescent="0.25">
      <c r="A98" s="8">
        <v>42681.479930555557</v>
      </c>
      <c r="B98" s="21" t="s">
        <v>323</v>
      </c>
      <c r="C98" s="21" t="s">
        <v>504</v>
      </c>
      <c r="D98" s="21">
        <v>110000</v>
      </c>
      <c r="E98" s="21" t="s">
        <v>505</v>
      </c>
      <c r="F98" s="21" t="str">
        <f t="shared" si="2"/>
        <v>rtdc.l.rtdc.4012:itc</v>
      </c>
      <c r="G98" s="8">
        <f t="shared" si="3"/>
        <v>42681.479930555557</v>
      </c>
    </row>
    <row r="99" spans="1:7" x14ac:dyDescent="0.25">
      <c r="A99" s="8">
        <v>42681.484282407408</v>
      </c>
      <c r="B99" s="21" t="s">
        <v>192</v>
      </c>
      <c r="C99" s="21" t="s">
        <v>509</v>
      </c>
      <c r="D99" s="21">
        <v>930000</v>
      </c>
      <c r="E99" s="21" t="s">
        <v>344</v>
      </c>
      <c r="F99" s="21" t="str">
        <f t="shared" si="2"/>
        <v>rtdc.l.rtdc.4007:itc</v>
      </c>
      <c r="G99" s="8">
        <f t="shared" si="3"/>
        <v>42681.484282407408</v>
      </c>
    </row>
    <row r="100" spans="1:7" x14ac:dyDescent="0.25">
      <c r="A100" s="8">
        <v>42681.484375</v>
      </c>
      <c r="B100" s="21" t="s">
        <v>408</v>
      </c>
      <c r="C100" s="21" t="s">
        <v>510</v>
      </c>
      <c r="D100" s="21">
        <v>2460000</v>
      </c>
      <c r="E100" s="21" t="s">
        <v>456</v>
      </c>
      <c r="F100" s="21" t="str">
        <f t="shared" si="2"/>
        <v>rtdc.l.rtdc.4037:itc</v>
      </c>
      <c r="G100" s="8">
        <f t="shared" si="3"/>
        <v>42681.484375</v>
      </c>
    </row>
    <row r="101" spans="1:7" x14ac:dyDescent="0.25">
      <c r="A101" s="8">
        <v>42681.485462962963</v>
      </c>
      <c r="B101" s="21" t="s">
        <v>340</v>
      </c>
      <c r="C101" s="21" t="s">
        <v>415</v>
      </c>
      <c r="D101" s="21">
        <v>1310000</v>
      </c>
      <c r="E101" s="21" t="s">
        <v>343</v>
      </c>
      <c r="F101" s="21" t="str">
        <f t="shared" si="2"/>
        <v>rtdc.l.rtdc.4045:itc</v>
      </c>
      <c r="G101" s="8">
        <f t="shared" si="3"/>
        <v>42681.485462962963</v>
      </c>
    </row>
    <row r="102" spans="1:7" x14ac:dyDescent="0.25">
      <c r="A102" s="8">
        <v>42681.495578703703</v>
      </c>
      <c r="B102" s="21" t="s">
        <v>309</v>
      </c>
      <c r="C102" s="21" t="s">
        <v>511</v>
      </c>
      <c r="D102" s="21">
        <v>2530000</v>
      </c>
      <c r="E102" s="21" t="s">
        <v>500</v>
      </c>
      <c r="F102" s="21" t="str">
        <f t="shared" si="2"/>
        <v>rtdc.l.rtdc.4054:itc</v>
      </c>
      <c r="G102" s="8">
        <f t="shared" si="3"/>
        <v>42681.495578703703</v>
      </c>
    </row>
    <row r="103" spans="1:7" x14ac:dyDescent="0.25">
      <c r="A103" s="8">
        <v>42681.496828703705</v>
      </c>
      <c r="B103" s="21" t="s">
        <v>424</v>
      </c>
      <c r="C103" s="21" t="s">
        <v>512</v>
      </c>
      <c r="D103" s="21">
        <v>1140000</v>
      </c>
      <c r="E103" s="21" t="s">
        <v>346</v>
      </c>
      <c r="F103" s="21" t="str">
        <f t="shared" si="2"/>
        <v>rtdc.l.rtdc.4002:itc</v>
      </c>
      <c r="G103" s="8">
        <f t="shared" si="3"/>
        <v>42681.496828703705</v>
      </c>
    </row>
    <row r="104" spans="1:7" x14ac:dyDescent="0.25">
      <c r="A104" s="8">
        <v>42681.498206018521</v>
      </c>
      <c r="B104" s="21" t="s">
        <v>261</v>
      </c>
      <c r="C104" s="21" t="s">
        <v>417</v>
      </c>
      <c r="D104" s="21">
        <v>1280000</v>
      </c>
      <c r="E104" s="21" t="s">
        <v>345</v>
      </c>
      <c r="F104" s="21" t="str">
        <f t="shared" si="2"/>
        <v>rtdc.l.rtdc.4039:itc</v>
      </c>
      <c r="G104" s="8">
        <f t="shared" si="3"/>
        <v>42681.498206018521</v>
      </c>
    </row>
    <row r="105" spans="1:7" x14ac:dyDescent="0.25">
      <c r="A105" s="8">
        <v>42681.49962962963</v>
      </c>
      <c r="B105" s="21" t="s">
        <v>239</v>
      </c>
      <c r="C105" s="21" t="s">
        <v>416</v>
      </c>
      <c r="D105" s="21">
        <v>2460000</v>
      </c>
      <c r="E105" s="21" t="s">
        <v>456</v>
      </c>
      <c r="F105" s="21" t="str">
        <f t="shared" si="2"/>
        <v>rtdc.l.rtdc.4038:itc</v>
      </c>
      <c r="G105" s="8">
        <f t="shared" si="3"/>
        <v>42681.49962962963</v>
      </c>
    </row>
    <row r="106" spans="1:7" x14ac:dyDescent="0.25">
      <c r="A106" s="8">
        <v>42681.508287037039</v>
      </c>
      <c r="B106" s="21" t="s">
        <v>244</v>
      </c>
      <c r="C106" s="21" t="s">
        <v>513</v>
      </c>
      <c r="D106" s="21">
        <v>2600000</v>
      </c>
      <c r="E106" s="21" t="s">
        <v>514</v>
      </c>
      <c r="F106" s="21" t="str">
        <f t="shared" si="2"/>
        <v>rtdc.l.rtdc.4014:itc</v>
      </c>
      <c r="G106" s="8">
        <f t="shared" si="3"/>
        <v>42681.508287037039</v>
      </c>
    </row>
    <row r="107" spans="1:7" x14ac:dyDescent="0.25">
      <c r="A107" s="8">
        <v>42681.509259259263</v>
      </c>
      <c r="B107" s="21" t="s">
        <v>311</v>
      </c>
      <c r="C107" s="21" t="s">
        <v>418</v>
      </c>
      <c r="D107" s="21">
        <v>2450000</v>
      </c>
      <c r="E107" s="21" t="s">
        <v>508</v>
      </c>
      <c r="F107" s="21" t="str">
        <f t="shared" si="2"/>
        <v>rtdc.l.rtdc.4026:itc</v>
      </c>
      <c r="G107" s="8">
        <f t="shared" si="3"/>
        <v>42681.509259259263</v>
      </c>
    </row>
    <row r="108" spans="1:7" x14ac:dyDescent="0.25">
      <c r="A108" s="8">
        <v>42681.515636574077</v>
      </c>
      <c r="B108" s="21" t="s">
        <v>341</v>
      </c>
      <c r="C108" s="21" t="s">
        <v>515</v>
      </c>
      <c r="D108" s="21">
        <v>2020000</v>
      </c>
      <c r="E108" s="21" t="s">
        <v>324</v>
      </c>
      <c r="F108" s="21" t="str">
        <f t="shared" si="2"/>
        <v>rtdc.l.rtdc.4046:itc</v>
      </c>
      <c r="G108" s="8">
        <f t="shared" si="3"/>
        <v>42681.515636574077</v>
      </c>
    </row>
    <row r="109" spans="1:7" x14ac:dyDescent="0.25">
      <c r="A109" s="8">
        <v>42681.524097222224</v>
      </c>
      <c r="B109" s="21" t="s">
        <v>274</v>
      </c>
      <c r="C109" s="21" t="s">
        <v>516</v>
      </c>
      <c r="D109" s="21">
        <v>930000</v>
      </c>
      <c r="E109" s="21" t="s">
        <v>344</v>
      </c>
      <c r="F109" s="21" t="str">
        <f t="shared" si="2"/>
        <v>rtdc.l.rtdc.4008:itc</v>
      </c>
      <c r="G109" s="8">
        <f t="shared" si="3"/>
        <v>42681.524097222224</v>
      </c>
    </row>
    <row r="110" spans="1:7" x14ac:dyDescent="0.25">
      <c r="A110" s="8">
        <v>42681.526400462964</v>
      </c>
      <c r="B110" s="21" t="s">
        <v>408</v>
      </c>
      <c r="C110" s="21" t="s">
        <v>517</v>
      </c>
      <c r="D110" s="21">
        <v>2460000</v>
      </c>
      <c r="E110" s="21" t="s">
        <v>456</v>
      </c>
      <c r="F110" s="21" t="str">
        <f t="shared" si="2"/>
        <v>rtdc.l.rtdc.4037:itc</v>
      </c>
      <c r="G110" s="8">
        <f t="shared" si="3"/>
        <v>42681.526400462964</v>
      </c>
    </row>
    <row r="111" spans="1:7" x14ac:dyDescent="0.25">
      <c r="A111" s="8">
        <v>42681.526770833334</v>
      </c>
      <c r="B111" s="21" t="s">
        <v>310</v>
      </c>
      <c r="C111" s="21" t="s">
        <v>518</v>
      </c>
      <c r="D111" s="21">
        <v>2530000</v>
      </c>
      <c r="E111" s="21" t="s">
        <v>500</v>
      </c>
      <c r="F111" s="21" t="str">
        <f t="shared" si="2"/>
        <v>rtdc.l.rtdc.4053:itc</v>
      </c>
      <c r="G111" s="8">
        <f t="shared" si="3"/>
        <v>42681.526770833334</v>
      </c>
    </row>
    <row r="112" spans="1:7" x14ac:dyDescent="0.25">
      <c r="A112" s="8">
        <v>42681.532256944447</v>
      </c>
      <c r="B112" s="21" t="s">
        <v>404</v>
      </c>
      <c r="C112" s="21" t="s">
        <v>519</v>
      </c>
      <c r="D112" s="21">
        <v>1140000</v>
      </c>
      <c r="E112" s="21" t="s">
        <v>346</v>
      </c>
      <c r="F112" s="21" t="str">
        <f t="shared" si="2"/>
        <v>rtdc.l.rtdc.4001:itc</v>
      </c>
      <c r="G112" s="8">
        <f t="shared" si="3"/>
        <v>42681.532256944447</v>
      </c>
    </row>
    <row r="113" spans="1:7" x14ac:dyDescent="0.25">
      <c r="A113" s="8">
        <v>42681.539583333331</v>
      </c>
      <c r="B113" s="21" t="s">
        <v>243</v>
      </c>
      <c r="C113" s="21" t="s">
        <v>520</v>
      </c>
      <c r="D113" s="21">
        <v>2600000</v>
      </c>
      <c r="E113" s="21" t="s">
        <v>514</v>
      </c>
      <c r="F113" s="21" t="str">
        <f t="shared" si="2"/>
        <v>rtdc.l.rtdc.4013:itc</v>
      </c>
      <c r="G113" s="8">
        <f t="shared" si="3"/>
        <v>42681.539583333331</v>
      </c>
    </row>
    <row r="114" spans="1:7" x14ac:dyDescent="0.25">
      <c r="A114" s="8">
        <v>42681.539733796293</v>
      </c>
      <c r="B114" s="21" t="s">
        <v>238</v>
      </c>
      <c r="C114" s="21" t="s">
        <v>521</v>
      </c>
      <c r="D114" s="21">
        <v>1280000</v>
      </c>
      <c r="E114" s="21" t="s">
        <v>345</v>
      </c>
      <c r="F114" s="21" t="str">
        <f t="shared" si="2"/>
        <v>rtdc.l.rtdc.4040:itc</v>
      </c>
      <c r="G114" s="8">
        <f t="shared" si="3"/>
        <v>42681.539733796293</v>
      </c>
    </row>
    <row r="115" spans="1:7" x14ac:dyDescent="0.25">
      <c r="A115" s="8">
        <v>42681.548414351855</v>
      </c>
      <c r="B115" s="21" t="s">
        <v>307</v>
      </c>
      <c r="C115" s="21" t="s">
        <v>419</v>
      </c>
      <c r="D115" s="21">
        <v>2450000</v>
      </c>
      <c r="E115" s="21" t="s">
        <v>508</v>
      </c>
      <c r="F115" s="21" t="str">
        <f t="shared" si="2"/>
        <v>rtdc.l.rtdc.4025:itc</v>
      </c>
      <c r="G115" s="8">
        <f t="shared" si="3"/>
        <v>42681.548414351855</v>
      </c>
    </row>
    <row r="116" spans="1:7" x14ac:dyDescent="0.25">
      <c r="A116" s="8">
        <v>42681.549166666664</v>
      </c>
      <c r="B116" s="21" t="s">
        <v>239</v>
      </c>
      <c r="C116" s="21" t="s">
        <v>522</v>
      </c>
      <c r="D116" s="21">
        <v>2630000</v>
      </c>
      <c r="E116" s="21" t="s">
        <v>523</v>
      </c>
      <c r="F116" s="21" t="str">
        <f t="shared" si="2"/>
        <v>rtdc.l.rtdc.4038:itc</v>
      </c>
      <c r="G116" s="8">
        <f t="shared" si="3"/>
        <v>42681.549166666664</v>
      </c>
    </row>
    <row r="117" spans="1:7" x14ac:dyDescent="0.25">
      <c r="A117" s="8">
        <v>42681.556388888886</v>
      </c>
      <c r="B117" s="21" t="s">
        <v>340</v>
      </c>
      <c r="C117" s="21" t="s">
        <v>524</v>
      </c>
      <c r="D117" s="21">
        <v>2020000</v>
      </c>
      <c r="E117" s="21" t="s">
        <v>324</v>
      </c>
      <c r="F117" s="21" t="str">
        <f t="shared" si="2"/>
        <v>rtdc.l.rtdc.4045:itc</v>
      </c>
      <c r="G117" s="8">
        <f t="shared" si="3"/>
        <v>42681.556388888886</v>
      </c>
    </row>
    <row r="118" spans="1:7" x14ac:dyDescent="0.25">
      <c r="A118" s="8">
        <v>42681.559467592589</v>
      </c>
      <c r="B118" s="21" t="s">
        <v>192</v>
      </c>
      <c r="C118" s="21" t="s">
        <v>421</v>
      </c>
      <c r="D118" s="21">
        <v>930000</v>
      </c>
      <c r="E118" s="21" t="s">
        <v>344</v>
      </c>
      <c r="F118" s="21" t="str">
        <f t="shared" si="2"/>
        <v>rtdc.l.rtdc.4007:itc</v>
      </c>
      <c r="G118" s="8">
        <f t="shared" si="3"/>
        <v>42681.559467592589</v>
      </c>
    </row>
    <row r="119" spans="1:7" x14ac:dyDescent="0.25">
      <c r="A119" s="8">
        <v>42681.567569444444</v>
      </c>
      <c r="B119" s="21" t="s">
        <v>309</v>
      </c>
      <c r="C119" s="21" t="s">
        <v>525</v>
      </c>
      <c r="D119" s="21">
        <v>2530000</v>
      </c>
      <c r="E119" s="21" t="s">
        <v>500</v>
      </c>
      <c r="F119" s="21" t="str">
        <f t="shared" si="2"/>
        <v>rtdc.l.rtdc.4054:itc</v>
      </c>
      <c r="G119" s="8">
        <f t="shared" si="3"/>
        <v>42681.567569444444</v>
      </c>
    </row>
    <row r="120" spans="1:7" x14ac:dyDescent="0.25">
      <c r="A120" s="8">
        <v>42681.568796296298</v>
      </c>
      <c r="B120" s="21" t="s">
        <v>408</v>
      </c>
      <c r="C120" s="21" t="s">
        <v>526</v>
      </c>
      <c r="D120" s="21">
        <v>2630000</v>
      </c>
      <c r="E120" s="21" t="s">
        <v>523</v>
      </c>
      <c r="F120" s="21" t="str">
        <f t="shared" si="2"/>
        <v>rtdc.l.rtdc.4037:itc</v>
      </c>
      <c r="G120" s="8">
        <f t="shared" si="3"/>
        <v>42681.568796296298</v>
      </c>
    </row>
    <row r="121" spans="1:7" x14ac:dyDescent="0.25">
      <c r="A121" s="8">
        <v>42681.569328703707</v>
      </c>
      <c r="B121" s="21" t="s">
        <v>261</v>
      </c>
      <c r="C121" s="21" t="s">
        <v>420</v>
      </c>
      <c r="D121" s="21">
        <v>1280000</v>
      </c>
      <c r="E121" s="21" t="s">
        <v>345</v>
      </c>
      <c r="F121" s="21" t="str">
        <f t="shared" si="2"/>
        <v>rtdc.l.rtdc.4039:itc</v>
      </c>
      <c r="G121" s="8">
        <f t="shared" si="3"/>
        <v>42681.569328703707</v>
      </c>
    </row>
    <row r="122" spans="1:7" x14ac:dyDescent="0.25">
      <c r="A122" s="8">
        <v>42681.569953703707</v>
      </c>
      <c r="B122" s="26" t="s">
        <v>424</v>
      </c>
      <c r="C122" s="21" t="s">
        <v>527</v>
      </c>
      <c r="D122" s="21">
        <v>1140000</v>
      </c>
      <c r="E122" s="21" t="s">
        <v>346</v>
      </c>
      <c r="F122" s="21" t="str">
        <f t="shared" si="2"/>
        <v>rtdc.l.rtdc.4002:itc</v>
      </c>
      <c r="G122" s="8">
        <f t="shared" si="3"/>
        <v>42681.569953703707</v>
      </c>
    </row>
    <row r="123" spans="1:7" x14ac:dyDescent="0.25">
      <c r="A123" s="8">
        <v>42681.577210648145</v>
      </c>
      <c r="B123" s="21" t="s">
        <v>244</v>
      </c>
      <c r="C123" s="21" t="s">
        <v>528</v>
      </c>
      <c r="D123" s="21">
        <v>2600000</v>
      </c>
      <c r="E123" s="21" t="s">
        <v>514</v>
      </c>
      <c r="F123" s="21" t="str">
        <f t="shared" si="2"/>
        <v>rtdc.l.rtdc.4014:itc</v>
      </c>
      <c r="G123" s="8">
        <f t="shared" si="3"/>
        <v>42681.577210648145</v>
      </c>
    </row>
    <row r="124" spans="1:7" x14ac:dyDescent="0.25">
      <c r="A124" s="8">
        <v>42681.580335648148</v>
      </c>
      <c r="B124" s="21" t="s">
        <v>311</v>
      </c>
      <c r="C124" s="21" t="s">
        <v>529</v>
      </c>
      <c r="D124" s="21">
        <v>2450000</v>
      </c>
      <c r="E124" s="21" t="s">
        <v>508</v>
      </c>
      <c r="F124" s="21" t="str">
        <f t="shared" si="2"/>
        <v>rtdc.l.rtdc.4026:itc</v>
      </c>
      <c r="G124" s="8">
        <f t="shared" si="3"/>
        <v>42681.580335648148</v>
      </c>
    </row>
    <row r="125" spans="1:7" x14ac:dyDescent="0.25">
      <c r="A125" s="8">
        <v>42681.58898148148</v>
      </c>
      <c r="B125" s="21" t="s">
        <v>341</v>
      </c>
      <c r="C125" s="21" t="s">
        <v>530</v>
      </c>
      <c r="D125" s="21">
        <v>2020000</v>
      </c>
      <c r="E125" s="21" t="s">
        <v>324</v>
      </c>
      <c r="F125" s="21" t="str">
        <f t="shared" si="2"/>
        <v>rtdc.l.rtdc.4046:itc</v>
      </c>
      <c r="G125" s="8">
        <f t="shared" si="3"/>
        <v>42681.58898148148</v>
      </c>
    </row>
    <row r="126" spans="1:7" x14ac:dyDescent="0.25">
      <c r="A126" s="8">
        <v>42681.595254629632</v>
      </c>
      <c r="B126" s="21" t="s">
        <v>239</v>
      </c>
      <c r="C126" s="21" t="s">
        <v>531</v>
      </c>
      <c r="D126" s="21">
        <v>2630000</v>
      </c>
      <c r="E126" s="21" t="s">
        <v>523</v>
      </c>
      <c r="F126" s="21" t="str">
        <f t="shared" si="2"/>
        <v>rtdc.l.rtdc.4038:itc</v>
      </c>
      <c r="G126" s="8">
        <f t="shared" si="3"/>
        <v>42681.595254629632</v>
      </c>
    </row>
    <row r="127" spans="1:7" x14ac:dyDescent="0.25">
      <c r="A127" s="8">
        <v>42681.597812499997</v>
      </c>
      <c r="B127" s="21" t="s">
        <v>274</v>
      </c>
      <c r="C127" s="21" t="s">
        <v>532</v>
      </c>
      <c r="D127" s="21">
        <v>930000</v>
      </c>
      <c r="E127" s="21" t="s">
        <v>344</v>
      </c>
      <c r="F127" s="21" t="str">
        <f t="shared" si="2"/>
        <v>rtdc.l.rtdc.4008:itc</v>
      </c>
      <c r="G127" s="8">
        <f t="shared" si="3"/>
        <v>42681.597812499997</v>
      </c>
    </row>
    <row r="128" spans="1:7" x14ac:dyDescent="0.25">
      <c r="A128" s="8">
        <v>42681.598912037036</v>
      </c>
      <c r="B128" s="21" t="s">
        <v>310</v>
      </c>
      <c r="C128" s="21" t="s">
        <v>533</v>
      </c>
      <c r="D128" s="21">
        <v>2530000</v>
      </c>
      <c r="E128" s="21" t="s">
        <v>500</v>
      </c>
      <c r="F128" s="21" t="str">
        <f t="shared" si="2"/>
        <v>rtdc.l.rtdc.4053:itc</v>
      </c>
      <c r="G128" s="8">
        <f t="shared" si="3"/>
        <v>42681.598912037036</v>
      </c>
    </row>
    <row r="129" spans="1:7" x14ac:dyDescent="0.25">
      <c r="A129" s="8">
        <v>42681.603634259256</v>
      </c>
      <c r="B129" s="21" t="s">
        <v>404</v>
      </c>
      <c r="C129" s="21" t="s">
        <v>534</v>
      </c>
      <c r="D129" s="21">
        <v>1140000</v>
      </c>
      <c r="E129" s="21" t="s">
        <v>346</v>
      </c>
      <c r="F129" s="21" t="str">
        <f t="shared" si="2"/>
        <v>rtdc.l.rtdc.4001:itc</v>
      </c>
      <c r="G129" s="8">
        <f t="shared" si="3"/>
        <v>42681.603634259256</v>
      </c>
    </row>
    <row r="130" spans="1:7" x14ac:dyDescent="0.25">
      <c r="A130" s="8">
        <v>42681.609803240739</v>
      </c>
      <c r="B130" s="21" t="s">
        <v>408</v>
      </c>
      <c r="C130" s="21" t="s">
        <v>535</v>
      </c>
      <c r="D130" s="21">
        <v>2630000</v>
      </c>
      <c r="E130" s="21" t="s">
        <v>523</v>
      </c>
      <c r="F130" s="21" t="str">
        <f t="shared" ref="F130:F193" si="4">B130</f>
        <v>rtdc.l.rtdc.4037:itc</v>
      </c>
      <c r="G130" s="8">
        <f t="shared" ref="G130:G193" si="5">A130</f>
        <v>42681.609803240739</v>
      </c>
    </row>
    <row r="131" spans="1:7" x14ac:dyDescent="0.25">
      <c r="A131" s="8">
        <v>42681.610891203702</v>
      </c>
      <c r="B131" s="21" t="s">
        <v>238</v>
      </c>
      <c r="C131" s="21" t="s">
        <v>536</v>
      </c>
      <c r="D131" s="21">
        <v>1280000</v>
      </c>
      <c r="E131" s="21" t="s">
        <v>345</v>
      </c>
      <c r="F131" s="21" t="str">
        <f t="shared" si="4"/>
        <v>rtdc.l.rtdc.4040:itc</v>
      </c>
      <c r="G131" s="8">
        <f t="shared" si="5"/>
        <v>42681.610891203702</v>
      </c>
    </row>
    <row r="132" spans="1:7" x14ac:dyDescent="0.25">
      <c r="A132" s="8">
        <v>42681.61645833333</v>
      </c>
      <c r="B132" s="21" t="s">
        <v>243</v>
      </c>
      <c r="C132" s="21" t="s">
        <v>537</v>
      </c>
      <c r="D132" s="21">
        <v>2600000</v>
      </c>
      <c r="E132" s="21" t="s">
        <v>514</v>
      </c>
      <c r="F132" s="21" t="str">
        <f t="shared" si="4"/>
        <v>rtdc.l.rtdc.4013:itc</v>
      </c>
      <c r="G132" s="8">
        <f t="shared" si="5"/>
        <v>42681.61645833333</v>
      </c>
    </row>
    <row r="133" spans="1:7" x14ac:dyDescent="0.25">
      <c r="A133" s="8">
        <v>42681.620810185188</v>
      </c>
      <c r="B133" s="21" t="s">
        <v>307</v>
      </c>
      <c r="C133" s="21" t="s">
        <v>538</v>
      </c>
      <c r="D133" s="21">
        <v>2450000</v>
      </c>
      <c r="E133" s="21" t="s">
        <v>508</v>
      </c>
      <c r="F133" s="21" t="str">
        <f t="shared" si="4"/>
        <v>rtdc.l.rtdc.4025:itc</v>
      </c>
      <c r="G133" s="8">
        <f t="shared" si="5"/>
        <v>42681.620810185188</v>
      </c>
    </row>
    <row r="134" spans="1:7" x14ac:dyDescent="0.25">
      <c r="A134" s="8">
        <v>42681.627766203703</v>
      </c>
      <c r="B134" s="21" t="s">
        <v>340</v>
      </c>
      <c r="C134" s="21" t="s">
        <v>539</v>
      </c>
      <c r="D134" s="21">
        <v>2020000</v>
      </c>
      <c r="E134" s="21" t="s">
        <v>324</v>
      </c>
      <c r="F134" s="21" t="str">
        <f t="shared" si="4"/>
        <v>rtdc.l.rtdc.4045:itc</v>
      </c>
      <c r="G134" s="8">
        <f t="shared" si="5"/>
        <v>42681.627766203703</v>
      </c>
    </row>
    <row r="135" spans="1:7" x14ac:dyDescent="0.25">
      <c r="A135" s="8">
        <v>42681.632997685185</v>
      </c>
      <c r="B135" s="21" t="s">
        <v>192</v>
      </c>
      <c r="C135" s="21" t="s">
        <v>540</v>
      </c>
      <c r="D135" s="21">
        <v>930000</v>
      </c>
      <c r="E135" s="21" t="s">
        <v>344</v>
      </c>
      <c r="F135" s="21" t="str">
        <f t="shared" si="4"/>
        <v>rtdc.l.rtdc.4007:itc</v>
      </c>
      <c r="G135" s="8">
        <f t="shared" si="5"/>
        <v>42681.632997685185</v>
      </c>
    </row>
    <row r="136" spans="1:7" x14ac:dyDescent="0.25">
      <c r="A136" s="8">
        <v>42681.635694444441</v>
      </c>
      <c r="B136" s="21" t="s">
        <v>239</v>
      </c>
      <c r="C136" s="21" t="s">
        <v>422</v>
      </c>
      <c r="D136" s="21">
        <v>2630000</v>
      </c>
      <c r="E136" s="21" t="s">
        <v>523</v>
      </c>
      <c r="F136" s="21" t="str">
        <f t="shared" si="4"/>
        <v>rtdc.l.rtdc.4038:itc</v>
      </c>
      <c r="G136" s="8">
        <f t="shared" si="5"/>
        <v>42681.635694444441</v>
      </c>
    </row>
    <row r="137" spans="1:7" x14ac:dyDescent="0.25">
      <c r="A137" s="8">
        <v>42681.637129629627</v>
      </c>
      <c r="B137" s="21" t="s">
        <v>225</v>
      </c>
      <c r="C137" s="21" t="s">
        <v>541</v>
      </c>
      <c r="D137" s="21">
        <v>2250000</v>
      </c>
      <c r="E137" s="21" t="s">
        <v>255</v>
      </c>
      <c r="F137" s="21" t="str">
        <f t="shared" si="4"/>
        <v>rtdc.l.rtdc.4030:itc</v>
      </c>
      <c r="G137" s="8">
        <f t="shared" si="5"/>
        <v>42681.637129629627</v>
      </c>
    </row>
    <row r="138" spans="1:7" x14ac:dyDescent="0.25">
      <c r="A138" s="8">
        <v>42681.638310185182</v>
      </c>
      <c r="B138" s="21" t="s">
        <v>225</v>
      </c>
      <c r="C138" s="21" t="s">
        <v>541</v>
      </c>
      <c r="D138" s="21">
        <v>2250000</v>
      </c>
      <c r="E138" s="21" t="s">
        <v>255</v>
      </c>
      <c r="F138" s="21" t="str">
        <f t="shared" si="4"/>
        <v>rtdc.l.rtdc.4030:itc</v>
      </c>
      <c r="G138" s="8">
        <f t="shared" si="5"/>
        <v>42681.638310185182</v>
      </c>
    </row>
    <row r="139" spans="1:7" x14ac:dyDescent="0.25">
      <c r="A139" s="8">
        <v>42681.639537037037</v>
      </c>
      <c r="B139" s="21" t="s">
        <v>309</v>
      </c>
      <c r="C139" s="21" t="s">
        <v>542</v>
      </c>
      <c r="D139" s="21">
        <v>2530000</v>
      </c>
      <c r="E139" s="21" t="s">
        <v>500</v>
      </c>
      <c r="F139" s="21" t="str">
        <f t="shared" si="4"/>
        <v>rtdc.l.rtdc.4054:itc</v>
      </c>
      <c r="G139" s="8">
        <f t="shared" si="5"/>
        <v>42681.639537037037</v>
      </c>
    </row>
    <row r="140" spans="1:7" x14ac:dyDescent="0.25">
      <c r="A140" s="8">
        <v>42681.641724537039</v>
      </c>
      <c r="B140" s="21" t="s">
        <v>261</v>
      </c>
      <c r="C140" s="21" t="s">
        <v>423</v>
      </c>
      <c r="D140" s="21">
        <v>1280000</v>
      </c>
      <c r="E140" s="21" t="s">
        <v>345</v>
      </c>
      <c r="F140" s="21" t="str">
        <f t="shared" si="4"/>
        <v>rtdc.l.rtdc.4039:itc</v>
      </c>
      <c r="G140" s="8">
        <f t="shared" si="5"/>
        <v>42681.641724537039</v>
      </c>
    </row>
    <row r="141" spans="1:7" x14ac:dyDescent="0.25">
      <c r="A141" s="8">
        <v>42681.642870370371</v>
      </c>
      <c r="B141" s="21" t="s">
        <v>424</v>
      </c>
      <c r="C141" s="21" t="s">
        <v>425</v>
      </c>
      <c r="D141" s="21">
        <v>1140000</v>
      </c>
      <c r="E141" s="21" t="s">
        <v>346</v>
      </c>
      <c r="F141" s="21" t="str">
        <f t="shared" si="4"/>
        <v>rtdc.l.rtdc.4002:itc</v>
      </c>
      <c r="G141" s="8">
        <f t="shared" si="5"/>
        <v>42681.642870370371</v>
      </c>
    </row>
    <row r="142" spans="1:7" x14ac:dyDescent="0.25">
      <c r="A142" s="8">
        <v>42681.651597222219</v>
      </c>
      <c r="B142" s="21" t="s">
        <v>408</v>
      </c>
      <c r="C142" s="21" t="s">
        <v>543</v>
      </c>
      <c r="D142" s="21">
        <v>2630000</v>
      </c>
      <c r="E142" s="21" t="s">
        <v>523</v>
      </c>
      <c r="F142" s="21" t="str">
        <f t="shared" si="4"/>
        <v>rtdc.l.rtdc.4037:itc</v>
      </c>
      <c r="G142" s="8">
        <f t="shared" si="5"/>
        <v>42681.651597222219</v>
      </c>
    </row>
    <row r="143" spans="1:7" x14ac:dyDescent="0.25">
      <c r="A143" s="8">
        <v>42681.652280092596</v>
      </c>
      <c r="B143" s="21" t="s">
        <v>244</v>
      </c>
      <c r="C143" s="21" t="s">
        <v>544</v>
      </c>
      <c r="D143" s="21">
        <v>2600000</v>
      </c>
      <c r="E143" s="21" t="s">
        <v>514</v>
      </c>
      <c r="F143" s="21" t="str">
        <f t="shared" si="4"/>
        <v>rtdc.l.rtdc.4014:itc</v>
      </c>
      <c r="G143" s="8">
        <f t="shared" si="5"/>
        <v>42681.652280092596</v>
      </c>
    </row>
    <row r="144" spans="1:7" x14ac:dyDescent="0.25">
      <c r="A144" s="8">
        <v>42681.654791666668</v>
      </c>
      <c r="B144" s="21" t="s">
        <v>224</v>
      </c>
      <c r="C144" s="21" t="s">
        <v>545</v>
      </c>
      <c r="D144" s="21">
        <v>2250000</v>
      </c>
      <c r="E144" s="21" t="s">
        <v>255</v>
      </c>
      <c r="F144" s="21" t="str">
        <f t="shared" si="4"/>
        <v>rtdc.l.rtdc.4029:itc</v>
      </c>
      <c r="G144" s="8">
        <f t="shared" si="5"/>
        <v>42681.654791666668</v>
      </c>
    </row>
    <row r="145" spans="1:7" x14ac:dyDescent="0.25">
      <c r="A145" s="8">
        <v>42681.655081018522</v>
      </c>
      <c r="B145" s="21" t="s">
        <v>244</v>
      </c>
      <c r="C145" s="21" t="s">
        <v>544</v>
      </c>
      <c r="D145" s="21">
        <v>2600000</v>
      </c>
      <c r="E145" s="21" t="s">
        <v>514</v>
      </c>
      <c r="F145" s="21" t="str">
        <f t="shared" si="4"/>
        <v>rtdc.l.rtdc.4014:itc</v>
      </c>
      <c r="G145" s="8">
        <f t="shared" si="5"/>
        <v>42681.655081018522</v>
      </c>
    </row>
    <row r="146" spans="1:7" x14ac:dyDescent="0.25">
      <c r="A146" s="8">
        <v>42681.658622685187</v>
      </c>
      <c r="B146" s="21" t="s">
        <v>311</v>
      </c>
      <c r="C146" s="21" t="s">
        <v>426</v>
      </c>
      <c r="D146" s="21">
        <v>2450000</v>
      </c>
      <c r="E146" s="21" t="s">
        <v>508</v>
      </c>
      <c r="F146" s="21" t="str">
        <f t="shared" si="4"/>
        <v>rtdc.l.rtdc.4026:itc</v>
      </c>
      <c r="G146" s="8">
        <f t="shared" si="5"/>
        <v>42681.658622685187</v>
      </c>
    </row>
    <row r="147" spans="1:7" x14ac:dyDescent="0.25">
      <c r="A147" s="8">
        <v>42681.662314814814</v>
      </c>
      <c r="B147" s="21" t="s">
        <v>341</v>
      </c>
      <c r="C147" s="21" t="s">
        <v>546</v>
      </c>
      <c r="D147" s="21">
        <v>2020000</v>
      </c>
      <c r="E147" s="21" t="s">
        <v>324</v>
      </c>
      <c r="F147" s="21" t="str">
        <f t="shared" si="4"/>
        <v>rtdc.l.rtdc.4046:itc</v>
      </c>
      <c r="G147" s="8">
        <f t="shared" si="5"/>
        <v>42681.662314814814</v>
      </c>
    </row>
    <row r="148" spans="1:7" x14ac:dyDescent="0.25">
      <c r="A148" s="8">
        <v>42681.667256944442</v>
      </c>
      <c r="B148" s="21" t="s">
        <v>274</v>
      </c>
      <c r="C148" s="21" t="s">
        <v>547</v>
      </c>
      <c r="D148" s="21">
        <v>930000</v>
      </c>
      <c r="E148" s="21" t="s">
        <v>344</v>
      </c>
      <c r="F148" s="21" t="str">
        <f t="shared" si="4"/>
        <v>rtdc.l.rtdc.4008:itc</v>
      </c>
      <c r="G148" s="8">
        <f t="shared" si="5"/>
        <v>42681.667256944442</v>
      </c>
    </row>
    <row r="149" spans="1:7" x14ac:dyDescent="0.25">
      <c r="A149" s="8">
        <v>42681.671932870369</v>
      </c>
      <c r="B149" s="21" t="s">
        <v>225</v>
      </c>
      <c r="C149" s="21" t="s">
        <v>548</v>
      </c>
      <c r="D149" s="21">
        <v>2250000</v>
      </c>
      <c r="E149" s="21" t="s">
        <v>255</v>
      </c>
      <c r="F149" s="21" t="str">
        <f t="shared" si="4"/>
        <v>rtdc.l.rtdc.4030:itc</v>
      </c>
      <c r="G149" s="8">
        <f t="shared" si="5"/>
        <v>42681.671932870369</v>
      </c>
    </row>
    <row r="150" spans="1:7" x14ac:dyDescent="0.25">
      <c r="A150" s="8">
        <v>42681.674664351849</v>
      </c>
      <c r="B150" s="21" t="s">
        <v>310</v>
      </c>
      <c r="C150" s="21" t="s">
        <v>549</v>
      </c>
      <c r="D150" s="21">
        <v>2530000</v>
      </c>
      <c r="E150" s="21" t="s">
        <v>500</v>
      </c>
      <c r="F150" s="21" t="str">
        <f t="shared" si="4"/>
        <v>rtdc.l.rtdc.4053:itc</v>
      </c>
      <c r="G150" s="8">
        <f t="shared" si="5"/>
        <v>42681.674664351849</v>
      </c>
    </row>
    <row r="151" spans="1:7" x14ac:dyDescent="0.25">
      <c r="A151" s="8">
        <v>42681.677094907405</v>
      </c>
      <c r="B151" s="21" t="s">
        <v>404</v>
      </c>
      <c r="C151" s="21" t="s">
        <v>550</v>
      </c>
      <c r="D151" s="21">
        <v>1140000</v>
      </c>
      <c r="E151" s="21" t="s">
        <v>346</v>
      </c>
      <c r="F151" s="21" t="str">
        <f t="shared" si="4"/>
        <v>rtdc.l.rtdc.4001:itc</v>
      </c>
      <c r="G151" s="8">
        <f t="shared" si="5"/>
        <v>42681.677094907405</v>
      </c>
    </row>
    <row r="152" spans="1:7" x14ac:dyDescent="0.25">
      <c r="A152" s="8">
        <v>42681.677916666667</v>
      </c>
      <c r="B152" s="21" t="s">
        <v>239</v>
      </c>
      <c r="C152" s="21" t="s">
        <v>551</v>
      </c>
      <c r="D152" s="21">
        <v>2630000</v>
      </c>
      <c r="E152" s="21" t="s">
        <v>523</v>
      </c>
      <c r="F152" s="21" t="str">
        <f t="shared" si="4"/>
        <v>rtdc.l.rtdc.4038:itc</v>
      </c>
      <c r="G152" s="8">
        <f t="shared" si="5"/>
        <v>42681.677916666667</v>
      </c>
    </row>
    <row r="153" spans="1:7" x14ac:dyDescent="0.25">
      <c r="A153" s="8">
        <v>42681.683229166665</v>
      </c>
      <c r="B153" s="21" t="s">
        <v>243</v>
      </c>
      <c r="C153" s="21" t="s">
        <v>552</v>
      </c>
      <c r="D153" s="21">
        <v>2600000</v>
      </c>
      <c r="E153" s="21" t="s">
        <v>514</v>
      </c>
      <c r="F153" s="21" t="str">
        <f t="shared" si="4"/>
        <v>rtdc.l.rtdc.4013:itc</v>
      </c>
      <c r="G153" s="8">
        <f t="shared" si="5"/>
        <v>42681.683229166665</v>
      </c>
    </row>
    <row r="154" spans="1:7" x14ac:dyDescent="0.25">
      <c r="A154" s="8">
        <v>42681.685312499998</v>
      </c>
      <c r="B154" s="21" t="s">
        <v>231</v>
      </c>
      <c r="C154" s="21" t="s">
        <v>553</v>
      </c>
      <c r="D154" s="21">
        <v>1280000</v>
      </c>
      <c r="E154" s="21" t="s">
        <v>345</v>
      </c>
      <c r="F154" s="21" t="str">
        <f t="shared" si="4"/>
        <v>rtdc.l.rtdc.4011:itc</v>
      </c>
      <c r="G154" s="8">
        <f t="shared" si="5"/>
        <v>42681.685312499998</v>
      </c>
    </row>
    <row r="155" spans="1:7" x14ac:dyDescent="0.25">
      <c r="A155" s="8">
        <v>42681.693912037037</v>
      </c>
      <c r="B155" s="21" t="s">
        <v>307</v>
      </c>
      <c r="C155" s="21" t="s">
        <v>554</v>
      </c>
      <c r="D155" s="21">
        <v>2450000</v>
      </c>
      <c r="E155" s="21" t="s">
        <v>508</v>
      </c>
      <c r="F155" s="21" t="str">
        <f t="shared" si="4"/>
        <v>rtdc.l.rtdc.4025:itc</v>
      </c>
      <c r="G155" s="8">
        <f t="shared" si="5"/>
        <v>42681.693912037037</v>
      </c>
    </row>
    <row r="156" spans="1:7" x14ac:dyDescent="0.25">
      <c r="A156" s="8">
        <v>42681.694050925929</v>
      </c>
      <c r="B156" s="21" t="s">
        <v>408</v>
      </c>
      <c r="C156" s="21" t="s">
        <v>555</v>
      </c>
      <c r="D156" s="21">
        <v>2630000</v>
      </c>
      <c r="E156" s="21" t="s">
        <v>523</v>
      </c>
      <c r="F156" s="21" t="str">
        <f t="shared" si="4"/>
        <v>rtdc.l.rtdc.4037:itc</v>
      </c>
      <c r="G156" s="8">
        <f t="shared" si="5"/>
        <v>42681.694050925929</v>
      </c>
    </row>
    <row r="157" spans="1:7" x14ac:dyDescent="0.25">
      <c r="A157" s="8">
        <v>42681.698877314811</v>
      </c>
      <c r="B157" s="21" t="s">
        <v>224</v>
      </c>
      <c r="C157" s="21" t="s">
        <v>556</v>
      </c>
      <c r="D157" s="21">
        <v>2250000</v>
      </c>
      <c r="E157" s="21" t="s">
        <v>255</v>
      </c>
      <c r="F157" s="21" t="str">
        <f t="shared" si="4"/>
        <v>rtdc.l.rtdc.4029:itc</v>
      </c>
      <c r="G157" s="8">
        <f t="shared" si="5"/>
        <v>42681.698877314811</v>
      </c>
    </row>
    <row r="158" spans="1:7" x14ac:dyDescent="0.25">
      <c r="A158" s="8">
        <v>42681.700381944444</v>
      </c>
      <c r="B158" s="21" t="s">
        <v>224</v>
      </c>
      <c r="C158" s="21" t="s">
        <v>556</v>
      </c>
      <c r="D158" s="21">
        <v>2250000</v>
      </c>
      <c r="E158" s="21" t="s">
        <v>255</v>
      </c>
      <c r="F158" s="21" t="str">
        <f t="shared" si="4"/>
        <v>rtdc.l.rtdc.4029:itc</v>
      </c>
      <c r="G158" s="8">
        <f t="shared" si="5"/>
        <v>42681.700381944444</v>
      </c>
    </row>
    <row r="159" spans="1:7" x14ac:dyDescent="0.25">
      <c r="A159" s="8">
        <v>42681.701932870368</v>
      </c>
      <c r="B159" s="21" t="s">
        <v>340</v>
      </c>
      <c r="C159" s="21" t="s">
        <v>557</v>
      </c>
      <c r="D159" s="21">
        <v>2020000</v>
      </c>
      <c r="E159" s="21" t="s">
        <v>324</v>
      </c>
      <c r="F159" s="21" t="str">
        <f t="shared" si="4"/>
        <v>rtdc.l.rtdc.4045:itc</v>
      </c>
      <c r="G159" s="8">
        <f t="shared" si="5"/>
        <v>42681.701932870368</v>
      </c>
    </row>
    <row r="160" spans="1:7" x14ac:dyDescent="0.25">
      <c r="A160" s="8">
        <v>42681.706053240741</v>
      </c>
      <c r="B160" s="21" t="s">
        <v>192</v>
      </c>
      <c r="C160" s="21" t="s">
        <v>558</v>
      </c>
      <c r="D160" s="21">
        <v>930000</v>
      </c>
      <c r="E160" s="21" t="s">
        <v>344</v>
      </c>
      <c r="F160" s="21" t="str">
        <f t="shared" si="4"/>
        <v>rtdc.l.rtdc.4007:itc</v>
      </c>
      <c r="G160" s="8">
        <f t="shared" si="5"/>
        <v>42681.706053240741</v>
      </c>
    </row>
    <row r="161" spans="1:7" x14ac:dyDescent="0.25">
      <c r="A161" s="8">
        <v>42681.713888888888</v>
      </c>
      <c r="B161" s="21" t="s">
        <v>225</v>
      </c>
      <c r="C161" s="21" t="s">
        <v>559</v>
      </c>
      <c r="D161" s="21">
        <v>2250000</v>
      </c>
      <c r="E161" s="21" t="s">
        <v>255</v>
      </c>
      <c r="F161" s="21" t="str">
        <f t="shared" si="4"/>
        <v>rtdc.l.rtdc.4030:itc</v>
      </c>
      <c r="G161" s="8">
        <f t="shared" si="5"/>
        <v>42681.713888888888</v>
      </c>
    </row>
    <row r="162" spans="1:7" x14ac:dyDescent="0.25">
      <c r="A162" s="8">
        <v>42681.713900462964</v>
      </c>
      <c r="B162" s="21" t="s">
        <v>309</v>
      </c>
      <c r="C162" s="21" t="s">
        <v>560</v>
      </c>
      <c r="D162" s="21">
        <v>2530000</v>
      </c>
      <c r="E162" s="21" t="s">
        <v>500</v>
      </c>
      <c r="F162" s="21" t="str">
        <f t="shared" si="4"/>
        <v>rtdc.l.rtdc.4054:itc</v>
      </c>
      <c r="G162" s="8">
        <f t="shared" si="5"/>
        <v>42681.713900462964</v>
      </c>
    </row>
    <row r="163" spans="1:7" x14ac:dyDescent="0.25">
      <c r="A163" s="8">
        <v>42681.71738425926</v>
      </c>
      <c r="B163" s="21" t="s">
        <v>239</v>
      </c>
      <c r="C163" s="21" t="s">
        <v>561</v>
      </c>
      <c r="D163" s="21">
        <v>2630000</v>
      </c>
      <c r="E163" s="21" t="s">
        <v>523</v>
      </c>
      <c r="F163" s="21" t="str">
        <f t="shared" si="4"/>
        <v>rtdc.l.rtdc.4038:itc</v>
      </c>
      <c r="G163" s="8">
        <f t="shared" si="5"/>
        <v>42681.71738425926</v>
      </c>
    </row>
    <row r="164" spans="1:7" x14ac:dyDescent="0.25">
      <c r="A164" s="8">
        <v>42681.717557870368</v>
      </c>
      <c r="B164" s="21" t="s">
        <v>323</v>
      </c>
      <c r="C164" s="21" t="s">
        <v>562</v>
      </c>
      <c r="D164" s="21">
        <v>1280000</v>
      </c>
      <c r="E164" s="21" t="s">
        <v>345</v>
      </c>
      <c r="F164" s="21" t="str">
        <f t="shared" si="4"/>
        <v>rtdc.l.rtdc.4012:itc</v>
      </c>
      <c r="G164" s="8">
        <f t="shared" si="5"/>
        <v>42681.717557870368</v>
      </c>
    </row>
    <row r="165" spans="1:7" x14ac:dyDescent="0.25">
      <c r="A165" s="8">
        <v>42681.717592592591</v>
      </c>
      <c r="B165" s="21" t="s">
        <v>424</v>
      </c>
      <c r="C165" s="21" t="s">
        <v>563</v>
      </c>
      <c r="D165" s="21">
        <v>2550000</v>
      </c>
      <c r="E165" s="21" t="s">
        <v>564</v>
      </c>
      <c r="F165" s="21" t="str">
        <f t="shared" si="4"/>
        <v>rtdc.l.rtdc.4002:itc</v>
      </c>
      <c r="G165" s="8">
        <f t="shared" si="5"/>
        <v>42681.717592592591</v>
      </c>
    </row>
    <row r="166" spans="1:7" x14ac:dyDescent="0.25">
      <c r="A166" s="8">
        <v>42681.71875</v>
      </c>
      <c r="B166" s="21" t="s">
        <v>306</v>
      </c>
      <c r="C166" s="21" t="s">
        <v>565</v>
      </c>
      <c r="D166" s="21">
        <v>2470000</v>
      </c>
      <c r="E166" s="21" t="s">
        <v>566</v>
      </c>
      <c r="F166" s="21" t="str">
        <f t="shared" si="4"/>
        <v>rtdc.l.rtdc.4017:itc</v>
      </c>
      <c r="G166" s="8">
        <f t="shared" si="5"/>
        <v>42681.71875</v>
      </c>
    </row>
    <row r="167" spans="1:7" x14ac:dyDescent="0.25">
      <c r="A167" s="8">
        <v>42681.723958333336</v>
      </c>
      <c r="B167" s="21" t="s">
        <v>244</v>
      </c>
      <c r="C167" s="21" t="s">
        <v>567</v>
      </c>
      <c r="D167" s="21">
        <v>1140000</v>
      </c>
      <c r="E167" s="21" t="s">
        <v>346</v>
      </c>
      <c r="F167" s="21" t="str">
        <f t="shared" si="4"/>
        <v>rtdc.l.rtdc.4014:itc</v>
      </c>
      <c r="G167" s="8">
        <f t="shared" si="5"/>
        <v>42681.723958333336</v>
      </c>
    </row>
    <row r="168" spans="1:7" x14ac:dyDescent="0.25">
      <c r="A168" s="8">
        <v>42681.725046296298</v>
      </c>
      <c r="B168" s="21" t="s">
        <v>238</v>
      </c>
      <c r="C168" s="21" t="s">
        <v>568</v>
      </c>
      <c r="D168" s="21">
        <v>2150000</v>
      </c>
      <c r="E168" s="21" t="s">
        <v>347</v>
      </c>
      <c r="F168" s="21" t="str">
        <f t="shared" si="4"/>
        <v>rtdc.l.rtdc.4040:itc</v>
      </c>
      <c r="G168" s="8">
        <f t="shared" si="5"/>
        <v>42681.725046296298</v>
      </c>
    </row>
    <row r="169" spans="1:7" x14ac:dyDescent="0.25">
      <c r="A169" s="8">
        <v>42681.730474537035</v>
      </c>
      <c r="B169" s="21" t="s">
        <v>224</v>
      </c>
      <c r="C169" s="21" t="s">
        <v>569</v>
      </c>
      <c r="D169" s="21">
        <v>2250000</v>
      </c>
      <c r="E169" s="21" t="s">
        <v>255</v>
      </c>
      <c r="F169" s="21" t="str">
        <f t="shared" si="4"/>
        <v>rtdc.l.rtdc.4029:itc</v>
      </c>
      <c r="G169" s="8">
        <f t="shared" si="5"/>
        <v>42681.730474537035</v>
      </c>
    </row>
    <row r="170" spans="1:7" x14ac:dyDescent="0.25">
      <c r="A170" s="8">
        <v>42681.730787037035</v>
      </c>
      <c r="B170" s="21" t="s">
        <v>311</v>
      </c>
      <c r="C170" s="21" t="s">
        <v>570</v>
      </c>
      <c r="D170" s="21">
        <v>2450000</v>
      </c>
      <c r="E170" s="21" t="s">
        <v>508</v>
      </c>
      <c r="F170" s="21" t="str">
        <f t="shared" si="4"/>
        <v>rtdc.l.rtdc.4026:itc</v>
      </c>
      <c r="G170" s="8">
        <f t="shared" si="5"/>
        <v>42681.730787037035</v>
      </c>
    </row>
    <row r="171" spans="1:7" x14ac:dyDescent="0.25">
      <c r="A171" s="8">
        <v>42681.735706018517</v>
      </c>
      <c r="B171" s="21" t="s">
        <v>408</v>
      </c>
      <c r="C171" s="21" t="s">
        <v>571</v>
      </c>
      <c r="D171" s="21">
        <v>2630000</v>
      </c>
      <c r="E171" s="21" t="s">
        <v>523</v>
      </c>
      <c r="F171" s="21" t="str">
        <f t="shared" si="4"/>
        <v>rtdc.l.rtdc.4037:itc</v>
      </c>
      <c r="G171" s="8">
        <f t="shared" si="5"/>
        <v>42681.735706018517</v>
      </c>
    </row>
    <row r="172" spans="1:7" x14ac:dyDescent="0.25">
      <c r="A172" s="8">
        <v>42681.736689814818</v>
      </c>
      <c r="B172" s="21" t="s">
        <v>341</v>
      </c>
      <c r="C172" s="21" t="s">
        <v>572</v>
      </c>
      <c r="D172" s="21">
        <v>2470000</v>
      </c>
      <c r="E172" s="21" t="s">
        <v>566</v>
      </c>
      <c r="F172" s="21" t="str">
        <f t="shared" si="4"/>
        <v>rtdc.l.rtdc.4046:itc</v>
      </c>
      <c r="G172" s="8">
        <f t="shared" si="5"/>
        <v>42681.736689814818</v>
      </c>
    </row>
    <row r="173" spans="1:7" x14ac:dyDescent="0.25">
      <c r="A173" s="8">
        <v>42681.74496527778</v>
      </c>
      <c r="B173" s="21" t="s">
        <v>274</v>
      </c>
      <c r="C173" s="21" t="s">
        <v>573</v>
      </c>
      <c r="D173" s="21">
        <v>930000</v>
      </c>
      <c r="E173" s="21" t="s">
        <v>344</v>
      </c>
      <c r="F173" s="21" t="str">
        <f t="shared" si="4"/>
        <v>rtdc.l.rtdc.4008:itc</v>
      </c>
      <c r="G173" s="8">
        <f t="shared" si="5"/>
        <v>42681.74496527778</v>
      </c>
    </row>
    <row r="174" spans="1:7" x14ac:dyDescent="0.25">
      <c r="A174" s="8">
        <v>42681.745659722219</v>
      </c>
      <c r="B174" s="21" t="s">
        <v>310</v>
      </c>
      <c r="C174" s="21" t="s">
        <v>574</v>
      </c>
      <c r="D174" s="21">
        <v>2020000</v>
      </c>
      <c r="E174" s="21" t="s">
        <v>324</v>
      </c>
      <c r="F174" s="21" t="str">
        <f t="shared" si="4"/>
        <v>rtdc.l.rtdc.4053:itc</v>
      </c>
      <c r="G174" s="8">
        <f t="shared" si="5"/>
        <v>42681.745659722219</v>
      </c>
    </row>
    <row r="175" spans="1:7" x14ac:dyDescent="0.25">
      <c r="A175" s="8">
        <v>42681.754374999997</v>
      </c>
      <c r="B175" s="21" t="s">
        <v>308</v>
      </c>
      <c r="C175" s="21" t="s">
        <v>575</v>
      </c>
      <c r="D175" s="21">
        <v>2530000</v>
      </c>
      <c r="E175" s="21" t="s">
        <v>500</v>
      </c>
      <c r="F175" s="21" t="str">
        <f t="shared" si="4"/>
        <v>rtdc.l.rtdc.4018:itc</v>
      </c>
      <c r="G175" s="8">
        <f t="shared" si="5"/>
        <v>42681.754374999997</v>
      </c>
    </row>
    <row r="176" spans="1:7" x14ac:dyDescent="0.25">
      <c r="A176" s="8">
        <v>42681.754479166666</v>
      </c>
      <c r="B176" s="21" t="s">
        <v>404</v>
      </c>
      <c r="C176" s="21" t="s">
        <v>576</v>
      </c>
      <c r="D176" s="21">
        <v>2550000</v>
      </c>
      <c r="E176" s="21" t="s">
        <v>564</v>
      </c>
      <c r="F176" s="21" t="str">
        <f t="shared" si="4"/>
        <v>rtdc.l.rtdc.4001:itc</v>
      </c>
      <c r="G176" s="8">
        <f t="shared" si="5"/>
        <v>42681.754479166666</v>
      </c>
    </row>
    <row r="177" spans="1:7" x14ac:dyDescent="0.25">
      <c r="A177" s="8">
        <v>42681.755243055559</v>
      </c>
      <c r="B177" s="21" t="s">
        <v>225</v>
      </c>
      <c r="C177" s="21" t="s">
        <v>577</v>
      </c>
      <c r="D177" s="21">
        <v>2250000</v>
      </c>
      <c r="E177" s="21" t="s">
        <v>255</v>
      </c>
      <c r="F177" s="21" t="str">
        <f t="shared" si="4"/>
        <v>rtdc.l.rtdc.4030:itc</v>
      </c>
      <c r="G177" s="8">
        <f t="shared" si="5"/>
        <v>42681.755243055559</v>
      </c>
    </row>
    <row r="178" spans="1:7" x14ac:dyDescent="0.25">
      <c r="A178" s="8">
        <v>42681.759918981479</v>
      </c>
      <c r="B178" s="21" t="s">
        <v>231</v>
      </c>
      <c r="C178" s="21" t="s">
        <v>578</v>
      </c>
      <c r="D178" s="21">
        <v>1800000</v>
      </c>
      <c r="E178" s="21" t="s">
        <v>251</v>
      </c>
      <c r="F178" s="21" t="str">
        <f t="shared" si="4"/>
        <v>rtdc.l.rtdc.4011:itc</v>
      </c>
      <c r="G178" s="8">
        <f t="shared" si="5"/>
        <v>42681.759918981479</v>
      </c>
    </row>
    <row r="179" spans="1:7" x14ac:dyDescent="0.25">
      <c r="A179" s="8">
        <v>42681.759942129633</v>
      </c>
      <c r="B179" s="21" t="s">
        <v>243</v>
      </c>
      <c r="C179" s="21" t="s">
        <v>579</v>
      </c>
      <c r="D179" s="21">
        <v>1140000</v>
      </c>
      <c r="E179" s="21" t="s">
        <v>346</v>
      </c>
      <c r="F179" s="21" t="str">
        <f t="shared" si="4"/>
        <v>rtdc.l.rtdc.4013:itc</v>
      </c>
      <c r="G179" s="8">
        <f t="shared" si="5"/>
        <v>42681.759942129633</v>
      </c>
    </row>
    <row r="180" spans="1:7" x14ac:dyDescent="0.25">
      <c r="A180" s="8">
        <v>42681.760092592594</v>
      </c>
      <c r="B180" s="21" t="s">
        <v>239</v>
      </c>
      <c r="C180" s="21" t="s">
        <v>580</v>
      </c>
      <c r="D180" s="21">
        <v>2630000</v>
      </c>
      <c r="E180" s="21" t="s">
        <v>523</v>
      </c>
      <c r="F180" s="21" t="str">
        <f t="shared" si="4"/>
        <v>rtdc.l.rtdc.4038:itc</v>
      </c>
      <c r="G180" s="8">
        <f t="shared" si="5"/>
        <v>42681.760092592594</v>
      </c>
    </row>
    <row r="181" spans="1:7" x14ac:dyDescent="0.25">
      <c r="A181" s="8">
        <v>42681.767581018517</v>
      </c>
      <c r="B181" s="21" t="s">
        <v>307</v>
      </c>
      <c r="C181" s="21" t="s">
        <v>581</v>
      </c>
      <c r="D181" s="21">
        <v>2610000</v>
      </c>
      <c r="E181" s="21" t="s">
        <v>582</v>
      </c>
      <c r="F181" s="21" t="str">
        <f t="shared" si="4"/>
        <v>rtdc.l.rtdc.4025:itc</v>
      </c>
      <c r="G181" s="8">
        <f t="shared" si="5"/>
        <v>42681.767581018517</v>
      </c>
    </row>
    <row r="182" spans="1:7" x14ac:dyDescent="0.25">
      <c r="A182" s="8">
        <v>42681.771435185183</v>
      </c>
      <c r="B182" s="21" t="s">
        <v>340</v>
      </c>
      <c r="C182" s="21" t="s">
        <v>583</v>
      </c>
      <c r="D182" s="21">
        <v>2470000</v>
      </c>
      <c r="E182" s="21" t="s">
        <v>566</v>
      </c>
      <c r="F182" s="21" t="str">
        <f t="shared" si="4"/>
        <v>rtdc.l.rtdc.4045:itc</v>
      </c>
      <c r="G182" s="8">
        <f t="shared" si="5"/>
        <v>42681.771435185183</v>
      </c>
    </row>
    <row r="183" spans="1:7" x14ac:dyDescent="0.25">
      <c r="A183" s="8">
        <v>42681.777002314811</v>
      </c>
      <c r="B183" s="21" t="s">
        <v>408</v>
      </c>
      <c r="C183" s="21" t="s">
        <v>427</v>
      </c>
      <c r="D183" s="21">
        <v>2630000</v>
      </c>
      <c r="E183" s="21" t="s">
        <v>523</v>
      </c>
      <c r="F183" s="21" t="str">
        <f t="shared" si="4"/>
        <v>rtdc.l.rtdc.4037:itc</v>
      </c>
      <c r="G183" s="8">
        <f t="shared" si="5"/>
        <v>42681.777002314811</v>
      </c>
    </row>
    <row r="184" spans="1:7" x14ac:dyDescent="0.25">
      <c r="A184" s="8">
        <v>42681.779270833336</v>
      </c>
      <c r="B184" s="21" t="s">
        <v>192</v>
      </c>
      <c r="C184" s="21" t="s">
        <v>584</v>
      </c>
      <c r="D184" s="21">
        <v>930000</v>
      </c>
      <c r="E184" s="21" t="s">
        <v>344</v>
      </c>
      <c r="F184" s="21" t="str">
        <f t="shared" si="4"/>
        <v>rtdc.l.rtdc.4007:itc</v>
      </c>
      <c r="G184" s="8">
        <f t="shared" si="5"/>
        <v>42681.779270833336</v>
      </c>
    </row>
    <row r="185" spans="1:7" x14ac:dyDescent="0.25">
      <c r="A185" s="8">
        <v>42681.779722222222</v>
      </c>
      <c r="B185" s="21" t="s">
        <v>224</v>
      </c>
      <c r="C185" s="21" t="s">
        <v>585</v>
      </c>
      <c r="D185" s="21">
        <v>2250000</v>
      </c>
      <c r="E185" s="21" t="s">
        <v>255</v>
      </c>
      <c r="F185" s="21" t="str">
        <f t="shared" si="4"/>
        <v>rtdc.l.rtdc.4029:itc</v>
      </c>
      <c r="G185" s="8">
        <f t="shared" si="5"/>
        <v>42681.779722222222</v>
      </c>
    </row>
    <row r="186" spans="1:7" x14ac:dyDescent="0.25">
      <c r="A186" s="8">
        <v>42681.783692129633</v>
      </c>
      <c r="B186" s="21" t="s">
        <v>309</v>
      </c>
      <c r="C186" s="21" t="s">
        <v>586</v>
      </c>
      <c r="D186" s="21">
        <v>2020000</v>
      </c>
      <c r="E186" s="21" t="s">
        <v>324</v>
      </c>
      <c r="F186" s="21" t="str">
        <f t="shared" si="4"/>
        <v>rtdc.l.rtdc.4054:itc</v>
      </c>
      <c r="G186" s="8">
        <f t="shared" si="5"/>
        <v>42681.783692129633</v>
      </c>
    </row>
    <row r="187" spans="1:7" x14ac:dyDescent="0.25">
      <c r="A187" s="8">
        <v>42681.787314814814</v>
      </c>
      <c r="B187" s="21" t="s">
        <v>424</v>
      </c>
      <c r="C187" s="21" t="s">
        <v>587</v>
      </c>
      <c r="D187" s="21">
        <v>2550000</v>
      </c>
      <c r="E187" s="21" t="s">
        <v>564</v>
      </c>
      <c r="F187" s="21" t="str">
        <f t="shared" si="4"/>
        <v>rtdc.l.rtdc.4002:itc</v>
      </c>
      <c r="G187" s="8">
        <f t="shared" si="5"/>
        <v>42681.787314814814</v>
      </c>
    </row>
    <row r="188" spans="1:7" x14ac:dyDescent="0.25">
      <c r="A188" s="8">
        <v>42681.796527777777</v>
      </c>
      <c r="B188" s="21" t="s">
        <v>225</v>
      </c>
      <c r="C188" s="21" t="s">
        <v>588</v>
      </c>
      <c r="D188" s="21">
        <v>2250000</v>
      </c>
      <c r="E188" s="21" t="s">
        <v>255</v>
      </c>
      <c r="F188" s="21" t="str">
        <f t="shared" si="4"/>
        <v>rtdc.l.rtdc.4030:itc</v>
      </c>
      <c r="G188" s="8">
        <f t="shared" si="5"/>
        <v>42681.796527777777</v>
      </c>
    </row>
    <row r="189" spans="1:7" x14ac:dyDescent="0.25">
      <c r="A189" s="8">
        <v>42681.797719907408</v>
      </c>
      <c r="B189" s="21" t="s">
        <v>239</v>
      </c>
      <c r="C189" s="21" t="s">
        <v>589</v>
      </c>
      <c r="D189" s="21">
        <v>2630000</v>
      </c>
      <c r="E189" s="21" t="s">
        <v>523</v>
      </c>
      <c r="F189" s="21" t="str">
        <f t="shared" si="4"/>
        <v>rtdc.l.rtdc.4038:itc</v>
      </c>
      <c r="G189" s="8">
        <f t="shared" si="5"/>
        <v>42681.797719907408</v>
      </c>
    </row>
    <row r="190" spans="1:7" x14ac:dyDescent="0.25">
      <c r="A190" s="8">
        <v>42681.798449074071</v>
      </c>
      <c r="B190" s="21" t="s">
        <v>323</v>
      </c>
      <c r="C190" s="21" t="s">
        <v>590</v>
      </c>
      <c r="D190" s="21">
        <v>1800000</v>
      </c>
      <c r="E190" s="21" t="s">
        <v>251</v>
      </c>
      <c r="F190" s="21" t="str">
        <f t="shared" si="4"/>
        <v>rtdc.l.rtdc.4012:itc</v>
      </c>
      <c r="G190" s="8">
        <f t="shared" si="5"/>
        <v>42681.798449074071</v>
      </c>
    </row>
    <row r="191" spans="1:7" x14ac:dyDescent="0.25">
      <c r="A191" s="8">
        <v>42681.800659722219</v>
      </c>
      <c r="B191" s="21" t="s">
        <v>244</v>
      </c>
      <c r="C191" s="21" t="s">
        <v>591</v>
      </c>
      <c r="D191" s="21">
        <v>1140000</v>
      </c>
      <c r="E191" s="21" t="s">
        <v>346</v>
      </c>
      <c r="F191" s="21" t="str">
        <f t="shared" si="4"/>
        <v>rtdc.l.rtdc.4014:itc</v>
      </c>
      <c r="G191" s="8">
        <f t="shared" si="5"/>
        <v>42681.800659722219</v>
      </c>
    </row>
    <row r="192" spans="1:7" x14ac:dyDescent="0.25">
      <c r="A192" s="8">
        <v>42681.801828703705</v>
      </c>
      <c r="B192" s="21" t="s">
        <v>262</v>
      </c>
      <c r="C192" s="21" t="s">
        <v>428</v>
      </c>
      <c r="D192" s="21">
        <v>2480000</v>
      </c>
      <c r="E192" s="21" t="s">
        <v>266</v>
      </c>
      <c r="F192" s="21" t="str">
        <f t="shared" si="4"/>
        <v>rtdc.l.rtdc.4032:itc</v>
      </c>
      <c r="G192" s="8">
        <f t="shared" si="5"/>
        <v>42681.801828703705</v>
      </c>
    </row>
    <row r="193" spans="1:7" x14ac:dyDescent="0.25">
      <c r="A193" s="8">
        <v>42681.807476851849</v>
      </c>
      <c r="B193" s="21" t="s">
        <v>341</v>
      </c>
      <c r="C193" s="21" t="s">
        <v>592</v>
      </c>
      <c r="D193" s="21">
        <v>2420000</v>
      </c>
      <c r="E193" s="21" t="s">
        <v>593</v>
      </c>
      <c r="F193" s="21" t="str">
        <f t="shared" si="4"/>
        <v>rtdc.l.rtdc.4046:itc</v>
      </c>
      <c r="G193" s="8">
        <f t="shared" si="5"/>
        <v>42681.807476851849</v>
      </c>
    </row>
    <row r="194" spans="1:7" x14ac:dyDescent="0.25">
      <c r="A194" s="8">
        <v>42681.808252314811</v>
      </c>
      <c r="B194" s="21" t="s">
        <v>311</v>
      </c>
      <c r="C194" s="21" t="s">
        <v>429</v>
      </c>
      <c r="D194" s="21">
        <v>2610000</v>
      </c>
      <c r="E194" s="21" t="s">
        <v>582</v>
      </c>
      <c r="F194" s="21" t="str">
        <f t="shared" ref="F194:F235" si="6">B194</f>
        <v>rtdc.l.rtdc.4026:itc</v>
      </c>
      <c r="G194" s="8">
        <f t="shared" ref="G194:G235" si="7">A194</f>
        <v>42681.808252314811</v>
      </c>
    </row>
    <row r="195" spans="1:7" x14ac:dyDescent="0.25">
      <c r="A195" s="8">
        <v>42681.818171296298</v>
      </c>
      <c r="B195" s="21" t="s">
        <v>310</v>
      </c>
      <c r="C195" s="21" t="s">
        <v>594</v>
      </c>
      <c r="D195" s="21">
        <v>2020000</v>
      </c>
      <c r="E195" s="21" t="s">
        <v>324</v>
      </c>
      <c r="F195" s="21" t="str">
        <f t="shared" si="6"/>
        <v>rtdc.l.rtdc.4053:itc</v>
      </c>
      <c r="G195" s="8">
        <f t="shared" si="7"/>
        <v>42681.818171296298</v>
      </c>
    </row>
    <row r="196" spans="1:7" x14ac:dyDescent="0.25">
      <c r="A196" s="8">
        <v>42681.818356481483</v>
      </c>
      <c r="B196" s="21" t="s">
        <v>408</v>
      </c>
      <c r="C196" s="21" t="s">
        <v>595</v>
      </c>
      <c r="D196" s="21">
        <v>2630000</v>
      </c>
      <c r="E196" s="21" t="s">
        <v>523</v>
      </c>
      <c r="F196" s="21" t="str">
        <f t="shared" si="6"/>
        <v>rtdc.l.rtdc.4037:itc</v>
      </c>
      <c r="G196" s="8">
        <f t="shared" si="7"/>
        <v>42681.818356481483</v>
      </c>
    </row>
    <row r="197" spans="1:7" x14ac:dyDescent="0.25">
      <c r="A197" s="8">
        <v>42681.82476851852</v>
      </c>
      <c r="B197" s="21" t="s">
        <v>404</v>
      </c>
      <c r="C197" s="21" t="s">
        <v>430</v>
      </c>
      <c r="D197" s="21">
        <v>2550000</v>
      </c>
      <c r="E197" s="21" t="s">
        <v>564</v>
      </c>
      <c r="F197" s="21" t="str">
        <f t="shared" si="6"/>
        <v>rtdc.l.rtdc.4001:itc</v>
      </c>
      <c r="G197" s="8">
        <f t="shared" si="7"/>
        <v>42681.82476851852</v>
      </c>
    </row>
    <row r="198" spans="1:7" x14ac:dyDescent="0.25">
      <c r="A198" s="8">
        <v>42681.831250000003</v>
      </c>
      <c r="B198" s="21" t="s">
        <v>231</v>
      </c>
      <c r="C198" s="21" t="s">
        <v>596</v>
      </c>
      <c r="D198" s="21">
        <v>1800000</v>
      </c>
      <c r="E198" s="21" t="s">
        <v>251</v>
      </c>
      <c r="F198" s="21" t="str">
        <f t="shared" si="6"/>
        <v>rtdc.l.rtdc.4011:itc</v>
      </c>
      <c r="G198" s="8">
        <f t="shared" si="7"/>
        <v>42681.831250000003</v>
      </c>
    </row>
    <row r="199" spans="1:7" x14ac:dyDescent="0.25">
      <c r="A199" s="8">
        <v>42681.834282407406</v>
      </c>
      <c r="B199" s="21" t="s">
        <v>239</v>
      </c>
      <c r="C199" s="21" t="s">
        <v>597</v>
      </c>
      <c r="D199" s="21">
        <v>2630000</v>
      </c>
      <c r="E199" s="21" t="s">
        <v>523</v>
      </c>
      <c r="F199" s="21" t="str">
        <f t="shared" si="6"/>
        <v>rtdc.l.rtdc.4038:itc</v>
      </c>
      <c r="G199" s="8">
        <f t="shared" si="7"/>
        <v>42681.834282407406</v>
      </c>
    </row>
    <row r="200" spans="1:7" x14ac:dyDescent="0.25">
      <c r="A200" s="8">
        <v>42681.838634259257</v>
      </c>
      <c r="B200" s="21" t="s">
        <v>307</v>
      </c>
      <c r="C200" s="21" t="s">
        <v>598</v>
      </c>
      <c r="D200" s="21">
        <v>2610000</v>
      </c>
      <c r="E200" s="21" t="s">
        <v>582</v>
      </c>
      <c r="F200" s="21" t="str">
        <f t="shared" si="6"/>
        <v>rtdc.l.rtdc.4025:itc</v>
      </c>
      <c r="G200" s="8">
        <f t="shared" si="7"/>
        <v>42681.838634259257</v>
      </c>
    </row>
    <row r="201" spans="1:7" x14ac:dyDescent="0.25">
      <c r="A201" s="8">
        <v>42681.847037037034</v>
      </c>
      <c r="B201" s="21" t="s">
        <v>340</v>
      </c>
      <c r="C201" s="21" t="s">
        <v>599</v>
      </c>
      <c r="D201" s="21">
        <v>2420000</v>
      </c>
      <c r="E201" s="21" t="s">
        <v>593</v>
      </c>
      <c r="F201" s="21" t="str">
        <f t="shared" si="6"/>
        <v>rtdc.l.rtdc.4045:itc</v>
      </c>
      <c r="G201" s="8">
        <f t="shared" si="7"/>
        <v>42681.847037037034</v>
      </c>
    </row>
    <row r="202" spans="1:7" x14ac:dyDescent="0.25">
      <c r="A202" s="27">
        <v>42681.859618055554</v>
      </c>
      <c r="B202" s="21" t="s">
        <v>408</v>
      </c>
      <c r="C202" s="21" t="s">
        <v>600</v>
      </c>
      <c r="D202" s="21">
        <v>2630000</v>
      </c>
      <c r="E202" s="21" t="s">
        <v>523</v>
      </c>
      <c r="F202" s="21" t="str">
        <f t="shared" si="6"/>
        <v>rtdc.l.rtdc.4037:itc</v>
      </c>
      <c r="G202" s="8">
        <f t="shared" si="7"/>
        <v>42681.859618055554</v>
      </c>
    </row>
    <row r="203" spans="1:7" x14ac:dyDescent="0.25">
      <c r="A203" s="8">
        <v>42681.867986111109</v>
      </c>
      <c r="B203" s="21" t="s">
        <v>424</v>
      </c>
      <c r="C203" s="21" t="s">
        <v>601</v>
      </c>
      <c r="D203" s="21">
        <v>2550000</v>
      </c>
      <c r="E203" s="21" t="s">
        <v>564</v>
      </c>
      <c r="F203" s="21" t="str">
        <f t="shared" si="6"/>
        <v>rtdc.l.rtdc.4002:itc</v>
      </c>
      <c r="G203" s="8">
        <f t="shared" si="7"/>
        <v>42681.867986111109</v>
      </c>
    </row>
    <row r="204" spans="1:7" x14ac:dyDescent="0.25">
      <c r="A204" s="8">
        <v>42681.871574074074</v>
      </c>
      <c r="B204" s="21" t="s">
        <v>323</v>
      </c>
      <c r="C204" s="21" t="s">
        <v>431</v>
      </c>
      <c r="D204" s="21">
        <v>1800000</v>
      </c>
      <c r="E204" s="21" t="s">
        <v>251</v>
      </c>
      <c r="F204" s="21" t="str">
        <f t="shared" si="6"/>
        <v>rtdc.l.rtdc.4012:itc</v>
      </c>
      <c r="G204" s="8">
        <f t="shared" si="7"/>
        <v>42681.871574074074</v>
      </c>
    </row>
    <row r="205" spans="1:7" x14ac:dyDescent="0.25">
      <c r="A205" s="8">
        <v>42681.876388888886</v>
      </c>
      <c r="B205" s="21" t="s">
        <v>239</v>
      </c>
      <c r="C205" s="21" t="s">
        <v>602</v>
      </c>
      <c r="D205" s="21">
        <v>2250000</v>
      </c>
      <c r="E205" s="21" t="s">
        <v>255</v>
      </c>
      <c r="F205" s="21" t="str">
        <f t="shared" si="6"/>
        <v>rtdc.l.rtdc.4038:itc</v>
      </c>
      <c r="G205" s="8">
        <f t="shared" si="7"/>
        <v>42681.876388888886</v>
      </c>
    </row>
    <row r="206" spans="1:7" x14ac:dyDescent="0.25">
      <c r="A206" s="8">
        <v>42681.883009259262</v>
      </c>
      <c r="B206" s="21" t="s">
        <v>157</v>
      </c>
      <c r="C206" s="21" t="s">
        <v>603</v>
      </c>
      <c r="D206" s="21">
        <v>1810000</v>
      </c>
      <c r="E206" s="21" t="s">
        <v>350</v>
      </c>
      <c r="F206" s="21" t="str">
        <f t="shared" si="6"/>
        <v>rtdc.l.rtdc.4052:itc</v>
      </c>
      <c r="G206" s="8">
        <f t="shared" si="7"/>
        <v>42681.883009259262</v>
      </c>
    </row>
    <row r="207" spans="1:7" x14ac:dyDescent="0.25">
      <c r="A207" s="8">
        <v>42681.884120370371</v>
      </c>
      <c r="B207" s="21" t="s">
        <v>157</v>
      </c>
      <c r="C207" s="21" t="s">
        <v>603</v>
      </c>
      <c r="D207" s="21">
        <v>1810000</v>
      </c>
      <c r="E207" s="21" t="s">
        <v>350</v>
      </c>
      <c r="F207" s="21" t="str">
        <f t="shared" si="6"/>
        <v>rtdc.l.rtdc.4052:itc</v>
      </c>
      <c r="G207" s="8">
        <f t="shared" si="7"/>
        <v>42681.884120370371</v>
      </c>
    </row>
    <row r="208" spans="1:7" x14ac:dyDescent="0.25">
      <c r="A208" s="8">
        <v>42681.885358796295</v>
      </c>
      <c r="B208" s="21" t="s">
        <v>341</v>
      </c>
      <c r="C208" s="21" t="s">
        <v>604</v>
      </c>
      <c r="D208" s="21">
        <v>2470000</v>
      </c>
      <c r="E208" s="21" t="s">
        <v>566</v>
      </c>
      <c r="F208" s="21" t="str">
        <f t="shared" si="6"/>
        <v>rtdc.l.rtdc.4046:itc</v>
      </c>
      <c r="G208" s="8">
        <f t="shared" si="7"/>
        <v>42681.885358796295</v>
      </c>
    </row>
    <row r="209" spans="1:7" x14ac:dyDescent="0.25">
      <c r="A209" s="8">
        <v>42681.889386574076</v>
      </c>
      <c r="B209" s="21" t="s">
        <v>311</v>
      </c>
      <c r="C209" s="21" t="s">
        <v>605</v>
      </c>
      <c r="D209" s="21">
        <v>2610000</v>
      </c>
      <c r="E209" s="21" t="s">
        <v>582</v>
      </c>
      <c r="F209" s="21" t="str">
        <f t="shared" si="6"/>
        <v>rtdc.l.rtdc.4026:itc</v>
      </c>
      <c r="G209" s="8">
        <f t="shared" si="7"/>
        <v>42681.889386574076</v>
      </c>
    </row>
    <row r="210" spans="1:7" x14ac:dyDescent="0.25">
      <c r="A210" s="8">
        <v>42681.893113425926</v>
      </c>
      <c r="B210" s="21" t="s">
        <v>156</v>
      </c>
      <c r="C210" s="21" t="s">
        <v>606</v>
      </c>
      <c r="D210" s="21">
        <v>1810000</v>
      </c>
      <c r="E210" s="21" t="s">
        <v>350</v>
      </c>
      <c r="F210" s="21" t="str">
        <f t="shared" si="6"/>
        <v>rtdc.l.rtdc.4051:itc</v>
      </c>
      <c r="G210" s="8">
        <f t="shared" si="7"/>
        <v>42681.893113425926</v>
      </c>
    </row>
    <row r="211" spans="1:7" x14ac:dyDescent="0.25">
      <c r="A211" s="8">
        <v>42681.902094907404</v>
      </c>
      <c r="B211" s="21" t="s">
        <v>408</v>
      </c>
      <c r="C211" s="21" t="s">
        <v>607</v>
      </c>
      <c r="D211" s="21">
        <v>2250000</v>
      </c>
      <c r="E211" s="21" t="s">
        <v>255</v>
      </c>
      <c r="F211" s="21" t="str">
        <f t="shared" si="6"/>
        <v>rtdc.l.rtdc.4037:itc</v>
      </c>
      <c r="G211" s="8">
        <f t="shared" si="7"/>
        <v>42681.902094907404</v>
      </c>
    </row>
    <row r="212" spans="1:7" x14ac:dyDescent="0.25">
      <c r="A212" s="8">
        <v>42681.908680555556</v>
      </c>
      <c r="B212" s="21" t="s">
        <v>404</v>
      </c>
      <c r="C212" s="21" t="s">
        <v>608</v>
      </c>
      <c r="D212" s="21">
        <v>2550000</v>
      </c>
      <c r="E212" s="21" t="s">
        <v>564</v>
      </c>
      <c r="F212" s="21" t="str">
        <f t="shared" si="6"/>
        <v>rtdc.l.rtdc.4001:itc</v>
      </c>
      <c r="G212" s="8">
        <f t="shared" si="7"/>
        <v>42681.908680555556</v>
      </c>
    </row>
    <row r="213" spans="1:7" x14ac:dyDescent="0.25">
      <c r="A213" s="8">
        <v>42681.914965277778</v>
      </c>
      <c r="B213" s="21" t="s">
        <v>231</v>
      </c>
      <c r="C213" s="21" t="s">
        <v>609</v>
      </c>
      <c r="D213" s="21">
        <v>1800000</v>
      </c>
      <c r="E213" s="21" t="s">
        <v>251</v>
      </c>
      <c r="F213" s="21" t="str">
        <f t="shared" si="6"/>
        <v>rtdc.l.rtdc.4011:itc</v>
      </c>
      <c r="G213" s="8">
        <f t="shared" si="7"/>
        <v>42681.914965277778</v>
      </c>
    </row>
    <row r="214" spans="1:7" x14ac:dyDescent="0.25">
      <c r="A214" s="8">
        <v>42681.919930555552</v>
      </c>
      <c r="B214" s="21" t="s">
        <v>157</v>
      </c>
      <c r="C214" s="21" t="s">
        <v>603</v>
      </c>
      <c r="D214" s="21">
        <v>1810000</v>
      </c>
      <c r="E214" s="21" t="s">
        <v>350</v>
      </c>
      <c r="F214" s="21" t="str">
        <f t="shared" si="6"/>
        <v>rtdc.l.rtdc.4052:itc</v>
      </c>
      <c r="G214" s="8">
        <f t="shared" si="7"/>
        <v>42681.919930555552</v>
      </c>
    </row>
    <row r="215" spans="1:7" x14ac:dyDescent="0.25">
      <c r="A215" s="8">
        <v>42681.921886574077</v>
      </c>
      <c r="B215" s="21" t="s">
        <v>307</v>
      </c>
      <c r="C215" s="21" t="s">
        <v>610</v>
      </c>
      <c r="D215" s="21">
        <v>2610000</v>
      </c>
      <c r="E215" s="21" t="s">
        <v>582</v>
      </c>
      <c r="F215" s="21" t="str">
        <f t="shared" si="6"/>
        <v>rtdc.l.rtdc.4025:itc</v>
      </c>
      <c r="G215" s="8">
        <f t="shared" si="7"/>
        <v>42681.921886574077</v>
      </c>
    </row>
    <row r="216" spans="1:7" x14ac:dyDescent="0.25">
      <c r="A216" s="8">
        <v>42681.924988425926</v>
      </c>
      <c r="B216" s="21" t="s">
        <v>340</v>
      </c>
      <c r="C216" s="21" t="s">
        <v>611</v>
      </c>
      <c r="D216" s="21">
        <v>2470000</v>
      </c>
      <c r="E216" s="21" t="s">
        <v>566</v>
      </c>
      <c r="F216" s="21" t="str">
        <f t="shared" si="6"/>
        <v>rtdc.l.rtdc.4045:itc</v>
      </c>
      <c r="G216" s="8">
        <f t="shared" si="7"/>
        <v>42681.924988425926</v>
      </c>
    </row>
    <row r="217" spans="1:7" x14ac:dyDescent="0.25">
      <c r="A217" s="8">
        <v>42681.925925925927</v>
      </c>
      <c r="B217" s="21" t="s">
        <v>239</v>
      </c>
      <c r="C217" s="21" t="s">
        <v>612</v>
      </c>
      <c r="D217" s="21">
        <v>2250000</v>
      </c>
      <c r="E217" s="21" t="s">
        <v>255</v>
      </c>
      <c r="F217" s="21" t="str">
        <f t="shared" si="6"/>
        <v>rtdc.l.rtdc.4038:itc</v>
      </c>
      <c r="G217" s="8">
        <f t="shared" si="7"/>
        <v>42681.925925925927</v>
      </c>
    </row>
    <row r="218" spans="1:7" x14ac:dyDescent="0.25">
      <c r="A218" s="8">
        <v>42681.943136574075</v>
      </c>
      <c r="B218" s="21" t="s">
        <v>408</v>
      </c>
      <c r="C218" s="21" t="s">
        <v>613</v>
      </c>
      <c r="D218" s="21">
        <v>2250000</v>
      </c>
      <c r="E218" s="21" t="s">
        <v>255</v>
      </c>
      <c r="F218" s="21" t="str">
        <f t="shared" si="6"/>
        <v>rtdc.l.rtdc.4037:itc</v>
      </c>
      <c r="G218" s="8">
        <f t="shared" si="7"/>
        <v>42681.943136574075</v>
      </c>
    </row>
    <row r="219" spans="1:7" x14ac:dyDescent="0.25">
      <c r="A219" s="8">
        <v>42681.947476851848</v>
      </c>
      <c r="B219" s="21" t="s">
        <v>156</v>
      </c>
      <c r="C219" s="21" t="s">
        <v>606</v>
      </c>
      <c r="D219" s="21">
        <v>1810000</v>
      </c>
      <c r="E219" s="21" t="s">
        <v>350</v>
      </c>
      <c r="F219" s="21" t="str">
        <f t="shared" si="6"/>
        <v>rtdc.l.rtdc.4051:itc</v>
      </c>
      <c r="G219" s="8">
        <f t="shared" si="7"/>
        <v>42681.947476851848</v>
      </c>
    </row>
    <row r="220" spans="1:7" x14ac:dyDescent="0.25">
      <c r="A220" s="8">
        <v>42681.953263888892</v>
      </c>
      <c r="B220" s="21" t="s">
        <v>424</v>
      </c>
      <c r="C220" s="21" t="s">
        <v>614</v>
      </c>
      <c r="D220" s="21">
        <v>2550000</v>
      </c>
      <c r="E220" s="21" t="s">
        <v>564</v>
      </c>
      <c r="F220" s="21" t="str">
        <f t="shared" si="6"/>
        <v>rtdc.l.rtdc.4002:itc</v>
      </c>
      <c r="G220" s="8">
        <f t="shared" si="7"/>
        <v>42681.953263888892</v>
      </c>
    </row>
    <row r="221" spans="1:7" x14ac:dyDescent="0.25">
      <c r="A221" s="8">
        <v>42681.954305555555</v>
      </c>
      <c r="B221" s="21" t="s">
        <v>323</v>
      </c>
      <c r="C221" s="21" t="s">
        <v>615</v>
      </c>
      <c r="D221" s="21">
        <v>1800000</v>
      </c>
      <c r="E221" s="21" t="s">
        <v>251</v>
      </c>
      <c r="F221" s="21" t="str">
        <f t="shared" si="6"/>
        <v>rtdc.l.rtdc.4012:itc</v>
      </c>
      <c r="G221" s="8">
        <f t="shared" si="7"/>
        <v>42681.954305555555</v>
      </c>
    </row>
    <row r="222" spans="1:7" x14ac:dyDescent="0.25">
      <c r="A222" s="8">
        <v>42681.961122685185</v>
      </c>
      <c r="B222" s="21" t="s">
        <v>157</v>
      </c>
      <c r="C222" s="21" t="s">
        <v>603</v>
      </c>
      <c r="D222" s="21">
        <v>1810000</v>
      </c>
      <c r="E222" s="21" t="s">
        <v>350</v>
      </c>
      <c r="F222" s="21" t="str">
        <f t="shared" si="6"/>
        <v>rtdc.l.rtdc.4052:itc</v>
      </c>
      <c r="G222" s="8">
        <f t="shared" si="7"/>
        <v>42681.961122685185</v>
      </c>
    </row>
    <row r="223" spans="1:7" x14ac:dyDescent="0.25">
      <c r="A223" s="8">
        <v>42681.963217592594</v>
      </c>
      <c r="B223" s="21" t="s">
        <v>341</v>
      </c>
      <c r="C223" s="21" t="s">
        <v>616</v>
      </c>
      <c r="D223" s="21">
        <v>2470000</v>
      </c>
      <c r="E223" s="21" t="s">
        <v>566</v>
      </c>
      <c r="F223" s="21" t="str">
        <f t="shared" si="6"/>
        <v>rtdc.l.rtdc.4046:itc</v>
      </c>
      <c r="G223" s="8">
        <f t="shared" si="7"/>
        <v>42681.963217592594</v>
      </c>
    </row>
    <row r="224" spans="1:7" x14ac:dyDescent="0.25">
      <c r="A224" s="8">
        <v>42681.975405092591</v>
      </c>
      <c r="B224" t="s">
        <v>311</v>
      </c>
      <c r="C224" t="s">
        <v>432</v>
      </c>
      <c r="D224">
        <v>1230000</v>
      </c>
      <c r="E224" t="s">
        <v>617</v>
      </c>
      <c r="F224" s="21" t="str">
        <f t="shared" si="6"/>
        <v>rtdc.l.rtdc.4026:itc</v>
      </c>
      <c r="G224" s="8">
        <f t="shared" si="7"/>
        <v>42681.975405092591</v>
      </c>
    </row>
    <row r="225" spans="1:7" x14ac:dyDescent="0.25">
      <c r="A225" s="8">
        <v>42681.982083333336</v>
      </c>
      <c r="B225" t="s">
        <v>311</v>
      </c>
      <c r="C225" t="s">
        <v>432</v>
      </c>
      <c r="D225">
        <v>1230000</v>
      </c>
      <c r="E225" t="s">
        <v>617</v>
      </c>
      <c r="F225" s="21" t="str">
        <f t="shared" si="6"/>
        <v>rtdc.l.rtdc.4026:itc</v>
      </c>
      <c r="G225" s="8">
        <f t="shared" si="7"/>
        <v>42681.982083333336</v>
      </c>
    </row>
    <row r="226" spans="1:7" x14ac:dyDescent="0.25">
      <c r="A226" s="8">
        <v>42681.9844212963</v>
      </c>
      <c r="B226" t="s">
        <v>156</v>
      </c>
      <c r="C226" t="s">
        <v>606</v>
      </c>
      <c r="D226">
        <v>1810000</v>
      </c>
      <c r="E226" t="s">
        <v>350</v>
      </c>
      <c r="F226" s="21" t="str">
        <f t="shared" si="6"/>
        <v>rtdc.l.rtdc.4051:itc</v>
      </c>
      <c r="G226" s="8">
        <f t="shared" si="7"/>
        <v>42681.9844212963</v>
      </c>
    </row>
    <row r="227" spans="1:7" x14ac:dyDescent="0.25">
      <c r="A227" s="8">
        <v>42681.994247685187</v>
      </c>
      <c r="B227" t="s">
        <v>404</v>
      </c>
      <c r="C227" t="s">
        <v>618</v>
      </c>
      <c r="D227">
        <v>2550000</v>
      </c>
      <c r="E227" t="s">
        <v>564</v>
      </c>
      <c r="F227" s="21" t="str">
        <f t="shared" si="6"/>
        <v>rtdc.l.rtdc.4001:itc</v>
      </c>
      <c r="G227" s="8">
        <f t="shared" si="7"/>
        <v>42681.994247685187</v>
      </c>
    </row>
    <row r="228" spans="1:7" x14ac:dyDescent="0.25">
      <c r="A228" s="8">
        <v>42681.999756944446</v>
      </c>
      <c r="B228" t="s">
        <v>231</v>
      </c>
      <c r="C228" t="s">
        <v>619</v>
      </c>
      <c r="D228">
        <v>1800000</v>
      </c>
      <c r="E228" t="s">
        <v>251</v>
      </c>
      <c r="F228" s="21" t="str">
        <f t="shared" si="6"/>
        <v>rtdc.l.rtdc.4011:itc</v>
      </c>
      <c r="G228" s="8">
        <f t="shared" si="7"/>
        <v>42681.999756944446</v>
      </c>
    </row>
    <row r="229" spans="1:7" x14ac:dyDescent="0.25">
      <c r="A229" s="8">
        <v>42682.003680555557</v>
      </c>
      <c r="B229" t="s">
        <v>157</v>
      </c>
      <c r="C229" t="s">
        <v>606</v>
      </c>
      <c r="D229">
        <v>1810000</v>
      </c>
      <c r="E229" t="s">
        <v>350</v>
      </c>
      <c r="F229" s="21" t="str">
        <f t="shared" si="6"/>
        <v>rtdc.l.rtdc.4052:itc</v>
      </c>
      <c r="G229" s="8">
        <f t="shared" si="7"/>
        <v>42682.003680555557</v>
      </c>
    </row>
    <row r="230" spans="1:7" x14ac:dyDescent="0.25">
      <c r="A230" s="8">
        <v>42682.004236111112</v>
      </c>
      <c r="B230" t="s">
        <v>157</v>
      </c>
      <c r="C230" t="s">
        <v>603</v>
      </c>
      <c r="D230">
        <v>1810000</v>
      </c>
      <c r="E230" t="s">
        <v>350</v>
      </c>
      <c r="F230" s="21" t="str">
        <f t="shared" si="6"/>
        <v>rtdc.l.rtdc.4052:itc</v>
      </c>
      <c r="G230" s="8">
        <f t="shared" si="7"/>
        <v>42682.004236111112</v>
      </c>
    </row>
    <row r="231" spans="1:7" x14ac:dyDescent="0.25">
      <c r="A231" s="8">
        <v>42682.006423611114</v>
      </c>
      <c r="B231" t="s">
        <v>305</v>
      </c>
      <c r="C231" t="s">
        <v>620</v>
      </c>
      <c r="D231">
        <v>2480000</v>
      </c>
      <c r="E231" t="s">
        <v>266</v>
      </c>
      <c r="F231" s="21" t="str">
        <f t="shared" si="6"/>
        <v>rtdc.l.rtdc.4031:itc</v>
      </c>
      <c r="G231" s="8">
        <f t="shared" si="7"/>
        <v>42682.006423611114</v>
      </c>
    </row>
    <row r="232" spans="1:7" x14ac:dyDescent="0.25">
      <c r="A232" s="8">
        <v>42682.016180555554</v>
      </c>
      <c r="B232" t="s">
        <v>340</v>
      </c>
      <c r="C232" t="s">
        <v>621</v>
      </c>
      <c r="D232">
        <v>2470000</v>
      </c>
      <c r="E232" t="s">
        <v>566</v>
      </c>
      <c r="F232" s="21" t="str">
        <f t="shared" si="6"/>
        <v>rtdc.l.rtdc.4045:itc</v>
      </c>
      <c r="G232" s="8">
        <f t="shared" si="7"/>
        <v>42682.016180555554</v>
      </c>
    </row>
    <row r="233" spans="1:7" x14ac:dyDescent="0.25">
      <c r="A233" s="8">
        <v>42682.02847222222</v>
      </c>
      <c r="B233" t="s">
        <v>424</v>
      </c>
      <c r="C233" t="s">
        <v>622</v>
      </c>
      <c r="D233">
        <v>2550000</v>
      </c>
      <c r="E233" t="s">
        <v>564</v>
      </c>
      <c r="F233" s="21" t="str">
        <f t="shared" si="6"/>
        <v>rtdc.l.rtdc.4002:itc</v>
      </c>
      <c r="G233" s="8">
        <f t="shared" si="7"/>
        <v>42682.02847222222</v>
      </c>
    </row>
    <row r="234" spans="1:7" x14ac:dyDescent="0.25">
      <c r="A234" s="8">
        <v>42682.036400462966</v>
      </c>
      <c r="B234" t="s">
        <v>156</v>
      </c>
      <c r="C234" t="s">
        <v>606</v>
      </c>
      <c r="D234">
        <v>1810000</v>
      </c>
      <c r="E234" t="s">
        <v>350</v>
      </c>
      <c r="F234" s="21" t="str">
        <f t="shared" si="6"/>
        <v>rtdc.l.rtdc.4051:itc</v>
      </c>
      <c r="G234" s="8">
        <f t="shared" si="7"/>
        <v>42682.036400462966</v>
      </c>
    </row>
    <row r="235" spans="1:7" x14ac:dyDescent="0.25">
      <c r="A235" s="8">
        <v>42682.038993055554</v>
      </c>
      <c r="B235" t="s">
        <v>323</v>
      </c>
      <c r="C235" t="s">
        <v>623</v>
      </c>
      <c r="D235">
        <v>1800000</v>
      </c>
      <c r="E235" t="s">
        <v>251</v>
      </c>
      <c r="F235" s="21" t="str">
        <f t="shared" si="6"/>
        <v>rtdc.l.rtdc.4012:itc</v>
      </c>
      <c r="G235" s="8">
        <f t="shared" si="7"/>
        <v>42682.038993055554</v>
      </c>
    </row>
    <row r="236" spans="1:7" x14ac:dyDescent="0.25">
      <c r="A236" s="8">
        <v>42682.048263888886</v>
      </c>
      <c r="B236" t="s">
        <v>341</v>
      </c>
      <c r="C236" t="s">
        <v>624</v>
      </c>
      <c r="D236">
        <v>2470000</v>
      </c>
      <c r="E236" t="s">
        <v>566</v>
      </c>
      <c r="F236" s="21" t="str">
        <f t="shared" ref="F236:F265" si="8">B236</f>
        <v>rtdc.l.rtdc.4046:itc</v>
      </c>
      <c r="G236" s="8">
        <f t="shared" ref="G236:G265" si="9">A236</f>
        <v>42682.048263888886</v>
      </c>
    </row>
    <row r="237" spans="1:7" x14ac:dyDescent="0.25">
      <c r="A237" s="8">
        <v>42682.048981481479</v>
      </c>
      <c r="B237" t="s">
        <v>341</v>
      </c>
      <c r="C237" t="s">
        <v>624</v>
      </c>
      <c r="D237">
        <v>2470000</v>
      </c>
      <c r="E237" t="s">
        <v>566</v>
      </c>
      <c r="F237" s="21" t="str">
        <f t="shared" si="8"/>
        <v>rtdc.l.rtdc.4046:itc</v>
      </c>
      <c r="G237" s="8">
        <f t="shared" si="9"/>
        <v>42682.048981481479</v>
      </c>
    </row>
    <row r="238" spans="1:7" x14ac:dyDescent="0.25">
      <c r="A238" s="8">
        <v>42682.050173611111</v>
      </c>
      <c r="B238" t="s">
        <v>341</v>
      </c>
      <c r="C238" t="s">
        <v>624</v>
      </c>
      <c r="D238">
        <v>2470000</v>
      </c>
      <c r="E238" t="s">
        <v>566</v>
      </c>
      <c r="F238" s="21" t="str">
        <f t="shared" si="8"/>
        <v>rtdc.l.rtdc.4046:itc</v>
      </c>
      <c r="G238" s="8">
        <f t="shared" si="9"/>
        <v>42682.050173611111</v>
      </c>
    </row>
    <row r="239" spans="1:7" x14ac:dyDescent="0.25">
      <c r="A239" s="8">
        <v>42682.059317129628</v>
      </c>
      <c r="B239" t="s">
        <v>157</v>
      </c>
      <c r="C239" t="s">
        <v>603</v>
      </c>
      <c r="D239">
        <v>1810000</v>
      </c>
      <c r="E239" t="s">
        <v>350</v>
      </c>
      <c r="F239" s="21" t="str">
        <f t="shared" si="8"/>
        <v>rtdc.l.rtdc.4052:itc</v>
      </c>
      <c r="G239" s="8">
        <f t="shared" si="9"/>
        <v>42682.059317129628</v>
      </c>
    </row>
    <row r="240" spans="1:7" x14ac:dyDescent="0.25">
      <c r="A240" s="8">
        <v>42682.060358796298</v>
      </c>
      <c r="B240" t="s">
        <v>262</v>
      </c>
      <c r="C240" t="s">
        <v>625</v>
      </c>
      <c r="D240">
        <v>2480000</v>
      </c>
      <c r="E240" t="s">
        <v>266</v>
      </c>
      <c r="F240" s="21" t="str">
        <f t="shared" si="8"/>
        <v>rtdc.l.rtdc.4032:itc</v>
      </c>
      <c r="G240" s="8">
        <f t="shared" si="9"/>
        <v>42682.060358796298</v>
      </c>
    </row>
    <row r="241" spans="1:7" x14ac:dyDescent="0.25">
      <c r="A241" s="8">
        <v>42682.071967592594</v>
      </c>
      <c r="B241" t="s">
        <v>231</v>
      </c>
      <c r="C241" t="s">
        <v>626</v>
      </c>
      <c r="D241">
        <v>1800000</v>
      </c>
      <c r="E241" t="s">
        <v>251</v>
      </c>
      <c r="F241" s="21" t="str">
        <f t="shared" si="8"/>
        <v>rtdc.l.rtdc.4011:itc</v>
      </c>
      <c r="G241" s="8">
        <f t="shared" si="9"/>
        <v>42682.071967592594</v>
      </c>
    </row>
    <row r="242" spans="1:7" x14ac:dyDescent="0.25">
      <c r="A242" s="8">
        <v>42677.066481481481</v>
      </c>
      <c r="B242" t="s">
        <v>239</v>
      </c>
      <c r="C242" t="s">
        <v>312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192</v>
      </c>
      <c r="C243" t="s">
        <v>313</v>
      </c>
      <c r="D243">
        <v>2250000</v>
      </c>
      <c r="E243" t="s">
        <v>255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233</v>
      </c>
      <c r="C244" t="s">
        <v>279</v>
      </c>
      <c r="D244">
        <v>2430000</v>
      </c>
      <c r="E244" t="s">
        <v>265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256</v>
      </c>
      <c r="C245" t="s">
        <v>278</v>
      </c>
      <c r="D245">
        <v>2000000</v>
      </c>
      <c r="E245" t="s">
        <v>277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225</v>
      </c>
      <c r="C246" t="s">
        <v>280</v>
      </c>
      <c r="D246">
        <v>2250000</v>
      </c>
      <c r="E246" t="s">
        <v>255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238</v>
      </c>
      <c r="C247" t="s">
        <v>281</v>
      </c>
      <c r="D247">
        <v>1800000</v>
      </c>
      <c r="E247" t="s">
        <v>251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264</v>
      </c>
      <c r="C248" t="s">
        <v>282</v>
      </c>
      <c r="D248">
        <v>2000000</v>
      </c>
      <c r="E248" t="s">
        <v>277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273</v>
      </c>
      <c r="C249" t="s">
        <v>283</v>
      </c>
      <c r="D249">
        <v>2480000</v>
      </c>
      <c r="E249" t="s">
        <v>266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245</v>
      </c>
      <c r="C250" t="s">
        <v>284</v>
      </c>
      <c r="D250">
        <v>2430000</v>
      </c>
      <c r="E250" t="s">
        <v>265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224</v>
      </c>
      <c r="C251" t="s">
        <v>285</v>
      </c>
      <c r="D251">
        <v>2250000</v>
      </c>
      <c r="E251" t="s">
        <v>255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261</v>
      </c>
      <c r="C252" t="s">
        <v>286</v>
      </c>
      <c r="D252">
        <v>1800000</v>
      </c>
      <c r="E252" t="s">
        <v>251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276</v>
      </c>
      <c r="C253" t="s">
        <v>287</v>
      </c>
      <c r="D253">
        <v>2480000</v>
      </c>
      <c r="E253" t="s">
        <v>266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233</v>
      </c>
      <c r="C254" t="s">
        <v>288</v>
      </c>
      <c r="D254">
        <v>2430000</v>
      </c>
      <c r="E254" t="s">
        <v>265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225</v>
      </c>
      <c r="C255" t="s">
        <v>289</v>
      </c>
      <c r="D255">
        <v>2250000</v>
      </c>
      <c r="E255" t="s">
        <v>255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238</v>
      </c>
      <c r="C256" t="s">
        <v>290</v>
      </c>
      <c r="D256">
        <v>1800000</v>
      </c>
      <c r="E256" t="s">
        <v>251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245</v>
      </c>
      <c r="C257" t="s">
        <v>291</v>
      </c>
      <c r="D257">
        <v>2430000</v>
      </c>
      <c r="E257" t="s">
        <v>265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273</v>
      </c>
      <c r="C258" t="s">
        <v>292</v>
      </c>
      <c r="D258">
        <v>2480000</v>
      </c>
      <c r="E258" t="s">
        <v>266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224</v>
      </c>
      <c r="C259" t="s">
        <v>275</v>
      </c>
      <c r="D259">
        <v>2250000</v>
      </c>
      <c r="E259" t="s">
        <v>255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261</v>
      </c>
      <c r="C260" t="s">
        <v>293</v>
      </c>
      <c r="D260">
        <v>1800000</v>
      </c>
      <c r="E260" t="s">
        <v>251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276</v>
      </c>
      <c r="C261" t="s">
        <v>294</v>
      </c>
      <c r="D261">
        <v>2480000</v>
      </c>
      <c r="E261" t="s">
        <v>266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238</v>
      </c>
      <c r="C262" t="s">
        <v>295</v>
      </c>
      <c r="D262">
        <v>1800000</v>
      </c>
      <c r="E262" t="s">
        <v>251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188</v>
      </c>
      <c r="C263" t="s">
        <v>194</v>
      </c>
      <c r="D263">
        <v>1480000</v>
      </c>
      <c r="E263" t="s">
        <v>186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191</v>
      </c>
      <c r="C264" t="s">
        <v>195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193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193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193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193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193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189</v>
      </c>
      <c r="C270" t="s">
        <v>196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193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193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193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4" customWidth="1"/>
    <col min="2" max="2" width="8.42578125" style="134" bestFit="1" customWidth="1"/>
    <col min="3" max="3" width="12.5703125" style="134" bestFit="1" customWidth="1"/>
    <col min="4" max="4" width="18.5703125" style="154" bestFit="1" customWidth="1"/>
    <col min="5" max="5" width="9.85546875" style="134" bestFit="1" customWidth="1"/>
    <col min="6" max="6" width="9" style="134" bestFit="1" customWidth="1"/>
    <col min="7" max="7" width="8.85546875" style="134" bestFit="1" customWidth="1"/>
    <col min="8" max="8" width="14" style="134" bestFit="1" customWidth="1"/>
    <col min="9" max="9" width="21.140625" style="134" bestFit="1" customWidth="1"/>
    <col min="10" max="10" width="8.7109375" style="134" bestFit="1" customWidth="1"/>
    <col min="11" max="11" width="11.28515625" style="134" bestFit="1" customWidth="1"/>
    <col min="12" max="12" width="11" style="134" bestFit="1" customWidth="1"/>
    <col min="13" max="13" width="11.28515625" style="134" bestFit="1" customWidth="1"/>
    <col min="14" max="14" width="13.7109375" style="134" bestFit="1" customWidth="1"/>
    <col min="15" max="15" width="14.85546875" style="134" bestFit="1" customWidth="1"/>
    <col min="16" max="16" width="16.7109375" style="134" bestFit="1" customWidth="1"/>
    <col min="17" max="17" width="9.42578125" style="134" bestFit="1" customWidth="1"/>
    <col min="18" max="16384" width="9.140625" style="134"/>
  </cols>
  <sheetData>
    <row r="1" spans="1:17" s="135" customFormat="1" x14ac:dyDescent="0.25">
      <c r="A1" s="175" t="s">
        <v>167</v>
      </c>
      <c r="B1" s="175" t="s">
        <v>170</v>
      </c>
      <c r="C1" s="175" t="s">
        <v>163</v>
      </c>
      <c r="D1" s="160" t="s">
        <v>177</v>
      </c>
      <c r="E1" s="175" t="s">
        <v>164</v>
      </c>
      <c r="F1" s="175" t="s">
        <v>162</v>
      </c>
      <c r="G1" s="175" t="s">
        <v>160</v>
      </c>
      <c r="H1" s="175" t="s">
        <v>173</v>
      </c>
      <c r="I1" s="175" t="s">
        <v>174</v>
      </c>
      <c r="J1" s="175" t="s">
        <v>168</v>
      </c>
      <c r="K1" s="175" t="s">
        <v>166</v>
      </c>
      <c r="L1" s="175" t="s">
        <v>161</v>
      </c>
      <c r="M1" s="175" t="s">
        <v>171</v>
      </c>
      <c r="N1" s="175" t="s">
        <v>165</v>
      </c>
      <c r="O1" s="175" t="s">
        <v>172</v>
      </c>
      <c r="P1" s="175" t="s">
        <v>169</v>
      </c>
      <c r="Q1"/>
    </row>
    <row r="2" spans="1:17" x14ac:dyDescent="0.25">
      <c r="A2" s="166">
        <v>46.9</v>
      </c>
      <c r="B2" s="166">
        <v>0.04</v>
      </c>
      <c r="C2" s="166">
        <v>26.38</v>
      </c>
      <c r="D2" s="8">
        <v>42681</v>
      </c>
      <c r="E2" s="166">
        <v>0.44</v>
      </c>
      <c r="F2" s="166" t="s">
        <v>257</v>
      </c>
      <c r="G2" s="166">
        <v>252.04</v>
      </c>
      <c r="H2" s="166">
        <v>0</v>
      </c>
      <c r="I2" s="166">
        <v>0</v>
      </c>
      <c r="J2" s="166">
        <v>1018.5</v>
      </c>
      <c r="K2" s="166" t="s">
        <v>258</v>
      </c>
      <c r="L2" s="166">
        <v>46.9</v>
      </c>
      <c r="M2" s="166">
        <v>1478502000</v>
      </c>
      <c r="N2" s="166">
        <v>5.71</v>
      </c>
      <c r="O2" s="166">
        <v>292</v>
      </c>
      <c r="P2" s="166">
        <v>2.95</v>
      </c>
      <c r="Q2"/>
    </row>
    <row r="3" spans="1:17" x14ac:dyDescent="0.25">
      <c r="A3" s="166">
        <v>44.87</v>
      </c>
      <c r="B3" s="166">
        <v>7.0000000000000007E-2</v>
      </c>
      <c r="C3" s="166">
        <v>26.56</v>
      </c>
      <c r="D3" s="8">
        <v>42681.041666666664</v>
      </c>
      <c r="E3" s="166">
        <v>0.48</v>
      </c>
      <c r="F3" s="166" t="s">
        <v>257</v>
      </c>
      <c r="G3" s="166">
        <v>252.44</v>
      </c>
      <c r="H3" s="166">
        <v>0</v>
      </c>
      <c r="I3" s="166">
        <v>0</v>
      </c>
      <c r="J3" s="166">
        <v>1019.19</v>
      </c>
      <c r="K3" s="166" t="s">
        <v>258</v>
      </c>
      <c r="L3" s="166">
        <v>44.87</v>
      </c>
      <c r="M3" s="166">
        <v>1478505600</v>
      </c>
      <c r="N3" s="166">
        <v>5.44</v>
      </c>
      <c r="O3" s="166">
        <v>279</v>
      </c>
      <c r="P3" s="166">
        <v>2.25</v>
      </c>
      <c r="Q3"/>
    </row>
    <row r="4" spans="1:17" x14ac:dyDescent="0.25">
      <c r="A4" s="166">
        <v>41.65</v>
      </c>
      <c r="B4" s="166">
        <v>0.1</v>
      </c>
      <c r="C4" s="166">
        <v>28.24</v>
      </c>
      <c r="D4" s="8">
        <v>42681.083333333336</v>
      </c>
      <c r="E4" s="166">
        <v>0.55000000000000004</v>
      </c>
      <c r="F4" s="166" t="s">
        <v>257</v>
      </c>
      <c r="G4" s="166">
        <v>252.84</v>
      </c>
      <c r="H4" s="166">
        <v>0</v>
      </c>
      <c r="I4" s="166">
        <v>0</v>
      </c>
      <c r="J4" s="166">
        <v>1019.88</v>
      </c>
      <c r="K4" s="166" t="s">
        <v>258</v>
      </c>
      <c r="L4" s="166">
        <v>43.19</v>
      </c>
      <c r="M4" s="166">
        <v>1478509200</v>
      </c>
      <c r="N4" s="166">
        <v>4.63</v>
      </c>
      <c r="O4" s="166">
        <v>235</v>
      </c>
      <c r="P4" s="166">
        <v>3.3</v>
      </c>
      <c r="Q4"/>
    </row>
    <row r="5" spans="1:17" x14ac:dyDescent="0.25">
      <c r="A5" s="166">
        <v>42.04</v>
      </c>
      <c r="B5" s="166">
        <v>0.19</v>
      </c>
      <c r="C5" s="166">
        <v>27.76</v>
      </c>
      <c r="D5" s="8">
        <v>42681.125</v>
      </c>
      <c r="E5" s="166">
        <v>0.56999999999999995</v>
      </c>
      <c r="F5" s="166" t="s">
        <v>257</v>
      </c>
      <c r="G5" s="166">
        <v>252.55</v>
      </c>
      <c r="H5" s="166">
        <v>0</v>
      </c>
      <c r="I5" s="166">
        <v>0</v>
      </c>
      <c r="J5" s="166">
        <v>1020.53</v>
      </c>
      <c r="K5" s="166" t="s">
        <v>258</v>
      </c>
      <c r="L5" s="166">
        <v>42.04</v>
      </c>
      <c r="M5" s="166">
        <v>1478512800</v>
      </c>
      <c r="N5" s="166">
        <v>4.04</v>
      </c>
      <c r="O5" s="166">
        <v>222</v>
      </c>
      <c r="P5" s="166">
        <v>2.75</v>
      </c>
      <c r="Q5"/>
    </row>
    <row r="6" spans="1:17" x14ac:dyDescent="0.25">
      <c r="A6" s="166">
        <v>40.98</v>
      </c>
      <c r="B6" s="166">
        <v>0.32</v>
      </c>
      <c r="C6" s="166">
        <v>26.19</v>
      </c>
      <c r="D6" s="8">
        <v>42681.166666666664</v>
      </c>
      <c r="E6" s="166">
        <v>0.55000000000000004</v>
      </c>
      <c r="F6" s="166" t="s">
        <v>246</v>
      </c>
      <c r="G6" s="166">
        <v>251.99</v>
      </c>
      <c r="H6" s="166">
        <v>0</v>
      </c>
      <c r="I6" s="166">
        <v>0</v>
      </c>
      <c r="J6" s="166">
        <v>1021.18</v>
      </c>
      <c r="K6" s="166" t="s">
        <v>247</v>
      </c>
      <c r="L6" s="166">
        <v>40.98</v>
      </c>
      <c r="M6" s="166">
        <v>1478516400</v>
      </c>
      <c r="N6" s="166">
        <v>4.4400000000000004</v>
      </c>
      <c r="O6" s="166">
        <v>226</v>
      </c>
      <c r="P6" s="166">
        <v>2.99</v>
      </c>
      <c r="Q6"/>
    </row>
    <row r="7" spans="1:17" x14ac:dyDescent="0.25">
      <c r="A7" s="166">
        <v>40.159999999999997</v>
      </c>
      <c r="B7" s="166">
        <v>0.37</v>
      </c>
      <c r="C7" s="166">
        <v>25.8</v>
      </c>
      <c r="D7" s="8">
        <v>42681.208333333336</v>
      </c>
      <c r="E7" s="166">
        <v>0.56000000000000005</v>
      </c>
      <c r="F7" s="166" t="s">
        <v>246</v>
      </c>
      <c r="G7" s="166">
        <v>251.54</v>
      </c>
      <c r="H7" s="166">
        <v>0</v>
      </c>
      <c r="I7" s="166">
        <v>0</v>
      </c>
      <c r="J7" s="166">
        <v>1021.98</v>
      </c>
      <c r="K7" s="166" t="s">
        <v>247</v>
      </c>
      <c r="L7" s="166">
        <v>40.159999999999997</v>
      </c>
      <c r="M7" s="166">
        <v>1478520000</v>
      </c>
      <c r="N7" s="166">
        <v>4.91</v>
      </c>
      <c r="O7" s="166">
        <v>223</v>
      </c>
      <c r="P7" s="166">
        <v>0.84</v>
      </c>
      <c r="Q7"/>
    </row>
    <row r="8" spans="1:17" x14ac:dyDescent="0.25">
      <c r="A8" s="166">
        <v>40.29</v>
      </c>
      <c r="B8" s="166">
        <v>0.32</v>
      </c>
      <c r="C8" s="166">
        <v>27.27</v>
      </c>
      <c r="D8" s="8">
        <v>42681.25</v>
      </c>
      <c r="E8" s="166">
        <v>0.59</v>
      </c>
      <c r="F8" s="166" t="s">
        <v>246</v>
      </c>
      <c r="G8" s="166">
        <v>251.3</v>
      </c>
      <c r="H8" s="166">
        <v>0</v>
      </c>
      <c r="I8" s="166">
        <v>0</v>
      </c>
      <c r="J8" s="166">
        <v>1023.09</v>
      </c>
      <c r="K8" s="166" t="s">
        <v>247</v>
      </c>
      <c r="L8" s="166">
        <v>40.29</v>
      </c>
      <c r="M8" s="166">
        <v>1478523600</v>
      </c>
      <c r="N8" s="166">
        <v>3.62</v>
      </c>
      <c r="O8" s="166">
        <v>293</v>
      </c>
      <c r="P8" s="166">
        <v>2.76</v>
      </c>
      <c r="Q8"/>
    </row>
    <row r="9" spans="1:17" x14ac:dyDescent="0.25">
      <c r="A9" s="166">
        <v>40.96</v>
      </c>
      <c r="B9" s="166">
        <v>0.23</v>
      </c>
      <c r="C9" s="166">
        <v>28.39</v>
      </c>
      <c r="D9" s="8">
        <v>42681.291666666664</v>
      </c>
      <c r="E9" s="166">
        <v>0.61</v>
      </c>
      <c r="F9" s="166" t="s">
        <v>314</v>
      </c>
      <c r="G9" s="166">
        <v>251.18</v>
      </c>
      <c r="H9" s="166">
        <v>0</v>
      </c>
      <c r="I9" s="166">
        <v>0</v>
      </c>
      <c r="J9" s="166">
        <v>1024.17</v>
      </c>
      <c r="K9" s="166" t="s">
        <v>258</v>
      </c>
      <c r="L9" s="166">
        <v>40.96</v>
      </c>
      <c r="M9" s="166">
        <v>1478527200</v>
      </c>
      <c r="N9" s="166">
        <v>3.12</v>
      </c>
      <c r="O9" s="166">
        <v>306</v>
      </c>
      <c r="P9" s="166">
        <v>1.44</v>
      </c>
      <c r="Q9"/>
    </row>
    <row r="10" spans="1:17" x14ac:dyDescent="0.25">
      <c r="A10" s="166">
        <v>42.31</v>
      </c>
      <c r="B10" s="166">
        <v>0.12</v>
      </c>
      <c r="C10" s="166">
        <v>28.85</v>
      </c>
      <c r="D10" s="8">
        <v>42681.333333333336</v>
      </c>
      <c r="E10" s="166">
        <v>0.59</v>
      </c>
      <c r="F10" s="166" t="s">
        <v>314</v>
      </c>
      <c r="G10" s="166">
        <v>251.24</v>
      </c>
      <c r="H10" s="166">
        <v>0</v>
      </c>
      <c r="I10" s="166">
        <v>0</v>
      </c>
      <c r="J10" s="166">
        <v>1024.76</v>
      </c>
      <c r="K10" s="166" t="s">
        <v>258</v>
      </c>
      <c r="L10" s="166">
        <v>42.31</v>
      </c>
      <c r="M10" s="166">
        <v>1478530800</v>
      </c>
      <c r="N10" s="166">
        <v>10</v>
      </c>
      <c r="O10" s="166">
        <v>252</v>
      </c>
      <c r="P10" s="166">
        <v>1.48</v>
      </c>
      <c r="Q10"/>
    </row>
    <row r="11" spans="1:17" x14ac:dyDescent="0.25">
      <c r="A11" s="166">
        <v>50.31</v>
      </c>
      <c r="B11" s="166">
        <v>0.08</v>
      </c>
      <c r="C11" s="166">
        <v>30.89</v>
      </c>
      <c r="D11" s="8">
        <v>42681.375</v>
      </c>
      <c r="E11" s="166">
        <v>0.47</v>
      </c>
      <c r="F11" s="166" t="s">
        <v>314</v>
      </c>
      <c r="G11" s="166">
        <v>251.64</v>
      </c>
      <c r="H11" s="166">
        <v>0</v>
      </c>
      <c r="I11" s="166">
        <v>0</v>
      </c>
      <c r="J11" s="166">
        <v>1024.94</v>
      </c>
      <c r="K11" s="166" t="s">
        <v>258</v>
      </c>
      <c r="L11" s="166">
        <v>50.31</v>
      </c>
      <c r="M11" s="166">
        <v>1478534400</v>
      </c>
      <c r="N11" s="166">
        <v>2.83</v>
      </c>
      <c r="O11" s="166">
        <v>356</v>
      </c>
      <c r="P11" s="166">
        <v>1.36</v>
      </c>
      <c r="Q11"/>
    </row>
    <row r="12" spans="1:17" x14ac:dyDescent="0.25">
      <c r="A12" s="166">
        <v>55.92</v>
      </c>
      <c r="B12" s="166">
        <v>0.05</v>
      </c>
      <c r="C12" s="166">
        <v>30.82</v>
      </c>
      <c r="D12" s="8">
        <v>42681.416666666664</v>
      </c>
      <c r="E12" s="166">
        <v>0.38</v>
      </c>
      <c r="F12" s="166" t="s">
        <v>314</v>
      </c>
      <c r="G12" s="166">
        <v>252.23</v>
      </c>
      <c r="H12" s="166">
        <v>0</v>
      </c>
      <c r="I12" s="166">
        <v>0</v>
      </c>
      <c r="J12" s="166">
        <v>1024.6600000000001</v>
      </c>
      <c r="K12" s="166" t="s">
        <v>258</v>
      </c>
      <c r="L12" s="166">
        <v>55.92</v>
      </c>
      <c r="M12" s="166">
        <v>1478538000</v>
      </c>
      <c r="N12" s="166">
        <v>2.81</v>
      </c>
      <c r="O12" s="166">
        <v>0</v>
      </c>
      <c r="P12" s="166">
        <v>2.81</v>
      </c>
      <c r="Q12"/>
    </row>
    <row r="13" spans="1:17" x14ac:dyDescent="0.25">
      <c r="A13" s="166">
        <v>57.91</v>
      </c>
      <c r="B13" s="166">
        <v>0.09</v>
      </c>
      <c r="C13" s="166">
        <v>28.35</v>
      </c>
      <c r="D13" s="8">
        <v>42681.458333333336</v>
      </c>
      <c r="E13" s="166">
        <v>0.32</v>
      </c>
      <c r="F13" s="166" t="s">
        <v>314</v>
      </c>
      <c r="G13" s="166">
        <v>252.65</v>
      </c>
      <c r="H13" s="166">
        <v>0</v>
      </c>
      <c r="I13" s="166">
        <v>0</v>
      </c>
      <c r="J13" s="166">
        <v>1024.32</v>
      </c>
      <c r="K13" s="166" t="s">
        <v>258</v>
      </c>
      <c r="L13" s="166">
        <v>57.91</v>
      </c>
      <c r="M13" s="166">
        <v>1478541600</v>
      </c>
      <c r="N13" s="166">
        <v>2.87</v>
      </c>
      <c r="O13" s="166">
        <v>9</v>
      </c>
      <c r="P13" s="166">
        <v>3.63</v>
      </c>
      <c r="Q13"/>
    </row>
    <row r="14" spans="1:17" x14ac:dyDescent="0.25">
      <c r="A14" s="166">
        <v>60.49</v>
      </c>
      <c r="B14" s="166">
        <v>0.05</v>
      </c>
      <c r="C14" s="166">
        <v>26.08</v>
      </c>
      <c r="D14" s="8">
        <v>42681.5</v>
      </c>
      <c r="E14" s="166">
        <v>0.27</v>
      </c>
      <c r="F14" s="166" t="s">
        <v>314</v>
      </c>
      <c r="G14" s="166">
        <v>252.84</v>
      </c>
      <c r="H14" s="166">
        <v>0</v>
      </c>
      <c r="I14" s="166">
        <v>0</v>
      </c>
      <c r="J14" s="166">
        <v>1023.85</v>
      </c>
      <c r="K14" s="166" t="s">
        <v>258</v>
      </c>
      <c r="L14" s="166">
        <v>60.49</v>
      </c>
      <c r="M14" s="166">
        <v>1478545200</v>
      </c>
      <c r="N14" s="166">
        <v>2.82</v>
      </c>
      <c r="O14" s="166">
        <v>20</v>
      </c>
      <c r="P14" s="166">
        <v>4.12</v>
      </c>
      <c r="Q14"/>
    </row>
    <row r="15" spans="1:17" x14ac:dyDescent="0.25">
      <c r="A15" s="166">
        <v>62.89</v>
      </c>
      <c r="B15" s="166">
        <v>0.05</v>
      </c>
      <c r="C15" s="166">
        <v>27.01</v>
      </c>
      <c r="D15" s="8">
        <v>42681.541666666664</v>
      </c>
      <c r="E15" s="166">
        <v>0.26</v>
      </c>
      <c r="F15" s="166" t="s">
        <v>314</v>
      </c>
      <c r="G15" s="166">
        <v>252.86</v>
      </c>
      <c r="H15" s="166">
        <v>0</v>
      </c>
      <c r="I15" s="166">
        <v>0</v>
      </c>
      <c r="J15" s="166">
        <v>1023.28</v>
      </c>
      <c r="K15" s="166" t="s">
        <v>258</v>
      </c>
      <c r="L15" s="166">
        <v>62.89</v>
      </c>
      <c r="M15" s="166">
        <v>1478548800</v>
      </c>
      <c r="N15" s="166">
        <v>2.82</v>
      </c>
      <c r="O15" s="166">
        <v>27</v>
      </c>
      <c r="P15" s="166">
        <v>3.86</v>
      </c>
      <c r="Q15"/>
    </row>
    <row r="16" spans="1:17" x14ac:dyDescent="0.25">
      <c r="A16" s="166">
        <v>62.8</v>
      </c>
      <c r="B16" s="166">
        <v>0.05</v>
      </c>
      <c r="C16" s="166">
        <v>27.23</v>
      </c>
      <c r="D16" s="8">
        <v>42681.583333333336</v>
      </c>
      <c r="E16" s="166">
        <v>0.26</v>
      </c>
      <c r="F16" s="166" t="s">
        <v>314</v>
      </c>
      <c r="G16" s="166">
        <v>252.54</v>
      </c>
      <c r="H16" s="166">
        <v>0</v>
      </c>
      <c r="I16" s="166">
        <v>0</v>
      </c>
      <c r="J16" s="166">
        <v>1023.12</v>
      </c>
      <c r="K16" s="166" t="s">
        <v>258</v>
      </c>
      <c r="L16" s="166">
        <v>62.8</v>
      </c>
      <c r="M16" s="166">
        <v>1478552400</v>
      </c>
      <c r="N16" s="166">
        <v>2.83</v>
      </c>
      <c r="O16" s="166">
        <v>25</v>
      </c>
      <c r="P16" s="166">
        <v>3.88</v>
      </c>
      <c r="Q16"/>
    </row>
    <row r="17" spans="1:17" x14ac:dyDescent="0.25">
      <c r="A17" s="166">
        <v>62.81</v>
      </c>
      <c r="B17" s="166">
        <v>0.05</v>
      </c>
      <c r="C17" s="166">
        <v>27.72</v>
      </c>
      <c r="D17" s="8">
        <v>42681.625</v>
      </c>
      <c r="E17" s="166">
        <v>0.26</v>
      </c>
      <c r="F17" s="166" t="s">
        <v>314</v>
      </c>
      <c r="G17" s="166">
        <v>251.66</v>
      </c>
      <c r="H17" s="166">
        <v>0</v>
      </c>
      <c r="I17" s="166">
        <v>0</v>
      </c>
      <c r="J17" s="166">
        <v>1023.63</v>
      </c>
      <c r="K17" s="166" t="s">
        <v>258</v>
      </c>
      <c r="L17" s="166">
        <v>62.81</v>
      </c>
      <c r="M17" s="166">
        <v>1478556000</v>
      </c>
      <c r="N17" s="166">
        <v>2.86</v>
      </c>
      <c r="O17" s="166">
        <v>26</v>
      </c>
      <c r="P17" s="166">
        <v>3.86</v>
      </c>
      <c r="Q17"/>
    </row>
    <row r="18" spans="1:17" x14ac:dyDescent="0.25">
      <c r="A18" s="166">
        <v>60.51</v>
      </c>
      <c r="B18" s="166">
        <v>0.05</v>
      </c>
      <c r="C18" s="166">
        <v>27.11</v>
      </c>
      <c r="D18" s="8">
        <v>42681.666666666664</v>
      </c>
      <c r="E18" s="166">
        <v>0.28000000000000003</v>
      </c>
      <c r="F18" s="166" t="s">
        <v>314</v>
      </c>
      <c r="G18" s="166">
        <v>250.44</v>
      </c>
      <c r="H18" s="166">
        <v>0</v>
      </c>
      <c r="I18" s="166">
        <v>0</v>
      </c>
      <c r="J18" s="166">
        <v>1024.54</v>
      </c>
      <c r="K18" s="166" t="s">
        <v>258</v>
      </c>
      <c r="L18" s="166">
        <v>60.51</v>
      </c>
      <c r="M18" s="166">
        <v>1478559600</v>
      </c>
      <c r="N18" s="166">
        <v>5.13</v>
      </c>
      <c r="O18" s="166">
        <v>43</v>
      </c>
      <c r="P18" s="166">
        <v>3.49</v>
      </c>
      <c r="Q18"/>
    </row>
    <row r="19" spans="1:17" x14ac:dyDescent="0.25">
      <c r="A19" s="166">
        <v>57.25</v>
      </c>
      <c r="B19" s="166">
        <v>0.04</v>
      </c>
      <c r="C19" s="166">
        <v>26.32</v>
      </c>
      <c r="D19" s="8">
        <v>42681.708333333336</v>
      </c>
      <c r="E19" s="166">
        <v>0.3</v>
      </c>
      <c r="F19" s="166" t="s">
        <v>257</v>
      </c>
      <c r="G19" s="166">
        <v>249.38</v>
      </c>
      <c r="H19" s="166">
        <v>0</v>
      </c>
      <c r="I19" s="166">
        <v>0</v>
      </c>
      <c r="J19" s="166">
        <v>1025.53</v>
      </c>
      <c r="K19" s="166" t="s">
        <v>258</v>
      </c>
      <c r="L19" s="166">
        <v>57.25</v>
      </c>
      <c r="M19" s="166">
        <v>1478563200</v>
      </c>
      <c r="N19" s="166">
        <v>5.36</v>
      </c>
      <c r="O19" s="166">
        <v>58</v>
      </c>
      <c r="P19" s="166">
        <v>2.88</v>
      </c>
      <c r="Q19"/>
    </row>
    <row r="20" spans="1:17" x14ac:dyDescent="0.25">
      <c r="A20" s="166">
        <v>53.36</v>
      </c>
      <c r="B20" s="166">
        <v>0.08</v>
      </c>
      <c r="C20" s="166">
        <v>26.37</v>
      </c>
      <c r="D20" s="8">
        <v>42681.75</v>
      </c>
      <c r="E20" s="166">
        <v>0.35</v>
      </c>
      <c r="F20" s="166" t="s">
        <v>257</v>
      </c>
      <c r="G20" s="166">
        <v>248.69</v>
      </c>
      <c r="H20" s="166">
        <v>0</v>
      </c>
      <c r="I20" s="166">
        <v>0</v>
      </c>
      <c r="J20" s="166">
        <v>1026.51</v>
      </c>
      <c r="K20" s="166" t="s">
        <v>258</v>
      </c>
      <c r="L20" s="166">
        <v>53.36</v>
      </c>
      <c r="M20" s="166">
        <v>1478566800</v>
      </c>
      <c r="N20" s="166">
        <v>5.94</v>
      </c>
      <c r="O20" s="166">
        <v>100</v>
      </c>
      <c r="P20" s="166">
        <v>1.89</v>
      </c>
      <c r="Q20"/>
    </row>
    <row r="21" spans="1:17" x14ac:dyDescent="0.25">
      <c r="A21" s="166">
        <v>50.85</v>
      </c>
      <c r="B21" s="166">
        <v>0.06</v>
      </c>
      <c r="C21" s="166">
        <v>25.21</v>
      </c>
      <c r="D21" s="8">
        <v>42681.791666666664</v>
      </c>
      <c r="E21" s="166">
        <v>0.37</v>
      </c>
      <c r="F21" s="166" t="s">
        <v>257</v>
      </c>
      <c r="G21" s="166">
        <v>248.17</v>
      </c>
      <c r="H21" s="166">
        <v>0</v>
      </c>
      <c r="I21" s="166">
        <v>0</v>
      </c>
      <c r="J21" s="166">
        <v>1027.71</v>
      </c>
      <c r="K21" s="166" t="s">
        <v>258</v>
      </c>
      <c r="L21" s="166">
        <v>50.85</v>
      </c>
      <c r="M21" s="166">
        <v>1478570400</v>
      </c>
      <c r="N21" s="166">
        <v>10</v>
      </c>
      <c r="O21" s="166">
        <v>123</v>
      </c>
      <c r="P21" s="166">
        <v>1.33</v>
      </c>
      <c r="Q21"/>
    </row>
    <row r="22" spans="1:17" x14ac:dyDescent="0.25">
      <c r="A22" s="166">
        <v>48.49</v>
      </c>
      <c r="B22" s="166">
        <v>0.08</v>
      </c>
      <c r="C22" s="166">
        <v>25.86</v>
      </c>
      <c r="D22" s="8">
        <v>42681.833333333336</v>
      </c>
      <c r="E22" s="166">
        <v>0.41</v>
      </c>
      <c r="F22" s="166" t="s">
        <v>257</v>
      </c>
      <c r="G22" s="166">
        <v>247.68</v>
      </c>
      <c r="H22" s="166">
        <v>0</v>
      </c>
      <c r="I22" s="166">
        <v>0</v>
      </c>
      <c r="J22" s="166">
        <v>1028.73</v>
      </c>
      <c r="K22" s="166" t="s">
        <v>258</v>
      </c>
      <c r="L22" s="166">
        <v>48.49</v>
      </c>
      <c r="M22" s="166">
        <v>1478574000</v>
      </c>
      <c r="N22" s="166">
        <v>7.4</v>
      </c>
      <c r="O22" s="166">
        <v>208</v>
      </c>
      <c r="P22" s="166">
        <v>2.36</v>
      </c>
      <c r="Q22"/>
    </row>
    <row r="23" spans="1:17" x14ac:dyDescent="0.25">
      <c r="A23" s="166">
        <v>46.9</v>
      </c>
      <c r="B23" s="166">
        <v>0.06</v>
      </c>
      <c r="C23" s="166">
        <v>25.86</v>
      </c>
      <c r="D23" s="8">
        <v>42681.875</v>
      </c>
      <c r="E23" s="166">
        <v>0.44</v>
      </c>
      <c r="F23" s="166" t="s">
        <v>257</v>
      </c>
      <c r="G23" s="166">
        <v>247.26</v>
      </c>
      <c r="H23" s="166">
        <v>0</v>
      </c>
      <c r="I23" s="166">
        <v>0</v>
      </c>
      <c r="J23" s="166">
        <v>1029.3800000000001</v>
      </c>
      <c r="K23" s="166" t="s">
        <v>258</v>
      </c>
      <c r="L23" s="166">
        <v>46.9</v>
      </c>
      <c r="M23" s="166">
        <v>1478577600</v>
      </c>
      <c r="N23" s="166">
        <v>6.34</v>
      </c>
      <c r="O23" s="166">
        <v>209</v>
      </c>
      <c r="P23" s="166">
        <v>2.76</v>
      </c>
      <c r="Q23"/>
    </row>
    <row r="24" spans="1:17" x14ac:dyDescent="0.25">
      <c r="A24" s="166">
        <v>44.31</v>
      </c>
      <c r="B24" s="166">
        <v>7.0000000000000007E-2</v>
      </c>
      <c r="C24" s="166">
        <v>26.68</v>
      </c>
      <c r="D24" s="8">
        <v>42681.916666666664</v>
      </c>
      <c r="E24" s="166">
        <v>0.48</v>
      </c>
      <c r="F24" s="166" t="s">
        <v>257</v>
      </c>
      <c r="G24" s="166">
        <v>246.88</v>
      </c>
      <c r="H24" s="166">
        <v>0</v>
      </c>
      <c r="I24" s="166">
        <v>0</v>
      </c>
      <c r="J24" s="166">
        <v>1029.82</v>
      </c>
      <c r="K24" s="166" t="s">
        <v>258</v>
      </c>
      <c r="L24" s="166">
        <v>45.27</v>
      </c>
      <c r="M24" s="166">
        <v>1478581200</v>
      </c>
      <c r="N24" s="166">
        <v>6.32</v>
      </c>
      <c r="O24" s="166">
        <v>199</v>
      </c>
      <c r="P24" s="166">
        <v>3.02</v>
      </c>
      <c r="Q24"/>
    </row>
    <row r="25" spans="1:17" x14ac:dyDescent="0.25">
      <c r="A25" s="166">
        <v>41.76</v>
      </c>
      <c r="B25" s="166">
        <v>0.11</v>
      </c>
      <c r="C25" s="166">
        <v>26.15</v>
      </c>
      <c r="D25" s="8">
        <v>42681.958333333336</v>
      </c>
      <c r="E25" s="166">
        <v>0.51</v>
      </c>
      <c r="F25" s="166" t="s">
        <v>257</v>
      </c>
      <c r="G25" s="166">
        <v>246.38</v>
      </c>
      <c r="H25" s="166">
        <v>0</v>
      </c>
      <c r="I25" s="166">
        <v>0</v>
      </c>
      <c r="J25" s="166">
        <v>1030.24</v>
      </c>
      <c r="K25" s="166" t="s">
        <v>258</v>
      </c>
      <c r="L25" s="166">
        <v>43.18</v>
      </c>
      <c r="M25" s="166">
        <v>1478584800</v>
      </c>
      <c r="N25" s="166">
        <v>6.8</v>
      </c>
      <c r="O25" s="166">
        <v>202</v>
      </c>
      <c r="P25" s="166">
        <v>3.19</v>
      </c>
      <c r="Q25"/>
    </row>
    <row r="26" spans="1:17" x14ac:dyDescent="0.25">
      <c r="A26" s="166">
        <v>39.36</v>
      </c>
      <c r="B26" s="166">
        <v>7.0000000000000007E-2</v>
      </c>
      <c r="C26" s="166">
        <v>26.78</v>
      </c>
      <c r="D26" s="8">
        <v>42682</v>
      </c>
      <c r="E26" s="166">
        <v>0.56000000000000005</v>
      </c>
      <c r="F26" s="166" t="s">
        <v>257</v>
      </c>
      <c r="G26" s="166">
        <v>245.6</v>
      </c>
      <c r="H26" s="166">
        <v>0</v>
      </c>
      <c r="I26" s="166">
        <v>0</v>
      </c>
      <c r="J26" s="166">
        <v>1030.68</v>
      </c>
      <c r="K26" s="166" t="s">
        <v>258</v>
      </c>
      <c r="L26" s="166">
        <v>41.22</v>
      </c>
      <c r="M26" s="166">
        <v>1478588400</v>
      </c>
      <c r="N26" s="166">
        <v>7.09</v>
      </c>
      <c r="O26" s="166">
        <v>215</v>
      </c>
      <c r="P26" s="166">
        <v>3.35</v>
      </c>
      <c r="Q26"/>
    </row>
    <row r="27" spans="1:17" x14ac:dyDescent="0.25">
      <c r="A27" s="166">
        <v>40.56</v>
      </c>
      <c r="B27" s="166">
        <v>0</v>
      </c>
      <c r="C27" s="166">
        <v>27.36</v>
      </c>
      <c r="D27" s="8">
        <v>42682.041666666664</v>
      </c>
      <c r="E27" s="166">
        <v>0.59</v>
      </c>
      <c r="F27" s="166" t="s">
        <v>257</v>
      </c>
      <c r="G27" s="166">
        <v>244.82</v>
      </c>
      <c r="H27" s="166">
        <v>0</v>
      </c>
      <c r="I27" s="166">
        <v>0</v>
      </c>
      <c r="J27" s="166">
        <v>1031.08</v>
      </c>
      <c r="K27" s="166" t="s">
        <v>258</v>
      </c>
      <c r="L27" s="166">
        <v>40.56</v>
      </c>
      <c r="M27" s="166">
        <v>1478592000</v>
      </c>
      <c r="N27" s="166">
        <v>6.86</v>
      </c>
      <c r="O27" s="166">
        <v>280</v>
      </c>
      <c r="P27" s="166">
        <v>0.9</v>
      </c>
      <c r="Q27"/>
    </row>
    <row r="28" spans="1:17" x14ac:dyDescent="0.25">
      <c r="A28" s="166">
        <v>37.99</v>
      </c>
      <c r="B28" s="166">
        <v>0</v>
      </c>
      <c r="C28" s="166">
        <v>25.33</v>
      </c>
      <c r="D28" s="8">
        <v>42682.083333333336</v>
      </c>
      <c r="E28" s="166">
        <v>0.6</v>
      </c>
      <c r="F28" s="166" t="s">
        <v>257</v>
      </c>
      <c r="G28" s="166">
        <v>244.04</v>
      </c>
      <c r="H28" s="166">
        <v>0</v>
      </c>
      <c r="I28" s="166">
        <v>0</v>
      </c>
      <c r="J28" s="166">
        <v>1031.45</v>
      </c>
      <c r="K28" s="166" t="s">
        <v>258</v>
      </c>
      <c r="L28" s="166">
        <v>37.99</v>
      </c>
      <c r="M28" s="166">
        <v>1478595600</v>
      </c>
      <c r="N28" s="166">
        <v>6.12</v>
      </c>
      <c r="O28" s="166">
        <v>203</v>
      </c>
      <c r="P28" s="166">
        <v>2.23</v>
      </c>
      <c r="Q28"/>
    </row>
    <row r="29" spans="1:17" x14ac:dyDescent="0.25">
      <c r="A29" s="166">
        <v>35.520000000000003</v>
      </c>
      <c r="B29" s="166">
        <v>0</v>
      </c>
      <c r="C29" s="166">
        <v>22.63</v>
      </c>
      <c r="D29" s="8">
        <v>42682.125</v>
      </c>
      <c r="E29" s="166">
        <v>0.59</v>
      </c>
      <c r="F29" s="166" t="s">
        <v>257</v>
      </c>
      <c r="G29" s="166">
        <v>244.16</v>
      </c>
      <c r="H29" s="166">
        <v>0</v>
      </c>
      <c r="I29" s="166">
        <v>0</v>
      </c>
      <c r="J29" s="166">
        <v>1031.96</v>
      </c>
      <c r="K29" s="166" t="s">
        <v>258</v>
      </c>
      <c r="L29" s="166">
        <v>35.520000000000003</v>
      </c>
      <c r="M29" s="166">
        <v>1478599200</v>
      </c>
      <c r="N29" s="166">
        <v>7.77</v>
      </c>
      <c r="O29" s="166">
        <v>228</v>
      </c>
      <c r="P29" s="166">
        <v>2.41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4" t="s">
        <v>220</v>
      </c>
    </row>
    <row r="33" spans="1:1" x14ac:dyDescent="0.25">
      <c r="A33" s="134" t="s">
        <v>197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3" t="s">
        <v>99</v>
      </c>
      <c r="D1" s="144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42681</v>
      </c>
      <c r="B2" s="4"/>
      <c r="C2" s="145">
        <v>50</v>
      </c>
      <c r="D2" s="146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3" t="s">
        <v>99</v>
      </c>
      <c r="D4" s="144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1" t="s">
        <v>222</v>
      </c>
      <c r="J17" s="33"/>
      <c r="K17" s="34"/>
      <c r="L17" s="34"/>
    </row>
    <row r="18" spans="3:13" x14ac:dyDescent="0.25">
      <c r="C18" t="s">
        <v>781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783</v>
      </c>
      <c r="J20" t="s">
        <v>87</v>
      </c>
      <c r="M20" s="68" t="s">
        <v>812</v>
      </c>
    </row>
    <row r="21" spans="3:13" x14ac:dyDescent="0.25">
      <c r="C21" t="s">
        <v>784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785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786</v>
      </c>
      <c r="J23" s="29" t="s">
        <v>95</v>
      </c>
      <c r="K23" s="21"/>
      <c r="M23" s="69">
        <v>-7</v>
      </c>
    </row>
    <row r="24" spans="3:13" x14ac:dyDescent="0.25">
      <c r="C24" t="s">
        <v>787</v>
      </c>
      <c r="J24" s="21" t="s">
        <v>108</v>
      </c>
      <c r="K24" s="21"/>
      <c r="M24" s="68" t="s">
        <v>110</v>
      </c>
    </row>
    <row r="25" spans="3:13" x14ac:dyDescent="0.25">
      <c r="C25" t="s">
        <v>788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C:\Users\stu\Documents\GitHub\eaglep3-reporting\EC\2016-11-07-refined-times.txt</v>
      </c>
    </row>
    <row r="27" spans="3:13" x14ac:dyDescent="0.25">
      <c r="J27" t="s">
        <v>198</v>
      </c>
      <c r="M27" s="68" t="str">
        <f>"C:\Users\stu\Documents\GitHub\eaglep3-reporting\EC\"&amp;TEXT(A2,"YYYY-MM-DD")&amp;"-Enforcements.txt"</f>
        <v>C:\Users\stu\Documents\GitHub\eaglep3-reporting\EC\2016-11-07-Enforcements.txt</v>
      </c>
    </row>
    <row r="28" spans="3:13" x14ac:dyDescent="0.25">
      <c r="J28" t="s">
        <v>199</v>
      </c>
      <c r="M28" s="106" t="str">
        <f>"C:\Users\stu\Documents\GitHub\eaglep3-reporting\EC\"&amp;TEXT(A2,"YYYY-MM-DD")&amp;"-Runs-Refined.txt"</f>
        <v>C:\Users\stu\Documents\GitHub\eaglep3-reporting\EC\2016-11-07-Runs-Refined.txt</v>
      </c>
    </row>
    <row r="29" spans="3:13" x14ac:dyDescent="0.25">
      <c r="J29" t="s">
        <v>200</v>
      </c>
      <c r="M29" s="106" t="str">
        <f>"C:\Users\stu\Documents\GitHub\eaglep3-reporting\EC\"&amp;TEXT(A2,"YYYY-MM-DD")&amp;"-Trips.txt"</f>
        <v>C:\Users\stu\Documents\GitHub\eaglep3-reporting\EC\2016-11-07-Trips.txt</v>
      </c>
    </row>
    <row r="30" spans="3:13" x14ac:dyDescent="0.25">
      <c r="J30" t="s">
        <v>201</v>
      </c>
      <c r="M30" s="106" t="str">
        <f>"C:\Users\stu\Documents\GitHub\eaglep3-reporting\EC\"&amp;TEXT(A2,"YYYY-MM-DD")&amp;"-Weather.txt"</f>
        <v>C:\Users\stu\Documents\GitHub\eaglep3-reporting\EC\2016-11-07-Weather.txt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4" bestFit="1" customWidth="1"/>
    <col min="2" max="7" width="9.140625" style="114"/>
    <col min="8" max="8" width="17.7109375" style="114" bestFit="1" customWidth="1"/>
    <col min="9" max="9" width="9.140625" style="116"/>
    <col min="10" max="16384" width="9.140625" style="114"/>
  </cols>
  <sheetData>
    <row r="1" spans="1:11" x14ac:dyDescent="0.25">
      <c r="A1" s="113" t="s">
        <v>122</v>
      </c>
      <c r="B1" s="113" t="s">
        <v>123</v>
      </c>
      <c r="C1" s="114" t="s">
        <v>124</v>
      </c>
      <c r="H1" t="s">
        <v>118</v>
      </c>
      <c r="I1" s="115" t="s">
        <v>120</v>
      </c>
      <c r="J1"/>
    </row>
    <row r="2" spans="1:11" x14ac:dyDescent="0.25">
      <c r="A2" s="114" t="s">
        <v>125</v>
      </c>
      <c r="B2" s="114" t="s">
        <v>126</v>
      </c>
      <c r="C2" s="114" t="s">
        <v>127</v>
      </c>
      <c r="H2" t="s">
        <v>119</v>
      </c>
      <c r="I2" s="106" t="s">
        <v>121</v>
      </c>
      <c r="J2"/>
    </row>
    <row r="3" spans="1:11" x14ac:dyDescent="0.25">
      <c r="A3" s="114" t="s">
        <v>128</v>
      </c>
      <c r="B3" s="114" t="s">
        <v>129</v>
      </c>
      <c r="C3" s="114" t="s">
        <v>130</v>
      </c>
      <c r="H3" t="s">
        <v>144</v>
      </c>
      <c r="I3" s="106">
        <v>1</v>
      </c>
      <c r="J3"/>
      <c r="K3" s="68"/>
    </row>
    <row r="4" spans="1:11" x14ac:dyDescent="0.25">
      <c r="A4" s="114" t="s">
        <v>131</v>
      </c>
      <c r="C4" s="114" t="s">
        <v>132</v>
      </c>
      <c r="H4" t="s">
        <v>145</v>
      </c>
      <c r="I4" s="106">
        <v>2</v>
      </c>
      <c r="J4"/>
      <c r="K4" s="68"/>
    </row>
    <row r="5" spans="1:11" x14ac:dyDescent="0.25">
      <c r="A5" s="114" t="s">
        <v>133</v>
      </c>
      <c r="C5" s="114" t="s">
        <v>134</v>
      </c>
      <c r="H5" t="s">
        <v>146</v>
      </c>
      <c r="I5" s="106">
        <v>23</v>
      </c>
      <c r="J5"/>
      <c r="K5" s="68"/>
    </row>
    <row r="6" spans="1:11" x14ac:dyDescent="0.25">
      <c r="A6" s="114" t="s">
        <v>135</v>
      </c>
      <c r="C6" s="114" t="s">
        <v>136</v>
      </c>
      <c r="H6" s="117" t="s">
        <v>147</v>
      </c>
      <c r="I6" s="118" t="s">
        <v>126</v>
      </c>
    </row>
    <row r="7" spans="1:11" x14ac:dyDescent="0.25">
      <c r="A7" s="114" t="s">
        <v>137</v>
      </c>
      <c r="C7" s="114" t="s">
        <v>138</v>
      </c>
    </row>
    <row r="8" spans="1:11" x14ac:dyDescent="0.25">
      <c r="C8" s="114" t="s">
        <v>139</v>
      </c>
    </row>
    <row r="9" spans="1:11" x14ac:dyDescent="0.25">
      <c r="C9" s="117" t="s">
        <v>178</v>
      </c>
    </row>
    <row r="10" spans="1:11" x14ac:dyDescent="0.25">
      <c r="C10" s="114" t="s">
        <v>140</v>
      </c>
    </row>
    <row r="11" spans="1:11" x14ac:dyDescent="0.25">
      <c r="C11" s="114" t="s">
        <v>141</v>
      </c>
    </row>
    <row r="12" spans="1:11" x14ac:dyDescent="0.25">
      <c r="C12" s="114" t="s">
        <v>142</v>
      </c>
    </row>
    <row r="13" spans="1:11" x14ac:dyDescent="0.25">
      <c r="C13" s="114" t="s">
        <v>143</v>
      </c>
    </row>
    <row r="14" spans="1:11" x14ac:dyDescent="0.25">
      <c r="C14" s="117" t="s">
        <v>179</v>
      </c>
    </row>
    <row r="15" spans="1:11" x14ac:dyDescent="0.25">
      <c r="C15" s="117" t="s">
        <v>272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2016-11-08T16:45:26Z</dcterms:modified>
</cp:coreProperties>
</file>